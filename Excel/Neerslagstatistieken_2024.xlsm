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116CCD2F-D9B5-42DF-8CEE-2C017B1BFA34}" xr6:coauthVersionLast="47" xr6:coauthVersionMax="47" xr10:uidLastSave="{00000000-0000-0000-0000-000000000000}"/>
  <bookViews>
    <workbookView xWindow="-108" yWindow="-108" windowWidth="23256" windowHeight="12456" xr2:uid="{AF977E9A-6CF3-45C6-9F9D-E64474C72C92}"/>
  </bookViews>
  <sheets>
    <sheet name="Start" sheetId="20" r:id="rId1"/>
    <sheet name="HUIDIG JAAR" sheetId="1" r:id="rId2"/>
    <sheet name="HUIDIG WINTER" sheetId="2" r:id="rId3"/>
    <sheet name="2033L JAAR" sheetId="3" r:id="rId4"/>
    <sheet name="2033L WINTER" sheetId="4" r:id="rId5"/>
    <sheet name="2050L JAAR" sheetId="9" r:id="rId6"/>
    <sheet name="2050L WINTER" sheetId="8" r:id="rId7"/>
    <sheet name="2050M JAAR" sheetId="21" r:id="rId8"/>
    <sheet name="2050M WINTER" sheetId="22" r:id="rId9"/>
    <sheet name="2050H JAAR" sheetId="23" r:id="rId10"/>
    <sheet name="2050H WINTER" sheetId="24" r:id="rId11"/>
    <sheet name="2100L JAAR" sheetId="25" r:id="rId12"/>
    <sheet name="2100L WINTER" sheetId="26" r:id="rId13"/>
    <sheet name="2100M JAAR" sheetId="27" r:id="rId14"/>
    <sheet name="2100M WINTER" sheetId="28" r:id="rId15"/>
    <sheet name="2100H JAAR" sheetId="29" r:id="rId16"/>
    <sheet name="2100H WINTER" sheetId="30" r:id="rId17"/>
    <sheet name="2150M JAAR" sheetId="31" r:id="rId18"/>
    <sheet name="2150M WINTER" sheetId="32" r:id="rId19"/>
    <sheet name="2150H JAAR" sheetId="33" r:id="rId20"/>
    <sheet name="2150H WINTER" sheetId="34" r:id="rId2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2" i="20" l="1"/>
  <c r="L21" i="20"/>
  <c r="L20" i="20"/>
  <c r="L19" i="20"/>
  <c r="L18" i="20"/>
  <c r="L17" i="20"/>
  <c r="L16" i="20"/>
  <c r="L15" i="20"/>
  <c r="D22" i="20"/>
  <c r="D21" i="20"/>
  <c r="D20" i="20"/>
  <c r="D19" i="20"/>
  <c r="D18" i="20"/>
  <c r="D16" i="20"/>
  <c r="D17" i="20"/>
  <c r="D15" i="20"/>
  <c r="L14" i="20"/>
  <c r="D14" i="20"/>
  <c r="G129" i="34"/>
  <c r="G130" i="34" s="1"/>
  <c r="G131" i="34" s="1"/>
  <c r="K128" i="34"/>
  <c r="G127" i="34"/>
  <c r="G128" i="34" s="1"/>
  <c r="K126" i="34"/>
  <c r="G97" i="34"/>
  <c r="G98" i="34" s="1"/>
  <c r="G96" i="34"/>
  <c r="K96" i="34" s="1"/>
  <c r="K95" i="34"/>
  <c r="G66" i="34"/>
  <c r="G65" i="34"/>
  <c r="G34" i="34"/>
  <c r="G35" i="34" s="1"/>
  <c r="G3" i="34"/>
  <c r="G129" i="33"/>
  <c r="G130" i="33" s="1"/>
  <c r="G127" i="33"/>
  <c r="G128" i="33" s="1"/>
  <c r="K127" i="33" s="1"/>
  <c r="K126" i="33"/>
  <c r="G97" i="33"/>
  <c r="G98" i="33" s="1"/>
  <c r="G96" i="33"/>
  <c r="G66" i="33"/>
  <c r="G67" i="33" s="1"/>
  <c r="K65" i="33"/>
  <c r="G65" i="33"/>
  <c r="G34" i="33"/>
  <c r="G3" i="33"/>
  <c r="G127" i="32"/>
  <c r="G128" i="32" s="1"/>
  <c r="K126" i="32"/>
  <c r="G97" i="32"/>
  <c r="G96" i="32"/>
  <c r="K96" i="32" s="1"/>
  <c r="K95" i="32"/>
  <c r="G65" i="32"/>
  <c r="G34" i="32"/>
  <c r="G3" i="32"/>
  <c r="G4" i="32" s="1"/>
  <c r="G129" i="31"/>
  <c r="G130" i="31" s="1"/>
  <c r="K128" i="31"/>
  <c r="G127" i="31"/>
  <c r="G128" i="31" s="1"/>
  <c r="K126" i="31"/>
  <c r="G97" i="31"/>
  <c r="G98" i="31" s="1"/>
  <c r="G96" i="31"/>
  <c r="K96" i="31" s="1"/>
  <c r="K95" i="31"/>
  <c r="G66" i="31"/>
  <c r="G65" i="31"/>
  <c r="G34" i="31"/>
  <c r="G3" i="31"/>
  <c r="G129" i="30"/>
  <c r="G130" i="30" s="1"/>
  <c r="G131" i="30" s="1"/>
  <c r="K128" i="30"/>
  <c r="G127" i="30"/>
  <c r="G128" i="30" s="1"/>
  <c r="K126" i="30"/>
  <c r="G97" i="30"/>
  <c r="G96" i="30"/>
  <c r="K96" i="30" s="1"/>
  <c r="G65" i="30"/>
  <c r="G66" i="30" s="1"/>
  <c r="G34" i="30"/>
  <c r="G6" i="30"/>
  <c r="G7" i="30" s="1"/>
  <c r="G5" i="30"/>
  <c r="K5" i="30" s="1"/>
  <c r="G3" i="30"/>
  <c r="G4" i="30" s="1"/>
  <c r="K2" i="30"/>
  <c r="G129" i="29"/>
  <c r="K128" i="29"/>
  <c r="G127" i="29"/>
  <c r="G128" i="29" s="1"/>
  <c r="K126" i="29"/>
  <c r="G97" i="29"/>
  <c r="G96" i="29"/>
  <c r="G65" i="29"/>
  <c r="G34" i="29"/>
  <c r="K5" i="29"/>
  <c r="G4" i="29"/>
  <c r="G5" i="29" s="1"/>
  <c r="G6" i="29" s="1"/>
  <c r="G7" i="29" s="1"/>
  <c r="G3" i="29"/>
  <c r="K2" i="29"/>
  <c r="G129" i="28"/>
  <c r="G130" i="28" s="1"/>
  <c r="G131" i="28" s="1"/>
  <c r="K128" i="28"/>
  <c r="G127" i="28"/>
  <c r="G128" i="28" s="1"/>
  <c r="K126" i="28"/>
  <c r="G97" i="28"/>
  <c r="G98" i="28" s="1"/>
  <c r="G96" i="28"/>
  <c r="K96" i="28" s="1"/>
  <c r="K95" i="28"/>
  <c r="G66" i="28"/>
  <c r="G65" i="28"/>
  <c r="G34" i="28"/>
  <c r="G3" i="28"/>
  <c r="G129" i="27"/>
  <c r="G127" i="27"/>
  <c r="G128" i="27" s="1"/>
  <c r="K127" i="27" s="1"/>
  <c r="K126" i="27"/>
  <c r="G96" i="27"/>
  <c r="G65" i="27"/>
  <c r="G34" i="27"/>
  <c r="G3" i="27"/>
  <c r="G127" i="26"/>
  <c r="G97" i="26"/>
  <c r="G98" i="26" s="1"/>
  <c r="G96" i="26"/>
  <c r="G65" i="26"/>
  <c r="G34" i="26"/>
  <c r="G4" i="26"/>
  <c r="G5" i="26" s="1"/>
  <c r="G3" i="26"/>
  <c r="G129" i="25"/>
  <c r="G130" i="25" s="1"/>
  <c r="K128" i="25"/>
  <c r="G127" i="25"/>
  <c r="G128" i="25" s="1"/>
  <c r="K126" i="25"/>
  <c r="G97" i="25"/>
  <c r="G96" i="25"/>
  <c r="K96" i="25" s="1"/>
  <c r="G66" i="25"/>
  <c r="G67" i="25" s="1"/>
  <c r="G68" i="25" s="1"/>
  <c r="G65" i="25"/>
  <c r="G34" i="25"/>
  <c r="G3" i="25"/>
  <c r="G4" i="25" s="1"/>
  <c r="G129" i="24"/>
  <c r="G130" i="24" s="1"/>
  <c r="G131" i="24" s="1"/>
  <c r="K128" i="24"/>
  <c r="G127" i="24"/>
  <c r="G128" i="24" s="1"/>
  <c r="K126" i="24"/>
  <c r="G97" i="24"/>
  <c r="G96" i="24"/>
  <c r="K96" i="24" s="1"/>
  <c r="G65" i="24"/>
  <c r="G34" i="24"/>
  <c r="G3" i="24"/>
  <c r="G4" i="24" s="1"/>
  <c r="K2" i="24"/>
  <c r="G127" i="23"/>
  <c r="G128" i="23" s="1"/>
  <c r="G97" i="23"/>
  <c r="G96" i="23"/>
  <c r="K96" i="23" s="1"/>
  <c r="G65" i="23"/>
  <c r="G34" i="23"/>
  <c r="G3" i="23"/>
  <c r="G4" i="23" s="1"/>
  <c r="G127" i="22"/>
  <c r="G96" i="22"/>
  <c r="G68" i="22"/>
  <c r="K67" i="22"/>
  <c r="G67" i="22"/>
  <c r="G66" i="22"/>
  <c r="K66" i="22" s="1"/>
  <c r="G65" i="22"/>
  <c r="K65" i="22" s="1"/>
  <c r="K64" i="22"/>
  <c r="G34" i="22"/>
  <c r="G4" i="22"/>
  <c r="G3" i="22"/>
  <c r="G129" i="21"/>
  <c r="G128" i="21"/>
  <c r="K127" i="21" s="1"/>
  <c r="G127" i="21"/>
  <c r="K126" i="21"/>
  <c r="G98" i="21"/>
  <c r="G97" i="21"/>
  <c r="K97" i="21" s="1"/>
  <c r="G96" i="21"/>
  <c r="K96" i="21" s="1"/>
  <c r="K95" i="21"/>
  <c r="K65" i="21"/>
  <c r="G65" i="21"/>
  <c r="G66" i="21" s="1"/>
  <c r="K64" i="21"/>
  <c r="G34" i="21"/>
  <c r="G35" i="21" s="1"/>
  <c r="G4" i="21"/>
  <c r="G3" i="21"/>
  <c r="G127" i="9"/>
  <c r="G96" i="9"/>
  <c r="G97" i="9" s="1"/>
  <c r="G65" i="9"/>
  <c r="G36" i="9"/>
  <c r="G37" i="9" s="1"/>
  <c r="K35" i="9"/>
  <c r="K34" i="9"/>
  <c r="G34" i="9"/>
  <c r="G35" i="9" s="1"/>
  <c r="K33" i="9"/>
  <c r="G3" i="9"/>
  <c r="G127" i="8"/>
  <c r="G128" i="8" s="1"/>
  <c r="G96" i="8"/>
  <c r="G65" i="8"/>
  <c r="G34" i="8"/>
  <c r="G3" i="8"/>
  <c r="G127" i="4"/>
  <c r="G128" i="4" s="1"/>
  <c r="K126" i="4"/>
  <c r="G96" i="4"/>
  <c r="G97" i="4" s="1"/>
  <c r="G98" i="4" s="1"/>
  <c r="G99" i="4" s="1"/>
  <c r="K95" i="4"/>
  <c r="G65" i="4"/>
  <c r="G34" i="4"/>
  <c r="G3" i="4"/>
  <c r="G127" i="3"/>
  <c r="G128" i="3" s="1"/>
  <c r="G96" i="3"/>
  <c r="G65" i="3"/>
  <c r="G66" i="3" s="1"/>
  <c r="G67" i="3" s="1"/>
  <c r="K64" i="3"/>
  <c r="G34" i="3"/>
  <c r="G35" i="3" s="1"/>
  <c r="G36" i="3" s="1"/>
  <c r="G37" i="3" s="1"/>
  <c r="K33" i="3"/>
  <c r="G3" i="3"/>
  <c r="G4" i="3" s="1"/>
  <c r="K2" i="3"/>
  <c r="G127" i="2"/>
  <c r="G96" i="2"/>
  <c r="G66" i="2"/>
  <c r="G67" i="2" s="1"/>
  <c r="G65" i="2"/>
  <c r="G34" i="2"/>
  <c r="G3" i="2"/>
  <c r="G127" i="1"/>
  <c r="G96" i="1"/>
  <c r="G65" i="1"/>
  <c r="G34" i="1"/>
  <c r="G35" i="1" s="1"/>
  <c r="G3" i="1"/>
  <c r="N22" i="20" a="1"/>
  <c r="N17" i="20" a="1"/>
  <c r="N15" i="20" a="1"/>
  <c r="N19" i="20" a="1"/>
  <c r="N18" i="20" a="1"/>
  <c r="N21" i="20" a="1"/>
  <c r="N16" i="20" a="1"/>
  <c r="N20" i="20" a="1"/>
  <c r="G22" i="20" a="1"/>
  <c r="F22" i="20" a="1"/>
  <c r="G21" i="20" a="1"/>
  <c r="F21" i="20" a="1"/>
  <c r="G20" i="20" a="1"/>
  <c r="F20" i="20" a="1"/>
  <c r="G19" i="20" a="1"/>
  <c r="F19" i="20" a="1"/>
  <c r="F18" i="20" a="1"/>
  <c r="G17" i="20" a="1"/>
  <c r="F17" i="20" a="1"/>
  <c r="F16" i="20" a="1"/>
  <c r="G15" i="20" a="1"/>
  <c r="F15" i="20" a="1"/>
  <c r="O14" i="20" a="1"/>
  <c r="N14" i="20" a="1"/>
  <c r="G14" i="20" a="1"/>
  <c r="F14" i="20" a="1"/>
  <c r="L3" i="34" a="1"/>
  <c r="L2" i="34" a="1"/>
  <c r="L96" i="34" a="1"/>
  <c r="L126" i="34" a="1"/>
  <c r="L95" i="34" a="1"/>
  <c r="L128" i="34" a="1"/>
  <c r="L127" i="33" a="1"/>
  <c r="L126" i="33" a="1"/>
  <c r="L65" i="33" a="1"/>
  <c r="L96" i="32" a="1"/>
  <c r="L95" i="32" a="1"/>
  <c r="L126" i="32" a="1"/>
  <c r="L96" i="31" a="1"/>
  <c r="L126" i="31" a="1"/>
  <c r="L95" i="31" a="1"/>
  <c r="L128" i="31" a="1"/>
  <c r="L2" i="30" a="1"/>
  <c r="L96" i="30" a="1"/>
  <c r="L128" i="30" a="1"/>
  <c r="L126" i="30" a="1"/>
  <c r="L5" i="30" a="1"/>
  <c r="L128" i="29" a="1"/>
  <c r="L5" i="29" a="1"/>
  <c r="L2" i="29" a="1"/>
  <c r="L126" i="29" a="1"/>
  <c r="L96" i="28" a="1"/>
  <c r="L128" i="28" a="1"/>
  <c r="L126" i="28" a="1"/>
  <c r="L95" i="28" a="1"/>
  <c r="L2" i="27" a="1"/>
  <c r="L127" i="27" a="1"/>
  <c r="L126" i="27" a="1"/>
  <c r="L2" i="25" a="1"/>
  <c r="L96" i="25" a="1"/>
  <c r="L126" i="25" a="1"/>
  <c r="L128" i="25" a="1"/>
  <c r="L2" i="24" a="1"/>
  <c r="L96" i="24" a="1"/>
  <c r="L126" i="24" a="1"/>
  <c r="L128" i="24" a="1"/>
  <c r="L2" i="23" a="1"/>
  <c r="L96" i="23" a="1"/>
  <c r="L65" i="22" a="1"/>
  <c r="L66" i="22" a="1"/>
  <c r="L64" i="22" a="1"/>
  <c r="L67" i="22" a="1"/>
  <c r="L96" i="21" a="1"/>
  <c r="L95" i="21" a="1"/>
  <c r="L126" i="21" a="1"/>
  <c r="L127" i="21" a="1"/>
  <c r="L65" i="21" a="1"/>
  <c r="L97" i="21" a="1"/>
  <c r="L64" i="21" a="1"/>
  <c r="L156" i="8" a="1"/>
  <c r="L146" i="8" a="1"/>
  <c r="L136" i="8" a="1"/>
  <c r="L126" i="8" a="1"/>
  <c r="L116" i="8" a="1"/>
  <c r="L106" i="8" a="1"/>
  <c r="L96" i="8" a="1"/>
  <c r="L86" i="8" a="1"/>
  <c r="L76" i="8" a="1"/>
  <c r="L66" i="8" a="1"/>
  <c r="L56" i="8" a="1"/>
  <c r="L46" i="8" a="1"/>
  <c r="L36" i="8" a="1"/>
  <c r="L26" i="8" a="1"/>
  <c r="L16" i="8" a="1"/>
  <c r="L6" i="8" a="1"/>
  <c r="L155" i="8" a="1"/>
  <c r="L145" i="8" a="1"/>
  <c r="L135" i="8" a="1"/>
  <c r="L125" i="8" a="1"/>
  <c r="L115" i="8" a="1"/>
  <c r="L105" i="8" a="1"/>
  <c r="L95" i="8" a="1"/>
  <c r="L85" i="8" a="1"/>
  <c r="L75" i="8" a="1"/>
  <c r="L65" i="8" a="1"/>
  <c r="L55" i="8" a="1"/>
  <c r="L45" i="8" a="1"/>
  <c r="L35" i="8" a="1"/>
  <c r="L25" i="8" a="1"/>
  <c r="L15" i="8" a="1"/>
  <c r="L5" i="8" a="1"/>
  <c r="L154" i="8" a="1"/>
  <c r="L144" i="8" a="1"/>
  <c r="L134" i="8" a="1"/>
  <c r="L124" i="8" a="1"/>
  <c r="L114" i="8" a="1"/>
  <c r="L104" i="8" a="1"/>
  <c r="L94" i="8" a="1"/>
  <c r="L84" i="8" a="1"/>
  <c r="L74" i="8" a="1"/>
  <c r="L64" i="8" a="1"/>
  <c r="L54" i="8" a="1"/>
  <c r="L44" i="8" a="1"/>
  <c r="L34" i="8" a="1"/>
  <c r="L24" i="8" a="1"/>
  <c r="L152" i="8" a="1"/>
  <c r="L142" i="8" a="1"/>
  <c r="L132" i="8" a="1"/>
  <c r="L122" i="8" a="1"/>
  <c r="L112" i="8" a="1"/>
  <c r="L102" i="8" a="1"/>
  <c r="L92" i="8" a="1"/>
  <c r="L82" i="8" a="1"/>
  <c r="L72" i="8" a="1"/>
  <c r="L62" i="8" a="1"/>
  <c r="L52" i="8" a="1"/>
  <c r="L42" i="8" a="1"/>
  <c r="L32" i="8" a="1"/>
  <c r="L22" i="8" a="1"/>
  <c r="L12" i="8" a="1"/>
  <c r="L151" i="8" a="1"/>
  <c r="L141" i="8" a="1"/>
  <c r="L131" i="8" a="1"/>
  <c r="L121" i="8" a="1"/>
  <c r="L111" i="8" a="1"/>
  <c r="L101" i="8" a="1"/>
  <c r="L91" i="8" a="1"/>
  <c r="L81" i="8" a="1"/>
  <c r="L71" i="8" a="1"/>
  <c r="L61" i="8" a="1"/>
  <c r="L51" i="8" a="1"/>
  <c r="L41" i="8" a="1"/>
  <c r="L31" i="8" a="1"/>
  <c r="L21" i="8" a="1"/>
  <c r="L11" i="8" a="1"/>
  <c r="L150" i="8" a="1"/>
  <c r="L140" i="8" a="1"/>
  <c r="L130" i="8" a="1"/>
  <c r="L120" i="8" a="1"/>
  <c r="L110" i="8" a="1"/>
  <c r="L100" i="8" a="1"/>
  <c r="L90" i="8" a="1"/>
  <c r="L80" i="8" a="1"/>
  <c r="L70" i="8" a="1"/>
  <c r="L60" i="8" a="1"/>
  <c r="L50" i="8" a="1"/>
  <c r="L40" i="8" a="1"/>
  <c r="L30" i="8" a="1"/>
  <c r="L20" i="8" a="1"/>
  <c r="L10" i="8" a="1"/>
  <c r="L149" i="8" a="1"/>
  <c r="L139" i="8" a="1"/>
  <c r="L129" i="8" a="1"/>
  <c r="L119" i="8" a="1"/>
  <c r="L109" i="8" a="1"/>
  <c r="L99" i="8" a="1"/>
  <c r="L89" i="8" a="1"/>
  <c r="L79" i="8" a="1"/>
  <c r="L69" i="8" a="1"/>
  <c r="L59" i="8" a="1"/>
  <c r="L49" i="8" a="1"/>
  <c r="L39" i="8" a="1"/>
  <c r="L29" i="8" a="1"/>
  <c r="L19" i="8" a="1"/>
  <c r="L9" i="8" a="1"/>
  <c r="L127" i="8" a="1"/>
  <c r="L68" i="8" a="1"/>
  <c r="L13" i="8" a="1"/>
  <c r="L153" i="8" a="1"/>
  <c r="L97" i="8" a="1"/>
  <c r="L38" i="8" a="1"/>
  <c r="L123" i="8" a="1"/>
  <c r="L67" i="8" a="1"/>
  <c r="L93" i="8" a="1"/>
  <c r="L37" i="8" a="1"/>
  <c r="L8" i="8" a="1"/>
  <c r="L148" i="8" a="1"/>
  <c r="L63" i="8" a="1"/>
  <c r="L118" i="8" a="1"/>
  <c r="L33" i="8" a="1"/>
  <c r="L7" i="8" a="1"/>
  <c r="L147" i="8" a="1"/>
  <c r="L88" i="8" a="1"/>
  <c r="L4" i="8" a="1"/>
  <c r="L117" i="8" a="1"/>
  <c r="L58" i="8" a="1"/>
  <c r="L143" i="8" a="1"/>
  <c r="L87" i="8" a="1"/>
  <c r="L28" i="8" a="1"/>
  <c r="L3" i="8" a="1"/>
  <c r="L113" i="8" a="1"/>
  <c r="L57" i="8" a="1"/>
  <c r="L83" i="8" a="1"/>
  <c r="L27" i="8" a="1"/>
  <c r="L138" i="8" a="1"/>
  <c r="L53" i="8" a="1"/>
  <c r="L108" i="8" a="1"/>
  <c r="L23" i="8" a="1"/>
  <c r="L137" i="8" a="1"/>
  <c r="L78" i="8" a="1"/>
  <c r="L107" i="8" a="1"/>
  <c r="L48" i="8" a="1"/>
  <c r="L133" i="8" a="1"/>
  <c r="L77" i="8" a="1"/>
  <c r="L18" i="8" a="1"/>
  <c r="L103" i="8" a="1"/>
  <c r="L47" i="8" a="1"/>
  <c r="L73" i="8" a="1"/>
  <c r="L17" i="8" a="1"/>
  <c r="L43" i="8" a="1"/>
  <c r="L128" i="8" a="1"/>
  <c r="L98" i="8" a="1"/>
  <c r="L14" i="8" a="1"/>
  <c r="L2" i="8" a="1"/>
  <c r="L2" i="9" a="1"/>
  <c r="L8" i="4" a="1"/>
  <c r="L146" i="9" a="1"/>
  <c r="L96" i="9" a="1"/>
  <c r="L76" i="9" a="1"/>
  <c r="L56" i="9" a="1"/>
  <c r="L36" i="9" a="1"/>
  <c r="L16" i="9" a="1"/>
  <c r="L155" i="9" a="1"/>
  <c r="L135" i="9" a="1"/>
  <c r="L125" i="9" a="1"/>
  <c r="L115" i="9" a="1"/>
  <c r="L95" i="9" a="1"/>
  <c r="L85" i="9" a="1"/>
  <c r="L65" i="9" a="1"/>
  <c r="L45" i="9" a="1"/>
  <c r="L25" i="9" a="1"/>
  <c r="L5" i="9" a="1"/>
  <c r="L144" i="9" a="1"/>
  <c r="L134" i="9" a="1"/>
  <c r="L114" i="9" a="1"/>
  <c r="L84" i="9" a="1"/>
  <c r="L64" i="9" a="1"/>
  <c r="L44" i="9" a="1"/>
  <c r="L24" i="9" a="1"/>
  <c r="L4" i="9" a="1"/>
  <c r="L143" i="9" a="1"/>
  <c r="L123" i="9" a="1"/>
  <c r="L103" i="9" a="1"/>
  <c r="L83" i="9" a="1"/>
  <c r="L63" i="9" a="1"/>
  <c r="L43" i="9" a="1"/>
  <c r="L13" i="9" a="1"/>
  <c r="L156" i="9" a="1"/>
  <c r="L136" i="9" a="1"/>
  <c r="L126" i="9" a="1"/>
  <c r="L116" i="9" a="1"/>
  <c r="L106" i="9" a="1"/>
  <c r="L86" i="9" a="1"/>
  <c r="L66" i="9" a="1"/>
  <c r="L46" i="9" a="1"/>
  <c r="L26" i="9" a="1"/>
  <c r="L6" i="9" a="1"/>
  <c r="L145" i="9" a="1"/>
  <c r="L105" i="9" a="1"/>
  <c r="L75" i="9" a="1"/>
  <c r="L55" i="9" a="1"/>
  <c r="L35" i="9" a="1"/>
  <c r="L15" i="9" a="1"/>
  <c r="L154" i="9" a="1"/>
  <c r="L124" i="9" a="1"/>
  <c r="L104" i="9" a="1"/>
  <c r="L94" i="9" a="1"/>
  <c r="L74" i="9" a="1"/>
  <c r="L54" i="9" a="1"/>
  <c r="L34" i="9" a="1"/>
  <c r="L14" i="9" a="1"/>
  <c r="L153" i="9" a="1"/>
  <c r="L133" i="9" a="1"/>
  <c r="L113" i="9" a="1"/>
  <c r="L93" i="9" a="1"/>
  <c r="L73" i="9" a="1"/>
  <c r="L53" i="9" a="1"/>
  <c r="L33" i="9" a="1"/>
  <c r="L23" i="9" a="1"/>
  <c r="L3" i="9" a="1"/>
  <c r="L151" i="9" a="1"/>
  <c r="L141" i="9" a="1"/>
  <c r="L131" i="9" a="1"/>
  <c r="L121" i="9" a="1"/>
  <c r="L111" i="9" a="1"/>
  <c r="L101" i="9" a="1"/>
  <c r="L91" i="9" a="1"/>
  <c r="L81" i="9" a="1"/>
  <c r="L71" i="9" a="1"/>
  <c r="L61" i="9" a="1"/>
  <c r="L51" i="9" a="1"/>
  <c r="L41" i="9" a="1"/>
  <c r="L31" i="9" a="1"/>
  <c r="L21" i="9" a="1"/>
  <c r="L11" i="9" a="1"/>
  <c r="L150" i="9" a="1"/>
  <c r="L140" i="9" a="1"/>
  <c r="L130" i="9" a="1"/>
  <c r="L120" i="9" a="1"/>
  <c r="L110" i="9" a="1"/>
  <c r="L100" i="9" a="1"/>
  <c r="L90" i="9" a="1"/>
  <c r="L80" i="9" a="1"/>
  <c r="L70" i="9" a="1"/>
  <c r="L60" i="9" a="1"/>
  <c r="L50" i="9" a="1"/>
  <c r="L40" i="9" a="1"/>
  <c r="L30" i="9" a="1"/>
  <c r="L20" i="9" a="1"/>
  <c r="L10" i="9" a="1"/>
  <c r="L149" i="9" a="1"/>
  <c r="L139" i="9" a="1"/>
  <c r="L129" i="9" a="1"/>
  <c r="L119" i="9" a="1"/>
  <c r="L109" i="9" a="1"/>
  <c r="L99" i="9" a="1"/>
  <c r="L89" i="9" a="1"/>
  <c r="L79" i="9" a="1"/>
  <c r="L69" i="9" a="1"/>
  <c r="L59" i="9" a="1"/>
  <c r="L49" i="9" a="1"/>
  <c r="L39" i="9" a="1"/>
  <c r="L29" i="9" a="1"/>
  <c r="L19" i="9" a="1"/>
  <c r="L9" i="9" a="1"/>
  <c r="L152" i="9" a="1"/>
  <c r="L112" i="9" a="1"/>
  <c r="L72" i="9" a="1"/>
  <c r="L37" i="9" a="1"/>
  <c r="L148" i="9" a="1"/>
  <c r="L108" i="9" a="1"/>
  <c r="L68" i="9" a="1"/>
  <c r="L32" i="9" a="1"/>
  <c r="L147" i="9" a="1"/>
  <c r="L107" i="9" a="1"/>
  <c r="L67" i="9" a="1"/>
  <c r="L28" i="9" a="1"/>
  <c r="L142" i="9" a="1"/>
  <c r="L102" i="9" a="1"/>
  <c r="L62" i="9" a="1"/>
  <c r="L42" i="9" a="1"/>
  <c r="L38" i="9" a="1"/>
  <c r="L7" i="9" a="1"/>
  <c r="L138" i="9" a="1"/>
  <c r="L98" i="9" a="1"/>
  <c r="L58" i="9" a="1"/>
  <c r="L27" i="9" a="1"/>
  <c r="L137" i="9" a="1"/>
  <c r="L97" i="9" a="1"/>
  <c r="L57" i="9" a="1"/>
  <c r="L22" i="9" a="1"/>
  <c r="L18" i="9" a="1"/>
  <c r="L128" i="9" a="1"/>
  <c r="L48" i="9" a="1"/>
  <c r="L87" i="9" a="1"/>
  <c r="L12" i="9" a="1"/>
  <c r="L122" i="9" a="1"/>
  <c r="L78" i="9" a="1"/>
  <c r="L8" i="9" a="1"/>
  <c r="L117" i="9" a="1"/>
  <c r="L132" i="9" a="1"/>
  <c r="L92" i="9" a="1"/>
  <c r="L52" i="9" a="1"/>
  <c r="L88" i="9" a="1"/>
  <c r="L17" i="9" a="1"/>
  <c r="L127" i="9" a="1"/>
  <c r="L47" i="9" a="1"/>
  <c r="L82" i="9" a="1"/>
  <c r="L118" i="9" a="1"/>
  <c r="L77" i="9" a="1"/>
  <c r="L156" i="4" a="1"/>
  <c r="L146" i="4" a="1"/>
  <c r="L136" i="4" a="1"/>
  <c r="L126" i="4" a="1"/>
  <c r="L116" i="4" a="1"/>
  <c r="L106" i="4" a="1"/>
  <c r="L96" i="4" a="1"/>
  <c r="L86" i="4" a="1"/>
  <c r="L76" i="4" a="1"/>
  <c r="L66" i="4" a="1"/>
  <c r="L56" i="4" a="1"/>
  <c r="L46" i="4" a="1"/>
  <c r="L36" i="4" a="1"/>
  <c r="L26" i="4" a="1"/>
  <c r="L16" i="4" a="1"/>
  <c r="L6" i="4" a="1"/>
  <c r="L155" i="4" a="1"/>
  <c r="L145" i="4" a="1"/>
  <c r="L135" i="4" a="1"/>
  <c r="L125" i="4" a="1"/>
  <c r="L115" i="4" a="1"/>
  <c r="L105" i="4" a="1"/>
  <c r="L95" i="4" a="1"/>
  <c r="L85" i="4" a="1"/>
  <c r="L75" i="4" a="1"/>
  <c r="L65" i="4" a="1"/>
  <c r="L55" i="4" a="1"/>
  <c r="L45" i="4" a="1"/>
  <c r="L35" i="4" a="1"/>
  <c r="L25" i="4" a="1"/>
  <c r="L15" i="4" a="1"/>
  <c r="L5" i="4" a="1"/>
  <c r="L154" i="4" a="1"/>
  <c r="L144" i="4" a="1"/>
  <c r="L134" i="4" a="1"/>
  <c r="L124" i="4" a="1"/>
  <c r="L114" i="4" a="1"/>
  <c r="L104" i="4" a="1"/>
  <c r="L94" i="4" a="1"/>
  <c r="L84" i="4" a="1"/>
  <c r="L74" i="4" a="1"/>
  <c r="L64" i="4" a="1"/>
  <c r="L54" i="4" a="1"/>
  <c r="L44" i="4" a="1"/>
  <c r="L34" i="4" a="1"/>
  <c r="L24" i="4" a="1"/>
  <c r="L14" i="4" a="1"/>
  <c r="L4" i="4" a="1"/>
  <c r="L153" i="4" a="1"/>
  <c r="L109" i="4" a="1"/>
  <c r="L93" i="4" a="1"/>
  <c r="L80" i="4" a="1"/>
  <c r="L67" i="4" a="1"/>
  <c r="L51" i="4" a="1"/>
  <c r="L38" i="4" a="1"/>
  <c r="L22" i="4" a="1"/>
  <c r="L9" i="4" a="1"/>
  <c r="L152" i="4" a="1"/>
  <c r="L79" i="4" a="1"/>
  <c r="L50" i="4" a="1"/>
  <c r="L21" i="4" a="1"/>
  <c r="L121" i="4" a="1"/>
  <c r="L151" i="4" a="1"/>
  <c r="L91" i="4" a="1"/>
  <c r="L62" i="4" a="1"/>
  <c r="L33" i="4" a="1"/>
  <c r="L120" i="4" a="1"/>
  <c r="L150" i="4" a="1"/>
  <c r="L90" i="4" a="1"/>
  <c r="L77" i="4" a="1"/>
  <c r="L48" i="4" a="1"/>
  <c r="L32" i="4" a="1"/>
  <c r="L3" i="4" a="1"/>
  <c r="L132" i="4" a="1"/>
  <c r="L102" i="4" a="1"/>
  <c r="L73" i="4" a="1"/>
  <c r="L31" i="4" a="1"/>
  <c r="L118" i="4" a="1"/>
  <c r="L131" i="4" a="1"/>
  <c r="L101" i="4" a="1"/>
  <c r="L59" i="4" a="1"/>
  <c r="L30" i="4" a="1"/>
  <c r="L117" i="4" a="1"/>
  <c r="L130" i="4" a="1"/>
  <c r="L100" i="4" a="1"/>
  <c r="L71" i="4" a="1"/>
  <c r="L42" i="4" a="1"/>
  <c r="L13" i="4" a="1"/>
  <c r="L143" i="4" a="1"/>
  <c r="L129" i="4" a="1"/>
  <c r="L99" i="4" a="1"/>
  <c r="L70" i="4" a="1"/>
  <c r="L41" i="4" a="1"/>
  <c r="L12" i="4" a="1"/>
  <c r="L111" i="4" a="1"/>
  <c r="L82" i="4" a="1"/>
  <c r="L53" i="4" a="1"/>
  <c r="L40" i="4" a="1"/>
  <c r="L11" i="4" a="1"/>
  <c r="L127" i="4" a="1"/>
  <c r="L97" i="4" a="1"/>
  <c r="L68" i="4" a="1"/>
  <c r="L39" i="4" a="1"/>
  <c r="L10" i="4" a="1"/>
  <c r="L140" i="4" a="1"/>
  <c r="L139" i="4" a="1"/>
  <c r="L122" i="4" a="1"/>
  <c r="L108" i="4" a="1"/>
  <c r="L92" i="4" a="1"/>
  <c r="L63" i="4" a="1"/>
  <c r="L37" i="4" a="1"/>
  <c r="L138" i="4" a="1"/>
  <c r="L107" i="4" a="1"/>
  <c r="L78" i="4" a="1"/>
  <c r="L49" i="4" a="1"/>
  <c r="L20" i="4" a="1"/>
  <c r="L7" i="4" a="1"/>
  <c r="L137" i="4" a="1"/>
  <c r="L133" i="4" a="1"/>
  <c r="L103" i="4" a="1"/>
  <c r="L61" i="4" a="1"/>
  <c r="L19" i="4" a="1"/>
  <c r="L119" i="4" a="1"/>
  <c r="L149" i="4" a="1"/>
  <c r="L89" i="4" a="1"/>
  <c r="L60" i="4" a="1"/>
  <c r="L47" i="4" a="1"/>
  <c r="L18" i="4" a="1"/>
  <c r="L148" i="4" a="1"/>
  <c r="L88" i="4" a="1"/>
  <c r="L72" i="4" a="1"/>
  <c r="L43" i="4" a="1"/>
  <c r="L17" i="4" a="1"/>
  <c r="L147" i="4" a="1"/>
  <c r="L113" i="4" a="1"/>
  <c r="L87" i="4" a="1"/>
  <c r="L58" i="4" a="1"/>
  <c r="L29" i="4" a="1"/>
  <c r="L112" i="4" a="1"/>
  <c r="L83" i="4" a="1"/>
  <c r="L57" i="4" a="1"/>
  <c r="L28" i="4" a="1"/>
  <c r="L142" i="4" a="1"/>
  <c r="L128" i="4" a="1"/>
  <c r="L98" i="4" a="1"/>
  <c r="L69" i="4" a="1"/>
  <c r="L27" i="4" a="1"/>
  <c r="L141" i="4" a="1"/>
  <c r="L110" i="4" a="1"/>
  <c r="L81" i="4" a="1"/>
  <c r="L52" i="4" a="1"/>
  <c r="L23" i="4" a="1"/>
  <c r="L123" i="4" a="1"/>
  <c r="L2" i="4" a="1"/>
  <c r="K156" i="2" a="1"/>
  <c r="K146" i="2" a="1"/>
  <c r="K136" i="2" a="1"/>
  <c r="K126" i="2" a="1"/>
  <c r="K116" i="2" a="1"/>
  <c r="K152" i="2" a="1"/>
  <c r="K142" i="2" a="1"/>
  <c r="K132" i="2" a="1"/>
  <c r="K122" i="2" a="1"/>
  <c r="K112" i="2" a="1"/>
  <c r="K102" i="2" a="1"/>
  <c r="K92" i="2" a="1"/>
  <c r="K82" i="2" a="1"/>
  <c r="K72" i="2" a="1"/>
  <c r="K62" i="2" a="1"/>
  <c r="K52" i="2" a="1"/>
  <c r="K42" i="2" a="1"/>
  <c r="K32" i="2" a="1"/>
  <c r="K22" i="2" a="1"/>
  <c r="K12" i="2" a="1"/>
  <c r="K151" i="2" a="1"/>
  <c r="K141" i="2" a="1"/>
  <c r="K131" i="2" a="1"/>
  <c r="K121" i="2" a="1"/>
  <c r="K111" i="2" a="1"/>
  <c r="K101" i="2" a="1"/>
  <c r="K91" i="2" a="1"/>
  <c r="K81" i="2" a="1"/>
  <c r="K71" i="2" a="1"/>
  <c r="K61" i="2" a="1"/>
  <c r="K51" i="2" a="1"/>
  <c r="K41" i="2" a="1"/>
  <c r="K31" i="2" a="1"/>
  <c r="K21" i="2" a="1"/>
  <c r="K11" i="2" a="1"/>
  <c r="K150" i="2" a="1"/>
  <c r="K140" i="2" a="1"/>
  <c r="K130" i="2" a="1"/>
  <c r="K120" i="2" a="1"/>
  <c r="K110" i="2" a="1"/>
  <c r="K100" i="2" a="1"/>
  <c r="K90" i="2" a="1"/>
  <c r="K80" i="2" a="1"/>
  <c r="K70" i="2" a="1"/>
  <c r="K60" i="2" a="1"/>
  <c r="K50" i="2" a="1"/>
  <c r="K40" i="2" a="1"/>
  <c r="K30" i="2" a="1"/>
  <c r="K20" i="2" a="1"/>
  <c r="K10" i="2" a="1"/>
  <c r="K149" i="2" a="1"/>
  <c r="K139" i="2" a="1"/>
  <c r="K129" i="2" a="1"/>
  <c r="K119" i="2" a="1"/>
  <c r="K109" i="2" a="1"/>
  <c r="K99" i="2" a="1"/>
  <c r="K89" i="2" a="1"/>
  <c r="K79" i="2" a="1"/>
  <c r="K69" i="2" a="1"/>
  <c r="K59" i="2" a="1"/>
  <c r="K49" i="2" a="1"/>
  <c r="K39" i="2" a="1"/>
  <c r="K29" i="2" a="1"/>
  <c r="K19" i="2" a="1"/>
  <c r="K9" i="2" a="1"/>
  <c r="K68" i="2" a="1"/>
  <c r="K18" i="2" a="1"/>
  <c r="K155" i="2" a="1"/>
  <c r="K137" i="2" a="1"/>
  <c r="K118" i="2" a="1"/>
  <c r="K103" i="2" a="1"/>
  <c r="K85" i="2" a="1"/>
  <c r="K53" i="2" a="1"/>
  <c r="K35" i="2" a="1"/>
  <c r="K67" i="2" a="1"/>
  <c r="K17" i="2" a="1"/>
  <c r="K154" i="2" a="1"/>
  <c r="K135" i="2" a="1"/>
  <c r="K117" i="2" a="1"/>
  <c r="K84" i="2" a="1"/>
  <c r="K66" i="2" a="1"/>
  <c r="K34" i="2" a="1"/>
  <c r="K16" i="2" a="1"/>
  <c r="K98" i="2" a="1"/>
  <c r="K48" i="2" a="1"/>
  <c r="K153" i="2" a="1"/>
  <c r="K134" i="2" a="1"/>
  <c r="K115" i="2" a="1"/>
  <c r="K83" i="2" a="1"/>
  <c r="K65" i="2" a="1"/>
  <c r="K33" i="2" a="1"/>
  <c r="K15" i="2" a="1"/>
  <c r="K97" i="2" a="1"/>
  <c r="K47" i="2" a="1"/>
  <c r="K133" i="2" a="1"/>
  <c r="K114" i="2" a="1"/>
  <c r="K96" i="2" a="1"/>
  <c r="K64" i="2" a="1"/>
  <c r="K46" i="2" a="1"/>
  <c r="K14" i="2" a="1"/>
  <c r="K148" i="2" a="1"/>
  <c r="K78" i="2" a="1"/>
  <c r="K28" i="2" a="1"/>
  <c r="K113" i="2" a="1"/>
  <c r="K95" i="2" a="1"/>
  <c r="K63" i="2" a="1"/>
  <c r="K45" i="2" a="1"/>
  <c r="K13" i="2" a="1"/>
  <c r="K147" i="2" a="1"/>
  <c r="K128" i="2" a="1"/>
  <c r="K77" i="2" a="1"/>
  <c r="K27" i="2" a="1"/>
  <c r="K145" i="2" a="1"/>
  <c r="K106" i="2" a="1"/>
  <c r="K73" i="2" a="1"/>
  <c r="K36" i="2" a="1"/>
  <c r="K26" i="2" a="1"/>
  <c r="K144" i="2" a="1"/>
  <c r="K105" i="2" a="1"/>
  <c r="K25" i="2" a="1"/>
  <c r="K143" i="2" a="1"/>
  <c r="K104" i="2" a="1"/>
  <c r="K58" i="2" a="1"/>
  <c r="K94" i="2" a="1"/>
  <c r="K24" i="2" a="1"/>
  <c r="K57" i="2" a="1"/>
  <c r="K93" i="2" a="1"/>
  <c r="K56" i="2" a="1"/>
  <c r="K23" i="2" a="1"/>
  <c r="K127" i="2" a="1"/>
  <c r="K125" i="2" a="1"/>
  <c r="K8" i="2" a="1"/>
  <c r="K87" i="2" a="1"/>
  <c r="K44" i="2" a="1"/>
  <c r="K7" i="2" a="1"/>
  <c r="K76" i="2" a="1"/>
  <c r="K6" i="2" a="1"/>
  <c r="K75" i="2" a="1"/>
  <c r="K108" i="2" a="1"/>
  <c r="K74" i="2" a="1"/>
  <c r="K138" i="2" a="1"/>
  <c r="K55" i="2" a="1"/>
  <c r="K88" i="2" a="1"/>
  <c r="K54" i="2" a="1"/>
  <c r="K124" i="2" a="1"/>
  <c r="K86" i="2" a="1"/>
  <c r="K123" i="2" a="1"/>
  <c r="K43" i="2" a="1"/>
  <c r="K5" i="2" a="1"/>
  <c r="K38" i="2" a="1"/>
  <c r="K107" i="2" a="1"/>
  <c r="K37" i="2" a="1"/>
  <c r="K4" i="2" a="1"/>
  <c r="K3" i="2" a="1"/>
  <c r="K2" i="2" a="1"/>
  <c r="L156" i="3" a="1"/>
  <c r="L146" i="3" a="1"/>
  <c r="L136" i="3" a="1"/>
  <c r="L126" i="3" a="1"/>
  <c r="L116" i="3" a="1"/>
  <c r="L106" i="3" a="1"/>
  <c r="L96" i="3" a="1"/>
  <c r="L86" i="3" a="1"/>
  <c r="L76" i="3" a="1"/>
  <c r="L66" i="3" a="1"/>
  <c r="L56" i="3" a="1"/>
  <c r="L46" i="3" a="1"/>
  <c r="L36" i="3" a="1"/>
  <c r="L26" i="3" a="1"/>
  <c r="L16" i="3" a="1"/>
  <c r="L6" i="3" a="1"/>
  <c r="L155" i="3" a="1"/>
  <c r="L145" i="3" a="1"/>
  <c r="L135" i="3" a="1"/>
  <c r="L125" i="3" a="1"/>
  <c r="L115" i="3" a="1"/>
  <c r="L105" i="3" a="1"/>
  <c r="L95" i="3" a="1"/>
  <c r="L85" i="3" a="1"/>
  <c r="L75" i="3" a="1"/>
  <c r="L65" i="3" a="1"/>
  <c r="L55" i="3" a="1"/>
  <c r="L45" i="3" a="1"/>
  <c r="L35" i="3" a="1"/>
  <c r="L25" i="3" a="1"/>
  <c r="L15" i="3" a="1"/>
  <c r="L5" i="3" a="1"/>
  <c r="L154" i="3" a="1"/>
  <c r="L144" i="3" a="1"/>
  <c r="L134" i="3" a="1"/>
  <c r="L124" i="3" a="1"/>
  <c r="L153" i="3" a="1"/>
  <c r="L143" i="3" a="1"/>
  <c r="L133" i="3" a="1"/>
  <c r="L123" i="3" a="1"/>
  <c r="L113" i="3" a="1"/>
  <c r="L103" i="3" a="1"/>
  <c r="L93" i="3" a="1"/>
  <c r="L83" i="3" a="1"/>
  <c r="L73" i="3" a="1"/>
  <c r="L63" i="3" a="1"/>
  <c r="L53" i="3" a="1"/>
  <c r="L43" i="3" a="1"/>
  <c r="L33" i="3" a="1"/>
  <c r="L23" i="3" a="1"/>
  <c r="L13" i="3" a="1"/>
  <c r="L152" i="3" a="1"/>
  <c r="L142" i="3" a="1"/>
  <c r="L132" i="3" a="1"/>
  <c r="L122" i="3" a="1"/>
  <c r="L112" i="3" a="1"/>
  <c r="L102" i="3" a="1"/>
  <c r="L92" i="3" a="1"/>
  <c r="L82" i="3" a="1"/>
  <c r="L72" i="3" a="1"/>
  <c r="L62" i="3" a="1"/>
  <c r="L52" i="3" a="1"/>
  <c r="L42" i="3" a="1"/>
  <c r="L32" i="3" a="1"/>
  <c r="L22" i="3" a="1"/>
  <c r="L12" i="3" a="1"/>
  <c r="L151" i="3" a="1"/>
  <c r="L141" i="3" a="1"/>
  <c r="L131" i="3" a="1"/>
  <c r="L121" i="3" a="1"/>
  <c r="L111" i="3" a="1"/>
  <c r="L101" i="3" a="1"/>
  <c r="L91" i="3" a="1"/>
  <c r="L81" i="3" a="1"/>
  <c r="L71" i="3" a="1"/>
  <c r="L61" i="3" a="1"/>
  <c r="L51" i="3" a="1"/>
  <c r="L41" i="3" a="1"/>
  <c r="L31" i="3" a="1"/>
  <c r="L21" i="3" a="1"/>
  <c r="L11" i="3" a="1"/>
  <c r="L150" i="3" a="1"/>
  <c r="L140" i="3" a="1"/>
  <c r="L130" i="3" a="1"/>
  <c r="L120" i="3" a="1"/>
  <c r="L110" i="3" a="1"/>
  <c r="L100" i="3" a="1"/>
  <c r="L90" i="3" a="1"/>
  <c r="L80" i="3" a="1"/>
  <c r="L70" i="3" a="1"/>
  <c r="L60" i="3" a="1"/>
  <c r="L50" i="3" a="1"/>
  <c r="L40" i="3" a="1"/>
  <c r="L30" i="3" a="1"/>
  <c r="L20" i="3" a="1"/>
  <c r="L10" i="3" a="1"/>
  <c r="L127" i="3" a="1"/>
  <c r="L74" i="3" a="1"/>
  <c r="L24" i="3" a="1"/>
  <c r="L98" i="3" a="1"/>
  <c r="L48" i="3" a="1"/>
  <c r="L149" i="3" a="1"/>
  <c r="L119" i="3" a="1"/>
  <c r="L97" i="3" a="1"/>
  <c r="L69" i="3" a="1"/>
  <c r="L47" i="3" a="1"/>
  <c r="L19" i="3" a="1"/>
  <c r="L94" i="3" a="1"/>
  <c r="L44" i="3" a="1"/>
  <c r="L118" i="3" a="1"/>
  <c r="L68" i="3" a="1"/>
  <c r="L18" i="3" a="1"/>
  <c r="L147" i="3" a="1"/>
  <c r="L117" i="3" a="1"/>
  <c r="L89" i="3" a="1"/>
  <c r="L67" i="3" a="1"/>
  <c r="L17" i="3" a="1"/>
  <c r="L64" i="3" a="1"/>
  <c r="L14" i="3" a="1"/>
  <c r="L88" i="3" a="1"/>
  <c r="L38" i="3" a="1"/>
  <c r="L109" i="3" a="1"/>
  <c r="L37" i="3" a="1"/>
  <c r="L84" i="3" a="1"/>
  <c r="L137" i="3" a="1"/>
  <c r="L107" i="3" a="1"/>
  <c r="L57" i="3" a="1"/>
  <c r="L7" i="3" a="1"/>
  <c r="L104" i="3" a="1"/>
  <c r="L54" i="3" a="1"/>
  <c r="L128" i="3" a="1"/>
  <c r="L99" i="3" a="1"/>
  <c r="L49" i="3" a="1"/>
  <c r="L148" i="3" a="1"/>
  <c r="L39" i="3" a="1"/>
  <c r="L114" i="3" a="1"/>
  <c r="L139" i="3" a="1"/>
  <c r="L138" i="3" a="1"/>
  <c r="L87" i="3" a="1"/>
  <c r="L59" i="3" a="1"/>
  <c r="L9" i="3" a="1"/>
  <c r="L34" i="3" a="1"/>
  <c r="L108" i="3" a="1"/>
  <c r="L58" i="3" a="1"/>
  <c r="L8" i="3" a="1"/>
  <c r="L79" i="3" a="1"/>
  <c r="L29" i="3" a="1"/>
  <c r="L129" i="3" a="1"/>
  <c r="L78" i="3" a="1"/>
  <c r="L28" i="3" a="1"/>
  <c r="L77" i="3" a="1"/>
  <c r="L27" i="3" a="1"/>
  <c r="L4" i="3" a="1"/>
  <c r="L2" i="3" a="1"/>
  <c r="N20" i="20" l="1"/>
  <c r="N16" i="20"/>
  <c r="N21" i="20"/>
  <c r="N18" i="20"/>
  <c r="N19" i="20"/>
  <c r="N15" i="20"/>
  <c r="N17" i="20"/>
  <c r="N22" i="20"/>
  <c r="G22" i="20"/>
  <c r="F22" i="20"/>
  <c r="G21" i="20"/>
  <c r="F21" i="20"/>
  <c r="G20" i="20"/>
  <c r="F20" i="20"/>
  <c r="G19" i="20"/>
  <c r="F19" i="20"/>
  <c r="F18" i="20"/>
  <c r="G17" i="20"/>
  <c r="F17" i="20"/>
  <c r="F16" i="20"/>
  <c r="G15" i="20"/>
  <c r="F15" i="20"/>
  <c r="O14" i="20"/>
  <c r="N14" i="20"/>
  <c r="G14" i="20"/>
  <c r="F14" i="20"/>
  <c r="L3" i="34"/>
  <c r="L2" i="34"/>
  <c r="L128" i="34"/>
  <c r="M128" i="34" s="1"/>
  <c r="L95" i="34"/>
  <c r="M95" i="34" s="1"/>
  <c r="L126" i="34"/>
  <c r="M126" i="34" s="1"/>
  <c r="L96" i="34"/>
  <c r="M96" i="34" s="1"/>
  <c r="G36" i="34"/>
  <c r="K35" i="34"/>
  <c r="G99" i="34"/>
  <c r="K98" i="34"/>
  <c r="G132" i="34"/>
  <c r="K131" i="34"/>
  <c r="K97" i="34"/>
  <c r="K33" i="34"/>
  <c r="K129" i="34"/>
  <c r="G67" i="34"/>
  <c r="K66" i="34"/>
  <c r="K64" i="34"/>
  <c r="K34" i="34"/>
  <c r="K130" i="34"/>
  <c r="G4" i="34"/>
  <c r="K3" i="34"/>
  <c r="K65" i="34"/>
  <c r="K127" i="34"/>
  <c r="L65" i="33"/>
  <c r="M65" i="33" s="1"/>
  <c r="L126" i="33"/>
  <c r="M126" i="33" s="1"/>
  <c r="L127" i="33"/>
  <c r="M127" i="33" s="1"/>
  <c r="G131" i="33"/>
  <c r="K67" i="33"/>
  <c r="G35" i="33"/>
  <c r="K96" i="33"/>
  <c r="K66" i="33"/>
  <c r="G68" i="33"/>
  <c r="K128" i="33"/>
  <c r="G4" i="33"/>
  <c r="K3" i="33"/>
  <c r="G99" i="33"/>
  <c r="K98" i="33"/>
  <c r="K129" i="33"/>
  <c r="K97" i="33"/>
  <c r="K64" i="33"/>
  <c r="K95" i="33"/>
  <c r="L126" i="32"/>
  <c r="M126" i="32" s="1"/>
  <c r="L95" i="32"/>
  <c r="M95" i="32" s="1"/>
  <c r="L96" i="32"/>
  <c r="M96" i="32" s="1"/>
  <c r="K97" i="32"/>
  <c r="K4" i="32"/>
  <c r="K127" i="32"/>
  <c r="G129" i="32"/>
  <c r="K128" i="32"/>
  <c r="G5" i="32"/>
  <c r="G98" i="32"/>
  <c r="G35" i="32"/>
  <c r="G66" i="32"/>
  <c r="K2" i="32"/>
  <c r="K3" i="32"/>
  <c r="L128" i="31"/>
  <c r="M128" i="31" s="1"/>
  <c r="L95" i="31"/>
  <c r="M95" i="31" s="1"/>
  <c r="L126" i="31"/>
  <c r="M126" i="31" s="1"/>
  <c r="L96" i="31"/>
  <c r="M96" i="31" s="1"/>
  <c r="K2" i="31"/>
  <c r="G99" i="31"/>
  <c r="K98" i="31"/>
  <c r="G67" i="31"/>
  <c r="K66" i="31" s="1"/>
  <c r="K129" i="31"/>
  <c r="K97" i="31"/>
  <c r="G4" i="31"/>
  <c r="K3" i="31"/>
  <c r="G35" i="31"/>
  <c r="G131" i="31"/>
  <c r="K64" i="31"/>
  <c r="K65" i="31"/>
  <c r="K127" i="31"/>
  <c r="L2" i="30"/>
  <c r="M2" i="30" s="1"/>
  <c r="L5" i="30"/>
  <c r="M5" i="30" s="1"/>
  <c r="L126" i="30"/>
  <c r="M126" i="30" s="1"/>
  <c r="L128" i="30"/>
  <c r="M128" i="30" s="1"/>
  <c r="L96" i="30"/>
  <c r="M96" i="30" s="1"/>
  <c r="K34" i="30"/>
  <c r="G67" i="30"/>
  <c r="K66" i="30"/>
  <c r="G132" i="30"/>
  <c r="K131" i="30"/>
  <c r="K130" i="30"/>
  <c r="K129" i="30"/>
  <c r="K4" i="30"/>
  <c r="K6" i="30"/>
  <c r="G8" i="30"/>
  <c r="K3" i="30"/>
  <c r="G98" i="30"/>
  <c r="K95" i="30"/>
  <c r="G35" i="30"/>
  <c r="K64" i="30"/>
  <c r="K65" i="30"/>
  <c r="K127" i="30"/>
  <c r="L126" i="29"/>
  <c r="M126" i="29" s="1"/>
  <c r="L2" i="29"/>
  <c r="M2" i="29" s="1"/>
  <c r="L5" i="29"/>
  <c r="M5" i="29" s="1"/>
  <c r="L128" i="29"/>
  <c r="M128" i="29" s="1"/>
  <c r="K64" i="29"/>
  <c r="G35" i="29"/>
  <c r="G8" i="29"/>
  <c r="G66" i="29"/>
  <c r="G98" i="29"/>
  <c r="K97" i="29" s="1"/>
  <c r="K6" i="29"/>
  <c r="K4" i="29"/>
  <c r="K96" i="29"/>
  <c r="K95" i="29"/>
  <c r="G130" i="29"/>
  <c r="K129" i="29" s="1"/>
  <c r="K127" i="29"/>
  <c r="K3" i="29"/>
  <c r="L95" i="28"/>
  <c r="M95" i="28" s="1"/>
  <c r="L126" i="28"/>
  <c r="M126" i="28" s="1"/>
  <c r="L128" i="28"/>
  <c r="M128" i="28" s="1"/>
  <c r="L96" i="28"/>
  <c r="M96" i="28" s="1"/>
  <c r="G99" i="28"/>
  <c r="K98" i="28"/>
  <c r="K97" i="28"/>
  <c r="G132" i="28"/>
  <c r="K131" i="28"/>
  <c r="G4" i="28"/>
  <c r="K3" i="28"/>
  <c r="G67" i="28"/>
  <c r="K66" i="28"/>
  <c r="G35" i="28"/>
  <c r="K33" i="28"/>
  <c r="K129" i="28"/>
  <c r="K130" i="28"/>
  <c r="K64" i="28"/>
  <c r="K65" i="28"/>
  <c r="K127" i="28"/>
  <c r="L2" i="27"/>
  <c r="L126" i="27"/>
  <c r="M126" i="27" s="1"/>
  <c r="L127" i="27"/>
  <c r="M127" i="27" s="1"/>
  <c r="K128" i="27"/>
  <c r="G130" i="27"/>
  <c r="G35" i="27"/>
  <c r="G97" i="27"/>
  <c r="G4" i="27"/>
  <c r="G66" i="27"/>
  <c r="K64" i="27" s="1"/>
  <c r="G99" i="26"/>
  <c r="K98" i="26" s="1"/>
  <c r="G35" i="26"/>
  <c r="K34" i="26"/>
  <c r="K97" i="26"/>
  <c r="G6" i="26"/>
  <c r="K5" i="26" s="1"/>
  <c r="G66" i="26"/>
  <c r="K65" i="26"/>
  <c r="G128" i="26"/>
  <c r="K126" i="26"/>
  <c r="K4" i="26"/>
  <c r="K96" i="26"/>
  <c r="K95" i="26"/>
  <c r="K2" i="26"/>
  <c r="K3" i="26"/>
  <c r="L2" i="25"/>
  <c r="L128" i="25"/>
  <c r="M128" i="25" s="1"/>
  <c r="L126" i="25"/>
  <c r="M126" i="25" s="1"/>
  <c r="L96" i="25"/>
  <c r="M96" i="25" s="1"/>
  <c r="G69" i="25"/>
  <c r="K68" i="25"/>
  <c r="K129" i="25"/>
  <c r="G98" i="25"/>
  <c r="K95" i="25"/>
  <c r="K97" i="25"/>
  <c r="K3" i="25"/>
  <c r="G5" i="25"/>
  <c r="K66" i="25"/>
  <c r="G131" i="25"/>
  <c r="K67" i="25"/>
  <c r="G35" i="25"/>
  <c r="K64" i="25"/>
  <c r="K2" i="25"/>
  <c r="K65" i="25"/>
  <c r="K127" i="25"/>
  <c r="L2" i="24"/>
  <c r="M2" i="24" s="1"/>
  <c r="L128" i="24"/>
  <c r="M128" i="24" s="1"/>
  <c r="L126" i="24"/>
  <c r="M126" i="24" s="1"/>
  <c r="L96" i="24"/>
  <c r="M96" i="24" s="1"/>
  <c r="G132" i="24"/>
  <c r="G66" i="24"/>
  <c r="K64" i="24" s="1"/>
  <c r="K4" i="24"/>
  <c r="K130" i="24"/>
  <c r="K95" i="24"/>
  <c r="G98" i="24"/>
  <c r="K97" i="24"/>
  <c r="G5" i="24"/>
  <c r="K129" i="24"/>
  <c r="G35" i="24"/>
  <c r="K34" i="24"/>
  <c r="K127" i="24"/>
  <c r="K3" i="24"/>
  <c r="L2" i="23"/>
  <c r="L96" i="23"/>
  <c r="M96" i="23" s="1"/>
  <c r="G98" i="23"/>
  <c r="K95" i="23"/>
  <c r="K97" i="23"/>
  <c r="G35" i="23"/>
  <c r="K126" i="23"/>
  <c r="G129" i="23"/>
  <c r="K128" i="23" s="1"/>
  <c r="K2" i="23"/>
  <c r="G66" i="23"/>
  <c r="K65" i="23"/>
  <c r="G5" i="23"/>
  <c r="K127" i="23"/>
  <c r="K3" i="23"/>
  <c r="L67" i="22"/>
  <c r="M67" i="22" s="1"/>
  <c r="L64" i="22"/>
  <c r="M64" i="22" s="1"/>
  <c r="L66" i="22"/>
  <c r="M66" i="22" s="1"/>
  <c r="L65" i="22"/>
  <c r="M65" i="22" s="1"/>
  <c r="G69" i="22"/>
  <c r="K68" i="22" s="1"/>
  <c r="G5" i="22"/>
  <c r="K2" i="22"/>
  <c r="K4" i="22"/>
  <c r="K3" i="22"/>
  <c r="G97" i="22"/>
  <c r="G35" i="22"/>
  <c r="K34" i="22"/>
  <c r="G128" i="22"/>
  <c r="K126" i="22"/>
  <c r="L64" i="21"/>
  <c r="M64" i="21" s="1"/>
  <c r="L97" i="21"/>
  <c r="M97" i="21" s="1"/>
  <c r="L65" i="21"/>
  <c r="M65" i="21" s="1"/>
  <c r="L127" i="21"/>
  <c r="M127" i="21" s="1"/>
  <c r="L126" i="21"/>
  <c r="M126" i="21" s="1"/>
  <c r="L95" i="21"/>
  <c r="M95" i="21" s="1"/>
  <c r="L96" i="21"/>
  <c r="M96" i="21" s="1"/>
  <c r="G99" i="21"/>
  <c r="K98" i="21"/>
  <c r="K2" i="21"/>
  <c r="G5" i="21"/>
  <c r="K4" i="21"/>
  <c r="G36" i="21"/>
  <c r="K35" i="21"/>
  <c r="G130" i="21"/>
  <c r="K34" i="21"/>
  <c r="K3" i="21"/>
  <c r="K33" i="21"/>
  <c r="K128" i="21"/>
  <c r="G67" i="21"/>
  <c r="L14" i="8"/>
  <c r="L98" i="8"/>
  <c r="L128" i="8"/>
  <c r="L43" i="8"/>
  <c r="L17" i="8"/>
  <c r="L73" i="8"/>
  <c r="L47" i="8"/>
  <c r="L103" i="8"/>
  <c r="L18" i="8"/>
  <c r="L77" i="8"/>
  <c r="L133" i="8"/>
  <c r="L48" i="8"/>
  <c r="L107" i="8"/>
  <c r="L78" i="8"/>
  <c r="L137" i="8"/>
  <c r="L23" i="8"/>
  <c r="L108" i="8"/>
  <c r="L53" i="8"/>
  <c r="L138" i="8"/>
  <c r="L27" i="8"/>
  <c r="L83" i="8"/>
  <c r="L57" i="8"/>
  <c r="L113" i="8"/>
  <c r="L3" i="8"/>
  <c r="L28" i="8"/>
  <c r="L87" i="8"/>
  <c r="L143" i="8"/>
  <c r="L58" i="8"/>
  <c r="L117" i="8"/>
  <c r="L4" i="8"/>
  <c r="L88" i="8"/>
  <c r="L147" i="8"/>
  <c r="L7" i="8"/>
  <c r="L33" i="8"/>
  <c r="L118" i="8"/>
  <c r="L63" i="8"/>
  <c r="L148" i="8"/>
  <c r="L8" i="8"/>
  <c r="L37" i="8"/>
  <c r="L93" i="8"/>
  <c r="L67" i="8"/>
  <c r="L123" i="8"/>
  <c r="L38" i="8"/>
  <c r="L97" i="8"/>
  <c r="L153" i="8"/>
  <c r="L13" i="8"/>
  <c r="L68" i="8"/>
  <c r="L127" i="8"/>
  <c r="L9" i="8"/>
  <c r="L19" i="8"/>
  <c r="L29" i="8"/>
  <c r="L39" i="8"/>
  <c r="L49" i="8"/>
  <c r="L59" i="8"/>
  <c r="L69" i="8"/>
  <c r="L79" i="8"/>
  <c r="L89" i="8"/>
  <c r="L99" i="8"/>
  <c r="L109" i="8"/>
  <c r="L119" i="8"/>
  <c r="L129" i="8"/>
  <c r="L139" i="8"/>
  <c r="L149" i="8"/>
  <c r="L10" i="8"/>
  <c r="L20" i="8"/>
  <c r="L30" i="8"/>
  <c r="L40" i="8"/>
  <c r="L50" i="8"/>
  <c r="L60" i="8"/>
  <c r="L70" i="8"/>
  <c r="L80" i="8"/>
  <c r="L90" i="8"/>
  <c r="L100" i="8"/>
  <c r="L110" i="8"/>
  <c r="L120" i="8"/>
  <c r="L130" i="8"/>
  <c r="L140" i="8"/>
  <c r="L150" i="8"/>
  <c r="L11" i="8"/>
  <c r="L21" i="8"/>
  <c r="L31" i="8"/>
  <c r="L41" i="8"/>
  <c r="L51" i="8"/>
  <c r="L61" i="8"/>
  <c r="L71" i="8"/>
  <c r="L81" i="8"/>
  <c r="L91" i="8"/>
  <c r="L101" i="8"/>
  <c r="L111" i="8"/>
  <c r="L121" i="8"/>
  <c r="L131" i="8"/>
  <c r="L141" i="8"/>
  <c r="L151" i="8"/>
  <c r="L12" i="8"/>
  <c r="L22" i="8"/>
  <c r="L32" i="8"/>
  <c r="L42" i="8"/>
  <c r="L52" i="8"/>
  <c r="L62" i="8"/>
  <c r="L72" i="8"/>
  <c r="L82" i="8"/>
  <c r="L92" i="8"/>
  <c r="L102" i="8"/>
  <c r="L112" i="8"/>
  <c r="L122" i="8"/>
  <c r="L132" i="8"/>
  <c r="L142" i="8"/>
  <c r="L152" i="8"/>
  <c r="L24" i="8"/>
  <c r="L34" i="8"/>
  <c r="L44" i="8"/>
  <c r="L54" i="8"/>
  <c r="L64" i="8"/>
  <c r="L74" i="8"/>
  <c r="L84" i="8"/>
  <c r="L94" i="8"/>
  <c r="L104" i="8"/>
  <c r="L114" i="8"/>
  <c r="L124" i="8"/>
  <c r="L134" i="8"/>
  <c r="L144" i="8"/>
  <c r="L154" i="8"/>
  <c r="L5" i="8"/>
  <c r="L15" i="8"/>
  <c r="L25" i="8"/>
  <c r="L35" i="8"/>
  <c r="L45" i="8"/>
  <c r="L55" i="8"/>
  <c r="L65" i="8"/>
  <c r="L75" i="8"/>
  <c r="L85" i="8"/>
  <c r="L95" i="8"/>
  <c r="L105" i="8"/>
  <c r="L115" i="8"/>
  <c r="L125" i="8"/>
  <c r="L135" i="8"/>
  <c r="L145" i="8"/>
  <c r="L155" i="8"/>
  <c r="L6" i="8"/>
  <c r="L16" i="8"/>
  <c r="L26" i="8"/>
  <c r="L36" i="8"/>
  <c r="L46" i="8"/>
  <c r="L56" i="8"/>
  <c r="L66" i="8"/>
  <c r="L76" i="8"/>
  <c r="L86" i="8"/>
  <c r="L96" i="8"/>
  <c r="L106" i="8"/>
  <c r="L116" i="8"/>
  <c r="L126" i="8"/>
  <c r="L136" i="8"/>
  <c r="L146" i="8"/>
  <c r="L156" i="8"/>
  <c r="L2" i="8"/>
  <c r="L2" i="9"/>
  <c r="L8" i="4"/>
  <c r="L77" i="9"/>
  <c r="L118" i="9"/>
  <c r="L82" i="9"/>
  <c r="L47" i="9"/>
  <c r="L127" i="9"/>
  <c r="L17" i="9"/>
  <c r="L88" i="9"/>
  <c r="L52" i="9"/>
  <c r="L92" i="9"/>
  <c r="L132" i="9"/>
  <c r="L117" i="9"/>
  <c r="L8" i="9"/>
  <c r="L78" i="9"/>
  <c r="L122" i="9"/>
  <c r="L12" i="9"/>
  <c r="L87" i="9"/>
  <c r="L48" i="9"/>
  <c r="L128" i="9"/>
  <c r="L18" i="9"/>
  <c r="L22" i="9"/>
  <c r="L57" i="9"/>
  <c r="L97" i="9"/>
  <c r="L137" i="9"/>
  <c r="L27" i="9"/>
  <c r="L58" i="9"/>
  <c r="L98" i="9"/>
  <c r="L138" i="9"/>
  <c r="L7" i="9"/>
  <c r="L38" i="9"/>
  <c r="L42" i="9"/>
  <c r="L62" i="9"/>
  <c r="L102" i="9"/>
  <c r="L142" i="9"/>
  <c r="L28" i="9"/>
  <c r="L67" i="9"/>
  <c r="L107" i="9"/>
  <c r="L147" i="9"/>
  <c r="L32" i="9"/>
  <c r="L68" i="9"/>
  <c r="L108" i="9"/>
  <c r="L148" i="9"/>
  <c r="L37" i="9"/>
  <c r="L72" i="9"/>
  <c r="L112" i="9"/>
  <c r="L152" i="9"/>
  <c r="L9" i="9"/>
  <c r="L19" i="9"/>
  <c r="L29" i="9"/>
  <c r="L39" i="9"/>
  <c r="L49" i="9"/>
  <c r="L59" i="9"/>
  <c r="L69" i="9"/>
  <c r="L79" i="9"/>
  <c r="L89" i="9"/>
  <c r="L99" i="9"/>
  <c r="L109" i="9"/>
  <c r="L119" i="9"/>
  <c r="L129" i="9"/>
  <c r="L139" i="9"/>
  <c r="L149" i="9"/>
  <c r="L10" i="9"/>
  <c r="L20" i="9"/>
  <c r="L30" i="9"/>
  <c r="L40" i="9"/>
  <c r="L50" i="9"/>
  <c r="L60" i="9"/>
  <c r="L70" i="9"/>
  <c r="L80" i="9"/>
  <c r="L90" i="9"/>
  <c r="L100" i="9"/>
  <c r="L110" i="9"/>
  <c r="L120" i="9"/>
  <c r="L130" i="9"/>
  <c r="L140" i="9"/>
  <c r="L150" i="9"/>
  <c r="L11" i="9"/>
  <c r="L21" i="9"/>
  <c r="L31" i="9"/>
  <c r="L41" i="9"/>
  <c r="L51" i="9"/>
  <c r="L61" i="9"/>
  <c r="L71" i="9"/>
  <c r="L81" i="9"/>
  <c r="L91" i="9"/>
  <c r="L101" i="9"/>
  <c r="L111" i="9"/>
  <c r="L121" i="9"/>
  <c r="L131" i="9"/>
  <c r="L141" i="9"/>
  <c r="L151" i="9"/>
  <c r="L3" i="9"/>
  <c r="L23" i="9"/>
  <c r="L33" i="9"/>
  <c r="L53" i="9"/>
  <c r="L73" i="9"/>
  <c r="L93" i="9"/>
  <c r="L113" i="9"/>
  <c r="L133" i="9"/>
  <c r="L153" i="9"/>
  <c r="L14" i="9"/>
  <c r="L34" i="9"/>
  <c r="L54" i="9"/>
  <c r="L74" i="9"/>
  <c r="L94" i="9"/>
  <c r="L104" i="9"/>
  <c r="L124" i="9"/>
  <c r="L154" i="9"/>
  <c r="L15" i="9"/>
  <c r="L35" i="9"/>
  <c r="L55" i="9"/>
  <c r="L75" i="9"/>
  <c r="L105" i="9"/>
  <c r="L145" i="9"/>
  <c r="L6" i="9"/>
  <c r="L26" i="9"/>
  <c r="L46" i="9"/>
  <c r="L66" i="9"/>
  <c r="L86" i="9"/>
  <c r="L106" i="9"/>
  <c r="L116" i="9"/>
  <c r="L126" i="9"/>
  <c r="L136" i="9"/>
  <c r="L156" i="9"/>
  <c r="L13" i="9"/>
  <c r="L43" i="9"/>
  <c r="L63" i="9"/>
  <c r="L83" i="9"/>
  <c r="L103" i="9"/>
  <c r="L123" i="9"/>
  <c r="L143" i="9"/>
  <c r="L4" i="9"/>
  <c r="L24" i="9"/>
  <c r="L44" i="9"/>
  <c r="L64" i="9"/>
  <c r="L84" i="9"/>
  <c r="L114" i="9"/>
  <c r="L134" i="9"/>
  <c r="L144" i="9"/>
  <c r="L5" i="9"/>
  <c r="L25" i="9"/>
  <c r="L45" i="9"/>
  <c r="L65" i="9"/>
  <c r="L85" i="9"/>
  <c r="L95" i="9"/>
  <c r="L115" i="9"/>
  <c r="L125" i="9"/>
  <c r="L135" i="9"/>
  <c r="L155" i="9"/>
  <c r="L16" i="9"/>
  <c r="L36" i="9"/>
  <c r="L56" i="9"/>
  <c r="L76" i="9"/>
  <c r="L96" i="9"/>
  <c r="L146" i="9"/>
  <c r="G98" i="9"/>
  <c r="G99" i="9" s="1"/>
  <c r="K95" i="9"/>
  <c r="G4" i="1"/>
  <c r="G5" i="1" s="1"/>
  <c r="L123" i="4"/>
  <c r="L23" i="4"/>
  <c r="L52" i="4"/>
  <c r="L81" i="4"/>
  <c r="L110" i="4"/>
  <c r="L141" i="4"/>
  <c r="L27" i="4"/>
  <c r="L69" i="4"/>
  <c r="L98" i="4"/>
  <c r="L128" i="4"/>
  <c r="L142" i="4"/>
  <c r="L28" i="4"/>
  <c r="L57" i="4"/>
  <c r="L83" i="4"/>
  <c r="L112" i="4"/>
  <c r="L29" i="4"/>
  <c r="L58" i="4"/>
  <c r="L87" i="4"/>
  <c r="L113" i="4"/>
  <c r="L147" i="4"/>
  <c r="L17" i="4"/>
  <c r="L43" i="4"/>
  <c r="L72" i="4"/>
  <c r="L88" i="4"/>
  <c r="L148" i="4"/>
  <c r="L18" i="4"/>
  <c r="L47" i="4"/>
  <c r="L60" i="4"/>
  <c r="L89" i="4"/>
  <c r="L149" i="4"/>
  <c r="L119" i="4"/>
  <c r="L19" i="4"/>
  <c r="L61" i="4"/>
  <c r="L103" i="4"/>
  <c r="L133" i="4"/>
  <c r="L137" i="4"/>
  <c r="L7" i="4"/>
  <c r="L20" i="4"/>
  <c r="L49" i="4"/>
  <c r="L78" i="4"/>
  <c r="L107" i="4"/>
  <c r="L138" i="4"/>
  <c r="L37" i="4"/>
  <c r="L63" i="4"/>
  <c r="L92" i="4"/>
  <c r="L108" i="4"/>
  <c r="L122" i="4"/>
  <c r="L139" i="4"/>
  <c r="L140" i="4"/>
  <c r="L10" i="4"/>
  <c r="L39" i="4"/>
  <c r="L68" i="4"/>
  <c r="L97" i="4"/>
  <c r="L127" i="4"/>
  <c r="L11" i="4"/>
  <c r="L40" i="4"/>
  <c r="L53" i="4"/>
  <c r="L82" i="4"/>
  <c r="L111" i="4"/>
  <c r="L12" i="4"/>
  <c r="L41" i="4"/>
  <c r="L70" i="4"/>
  <c r="L99" i="4"/>
  <c r="L129" i="4"/>
  <c r="L143" i="4"/>
  <c r="L13" i="4"/>
  <c r="L42" i="4"/>
  <c r="L71" i="4"/>
  <c r="L100" i="4"/>
  <c r="L130" i="4"/>
  <c r="L117" i="4"/>
  <c r="L30" i="4"/>
  <c r="L59" i="4"/>
  <c r="L101" i="4"/>
  <c r="L131" i="4"/>
  <c r="L118" i="4"/>
  <c r="L31" i="4"/>
  <c r="L73" i="4"/>
  <c r="L102" i="4"/>
  <c r="L132" i="4"/>
  <c r="L3" i="4"/>
  <c r="L32" i="4"/>
  <c r="L48" i="4"/>
  <c r="L77" i="4"/>
  <c r="L90" i="4"/>
  <c r="L150" i="4"/>
  <c r="L120" i="4"/>
  <c r="L33" i="4"/>
  <c r="L62" i="4"/>
  <c r="L91" i="4"/>
  <c r="L151" i="4"/>
  <c r="L121" i="4"/>
  <c r="L21" i="4"/>
  <c r="L50" i="4"/>
  <c r="L79" i="4"/>
  <c r="L152" i="4"/>
  <c r="L9" i="4"/>
  <c r="L22" i="4"/>
  <c r="L38" i="4"/>
  <c r="L51" i="4"/>
  <c r="L67" i="4"/>
  <c r="L80" i="4"/>
  <c r="L93" i="4"/>
  <c r="L109" i="4"/>
  <c r="L153" i="4"/>
  <c r="L4" i="4"/>
  <c r="L14" i="4"/>
  <c r="L24" i="4"/>
  <c r="L34" i="4"/>
  <c r="L44" i="4"/>
  <c r="L54" i="4"/>
  <c r="L64" i="4"/>
  <c r="L74" i="4"/>
  <c r="L84" i="4"/>
  <c r="L94" i="4"/>
  <c r="L104" i="4"/>
  <c r="L114" i="4"/>
  <c r="L124" i="4"/>
  <c r="L134" i="4"/>
  <c r="L144" i="4"/>
  <c r="L154" i="4"/>
  <c r="L5" i="4"/>
  <c r="L15" i="4"/>
  <c r="L25" i="4"/>
  <c r="L35" i="4"/>
  <c r="L45" i="4"/>
  <c r="L55" i="4"/>
  <c r="L65" i="4"/>
  <c r="L75" i="4"/>
  <c r="L85" i="4"/>
  <c r="L95" i="4"/>
  <c r="L105" i="4"/>
  <c r="L115" i="4"/>
  <c r="L125" i="4"/>
  <c r="L135" i="4"/>
  <c r="L145" i="4"/>
  <c r="L155" i="4"/>
  <c r="L6" i="4"/>
  <c r="L16" i="4"/>
  <c r="L26" i="4"/>
  <c r="L36" i="4"/>
  <c r="L46" i="4"/>
  <c r="L56" i="4"/>
  <c r="L66" i="4"/>
  <c r="L76" i="4"/>
  <c r="L86" i="4"/>
  <c r="L96" i="4"/>
  <c r="L106" i="4"/>
  <c r="L116" i="4"/>
  <c r="L126" i="4"/>
  <c r="L136" i="4"/>
  <c r="L146" i="4"/>
  <c r="L156" i="4"/>
  <c r="L2" i="4"/>
  <c r="G66" i="4"/>
  <c r="K37" i="2"/>
  <c r="K107" i="2"/>
  <c r="K38" i="2"/>
  <c r="K5" i="2"/>
  <c r="K43" i="2"/>
  <c r="K123" i="2"/>
  <c r="K86" i="2"/>
  <c r="K124" i="2"/>
  <c r="K54" i="2"/>
  <c r="K88" i="2"/>
  <c r="K55" i="2"/>
  <c r="K138" i="2"/>
  <c r="K74" i="2"/>
  <c r="K108" i="2"/>
  <c r="K75" i="2"/>
  <c r="K6" i="2"/>
  <c r="K76" i="2"/>
  <c r="K7" i="2"/>
  <c r="K44" i="2"/>
  <c r="K87" i="2"/>
  <c r="K8" i="2"/>
  <c r="K125" i="2"/>
  <c r="K127" i="2"/>
  <c r="K23" i="2"/>
  <c r="K56" i="2"/>
  <c r="K93" i="2"/>
  <c r="K57" i="2"/>
  <c r="K24" i="2"/>
  <c r="K94" i="2"/>
  <c r="K58" i="2"/>
  <c r="K104" i="2"/>
  <c r="K143" i="2"/>
  <c r="K25" i="2"/>
  <c r="K105" i="2"/>
  <c r="K144" i="2"/>
  <c r="K26" i="2"/>
  <c r="K36" i="2"/>
  <c r="K73" i="2"/>
  <c r="K106" i="2"/>
  <c r="K145" i="2"/>
  <c r="K27" i="2"/>
  <c r="K77" i="2"/>
  <c r="K128" i="2"/>
  <c r="K147" i="2"/>
  <c r="K13" i="2"/>
  <c r="K45" i="2"/>
  <c r="K63" i="2"/>
  <c r="K95" i="2"/>
  <c r="K113" i="2"/>
  <c r="K28" i="2"/>
  <c r="K78" i="2"/>
  <c r="K148" i="2"/>
  <c r="K14" i="2"/>
  <c r="K46" i="2"/>
  <c r="K64" i="2"/>
  <c r="K96" i="2"/>
  <c r="K114" i="2"/>
  <c r="K133" i="2"/>
  <c r="K47" i="2"/>
  <c r="K97" i="2"/>
  <c r="K15" i="2"/>
  <c r="K33" i="2"/>
  <c r="K65" i="2"/>
  <c r="K83" i="2"/>
  <c r="K115" i="2"/>
  <c r="K134" i="2"/>
  <c r="K153" i="2"/>
  <c r="K48" i="2"/>
  <c r="K98" i="2"/>
  <c r="K16" i="2"/>
  <c r="K34" i="2"/>
  <c r="K66" i="2"/>
  <c r="K84" i="2"/>
  <c r="K117" i="2"/>
  <c r="K135" i="2"/>
  <c r="K154" i="2"/>
  <c r="K17" i="2"/>
  <c r="K67" i="2"/>
  <c r="K35" i="2"/>
  <c r="K53" i="2"/>
  <c r="K85" i="2"/>
  <c r="K103" i="2"/>
  <c r="K118" i="2"/>
  <c r="K137" i="2"/>
  <c r="K155" i="2"/>
  <c r="K18" i="2"/>
  <c r="K68" i="2"/>
  <c r="K9" i="2"/>
  <c r="K19" i="2"/>
  <c r="K29" i="2"/>
  <c r="K39" i="2"/>
  <c r="K49" i="2"/>
  <c r="K59" i="2"/>
  <c r="K69" i="2"/>
  <c r="K79" i="2"/>
  <c r="K89" i="2"/>
  <c r="K99" i="2"/>
  <c r="K109" i="2"/>
  <c r="K119" i="2"/>
  <c r="K129" i="2"/>
  <c r="K139" i="2"/>
  <c r="K149" i="2"/>
  <c r="K10" i="2"/>
  <c r="K20" i="2"/>
  <c r="K30" i="2"/>
  <c r="K40" i="2"/>
  <c r="K50" i="2"/>
  <c r="K60" i="2"/>
  <c r="K70" i="2"/>
  <c r="K80" i="2"/>
  <c r="K90" i="2"/>
  <c r="K100" i="2"/>
  <c r="K110" i="2"/>
  <c r="K120" i="2"/>
  <c r="K130" i="2"/>
  <c r="K140" i="2"/>
  <c r="K150" i="2"/>
  <c r="K11" i="2"/>
  <c r="K21" i="2"/>
  <c r="K31" i="2"/>
  <c r="K41" i="2"/>
  <c r="K51" i="2"/>
  <c r="K61" i="2"/>
  <c r="K71" i="2"/>
  <c r="K81" i="2"/>
  <c r="K91" i="2"/>
  <c r="K101" i="2"/>
  <c r="K111" i="2"/>
  <c r="K121" i="2"/>
  <c r="K131" i="2"/>
  <c r="K141" i="2"/>
  <c r="K151" i="2"/>
  <c r="K12" i="2"/>
  <c r="K22" i="2"/>
  <c r="K32" i="2"/>
  <c r="K42" i="2"/>
  <c r="K52" i="2"/>
  <c r="K62" i="2"/>
  <c r="K72" i="2"/>
  <c r="K82" i="2"/>
  <c r="K92" i="2"/>
  <c r="K102" i="2"/>
  <c r="K112" i="2"/>
  <c r="K122" i="2"/>
  <c r="K132" i="2"/>
  <c r="K142" i="2"/>
  <c r="K152" i="2"/>
  <c r="K116" i="2"/>
  <c r="K126" i="2"/>
  <c r="K136" i="2"/>
  <c r="K146" i="2"/>
  <c r="K156" i="2"/>
  <c r="K4" i="2"/>
  <c r="K3" i="2"/>
  <c r="K2" i="2"/>
  <c r="L4" i="3"/>
  <c r="L27" i="3"/>
  <c r="L77" i="3"/>
  <c r="L28" i="3"/>
  <c r="L78" i="3"/>
  <c r="L129" i="3"/>
  <c r="L29" i="3"/>
  <c r="L79" i="3"/>
  <c r="L8" i="3"/>
  <c r="L58" i="3"/>
  <c r="L108" i="3"/>
  <c r="L34" i="3"/>
  <c r="L9" i="3"/>
  <c r="L59" i="3"/>
  <c r="L87" i="3"/>
  <c r="L138" i="3"/>
  <c r="L139" i="3"/>
  <c r="L114" i="3"/>
  <c r="L39" i="3"/>
  <c r="L148" i="3"/>
  <c r="L49" i="3"/>
  <c r="L99" i="3"/>
  <c r="L128" i="3"/>
  <c r="L54" i="3"/>
  <c r="L104" i="3"/>
  <c r="L7" i="3"/>
  <c r="L57" i="3"/>
  <c r="L107" i="3"/>
  <c r="L137" i="3"/>
  <c r="L84" i="3"/>
  <c r="L37" i="3"/>
  <c r="L109" i="3"/>
  <c r="L38" i="3"/>
  <c r="L88" i="3"/>
  <c r="L14" i="3"/>
  <c r="L64" i="3"/>
  <c r="L17" i="3"/>
  <c r="L67" i="3"/>
  <c r="L89" i="3"/>
  <c r="L117" i="3"/>
  <c r="L147" i="3"/>
  <c r="L18" i="3"/>
  <c r="L68" i="3"/>
  <c r="L118" i="3"/>
  <c r="L44" i="3"/>
  <c r="L94" i="3"/>
  <c r="L19" i="3"/>
  <c r="L47" i="3"/>
  <c r="L69" i="3"/>
  <c r="L97" i="3"/>
  <c r="L119" i="3"/>
  <c r="L149" i="3"/>
  <c r="L48" i="3"/>
  <c r="L98" i="3"/>
  <c r="L24" i="3"/>
  <c r="L74" i="3"/>
  <c r="L127" i="3"/>
  <c r="L10" i="3"/>
  <c r="L20" i="3"/>
  <c r="L30" i="3"/>
  <c r="L40" i="3"/>
  <c r="L50" i="3"/>
  <c r="L60" i="3"/>
  <c r="L70" i="3"/>
  <c r="L80" i="3"/>
  <c r="L90" i="3"/>
  <c r="L100" i="3"/>
  <c r="L110" i="3"/>
  <c r="L120" i="3"/>
  <c r="L130" i="3"/>
  <c r="L140" i="3"/>
  <c r="L150" i="3"/>
  <c r="L11" i="3"/>
  <c r="L21" i="3"/>
  <c r="L31" i="3"/>
  <c r="L41" i="3"/>
  <c r="L51" i="3"/>
  <c r="L61" i="3"/>
  <c r="L71" i="3"/>
  <c r="L81" i="3"/>
  <c r="L91" i="3"/>
  <c r="L101" i="3"/>
  <c r="L111" i="3"/>
  <c r="L121" i="3"/>
  <c r="L131" i="3"/>
  <c r="L141" i="3"/>
  <c r="L151" i="3"/>
  <c r="L12" i="3"/>
  <c r="L22" i="3"/>
  <c r="L32" i="3"/>
  <c r="L42" i="3"/>
  <c r="L52" i="3"/>
  <c r="L62" i="3"/>
  <c r="L72" i="3"/>
  <c r="L82" i="3"/>
  <c r="L92" i="3"/>
  <c r="L102" i="3"/>
  <c r="L112" i="3"/>
  <c r="L122" i="3"/>
  <c r="L132" i="3"/>
  <c r="L142" i="3"/>
  <c r="L152" i="3"/>
  <c r="L13" i="3"/>
  <c r="L23" i="3"/>
  <c r="L33" i="3"/>
  <c r="L43" i="3"/>
  <c r="L53" i="3"/>
  <c r="L63" i="3"/>
  <c r="L73" i="3"/>
  <c r="L83" i="3"/>
  <c r="L93" i="3"/>
  <c r="L103" i="3"/>
  <c r="L113" i="3"/>
  <c r="L123" i="3"/>
  <c r="L133" i="3"/>
  <c r="L143" i="3"/>
  <c r="L153" i="3"/>
  <c r="L124" i="3"/>
  <c r="L134" i="3"/>
  <c r="L144" i="3"/>
  <c r="L154" i="3"/>
  <c r="L5" i="3"/>
  <c r="L15" i="3"/>
  <c r="L25" i="3"/>
  <c r="L35" i="3"/>
  <c r="L45" i="3"/>
  <c r="L55" i="3"/>
  <c r="L65" i="3"/>
  <c r="L75" i="3"/>
  <c r="L85" i="3"/>
  <c r="L95" i="3"/>
  <c r="L105" i="3"/>
  <c r="L115" i="3"/>
  <c r="L125" i="3"/>
  <c r="L135" i="3"/>
  <c r="L145" i="3"/>
  <c r="L155" i="3"/>
  <c r="L6" i="3"/>
  <c r="L16" i="3"/>
  <c r="L26" i="3"/>
  <c r="L36" i="3"/>
  <c r="L46" i="3"/>
  <c r="L56" i="3"/>
  <c r="L66" i="3"/>
  <c r="L76" i="3"/>
  <c r="L86" i="3"/>
  <c r="L96" i="3"/>
  <c r="L106" i="3"/>
  <c r="L116" i="3"/>
  <c r="L126" i="3"/>
  <c r="L136" i="3"/>
  <c r="L146" i="3"/>
  <c r="L156" i="3"/>
  <c r="L2" i="3"/>
  <c r="G128" i="9"/>
  <c r="K127" i="9" s="1"/>
  <c r="G66" i="9"/>
  <c r="G4" i="9"/>
  <c r="K3" i="9" s="1"/>
  <c r="G100" i="9"/>
  <c r="K64" i="9"/>
  <c r="K96" i="9"/>
  <c r="K98" i="9"/>
  <c r="K36" i="9"/>
  <c r="G38" i="9"/>
  <c r="G4" i="8"/>
  <c r="K3" i="8"/>
  <c r="G35" i="8"/>
  <c r="K34" i="8"/>
  <c r="K33" i="8"/>
  <c r="G129" i="8"/>
  <c r="K128" i="8"/>
  <c r="G97" i="8"/>
  <c r="K96" i="8"/>
  <c r="K126" i="8"/>
  <c r="K127" i="8"/>
  <c r="G66" i="8"/>
  <c r="K95" i="8"/>
  <c r="G100" i="4"/>
  <c r="G35" i="4"/>
  <c r="K34" i="4" s="1"/>
  <c r="K33" i="4"/>
  <c r="G4" i="4"/>
  <c r="K3" i="4"/>
  <c r="K98" i="4"/>
  <c r="K127" i="4"/>
  <c r="K97" i="4"/>
  <c r="G129" i="4"/>
  <c r="K128" i="4"/>
  <c r="K96" i="4"/>
  <c r="G38" i="3"/>
  <c r="K37" i="3"/>
  <c r="K36" i="3"/>
  <c r="G97" i="3"/>
  <c r="K95" i="3"/>
  <c r="G5" i="3"/>
  <c r="K96" i="3"/>
  <c r="G68" i="3"/>
  <c r="K3" i="3"/>
  <c r="G129" i="3"/>
  <c r="K127" i="3"/>
  <c r="K34" i="3"/>
  <c r="K66" i="3"/>
  <c r="K126" i="3"/>
  <c r="K35" i="3"/>
  <c r="K65" i="3"/>
  <c r="G35" i="2"/>
  <c r="J34" i="2"/>
  <c r="J33" i="2"/>
  <c r="G4" i="2"/>
  <c r="J66" i="2"/>
  <c r="G68" i="2"/>
  <c r="G97" i="2"/>
  <c r="J96" i="2"/>
  <c r="G128" i="2"/>
  <c r="J64" i="2"/>
  <c r="J65" i="2"/>
  <c r="G128" i="1"/>
  <c r="J127" i="1" s="1"/>
  <c r="G97" i="1"/>
  <c r="J95" i="1"/>
  <c r="J96" i="1"/>
  <c r="G66" i="1"/>
  <c r="G36" i="1"/>
  <c r="J34" i="1"/>
  <c r="J33" i="1"/>
  <c r="G6" i="1"/>
  <c r="J4" i="1"/>
  <c r="O20" i="20" a="1"/>
  <c r="O16" i="20" a="1"/>
  <c r="O21" i="20" a="1"/>
  <c r="O18" i="20" a="1"/>
  <c r="O19" i="20" a="1"/>
  <c r="O15" i="20" a="1"/>
  <c r="O17" i="20" a="1"/>
  <c r="O22" i="20" a="1"/>
  <c r="G18" i="20" a="1"/>
  <c r="G16" i="20" a="1"/>
  <c r="L65" i="34" a="1"/>
  <c r="L127" i="34" a="1"/>
  <c r="L35" i="34" a="1"/>
  <c r="L98" i="34" a="1"/>
  <c r="L131" i="34" a="1"/>
  <c r="L97" i="34" a="1"/>
  <c r="L33" i="34" a="1"/>
  <c r="L129" i="34" a="1"/>
  <c r="L66" i="34" a="1"/>
  <c r="L64" i="34" a="1"/>
  <c r="L34" i="34" a="1"/>
  <c r="L130" i="34" a="1"/>
  <c r="L67" i="33" a="1"/>
  <c r="L96" i="33" a="1"/>
  <c r="L66" i="33" a="1"/>
  <c r="L128" i="33" a="1"/>
  <c r="L3" i="33" a="1"/>
  <c r="L98" i="33" a="1"/>
  <c r="L129" i="33" a="1"/>
  <c r="L97" i="33" a="1"/>
  <c r="L64" i="33" a="1"/>
  <c r="L95" i="33" a="1"/>
  <c r="L97" i="32" a="1"/>
  <c r="L4" i="32" a="1"/>
  <c r="L127" i="32" a="1"/>
  <c r="L128" i="32" a="1"/>
  <c r="L2" i="32" a="1"/>
  <c r="L3" i="32" a="1"/>
  <c r="L127" i="31" a="1"/>
  <c r="L2" i="31" a="1"/>
  <c r="L98" i="31" a="1"/>
  <c r="L65" i="31" a="1"/>
  <c r="L129" i="31" a="1"/>
  <c r="L97" i="31" a="1"/>
  <c r="L3" i="31" a="1"/>
  <c r="L64" i="31" a="1"/>
  <c r="L66" i="31" a="1"/>
  <c r="L66" i="30" a="1"/>
  <c r="L131" i="30" a="1"/>
  <c r="L6" i="30" a="1"/>
  <c r="L4" i="30" a="1"/>
  <c r="L64" i="30" a="1"/>
  <c r="L65" i="30" a="1"/>
  <c r="L127" i="30" a="1"/>
  <c r="L34" i="30" a="1"/>
  <c r="L130" i="30" a="1"/>
  <c r="L129" i="30" a="1"/>
  <c r="L3" i="30" a="1"/>
  <c r="L95" i="30" a="1"/>
  <c r="L127" i="29" a="1"/>
  <c r="L3" i="29" a="1"/>
  <c r="L64" i="29" a="1"/>
  <c r="L6" i="29" a="1"/>
  <c r="L4" i="29" a="1"/>
  <c r="L96" i="29" a="1"/>
  <c r="L95" i="29" a="1"/>
  <c r="L97" i="29" a="1"/>
  <c r="L129" i="29" a="1"/>
  <c r="L127" i="28" a="1"/>
  <c r="L98" i="28" a="1"/>
  <c r="L97" i="28" a="1"/>
  <c r="L131" i="28" a="1"/>
  <c r="L3" i="28" a="1"/>
  <c r="L66" i="28" a="1"/>
  <c r="L33" i="28" a="1"/>
  <c r="L129" i="28" a="1"/>
  <c r="L130" i="28" a="1"/>
  <c r="L64" i="28" a="1"/>
  <c r="L65" i="28" a="1"/>
  <c r="L128" i="27" a="1"/>
  <c r="L64" i="27" a="1"/>
  <c r="L65" i="26" a="1"/>
  <c r="L3" i="26" a="1"/>
  <c r="L2" i="26" a="1"/>
  <c r="L34" i="26" a="1"/>
  <c r="L126" i="26" a="1"/>
  <c r="L97" i="26" a="1"/>
  <c r="L4" i="26" a="1"/>
  <c r="L96" i="26" a="1"/>
  <c r="L95" i="26" a="1"/>
  <c r="L98" i="26" a="1"/>
  <c r="L5" i="26" a="1"/>
  <c r="L65" i="25" a="1"/>
  <c r="L127" i="25" a="1"/>
  <c r="L97" i="25" a="1"/>
  <c r="L3" i="25" a="1"/>
  <c r="L67" i="25" a="1"/>
  <c r="L68" i="25" a="1"/>
  <c r="L129" i="25" a="1"/>
  <c r="L95" i="25" a="1"/>
  <c r="L66" i="25" a="1"/>
  <c r="L64" i="25" a="1"/>
  <c r="L3" i="24" a="1"/>
  <c r="L4" i="24" a="1"/>
  <c r="L127" i="24" a="1"/>
  <c r="L130" i="24" a="1"/>
  <c r="L95" i="24" a="1"/>
  <c r="L97" i="24" a="1"/>
  <c r="L129" i="24" a="1"/>
  <c r="L34" i="24" a="1"/>
  <c r="L64" i="24" a="1"/>
  <c r="L95" i="23" a="1"/>
  <c r="L97" i="23" a="1"/>
  <c r="L126" i="23" a="1"/>
  <c r="L65" i="23" a="1"/>
  <c r="L127" i="23" a="1"/>
  <c r="L3" i="23" a="1"/>
  <c r="L128" i="23" a="1"/>
  <c r="L34" i="22" a="1"/>
  <c r="L4" i="22" a="1"/>
  <c r="L3" i="22" a="1"/>
  <c r="L126" i="22" a="1"/>
  <c r="L2" i="22" a="1"/>
  <c r="L68" i="22" a="1"/>
  <c r="L33" i="21" a="1"/>
  <c r="L128" i="21" a="1"/>
  <c r="L34" i="21" a="1"/>
  <c r="L98" i="21" a="1"/>
  <c r="L2" i="21" a="1"/>
  <c r="L4" i="21" a="1"/>
  <c r="L35" i="21" a="1"/>
  <c r="L3" i="21" a="1"/>
  <c r="K95" i="1" a="1"/>
  <c r="K96" i="1" a="1"/>
  <c r="K127" i="1" a="1"/>
  <c r="K33" i="1" a="1"/>
  <c r="K34" i="1" a="1"/>
  <c r="K4" i="1" a="1"/>
  <c r="L3" i="3" a="1"/>
  <c r="O22" i="20" l="1"/>
  <c r="O17" i="20"/>
  <c r="O15" i="20"/>
  <c r="O19" i="20"/>
  <c r="O18" i="20"/>
  <c r="O21" i="20"/>
  <c r="O16" i="20"/>
  <c r="O20" i="20"/>
  <c r="G18" i="20"/>
  <c r="G16" i="20"/>
  <c r="M3" i="34"/>
  <c r="L130" i="34"/>
  <c r="M130" i="34" s="1"/>
  <c r="L34" i="34"/>
  <c r="M34" i="34" s="1"/>
  <c r="L64" i="34"/>
  <c r="M64" i="34" s="1"/>
  <c r="L66" i="34"/>
  <c r="M66" i="34" s="1"/>
  <c r="L129" i="34"/>
  <c r="M129" i="34" s="1"/>
  <c r="B130" i="34" s="1"/>
  <c r="C130" i="34" s="1"/>
  <c r="L33" i="34"/>
  <c r="M33" i="34" s="1"/>
  <c r="L97" i="34"/>
  <c r="M97" i="34" s="1"/>
  <c r="L131" i="34"/>
  <c r="M131" i="34" s="1"/>
  <c r="L98" i="34"/>
  <c r="M98" i="34" s="1"/>
  <c r="L35" i="34"/>
  <c r="M35" i="34" s="1"/>
  <c r="L127" i="34"/>
  <c r="M127" i="34" s="1"/>
  <c r="B128" i="34" s="1"/>
  <c r="C128" i="34" s="1"/>
  <c r="L65" i="34"/>
  <c r="M65" i="34" s="1"/>
  <c r="G5" i="34"/>
  <c r="K2" i="34"/>
  <c r="G68" i="34"/>
  <c r="G133" i="34"/>
  <c r="K132" i="34"/>
  <c r="K99" i="34"/>
  <c r="G100" i="34"/>
  <c r="G37" i="34"/>
  <c r="B126" i="34"/>
  <c r="C126" i="34" s="1"/>
  <c r="B96" i="34"/>
  <c r="C96" i="34" s="1"/>
  <c r="B95" i="34"/>
  <c r="C95" i="34" s="1"/>
  <c r="L95" i="33"/>
  <c r="M95" i="33" s="1"/>
  <c r="L64" i="33"/>
  <c r="M64" i="33" s="1"/>
  <c r="L97" i="33"/>
  <c r="M97" i="33" s="1"/>
  <c r="L129" i="33"/>
  <c r="M129" i="33" s="1"/>
  <c r="L98" i="33"/>
  <c r="M98" i="33" s="1"/>
  <c r="L3" i="33"/>
  <c r="M3" i="33" s="1"/>
  <c r="L128" i="33"/>
  <c r="M128" i="33" s="1"/>
  <c r="B129" i="33" s="1"/>
  <c r="C129" i="33" s="1"/>
  <c r="L66" i="33"/>
  <c r="M66" i="33" s="1"/>
  <c r="B66" i="33" s="1"/>
  <c r="C66" i="33" s="1"/>
  <c r="L96" i="33"/>
  <c r="M96" i="33" s="1"/>
  <c r="L67" i="33"/>
  <c r="M67" i="33" s="1"/>
  <c r="G100" i="33"/>
  <c r="G5" i="33"/>
  <c r="K2" i="33"/>
  <c r="G69" i="33"/>
  <c r="K68" i="33"/>
  <c r="G36" i="33"/>
  <c r="K35" i="33"/>
  <c r="K34" i="33"/>
  <c r="K33" i="33"/>
  <c r="G132" i="33"/>
  <c r="K131" i="33" s="1"/>
  <c r="K130" i="33"/>
  <c r="B127" i="33"/>
  <c r="C127" i="33" s="1"/>
  <c r="B126" i="33"/>
  <c r="C126" i="33" s="1"/>
  <c r="L3" i="32"/>
  <c r="M3" i="32" s="1"/>
  <c r="L2" i="32"/>
  <c r="M2" i="32" s="1"/>
  <c r="L128" i="32"/>
  <c r="M128" i="32" s="1"/>
  <c r="L127" i="32"/>
  <c r="M127" i="32" s="1"/>
  <c r="B128" i="32" s="1"/>
  <c r="C128" i="32" s="1"/>
  <c r="L4" i="32"/>
  <c r="M4" i="32" s="1"/>
  <c r="L97" i="32"/>
  <c r="M97" i="32" s="1"/>
  <c r="B97" i="32" s="1"/>
  <c r="C97" i="32" s="1"/>
  <c r="G67" i="32"/>
  <c r="K66" i="32"/>
  <c r="K64" i="32"/>
  <c r="G36" i="32"/>
  <c r="K35" i="32" s="1"/>
  <c r="K33" i="32"/>
  <c r="G99" i="32"/>
  <c r="K98" i="32"/>
  <c r="B66" i="22"/>
  <c r="C66" i="22" s="1"/>
  <c r="G6" i="32"/>
  <c r="K5" i="32"/>
  <c r="G130" i="32"/>
  <c r="K129" i="32"/>
  <c r="K65" i="32"/>
  <c r="K34" i="32"/>
  <c r="B96" i="32"/>
  <c r="C96" i="32" s="1"/>
  <c r="B95" i="32"/>
  <c r="C95" i="32" s="1"/>
  <c r="B126" i="32"/>
  <c r="C126" i="32" s="1"/>
  <c r="L66" i="31"/>
  <c r="M66" i="31" s="1"/>
  <c r="L64" i="31"/>
  <c r="M64" i="31" s="1"/>
  <c r="L3" i="31"/>
  <c r="M3" i="31" s="1"/>
  <c r="L97" i="31"/>
  <c r="M97" i="31" s="1"/>
  <c r="B97" i="31" s="1"/>
  <c r="C97" i="31" s="1"/>
  <c r="L129" i="31"/>
  <c r="M129" i="31" s="1"/>
  <c r="B129" i="31" s="1"/>
  <c r="C129" i="31" s="1"/>
  <c r="L65" i="31"/>
  <c r="M65" i="31" s="1"/>
  <c r="L98" i="31"/>
  <c r="M98" i="31" s="1"/>
  <c r="L2" i="31"/>
  <c r="M2" i="31" s="1"/>
  <c r="L127" i="31"/>
  <c r="M127" i="31" s="1"/>
  <c r="B128" i="31" s="1"/>
  <c r="C128" i="31" s="1"/>
  <c r="G132" i="31"/>
  <c r="K131" i="31"/>
  <c r="G36" i="31"/>
  <c r="K35" i="31"/>
  <c r="K33" i="31"/>
  <c r="G5" i="31"/>
  <c r="K130" i="31"/>
  <c r="G68" i="31"/>
  <c r="K67" i="31" s="1"/>
  <c r="K34" i="31"/>
  <c r="B96" i="31"/>
  <c r="C96" i="31" s="1"/>
  <c r="B95" i="31"/>
  <c r="C95" i="31" s="1"/>
  <c r="G100" i="31"/>
  <c r="K99" i="31" s="1"/>
  <c r="B126" i="31"/>
  <c r="C126" i="31" s="1"/>
  <c r="L95" i="30"/>
  <c r="M95" i="30" s="1"/>
  <c r="L3" i="30"/>
  <c r="M3" i="30" s="1"/>
  <c r="B3" i="30" s="1"/>
  <c r="C3" i="30" s="1"/>
  <c r="L129" i="30"/>
  <c r="M129" i="30" s="1"/>
  <c r="B129" i="30" s="1"/>
  <c r="C129" i="30" s="1"/>
  <c r="L130" i="30"/>
  <c r="M130" i="30" s="1"/>
  <c r="L34" i="30"/>
  <c r="M34" i="30" s="1"/>
  <c r="L127" i="30"/>
  <c r="M127" i="30" s="1"/>
  <c r="B128" i="30" s="1"/>
  <c r="C128" i="30" s="1"/>
  <c r="L65" i="30"/>
  <c r="M65" i="30" s="1"/>
  <c r="L64" i="30"/>
  <c r="M64" i="30" s="1"/>
  <c r="L4" i="30"/>
  <c r="M4" i="30" s="1"/>
  <c r="B5" i="30" s="1"/>
  <c r="C5" i="30" s="1"/>
  <c r="L6" i="30"/>
  <c r="M6" i="30" s="1"/>
  <c r="B6" i="30" s="1"/>
  <c r="C6" i="30" s="1"/>
  <c r="L131" i="30"/>
  <c r="M131" i="30" s="1"/>
  <c r="L66" i="30"/>
  <c r="M66" i="30" s="1"/>
  <c r="G133" i="30"/>
  <c r="K132" i="30"/>
  <c r="B126" i="30"/>
  <c r="C126" i="30" s="1"/>
  <c r="G99" i="30"/>
  <c r="K98" i="30"/>
  <c r="G9" i="30"/>
  <c r="K8" i="30"/>
  <c r="K7" i="30"/>
  <c r="K97" i="30"/>
  <c r="G68" i="30"/>
  <c r="G36" i="30"/>
  <c r="K35" i="30"/>
  <c r="B2" i="30"/>
  <c r="C2" i="30" s="1"/>
  <c r="K33" i="30"/>
  <c r="L129" i="29"/>
  <c r="M129" i="29" s="1"/>
  <c r="B129" i="29" s="1"/>
  <c r="C129" i="29" s="1"/>
  <c r="L97" i="29"/>
  <c r="M97" i="29" s="1"/>
  <c r="L95" i="29"/>
  <c r="M95" i="29" s="1"/>
  <c r="L96" i="29"/>
  <c r="M96" i="29" s="1"/>
  <c r="L4" i="29"/>
  <c r="M4" i="29" s="1"/>
  <c r="B5" i="29" s="1"/>
  <c r="C5" i="29" s="1"/>
  <c r="L6" i="29"/>
  <c r="M6" i="29" s="1"/>
  <c r="L64" i="29"/>
  <c r="M64" i="29" s="1"/>
  <c r="L3" i="29"/>
  <c r="M3" i="29" s="1"/>
  <c r="L127" i="29"/>
  <c r="M127" i="29" s="1"/>
  <c r="B128" i="29" s="1"/>
  <c r="C128" i="29" s="1"/>
  <c r="G9" i="29"/>
  <c r="K8" i="29" s="1"/>
  <c r="G36" i="29"/>
  <c r="K35" i="29"/>
  <c r="K34" i="29"/>
  <c r="G67" i="29"/>
  <c r="K66" i="29"/>
  <c r="K33" i="29"/>
  <c r="G131" i="29"/>
  <c r="K130" i="29"/>
  <c r="G99" i="29"/>
  <c r="K65" i="29"/>
  <c r="K7" i="29"/>
  <c r="B2" i="29"/>
  <c r="C2" i="29" s="1"/>
  <c r="B126" i="29"/>
  <c r="C126" i="29" s="1"/>
  <c r="L65" i="28"/>
  <c r="M65" i="28" s="1"/>
  <c r="L64" i="28"/>
  <c r="M64" i="28" s="1"/>
  <c r="L130" i="28"/>
  <c r="M130" i="28" s="1"/>
  <c r="L129" i="28"/>
  <c r="M129" i="28" s="1"/>
  <c r="B130" i="28" s="1"/>
  <c r="C130" i="28" s="1"/>
  <c r="L33" i="28"/>
  <c r="M33" i="28" s="1"/>
  <c r="L66" i="28"/>
  <c r="M66" i="28" s="1"/>
  <c r="L3" i="28"/>
  <c r="M3" i="28" s="1"/>
  <c r="L131" i="28"/>
  <c r="M131" i="28" s="1"/>
  <c r="L97" i="28"/>
  <c r="M97" i="28" s="1"/>
  <c r="B97" i="28" s="1"/>
  <c r="C97" i="28" s="1"/>
  <c r="L98" i="28"/>
  <c r="M98" i="28" s="1"/>
  <c r="L127" i="28"/>
  <c r="M127" i="28" s="1"/>
  <c r="B128" i="28" s="1"/>
  <c r="C128" i="28" s="1"/>
  <c r="G36" i="28"/>
  <c r="K35" i="28"/>
  <c r="G68" i="28"/>
  <c r="G5" i="28"/>
  <c r="K2" i="28"/>
  <c r="G100" i="28"/>
  <c r="K34" i="28"/>
  <c r="B126" i="28"/>
  <c r="C126" i="28" s="1"/>
  <c r="G133" i="28"/>
  <c r="K132" i="28"/>
  <c r="B96" i="28"/>
  <c r="C96" i="28" s="1"/>
  <c r="B95" i="28"/>
  <c r="C95" i="28" s="1"/>
  <c r="L64" i="27"/>
  <c r="M64" i="27" s="1"/>
  <c r="L128" i="27"/>
  <c r="M128" i="27" s="1"/>
  <c r="K65" i="27"/>
  <c r="G5" i="27"/>
  <c r="K4" i="27"/>
  <c r="K2" i="27"/>
  <c r="G98" i="27"/>
  <c r="K97" i="27"/>
  <c r="K96" i="27"/>
  <c r="G36" i="27"/>
  <c r="K35" i="27"/>
  <c r="K34" i="27"/>
  <c r="K33" i="27"/>
  <c r="G67" i="27"/>
  <c r="K3" i="27"/>
  <c r="G131" i="27"/>
  <c r="K95" i="27"/>
  <c r="K129" i="27"/>
  <c r="B127" i="27"/>
  <c r="C127" i="27" s="1"/>
  <c r="B126" i="27"/>
  <c r="C126" i="27" s="1"/>
  <c r="L5" i="26"/>
  <c r="M5" i="26" s="1"/>
  <c r="L98" i="26"/>
  <c r="M98" i="26" s="1"/>
  <c r="L95" i="26"/>
  <c r="M95" i="26" s="1"/>
  <c r="L96" i="26"/>
  <c r="M96" i="26" s="1"/>
  <c r="L4" i="26"/>
  <c r="M4" i="26" s="1"/>
  <c r="L97" i="26"/>
  <c r="M97" i="26" s="1"/>
  <c r="L126" i="26"/>
  <c r="M126" i="26" s="1"/>
  <c r="L34" i="26"/>
  <c r="M34" i="26" s="1"/>
  <c r="L2" i="26"/>
  <c r="M2" i="26" s="1"/>
  <c r="L3" i="26"/>
  <c r="M3" i="26" s="1"/>
  <c r="L65" i="26"/>
  <c r="M65" i="26" s="1"/>
  <c r="G67" i="26"/>
  <c r="K66" i="26"/>
  <c r="K64" i="26"/>
  <c r="G36" i="26"/>
  <c r="K35" i="26"/>
  <c r="K33" i="26"/>
  <c r="G129" i="26"/>
  <c r="K128" i="26"/>
  <c r="K6" i="26"/>
  <c r="G7" i="26"/>
  <c r="K99" i="26"/>
  <c r="G100" i="26"/>
  <c r="K127" i="26"/>
  <c r="L64" i="25"/>
  <c r="M64" i="25" s="1"/>
  <c r="L66" i="25"/>
  <c r="M66" i="25" s="1"/>
  <c r="L95" i="25"/>
  <c r="M95" i="25" s="1"/>
  <c r="L129" i="25"/>
  <c r="M129" i="25" s="1"/>
  <c r="B129" i="25" s="1"/>
  <c r="C129" i="25" s="1"/>
  <c r="L68" i="25"/>
  <c r="M68" i="25" s="1"/>
  <c r="L67" i="25"/>
  <c r="M67" i="25" s="1"/>
  <c r="L3" i="25"/>
  <c r="M3" i="25" s="1"/>
  <c r="L97" i="25"/>
  <c r="M97" i="25" s="1"/>
  <c r="L127" i="25"/>
  <c r="M127" i="25" s="1"/>
  <c r="B128" i="25" s="1"/>
  <c r="C128" i="25" s="1"/>
  <c r="L65" i="25"/>
  <c r="M65" i="25" s="1"/>
  <c r="M2" i="25"/>
  <c r="G36" i="25"/>
  <c r="K35" i="25"/>
  <c r="G132" i="25"/>
  <c r="K131" i="25"/>
  <c r="G6" i="25"/>
  <c r="K5" i="25"/>
  <c r="K130" i="25"/>
  <c r="G99" i="25"/>
  <c r="K98" i="25"/>
  <c r="K4" i="25"/>
  <c r="K34" i="25"/>
  <c r="G70" i="25"/>
  <c r="K69" i="25"/>
  <c r="K33" i="25"/>
  <c r="B126" i="25"/>
  <c r="C126" i="25" s="1"/>
  <c r="L64" i="24"/>
  <c r="M64" i="24" s="1"/>
  <c r="L34" i="24"/>
  <c r="M34" i="24" s="1"/>
  <c r="L129" i="24"/>
  <c r="M129" i="24" s="1"/>
  <c r="B129" i="24" s="1"/>
  <c r="C129" i="24" s="1"/>
  <c r="L97" i="24"/>
  <c r="M97" i="24" s="1"/>
  <c r="L95" i="24"/>
  <c r="M95" i="24" s="1"/>
  <c r="L130" i="24"/>
  <c r="M130" i="24" s="1"/>
  <c r="L127" i="24"/>
  <c r="M127" i="24" s="1"/>
  <c r="B128" i="24" s="1"/>
  <c r="C128" i="24" s="1"/>
  <c r="L4" i="24"/>
  <c r="M4" i="24" s="1"/>
  <c r="L3" i="24"/>
  <c r="M3" i="24" s="1"/>
  <c r="G36" i="24"/>
  <c r="K35" i="24"/>
  <c r="K33" i="24"/>
  <c r="G6" i="24"/>
  <c r="K5" i="24"/>
  <c r="G99" i="24"/>
  <c r="K98" i="24"/>
  <c r="G67" i="24"/>
  <c r="G133" i="24"/>
  <c r="K131" i="24"/>
  <c r="K65" i="24"/>
  <c r="B126" i="24"/>
  <c r="C126" i="24" s="1"/>
  <c r="B2" i="24"/>
  <c r="C2" i="24" s="1"/>
  <c r="L128" i="23"/>
  <c r="M128" i="23" s="1"/>
  <c r="L3" i="23"/>
  <c r="M3" i="23" s="1"/>
  <c r="L127" i="23"/>
  <c r="M127" i="23" s="1"/>
  <c r="L65" i="23"/>
  <c r="M65" i="23" s="1"/>
  <c r="M2" i="23"/>
  <c r="L126" i="23"/>
  <c r="M126" i="23" s="1"/>
  <c r="L97" i="23"/>
  <c r="M97" i="23" s="1"/>
  <c r="L95" i="23"/>
  <c r="M95" i="23" s="1"/>
  <c r="G6" i="23"/>
  <c r="K5" i="23"/>
  <c r="G67" i="23"/>
  <c r="K66" i="23"/>
  <c r="K64" i="23"/>
  <c r="G130" i="23"/>
  <c r="G36" i="23"/>
  <c r="K35" i="23"/>
  <c r="K33" i="23"/>
  <c r="G99" i="23"/>
  <c r="K98" i="23"/>
  <c r="K4" i="23"/>
  <c r="K34" i="23"/>
  <c r="B67" i="22"/>
  <c r="C67" i="22" s="1"/>
  <c r="L68" i="22"/>
  <c r="M68" i="22" s="1"/>
  <c r="B68" i="22" s="1"/>
  <c r="C68" i="22" s="1"/>
  <c r="L2" i="22"/>
  <c r="M2" i="22" s="1"/>
  <c r="L126" i="22"/>
  <c r="M126" i="22" s="1"/>
  <c r="L3" i="22"/>
  <c r="M3" i="22" s="1"/>
  <c r="L4" i="22"/>
  <c r="M4" i="22" s="1"/>
  <c r="L34" i="22"/>
  <c r="M34" i="22" s="1"/>
  <c r="G129" i="22"/>
  <c r="K127" i="22"/>
  <c r="K128" i="22"/>
  <c r="G36" i="22"/>
  <c r="K35" i="22"/>
  <c r="K33" i="22"/>
  <c r="G98" i="22"/>
  <c r="K95" i="22"/>
  <c r="K96" i="22"/>
  <c r="G6" i="22"/>
  <c r="K5" i="22"/>
  <c r="G70" i="22"/>
  <c r="K69" i="22"/>
  <c r="B97" i="21"/>
  <c r="C97" i="21" s="1"/>
  <c r="B65" i="22"/>
  <c r="C65" i="22" s="1"/>
  <c r="B64" i="22"/>
  <c r="C64" i="22" s="1"/>
  <c r="L3" i="21"/>
  <c r="M3" i="21" s="1"/>
  <c r="L35" i="21"/>
  <c r="M35" i="21" s="1"/>
  <c r="L4" i="21"/>
  <c r="M4" i="21" s="1"/>
  <c r="L2" i="21"/>
  <c r="M2" i="21" s="1"/>
  <c r="L98" i="21"/>
  <c r="M98" i="21" s="1"/>
  <c r="B98" i="21" s="1"/>
  <c r="C98" i="21" s="1"/>
  <c r="L34" i="21"/>
  <c r="M34" i="21" s="1"/>
  <c r="L128" i="21"/>
  <c r="M128" i="21" s="1"/>
  <c r="L33" i="21"/>
  <c r="M33" i="21" s="1"/>
  <c r="G131" i="21"/>
  <c r="K130" i="21" s="1"/>
  <c r="G37" i="21"/>
  <c r="K36" i="21"/>
  <c r="G6" i="21"/>
  <c r="K5" i="21"/>
  <c r="G100" i="21"/>
  <c r="K99" i="21" s="1"/>
  <c r="B95" i="21"/>
  <c r="C95" i="21" s="1"/>
  <c r="B96" i="21"/>
  <c r="C96" i="21" s="1"/>
  <c r="K129" i="21"/>
  <c r="B127" i="21"/>
  <c r="C127" i="21" s="1"/>
  <c r="B126" i="21"/>
  <c r="C126" i="21" s="1"/>
  <c r="K67" i="21"/>
  <c r="G68" i="21"/>
  <c r="K66" i="21"/>
  <c r="B65" i="21"/>
  <c r="C65" i="21" s="1"/>
  <c r="B64" i="21"/>
  <c r="C64" i="21" s="1"/>
  <c r="K97" i="9"/>
  <c r="K4" i="1"/>
  <c r="K34" i="1"/>
  <c r="L34" i="1" s="1"/>
  <c r="K33" i="1"/>
  <c r="L33" i="1" s="1"/>
  <c r="K127" i="1"/>
  <c r="L127" i="1" s="1"/>
  <c r="K96" i="1"/>
  <c r="L96" i="1" s="1"/>
  <c r="K95" i="1"/>
  <c r="L95" i="1" s="1"/>
  <c r="J3" i="1"/>
  <c r="G67" i="4"/>
  <c r="K64" i="4"/>
  <c r="K65" i="4"/>
  <c r="L3" i="3"/>
  <c r="M3" i="3" s="1"/>
  <c r="L65" i="2"/>
  <c r="M127" i="8"/>
  <c r="M96" i="4"/>
  <c r="L66" i="2"/>
  <c r="M96" i="8"/>
  <c r="M126" i="8"/>
  <c r="L96" i="2"/>
  <c r="M34" i="8"/>
  <c r="L64" i="2"/>
  <c r="M33" i="8"/>
  <c r="M95" i="4"/>
  <c r="B95" i="4" s="1"/>
  <c r="C95" i="4" s="1"/>
  <c r="M95" i="8"/>
  <c r="M128" i="4"/>
  <c r="M128" i="8"/>
  <c r="M33" i="4"/>
  <c r="M34" i="4"/>
  <c r="L34" i="2"/>
  <c r="M3" i="8"/>
  <c r="L33" i="2"/>
  <c r="M33" i="3"/>
  <c r="B33" i="3" s="1"/>
  <c r="C33" i="3" s="1"/>
  <c r="M127" i="9"/>
  <c r="M98" i="4"/>
  <c r="M36" i="9"/>
  <c r="M126" i="4"/>
  <c r="B126" i="4" s="1"/>
  <c r="C126" i="4" s="1"/>
  <c r="M3" i="4"/>
  <c r="M34" i="3"/>
  <c r="M34" i="9"/>
  <c r="M126" i="3"/>
  <c r="M64" i="3"/>
  <c r="B64" i="3" s="1"/>
  <c r="C64" i="3" s="1"/>
  <c r="M35" i="3"/>
  <c r="M97" i="4"/>
  <c r="M66" i="3"/>
  <c r="M36" i="3"/>
  <c r="M37" i="3"/>
  <c r="M33" i="9"/>
  <c r="B33" i="9" s="1"/>
  <c r="C33" i="9" s="1"/>
  <c r="M64" i="9"/>
  <c r="M127" i="4"/>
  <c r="M96" i="9"/>
  <c r="M35" i="9"/>
  <c r="M98" i="9"/>
  <c r="M95" i="9"/>
  <c r="B95" i="9" s="1"/>
  <c r="C95" i="9" s="1"/>
  <c r="M3" i="9"/>
  <c r="M65" i="3"/>
  <c r="M2" i="3"/>
  <c r="G101" i="9"/>
  <c r="K100" i="9"/>
  <c r="K99" i="9"/>
  <c r="G5" i="9"/>
  <c r="K4" i="9"/>
  <c r="K2" i="9"/>
  <c r="G67" i="9"/>
  <c r="K66" i="9"/>
  <c r="K126" i="9"/>
  <c r="G39" i="9"/>
  <c r="K38" i="9"/>
  <c r="K65" i="9"/>
  <c r="G129" i="9"/>
  <c r="K128" i="9"/>
  <c r="K37" i="9"/>
  <c r="G67" i="8"/>
  <c r="K66" i="8"/>
  <c r="K65" i="8"/>
  <c r="G36" i="8"/>
  <c r="K35" i="8"/>
  <c r="G5" i="8"/>
  <c r="K4" i="8" s="1"/>
  <c r="K64" i="8"/>
  <c r="G98" i="8"/>
  <c r="K97" i="8"/>
  <c r="G130" i="8"/>
  <c r="K2" i="8"/>
  <c r="G5" i="4"/>
  <c r="K4" i="4"/>
  <c r="K2" i="4"/>
  <c r="G101" i="4"/>
  <c r="K100" i="4" s="1"/>
  <c r="K99" i="4"/>
  <c r="K35" i="4"/>
  <c r="G36" i="4"/>
  <c r="G130" i="4"/>
  <c r="K129" i="4" s="1"/>
  <c r="M127" i="3"/>
  <c r="M96" i="3"/>
  <c r="M95" i="3"/>
  <c r="G130" i="3"/>
  <c r="K129" i="3" s="1"/>
  <c r="K128" i="3"/>
  <c r="G69" i="3"/>
  <c r="K68" i="3" s="1"/>
  <c r="K67" i="3"/>
  <c r="G6" i="3"/>
  <c r="K4" i="3"/>
  <c r="G98" i="3"/>
  <c r="K97" i="3" s="1"/>
  <c r="G39" i="3"/>
  <c r="K38" i="3" s="1"/>
  <c r="G5" i="2"/>
  <c r="J4" i="2"/>
  <c r="G129" i="2"/>
  <c r="J128" i="2"/>
  <c r="G69" i="2"/>
  <c r="J68" i="2"/>
  <c r="J127" i="2"/>
  <c r="J3" i="2"/>
  <c r="J126" i="2"/>
  <c r="J97" i="2"/>
  <c r="G98" i="2"/>
  <c r="J95" i="2"/>
  <c r="J67" i="2"/>
  <c r="J2" i="2"/>
  <c r="G36" i="2"/>
  <c r="J35" i="2"/>
  <c r="G129" i="1"/>
  <c r="J128" i="1" s="1"/>
  <c r="J126" i="1"/>
  <c r="G98" i="1"/>
  <c r="J97" i="1"/>
  <c r="G67" i="1"/>
  <c r="J66" i="1"/>
  <c r="J65" i="1"/>
  <c r="J64" i="1"/>
  <c r="G37" i="1"/>
  <c r="J36" i="1" s="1"/>
  <c r="J35" i="1"/>
  <c r="G7" i="1"/>
  <c r="J6" i="1" s="1"/>
  <c r="J5" i="1"/>
  <c r="L99" i="34" a="1"/>
  <c r="L132" i="34" a="1"/>
  <c r="L33" i="33" a="1"/>
  <c r="L35" i="33" a="1"/>
  <c r="L130" i="33" a="1"/>
  <c r="L2" i="33" a="1"/>
  <c r="L68" i="33" a="1"/>
  <c r="L34" i="33" a="1"/>
  <c r="L131" i="33" a="1"/>
  <c r="L66" i="32" a="1"/>
  <c r="L64" i="32" a="1"/>
  <c r="L129" i="32" a="1"/>
  <c r="L65" i="32" a="1"/>
  <c r="L33" i="32" a="1"/>
  <c r="L98" i="32" a="1"/>
  <c r="L5" i="32" a="1"/>
  <c r="L34" i="32" a="1"/>
  <c r="L35" i="32" a="1"/>
  <c r="L131" i="31" a="1"/>
  <c r="L35" i="31" a="1"/>
  <c r="L130" i="31" a="1"/>
  <c r="L33" i="31" a="1"/>
  <c r="L34" i="31" a="1"/>
  <c r="L99" i="31" a="1"/>
  <c r="L67" i="31" a="1"/>
  <c r="L8" i="30" a="1"/>
  <c r="L7" i="30" a="1"/>
  <c r="L97" i="30" a="1"/>
  <c r="L35" i="30" a="1"/>
  <c r="L33" i="30" a="1"/>
  <c r="L132" i="30" a="1"/>
  <c r="L98" i="30" a="1"/>
  <c r="L65" i="29" a="1"/>
  <c r="L7" i="29" a="1"/>
  <c r="L34" i="29" a="1"/>
  <c r="L33" i="29" a="1"/>
  <c r="L130" i="29" a="1"/>
  <c r="L35" i="29" a="1"/>
  <c r="L66" i="29" a="1"/>
  <c r="L8" i="29" a="1"/>
  <c r="L132" i="28" a="1"/>
  <c r="L35" i="28" a="1"/>
  <c r="L2" i="28" a="1"/>
  <c r="L34" i="28" a="1"/>
  <c r="L65" i="27" a="1"/>
  <c r="L4" i="27" a="1"/>
  <c r="L97" i="27" a="1"/>
  <c r="L96" i="27" a="1"/>
  <c r="L95" i="27" a="1"/>
  <c r="L35" i="27" a="1"/>
  <c r="L34" i="27" a="1"/>
  <c r="L33" i="27" a="1"/>
  <c r="L3" i="27" a="1"/>
  <c r="L129" i="27" a="1"/>
  <c r="L99" i="26" a="1"/>
  <c r="L127" i="26" a="1"/>
  <c r="L35" i="26" a="1"/>
  <c r="L66" i="26" a="1"/>
  <c r="L64" i="26" a="1"/>
  <c r="L33" i="26" a="1"/>
  <c r="L128" i="26" a="1"/>
  <c r="L6" i="26" a="1"/>
  <c r="L69" i="25" a="1"/>
  <c r="L33" i="25" a="1"/>
  <c r="L4" i="25" a="1"/>
  <c r="L35" i="25" a="1"/>
  <c r="L131" i="25" a="1"/>
  <c r="L5" i="25" a="1"/>
  <c r="L130" i="25" a="1"/>
  <c r="L98" i="25" a="1"/>
  <c r="L34" i="25" a="1"/>
  <c r="L65" i="24" a="1"/>
  <c r="L35" i="24" a="1"/>
  <c r="L33" i="24" a="1"/>
  <c r="L5" i="24" a="1"/>
  <c r="L98" i="24" a="1"/>
  <c r="L131" i="24" a="1"/>
  <c r="L4" i="23" a="1"/>
  <c r="L34" i="23" a="1"/>
  <c r="L5" i="23" a="1"/>
  <c r="L98" i="23" a="1"/>
  <c r="L66" i="23" a="1"/>
  <c r="L64" i="23" a="1"/>
  <c r="L35" i="23" a="1"/>
  <c r="L33" i="23" a="1"/>
  <c r="L128" i="22" a="1"/>
  <c r="L35" i="22" a="1"/>
  <c r="L95" i="22" a="1"/>
  <c r="L96" i="22" a="1"/>
  <c r="L69" i="22" a="1"/>
  <c r="L127" i="22" a="1"/>
  <c r="L33" i="22" a="1"/>
  <c r="L5" i="22" a="1"/>
  <c r="L67" i="21" a="1"/>
  <c r="L66" i="21" a="1"/>
  <c r="L36" i="21" a="1"/>
  <c r="L5" i="21" a="1"/>
  <c r="L129" i="21" a="1"/>
  <c r="L99" i="21" a="1"/>
  <c r="L130" i="21" a="1"/>
  <c r="K126" i="1" a="1"/>
  <c r="K64" i="1" a="1"/>
  <c r="K35" i="1" a="1"/>
  <c r="K5" i="1" a="1"/>
  <c r="K128" i="1" a="1"/>
  <c r="K97" i="1" a="1"/>
  <c r="K6" i="1" a="1"/>
  <c r="K65" i="1" a="1"/>
  <c r="K66" i="1" a="1"/>
  <c r="K3" i="1" a="1"/>
  <c r="K36" i="1" a="1"/>
  <c r="B97" i="33" l="1"/>
  <c r="C97" i="33" s="1"/>
  <c r="B97" i="29"/>
  <c r="C97" i="29" s="1"/>
  <c r="B98" i="34"/>
  <c r="C98" i="34" s="1"/>
  <c r="B35" i="34"/>
  <c r="C35" i="34" s="1"/>
  <c r="B127" i="34"/>
  <c r="C127" i="34" s="1"/>
  <c r="L132" i="34"/>
  <c r="M132" i="34" s="1"/>
  <c r="M2" i="34"/>
  <c r="L99" i="34"/>
  <c r="M99" i="34" s="1"/>
  <c r="G134" i="34"/>
  <c r="G69" i="34"/>
  <c r="K68" i="34"/>
  <c r="K67" i="34"/>
  <c r="G6" i="34"/>
  <c r="K5" i="34"/>
  <c r="K4" i="34"/>
  <c r="B66" i="34"/>
  <c r="C66" i="34" s="1"/>
  <c r="B129" i="34"/>
  <c r="C129" i="34" s="1"/>
  <c r="B99" i="34"/>
  <c r="C99" i="34" s="1"/>
  <c r="B132" i="34"/>
  <c r="C132" i="34" s="1"/>
  <c r="B33" i="34"/>
  <c r="C33" i="34" s="1"/>
  <c r="B34" i="34"/>
  <c r="C34" i="34" s="1"/>
  <c r="B97" i="34"/>
  <c r="C97" i="34" s="1"/>
  <c r="G38" i="34"/>
  <c r="K37" i="34"/>
  <c r="B65" i="34"/>
  <c r="C65" i="34" s="1"/>
  <c r="B64" i="34"/>
  <c r="C64" i="34" s="1"/>
  <c r="K36" i="34"/>
  <c r="G101" i="34"/>
  <c r="B131" i="34"/>
  <c r="C131" i="34" s="1"/>
  <c r="L131" i="33"/>
  <c r="M131" i="33" s="1"/>
  <c r="L34" i="33"/>
  <c r="M34" i="33" s="1"/>
  <c r="L68" i="33"/>
  <c r="M68" i="33" s="1"/>
  <c r="B68" i="33" s="1"/>
  <c r="C68" i="33" s="1"/>
  <c r="L2" i="33"/>
  <c r="M2" i="33" s="1"/>
  <c r="L130" i="33"/>
  <c r="M130" i="33" s="1"/>
  <c r="B131" i="33" s="1"/>
  <c r="C131" i="33" s="1"/>
  <c r="L35" i="33"/>
  <c r="M35" i="33" s="1"/>
  <c r="L33" i="33"/>
  <c r="M33" i="33" s="1"/>
  <c r="G37" i="33"/>
  <c r="G70" i="33"/>
  <c r="K69" i="33" s="1"/>
  <c r="G6" i="33"/>
  <c r="K5" i="33"/>
  <c r="K4" i="33"/>
  <c r="G101" i="33"/>
  <c r="K100" i="33"/>
  <c r="K99" i="33"/>
  <c r="B98" i="33"/>
  <c r="C98" i="33" s="1"/>
  <c r="B67" i="33"/>
  <c r="C67" i="33" s="1"/>
  <c r="B128" i="33"/>
  <c r="C128" i="33" s="1"/>
  <c r="G133" i="33"/>
  <c r="K132" i="33"/>
  <c r="B65" i="33"/>
  <c r="C65" i="33" s="1"/>
  <c r="B64" i="33"/>
  <c r="C64" i="33" s="1"/>
  <c r="B96" i="33"/>
  <c r="C96" i="33" s="1"/>
  <c r="B95" i="33"/>
  <c r="C95" i="33" s="1"/>
  <c r="B127" i="32"/>
  <c r="C127" i="32" s="1"/>
  <c r="B4" i="32"/>
  <c r="C4" i="32" s="1"/>
  <c r="L35" i="32"/>
  <c r="M35" i="32" s="1"/>
  <c r="L34" i="32"/>
  <c r="M34" i="32" s="1"/>
  <c r="B35" i="32" s="1"/>
  <c r="C35" i="32" s="1"/>
  <c r="L5" i="32"/>
  <c r="M5" i="32" s="1"/>
  <c r="B5" i="32" s="1"/>
  <c r="C5" i="32" s="1"/>
  <c r="L98" i="32"/>
  <c r="M98" i="32" s="1"/>
  <c r="L33" i="32"/>
  <c r="M33" i="32" s="1"/>
  <c r="L65" i="32"/>
  <c r="M65" i="32" s="1"/>
  <c r="L129" i="32"/>
  <c r="M129" i="32" s="1"/>
  <c r="L64" i="32"/>
  <c r="M64" i="32" s="1"/>
  <c r="L66" i="32"/>
  <c r="M66" i="32" s="1"/>
  <c r="G131" i="32"/>
  <c r="G7" i="32"/>
  <c r="K6" i="32"/>
  <c r="G100" i="32"/>
  <c r="B3" i="32"/>
  <c r="C3" i="32" s="1"/>
  <c r="B2" i="32"/>
  <c r="C2" i="32" s="1"/>
  <c r="G37" i="32"/>
  <c r="K36" i="32" s="1"/>
  <c r="K67" i="32"/>
  <c r="G68" i="32"/>
  <c r="L67" i="31"/>
  <c r="M67" i="31" s="1"/>
  <c r="B67" i="31" s="1"/>
  <c r="C67" i="31" s="1"/>
  <c r="L99" i="31"/>
  <c r="M99" i="31" s="1"/>
  <c r="B99" i="31" s="1"/>
  <c r="C99" i="31" s="1"/>
  <c r="L34" i="31"/>
  <c r="M34" i="31" s="1"/>
  <c r="L33" i="31"/>
  <c r="M33" i="31" s="1"/>
  <c r="L130" i="31"/>
  <c r="M130" i="31" s="1"/>
  <c r="B130" i="31" s="1"/>
  <c r="C130" i="31" s="1"/>
  <c r="L35" i="31"/>
  <c r="M35" i="31" s="1"/>
  <c r="L131" i="31"/>
  <c r="M131" i="31" s="1"/>
  <c r="G6" i="31"/>
  <c r="K5" i="31"/>
  <c r="K4" i="31"/>
  <c r="G37" i="31"/>
  <c r="B4" i="29"/>
  <c r="C4" i="29" s="1"/>
  <c r="B127" i="30"/>
  <c r="C127" i="30" s="1"/>
  <c r="B98" i="31"/>
  <c r="C98" i="31" s="1"/>
  <c r="G133" i="31"/>
  <c r="K132" i="31"/>
  <c r="B2" i="31"/>
  <c r="C2" i="31" s="1"/>
  <c r="B3" i="31"/>
  <c r="C3" i="31" s="1"/>
  <c r="B66" i="31"/>
  <c r="C66" i="31" s="1"/>
  <c r="G101" i="31"/>
  <c r="B127" i="31"/>
  <c r="C127" i="31" s="1"/>
  <c r="B64" i="31"/>
  <c r="C64" i="31" s="1"/>
  <c r="B65" i="31"/>
  <c r="C65" i="31" s="1"/>
  <c r="G69" i="31"/>
  <c r="K68" i="31"/>
  <c r="B4" i="24"/>
  <c r="C4" i="24" s="1"/>
  <c r="B66" i="30"/>
  <c r="C66" i="30" s="1"/>
  <c r="B131" i="30"/>
  <c r="C131" i="30" s="1"/>
  <c r="L98" i="30"/>
  <c r="M98" i="30" s="1"/>
  <c r="L132" i="30"/>
  <c r="M132" i="30" s="1"/>
  <c r="B132" i="30" s="1"/>
  <c r="C132" i="30" s="1"/>
  <c r="L33" i="30"/>
  <c r="M33" i="30" s="1"/>
  <c r="L35" i="30"/>
  <c r="M35" i="30" s="1"/>
  <c r="L97" i="30"/>
  <c r="M97" i="30" s="1"/>
  <c r="L7" i="30"/>
  <c r="M7" i="30" s="1"/>
  <c r="B7" i="30" s="1"/>
  <c r="C7" i="30" s="1"/>
  <c r="L8" i="30"/>
  <c r="M8" i="30" s="1"/>
  <c r="G100" i="30"/>
  <c r="K99" i="30" s="1"/>
  <c r="G134" i="30"/>
  <c r="K133" i="30" s="1"/>
  <c r="G37" i="30"/>
  <c r="G69" i="30"/>
  <c r="K68" i="30"/>
  <c r="B65" i="30"/>
  <c r="C65" i="30" s="1"/>
  <c r="B64" i="30"/>
  <c r="C64" i="30" s="1"/>
  <c r="K67" i="30"/>
  <c r="B130" i="30"/>
  <c r="C130" i="30" s="1"/>
  <c r="B4" i="30"/>
  <c r="C4" i="30" s="1"/>
  <c r="G10" i="30"/>
  <c r="K9" i="30"/>
  <c r="B96" i="30"/>
  <c r="C96" i="30" s="1"/>
  <c r="B95" i="30"/>
  <c r="C95" i="30" s="1"/>
  <c r="B127" i="29"/>
  <c r="C127" i="29" s="1"/>
  <c r="L8" i="29"/>
  <c r="M8" i="29" s="1"/>
  <c r="L66" i="29"/>
  <c r="M66" i="29" s="1"/>
  <c r="L35" i="29"/>
  <c r="M35" i="29" s="1"/>
  <c r="L130" i="29"/>
  <c r="M130" i="29" s="1"/>
  <c r="B130" i="29" s="1"/>
  <c r="C130" i="29" s="1"/>
  <c r="L33" i="29"/>
  <c r="M33" i="29" s="1"/>
  <c r="L34" i="29"/>
  <c r="M34" i="29" s="1"/>
  <c r="L7" i="29"/>
  <c r="M7" i="29" s="1"/>
  <c r="L65" i="29"/>
  <c r="M65" i="29" s="1"/>
  <c r="G37" i="29"/>
  <c r="K99" i="29"/>
  <c r="G100" i="29"/>
  <c r="G132" i="29"/>
  <c r="K131" i="29"/>
  <c r="G68" i="29"/>
  <c r="G10" i="29"/>
  <c r="K9" i="29" s="1"/>
  <c r="B127" i="28"/>
  <c r="C127" i="28" s="1"/>
  <c r="B64" i="29"/>
  <c r="C64" i="29" s="1"/>
  <c r="B3" i="29"/>
  <c r="C3" i="29" s="1"/>
  <c r="B6" i="29"/>
  <c r="C6" i="29" s="1"/>
  <c r="B95" i="29"/>
  <c r="C95" i="29" s="1"/>
  <c r="B96" i="29"/>
  <c r="C96" i="29" s="1"/>
  <c r="K98" i="29"/>
  <c r="B66" i="28"/>
  <c r="C66" i="28" s="1"/>
  <c r="L34" i="28"/>
  <c r="M34" i="28" s="1"/>
  <c r="B34" i="28" s="1"/>
  <c r="C34" i="28" s="1"/>
  <c r="L2" i="28"/>
  <c r="M2" i="28" s="1"/>
  <c r="L35" i="28"/>
  <c r="M35" i="28" s="1"/>
  <c r="L132" i="28"/>
  <c r="M132" i="28" s="1"/>
  <c r="B132" i="28" s="1"/>
  <c r="C132" i="28" s="1"/>
  <c r="B65" i="28"/>
  <c r="C65" i="28" s="1"/>
  <c r="B64" i="28"/>
  <c r="C64" i="28" s="1"/>
  <c r="G101" i="28"/>
  <c r="K100" i="28"/>
  <c r="K99" i="28"/>
  <c r="G6" i="28"/>
  <c r="K5" i="28" s="1"/>
  <c r="K4" i="28"/>
  <c r="G69" i="28"/>
  <c r="K68" i="28"/>
  <c r="K67" i="28"/>
  <c r="G37" i="28"/>
  <c r="B98" i="28"/>
  <c r="C98" i="28" s="1"/>
  <c r="G134" i="28"/>
  <c r="B33" i="28"/>
  <c r="C33" i="28" s="1"/>
  <c r="B129" i="28"/>
  <c r="C129" i="28" s="1"/>
  <c r="B131" i="28"/>
  <c r="C131" i="28" s="1"/>
  <c r="L129" i="27"/>
  <c r="M129" i="27" s="1"/>
  <c r="L3" i="27"/>
  <c r="M3" i="27" s="1"/>
  <c r="L33" i="27"/>
  <c r="M33" i="27" s="1"/>
  <c r="L34" i="27"/>
  <c r="M34" i="27" s="1"/>
  <c r="L35" i="27"/>
  <c r="M35" i="27" s="1"/>
  <c r="L95" i="27"/>
  <c r="M95" i="27" s="1"/>
  <c r="L96" i="27"/>
  <c r="M96" i="27" s="1"/>
  <c r="L97" i="27"/>
  <c r="M97" i="27" s="1"/>
  <c r="M2" i="27"/>
  <c r="L4" i="27"/>
  <c r="M4" i="27" s="1"/>
  <c r="L65" i="27"/>
  <c r="M65" i="27" s="1"/>
  <c r="B65" i="27" s="1"/>
  <c r="C65" i="27" s="1"/>
  <c r="G68" i="27"/>
  <c r="K67" i="27"/>
  <c r="K66" i="27"/>
  <c r="G37" i="27"/>
  <c r="B64" i="27"/>
  <c r="C64" i="27" s="1"/>
  <c r="B128" i="27"/>
  <c r="C128" i="27" s="1"/>
  <c r="G132" i="27"/>
  <c r="K130" i="27"/>
  <c r="G99" i="27"/>
  <c r="K98" i="27"/>
  <c r="G6" i="27"/>
  <c r="K5" i="27"/>
  <c r="L6" i="26"/>
  <c r="M6" i="26" s="1"/>
  <c r="B6" i="26" s="1"/>
  <c r="C6" i="26" s="1"/>
  <c r="L128" i="26"/>
  <c r="M128" i="26" s="1"/>
  <c r="L33" i="26"/>
  <c r="M33" i="26" s="1"/>
  <c r="L64" i="26"/>
  <c r="M64" i="26" s="1"/>
  <c r="L66" i="26"/>
  <c r="M66" i="26" s="1"/>
  <c r="B66" i="26" s="1"/>
  <c r="C66" i="26" s="1"/>
  <c r="L35" i="26"/>
  <c r="M35" i="26" s="1"/>
  <c r="B35" i="26" s="1"/>
  <c r="C35" i="26" s="1"/>
  <c r="L127" i="26"/>
  <c r="M127" i="26" s="1"/>
  <c r="L99" i="26"/>
  <c r="M99" i="26" s="1"/>
  <c r="B99" i="26" s="1"/>
  <c r="C99" i="26" s="1"/>
  <c r="G130" i="26"/>
  <c r="G37" i="26"/>
  <c r="G68" i="26"/>
  <c r="K67" i="26"/>
  <c r="B68" i="25"/>
  <c r="C68" i="25" s="1"/>
  <c r="B4" i="26"/>
  <c r="C4" i="26" s="1"/>
  <c r="B2" i="26"/>
  <c r="C2" i="26" s="1"/>
  <c r="B3" i="26"/>
  <c r="C3" i="26" s="1"/>
  <c r="B126" i="26"/>
  <c r="C126" i="26" s="1"/>
  <c r="B98" i="26"/>
  <c r="C98" i="26" s="1"/>
  <c r="B5" i="26"/>
  <c r="C5" i="26" s="1"/>
  <c r="B97" i="26"/>
  <c r="C97" i="26" s="1"/>
  <c r="G101" i="26"/>
  <c r="K100" i="26"/>
  <c r="B95" i="26"/>
  <c r="C95" i="26" s="1"/>
  <c r="B96" i="26"/>
  <c r="C96" i="26" s="1"/>
  <c r="G8" i="26"/>
  <c r="B67" i="25"/>
  <c r="C67" i="25" s="1"/>
  <c r="L34" i="25"/>
  <c r="M34" i="25" s="1"/>
  <c r="L98" i="25"/>
  <c r="M98" i="25" s="1"/>
  <c r="L130" i="25"/>
  <c r="M130" i="25" s="1"/>
  <c r="B130" i="25" s="1"/>
  <c r="C130" i="25" s="1"/>
  <c r="L5" i="25"/>
  <c r="M5" i="25" s="1"/>
  <c r="L131" i="25"/>
  <c r="M131" i="25" s="1"/>
  <c r="L35" i="25"/>
  <c r="M35" i="25" s="1"/>
  <c r="L4" i="25"/>
  <c r="M4" i="25" s="1"/>
  <c r="L33" i="25"/>
  <c r="M33" i="25" s="1"/>
  <c r="L69" i="25"/>
  <c r="M69" i="25" s="1"/>
  <c r="B69" i="25" s="1"/>
  <c r="C69" i="25" s="1"/>
  <c r="G7" i="25"/>
  <c r="K6" i="25"/>
  <c r="G133" i="25"/>
  <c r="K132" i="25"/>
  <c r="G37" i="25"/>
  <c r="B2" i="25"/>
  <c r="C2" i="25" s="1"/>
  <c r="B3" i="25"/>
  <c r="C3" i="25" s="1"/>
  <c r="G100" i="25"/>
  <c r="B66" i="25"/>
  <c r="C66" i="25" s="1"/>
  <c r="B127" i="25"/>
  <c r="C127" i="25" s="1"/>
  <c r="B97" i="25"/>
  <c r="C97" i="25" s="1"/>
  <c r="G71" i="25"/>
  <c r="B96" i="25"/>
  <c r="C96" i="25" s="1"/>
  <c r="B95" i="25"/>
  <c r="C95" i="25" s="1"/>
  <c r="B65" i="25"/>
  <c r="C65" i="25" s="1"/>
  <c r="B64" i="25"/>
  <c r="C64" i="25" s="1"/>
  <c r="L131" i="24"/>
  <c r="M131" i="24" s="1"/>
  <c r="B131" i="24" s="1"/>
  <c r="C131" i="24" s="1"/>
  <c r="L98" i="24"/>
  <c r="M98" i="24" s="1"/>
  <c r="B98" i="24" s="1"/>
  <c r="C98" i="24" s="1"/>
  <c r="L5" i="24"/>
  <c r="M5" i="24" s="1"/>
  <c r="B5" i="24" s="1"/>
  <c r="C5" i="24" s="1"/>
  <c r="L33" i="24"/>
  <c r="M33" i="24" s="1"/>
  <c r="L35" i="24"/>
  <c r="M35" i="24" s="1"/>
  <c r="B35" i="24" s="1"/>
  <c r="C35" i="24" s="1"/>
  <c r="L65" i="24"/>
  <c r="M65" i="24" s="1"/>
  <c r="B65" i="24" s="1"/>
  <c r="C65" i="24" s="1"/>
  <c r="G134" i="24"/>
  <c r="K133" i="24" s="1"/>
  <c r="K132" i="24"/>
  <c r="G68" i="24"/>
  <c r="G7" i="24"/>
  <c r="K6" i="24"/>
  <c r="K36" i="24"/>
  <c r="G37" i="24"/>
  <c r="B64" i="24"/>
  <c r="C64" i="24" s="1"/>
  <c r="K66" i="24"/>
  <c r="K99" i="24"/>
  <c r="G100" i="24"/>
  <c r="B3" i="24"/>
  <c r="C3" i="24" s="1"/>
  <c r="B96" i="24"/>
  <c r="C96" i="24" s="1"/>
  <c r="B95" i="24"/>
  <c r="C95" i="24" s="1"/>
  <c r="B127" i="24"/>
  <c r="C127" i="24" s="1"/>
  <c r="B97" i="24"/>
  <c r="C97" i="24" s="1"/>
  <c r="B130" i="24"/>
  <c r="C130" i="24" s="1"/>
  <c r="L33" i="23"/>
  <c r="M33" i="23" s="1"/>
  <c r="L35" i="23"/>
  <c r="M35" i="23" s="1"/>
  <c r="L64" i="23"/>
  <c r="M64" i="23" s="1"/>
  <c r="L66" i="23"/>
  <c r="M66" i="23" s="1"/>
  <c r="B66" i="23" s="1"/>
  <c r="C66" i="23" s="1"/>
  <c r="L98" i="23"/>
  <c r="M98" i="23" s="1"/>
  <c r="B98" i="23" s="1"/>
  <c r="C98" i="23" s="1"/>
  <c r="L5" i="23"/>
  <c r="M5" i="23" s="1"/>
  <c r="L34" i="23"/>
  <c r="M34" i="23" s="1"/>
  <c r="L4" i="23"/>
  <c r="M4" i="23" s="1"/>
  <c r="G100" i="23"/>
  <c r="K99" i="23" s="1"/>
  <c r="G37" i="23"/>
  <c r="K36" i="23" s="1"/>
  <c r="G131" i="23"/>
  <c r="K130" i="23" s="1"/>
  <c r="K129" i="23"/>
  <c r="B35" i="21"/>
  <c r="C35" i="21" s="1"/>
  <c r="G68" i="23"/>
  <c r="K67" i="23" s="1"/>
  <c r="G7" i="23"/>
  <c r="K6" i="23" s="1"/>
  <c r="B96" i="23"/>
  <c r="C96" i="23" s="1"/>
  <c r="B95" i="23"/>
  <c r="C95" i="23" s="1"/>
  <c r="B127" i="23"/>
  <c r="C127" i="23" s="1"/>
  <c r="B126" i="23"/>
  <c r="C126" i="23" s="1"/>
  <c r="B3" i="23"/>
  <c r="C3" i="23" s="1"/>
  <c r="B2" i="23"/>
  <c r="C2" i="23" s="1"/>
  <c r="B97" i="23"/>
  <c r="C97" i="23" s="1"/>
  <c r="B128" i="23"/>
  <c r="C128" i="23" s="1"/>
  <c r="L5" i="22"/>
  <c r="M5" i="22" s="1"/>
  <c r="B5" i="22" s="1"/>
  <c r="C5" i="22" s="1"/>
  <c r="L33" i="22"/>
  <c r="M33" i="22" s="1"/>
  <c r="L127" i="22"/>
  <c r="M127" i="22" s="1"/>
  <c r="B127" i="22" s="1"/>
  <c r="C127" i="22" s="1"/>
  <c r="L69" i="22"/>
  <c r="M69" i="22" s="1"/>
  <c r="B69" i="22" s="1"/>
  <c r="C69" i="22" s="1"/>
  <c r="L96" i="22"/>
  <c r="M96" i="22" s="1"/>
  <c r="L95" i="22"/>
  <c r="M95" i="22" s="1"/>
  <c r="L35" i="22"/>
  <c r="M35" i="22" s="1"/>
  <c r="L128" i="22"/>
  <c r="M128" i="22" s="1"/>
  <c r="G7" i="22"/>
  <c r="G99" i="22"/>
  <c r="K98" i="22"/>
  <c r="G37" i="22"/>
  <c r="G130" i="22"/>
  <c r="K129" i="22" s="1"/>
  <c r="B4" i="22"/>
  <c r="C4" i="22" s="1"/>
  <c r="G71" i="22"/>
  <c r="K97" i="22"/>
  <c r="B126" i="22"/>
  <c r="C126" i="22" s="1"/>
  <c r="B2" i="22"/>
  <c r="C2" i="22" s="1"/>
  <c r="B3" i="22"/>
  <c r="C3" i="22" s="1"/>
  <c r="B4" i="21"/>
  <c r="C4" i="21" s="1"/>
  <c r="L130" i="21"/>
  <c r="M130" i="21" s="1"/>
  <c r="L99" i="21"/>
  <c r="M99" i="21" s="1"/>
  <c r="B99" i="21" s="1"/>
  <c r="C99" i="21" s="1"/>
  <c r="L129" i="21"/>
  <c r="M129" i="21" s="1"/>
  <c r="B130" i="21" s="1"/>
  <c r="C130" i="21" s="1"/>
  <c r="L5" i="21"/>
  <c r="M5" i="21" s="1"/>
  <c r="B5" i="21" s="1"/>
  <c r="C5" i="21" s="1"/>
  <c r="L36" i="21"/>
  <c r="M36" i="21" s="1"/>
  <c r="B36" i="21" s="1"/>
  <c r="C36" i="21" s="1"/>
  <c r="L66" i="21"/>
  <c r="M66" i="21" s="1"/>
  <c r="L67" i="21"/>
  <c r="M67" i="21" s="1"/>
  <c r="G7" i="21"/>
  <c r="K6" i="21"/>
  <c r="G38" i="21"/>
  <c r="K37" i="21" s="1"/>
  <c r="G132" i="21"/>
  <c r="K131" i="21"/>
  <c r="B34" i="21"/>
  <c r="C34" i="21" s="1"/>
  <c r="B33" i="21"/>
  <c r="C33" i="21" s="1"/>
  <c r="G69" i="21"/>
  <c r="K68" i="21"/>
  <c r="B2" i="21"/>
  <c r="C2" i="21" s="1"/>
  <c r="B3" i="21"/>
  <c r="C3" i="21" s="1"/>
  <c r="G101" i="21"/>
  <c r="K100" i="21"/>
  <c r="B128" i="21"/>
  <c r="C128" i="21" s="1"/>
  <c r="M4" i="8"/>
  <c r="B4" i="8" s="1"/>
  <c r="C4" i="8" s="1"/>
  <c r="M65" i="9"/>
  <c r="B65" i="9" s="1"/>
  <c r="C65" i="9" s="1"/>
  <c r="M128" i="9"/>
  <c r="B128" i="9" s="1"/>
  <c r="C128" i="9" s="1"/>
  <c r="M97" i="9"/>
  <c r="B98" i="9" s="1"/>
  <c r="C98" i="9" s="1"/>
  <c r="K36" i="1"/>
  <c r="L36" i="1" s="1"/>
  <c r="K3" i="1"/>
  <c r="L3" i="1" s="1"/>
  <c r="K66" i="1"/>
  <c r="L66" i="1" s="1"/>
  <c r="K65" i="1"/>
  <c r="L65" i="1" s="1"/>
  <c r="K6" i="1"/>
  <c r="K97" i="1"/>
  <c r="L97" i="1" s="1"/>
  <c r="B97" i="1" s="1"/>
  <c r="C97" i="1" s="1"/>
  <c r="K128" i="1"/>
  <c r="L128" i="1" s="1"/>
  <c r="B128" i="1" s="1"/>
  <c r="C128" i="1" s="1"/>
  <c r="K5" i="1"/>
  <c r="K35" i="1"/>
  <c r="L35" i="1" s="1"/>
  <c r="B35" i="1" s="1"/>
  <c r="C35" i="1" s="1"/>
  <c r="K64" i="1"/>
  <c r="L64" i="1" s="1"/>
  <c r="K126" i="1"/>
  <c r="L126" i="1" s="1"/>
  <c r="B2" i="3"/>
  <c r="C2" i="3" s="1"/>
  <c r="B3" i="3"/>
  <c r="C3" i="3" s="1"/>
  <c r="M65" i="4"/>
  <c r="M64" i="4"/>
  <c r="B64" i="4" s="1"/>
  <c r="C64" i="4" s="1"/>
  <c r="K66" i="4"/>
  <c r="G68" i="4"/>
  <c r="M4" i="3"/>
  <c r="B96" i="4"/>
  <c r="C96" i="4" s="1"/>
  <c r="B127" i="4"/>
  <c r="C127" i="4" s="1"/>
  <c r="B65" i="3"/>
  <c r="C65" i="3" s="1"/>
  <c r="B34" i="9"/>
  <c r="C34" i="9" s="1"/>
  <c r="B35" i="9"/>
  <c r="C35" i="9" s="1"/>
  <c r="B36" i="9"/>
  <c r="C36" i="9" s="1"/>
  <c r="L4" i="1"/>
  <c r="M2" i="9"/>
  <c r="M37" i="9"/>
  <c r="B37" i="9" s="1"/>
  <c r="C37" i="9" s="1"/>
  <c r="M66" i="9"/>
  <c r="M100" i="9"/>
  <c r="M126" i="9"/>
  <c r="M38" i="9"/>
  <c r="M4" i="9"/>
  <c r="B4" i="9" s="1"/>
  <c r="C4" i="9" s="1"/>
  <c r="M99" i="9"/>
  <c r="B99" i="9" s="1"/>
  <c r="C99" i="9" s="1"/>
  <c r="G68" i="9"/>
  <c r="G6" i="9"/>
  <c r="K5" i="9" s="1"/>
  <c r="G102" i="9"/>
  <c r="G130" i="9"/>
  <c r="B64" i="9"/>
  <c r="C64" i="9" s="1"/>
  <c r="B96" i="9"/>
  <c r="C96" i="9" s="1"/>
  <c r="G40" i="9"/>
  <c r="M64" i="8"/>
  <c r="M65" i="8"/>
  <c r="M66" i="8"/>
  <c r="M97" i="8"/>
  <c r="B97" i="8" s="1"/>
  <c r="C97" i="8" s="1"/>
  <c r="M35" i="8"/>
  <c r="B35" i="8" s="1"/>
  <c r="C35" i="8" s="1"/>
  <c r="M2" i="8"/>
  <c r="G37" i="8"/>
  <c r="K36" i="8"/>
  <c r="B95" i="8"/>
  <c r="C95" i="8" s="1"/>
  <c r="B96" i="8"/>
  <c r="C96" i="8" s="1"/>
  <c r="G131" i="8"/>
  <c r="K130" i="8"/>
  <c r="B127" i="8"/>
  <c r="C127" i="8" s="1"/>
  <c r="B126" i="8"/>
  <c r="C126" i="8" s="1"/>
  <c r="G6" i="8"/>
  <c r="K5" i="8" s="1"/>
  <c r="G68" i="8"/>
  <c r="B33" i="8"/>
  <c r="C33" i="8" s="1"/>
  <c r="B34" i="8"/>
  <c r="C34" i="8" s="1"/>
  <c r="K129" i="8"/>
  <c r="G99" i="8"/>
  <c r="K98" i="8"/>
  <c r="B128" i="8"/>
  <c r="C128" i="8" s="1"/>
  <c r="B98" i="4"/>
  <c r="C98" i="4" s="1"/>
  <c r="B35" i="3"/>
  <c r="C35" i="3" s="1"/>
  <c r="B36" i="3"/>
  <c r="C36" i="3" s="1"/>
  <c r="M100" i="4"/>
  <c r="M129" i="4"/>
  <c r="B129" i="4" s="1"/>
  <c r="C129" i="4" s="1"/>
  <c r="M4" i="4"/>
  <c r="B4" i="4" s="1"/>
  <c r="C4" i="4" s="1"/>
  <c r="M35" i="4"/>
  <c r="B35" i="4" s="1"/>
  <c r="C35" i="4" s="1"/>
  <c r="M2" i="4"/>
  <c r="M99" i="4"/>
  <c r="G6" i="4"/>
  <c r="K5" i="4" s="1"/>
  <c r="B33" i="4"/>
  <c r="C33" i="4" s="1"/>
  <c r="B34" i="4"/>
  <c r="C34" i="4" s="1"/>
  <c r="G37" i="4"/>
  <c r="K36" i="4" s="1"/>
  <c r="B97" i="4"/>
  <c r="C97" i="4" s="1"/>
  <c r="G102" i="4"/>
  <c r="K101" i="4"/>
  <c r="G131" i="4"/>
  <c r="K130" i="4"/>
  <c r="B128" i="4"/>
  <c r="C128" i="4" s="1"/>
  <c r="B34" i="3"/>
  <c r="C34" i="3" s="1"/>
  <c r="M97" i="3"/>
  <c r="B97" i="3" s="1"/>
  <c r="C97" i="3" s="1"/>
  <c r="M129" i="3"/>
  <c r="M68" i="3"/>
  <c r="M128" i="3"/>
  <c r="B128" i="3" s="1"/>
  <c r="C128" i="3" s="1"/>
  <c r="M38" i="3"/>
  <c r="M67" i="3"/>
  <c r="B67" i="3" s="1"/>
  <c r="C67" i="3" s="1"/>
  <c r="G70" i="3"/>
  <c r="B66" i="3"/>
  <c r="C66" i="3" s="1"/>
  <c r="G131" i="3"/>
  <c r="K130" i="3"/>
  <c r="B127" i="3"/>
  <c r="C127" i="3" s="1"/>
  <c r="B126" i="3"/>
  <c r="C126" i="3" s="1"/>
  <c r="G7" i="3"/>
  <c r="K6" i="3" s="1"/>
  <c r="K5" i="3"/>
  <c r="G40" i="3"/>
  <c r="G99" i="3"/>
  <c r="K98" i="3"/>
  <c r="B37" i="3"/>
  <c r="C37" i="3" s="1"/>
  <c r="B95" i="3"/>
  <c r="C95" i="3" s="1"/>
  <c r="B96" i="3"/>
  <c r="C96" i="3" s="1"/>
  <c r="L97" i="2"/>
  <c r="B97" i="2" s="1"/>
  <c r="C97" i="2" s="1"/>
  <c r="L127" i="2"/>
  <c r="L128" i="2"/>
  <c r="L126" i="2"/>
  <c r="L68" i="2"/>
  <c r="L4" i="2"/>
  <c r="L35" i="2"/>
  <c r="L67" i="2"/>
  <c r="L95" i="2"/>
  <c r="L3" i="2"/>
  <c r="L2" i="2"/>
  <c r="G70" i="2"/>
  <c r="J69" i="2" s="1"/>
  <c r="G6" i="2"/>
  <c r="J5" i="2" s="1"/>
  <c r="G37" i="2"/>
  <c r="B33" i="2"/>
  <c r="C33" i="2" s="1"/>
  <c r="B34" i="2"/>
  <c r="C34" i="2" s="1"/>
  <c r="B65" i="2"/>
  <c r="C65" i="2" s="1"/>
  <c r="B64" i="2"/>
  <c r="C64" i="2" s="1"/>
  <c r="G130" i="2"/>
  <c r="J129" i="2" s="1"/>
  <c r="G99" i="2"/>
  <c r="J98" i="2"/>
  <c r="B66" i="2"/>
  <c r="C66" i="2" s="1"/>
  <c r="G130" i="1"/>
  <c r="J129" i="1" s="1"/>
  <c r="G99" i="1"/>
  <c r="B95" i="1"/>
  <c r="C95" i="1" s="1"/>
  <c r="B96" i="1"/>
  <c r="C96" i="1" s="1"/>
  <c r="G68" i="1"/>
  <c r="B34" i="1"/>
  <c r="C34" i="1" s="1"/>
  <c r="B33" i="1"/>
  <c r="C33" i="1" s="1"/>
  <c r="G38" i="1"/>
  <c r="J37" i="1" s="1"/>
  <c r="L37" i="34" a="1"/>
  <c r="L36" i="34" a="1"/>
  <c r="L68" i="34" a="1"/>
  <c r="L4" i="34" a="1"/>
  <c r="L67" i="34" a="1"/>
  <c r="L5" i="34" a="1"/>
  <c r="L132" i="33" a="1"/>
  <c r="L5" i="33" a="1"/>
  <c r="L4" i="33" a="1"/>
  <c r="L100" i="33" a="1"/>
  <c r="L99" i="33" a="1"/>
  <c r="L69" i="33" a="1"/>
  <c r="L67" i="32" a="1"/>
  <c r="L6" i="32" a="1"/>
  <c r="L36" i="32" a="1"/>
  <c r="L132" i="31" a="1"/>
  <c r="L5" i="31" a="1"/>
  <c r="L4" i="31" a="1"/>
  <c r="L68" i="31" a="1"/>
  <c r="L67" i="30" a="1"/>
  <c r="L9" i="30" a="1"/>
  <c r="L68" i="30" a="1"/>
  <c r="L99" i="30" a="1"/>
  <c r="L133" i="30" a="1"/>
  <c r="L99" i="29" a="1"/>
  <c r="L98" i="29" a="1"/>
  <c r="L131" i="29" a="1"/>
  <c r="L9" i="29" a="1"/>
  <c r="L100" i="28" a="1"/>
  <c r="L99" i="28" a="1"/>
  <c r="L4" i="28" a="1"/>
  <c r="L68" i="28" a="1"/>
  <c r="L67" i="28" a="1"/>
  <c r="L5" i="28" a="1"/>
  <c r="L67" i="27" a="1"/>
  <c r="L66" i="27" a="1"/>
  <c r="L130" i="27" a="1"/>
  <c r="L98" i="27" a="1"/>
  <c r="L5" i="27" a="1"/>
  <c r="L67" i="26" a="1"/>
  <c r="L100" i="26" a="1"/>
  <c r="L132" i="25" a="1"/>
  <c r="L6" i="25" a="1"/>
  <c r="L66" i="24" a="1"/>
  <c r="L99" i="24" a="1"/>
  <c r="L36" i="24" a="1"/>
  <c r="L132" i="24" a="1"/>
  <c r="L6" i="24" a="1"/>
  <c r="L133" i="24" a="1"/>
  <c r="L129" i="23" a="1"/>
  <c r="L99" i="23" a="1"/>
  <c r="L36" i="23" a="1"/>
  <c r="L130" i="23" a="1"/>
  <c r="L67" i="23" a="1"/>
  <c r="L6" i="23" a="1"/>
  <c r="L98" i="22" a="1"/>
  <c r="L97" i="22" a="1"/>
  <c r="L129" i="22" a="1"/>
  <c r="L100" i="21" a="1"/>
  <c r="L6" i="21" a="1"/>
  <c r="L68" i="21" a="1"/>
  <c r="L131" i="21" a="1"/>
  <c r="L37" i="21" a="1"/>
  <c r="K37" i="1" a="1"/>
  <c r="K129" i="1" a="1"/>
  <c r="L5" i="34" l="1"/>
  <c r="M5" i="34" s="1"/>
  <c r="L67" i="34"/>
  <c r="M67" i="34" s="1"/>
  <c r="L4" i="34"/>
  <c r="M4" i="34" s="1"/>
  <c r="L68" i="34"/>
  <c r="M68" i="34" s="1"/>
  <c r="L36" i="34"/>
  <c r="M36" i="34" s="1"/>
  <c r="L37" i="34"/>
  <c r="M37" i="34" s="1"/>
  <c r="G102" i="34"/>
  <c r="K100" i="34"/>
  <c r="G135" i="34"/>
  <c r="K134" i="34"/>
  <c r="K133" i="34"/>
  <c r="G7" i="34"/>
  <c r="K6" i="34"/>
  <c r="G70" i="34"/>
  <c r="K69" i="34"/>
  <c r="B2" i="34"/>
  <c r="C2" i="34" s="1"/>
  <c r="B3" i="34"/>
  <c r="C3" i="34" s="1"/>
  <c r="G39" i="34"/>
  <c r="L69" i="33"/>
  <c r="M69" i="33" s="1"/>
  <c r="B69" i="33" s="1"/>
  <c r="C69" i="33" s="1"/>
  <c r="L99" i="33"/>
  <c r="M99" i="33" s="1"/>
  <c r="L100" i="33"/>
  <c r="M100" i="33" s="1"/>
  <c r="L4" i="33"/>
  <c r="M4" i="33" s="1"/>
  <c r="L5" i="33"/>
  <c r="M5" i="33" s="1"/>
  <c r="L132" i="33"/>
  <c r="M132" i="33" s="1"/>
  <c r="B132" i="33" s="1"/>
  <c r="C132" i="33" s="1"/>
  <c r="G102" i="33"/>
  <c r="K101" i="33"/>
  <c r="G7" i="33"/>
  <c r="K6" i="33"/>
  <c r="B5" i="23"/>
  <c r="C5" i="23" s="1"/>
  <c r="G71" i="33"/>
  <c r="G38" i="33"/>
  <c r="K37" i="33"/>
  <c r="K36" i="33"/>
  <c r="B33" i="33"/>
  <c r="C33" i="33" s="1"/>
  <c r="B34" i="33"/>
  <c r="C34" i="33" s="1"/>
  <c r="K133" i="33"/>
  <c r="G134" i="33"/>
  <c r="B130" i="33"/>
  <c r="C130" i="33" s="1"/>
  <c r="B3" i="33"/>
  <c r="C3" i="33" s="1"/>
  <c r="B2" i="33"/>
  <c r="C2" i="33" s="1"/>
  <c r="B35" i="33"/>
  <c r="C35" i="33" s="1"/>
  <c r="L36" i="32"/>
  <c r="M36" i="32" s="1"/>
  <c r="B36" i="32" s="1"/>
  <c r="C36" i="32" s="1"/>
  <c r="L6" i="32"/>
  <c r="M6" i="32" s="1"/>
  <c r="B6" i="32" s="1"/>
  <c r="C6" i="32" s="1"/>
  <c r="L67" i="32"/>
  <c r="M67" i="32" s="1"/>
  <c r="B67" i="32" s="1"/>
  <c r="C67" i="32" s="1"/>
  <c r="G132" i="32"/>
  <c r="K131" i="32"/>
  <c r="K130" i="32"/>
  <c r="B129" i="32"/>
  <c r="C129" i="32" s="1"/>
  <c r="B35" i="29"/>
  <c r="C35" i="29" s="1"/>
  <c r="G38" i="32"/>
  <c r="K37" i="32"/>
  <c r="G101" i="32"/>
  <c r="K100" i="32"/>
  <c r="K99" i="32"/>
  <c r="G8" i="32"/>
  <c r="B65" i="32"/>
  <c r="C65" i="32" s="1"/>
  <c r="B64" i="32"/>
  <c r="C64" i="32" s="1"/>
  <c r="B66" i="32"/>
  <c r="C66" i="32" s="1"/>
  <c r="B33" i="32"/>
  <c r="C33" i="32" s="1"/>
  <c r="B34" i="32"/>
  <c r="C34" i="32" s="1"/>
  <c r="B98" i="32"/>
  <c r="C98" i="32" s="1"/>
  <c r="G69" i="32"/>
  <c r="K68" i="32"/>
  <c r="L68" i="31"/>
  <c r="M68" i="31" s="1"/>
  <c r="L4" i="31"/>
  <c r="M4" i="31" s="1"/>
  <c r="L5" i="31"/>
  <c r="M5" i="31" s="1"/>
  <c r="L132" i="31"/>
  <c r="M132" i="31" s="1"/>
  <c r="G134" i="31"/>
  <c r="G38" i="31"/>
  <c r="K36" i="31"/>
  <c r="G70" i="31"/>
  <c r="K69" i="31"/>
  <c r="G7" i="31"/>
  <c r="K6" i="31"/>
  <c r="B66" i="29"/>
  <c r="C66" i="29" s="1"/>
  <c r="G102" i="31"/>
  <c r="K101" i="31"/>
  <c r="B33" i="31"/>
  <c r="C33" i="31" s="1"/>
  <c r="B34" i="31"/>
  <c r="C34" i="31" s="1"/>
  <c r="K100" i="31"/>
  <c r="B35" i="31"/>
  <c r="C35" i="31" s="1"/>
  <c r="B8" i="29"/>
  <c r="C8" i="29" s="1"/>
  <c r="B131" i="31"/>
  <c r="C131" i="31" s="1"/>
  <c r="B68" i="31"/>
  <c r="C68" i="31" s="1"/>
  <c r="L133" i="30"/>
  <c r="M133" i="30" s="1"/>
  <c r="B133" i="30" s="1"/>
  <c r="C133" i="30" s="1"/>
  <c r="L99" i="30"/>
  <c r="M99" i="30" s="1"/>
  <c r="B99" i="30" s="1"/>
  <c r="C99" i="30" s="1"/>
  <c r="L68" i="30"/>
  <c r="M68" i="30" s="1"/>
  <c r="L9" i="30"/>
  <c r="M9" i="30" s="1"/>
  <c r="L67" i="30"/>
  <c r="M67" i="30" s="1"/>
  <c r="G70" i="30"/>
  <c r="K69" i="30"/>
  <c r="G38" i="30"/>
  <c r="K37" i="30"/>
  <c r="B8" i="30"/>
  <c r="C8" i="30" s="1"/>
  <c r="G11" i="30"/>
  <c r="B33" i="30"/>
  <c r="C33" i="30" s="1"/>
  <c r="B34" i="30"/>
  <c r="C34" i="30" s="1"/>
  <c r="K36" i="30"/>
  <c r="G135" i="30"/>
  <c r="K134" i="30"/>
  <c r="G101" i="30"/>
  <c r="K100" i="30"/>
  <c r="B98" i="30"/>
  <c r="C98" i="30" s="1"/>
  <c r="B97" i="30"/>
  <c r="C97" i="30" s="1"/>
  <c r="B35" i="30"/>
  <c r="C35" i="30" s="1"/>
  <c r="L9" i="29"/>
  <c r="M9" i="29" s="1"/>
  <c r="B9" i="29" s="1"/>
  <c r="C9" i="29" s="1"/>
  <c r="L131" i="29"/>
  <c r="M131" i="29" s="1"/>
  <c r="B131" i="29" s="1"/>
  <c r="C131" i="29" s="1"/>
  <c r="L98" i="29"/>
  <c r="M98" i="29" s="1"/>
  <c r="L99" i="29"/>
  <c r="M99" i="29" s="1"/>
  <c r="G69" i="29"/>
  <c r="K68" i="29"/>
  <c r="K67" i="29"/>
  <c r="G133" i="29"/>
  <c r="G101" i="29"/>
  <c r="K100" i="29" s="1"/>
  <c r="G38" i="29"/>
  <c r="K37" i="29"/>
  <c r="B65" i="29"/>
  <c r="C65" i="29" s="1"/>
  <c r="G11" i="29"/>
  <c r="K36" i="29"/>
  <c r="B34" i="29"/>
  <c r="C34" i="29" s="1"/>
  <c r="B33" i="29"/>
  <c r="C33" i="29" s="1"/>
  <c r="B7" i="29"/>
  <c r="C7" i="29" s="1"/>
  <c r="L5" i="28"/>
  <c r="M5" i="28" s="1"/>
  <c r="L67" i="28"/>
  <c r="M67" i="28" s="1"/>
  <c r="L68" i="28"/>
  <c r="M68" i="28" s="1"/>
  <c r="L4" i="28"/>
  <c r="M4" i="28" s="1"/>
  <c r="L99" i="28"/>
  <c r="M99" i="28" s="1"/>
  <c r="L100" i="28"/>
  <c r="M100" i="28" s="1"/>
  <c r="G38" i="28"/>
  <c r="K37" i="28"/>
  <c r="K36" i="28"/>
  <c r="G70" i="28"/>
  <c r="K69" i="28"/>
  <c r="G7" i="28"/>
  <c r="K6" i="28"/>
  <c r="G135" i="28"/>
  <c r="K134" i="28"/>
  <c r="B2" i="28"/>
  <c r="C2" i="28" s="1"/>
  <c r="B3" i="28"/>
  <c r="C3" i="28" s="1"/>
  <c r="G102" i="28"/>
  <c r="K101" i="28"/>
  <c r="K133" i="28"/>
  <c r="B35" i="28"/>
  <c r="C35" i="28" s="1"/>
  <c r="B4" i="27"/>
  <c r="C4" i="27" s="1"/>
  <c r="L5" i="27"/>
  <c r="M5" i="27" s="1"/>
  <c r="B5" i="27" s="1"/>
  <c r="C5" i="27" s="1"/>
  <c r="L98" i="27"/>
  <c r="M98" i="27" s="1"/>
  <c r="B98" i="27" s="1"/>
  <c r="C98" i="27" s="1"/>
  <c r="L130" i="27"/>
  <c r="M130" i="27" s="1"/>
  <c r="B130" i="27" s="1"/>
  <c r="C130" i="27" s="1"/>
  <c r="L66" i="27"/>
  <c r="M66" i="27" s="1"/>
  <c r="B66" i="27" s="1"/>
  <c r="C66" i="27" s="1"/>
  <c r="L67" i="27"/>
  <c r="M67" i="27" s="1"/>
  <c r="B3" i="27"/>
  <c r="C3" i="27" s="1"/>
  <c r="B2" i="27"/>
  <c r="C2" i="27" s="1"/>
  <c r="B97" i="27"/>
  <c r="C97" i="27" s="1"/>
  <c r="G7" i="27"/>
  <c r="B95" i="27"/>
  <c r="C95" i="27" s="1"/>
  <c r="B96" i="27"/>
  <c r="C96" i="27" s="1"/>
  <c r="G100" i="27"/>
  <c r="K99" i="27" s="1"/>
  <c r="B35" i="27"/>
  <c r="C35" i="27" s="1"/>
  <c r="B34" i="27"/>
  <c r="C34" i="27" s="1"/>
  <c r="B33" i="27"/>
  <c r="C33" i="27" s="1"/>
  <c r="G133" i="27"/>
  <c r="K131" i="27"/>
  <c r="G38" i="27"/>
  <c r="K37" i="27"/>
  <c r="K36" i="27"/>
  <c r="B128" i="26"/>
  <c r="C128" i="26" s="1"/>
  <c r="B35" i="23"/>
  <c r="C35" i="23" s="1"/>
  <c r="G69" i="27"/>
  <c r="B129" i="27"/>
  <c r="C129" i="27" s="1"/>
  <c r="L100" i="26"/>
  <c r="M100" i="26" s="1"/>
  <c r="B100" i="26" s="1"/>
  <c r="C100" i="26" s="1"/>
  <c r="L67" i="26"/>
  <c r="M67" i="26" s="1"/>
  <c r="B67" i="26" s="1"/>
  <c r="C67" i="26" s="1"/>
  <c r="G38" i="26"/>
  <c r="K37" i="26" s="1"/>
  <c r="K36" i="26"/>
  <c r="G131" i="26"/>
  <c r="K130" i="26" s="1"/>
  <c r="K129" i="26"/>
  <c r="G102" i="26"/>
  <c r="K101" i="26"/>
  <c r="B65" i="26"/>
  <c r="C65" i="26" s="1"/>
  <c r="B64" i="26"/>
  <c r="C64" i="26" s="1"/>
  <c r="G69" i="26"/>
  <c r="G9" i="26"/>
  <c r="K8" i="26"/>
  <c r="K7" i="26"/>
  <c r="B34" i="26"/>
  <c r="C34" i="26" s="1"/>
  <c r="B33" i="26"/>
  <c r="C33" i="26" s="1"/>
  <c r="B5" i="25"/>
  <c r="C5" i="25" s="1"/>
  <c r="B127" i="26"/>
  <c r="C127" i="26" s="1"/>
  <c r="B131" i="25"/>
  <c r="C131" i="25" s="1"/>
  <c r="L6" i="25"/>
  <c r="M6" i="25" s="1"/>
  <c r="B6" i="25" s="1"/>
  <c r="C6" i="25" s="1"/>
  <c r="L132" i="25"/>
  <c r="M132" i="25" s="1"/>
  <c r="B132" i="25" s="1"/>
  <c r="C132" i="25" s="1"/>
  <c r="G101" i="25"/>
  <c r="K100" i="25"/>
  <c r="G38" i="25"/>
  <c r="K37" i="25"/>
  <c r="K36" i="25"/>
  <c r="G72" i="25"/>
  <c r="K71" i="25" s="1"/>
  <c r="K70" i="25"/>
  <c r="K99" i="25"/>
  <c r="G134" i="25"/>
  <c r="G8" i="25"/>
  <c r="B33" i="25"/>
  <c r="C33" i="25" s="1"/>
  <c r="B34" i="25"/>
  <c r="C34" i="25" s="1"/>
  <c r="B4" i="25"/>
  <c r="C4" i="25" s="1"/>
  <c r="B98" i="25"/>
  <c r="C98" i="25" s="1"/>
  <c r="B35" i="25"/>
  <c r="C35" i="25" s="1"/>
  <c r="L133" i="24"/>
  <c r="M133" i="24" s="1"/>
  <c r="L6" i="24"/>
  <c r="M6" i="24" s="1"/>
  <c r="B6" i="24" s="1"/>
  <c r="C6" i="24" s="1"/>
  <c r="L132" i="24"/>
  <c r="M132" i="24" s="1"/>
  <c r="B132" i="24" s="1"/>
  <c r="C132" i="24" s="1"/>
  <c r="L36" i="24"/>
  <c r="M36" i="24" s="1"/>
  <c r="B36" i="24" s="1"/>
  <c r="C36" i="24" s="1"/>
  <c r="L99" i="24"/>
  <c r="M99" i="24" s="1"/>
  <c r="B99" i="24" s="1"/>
  <c r="C99" i="24" s="1"/>
  <c r="L66" i="24"/>
  <c r="M66" i="24" s="1"/>
  <c r="B66" i="24" s="1"/>
  <c r="C66" i="24" s="1"/>
  <c r="G69" i="24"/>
  <c r="K68" i="24"/>
  <c r="K67" i="24"/>
  <c r="G8" i="24"/>
  <c r="G38" i="24"/>
  <c r="K37" i="24"/>
  <c r="G135" i="24"/>
  <c r="K134" i="24"/>
  <c r="B4" i="23"/>
  <c r="C4" i="23" s="1"/>
  <c r="B33" i="24"/>
  <c r="C33" i="24" s="1"/>
  <c r="B34" i="24"/>
  <c r="C34" i="24" s="1"/>
  <c r="G101" i="24"/>
  <c r="K100" i="24"/>
  <c r="L6" i="23"/>
  <c r="M6" i="23" s="1"/>
  <c r="B6" i="23" s="1"/>
  <c r="C6" i="23" s="1"/>
  <c r="L67" i="23"/>
  <c r="M67" i="23" s="1"/>
  <c r="B67" i="23" s="1"/>
  <c r="C67" i="23" s="1"/>
  <c r="L130" i="23"/>
  <c r="M130" i="23" s="1"/>
  <c r="L36" i="23"/>
  <c r="M36" i="23" s="1"/>
  <c r="B36" i="23" s="1"/>
  <c r="C36" i="23" s="1"/>
  <c r="L99" i="23"/>
  <c r="M99" i="23" s="1"/>
  <c r="B99" i="23" s="1"/>
  <c r="C99" i="23" s="1"/>
  <c r="L129" i="23"/>
  <c r="M129" i="23" s="1"/>
  <c r="G69" i="23"/>
  <c r="K68" i="23"/>
  <c r="G38" i="23"/>
  <c r="G132" i="23"/>
  <c r="K131" i="23"/>
  <c r="B65" i="23"/>
  <c r="C65" i="23" s="1"/>
  <c r="B64" i="23"/>
  <c r="C64" i="23" s="1"/>
  <c r="G101" i="23"/>
  <c r="K100" i="23"/>
  <c r="G8" i="23"/>
  <c r="B33" i="23"/>
  <c r="C33" i="23" s="1"/>
  <c r="B34" i="23"/>
  <c r="C34" i="23" s="1"/>
  <c r="L129" i="22"/>
  <c r="M129" i="22" s="1"/>
  <c r="B129" i="22" s="1"/>
  <c r="C129" i="22" s="1"/>
  <c r="L97" i="22"/>
  <c r="M97" i="22" s="1"/>
  <c r="B97" i="22" s="1"/>
  <c r="C97" i="22" s="1"/>
  <c r="L98" i="22"/>
  <c r="M98" i="22" s="1"/>
  <c r="G38" i="22"/>
  <c r="K37" i="22"/>
  <c r="G72" i="22"/>
  <c r="K71" i="22"/>
  <c r="K70" i="22"/>
  <c r="K36" i="22"/>
  <c r="G100" i="22"/>
  <c r="G8" i="22"/>
  <c r="K6" i="22"/>
  <c r="B95" i="22"/>
  <c r="C95" i="22" s="1"/>
  <c r="B96" i="22"/>
  <c r="C96" i="22" s="1"/>
  <c r="B128" i="22"/>
  <c r="C128" i="22" s="1"/>
  <c r="G131" i="22"/>
  <c r="K130" i="22" s="1"/>
  <c r="B35" i="22"/>
  <c r="C35" i="22" s="1"/>
  <c r="B34" i="22"/>
  <c r="C34" i="22" s="1"/>
  <c r="B33" i="22"/>
  <c r="C33" i="22" s="1"/>
  <c r="B129" i="21"/>
  <c r="C129" i="21" s="1"/>
  <c r="L37" i="21"/>
  <c r="M37" i="21" s="1"/>
  <c r="B37" i="21" s="1"/>
  <c r="C37" i="21" s="1"/>
  <c r="L131" i="21"/>
  <c r="M131" i="21" s="1"/>
  <c r="B131" i="21" s="1"/>
  <c r="C131" i="21" s="1"/>
  <c r="L68" i="21"/>
  <c r="M68" i="21" s="1"/>
  <c r="B68" i="21" s="1"/>
  <c r="C68" i="21" s="1"/>
  <c r="L6" i="21"/>
  <c r="M6" i="21" s="1"/>
  <c r="B6" i="21" s="1"/>
  <c r="C6" i="21" s="1"/>
  <c r="L100" i="21"/>
  <c r="M100" i="21" s="1"/>
  <c r="G70" i="21"/>
  <c r="B97" i="9"/>
  <c r="C97" i="9" s="1"/>
  <c r="G133" i="21"/>
  <c r="B67" i="21"/>
  <c r="C67" i="21" s="1"/>
  <c r="B66" i="21"/>
  <c r="C66" i="21" s="1"/>
  <c r="G39" i="21"/>
  <c r="G8" i="21"/>
  <c r="G102" i="21"/>
  <c r="M130" i="8"/>
  <c r="K129" i="1"/>
  <c r="L129" i="1" s="1"/>
  <c r="B129" i="1" s="1"/>
  <c r="C129" i="1" s="1"/>
  <c r="K37" i="1"/>
  <c r="L37" i="1" s="1"/>
  <c r="B37" i="1" s="1"/>
  <c r="C37" i="1" s="1"/>
  <c r="B4" i="1"/>
  <c r="C4" i="1" s="1"/>
  <c r="B65" i="4"/>
  <c r="C65" i="4" s="1"/>
  <c r="B4" i="3"/>
  <c r="C4" i="3" s="1"/>
  <c r="M130" i="4"/>
  <c r="B130" i="4" s="1"/>
  <c r="C130" i="4" s="1"/>
  <c r="M66" i="4"/>
  <c r="B66" i="4" s="1"/>
  <c r="C66" i="4" s="1"/>
  <c r="M5" i="4"/>
  <c r="B5" i="4" s="1"/>
  <c r="C5" i="4" s="1"/>
  <c r="K67" i="4"/>
  <c r="G69" i="4"/>
  <c r="G70" i="4" s="1"/>
  <c r="M98" i="3"/>
  <c r="B98" i="3" s="1"/>
  <c r="C98" i="3" s="1"/>
  <c r="M5" i="3"/>
  <c r="L5" i="1"/>
  <c r="B5" i="1" s="1"/>
  <c r="C5" i="1" s="1"/>
  <c r="L6" i="1"/>
  <c r="B68" i="2"/>
  <c r="C68" i="2" s="1"/>
  <c r="B100" i="9"/>
  <c r="C100" i="9" s="1"/>
  <c r="M5" i="9"/>
  <c r="B5" i="9" s="1"/>
  <c r="C5" i="9" s="1"/>
  <c r="G69" i="9"/>
  <c r="K68" i="9"/>
  <c r="G41" i="9"/>
  <c r="G131" i="9"/>
  <c r="K130" i="9"/>
  <c r="B66" i="9"/>
  <c r="C66" i="9" s="1"/>
  <c r="K39" i="9"/>
  <c r="K129" i="9"/>
  <c r="G103" i="9"/>
  <c r="K102" i="9" s="1"/>
  <c r="B38" i="9"/>
  <c r="C38" i="9" s="1"/>
  <c r="G7" i="9"/>
  <c r="K67" i="9"/>
  <c r="B127" i="9"/>
  <c r="C127" i="9" s="1"/>
  <c r="B126" i="9"/>
  <c r="C126" i="9" s="1"/>
  <c r="K101" i="9"/>
  <c r="B3" i="9"/>
  <c r="C3" i="9" s="1"/>
  <c r="B2" i="9"/>
  <c r="C2" i="9" s="1"/>
  <c r="M5" i="8"/>
  <c r="B5" i="8" s="1"/>
  <c r="C5" i="8" s="1"/>
  <c r="M98" i="8"/>
  <c r="B98" i="8" s="1"/>
  <c r="C98" i="8" s="1"/>
  <c r="M36" i="8"/>
  <c r="B36" i="8" s="1"/>
  <c r="C36" i="8" s="1"/>
  <c r="M129" i="8"/>
  <c r="G38" i="8"/>
  <c r="G69" i="8"/>
  <c r="K68" i="8" s="1"/>
  <c r="K67" i="8"/>
  <c r="G132" i="8"/>
  <c r="K99" i="8"/>
  <c r="G100" i="8"/>
  <c r="B3" i="8"/>
  <c r="C3" i="8" s="1"/>
  <c r="B2" i="8"/>
  <c r="C2" i="8" s="1"/>
  <c r="G7" i="8"/>
  <c r="K6" i="8"/>
  <c r="B66" i="8"/>
  <c r="C66" i="8" s="1"/>
  <c r="B65" i="8"/>
  <c r="C65" i="8" s="1"/>
  <c r="B64" i="8"/>
  <c r="C64" i="8" s="1"/>
  <c r="B4" i="2"/>
  <c r="C4" i="2" s="1"/>
  <c r="B100" i="4"/>
  <c r="C100" i="4" s="1"/>
  <c r="B36" i="1"/>
  <c r="C36" i="1" s="1"/>
  <c r="M36" i="4"/>
  <c r="B36" i="4" s="1"/>
  <c r="C36" i="4" s="1"/>
  <c r="M101" i="4"/>
  <c r="B101" i="4" s="1"/>
  <c r="C101" i="4" s="1"/>
  <c r="G71" i="4"/>
  <c r="K70" i="4"/>
  <c r="K69" i="4"/>
  <c r="B99" i="4"/>
  <c r="C99" i="4" s="1"/>
  <c r="G38" i="4"/>
  <c r="K37" i="4" s="1"/>
  <c r="B68" i="3"/>
  <c r="C68" i="3" s="1"/>
  <c r="G132" i="4"/>
  <c r="K131" i="4" s="1"/>
  <c r="G7" i="4"/>
  <c r="B3" i="4"/>
  <c r="C3" i="4" s="1"/>
  <c r="B2" i="4"/>
  <c r="C2" i="4" s="1"/>
  <c r="G103" i="4"/>
  <c r="B129" i="3"/>
  <c r="C129" i="3" s="1"/>
  <c r="M6" i="3"/>
  <c r="M130" i="3"/>
  <c r="B130" i="3" s="1"/>
  <c r="C130" i="3" s="1"/>
  <c r="G100" i="3"/>
  <c r="K99" i="3"/>
  <c r="G41" i="3"/>
  <c r="G71" i="3"/>
  <c r="K70" i="3" s="1"/>
  <c r="K39" i="3"/>
  <c r="G132" i="3"/>
  <c r="K131" i="3" s="1"/>
  <c r="K69" i="3"/>
  <c r="G8" i="3"/>
  <c r="K7" i="3" s="1"/>
  <c r="B38" i="3"/>
  <c r="C38" i="3" s="1"/>
  <c r="B67" i="2"/>
  <c r="C67" i="2" s="1"/>
  <c r="L69" i="2"/>
  <c r="B69" i="2" s="1"/>
  <c r="C69" i="2" s="1"/>
  <c r="L5" i="2"/>
  <c r="B5" i="2" s="1"/>
  <c r="C5" i="2" s="1"/>
  <c r="L129" i="2"/>
  <c r="B129" i="2" s="1"/>
  <c r="C129" i="2" s="1"/>
  <c r="L98" i="2"/>
  <c r="B98" i="2" s="1"/>
  <c r="C98" i="2" s="1"/>
  <c r="B3" i="2"/>
  <c r="C3" i="2" s="1"/>
  <c r="B2" i="2"/>
  <c r="C2" i="2" s="1"/>
  <c r="G100" i="2"/>
  <c r="J99" i="2" s="1"/>
  <c r="B96" i="2"/>
  <c r="C96" i="2" s="1"/>
  <c r="B95" i="2"/>
  <c r="C95" i="2" s="1"/>
  <c r="B35" i="2"/>
  <c r="C35" i="2" s="1"/>
  <c r="B128" i="2"/>
  <c r="C128" i="2" s="1"/>
  <c r="J37" i="2"/>
  <c r="G38" i="2"/>
  <c r="G7" i="2"/>
  <c r="J6" i="2"/>
  <c r="G71" i="2"/>
  <c r="J70" i="2" s="1"/>
  <c r="G131" i="2"/>
  <c r="J130" i="2"/>
  <c r="B127" i="2"/>
  <c r="C127" i="2" s="1"/>
  <c r="B126" i="2"/>
  <c r="C126" i="2" s="1"/>
  <c r="J36" i="2"/>
  <c r="G131" i="1"/>
  <c r="J130" i="1" s="1"/>
  <c r="B126" i="1"/>
  <c r="C126" i="1" s="1"/>
  <c r="B127" i="1"/>
  <c r="C127" i="1" s="1"/>
  <c r="G100" i="1"/>
  <c r="J99" i="1"/>
  <c r="J98" i="1"/>
  <c r="G69" i="1"/>
  <c r="J68" i="1"/>
  <c r="J67" i="1"/>
  <c r="B66" i="1"/>
  <c r="C66" i="1" s="1"/>
  <c r="B65" i="1"/>
  <c r="C65" i="1" s="1"/>
  <c r="B64" i="1"/>
  <c r="C64" i="1" s="1"/>
  <c r="G39" i="1"/>
  <c r="J38" i="1" s="1"/>
  <c r="J2" i="1"/>
  <c r="L100" i="34" a="1"/>
  <c r="L134" i="34" a="1"/>
  <c r="L133" i="34" a="1"/>
  <c r="L6" i="34" a="1"/>
  <c r="L69" i="34" a="1"/>
  <c r="L101" i="33" a="1"/>
  <c r="L6" i="33" a="1"/>
  <c r="L37" i="33" a="1"/>
  <c r="L36" i="33" a="1"/>
  <c r="L133" i="33" a="1"/>
  <c r="L131" i="32" a="1"/>
  <c r="L68" i="32" a="1"/>
  <c r="L99" i="32" a="1"/>
  <c r="L130" i="32" a="1"/>
  <c r="L37" i="32" a="1"/>
  <c r="L100" i="32" a="1"/>
  <c r="L36" i="31" a="1"/>
  <c r="L69" i="31" a="1"/>
  <c r="L6" i="31" a="1"/>
  <c r="L101" i="31" a="1"/>
  <c r="L100" i="31" a="1"/>
  <c r="L37" i="30" a="1"/>
  <c r="L69" i="30" a="1"/>
  <c r="L36" i="30" a="1"/>
  <c r="L134" i="30" a="1"/>
  <c r="L100" i="30" a="1"/>
  <c r="L68" i="29" a="1"/>
  <c r="L67" i="29" a="1"/>
  <c r="L37" i="29" a="1"/>
  <c r="L36" i="29" a="1"/>
  <c r="L100" i="29" a="1"/>
  <c r="L133" i="28" a="1"/>
  <c r="L37" i="28" a="1"/>
  <c r="L69" i="28" a="1"/>
  <c r="L36" i="28" a="1"/>
  <c r="L6" i="28" a="1"/>
  <c r="L134" i="28" a="1"/>
  <c r="L101" i="28" a="1"/>
  <c r="L131" i="27" a="1"/>
  <c r="L37" i="27" a="1"/>
  <c r="L36" i="27" a="1"/>
  <c r="L99" i="27" a="1"/>
  <c r="L36" i="26" a="1"/>
  <c r="L7" i="26" a="1"/>
  <c r="L8" i="26" a="1"/>
  <c r="L129" i="26" a="1"/>
  <c r="L101" i="26" a="1"/>
  <c r="L37" i="26" a="1"/>
  <c r="L130" i="26" a="1"/>
  <c r="L100" i="25" a="1"/>
  <c r="L37" i="25" a="1"/>
  <c r="L36" i="25" a="1"/>
  <c r="L70" i="25" a="1"/>
  <c r="L99" i="25" a="1"/>
  <c r="L71" i="25" a="1"/>
  <c r="L100" i="24" a="1"/>
  <c r="L68" i="24" a="1"/>
  <c r="L67" i="24" a="1"/>
  <c r="L134" i="24" a="1"/>
  <c r="L37" i="24" a="1"/>
  <c r="L68" i="23" a="1"/>
  <c r="L131" i="23" a="1"/>
  <c r="L100" i="23" a="1"/>
  <c r="L37" i="22" a="1"/>
  <c r="L36" i="22" a="1"/>
  <c r="L71" i="22" a="1"/>
  <c r="L70" i="22" a="1"/>
  <c r="L6" i="22" a="1"/>
  <c r="L130" i="22" a="1"/>
  <c r="K99" i="1" a="1"/>
  <c r="K98" i="1" a="1"/>
  <c r="K68" i="1" a="1"/>
  <c r="K38" i="1" a="1"/>
  <c r="K2" i="1" a="1"/>
  <c r="K67" i="1" a="1"/>
  <c r="K130" i="1" a="1"/>
  <c r="L69" i="34" l="1"/>
  <c r="M69" i="34" s="1"/>
  <c r="L6" i="34"/>
  <c r="M6" i="34" s="1"/>
  <c r="B6" i="34" s="1"/>
  <c r="C6" i="34" s="1"/>
  <c r="L133" i="34"/>
  <c r="M133" i="34" s="1"/>
  <c r="L134" i="34"/>
  <c r="M134" i="34" s="1"/>
  <c r="L100" i="34"/>
  <c r="M100" i="34" s="1"/>
  <c r="G40" i="34"/>
  <c r="G71" i="34"/>
  <c r="G8" i="34"/>
  <c r="G136" i="34"/>
  <c r="K135" i="34"/>
  <c r="G103" i="34"/>
  <c r="K101" i="34"/>
  <c r="B37" i="34"/>
  <c r="C37" i="34" s="1"/>
  <c r="B36" i="34"/>
  <c r="C36" i="34" s="1"/>
  <c r="B69" i="34"/>
  <c r="C69" i="34" s="1"/>
  <c r="B5" i="34"/>
  <c r="C5" i="34" s="1"/>
  <c r="B4" i="34"/>
  <c r="C4" i="34" s="1"/>
  <c r="B68" i="34"/>
  <c r="C68" i="34" s="1"/>
  <c r="B67" i="34"/>
  <c r="C67" i="34" s="1"/>
  <c r="K38" i="34"/>
  <c r="L133" i="33"/>
  <c r="M133" i="33" s="1"/>
  <c r="B133" i="33" s="1"/>
  <c r="C133" i="33" s="1"/>
  <c r="L36" i="33"/>
  <c r="M36" i="33" s="1"/>
  <c r="L37" i="33"/>
  <c r="M37" i="33" s="1"/>
  <c r="L6" i="33"/>
  <c r="M6" i="33" s="1"/>
  <c r="L101" i="33"/>
  <c r="M101" i="33" s="1"/>
  <c r="B101" i="33" s="1"/>
  <c r="C101" i="33" s="1"/>
  <c r="G39" i="33"/>
  <c r="K38" i="33"/>
  <c r="G72" i="33"/>
  <c r="K71" i="33"/>
  <c r="K70" i="33"/>
  <c r="G8" i="33"/>
  <c r="G103" i="33"/>
  <c r="B6" i="33"/>
  <c r="C6" i="33" s="1"/>
  <c r="B5" i="33"/>
  <c r="C5" i="33" s="1"/>
  <c r="B4" i="33"/>
  <c r="C4" i="33" s="1"/>
  <c r="B100" i="33"/>
  <c r="C100" i="33" s="1"/>
  <c r="B99" i="33"/>
  <c r="C99" i="33" s="1"/>
  <c r="G135" i="33"/>
  <c r="K134" i="33"/>
  <c r="L100" i="32"/>
  <c r="M100" i="32" s="1"/>
  <c r="L37" i="32"/>
  <c r="M37" i="32" s="1"/>
  <c r="B37" i="32" s="1"/>
  <c r="C37" i="32" s="1"/>
  <c r="L130" i="32"/>
  <c r="M130" i="32" s="1"/>
  <c r="L99" i="32"/>
  <c r="M99" i="32" s="1"/>
  <c r="L68" i="32"/>
  <c r="M68" i="32" s="1"/>
  <c r="B68" i="32" s="1"/>
  <c r="C68" i="32" s="1"/>
  <c r="L131" i="32"/>
  <c r="M131" i="32" s="1"/>
  <c r="G9" i="32"/>
  <c r="K8" i="32" s="1"/>
  <c r="K7" i="32"/>
  <c r="G133" i="32"/>
  <c r="K132" i="32"/>
  <c r="G102" i="32"/>
  <c r="K101" i="32"/>
  <c r="G39" i="32"/>
  <c r="K38" i="32"/>
  <c r="G70" i="32"/>
  <c r="K69" i="32"/>
  <c r="L100" i="31"/>
  <c r="M100" i="31" s="1"/>
  <c r="L101" i="31"/>
  <c r="M101" i="31" s="1"/>
  <c r="L6" i="31"/>
  <c r="M6" i="31" s="1"/>
  <c r="B6" i="31" s="1"/>
  <c r="C6" i="31" s="1"/>
  <c r="L69" i="31"/>
  <c r="M69" i="31" s="1"/>
  <c r="B69" i="31" s="1"/>
  <c r="C69" i="31" s="1"/>
  <c r="L36" i="31"/>
  <c r="M36" i="31" s="1"/>
  <c r="G39" i="31"/>
  <c r="K38" i="31"/>
  <c r="G135" i="31"/>
  <c r="K134" i="31"/>
  <c r="K133" i="31"/>
  <c r="G103" i="31"/>
  <c r="B132" i="31"/>
  <c r="C132" i="31" s="1"/>
  <c r="G8" i="31"/>
  <c r="G71" i="31"/>
  <c r="K70" i="31" s="1"/>
  <c r="K37" i="31"/>
  <c r="B5" i="31"/>
  <c r="C5" i="31" s="1"/>
  <c r="B4" i="31"/>
  <c r="C4" i="31" s="1"/>
  <c r="L100" i="30"/>
  <c r="M100" i="30" s="1"/>
  <c r="B100" i="30" s="1"/>
  <c r="C100" i="30" s="1"/>
  <c r="L134" i="30"/>
  <c r="M134" i="30" s="1"/>
  <c r="B134" i="30" s="1"/>
  <c r="C134" i="30" s="1"/>
  <c r="L36" i="30"/>
  <c r="M36" i="30" s="1"/>
  <c r="L69" i="30"/>
  <c r="M69" i="30" s="1"/>
  <c r="B69" i="30" s="1"/>
  <c r="C69" i="30" s="1"/>
  <c r="L37" i="30"/>
  <c r="M37" i="30" s="1"/>
  <c r="G12" i="30"/>
  <c r="K11" i="30"/>
  <c r="B68" i="30"/>
  <c r="C68" i="30" s="1"/>
  <c r="B67" i="30"/>
  <c r="C67" i="30" s="1"/>
  <c r="G102" i="30"/>
  <c r="K101" i="30"/>
  <c r="G136" i="30"/>
  <c r="K135" i="30"/>
  <c r="K10" i="30"/>
  <c r="G39" i="30"/>
  <c r="K38" i="30"/>
  <c r="G71" i="30"/>
  <c r="B9" i="30"/>
  <c r="C9" i="30" s="1"/>
  <c r="L100" i="29"/>
  <c r="M100" i="29" s="1"/>
  <c r="B100" i="29" s="1"/>
  <c r="C100" i="29" s="1"/>
  <c r="L36" i="29"/>
  <c r="M36" i="29" s="1"/>
  <c r="L37" i="29"/>
  <c r="M37" i="29" s="1"/>
  <c r="L67" i="29"/>
  <c r="M67" i="29" s="1"/>
  <c r="L68" i="29"/>
  <c r="M68" i="29" s="1"/>
  <c r="G12" i="29"/>
  <c r="K11" i="29"/>
  <c r="K10" i="29"/>
  <c r="B6" i="3"/>
  <c r="G39" i="29"/>
  <c r="K38" i="29" s="1"/>
  <c r="G102" i="29"/>
  <c r="K101" i="29"/>
  <c r="K133" i="29"/>
  <c r="G134" i="29"/>
  <c r="K132" i="29"/>
  <c r="G70" i="29"/>
  <c r="K69" i="29" s="1"/>
  <c r="B99" i="29"/>
  <c r="C99" i="29" s="1"/>
  <c r="B98" i="29"/>
  <c r="C98" i="29" s="1"/>
  <c r="L101" i="28"/>
  <c r="M101" i="28" s="1"/>
  <c r="B101" i="28" s="1"/>
  <c r="C101" i="28" s="1"/>
  <c r="L134" i="28"/>
  <c r="M134" i="28" s="1"/>
  <c r="L6" i="28"/>
  <c r="M6" i="28" s="1"/>
  <c r="B6" i="28" s="1"/>
  <c r="C6" i="28" s="1"/>
  <c r="L36" i="28"/>
  <c r="M36" i="28" s="1"/>
  <c r="L69" i="28"/>
  <c r="M69" i="28" s="1"/>
  <c r="L37" i="28"/>
  <c r="M37" i="28" s="1"/>
  <c r="L133" i="28"/>
  <c r="M133" i="28" s="1"/>
  <c r="G103" i="28"/>
  <c r="K102" i="28" s="1"/>
  <c r="G71" i="28"/>
  <c r="B100" i="28"/>
  <c r="C100" i="28" s="1"/>
  <c r="B99" i="28"/>
  <c r="C99" i="28" s="1"/>
  <c r="B5" i="28"/>
  <c r="C5" i="28" s="1"/>
  <c r="B4" i="28"/>
  <c r="C4" i="28" s="1"/>
  <c r="G136" i="28"/>
  <c r="K135" i="28"/>
  <c r="G8" i="28"/>
  <c r="G39" i="28"/>
  <c r="K38" i="28"/>
  <c r="B68" i="28"/>
  <c r="C68" i="28" s="1"/>
  <c r="B67" i="28"/>
  <c r="C67" i="28" s="1"/>
  <c r="L99" i="27"/>
  <c r="M99" i="27" s="1"/>
  <c r="B99" i="27" s="1"/>
  <c r="C99" i="27" s="1"/>
  <c r="L36" i="27"/>
  <c r="M36" i="27" s="1"/>
  <c r="L37" i="27"/>
  <c r="M37" i="27" s="1"/>
  <c r="L131" i="27"/>
  <c r="M131" i="27" s="1"/>
  <c r="B131" i="27" s="1"/>
  <c r="C131" i="27" s="1"/>
  <c r="G8" i="27"/>
  <c r="G70" i="27"/>
  <c r="K69" i="27"/>
  <c r="K68" i="27"/>
  <c r="G39" i="27"/>
  <c r="K38" i="27"/>
  <c r="B67" i="27"/>
  <c r="C67" i="27" s="1"/>
  <c r="G134" i="27"/>
  <c r="K133" i="27"/>
  <c r="G101" i="27"/>
  <c r="K100" i="27"/>
  <c r="K6" i="27"/>
  <c r="K132" i="27"/>
  <c r="L130" i="26"/>
  <c r="M130" i="26" s="1"/>
  <c r="L37" i="26"/>
  <c r="M37" i="26" s="1"/>
  <c r="L101" i="26"/>
  <c r="M101" i="26" s="1"/>
  <c r="L129" i="26"/>
  <c r="M129" i="26" s="1"/>
  <c r="L8" i="26"/>
  <c r="M8" i="26" s="1"/>
  <c r="L7" i="26"/>
  <c r="M7" i="26" s="1"/>
  <c r="L36" i="26"/>
  <c r="M36" i="26" s="1"/>
  <c r="B133" i="24"/>
  <c r="C133" i="24" s="1"/>
  <c r="K102" i="26"/>
  <c r="G103" i="26"/>
  <c r="G10" i="26"/>
  <c r="G70" i="26"/>
  <c r="K68" i="26"/>
  <c r="G132" i="26"/>
  <c r="K131" i="26" s="1"/>
  <c r="G39" i="26"/>
  <c r="K38" i="26"/>
  <c r="L71" i="25"/>
  <c r="M71" i="25" s="1"/>
  <c r="L99" i="25"/>
  <c r="M99" i="25" s="1"/>
  <c r="L70" i="25"/>
  <c r="M70" i="25" s="1"/>
  <c r="L36" i="25"/>
  <c r="M36" i="25" s="1"/>
  <c r="L37" i="25"/>
  <c r="M37" i="25" s="1"/>
  <c r="L100" i="25"/>
  <c r="M100" i="25" s="1"/>
  <c r="G135" i="25"/>
  <c r="K134" i="25"/>
  <c r="K133" i="25"/>
  <c r="K8" i="25"/>
  <c r="G9" i="25"/>
  <c r="K7" i="25"/>
  <c r="G39" i="25"/>
  <c r="K38" i="25"/>
  <c r="G102" i="25"/>
  <c r="K101" i="25"/>
  <c r="G73" i="25"/>
  <c r="K72" i="25"/>
  <c r="L37" i="24"/>
  <c r="M37" i="24" s="1"/>
  <c r="B37" i="24" s="1"/>
  <c r="C37" i="24" s="1"/>
  <c r="L134" i="24"/>
  <c r="M134" i="24" s="1"/>
  <c r="L67" i="24"/>
  <c r="M67" i="24" s="1"/>
  <c r="B67" i="24" s="1"/>
  <c r="C67" i="24" s="1"/>
  <c r="L68" i="24"/>
  <c r="M68" i="24" s="1"/>
  <c r="L100" i="24"/>
  <c r="M100" i="24" s="1"/>
  <c r="B100" i="24" s="1"/>
  <c r="C100" i="24" s="1"/>
  <c r="G39" i="24"/>
  <c r="K38" i="24"/>
  <c r="G9" i="24"/>
  <c r="K8" i="24"/>
  <c r="K7" i="24"/>
  <c r="G70" i="24"/>
  <c r="K69" i="24"/>
  <c r="G102" i="24"/>
  <c r="K101" i="24"/>
  <c r="G136" i="24"/>
  <c r="K135" i="24"/>
  <c r="L100" i="23"/>
  <c r="M100" i="23" s="1"/>
  <c r="B100" i="23" s="1"/>
  <c r="C100" i="23" s="1"/>
  <c r="L131" i="23"/>
  <c r="M131" i="23" s="1"/>
  <c r="B131" i="23" s="1"/>
  <c r="C131" i="23" s="1"/>
  <c r="L68" i="23"/>
  <c r="M68" i="23" s="1"/>
  <c r="B68" i="23" s="1"/>
  <c r="C68" i="23" s="1"/>
  <c r="G133" i="23"/>
  <c r="K132" i="23"/>
  <c r="G39" i="23"/>
  <c r="K38" i="23"/>
  <c r="K37" i="23"/>
  <c r="G70" i="23"/>
  <c r="K69" i="23"/>
  <c r="G102" i="23"/>
  <c r="K101" i="23"/>
  <c r="B130" i="23"/>
  <c r="C130" i="23" s="1"/>
  <c r="B129" i="23"/>
  <c r="C129" i="23" s="1"/>
  <c r="G9" i="23"/>
  <c r="K8" i="23"/>
  <c r="K7" i="23"/>
  <c r="L130" i="22"/>
  <c r="M130" i="22" s="1"/>
  <c r="B130" i="22" s="1"/>
  <c r="C130" i="22" s="1"/>
  <c r="L6" i="22"/>
  <c r="M6" i="22" s="1"/>
  <c r="L70" i="22"/>
  <c r="M70" i="22" s="1"/>
  <c r="L71" i="22"/>
  <c r="M71" i="22" s="1"/>
  <c r="L36" i="22"/>
  <c r="M36" i="22" s="1"/>
  <c r="L37" i="22"/>
  <c r="M37" i="22" s="1"/>
  <c r="G73" i="22"/>
  <c r="G9" i="22"/>
  <c r="K8" i="22"/>
  <c r="G39" i="22"/>
  <c r="K38" i="22"/>
  <c r="K7" i="22"/>
  <c r="G101" i="22"/>
  <c r="K100" i="22"/>
  <c r="K99" i="22"/>
  <c r="G132" i="22"/>
  <c r="K131" i="22"/>
  <c r="B98" i="22"/>
  <c r="C98" i="22" s="1"/>
  <c r="G103" i="21"/>
  <c r="K102" i="21"/>
  <c r="G9" i="21"/>
  <c r="K8" i="21"/>
  <c r="K7" i="21"/>
  <c r="G40" i="21"/>
  <c r="K38" i="21"/>
  <c r="G71" i="21"/>
  <c r="K69" i="21"/>
  <c r="G134" i="21"/>
  <c r="K133" i="21"/>
  <c r="K132" i="21"/>
  <c r="B100" i="21"/>
  <c r="C100" i="21" s="1"/>
  <c r="K101" i="21"/>
  <c r="M39" i="9"/>
  <c r="M68" i="9"/>
  <c r="M101" i="9"/>
  <c r="K130" i="1"/>
  <c r="L130" i="1" s="1"/>
  <c r="B130" i="1" s="1"/>
  <c r="C130" i="1" s="1"/>
  <c r="K67" i="1"/>
  <c r="L67" i="1" s="1"/>
  <c r="K2" i="1"/>
  <c r="L2" i="1" s="1"/>
  <c r="K38" i="1"/>
  <c r="K68" i="1"/>
  <c r="L68" i="1" s="1"/>
  <c r="K98" i="1"/>
  <c r="L98" i="1" s="1"/>
  <c r="K99" i="1"/>
  <c r="L99" i="1" s="1"/>
  <c r="B5" i="3"/>
  <c r="C5" i="3" s="1"/>
  <c r="M67" i="4"/>
  <c r="K68" i="4"/>
  <c r="M70" i="3"/>
  <c r="M99" i="3"/>
  <c r="B99" i="3" s="1"/>
  <c r="C99" i="3" s="1"/>
  <c r="B6" i="1"/>
  <c r="C6" i="1" s="1"/>
  <c r="C6" i="3"/>
  <c r="M102" i="9"/>
  <c r="M130" i="9"/>
  <c r="M129" i="9"/>
  <c r="M67" i="9"/>
  <c r="G104" i="9"/>
  <c r="G70" i="9"/>
  <c r="K69" i="9" s="1"/>
  <c r="G8" i="9"/>
  <c r="G132" i="9"/>
  <c r="K41" i="9"/>
  <c r="G42" i="9"/>
  <c r="K40" i="9"/>
  <c r="K6" i="9"/>
  <c r="M99" i="8"/>
  <c r="B99" i="8" s="1"/>
  <c r="C99" i="8" s="1"/>
  <c r="M67" i="8"/>
  <c r="M68" i="8"/>
  <c r="M6" i="8"/>
  <c r="B6" i="8" s="1"/>
  <c r="C6" i="8" s="1"/>
  <c r="G133" i="8"/>
  <c r="K132" i="8"/>
  <c r="K131" i="8"/>
  <c r="G70" i="8"/>
  <c r="K69" i="8" s="1"/>
  <c r="G39" i="8"/>
  <c r="K38" i="8"/>
  <c r="K37" i="8"/>
  <c r="B130" i="8"/>
  <c r="C130" i="8" s="1"/>
  <c r="B129" i="8"/>
  <c r="C129" i="8" s="1"/>
  <c r="G8" i="8"/>
  <c r="K7" i="8" s="1"/>
  <c r="G101" i="8"/>
  <c r="K100" i="8" s="1"/>
  <c r="M131" i="4"/>
  <c r="B131" i="4" s="1"/>
  <c r="C131" i="4" s="1"/>
  <c r="M37" i="4"/>
  <c r="B37" i="4" s="1"/>
  <c r="C37" i="4" s="1"/>
  <c r="M70" i="4"/>
  <c r="M69" i="4"/>
  <c r="G8" i="4"/>
  <c r="K7" i="4" s="1"/>
  <c r="G104" i="4"/>
  <c r="K102" i="4"/>
  <c r="K6" i="4"/>
  <c r="G133" i="4"/>
  <c r="K132" i="4"/>
  <c r="G39" i="4"/>
  <c r="K38" i="4" s="1"/>
  <c r="G72" i="4"/>
  <c r="K71" i="4"/>
  <c r="M131" i="3"/>
  <c r="B131" i="3" s="1"/>
  <c r="C131" i="3" s="1"/>
  <c r="M7" i="3"/>
  <c r="M39" i="3"/>
  <c r="M69" i="3"/>
  <c r="G72" i="3"/>
  <c r="K71" i="3" s="1"/>
  <c r="G42" i="3"/>
  <c r="K41" i="3"/>
  <c r="G133" i="3"/>
  <c r="K132" i="3"/>
  <c r="K40" i="3"/>
  <c r="G101" i="3"/>
  <c r="K100" i="3"/>
  <c r="G9" i="3"/>
  <c r="K8" i="3" s="1"/>
  <c r="L99" i="2"/>
  <c r="B99" i="2" s="1"/>
  <c r="C99" i="2" s="1"/>
  <c r="L70" i="2"/>
  <c r="B70" i="2" s="1"/>
  <c r="C70" i="2" s="1"/>
  <c r="L36" i="2"/>
  <c r="L130" i="2"/>
  <c r="B130" i="2" s="1"/>
  <c r="C130" i="2" s="1"/>
  <c r="L6" i="2"/>
  <c r="L37" i="2"/>
  <c r="G72" i="2"/>
  <c r="G132" i="2"/>
  <c r="G8" i="2"/>
  <c r="G101" i="2"/>
  <c r="J100" i="2"/>
  <c r="G39" i="2"/>
  <c r="J38" i="2"/>
  <c r="G132" i="1"/>
  <c r="G101" i="1"/>
  <c r="G70" i="1"/>
  <c r="L38" i="1"/>
  <c r="B38" i="1" s="1"/>
  <c r="C38" i="1" s="1"/>
  <c r="G40" i="1"/>
  <c r="J39" i="1"/>
  <c r="L38" i="34" a="1"/>
  <c r="L135" i="34" a="1"/>
  <c r="L101" i="34" a="1"/>
  <c r="L134" i="33" a="1"/>
  <c r="L38" i="33" a="1"/>
  <c r="L71" i="33" a="1"/>
  <c r="L70" i="33" a="1"/>
  <c r="L7" i="32" a="1"/>
  <c r="L38" i="32" a="1"/>
  <c r="L132" i="32" a="1"/>
  <c r="L101" i="32" a="1"/>
  <c r="L69" i="32" a="1"/>
  <c r="L8" i="32" a="1"/>
  <c r="L37" i="31" a="1"/>
  <c r="L134" i="31" a="1"/>
  <c r="L133" i="31" a="1"/>
  <c r="L38" i="31" a="1"/>
  <c r="L70" i="31" a="1"/>
  <c r="L101" i="30" a="1"/>
  <c r="L135" i="30" a="1"/>
  <c r="L10" i="30" a="1"/>
  <c r="L38" i="30" a="1"/>
  <c r="L11" i="30" a="1"/>
  <c r="L11" i="29" a="1"/>
  <c r="L10" i="29" a="1"/>
  <c r="L101" i="29" a="1"/>
  <c r="L133" i="29" a="1"/>
  <c r="L132" i="29" a="1"/>
  <c r="L38" i="29" a="1"/>
  <c r="L69" i="29" a="1"/>
  <c r="L38" i="28" a="1"/>
  <c r="L135" i="28" a="1"/>
  <c r="L102" i="28" a="1"/>
  <c r="L132" i="27" a="1"/>
  <c r="L68" i="27" a="1"/>
  <c r="L38" i="27" a="1"/>
  <c r="L133" i="27" a="1"/>
  <c r="L100" i="27" a="1"/>
  <c r="L6" i="27" a="1"/>
  <c r="L69" i="27" a="1"/>
  <c r="L102" i="26" a="1"/>
  <c r="L68" i="26" a="1"/>
  <c r="L38" i="26" a="1"/>
  <c r="L131" i="26" a="1"/>
  <c r="L134" i="25" a="1"/>
  <c r="L133" i="25" a="1"/>
  <c r="L8" i="25" a="1"/>
  <c r="L7" i="25" a="1"/>
  <c r="L38" i="25" a="1"/>
  <c r="L101" i="25" a="1"/>
  <c r="L72" i="25" a="1"/>
  <c r="L69" i="24" a="1"/>
  <c r="L101" i="24" a="1"/>
  <c r="L38" i="24" a="1"/>
  <c r="L8" i="24" a="1"/>
  <c r="L7" i="24" a="1"/>
  <c r="L135" i="24" a="1"/>
  <c r="L132" i="23" a="1"/>
  <c r="L38" i="23" a="1"/>
  <c r="L37" i="23" a="1"/>
  <c r="L69" i="23" a="1"/>
  <c r="L101" i="23" a="1"/>
  <c r="L8" i="23" a="1"/>
  <c r="L7" i="23" a="1"/>
  <c r="L7" i="22" a="1"/>
  <c r="L38" i="22" a="1"/>
  <c r="L99" i="22" a="1"/>
  <c r="L8" i="22" a="1"/>
  <c r="L100" i="22" a="1"/>
  <c r="L131" i="22" a="1"/>
  <c r="L102" i="21" a="1"/>
  <c r="L8" i="21" a="1"/>
  <c r="L38" i="21" a="1"/>
  <c r="L69" i="21" a="1"/>
  <c r="L7" i="21" a="1"/>
  <c r="L133" i="21" a="1"/>
  <c r="L132" i="21" a="1"/>
  <c r="L101" i="21" a="1"/>
  <c r="K39" i="1" a="1"/>
  <c r="L101" i="34" l="1"/>
  <c r="M101" i="34" s="1"/>
  <c r="L135" i="34"/>
  <c r="M135" i="34" s="1"/>
  <c r="L38" i="34"/>
  <c r="M38" i="34" s="1"/>
  <c r="G104" i="34"/>
  <c r="K103" i="34"/>
  <c r="G9" i="34"/>
  <c r="K8" i="34"/>
  <c r="G72" i="34"/>
  <c r="K71" i="34"/>
  <c r="G41" i="34"/>
  <c r="K40" i="34"/>
  <c r="K39" i="34"/>
  <c r="B135" i="34"/>
  <c r="C135" i="34" s="1"/>
  <c r="B134" i="34"/>
  <c r="C134" i="34" s="1"/>
  <c r="B133" i="34"/>
  <c r="C133" i="34" s="1"/>
  <c r="K102" i="34"/>
  <c r="G137" i="34"/>
  <c r="K7" i="34"/>
  <c r="K70" i="34"/>
  <c r="B101" i="34"/>
  <c r="C101" i="34" s="1"/>
  <c r="B100" i="34"/>
  <c r="C100" i="34" s="1"/>
  <c r="L70" i="33"/>
  <c r="M70" i="33" s="1"/>
  <c r="L71" i="33"/>
  <c r="M71" i="33" s="1"/>
  <c r="L38" i="33"/>
  <c r="M38" i="33" s="1"/>
  <c r="L134" i="33"/>
  <c r="M134" i="33" s="1"/>
  <c r="G104" i="33"/>
  <c r="K103" i="33"/>
  <c r="K102" i="33"/>
  <c r="G9" i="33"/>
  <c r="K8" i="33"/>
  <c r="K7" i="33"/>
  <c r="G73" i="33"/>
  <c r="K72" i="33"/>
  <c r="G40" i="33"/>
  <c r="B38" i="33"/>
  <c r="C38" i="33" s="1"/>
  <c r="G136" i="33"/>
  <c r="K135" i="33"/>
  <c r="B37" i="33"/>
  <c r="C37" i="33" s="1"/>
  <c r="B36" i="33"/>
  <c r="C36" i="33" s="1"/>
  <c r="L8" i="32"/>
  <c r="M8" i="32" s="1"/>
  <c r="L69" i="32"/>
  <c r="M69" i="32" s="1"/>
  <c r="B69" i="32" s="1"/>
  <c r="C69" i="32" s="1"/>
  <c r="L101" i="32"/>
  <c r="M101" i="32" s="1"/>
  <c r="B101" i="32" s="1"/>
  <c r="C101" i="32" s="1"/>
  <c r="L132" i="32"/>
  <c r="M132" i="32" s="1"/>
  <c r="L38" i="32"/>
  <c r="M38" i="32" s="1"/>
  <c r="L7" i="32"/>
  <c r="M7" i="32" s="1"/>
  <c r="G134" i="32"/>
  <c r="B100" i="32"/>
  <c r="C100" i="32" s="1"/>
  <c r="B99" i="32"/>
  <c r="C99" i="32" s="1"/>
  <c r="B131" i="32"/>
  <c r="C131" i="32" s="1"/>
  <c r="B130" i="32"/>
  <c r="C130" i="32" s="1"/>
  <c r="G71" i="32"/>
  <c r="G40" i="32"/>
  <c r="G103" i="32"/>
  <c r="G10" i="32"/>
  <c r="K9" i="32" s="1"/>
  <c r="L70" i="31"/>
  <c r="M70" i="31" s="1"/>
  <c r="B70" i="31" s="1"/>
  <c r="C70" i="31" s="1"/>
  <c r="L38" i="31"/>
  <c r="M38" i="31" s="1"/>
  <c r="L133" i="31"/>
  <c r="M133" i="31" s="1"/>
  <c r="L134" i="31"/>
  <c r="M134" i="31" s="1"/>
  <c r="L37" i="31"/>
  <c r="M37" i="31" s="1"/>
  <c r="G136" i="31"/>
  <c r="K135" i="31"/>
  <c r="B36" i="31"/>
  <c r="C36" i="31" s="1"/>
  <c r="G9" i="31"/>
  <c r="G104" i="31"/>
  <c r="K103" i="31"/>
  <c r="G72" i="31"/>
  <c r="K71" i="31"/>
  <c r="K7" i="31"/>
  <c r="K102" i="31"/>
  <c r="G40" i="31"/>
  <c r="B101" i="31"/>
  <c r="C101" i="31" s="1"/>
  <c r="B100" i="31"/>
  <c r="C100" i="31" s="1"/>
  <c r="L11" i="30"/>
  <c r="M11" i="30" s="1"/>
  <c r="L38" i="30"/>
  <c r="M38" i="30" s="1"/>
  <c r="B38" i="30" s="1"/>
  <c r="C38" i="30" s="1"/>
  <c r="L10" i="30"/>
  <c r="M10" i="30" s="1"/>
  <c r="L135" i="30"/>
  <c r="M135" i="30" s="1"/>
  <c r="L101" i="30"/>
  <c r="M101" i="30" s="1"/>
  <c r="G72" i="30"/>
  <c r="K71" i="30"/>
  <c r="K70" i="30"/>
  <c r="G40" i="30"/>
  <c r="K39" i="30" s="1"/>
  <c r="G137" i="30"/>
  <c r="G103" i="30"/>
  <c r="B37" i="30"/>
  <c r="C37" i="30" s="1"/>
  <c r="B36" i="30"/>
  <c r="C36" i="30" s="1"/>
  <c r="G13" i="30"/>
  <c r="L69" i="29"/>
  <c r="M69" i="29" s="1"/>
  <c r="B69" i="29" s="1"/>
  <c r="C69" i="29" s="1"/>
  <c r="L38" i="29"/>
  <c r="M38" i="29" s="1"/>
  <c r="B38" i="29" s="1"/>
  <c r="C38" i="29" s="1"/>
  <c r="L132" i="29"/>
  <c r="M132" i="29" s="1"/>
  <c r="L133" i="29"/>
  <c r="M133" i="29" s="1"/>
  <c r="L101" i="29"/>
  <c r="M101" i="29" s="1"/>
  <c r="B101" i="29" s="1"/>
  <c r="C101" i="29" s="1"/>
  <c r="L10" i="29"/>
  <c r="M10" i="29" s="1"/>
  <c r="L11" i="29"/>
  <c r="M11" i="29" s="1"/>
  <c r="G135" i="29"/>
  <c r="K134" i="29"/>
  <c r="G103" i="29"/>
  <c r="K102" i="29" s="1"/>
  <c r="G40" i="29"/>
  <c r="K39" i="29"/>
  <c r="G71" i="29"/>
  <c r="K70" i="29"/>
  <c r="G13" i="29"/>
  <c r="K12" i="29"/>
  <c r="B68" i="29"/>
  <c r="C68" i="29" s="1"/>
  <c r="B67" i="29"/>
  <c r="C67" i="29" s="1"/>
  <c r="B37" i="29"/>
  <c r="C37" i="29" s="1"/>
  <c r="B36" i="29"/>
  <c r="C36" i="29" s="1"/>
  <c r="L102" i="28"/>
  <c r="M102" i="28" s="1"/>
  <c r="B102" i="28" s="1"/>
  <c r="C102" i="28" s="1"/>
  <c r="L135" i="28"/>
  <c r="M135" i="28" s="1"/>
  <c r="B135" i="28" s="1"/>
  <c r="C135" i="28" s="1"/>
  <c r="L38" i="28"/>
  <c r="M38" i="28" s="1"/>
  <c r="B38" i="28" s="1"/>
  <c r="C38" i="28" s="1"/>
  <c r="G9" i="28"/>
  <c r="K8" i="28" s="1"/>
  <c r="G137" i="28"/>
  <c r="B37" i="28"/>
  <c r="C37" i="28" s="1"/>
  <c r="B36" i="28"/>
  <c r="C36" i="28" s="1"/>
  <c r="K7" i="28"/>
  <c r="G72" i="28"/>
  <c r="K71" i="28"/>
  <c r="K70" i="28"/>
  <c r="G104" i="28"/>
  <c r="K103" i="28"/>
  <c r="B134" i="28"/>
  <c r="C134" i="28" s="1"/>
  <c r="B133" i="28"/>
  <c r="C133" i="28" s="1"/>
  <c r="B69" i="28"/>
  <c r="C69" i="28" s="1"/>
  <c r="G40" i="28"/>
  <c r="K39" i="28"/>
  <c r="L69" i="27"/>
  <c r="M69" i="27" s="1"/>
  <c r="L6" i="27"/>
  <c r="M6" i="27" s="1"/>
  <c r="L100" i="27"/>
  <c r="M100" i="27" s="1"/>
  <c r="B100" i="27" s="1"/>
  <c r="C100" i="27" s="1"/>
  <c r="L133" i="27"/>
  <c r="M133" i="27" s="1"/>
  <c r="L38" i="27"/>
  <c r="M38" i="27" s="1"/>
  <c r="B38" i="27" s="1"/>
  <c r="C38" i="27" s="1"/>
  <c r="L68" i="27"/>
  <c r="M68" i="27" s="1"/>
  <c r="L132" i="27"/>
  <c r="M132" i="27" s="1"/>
  <c r="G71" i="27"/>
  <c r="G9" i="27"/>
  <c r="K7" i="27"/>
  <c r="G102" i="27"/>
  <c r="K101" i="27"/>
  <c r="G135" i="27"/>
  <c r="K134" i="27"/>
  <c r="G40" i="27"/>
  <c r="B37" i="27"/>
  <c r="C37" i="27" s="1"/>
  <c r="B36" i="27"/>
  <c r="C36" i="27" s="1"/>
  <c r="L131" i="26"/>
  <c r="M131" i="26" s="1"/>
  <c r="B131" i="26" s="1"/>
  <c r="C131" i="26" s="1"/>
  <c r="L38" i="26"/>
  <c r="M38" i="26" s="1"/>
  <c r="B38" i="26" s="1"/>
  <c r="C38" i="26" s="1"/>
  <c r="L68" i="26"/>
  <c r="M68" i="26" s="1"/>
  <c r="L102" i="26"/>
  <c r="M102" i="26" s="1"/>
  <c r="B102" i="26" s="1"/>
  <c r="C102" i="26" s="1"/>
  <c r="G71" i="26"/>
  <c r="K70" i="26"/>
  <c r="K69" i="26"/>
  <c r="G11" i="26"/>
  <c r="K9" i="26"/>
  <c r="G104" i="26"/>
  <c r="G40" i="26"/>
  <c r="G133" i="26"/>
  <c r="K132" i="26"/>
  <c r="B37" i="26"/>
  <c r="C37" i="26" s="1"/>
  <c r="B36" i="26"/>
  <c r="C36" i="26" s="1"/>
  <c r="B8" i="26"/>
  <c r="C8" i="26" s="1"/>
  <c r="B7" i="26"/>
  <c r="C7" i="26" s="1"/>
  <c r="B130" i="26"/>
  <c r="C130" i="26" s="1"/>
  <c r="B129" i="26"/>
  <c r="C129" i="26" s="1"/>
  <c r="B101" i="26"/>
  <c r="C101" i="26" s="1"/>
  <c r="L72" i="25"/>
  <c r="M72" i="25" s="1"/>
  <c r="L101" i="25"/>
  <c r="M101" i="25" s="1"/>
  <c r="B101" i="25" s="1"/>
  <c r="C101" i="25" s="1"/>
  <c r="L38" i="25"/>
  <c r="M38" i="25" s="1"/>
  <c r="B38" i="25" s="1"/>
  <c r="C38" i="25" s="1"/>
  <c r="L7" i="25"/>
  <c r="M7" i="25" s="1"/>
  <c r="L8" i="25"/>
  <c r="M8" i="25" s="1"/>
  <c r="L133" i="25"/>
  <c r="M133" i="25" s="1"/>
  <c r="L134" i="25"/>
  <c r="M134" i="25" s="1"/>
  <c r="G74" i="25"/>
  <c r="K102" i="25"/>
  <c r="G103" i="25"/>
  <c r="G40" i="25"/>
  <c r="G10" i="25"/>
  <c r="K9" i="25"/>
  <c r="G136" i="25"/>
  <c r="K135" i="25"/>
  <c r="B37" i="25"/>
  <c r="C37" i="25" s="1"/>
  <c r="B36" i="25"/>
  <c r="C36" i="25" s="1"/>
  <c r="B71" i="25"/>
  <c r="C71" i="25" s="1"/>
  <c r="B70" i="25"/>
  <c r="C70" i="25" s="1"/>
  <c r="B100" i="25"/>
  <c r="C100" i="25" s="1"/>
  <c r="B99" i="25"/>
  <c r="C99" i="25" s="1"/>
  <c r="B72" i="25"/>
  <c r="C72" i="25" s="1"/>
  <c r="L135" i="24"/>
  <c r="M135" i="24" s="1"/>
  <c r="B135" i="24" s="1"/>
  <c r="C135" i="24" s="1"/>
  <c r="L7" i="24"/>
  <c r="M7" i="24" s="1"/>
  <c r="L8" i="24"/>
  <c r="M8" i="24" s="1"/>
  <c r="L38" i="24"/>
  <c r="M38" i="24" s="1"/>
  <c r="B38" i="24" s="1"/>
  <c r="C38" i="24" s="1"/>
  <c r="L101" i="24"/>
  <c r="M101" i="24" s="1"/>
  <c r="B101" i="24" s="1"/>
  <c r="C101" i="24" s="1"/>
  <c r="L69" i="24"/>
  <c r="M69" i="24" s="1"/>
  <c r="B69" i="24" s="1"/>
  <c r="C69" i="24" s="1"/>
  <c r="G137" i="24"/>
  <c r="G40" i="24"/>
  <c r="K39" i="24" s="1"/>
  <c r="G103" i="24"/>
  <c r="G71" i="24"/>
  <c r="K70" i="24" s="1"/>
  <c r="G10" i="24"/>
  <c r="K9" i="24"/>
  <c r="B68" i="24"/>
  <c r="C68" i="24" s="1"/>
  <c r="B134" i="24"/>
  <c r="C134" i="24" s="1"/>
  <c r="L7" i="23"/>
  <c r="M7" i="23" s="1"/>
  <c r="L8" i="23"/>
  <c r="M8" i="23" s="1"/>
  <c r="L101" i="23"/>
  <c r="M101" i="23" s="1"/>
  <c r="B101" i="23" s="1"/>
  <c r="C101" i="23" s="1"/>
  <c r="L69" i="23"/>
  <c r="M69" i="23" s="1"/>
  <c r="B69" i="23" s="1"/>
  <c r="C69" i="23" s="1"/>
  <c r="L37" i="23"/>
  <c r="M37" i="23" s="1"/>
  <c r="L38" i="23"/>
  <c r="M38" i="23" s="1"/>
  <c r="L132" i="23"/>
  <c r="M132" i="23" s="1"/>
  <c r="B132" i="23" s="1"/>
  <c r="C132" i="23" s="1"/>
  <c r="G10" i="23"/>
  <c r="K9" i="23"/>
  <c r="G103" i="23"/>
  <c r="G71" i="23"/>
  <c r="K70" i="23" s="1"/>
  <c r="G40" i="23"/>
  <c r="K39" i="23"/>
  <c r="G134" i="23"/>
  <c r="L131" i="22"/>
  <c r="M131" i="22" s="1"/>
  <c r="L100" i="22"/>
  <c r="M100" i="22" s="1"/>
  <c r="L8" i="22"/>
  <c r="M8" i="22" s="1"/>
  <c r="L99" i="22"/>
  <c r="M99" i="22" s="1"/>
  <c r="L38" i="22"/>
  <c r="M38" i="22" s="1"/>
  <c r="L7" i="22"/>
  <c r="M7" i="22" s="1"/>
  <c r="B7" i="22" s="1"/>
  <c r="C7" i="22" s="1"/>
  <c r="K39" i="22"/>
  <c r="G40" i="22"/>
  <c r="G10" i="22"/>
  <c r="K9" i="22" s="1"/>
  <c r="G133" i="22"/>
  <c r="K132" i="22" s="1"/>
  <c r="G102" i="22"/>
  <c r="K101" i="22"/>
  <c r="G74" i="22"/>
  <c r="B71" i="22"/>
  <c r="C71" i="22" s="1"/>
  <c r="B70" i="22"/>
  <c r="C70" i="22" s="1"/>
  <c r="B6" i="22"/>
  <c r="C6" i="22" s="1"/>
  <c r="K72" i="22"/>
  <c r="B37" i="22"/>
  <c r="C37" i="22" s="1"/>
  <c r="B36" i="22"/>
  <c r="C36" i="22" s="1"/>
  <c r="L101" i="21"/>
  <c r="M101" i="21" s="1"/>
  <c r="L132" i="21"/>
  <c r="M132" i="21" s="1"/>
  <c r="L133" i="21"/>
  <c r="M133" i="21" s="1"/>
  <c r="L7" i="21"/>
  <c r="M7" i="21" s="1"/>
  <c r="L69" i="21"/>
  <c r="M69" i="21" s="1"/>
  <c r="L38" i="21"/>
  <c r="M38" i="21" s="1"/>
  <c r="L8" i="21"/>
  <c r="M8" i="21" s="1"/>
  <c r="L102" i="21"/>
  <c r="M102" i="21" s="1"/>
  <c r="G135" i="21"/>
  <c r="K134" i="21"/>
  <c r="G72" i="21"/>
  <c r="K71" i="21"/>
  <c r="K70" i="21"/>
  <c r="G41" i="21"/>
  <c r="K40" i="21" s="1"/>
  <c r="K39" i="21"/>
  <c r="G10" i="21"/>
  <c r="K9" i="21"/>
  <c r="G104" i="21"/>
  <c r="K103" i="21"/>
  <c r="M131" i="8"/>
  <c r="M132" i="8"/>
  <c r="K39" i="1"/>
  <c r="B7" i="3"/>
  <c r="C7" i="3" s="1"/>
  <c r="M38" i="4"/>
  <c r="B38" i="4" s="1"/>
  <c r="C38" i="4" s="1"/>
  <c r="M132" i="4"/>
  <c r="B132" i="4" s="1"/>
  <c r="C132" i="4" s="1"/>
  <c r="M68" i="4"/>
  <c r="B68" i="4" s="1"/>
  <c r="C68" i="4" s="1"/>
  <c r="B67" i="4"/>
  <c r="C67" i="4" s="1"/>
  <c r="M71" i="3"/>
  <c r="B71" i="3" s="1"/>
  <c r="C71" i="3" s="1"/>
  <c r="M8" i="3"/>
  <c r="M100" i="3"/>
  <c r="B100" i="3" s="1"/>
  <c r="C100" i="3" s="1"/>
  <c r="M40" i="3"/>
  <c r="M132" i="3"/>
  <c r="B132" i="3" s="1"/>
  <c r="C132" i="3" s="1"/>
  <c r="M41" i="3"/>
  <c r="B3" i="1"/>
  <c r="C3" i="1" s="1"/>
  <c r="B2" i="1"/>
  <c r="C2" i="1" s="1"/>
  <c r="M69" i="9"/>
  <c r="B69" i="9" s="1"/>
  <c r="C69" i="9" s="1"/>
  <c r="M40" i="9"/>
  <c r="B40" i="9" s="1"/>
  <c r="C40" i="9" s="1"/>
  <c r="M41" i="9"/>
  <c r="M6" i="9"/>
  <c r="G105" i="9"/>
  <c r="K104" i="9" s="1"/>
  <c r="G133" i="9"/>
  <c r="K132" i="9"/>
  <c r="G9" i="9"/>
  <c r="K8" i="9"/>
  <c r="K7" i="9"/>
  <c r="B39" i="9"/>
  <c r="C39" i="9" s="1"/>
  <c r="K131" i="9"/>
  <c r="G71" i="9"/>
  <c r="K70" i="9"/>
  <c r="B102" i="9"/>
  <c r="C102" i="9" s="1"/>
  <c r="B101" i="9"/>
  <c r="C101" i="9" s="1"/>
  <c r="B130" i="9"/>
  <c r="C130" i="9" s="1"/>
  <c r="B129" i="9"/>
  <c r="C129" i="9" s="1"/>
  <c r="K103" i="9"/>
  <c r="B68" i="9"/>
  <c r="C68" i="9" s="1"/>
  <c r="B67" i="9"/>
  <c r="C67" i="9" s="1"/>
  <c r="G43" i="9"/>
  <c r="M69" i="8"/>
  <c r="B69" i="8" s="1"/>
  <c r="C69" i="8" s="1"/>
  <c r="M38" i="8"/>
  <c r="M100" i="8"/>
  <c r="B100" i="8" s="1"/>
  <c r="C100" i="8" s="1"/>
  <c r="M7" i="8"/>
  <c r="B7" i="8" s="1"/>
  <c r="C7" i="8" s="1"/>
  <c r="M37" i="8"/>
  <c r="G40" i="8"/>
  <c r="G134" i="8"/>
  <c r="G102" i="8"/>
  <c r="B68" i="8"/>
  <c r="C68" i="8" s="1"/>
  <c r="B67" i="8"/>
  <c r="C67" i="8" s="1"/>
  <c r="G71" i="8"/>
  <c r="K70" i="8"/>
  <c r="G9" i="8"/>
  <c r="K8" i="8"/>
  <c r="M7" i="4"/>
  <c r="M6" i="4"/>
  <c r="M71" i="4"/>
  <c r="M102" i="4"/>
  <c r="G105" i="4"/>
  <c r="K104" i="4"/>
  <c r="G9" i="4"/>
  <c r="K8" i="4"/>
  <c r="B70" i="4"/>
  <c r="C70" i="4" s="1"/>
  <c r="G134" i="4"/>
  <c r="K133" i="4"/>
  <c r="K103" i="4"/>
  <c r="G73" i="4"/>
  <c r="K72" i="4" s="1"/>
  <c r="K39" i="4"/>
  <c r="G40" i="4"/>
  <c r="G134" i="3"/>
  <c r="G43" i="3"/>
  <c r="G73" i="3"/>
  <c r="K72" i="3" s="1"/>
  <c r="B70" i="3"/>
  <c r="C70" i="3" s="1"/>
  <c r="B69" i="3"/>
  <c r="C69" i="3" s="1"/>
  <c r="G102" i="3"/>
  <c r="K101" i="3" s="1"/>
  <c r="B39" i="3"/>
  <c r="C39" i="3" s="1"/>
  <c r="G10" i="3"/>
  <c r="K9" i="3" s="1"/>
  <c r="L38" i="2"/>
  <c r="B38" i="2" s="1"/>
  <c r="C38" i="2" s="1"/>
  <c r="L100" i="2"/>
  <c r="B100" i="2" s="1"/>
  <c r="C100" i="2" s="1"/>
  <c r="G133" i="2"/>
  <c r="J132" i="2"/>
  <c r="J131" i="2"/>
  <c r="J101" i="2"/>
  <c r="G102" i="2"/>
  <c r="G9" i="2"/>
  <c r="J8" i="2"/>
  <c r="G73" i="2"/>
  <c r="J72" i="2" s="1"/>
  <c r="J7" i="2"/>
  <c r="J71" i="2"/>
  <c r="B6" i="2"/>
  <c r="C6" i="2" s="1"/>
  <c r="B37" i="2"/>
  <c r="C37" i="2" s="1"/>
  <c r="B36" i="2"/>
  <c r="C36" i="2" s="1"/>
  <c r="G40" i="2"/>
  <c r="G133" i="1"/>
  <c r="J131" i="1"/>
  <c r="G102" i="1"/>
  <c r="J101" i="1"/>
  <c r="J100" i="1"/>
  <c r="B99" i="1"/>
  <c r="C99" i="1" s="1"/>
  <c r="B98" i="1"/>
  <c r="C98" i="1" s="1"/>
  <c r="G71" i="1"/>
  <c r="J70" i="1"/>
  <c r="J69" i="1"/>
  <c r="B68" i="1"/>
  <c r="C68" i="1" s="1"/>
  <c r="B67" i="1"/>
  <c r="C67" i="1" s="1"/>
  <c r="L39" i="1"/>
  <c r="B39" i="1" s="1"/>
  <c r="C39" i="1" s="1"/>
  <c r="G41" i="1"/>
  <c r="L103" i="34" a="1"/>
  <c r="L8" i="34" a="1"/>
  <c r="L71" i="34" a="1"/>
  <c r="L40" i="34" a="1"/>
  <c r="L39" i="34" a="1"/>
  <c r="L102" i="34" a="1"/>
  <c r="L7" i="34" a="1"/>
  <c r="L70" i="34" a="1"/>
  <c r="L103" i="33" a="1"/>
  <c r="L102" i="33" a="1"/>
  <c r="L7" i="33" a="1"/>
  <c r="L8" i="33" a="1"/>
  <c r="L72" i="33" a="1"/>
  <c r="L135" i="33" a="1"/>
  <c r="L9" i="32" a="1"/>
  <c r="L135" i="31" a="1"/>
  <c r="L71" i="31" a="1"/>
  <c r="L103" i="31" a="1"/>
  <c r="L7" i="31" a="1"/>
  <c r="L102" i="31" a="1"/>
  <c r="L71" i="30" a="1"/>
  <c r="L70" i="30" a="1"/>
  <c r="L39" i="30" a="1"/>
  <c r="L134" i="29" a="1"/>
  <c r="L39" i="29" a="1"/>
  <c r="L70" i="29" a="1"/>
  <c r="L12" i="29" a="1"/>
  <c r="L102" i="29" a="1"/>
  <c r="L39" i="28" a="1"/>
  <c r="L70" i="28" a="1"/>
  <c r="L103" i="28" a="1"/>
  <c r="L7" i="28" a="1"/>
  <c r="L71" i="28" a="1"/>
  <c r="L8" i="28" a="1"/>
  <c r="L7" i="27" a="1"/>
  <c r="L101" i="27" a="1"/>
  <c r="L134" i="27" a="1"/>
  <c r="L70" i="26" a="1"/>
  <c r="L69" i="26" a="1"/>
  <c r="L132" i="26" a="1"/>
  <c r="L9" i="26" a="1"/>
  <c r="L102" i="25" a="1"/>
  <c r="L9" i="25" a="1"/>
  <c r="L135" i="25" a="1"/>
  <c r="L9" i="24" a="1"/>
  <c r="L70" i="24" a="1"/>
  <c r="L39" i="24" a="1"/>
  <c r="L9" i="23" a="1"/>
  <c r="L39" i="23" a="1"/>
  <c r="L70" i="23" a="1"/>
  <c r="L72" i="22" a="1"/>
  <c r="L39" i="22" a="1"/>
  <c r="L101" i="22" a="1"/>
  <c r="L132" i="22" a="1"/>
  <c r="L9" i="22" a="1"/>
  <c r="L134" i="21" a="1"/>
  <c r="L9" i="21" a="1"/>
  <c r="L103" i="21" a="1"/>
  <c r="L71" i="21" a="1"/>
  <c r="L70" i="21" a="1"/>
  <c r="L39" i="21" a="1"/>
  <c r="L40" i="21" a="1"/>
  <c r="K131" i="1" a="1"/>
  <c r="K100" i="1" a="1"/>
  <c r="K69" i="1" a="1"/>
  <c r="K101" i="1" a="1"/>
  <c r="K70" i="1" a="1"/>
  <c r="L70" i="34" l="1"/>
  <c r="M70" i="34" s="1"/>
  <c r="L7" i="34"/>
  <c r="M7" i="34" s="1"/>
  <c r="L102" i="34"/>
  <c r="M102" i="34" s="1"/>
  <c r="B102" i="34" s="1"/>
  <c r="C102" i="34" s="1"/>
  <c r="L39" i="34"/>
  <c r="M39" i="34" s="1"/>
  <c r="L40" i="34"/>
  <c r="M40" i="34" s="1"/>
  <c r="L71" i="34"/>
  <c r="M71" i="34" s="1"/>
  <c r="L8" i="34"/>
  <c r="M8" i="34" s="1"/>
  <c r="L103" i="34"/>
  <c r="M103" i="34" s="1"/>
  <c r="G138" i="34"/>
  <c r="K137" i="34"/>
  <c r="K136" i="34"/>
  <c r="G42" i="34"/>
  <c r="G73" i="34"/>
  <c r="K72" i="34"/>
  <c r="G10" i="34"/>
  <c r="K9" i="34"/>
  <c r="G105" i="34"/>
  <c r="K104" i="34"/>
  <c r="B39" i="34"/>
  <c r="C39" i="34" s="1"/>
  <c r="B38" i="34"/>
  <c r="C38" i="34" s="1"/>
  <c r="L135" i="33"/>
  <c r="M135" i="33" s="1"/>
  <c r="B135" i="33" s="1"/>
  <c r="C135" i="33" s="1"/>
  <c r="L72" i="33"/>
  <c r="M72" i="33" s="1"/>
  <c r="B72" i="33" s="1"/>
  <c r="C72" i="33" s="1"/>
  <c r="L8" i="33"/>
  <c r="M8" i="33" s="1"/>
  <c r="L7" i="33"/>
  <c r="M7" i="33" s="1"/>
  <c r="L102" i="33"/>
  <c r="M102" i="33" s="1"/>
  <c r="L103" i="33"/>
  <c r="M103" i="33" s="1"/>
  <c r="G137" i="33"/>
  <c r="G41" i="33"/>
  <c r="K39" i="33"/>
  <c r="G74" i="33"/>
  <c r="K73" i="33" s="1"/>
  <c r="G10" i="33"/>
  <c r="K9" i="33"/>
  <c r="G105" i="33"/>
  <c r="K104" i="33"/>
  <c r="B38" i="31"/>
  <c r="C38" i="31" s="1"/>
  <c r="B134" i="33"/>
  <c r="C134" i="33" s="1"/>
  <c r="B71" i="33"/>
  <c r="C71" i="33" s="1"/>
  <c r="B70" i="33"/>
  <c r="C70" i="33" s="1"/>
  <c r="L9" i="32"/>
  <c r="M9" i="32" s="1"/>
  <c r="B9" i="32" s="1"/>
  <c r="C9" i="32" s="1"/>
  <c r="G104" i="32"/>
  <c r="K103" i="32"/>
  <c r="G41" i="32"/>
  <c r="K40" i="32"/>
  <c r="K39" i="32"/>
  <c r="G72" i="32"/>
  <c r="K71" i="32"/>
  <c r="K70" i="32"/>
  <c r="G135" i="32"/>
  <c r="K134" i="32"/>
  <c r="B8" i="32"/>
  <c r="C8" i="32" s="1"/>
  <c r="B7" i="32"/>
  <c r="C7" i="32" s="1"/>
  <c r="G11" i="32"/>
  <c r="K102" i="32"/>
  <c r="K133" i="32"/>
  <c r="B38" i="32"/>
  <c r="C38" i="32" s="1"/>
  <c r="B132" i="32"/>
  <c r="C132" i="32" s="1"/>
  <c r="L102" i="31"/>
  <c r="M102" i="31" s="1"/>
  <c r="L7" i="31"/>
  <c r="M7" i="31" s="1"/>
  <c r="L103" i="31"/>
  <c r="M103" i="31" s="1"/>
  <c r="L71" i="31"/>
  <c r="M71" i="31" s="1"/>
  <c r="B71" i="31" s="1"/>
  <c r="C71" i="31" s="1"/>
  <c r="L135" i="31"/>
  <c r="M135" i="31" s="1"/>
  <c r="B135" i="31" s="1"/>
  <c r="C135" i="31" s="1"/>
  <c r="G105" i="31"/>
  <c r="K104" i="31"/>
  <c r="G10" i="31"/>
  <c r="K9" i="31"/>
  <c r="K8" i="31"/>
  <c r="B37" i="31"/>
  <c r="C37" i="31" s="1"/>
  <c r="G41" i="31"/>
  <c r="K40" i="31"/>
  <c r="G73" i="31"/>
  <c r="K72" i="31"/>
  <c r="G137" i="31"/>
  <c r="B134" i="31"/>
  <c r="C134" i="31" s="1"/>
  <c r="B133" i="31"/>
  <c r="C133" i="31" s="1"/>
  <c r="K39" i="31"/>
  <c r="L39" i="30"/>
  <c r="M39" i="30" s="1"/>
  <c r="B39" i="30" s="1"/>
  <c r="C39" i="30" s="1"/>
  <c r="L70" i="30"/>
  <c r="M70" i="30" s="1"/>
  <c r="L71" i="30"/>
  <c r="M71" i="30" s="1"/>
  <c r="G14" i="30"/>
  <c r="K12" i="30"/>
  <c r="G104" i="30"/>
  <c r="K103" i="30"/>
  <c r="K102" i="30"/>
  <c r="G138" i="30"/>
  <c r="K137" i="30"/>
  <c r="B133" i="27"/>
  <c r="C133" i="27" s="1"/>
  <c r="K136" i="30"/>
  <c r="G41" i="30"/>
  <c r="K40" i="30"/>
  <c r="G73" i="30"/>
  <c r="K72" i="30"/>
  <c r="B11" i="30"/>
  <c r="C11" i="30" s="1"/>
  <c r="B10" i="30"/>
  <c r="C10" i="30" s="1"/>
  <c r="B101" i="30"/>
  <c r="C101" i="30" s="1"/>
  <c r="B135" i="30"/>
  <c r="C135" i="30" s="1"/>
  <c r="L102" i="29"/>
  <c r="M102" i="29" s="1"/>
  <c r="B102" i="29" s="1"/>
  <c r="C102" i="29" s="1"/>
  <c r="L12" i="29"/>
  <c r="M12" i="29" s="1"/>
  <c r="L70" i="29"/>
  <c r="M70" i="29" s="1"/>
  <c r="B70" i="29" s="1"/>
  <c r="C70" i="29" s="1"/>
  <c r="L39" i="29"/>
  <c r="M39" i="29" s="1"/>
  <c r="B39" i="29" s="1"/>
  <c r="C39" i="29" s="1"/>
  <c r="L134" i="29"/>
  <c r="M134" i="29" s="1"/>
  <c r="B134" i="29" s="1"/>
  <c r="C134" i="29" s="1"/>
  <c r="G72" i="29"/>
  <c r="K71" i="29"/>
  <c r="G136" i="29"/>
  <c r="K135" i="29" s="1"/>
  <c r="B11" i="29"/>
  <c r="C11" i="29" s="1"/>
  <c r="B10" i="29"/>
  <c r="C10" i="29" s="1"/>
  <c r="B133" i="29"/>
  <c r="C133" i="29" s="1"/>
  <c r="B132" i="29"/>
  <c r="C132" i="29" s="1"/>
  <c r="G14" i="29"/>
  <c r="G41" i="29"/>
  <c r="G104" i="29"/>
  <c r="L8" i="28"/>
  <c r="M8" i="28" s="1"/>
  <c r="L71" i="28"/>
  <c r="M71" i="28" s="1"/>
  <c r="L7" i="28"/>
  <c r="M7" i="28" s="1"/>
  <c r="L103" i="28"/>
  <c r="M103" i="28" s="1"/>
  <c r="B103" i="28" s="1"/>
  <c r="C103" i="28" s="1"/>
  <c r="L70" i="28"/>
  <c r="M70" i="28" s="1"/>
  <c r="L39" i="28"/>
  <c r="M39" i="28" s="1"/>
  <c r="B39" i="28" s="1"/>
  <c r="C39" i="28" s="1"/>
  <c r="G105" i="28"/>
  <c r="K104" i="28" s="1"/>
  <c r="G73" i="28"/>
  <c r="K72" i="28"/>
  <c r="G138" i="28"/>
  <c r="K137" i="28"/>
  <c r="G41" i="28"/>
  <c r="K40" i="28"/>
  <c r="K136" i="28"/>
  <c r="G10" i="28"/>
  <c r="K9" i="28"/>
  <c r="L134" i="27"/>
  <c r="M134" i="27" s="1"/>
  <c r="B134" i="27" s="1"/>
  <c r="C134" i="27" s="1"/>
  <c r="L101" i="27"/>
  <c r="M101" i="27" s="1"/>
  <c r="B101" i="27" s="1"/>
  <c r="C101" i="27" s="1"/>
  <c r="L7" i="27"/>
  <c r="M7" i="27" s="1"/>
  <c r="B7" i="27" s="1"/>
  <c r="C7" i="27" s="1"/>
  <c r="G41" i="27"/>
  <c r="K40" i="27"/>
  <c r="K39" i="27"/>
  <c r="G136" i="27"/>
  <c r="K135" i="27" s="1"/>
  <c r="K102" i="27"/>
  <c r="G103" i="27"/>
  <c r="B132" i="27"/>
  <c r="C132" i="27" s="1"/>
  <c r="G10" i="27"/>
  <c r="K9" i="27"/>
  <c r="K8" i="27"/>
  <c r="G72" i="27"/>
  <c r="K71" i="27"/>
  <c r="K70" i="27"/>
  <c r="B69" i="27"/>
  <c r="C69" i="27" s="1"/>
  <c r="B68" i="27"/>
  <c r="C68" i="27" s="1"/>
  <c r="B6" i="27"/>
  <c r="C6" i="27" s="1"/>
  <c r="L9" i="26"/>
  <c r="M9" i="26" s="1"/>
  <c r="L132" i="26"/>
  <c r="M132" i="26" s="1"/>
  <c r="B132" i="26" s="1"/>
  <c r="C132" i="26" s="1"/>
  <c r="L69" i="26"/>
  <c r="M69" i="26" s="1"/>
  <c r="B69" i="26" s="1"/>
  <c r="C69" i="26" s="1"/>
  <c r="L70" i="26"/>
  <c r="M70" i="26" s="1"/>
  <c r="G12" i="26"/>
  <c r="K11" i="26"/>
  <c r="G72" i="26"/>
  <c r="K71" i="26"/>
  <c r="G134" i="26"/>
  <c r="G41" i="26"/>
  <c r="K40" i="26"/>
  <c r="K39" i="26"/>
  <c r="G105" i="26"/>
  <c r="K104" i="26"/>
  <c r="K103" i="26"/>
  <c r="K10" i="26"/>
  <c r="B68" i="26"/>
  <c r="C68" i="26" s="1"/>
  <c r="L135" i="25"/>
  <c r="M135" i="25" s="1"/>
  <c r="B135" i="25" s="1"/>
  <c r="C135" i="25" s="1"/>
  <c r="L9" i="25"/>
  <c r="M9" i="25" s="1"/>
  <c r="B9" i="25" s="1"/>
  <c r="C9" i="25" s="1"/>
  <c r="L102" i="25"/>
  <c r="M102" i="25" s="1"/>
  <c r="B102" i="25" s="1"/>
  <c r="C102" i="25" s="1"/>
  <c r="G137" i="25"/>
  <c r="G11" i="25"/>
  <c r="G41" i="25"/>
  <c r="K39" i="25"/>
  <c r="G104" i="25"/>
  <c r="K103" i="25"/>
  <c r="G75" i="25"/>
  <c r="K74" i="25"/>
  <c r="K73" i="25"/>
  <c r="B134" i="25"/>
  <c r="C134" i="25" s="1"/>
  <c r="B133" i="25"/>
  <c r="C133" i="25" s="1"/>
  <c r="B8" i="25"/>
  <c r="C8" i="25" s="1"/>
  <c r="B7" i="25"/>
  <c r="C7" i="25" s="1"/>
  <c r="L39" i="24"/>
  <c r="M39" i="24" s="1"/>
  <c r="B39" i="24" s="1"/>
  <c r="C39" i="24" s="1"/>
  <c r="L70" i="24"/>
  <c r="M70" i="24" s="1"/>
  <c r="B70" i="24" s="1"/>
  <c r="C70" i="24" s="1"/>
  <c r="L9" i="24"/>
  <c r="M9" i="24" s="1"/>
  <c r="B9" i="24" s="1"/>
  <c r="C9" i="24" s="1"/>
  <c r="G11" i="24"/>
  <c r="K10" i="24" s="1"/>
  <c r="G104" i="24"/>
  <c r="K103" i="24"/>
  <c r="K102" i="24"/>
  <c r="G72" i="24"/>
  <c r="K71" i="24" s="1"/>
  <c r="B8" i="22"/>
  <c r="C8" i="22" s="1"/>
  <c r="B8" i="24"/>
  <c r="C8" i="24" s="1"/>
  <c r="B7" i="24"/>
  <c r="C7" i="24" s="1"/>
  <c r="G41" i="24"/>
  <c r="K40" i="24"/>
  <c r="G138" i="24"/>
  <c r="K136" i="24"/>
  <c r="L70" i="23"/>
  <c r="M70" i="23" s="1"/>
  <c r="B70" i="23" s="1"/>
  <c r="C70" i="23" s="1"/>
  <c r="L39" i="23"/>
  <c r="M39" i="23" s="1"/>
  <c r="B39" i="23" s="1"/>
  <c r="C39" i="23" s="1"/>
  <c r="L9" i="23"/>
  <c r="M9" i="23" s="1"/>
  <c r="B9" i="23" s="1"/>
  <c r="C9" i="23" s="1"/>
  <c r="G135" i="23"/>
  <c r="K134" i="23"/>
  <c r="K133" i="23"/>
  <c r="G104" i="23"/>
  <c r="K103" i="23" s="1"/>
  <c r="K102" i="23"/>
  <c r="G41" i="23"/>
  <c r="G72" i="23"/>
  <c r="K71" i="23" s="1"/>
  <c r="G11" i="23"/>
  <c r="B38" i="23"/>
  <c r="C38" i="23" s="1"/>
  <c r="B37" i="23"/>
  <c r="C37" i="23" s="1"/>
  <c r="B8" i="23"/>
  <c r="C8" i="23" s="1"/>
  <c r="B7" i="23"/>
  <c r="C7" i="23" s="1"/>
  <c r="L9" i="22"/>
  <c r="M9" i="22" s="1"/>
  <c r="B9" i="22" s="1"/>
  <c r="C9" i="22" s="1"/>
  <c r="L132" i="22"/>
  <c r="M132" i="22" s="1"/>
  <c r="B132" i="22" s="1"/>
  <c r="C132" i="22" s="1"/>
  <c r="L101" i="22"/>
  <c r="M101" i="22" s="1"/>
  <c r="B101" i="22" s="1"/>
  <c r="C101" i="22" s="1"/>
  <c r="L39" i="22"/>
  <c r="M39" i="22" s="1"/>
  <c r="B39" i="22" s="1"/>
  <c r="C39" i="22" s="1"/>
  <c r="L72" i="22"/>
  <c r="M72" i="22" s="1"/>
  <c r="G41" i="22"/>
  <c r="K40" i="22"/>
  <c r="G75" i="22"/>
  <c r="K74" i="22"/>
  <c r="K73" i="22"/>
  <c r="G103" i="22"/>
  <c r="G134" i="22"/>
  <c r="K133" i="22"/>
  <c r="G11" i="22"/>
  <c r="K10" i="22" s="1"/>
  <c r="B131" i="22"/>
  <c r="C131" i="22" s="1"/>
  <c r="B100" i="22"/>
  <c r="C100" i="22" s="1"/>
  <c r="B99" i="22"/>
  <c r="C99" i="22" s="1"/>
  <c r="B38" i="22"/>
  <c r="C38" i="22" s="1"/>
  <c r="L40" i="21"/>
  <c r="M40" i="21" s="1"/>
  <c r="L39" i="21"/>
  <c r="M39" i="21" s="1"/>
  <c r="L70" i="21"/>
  <c r="M70" i="21" s="1"/>
  <c r="B70" i="21" s="1"/>
  <c r="C70" i="21" s="1"/>
  <c r="L71" i="21"/>
  <c r="M71" i="21" s="1"/>
  <c r="L103" i="21"/>
  <c r="M103" i="21" s="1"/>
  <c r="L9" i="21"/>
  <c r="M9" i="21" s="1"/>
  <c r="B9" i="21" s="1"/>
  <c r="C9" i="21" s="1"/>
  <c r="L134" i="21"/>
  <c r="M134" i="21" s="1"/>
  <c r="B134" i="21" s="1"/>
  <c r="C134" i="21" s="1"/>
  <c r="B102" i="21"/>
  <c r="C102" i="21" s="1"/>
  <c r="B101" i="21"/>
  <c r="C101" i="21" s="1"/>
  <c r="G73" i="21"/>
  <c r="K72" i="21" s="1"/>
  <c r="G105" i="21"/>
  <c r="G42" i="21"/>
  <c r="K41" i="21"/>
  <c r="G136" i="21"/>
  <c r="B69" i="21"/>
  <c r="C69" i="21" s="1"/>
  <c r="G11" i="21"/>
  <c r="B38" i="21"/>
  <c r="C38" i="21" s="1"/>
  <c r="B8" i="21"/>
  <c r="C8" i="21" s="1"/>
  <c r="B7" i="21"/>
  <c r="C7" i="21" s="1"/>
  <c r="B133" i="21"/>
  <c r="C133" i="21" s="1"/>
  <c r="B132" i="21"/>
  <c r="C132" i="21" s="1"/>
  <c r="M8" i="8"/>
  <c r="B8" i="8" s="1"/>
  <c r="C8" i="8" s="1"/>
  <c r="M104" i="9"/>
  <c r="M103" i="9"/>
  <c r="M70" i="9"/>
  <c r="B70" i="9" s="1"/>
  <c r="C70" i="9" s="1"/>
  <c r="K70" i="1"/>
  <c r="L70" i="1" s="1"/>
  <c r="K101" i="1"/>
  <c r="L101" i="1" s="1"/>
  <c r="K69" i="1"/>
  <c r="L69" i="1" s="1"/>
  <c r="K100" i="1"/>
  <c r="L100" i="1" s="1"/>
  <c r="K131" i="1"/>
  <c r="L131" i="1" s="1"/>
  <c r="B8" i="3"/>
  <c r="C8" i="3" s="1"/>
  <c r="B69" i="4"/>
  <c r="C69" i="4" s="1"/>
  <c r="M9" i="3"/>
  <c r="B9" i="3" s="1"/>
  <c r="M101" i="3"/>
  <c r="B101" i="3" s="1"/>
  <c r="C101" i="3" s="1"/>
  <c r="M72" i="3"/>
  <c r="B72" i="3" s="1"/>
  <c r="C72" i="3" s="1"/>
  <c r="M8" i="9"/>
  <c r="M131" i="9"/>
  <c r="M7" i="9"/>
  <c r="M132" i="9"/>
  <c r="B6" i="9"/>
  <c r="C6" i="9" s="1"/>
  <c r="G44" i="9"/>
  <c r="K43" i="9" s="1"/>
  <c r="G10" i="9"/>
  <c r="K9" i="9" s="1"/>
  <c r="G106" i="9"/>
  <c r="K105" i="9"/>
  <c r="B41" i="9"/>
  <c r="C41" i="9" s="1"/>
  <c r="G72" i="9"/>
  <c r="K71" i="9" s="1"/>
  <c r="K42" i="9"/>
  <c r="G134" i="9"/>
  <c r="M70" i="8"/>
  <c r="B70" i="8" s="1"/>
  <c r="C70" i="8" s="1"/>
  <c r="G135" i="8"/>
  <c r="K134" i="8"/>
  <c r="G41" i="8"/>
  <c r="K40" i="8"/>
  <c r="B38" i="8"/>
  <c r="C38" i="8" s="1"/>
  <c r="B37" i="8"/>
  <c r="C37" i="8" s="1"/>
  <c r="G103" i="8"/>
  <c r="K102" i="8"/>
  <c r="K101" i="8"/>
  <c r="K133" i="8"/>
  <c r="K39" i="8"/>
  <c r="G10" i="8"/>
  <c r="K9" i="8" s="1"/>
  <c r="B132" i="8"/>
  <c r="C132" i="8" s="1"/>
  <c r="B131" i="8"/>
  <c r="C131" i="8" s="1"/>
  <c r="G72" i="8"/>
  <c r="K71" i="8" s="1"/>
  <c r="M103" i="4"/>
  <c r="B103" i="4" s="1"/>
  <c r="C103" i="4" s="1"/>
  <c r="M72" i="4"/>
  <c r="B72" i="4" s="1"/>
  <c r="C72" i="4" s="1"/>
  <c r="M8" i="4"/>
  <c r="B8" i="4" s="1"/>
  <c r="C8" i="4" s="1"/>
  <c r="M39" i="4"/>
  <c r="B39" i="4" s="1"/>
  <c r="C39" i="4" s="1"/>
  <c r="M133" i="4"/>
  <c r="M104" i="4"/>
  <c r="G135" i="4"/>
  <c r="K134" i="4" s="1"/>
  <c r="G106" i="4"/>
  <c r="K105" i="4" s="1"/>
  <c r="B7" i="4"/>
  <c r="C7" i="4" s="1"/>
  <c r="B6" i="4"/>
  <c r="C6" i="4" s="1"/>
  <c r="G10" i="4"/>
  <c r="K9" i="4" s="1"/>
  <c r="G41" i="4"/>
  <c r="K40" i="4" s="1"/>
  <c r="B71" i="4"/>
  <c r="C71" i="4" s="1"/>
  <c r="B102" i="4"/>
  <c r="C102" i="4" s="1"/>
  <c r="G74" i="4"/>
  <c r="K73" i="4"/>
  <c r="B41" i="3"/>
  <c r="C41" i="3" s="1"/>
  <c r="G74" i="3"/>
  <c r="K73" i="3"/>
  <c r="G44" i="3"/>
  <c r="K42" i="3"/>
  <c r="G135" i="3"/>
  <c r="K134" i="3"/>
  <c r="K133" i="3"/>
  <c r="G11" i="3"/>
  <c r="K10" i="3"/>
  <c r="B40" i="3"/>
  <c r="C40" i="3" s="1"/>
  <c r="G103" i="3"/>
  <c r="K102" i="3"/>
  <c r="L72" i="2"/>
  <c r="L71" i="2"/>
  <c r="L8" i="2"/>
  <c r="L101" i="2"/>
  <c r="B101" i="2" s="1"/>
  <c r="C101" i="2" s="1"/>
  <c r="L7" i="2"/>
  <c r="L132" i="2"/>
  <c r="L131" i="2"/>
  <c r="G103" i="2"/>
  <c r="J102" i="2"/>
  <c r="G41" i="2"/>
  <c r="J40" i="2"/>
  <c r="J39" i="2"/>
  <c r="G74" i="2"/>
  <c r="J73" i="2"/>
  <c r="J9" i="2"/>
  <c r="G10" i="2"/>
  <c r="G134" i="2"/>
  <c r="G134" i="1"/>
  <c r="J133" i="1"/>
  <c r="J132" i="1"/>
  <c r="G103" i="1"/>
  <c r="G72" i="1"/>
  <c r="G42" i="1"/>
  <c r="J41" i="1"/>
  <c r="J40" i="1"/>
  <c r="G8" i="1"/>
  <c r="L137" i="34" a="1"/>
  <c r="L72" i="34" a="1"/>
  <c r="L9" i="34" a="1"/>
  <c r="L136" i="34" a="1"/>
  <c r="L104" i="34" a="1"/>
  <c r="L39" i="33" a="1"/>
  <c r="L104" i="33" a="1"/>
  <c r="L9" i="33" a="1"/>
  <c r="L73" i="33" a="1"/>
  <c r="L103" i="32" a="1"/>
  <c r="L40" i="32" a="1"/>
  <c r="L39" i="32" a="1"/>
  <c r="L71" i="32" a="1"/>
  <c r="L70" i="32" a="1"/>
  <c r="L134" i="32" a="1"/>
  <c r="L102" i="32" a="1"/>
  <c r="L133" i="32" a="1"/>
  <c r="L39" i="31" a="1"/>
  <c r="L40" i="31" a="1"/>
  <c r="L72" i="31" a="1"/>
  <c r="L104" i="31" a="1"/>
  <c r="L9" i="31" a="1"/>
  <c r="L8" i="31" a="1"/>
  <c r="L12" i="30" a="1"/>
  <c r="L103" i="30" a="1"/>
  <c r="L102" i="30" a="1"/>
  <c r="L137" i="30" a="1"/>
  <c r="L136" i="30" a="1"/>
  <c r="L40" i="30" a="1"/>
  <c r="L72" i="30" a="1"/>
  <c r="L71" i="29" a="1"/>
  <c r="L135" i="29" a="1"/>
  <c r="L136" i="28" a="1"/>
  <c r="L9" i="28" a="1"/>
  <c r="L72" i="28" a="1"/>
  <c r="L137" i="28" a="1"/>
  <c r="L40" i="28" a="1"/>
  <c r="L104" i="28" a="1"/>
  <c r="L71" i="27" a="1"/>
  <c r="L40" i="27" a="1"/>
  <c r="L39" i="27" a="1"/>
  <c r="L102" i="27" a="1"/>
  <c r="L9" i="27" a="1"/>
  <c r="L8" i="27" a="1"/>
  <c r="L70" i="27" a="1"/>
  <c r="L135" i="27" a="1"/>
  <c r="L40" i="26" a="1"/>
  <c r="L11" i="26" a="1"/>
  <c r="L71" i="26" a="1"/>
  <c r="L39" i="26" a="1"/>
  <c r="L104" i="26" a="1"/>
  <c r="L103" i="26" a="1"/>
  <c r="L10" i="26" a="1"/>
  <c r="L39" i="25" a="1"/>
  <c r="L103" i="25" a="1"/>
  <c r="L74" i="25" a="1"/>
  <c r="L73" i="25" a="1"/>
  <c r="L136" i="24" a="1"/>
  <c r="L103" i="24" a="1"/>
  <c r="L102" i="24" a="1"/>
  <c r="L40" i="24" a="1"/>
  <c r="L10" i="24" a="1"/>
  <c r="L71" i="24" a="1"/>
  <c r="L134" i="23" a="1"/>
  <c r="L133" i="23" a="1"/>
  <c r="L102" i="23" a="1"/>
  <c r="L103" i="23" a="1"/>
  <c r="L71" i="23" a="1"/>
  <c r="L74" i="22" a="1"/>
  <c r="L40" i="22" a="1"/>
  <c r="L73" i="22" a="1"/>
  <c r="L133" i="22" a="1"/>
  <c r="L10" i="22" a="1"/>
  <c r="L41" i="21" a="1"/>
  <c r="L72" i="21" a="1"/>
  <c r="K132" i="1" a="1"/>
  <c r="K41" i="1" a="1"/>
  <c r="K133" i="1" a="1"/>
  <c r="K40" i="1" a="1"/>
  <c r="L104" i="34" l="1"/>
  <c r="M104" i="34" s="1"/>
  <c r="L136" i="34"/>
  <c r="M136" i="34" s="1"/>
  <c r="L9" i="34"/>
  <c r="M9" i="34" s="1"/>
  <c r="L72" i="34"/>
  <c r="M72" i="34" s="1"/>
  <c r="B72" i="34" s="1"/>
  <c r="C72" i="34" s="1"/>
  <c r="L137" i="34"/>
  <c r="M137" i="34" s="1"/>
  <c r="G106" i="34"/>
  <c r="G11" i="34"/>
  <c r="G43" i="34"/>
  <c r="K42" i="34"/>
  <c r="B40" i="34"/>
  <c r="C40" i="34" s="1"/>
  <c r="B103" i="34"/>
  <c r="C103" i="34" s="1"/>
  <c r="G74" i="34"/>
  <c r="K41" i="34"/>
  <c r="G139" i="34"/>
  <c r="K138" i="34"/>
  <c r="B104" i="34"/>
  <c r="C104" i="34" s="1"/>
  <c r="B8" i="34"/>
  <c r="C8" i="34" s="1"/>
  <c r="B7" i="34"/>
  <c r="C7" i="34" s="1"/>
  <c r="B71" i="34"/>
  <c r="C71" i="34" s="1"/>
  <c r="B70" i="34"/>
  <c r="C70" i="34" s="1"/>
  <c r="L73" i="33"/>
  <c r="M73" i="33" s="1"/>
  <c r="B73" i="33" s="1"/>
  <c r="C73" i="33" s="1"/>
  <c r="L9" i="33"/>
  <c r="M9" i="33" s="1"/>
  <c r="B9" i="33" s="1"/>
  <c r="C9" i="33" s="1"/>
  <c r="L104" i="33"/>
  <c r="M104" i="33" s="1"/>
  <c r="B104" i="33" s="1"/>
  <c r="C104" i="33" s="1"/>
  <c r="L39" i="33"/>
  <c r="M39" i="33" s="1"/>
  <c r="G138" i="33"/>
  <c r="K137" i="33"/>
  <c r="K136" i="33"/>
  <c r="B103" i="33"/>
  <c r="C103" i="33" s="1"/>
  <c r="B102" i="33"/>
  <c r="C102" i="33" s="1"/>
  <c r="B8" i="33"/>
  <c r="C8" i="33" s="1"/>
  <c r="B7" i="33"/>
  <c r="C7" i="33" s="1"/>
  <c r="G106" i="33"/>
  <c r="G11" i="33"/>
  <c r="G75" i="33"/>
  <c r="K74" i="33"/>
  <c r="G42" i="33"/>
  <c r="K40" i="33"/>
  <c r="L133" i="32"/>
  <c r="M133" i="32" s="1"/>
  <c r="L102" i="32"/>
  <c r="M102" i="32" s="1"/>
  <c r="L134" i="32"/>
  <c r="M134" i="32" s="1"/>
  <c r="L70" i="32"/>
  <c r="M70" i="32" s="1"/>
  <c r="L71" i="32"/>
  <c r="M71" i="32" s="1"/>
  <c r="L39" i="32"/>
  <c r="M39" i="32" s="1"/>
  <c r="L40" i="32"/>
  <c r="M40" i="32" s="1"/>
  <c r="L103" i="32"/>
  <c r="M103" i="32" s="1"/>
  <c r="G12" i="32"/>
  <c r="K11" i="32" s="1"/>
  <c r="K10" i="32"/>
  <c r="G136" i="32"/>
  <c r="K135" i="32"/>
  <c r="G73" i="32"/>
  <c r="K72" i="32"/>
  <c r="G42" i="32"/>
  <c r="K41" i="32" s="1"/>
  <c r="G105" i="32"/>
  <c r="K104" i="32"/>
  <c r="L8" i="31"/>
  <c r="M8" i="31" s="1"/>
  <c r="B8" i="31" s="1"/>
  <c r="C8" i="31" s="1"/>
  <c r="L9" i="31"/>
  <c r="M9" i="31" s="1"/>
  <c r="L104" i="31"/>
  <c r="M104" i="31" s="1"/>
  <c r="B104" i="31" s="1"/>
  <c r="C104" i="31" s="1"/>
  <c r="L72" i="31"/>
  <c r="M72" i="31" s="1"/>
  <c r="B72" i="31" s="1"/>
  <c r="C72" i="31" s="1"/>
  <c r="L40" i="31"/>
  <c r="M40" i="31" s="1"/>
  <c r="L39" i="31"/>
  <c r="M39" i="31" s="1"/>
  <c r="G138" i="31"/>
  <c r="K73" i="31"/>
  <c r="G74" i="31"/>
  <c r="G11" i="31"/>
  <c r="G106" i="31"/>
  <c r="K136" i="31"/>
  <c r="G42" i="31"/>
  <c r="K41" i="31" s="1"/>
  <c r="B7" i="31"/>
  <c r="C7" i="31" s="1"/>
  <c r="B103" i="31"/>
  <c r="C103" i="31" s="1"/>
  <c r="B102" i="31"/>
  <c r="C102" i="31" s="1"/>
  <c r="L72" i="30"/>
  <c r="M72" i="30" s="1"/>
  <c r="B72" i="30" s="1"/>
  <c r="C72" i="30" s="1"/>
  <c r="L40" i="30"/>
  <c r="M40" i="30" s="1"/>
  <c r="B40" i="30" s="1"/>
  <c r="C40" i="30" s="1"/>
  <c r="L136" i="30"/>
  <c r="M136" i="30" s="1"/>
  <c r="L137" i="30"/>
  <c r="M137" i="30" s="1"/>
  <c r="L102" i="30"/>
  <c r="M102" i="30" s="1"/>
  <c r="L103" i="30"/>
  <c r="M103" i="30" s="1"/>
  <c r="L12" i="30"/>
  <c r="M12" i="30" s="1"/>
  <c r="G74" i="30"/>
  <c r="G42" i="30"/>
  <c r="G139" i="30"/>
  <c r="G105" i="30"/>
  <c r="K104" i="30"/>
  <c r="G15" i="30"/>
  <c r="K14" i="30"/>
  <c r="K13" i="30"/>
  <c r="B71" i="30"/>
  <c r="C71" i="30" s="1"/>
  <c r="B70" i="30"/>
  <c r="C70" i="30" s="1"/>
  <c r="L135" i="29"/>
  <c r="M135" i="29" s="1"/>
  <c r="B135" i="29" s="1"/>
  <c r="C135" i="29" s="1"/>
  <c r="L71" i="29"/>
  <c r="M71" i="29" s="1"/>
  <c r="B71" i="29" s="1"/>
  <c r="C71" i="29" s="1"/>
  <c r="G105" i="29"/>
  <c r="K104" i="29"/>
  <c r="K103" i="29"/>
  <c r="G73" i="29"/>
  <c r="K72" i="29" s="1"/>
  <c r="G42" i="29"/>
  <c r="K41" i="29" s="1"/>
  <c r="K40" i="29"/>
  <c r="G15" i="29"/>
  <c r="K14" i="29"/>
  <c r="K13" i="29"/>
  <c r="G137" i="29"/>
  <c r="K136" i="29"/>
  <c r="B12" i="29"/>
  <c r="C12" i="29" s="1"/>
  <c r="L104" i="28"/>
  <c r="M104" i="28" s="1"/>
  <c r="B104" i="28" s="1"/>
  <c r="C104" i="28" s="1"/>
  <c r="L40" i="28"/>
  <c r="M40" i="28" s="1"/>
  <c r="L137" i="28"/>
  <c r="M137" i="28" s="1"/>
  <c r="L72" i="28"/>
  <c r="M72" i="28" s="1"/>
  <c r="B72" i="28" s="1"/>
  <c r="C72" i="28" s="1"/>
  <c r="L9" i="28"/>
  <c r="M9" i="28" s="1"/>
  <c r="B9" i="28" s="1"/>
  <c r="C9" i="28" s="1"/>
  <c r="L136" i="28"/>
  <c r="M136" i="28" s="1"/>
  <c r="K10" i="28"/>
  <c r="G11" i="28"/>
  <c r="K41" i="28"/>
  <c r="G42" i="28"/>
  <c r="G139" i="28"/>
  <c r="K138" i="28"/>
  <c r="G74" i="28"/>
  <c r="B40" i="21"/>
  <c r="C40" i="21" s="1"/>
  <c r="G106" i="28"/>
  <c r="K105" i="28" s="1"/>
  <c r="B71" i="28"/>
  <c r="C71" i="28" s="1"/>
  <c r="B70" i="28"/>
  <c r="C70" i="28" s="1"/>
  <c r="B8" i="28"/>
  <c r="C8" i="28" s="1"/>
  <c r="B7" i="28"/>
  <c r="C7" i="28" s="1"/>
  <c r="L135" i="27"/>
  <c r="M135" i="27" s="1"/>
  <c r="B135" i="27" s="1"/>
  <c r="C135" i="27" s="1"/>
  <c r="L70" i="27"/>
  <c r="M70" i="27" s="1"/>
  <c r="L8" i="27"/>
  <c r="M8" i="27" s="1"/>
  <c r="B8" i="27" s="1"/>
  <c r="C8" i="27" s="1"/>
  <c r="L9" i="27"/>
  <c r="M9" i="27" s="1"/>
  <c r="L102" i="27"/>
  <c r="M102" i="27" s="1"/>
  <c r="B102" i="27" s="1"/>
  <c r="C102" i="27" s="1"/>
  <c r="L39" i="27"/>
  <c r="M39" i="27" s="1"/>
  <c r="L40" i="27"/>
  <c r="M40" i="27" s="1"/>
  <c r="L71" i="27"/>
  <c r="M71" i="27" s="1"/>
  <c r="G73" i="27"/>
  <c r="K72" i="27" s="1"/>
  <c r="G11" i="27"/>
  <c r="G104" i="27"/>
  <c r="K103" i="27"/>
  <c r="G42" i="27"/>
  <c r="K41" i="27"/>
  <c r="G137" i="27"/>
  <c r="B70" i="26"/>
  <c r="C70" i="26" s="1"/>
  <c r="L10" i="26"/>
  <c r="M10" i="26" s="1"/>
  <c r="B10" i="26" s="1"/>
  <c r="C10" i="26" s="1"/>
  <c r="L103" i="26"/>
  <c r="M103" i="26" s="1"/>
  <c r="L104" i="26"/>
  <c r="M104" i="26" s="1"/>
  <c r="L39" i="26"/>
  <c r="M39" i="26" s="1"/>
  <c r="L71" i="26"/>
  <c r="M71" i="26" s="1"/>
  <c r="B71" i="26" s="1"/>
  <c r="C71" i="26" s="1"/>
  <c r="L11" i="26"/>
  <c r="M11" i="26" s="1"/>
  <c r="L40" i="26"/>
  <c r="M40" i="26" s="1"/>
  <c r="G13" i="26"/>
  <c r="K12" i="26"/>
  <c r="G106" i="26"/>
  <c r="K105" i="26"/>
  <c r="G42" i="26"/>
  <c r="K41" i="26"/>
  <c r="G135" i="26"/>
  <c r="K134" i="26"/>
  <c r="K133" i="26"/>
  <c r="G73" i="26"/>
  <c r="B9" i="26"/>
  <c r="C9" i="26" s="1"/>
  <c r="L73" i="25"/>
  <c r="M73" i="25" s="1"/>
  <c r="L74" i="25"/>
  <c r="M74" i="25" s="1"/>
  <c r="L103" i="25"/>
  <c r="M103" i="25" s="1"/>
  <c r="B103" i="25" s="1"/>
  <c r="C103" i="25" s="1"/>
  <c r="L39" i="25"/>
  <c r="M39" i="25" s="1"/>
  <c r="G76" i="25"/>
  <c r="K75" i="25"/>
  <c r="G105" i="25"/>
  <c r="K104" i="25"/>
  <c r="G42" i="25"/>
  <c r="K40" i="25"/>
  <c r="G12" i="25"/>
  <c r="K11" i="25"/>
  <c r="K10" i="25"/>
  <c r="G138" i="25"/>
  <c r="K137" i="25"/>
  <c r="K136" i="25"/>
  <c r="L71" i="24"/>
  <c r="M71" i="24" s="1"/>
  <c r="B71" i="24" s="1"/>
  <c r="C71" i="24" s="1"/>
  <c r="L10" i="24"/>
  <c r="M10" i="24" s="1"/>
  <c r="B10" i="24" s="1"/>
  <c r="C10" i="24" s="1"/>
  <c r="L40" i="24"/>
  <c r="M40" i="24" s="1"/>
  <c r="B40" i="24" s="1"/>
  <c r="C40" i="24" s="1"/>
  <c r="L102" i="24"/>
  <c r="M102" i="24" s="1"/>
  <c r="L103" i="24"/>
  <c r="M103" i="24" s="1"/>
  <c r="L136" i="24"/>
  <c r="M136" i="24" s="1"/>
  <c r="G42" i="24"/>
  <c r="G139" i="24"/>
  <c r="K138" i="24"/>
  <c r="G73" i="24"/>
  <c r="G105" i="24"/>
  <c r="K104" i="24"/>
  <c r="G12" i="24"/>
  <c r="K11" i="24"/>
  <c r="K137" i="24"/>
  <c r="L71" i="23"/>
  <c r="M71" i="23" s="1"/>
  <c r="B71" i="23" s="1"/>
  <c r="C71" i="23" s="1"/>
  <c r="L103" i="23"/>
  <c r="M103" i="23" s="1"/>
  <c r="L102" i="23"/>
  <c r="M102" i="23" s="1"/>
  <c r="L133" i="23"/>
  <c r="M133" i="23" s="1"/>
  <c r="L134" i="23"/>
  <c r="M134" i="23" s="1"/>
  <c r="G42" i="23"/>
  <c r="K40" i="23"/>
  <c r="G12" i="23"/>
  <c r="K11" i="23"/>
  <c r="K10" i="23"/>
  <c r="G73" i="23"/>
  <c r="K72" i="23"/>
  <c r="G136" i="23"/>
  <c r="K135" i="23"/>
  <c r="G105" i="23"/>
  <c r="L10" i="22"/>
  <c r="M10" i="22" s="1"/>
  <c r="B10" i="22" s="1"/>
  <c r="C10" i="22" s="1"/>
  <c r="L133" i="22"/>
  <c r="M133" i="22" s="1"/>
  <c r="B133" i="22" s="1"/>
  <c r="C133" i="22" s="1"/>
  <c r="L73" i="22"/>
  <c r="M73" i="22" s="1"/>
  <c r="B73" i="22" s="1"/>
  <c r="C73" i="22" s="1"/>
  <c r="L40" i="22"/>
  <c r="M40" i="22" s="1"/>
  <c r="B40" i="22" s="1"/>
  <c r="C40" i="22" s="1"/>
  <c r="L74" i="22"/>
  <c r="M74" i="22" s="1"/>
  <c r="G135" i="22"/>
  <c r="K134" i="22"/>
  <c r="G104" i="22"/>
  <c r="K103" i="22" s="1"/>
  <c r="K102" i="22"/>
  <c r="G12" i="22"/>
  <c r="K11" i="22"/>
  <c r="G76" i="22"/>
  <c r="K75" i="22"/>
  <c r="G42" i="22"/>
  <c r="K41" i="22"/>
  <c r="B72" i="22"/>
  <c r="C72" i="22" s="1"/>
  <c r="B39" i="21"/>
  <c r="C39" i="21" s="1"/>
  <c r="L72" i="21"/>
  <c r="M72" i="21" s="1"/>
  <c r="B72" i="21" s="1"/>
  <c r="C72" i="21" s="1"/>
  <c r="L41" i="21"/>
  <c r="M41" i="21" s="1"/>
  <c r="B41" i="21" s="1"/>
  <c r="C41" i="21" s="1"/>
  <c r="G137" i="21"/>
  <c r="K135" i="21"/>
  <c r="G43" i="21"/>
  <c r="K42" i="21"/>
  <c r="G106" i="21"/>
  <c r="K105" i="21"/>
  <c r="K104" i="21"/>
  <c r="G74" i="21"/>
  <c r="B103" i="21"/>
  <c r="C103" i="21" s="1"/>
  <c r="B71" i="21"/>
  <c r="C71" i="21" s="1"/>
  <c r="G12" i="21"/>
  <c r="K11" i="21"/>
  <c r="K10" i="21"/>
  <c r="M9" i="8"/>
  <c r="B9" i="8" s="1"/>
  <c r="C9" i="8" s="1"/>
  <c r="M101" i="8"/>
  <c r="M42" i="9"/>
  <c r="K40" i="1"/>
  <c r="L40" i="1" s="1"/>
  <c r="K133" i="1"/>
  <c r="L133" i="1" s="1"/>
  <c r="K41" i="1"/>
  <c r="L41" i="1" s="1"/>
  <c r="K132" i="1"/>
  <c r="L132" i="1" s="1"/>
  <c r="B132" i="1" s="1"/>
  <c r="C132" i="1" s="1"/>
  <c r="C9" i="3"/>
  <c r="M73" i="4"/>
  <c r="M102" i="3"/>
  <c r="B102" i="3" s="1"/>
  <c r="C102" i="3" s="1"/>
  <c r="M10" i="3"/>
  <c r="M133" i="3"/>
  <c r="M134" i="3"/>
  <c r="M73" i="3"/>
  <c r="B73" i="3" s="1"/>
  <c r="C73" i="3" s="1"/>
  <c r="B8" i="9"/>
  <c r="C8" i="9" s="1"/>
  <c r="B7" i="9"/>
  <c r="C7" i="9" s="1"/>
  <c r="M71" i="9"/>
  <c r="B71" i="9" s="1"/>
  <c r="C71" i="9" s="1"/>
  <c r="M9" i="9"/>
  <c r="B9" i="9" s="1"/>
  <c r="C9" i="9" s="1"/>
  <c r="M105" i="9"/>
  <c r="B105" i="9" s="1"/>
  <c r="C105" i="9" s="1"/>
  <c r="M43" i="9"/>
  <c r="G45" i="9"/>
  <c r="K44" i="9" s="1"/>
  <c r="B104" i="9"/>
  <c r="C104" i="9" s="1"/>
  <c r="B103" i="9"/>
  <c r="C103" i="9" s="1"/>
  <c r="G107" i="9"/>
  <c r="G135" i="9"/>
  <c r="K134" i="9" s="1"/>
  <c r="K133" i="9"/>
  <c r="G11" i="9"/>
  <c r="B132" i="9"/>
  <c r="C132" i="9" s="1"/>
  <c r="B131" i="9"/>
  <c r="C131" i="9" s="1"/>
  <c r="G73" i="9"/>
  <c r="K72" i="9"/>
  <c r="M71" i="8"/>
  <c r="B71" i="8" s="1"/>
  <c r="C71" i="8" s="1"/>
  <c r="M102" i="8"/>
  <c r="M39" i="8"/>
  <c r="M133" i="8"/>
  <c r="M40" i="8"/>
  <c r="M134" i="8"/>
  <c r="G42" i="8"/>
  <c r="G73" i="8"/>
  <c r="K72" i="8"/>
  <c r="G136" i="8"/>
  <c r="K135" i="8"/>
  <c r="G11" i="8"/>
  <c r="G104" i="8"/>
  <c r="K103" i="8" s="1"/>
  <c r="M40" i="4"/>
  <c r="B40" i="4" s="1"/>
  <c r="C40" i="4" s="1"/>
  <c r="M134" i="4"/>
  <c r="B134" i="4" s="1"/>
  <c r="C134" i="4" s="1"/>
  <c r="M9" i="4"/>
  <c r="B9" i="4" s="1"/>
  <c r="C9" i="4" s="1"/>
  <c r="M105" i="4"/>
  <c r="B105" i="4" s="1"/>
  <c r="C105" i="4" s="1"/>
  <c r="G75" i="4"/>
  <c r="K74" i="4" s="1"/>
  <c r="B133" i="4"/>
  <c r="C133" i="4" s="1"/>
  <c r="G11" i="4"/>
  <c r="G107" i="4"/>
  <c r="G136" i="4"/>
  <c r="G42" i="4"/>
  <c r="K41" i="4"/>
  <c r="B104" i="4"/>
  <c r="C104" i="4" s="1"/>
  <c r="M42" i="3"/>
  <c r="G12" i="3"/>
  <c r="K11" i="3"/>
  <c r="G136" i="3"/>
  <c r="K135" i="3"/>
  <c r="G45" i="3"/>
  <c r="G75" i="3"/>
  <c r="G104" i="3"/>
  <c r="K103" i="3" s="1"/>
  <c r="K43" i="3"/>
  <c r="L9" i="2"/>
  <c r="B9" i="2" s="1"/>
  <c r="C9" i="2" s="1"/>
  <c r="L73" i="2"/>
  <c r="B73" i="2" s="1"/>
  <c r="C73" i="2" s="1"/>
  <c r="L40" i="2"/>
  <c r="L39" i="2"/>
  <c r="L102" i="2"/>
  <c r="B102" i="2" s="1"/>
  <c r="C102" i="2" s="1"/>
  <c r="B132" i="2"/>
  <c r="C132" i="2" s="1"/>
  <c r="B131" i="2"/>
  <c r="C131" i="2" s="1"/>
  <c r="B8" i="2"/>
  <c r="C8" i="2" s="1"/>
  <c r="B7" i="2"/>
  <c r="C7" i="2" s="1"/>
  <c r="G135" i="2"/>
  <c r="J134" i="2"/>
  <c r="G75" i="2"/>
  <c r="J74" i="2"/>
  <c r="G42" i="2"/>
  <c r="J103" i="2"/>
  <c r="G104" i="2"/>
  <c r="J133" i="2"/>
  <c r="B72" i="2"/>
  <c r="C72" i="2" s="1"/>
  <c r="B71" i="2"/>
  <c r="C71" i="2" s="1"/>
  <c r="G11" i="2"/>
  <c r="J10" i="2"/>
  <c r="G135" i="1"/>
  <c r="J134" i="1" s="1"/>
  <c r="B131" i="1"/>
  <c r="C131" i="1" s="1"/>
  <c r="G104" i="1"/>
  <c r="J103" i="1"/>
  <c r="J102" i="1"/>
  <c r="B101" i="1"/>
  <c r="C101" i="1" s="1"/>
  <c r="B100" i="1"/>
  <c r="C100" i="1" s="1"/>
  <c r="G73" i="1"/>
  <c r="J72" i="1"/>
  <c r="J71" i="1"/>
  <c r="B70" i="1"/>
  <c r="C70" i="1" s="1"/>
  <c r="B69" i="1"/>
  <c r="C69" i="1" s="1"/>
  <c r="G43" i="1"/>
  <c r="J42" i="1"/>
  <c r="G9" i="1"/>
  <c r="J7" i="1"/>
  <c r="J8" i="1"/>
  <c r="L138" i="34" a="1"/>
  <c r="L42" i="34" a="1"/>
  <c r="L41" i="34" a="1"/>
  <c r="L40" i="33" a="1"/>
  <c r="L137" i="33" a="1"/>
  <c r="L136" i="33" a="1"/>
  <c r="L74" i="33" a="1"/>
  <c r="L10" i="32" a="1"/>
  <c r="L135" i="32" a="1"/>
  <c r="L72" i="32" a="1"/>
  <c r="L104" i="32" a="1"/>
  <c r="L11" i="32" a="1"/>
  <c r="L41" i="32" a="1"/>
  <c r="L73" i="31" a="1"/>
  <c r="L136" i="31" a="1"/>
  <c r="L41" i="31" a="1"/>
  <c r="L104" i="30" a="1"/>
  <c r="L14" i="30" a="1"/>
  <c r="L13" i="30" a="1"/>
  <c r="L103" i="29" a="1"/>
  <c r="L14" i="29" a="1"/>
  <c r="L136" i="29" a="1"/>
  <c r="L104" i="29" a="1"/>
  <c r="L40" i="29" a="1"/>
  <c r="L13" i="29" a="1"/>
  <c r="L72" i="29" a="1"/>
  <c r="L41" i="29" a="1"/>
  <c r="L41" i="28" a="1"/>
  <c r="L10" i="28" a="1"/>
  <c r="L138" i="28" a="1"/>
  <c r="L105" i="28" a="1"/>
  <c r="L103" i="27" a="1"/>
  <c r="L41" i="27" a="1"/>
  <c r="L72" i="27" a="1"/>
  <c r="L105" i="26" a="1"/>
  <c r="L12" i="26" a="1"/>
  <c r="L41" i="26" a="1"/>
  <c r="L134" i="26" a="1"/>
  <c r="L133" i="26" a="1"/>
  <c r="L75" i="25" a="1"/>
  <c r="L104" i="25" a="1"/>
  <c r="L40" i="25" a="1"/>
  <c r="L11" i="25" a="1"/>
  <c r="L10" i="25" a="1"/>
  <c r="L137" i="25" a="1"/>
  <c r="L136" i="25" a="1"/>
  <c r="L138" i="24" a="1"/>
  <c r="L104" i="24" a="1"/>
  <c r="L11" i="24" a="1"/>
  <c r="L137" i="24" a="1"/>
  <c r="L11" i="23" a="1"/>
  <c r="L10" i="23" a="1"/>
  <c r="L135" i="23" a="1"/>
  <c r="L40" i="23" a="1"/>
  <c r="L72" i="23" a="1"/>
  <c r="L134" i="22" a="1"/>
  <c r="L102" i="22" a="1"/>
  <c r="L11" i="22" a="1"/>
  <c r="L75" i="22" a="1"/>
  <c r="L41" i="22" a="1"/>
  <c r="L103" i="22" a="1"/>
  <c r="L10" i="21" a="1"/>
  <c r="L42" i="21" a="1"/>
  <c r="L105" i="21" a="1"/>
  <c r="L104" i="21" a="1"/>
  <c r="L135" i="21" a="1"/>
  <c r="L11" i="21" a="1"/>
  <c r="K7" i="1" a="1"/>
  <c r="K8" i="1" a="1"/>
  <c r="K134" i="1" a="1"/>
  <c r="K103" i="1" a="1"/>
  <c r="K71" i="1" a="1"/>
  <c r="K42" i="1" a="1"/>
  <c r="K102" i="1" a="1"/>
  <c r="K72" i="1" a="1"/>
  <c r="L41" i="34" l="1"/>
  <c r="M41" i="34" s="1"/>
  <c r="L42" i="34"/>
  <c r="M42" i="34" s="1"/>
  <c r="L138" i="34"/>
  <c r="M138" i="34" s="1"/>
  <c r="G140" i="34"/>
  <c r="G75" i="34"/>
  <c r="K73" i="34"/>
  <c r="G44" i="34"/>
  <c r="K43" i="34"/>
  <c r="G12" i="34"/>
  <c r="K10" i="34"/>
  <c r="G107" i="34"/>
  <c r="K106" i="34"/>
  <c r="K105" i="34"/>
  <c r="B138" i="34"/>
  <c r="C138" i="34" s="1"/>
  <c r="B137" i="34"/>
  <c r="C137" i="34" s="1"/>
  <c r="B136" i="34"/>
  <c r="C136" i="34" s="1"/>
  <c r="B9" i="34"/>
  <c r="C9" i="34" s="1"/>
  <c r="L74" i="33"/>
  <c r="M74" i="33" s="1"/>
  <c r="B74" i="33" s="1"/>
  <c r="C74" i="33" s="1"/>
  <c r="L136" i="33"/>
  <c r="M136" i="33" s="1"/>
  <c r="L137" i="33"/>
  <c r="M137" i="33" s="1"/>
  <c r="L40" i="33"/>
  <c r="M40" i="33" s="1"/>
  <c r="G43" i="33"/>
  <c r="K42" i="33" s="1"/>
  <c r="K41" i="33"/>
  <c r="G76" i="33"/>
  <c r="K75" i="33"/>
  <c r="G12" i="33"/>
  <c r="K11" i="33" s="1"/>
  <c r="K10" i="33"/>
  <c r="G107" i="33"/>
  <c r="K106" i="33"/>
  <c r="K105" i="33"/>
  <c r="G139" i="33"/>
  <c r="K138" i="33"/>
  <c r="B40" i="33"/>
  <c r="C40" i="33" s="1"/>
  <c r="B39" i="33"/>
  <c r="C39" i="33" s="1"/>
  <c r="L41" i="32"/>
  <c r="M41" i="32" s="1"/>
  <c r="B41" i="32" s="1"/>
  <c r="C41" i="32" s="1"/>
  <c r="L11" i="32"/>
  <c r="M11" i="32" s="1"/>
  <c r="L104" i="32"/>
  <c r="M104" i="32" s="1"/>
  <c r="B104" i="32" s="1"/>
  <c r="C104" i="32" s="1"/>
  <c r="L72" i="32"/>
  <c r="M72" i="32" s="1"/>
  <c r="L135" i="32"/>
  <c r="M135" i="32" s="1"/>
  <c r="L10" i="32"/>
  <c r="M10" i="32" s="1"/>
  <c r="G74" i="32"/>
  <c r="K73" i="32" s="1"/>
  <c r="G137" i="32"/>
  <c r="G106" i="32"/>
  <c r="G43" i="32"/>
  <c r="K42" i="32"/>
  <c r="G13" i="32"/>
  <c r="K12" i="32"/>
  <c r="B40" i="32"/>
  <c r="C40" i="32" s="1"/>
  <c r="B39" i="32"/>
  <c r="C39" i="32" s="1"/>
  <c r="B71" i="32"/>
  <c r="C71" i="32" s="1"/>
  <c r="B70" i="32"/>
  <c r="C70" i="32" s="1"/>
  <c r="B103" i="32"/>
  <c r="C103" i="32" s="1"/>
  <c r="B102" i="32"/>
  <c r="C102" i="32" s="1"/>
  <c r="B134" i="32"/>
  <c r="C134" i="32" s="1"/>
  <c r="B133" i="32"/>
  <c r="C133" i="32" s="1"/>
  <c r="L41" i="31"/>
  <c r="M41" i="31" s="1"/>
  <c r="B41" i="31" s="1"/>
  <c r="C41" i="31" s="1"/>
  <c r="L136" i="31"/>
  <c r="M136" i="31" s="1"/>
  <c r="L73" i="31"/>
  <c r="M73" i="31" s="1"/>
  <c r="G107" i="31"/>
  <c r="K106" i="31"/>
  <c r="K105" i="31"/>
  <c r="G12" i="31"/>
  <c r="K11" i="31"/>
  <c r="K10" i="31"/>
  <c r="G75" i="31"/>
  <c r="G139" i="31"/>
  <c r="K138" i="31"/>
  <c r="B9" i="31"/>
  <c r="C9" i="31" s="1"/>
  <c r="G43" i="31"/>
  <c r="K137" i="31"/>
  <c r="B40" i="31"/>
  <c r="C40" i="31" s="1"/>
  <c r="B39" i="31"/>
  <c r="C39" i="31" s="1"/>
  <c r="L13" i="30"/>
  <c r="M13" i="30" s="1"/>
  <c r="B13" i="30" s="1"/>
  <c r="C13" i="30" s="1"/>
  <c r="L14" i="30"/>
  <c r="M14" i="30" s="1"/>
  <c r="L104" i="30"/>
  <c r="M104" i="30" s="1"/>
  <c r="B104" i="30" s="1"/>
  <c r="C104" i="30" s="1"/>
  <c r="G16" i="30"/>
  <c r="K15" i="30"/>
  <c r="G106" i="30"/>
  <c r="G140" i="30"/>
  <c r="K138" i="30"/>
  <c r="G43" i="30"/>
  <c r="K42" i="30"/>
  <c r="K41" i="30"/>
  <c r="G75" i="30"/>
  <c r="K74" i="30" s="1"/>
  <c r="K73" i="30"/>
  <c r="B12" i="30"/>
  <c r="C12" i="30" s="1"/>
  <c r="B103" i="30"/>
  <c r="C103" i="30" s="1"/>
  <c r="B102" i="30"/>
  <c r="C102" i="30" s="1"/>
  <c r="B137" i="30"/>
  <c r="C137" i="30" s="1"/>
  <c r="B136" i="30"/>
  <c r="C136" i="30" s="1"/>
  <c r="L41" i="29"/>
  <c r="M41" i="29" s="1"/>
  <c r="L72" i="29"/>
  <c r="M72" i="29" s="1"/>
  <c r="B72" i="29" s="1"/>
  <c r="C72" i="29" s="1"/>
  <c r="L13" i="29"/>
  <c r="M13" i="29" s="1"/>
  <c r="L40" i="29"/>
  <c r="M40" i="29" s="1"/>
  <c r="L104" i="29"/>
  <c r="M104" i="29" s="1"/>
  <c r="L136" i="29"/>
  <c r="M136" i="29" s="1"/>
  <c r="B136" i="29" s="1"/>
  <c r="C136" i="29" s="1"/>
  <c r="L14" i="29"/>
  <c r="M14" i="29" s="1"/>
  <c r="L103" i="29"/>
  <c r="M103" i="29" s="1"/>
  <c r="G138" i="29"/>
  <c r="K137" i="29"/>
  <c r="G16" i="29"/>
  <c r="K15" i="29"/>
  <c r="G106" i="29"/>
  <c r="G43" i="29"/>
  <c r="G74" i="29"/>
  <c r="L105" i="28"/>
  <c r="M105" i="28" s="1"/>
  <c r="B105" i="28" s="1"/>
  <c r="C105" i="28" s="1"/>
  <c r="L138" i="28"/>
  <c r="M138" i="28" s="1"/>
  <c r="B138" i="28" s="1"/>
  <c r="C138" i="28" s="1"/>
  <c r="L10" i="28"/>
  <c r="M10" i="28" s="1"/>
  <c r="B10" i="28" s="1"/>
  <c r="C10" i="28" s="1"/>
  <c r="L41" i="28"/>
  <c r="M41" i="28" s="1"/>
  <c r="B41" i="28" s="1"/>
  <c r="C41" i="28" s="1"/>
  <c r="G75" i="28"/>
  <c r="K74" i="28"/>
  <c r="G140" i="28"/>
  <c r="K139" i="28" s="1"/>
  <c r="G43" i="28"/>
  <c r="B137" i="28"/>
  <c r="C137" i="28" s="1"/>
  <c r="B136" i="28"/>
  <c r="C136" i="28" s="1"/>
  <c r="B40" i="28"/>
  <c r="C40" i="28" s="1"/>
  <c r="G107" i="28"/>
  <c r="K106" i="28"/>
  <c r="K73" i="28"/>
  <c r="K11" i="28"/>
  <c r="G12" i="28"/>
  <c r="L72" i="27"/>
  <c r="M72" i="27" s="1"/>
  <c r="B72" i="27" s="1"/>
  <c r="C72" i="27" s="1"/>
  <c r="L41" i="27"/>
  <c r="M41" i="27" s="1"/>
  <c r="B41" i="27" s="1"/>
  <c r="C41" i="27" s="1"/>
  <c r="L103" i="27"/>
  <c r="M103" i="27" s="1"/>
  <c r="B103" i="27" s="1"/>
  <c r="C103" i="27" s="1"/>
  <c r="G138" i="27"/>
  <c r="K136" i="27"/>
  <c r="G43" i="27"/>
  <c r="G105" i="27"/>
  <c r="K104" i="27"/>
  <c r="G12" i="27"/>
  <c r="K10" i="27"/>
  <c r="G74" i="27"/>
  <c r="B40" i="27"/>
  <c r="C40" i="27" s="1"/>
  <c r="B39" i="27"/>
  <c r="C39" i="27" s="1"/>
  <c r="B9" i="27"/>
  <c r="C9" i="27" s="1"/>
  <c r="B71" i="27"/>
  <c r="C71" i="27" s="1"/>
  <c r="B70" i="27"/>
  <c r="C70" i="27" s="1"/>
  <c r="L133" i="26"/>
  <c r="M133" i="26" s="1"/>
  <c r="L134" i="26"/>
  <c r="M134" i="26" s="1"/>
  <c r="L41" i="26"/>
  <c r="M41" i="26" s="1"/>
  <c r="L12" i="26"/>
  <c r="M12" i="26" s="1"/>
  <c r="L105" i="26"/>
  <c r="M105" i="26" s="1"/>
  <c r="B105" i="26" s="1"/>
  <c r="C105" i="26" s="1"/>
  <c r="G74" i="26"/>
  <c r="G107" i="26"/>
  <c r="K106" i="26" s="1"/>
  <c r="K13" i="26"/>
  <c r="G14" i="26"/>
  <c r="B40" i="26"/>
  <c r="C40" i="26" s="1"/>
  <c r="B39" i="26"/>
  <c r="C39" i="26" s="1"/>
  <c r="K72" i="26"/>
  <c r="G136" i="26"/>
  <c r="G43" i="26"/>
  <c r="K42" i="26"/>
  <c r="B104" i="26"/>
  <c r="C104" i="26" s="1"/>
  <c r="B103" i="26"/>
  <c r="C103" i="26" s="1"/>
  <c r="B11" i="26"/>
  <c r="C11" i="26" s="1"/>
  <c r="L136" i="25"/>
  <c r="M136" i="25" s="1"/>
  <c r="L137" i="25"/>
  <c r="M137" i="25" s="1"/>
  <c r="L10" i="25"/>
  <c r="M10" i="25" s="1"/>
  <c r="L11" i="25"/>
  <c r="M11" i="25" s="1"/>
  <c r="L40" i="25"/>
  <c r="M40" i="25" s="1"/>
  <c r="B40" i="25" s="1"/>
  <c r="C40" i="25" s="1"/>
  <c r="L104" i="25"/>
  <c r="M104" i="25" s="1"/>
  <c r="L75" i="25"/>
  <c r="M75" i="25" s="1"/>
  <c r="G139" i="25"/>
  <c r="K138" i="25"/>
  <c r="G13" i="25"/>
  <c r="K12" i="25"/>
  <c r="G43" i="25"/>
  <c r="K42" i="25" s="1"/>
  <c r="K41" i="25"/>
  <c r="G106" i="25"/>
  <c r="G77" i="25"/>
  <c r="K76" i="25" s="1"/>
  <c r="B39" i="25"/>
  <c r="C39" i="25" s="1"/>
  <c r="B74" i="25"/>
  <c r="C74" i="25" s="1"/>
  <c r="B73" i="25"/>
  <c r="C73" i="25" s="1"/>
  <c r="L137" i="24"/>
  <c r="M137" i="24" s="1"/>
  <c r="B137" i="24" s="1"/>
  <c r="C137" i="24" s="1"/>
  <c r="L11" i="24"/>
  <c r="M11" i="24" s="1"/>
  <c r="B11" i="24" s="1"/>
  <c r="C11" i="24" s="1"/>
  <c r="L104" i="24"/>
  <c r="M104" i="24" s="1"/>
  <c r="B104" i="24" s="1"/>
  <c r="C104" i="24" s="1"/>
  <c r="L138" i="24"/>
  <c r="M138" i="24" s="1"/>
  <c r="G106" i="24"/>
  <c r="G74" i="24"/>
  <c r="K73" i="24" s="1"/>
  <c r="K72" i="24"/>
  <c r="G140" i="24"/>
  <c r="G43" i="24"/>
  <c r="G13" i="24"/>
  <c r="K12" i="24"/>
  <c r="K41" i="24"/>
  <c r="B136" i="24"/>
  <c r="C136" i="24" s="1"/>
  <c r="B103" i="24"/>
  <c r="C103" i="24" s="1"/>
  <c r="B102" i="24"/>
  <c r="C102" i="24" s="1"/>
  <c r="L72" i="23"/>
  <c r="M72" i="23" s="1"/>
  <c r="L40" i="23"/>
  <c r="M40" i="23" s="1"/>
  <c r="L135" i="23"/>
  <c r="M135" i="23" s="1"/>
  <c r="L10" i="23"/>
  <c r="M10" i="23" s="1"/>
  <c r="L11" i="23"/>
  <c r="M11" i="23" s="1"/>
  <c r="G106" i="23"/>
  <c r="K105" i="23"/>
  <c r="G13" i="23"/>
  <c r="K12" i="23"/>
  <c r="G43" i="23"/>
  <c r="K42" i="23"/>
  <c r="K41" i="23"/>
  <c r="K104" i="23"/>
  <c r="G137" i="23"/>
  <c r="G74" i="23"/>
  <c r="B134" i="23"/>
  <c r="C134" i="23" s="1"/>
  <c r="B133" i="23"/>
  <c r="C133" i="23" s="1"/>
  <c r="B103" i="23"/>
  <c r="C103" i="23" s="1"/>
  <c r="B102" i="23"/>
  <c r="C102" i="23" s="1"/>
  <c r="L103" i="22"/>
  <c r="M103" i="22" s="1"/>
  <c r="L41" i="22"/>
  <c r="M41" i="22" s="1"/>
  <c r="B41" i="22" s="1"/>
  <c r="C41" i="22" s="1"/>
  <c r="L75" i="22"/>
  <c r="M75" i="22" s="1"/>
  <c r="B75" i="22" s="1"/>
  <c r="C75" i="22" s="1"/>
  <c r="L11" i="22"/>
  <c r="M11" i="22" s="1"/>
  <c r="L102" i="22"/>
  <c r="M102" i="22" s="1"/>
  <c r="L134" i="22"/>
  <c r="M134" i="22" s="1"/>
  <c r="B134" i="22" s="1"/>
  <c r="C134" i="22" s="1"/>
  <c r="G43" i="22"/>
  <c r="K42" i="22"/>
  <c r="G77" i="22"/>
  <c r="G13" i="22"/>
  <c r="K12" i="22"/>
  <c r="G105" i="22"/>
  <c r="K104" i="22"/>
  <c r="G136" i="22"/>
  <c r="K135" i="22"/>
  <c r="B74" i="22"/>
  <c r="C74" i="22" s="1"/>
  <c r="L11" i="21"/>
  <c r="M11" i="21" s="1"/>
  <c r="L135" i="21"/>
  <c r="M135" i="21" s="1"/>
  <c r="L104" i="21"/>
  <c r="M104" i="21" s="1"/>
  <c r="L105" i="21"/>
  <c r="M105" i="21" s="1"/>
  <c r="L42" i="21"/>
  <c r="M42" i="21" s="1"/>
  <c r="B42" i="21" s="1"/>
  <c r="C42" i="21" s="1"/>
  <c r="L10" i="21"/>
  <c r="M10" i="21" s="1"/>
  <c r="G13" i="21"/>
  <c r="K12" i="21"/>
  <c r="G44" i="21"/>
  <c r="G75" i="21"/>
  <c r="K74" i="21"/>
  <c r="K73" i="21"/>
  <c r="G107" i="21"/>
  <c r="G138" i="21"/>
  <c r="K137" i="21"/>
  <c r="K136" i="21"/>
  <c r="K72" i="1"/>
  <c r="L72" i="1" s="1"/>
  <c r="K102" i="1"/>
  <c r="L102" i="1" s="1"/>
  <c r="K42" i="1"/>
  <c r="L42" i="1" s="1"/>
  <c r="B42" i="1" s="1"/>
  <c r="C42" i="1" s="1"/>
  <c r="K71" i="1"/>
  <c r="L71" i="1" s="1"/>
  <c r="K103" i="1"/>
  <c r="L103" i="1" s="1"/>
  <c r="K134" i="1"/>
  <c r="L134" i="1" s="1"/>
  <c r="B134" i="1" s="1"/>
  <c r="C134" i="1" s="1"/>
  <c r="K8" i="1"/>
  <c r="K7" i="1"/>
  <c r="B10" i="3"/>
  <c r="C10" i="3" s="1"/>
  <c r="M43" i="3"/>
  <c r="B43" i="3" s="1"/>
  <c r="C43" i="3" s="1"/>
  <c r="M103" i="3"/>
  <c r="B103" i="3" s="1"/>
  <c r="C103" i="3" s="1"/>
  <c r="M135" i="3"/>
  <c r="B135" i="3" s="1"/>
  <c r="C135" i="3" s="1"/>
  <c r="M11" i="3"/>
  <c r="B11" i="3" s="1"/>
  <c r="M44" i="9"/>
  <c r="B44" i="9" s="1"/>
  <c r="C44" i="9" s="1"/>
  <c r="M133" i="9"/>
  <c r="M72" i="9"/>
  <c r="B72" i="9" s="1"/>
  <c r="C72" i="9" s="1"/>
  <c r="M134" i="9"/>
  <c r="G136" i="9"/>
  <c r="K135" i="9"/>
  <c r="G108" i="9"/>
  <c r="K107" i="9"/>
  <c r="K106" i="9"/>
  <c r="G12" i="9"/>
  <c r="K11" i="9"/>
  <c r="K10" i="9"/>
  <c r="G46" i="9"/>
  <c r="G74" i="9"/>
  <c r="K73" i="9"/>
  <c r="B43" i="9"/>
  <c r="C43" i="9" s="1"/>
  <c r="B42" i="9"/>
  <c r="C42" i="9" s="1"/>
  <c r="M72" i="8"/>
  <c r="B72" i="8" s="1"/>
  <c r="C72" i="8" s="1"/>
  <c r="M135" i="8"/>
  <c r="B135" i="8" s="1"/>
  <c r="C135" i="8" s="1"/>
  <c r="M103" i="8"/>
  <c r="B103" i="8" s="1"/>
  <c r="C103" i="8" s="1"/>
  <c r="B40" i="8"/>
  <c r="C40" i="8" s="1"/>
  <c r="B39" i="8"/>
  <c r="C39" i="8" s="1"/>
  <c r="G105" i="8"/>
  <c r="K104" i="8"/>
  <c r="B102" i="8"/>
  <c r="C102" i="8" s="1"/>
  <c r="B101" i="8"/>
  <c r="C101" i="8" s="1"/>
  <c r="G12" i="8"/>
  <c r="K11" i="8"/>
  <c r="G137" i="8"/>
  <c r="K42" i="8"/>
  <c r="G43" i="8"/>
  <c r="G74" i="8"/>
  <c r="K73" i="8"/>
  <c r="K41" i="8"/>
  <c r="B134" i="8"/>
  <c r="C134" i="8" s="1"/>
  <c r="B133" i="8"/>
  <c r="C133" i="8" s="1"/>
  <c r="K10" i="8"/>
  <c r="M41" i="4"/>
  <c r="B41" i="4" s="1"/>
  <c r="C41" i="4" s="1"/>
  <c r="M74" i="4"/>
  <c r="B74" i="4" s="1"/>
  <c r="C74" i="4" s="1"/>
  <c r="G108" i="4"/>
  <c r="K107" i="4"/>
  <c r="G43" i="4"/>
  <c r="K42" i="4"/>
  <c r="G12" i="4"/>
  <c r="K11" i="4"/>
  <c r="G137" i="4"/>
  <c r="K136" i="4" s="1"/>
  <c r="B73" i="4"/>
  <c r="C73" i="4" s="1"/>
  <c r="K106" i="4"/>
  <c r="K10" i="4"/>
  <c r="G76" i="4"/>
  <c r="K75" i="4"/>
  <c r="K135" i="4"/>
  <c r="G76" i="3"/>
  <c r="K75" i="3" s="1"/>
  <c r="G46" i="3"/>
  <c r="K45" i="3"/>
  <c r="B42" i="3"/>
  <c r="C42" i="3" s="1"/>
  <c r="G13" i="3"/>
  <c r="K12" i="3" s="1"/>
  <c r="B134" i="3"/>
  <c r="C134" i="3" s="1"/>
  <c r="B133" i="3"/>
  <c r="C133" i="3" s="1"/>
  <c r="G105" i="3"/>
  <c r="K104" i="3"/>
  <c r="K74" i="3"/>
  <c r="K44" i="3"/>
  <c r="G137" i="3"/>
  <c r="L134" i="2"/>
  <c r="L133" i="2"/>
  <c r="L10" i="2"/>
  <c r="B10" i="2" s="1"/>
  <c r="C10" i="2" s="1"/>
  <c r="L74" i="2"/>
  <c r="B74" i="2" s="1"/>
  <c r="C74" i="2" s="1"/>
  <c r="L103" i="2"/>
  <c r="B103" i="2" s="1"/>
  <c r="C103" i="2" s="1"/>
  <c r="G12" i="2"/>
  <c r="J11" i="2"/>
  <c r="G43" i="2"/>
  <c r="J42" i="2"/>
  <c r="G136" i="2"/>
  <c r="J135" i="2"/>
  <c r="B40" i="2"/>
  <c r="C40" i="2" s="1"/>
  <c r="B39" i="2"/>
  <c r="C39" i="2" s="1"/>
  <c r="J41" i="2"/>
  <c r="G76" i="2"/>
  <c r="G105" i="2"/>
  <c r="J104" i="2"/>
  <c r="G136" i="1"/>
  <c r="J135" i="1" s="1"/>
  <c r="B133" i="1"/>
  <c r="C133" i="1" s="1"/>
  <c r="G105" i="1"/>
  <c r="J104" i="1"/>
  <c r="G74" i="1"/>
  <c r="J73" i="1" s="1"/>
  <c r="G44" i="1"/>
  <c r="J43" i="1"/>
  <c r="B41" i="1"/>
  <c r="C41" i="1" s="1"/>
  <c r="B40" i="1"/>
  <c r="C40" i="1" s="1"/>
  <c r="G10" i="1"/>
  <c r="L73" i="34" a="1"/>
  <c r="L10" i="34" a="1"/>
  <c r="L106" i="34" a="1"/>
  <c r="L105" i="34" a="1"/>
  <c r="L43" i="34" a="1"/>
  <c r="L138" i="33" a="1"/>
  <c r="L41" i="33" a="1"/>
  <c r="L75" i="33" a="1"/>
  <c r="L10" i="33" a="1"/>
  <c r="L106" i="33" a="1"/>
  <c r="L105" i="33" a="1"/>
  <c r="L42" i="33" a="1"/>
  <c r="L11" i="33" a="1"/>
  <c r="L42" i="32" a="1"/>
  <c r="L12" i="32" a="1"/>
  <c r="L73" i="32" a="1"/>
  <c r="L106" i="31" a="1"/>
  <c r="L105" i="31" a="1"/>
  <c r="L11" i="31" a="1"/>
  <c r="L10" i="31" a="1"/>
  <c r="L138" i="31" a="1"/>
  <c r="L137" i="31" a="1"/>
  <c r="L41" i="30" a="1"/>
  <c r="L15" i="30" a="1"/>
  <c r="L138" i="30" a="1"/>
  <c r="L42" i="30" a="1"/>
  <c r="L73" i="30" a="1"/>
  <c r="L74" i="30" a="1"/>
  <c r="L15" i="29" a="1"/>
  <c r="L137" i="29" a="1"/>
  <c r="L73" i="28" a="1"/>
  <c r="L11" i="28" a="1"/>
  <c r="L74" i="28" a="1"/>
  <c r="L106" i="28" a="1"/>
  <c r="L139" i="28" a="1"/>
  <c r="L10" i="27" a="1"/>
  <c r="L136" i="27" a="1"/>
  <c r="L104" i="27" a="1"/>
  <c r="L13" i="26" a="1"/>
  <c r="L72" i="26" a="1"/>
  <c r="L42" i="26" a="1"/>
  <c r="L106" i="26" a="1"/>
  <c r="L12" i="25" a="1"/>
  <c r="L138" i="25" a="1"/>
  <c r="L41" i="25" a="1"/>
  <c r="L42" i="25" a="1"/>
  <c r="L76" i="25" a="1"/>
  <c r="L72" i="24" a="1"/>
  <c r="L12" i="24" a="1"/>
  <c r="L41" i="24" a="1"/>
  <c r="L73" i="24" a="1"/>
  <c r="L105" i="23" a="1"/>
  <c r="L12" i="23" a="1"/>
  <c r="L41" i="23" a="1"/>
  <c r="L104" i="23" a="1"/>
  <c r="L42" i="23" a="1"/>
  <c r="L42" i="22" a="1"/>
  <c r="L104" i="22" a="1"/>
  <c r="L12" i="22" a="1"/>
  <c r="L135" i="22" a="1"/>
  <c r="L12" i="21" a="1"/>
  <c r="L74" i="21" a="1"/>
  <c r="L73" i="21" a="1"/>
  <c r="L137" i="21" a="1"/>
  <c r="L136" i="21" a="1"/>
  <c r="K43" i="1" a="1"/>
  <c r="K135" i="1" a="1"/>
  <c r="K104" i="1" a="1"/>
  <c r="K73" i="1" a="1"/>
  <c r="L43" i="34" l="1"/>
  <c r="M43" i="34" s="1"/>
  <c r="L105" i="34"/>
  <c r="M105" i="34" s="1"/>
  <c r="L106" i="34"/>
  <c r="M106" i="34" s="1"/>
  <c r="L10" i="34"/>
  <c r="M10" i="34" s="1"/>
  <c r="L73" i="34"/>
  <c r="M73" i="34" s="1"/>
  <c r="G108" i="34"/>
  <c r="G13" i="34"/>
  <c r="K12" i="34"/>
  <c r="K11" i="34"/>
  <c r="G45" i="34"/>
  <c r="G76" i="34"/>
  <c r="K75" i="34"/>
  <c r="K74" i="34"/>
  <c r="G141" i="34"/>
  <c r="K139" i="34"/>
  <c r="B43" i="34"/>
  <c r="C43" i="34" s="1"/>
  <c r="B42" i="34"/>
  <c r="C42" i="34" s="1"/>
  <c r="B41" i="34"/>
  <c r="C41" i="34" s="1"/>
  <c r="L11" i="33"/>
  <c r="M11" i="33" s="1"/>
  <c r="L42" i="33"/>
  <c r="M42" i="33" s="1"/>
  <c r="L105" i="33"/>
  <c r="M105" i="33" s="1"/>
  <c r="L106" i="33"/>
  <c r="M106" i="33" s="1"/>
  <c r="L10" i="33"/>
  <c r="M10" i="33" s="1"/>
  <c r="L75" i="33"/>
  <c r="M75" i="33" s="1"/>
  <c r="L41" i="33"/>
  <c r="M41" i="33" s="1"/>
  <c r="B41" i="33" s="1"/>
  <c r="C41" i="33" s="1"/>
  <c r="L138" i="33"/>
  <c r="M138" i="33" s="1"/>
  <c r="B138" i="33" s="1"/>
  <c r="C138" i="33" s="1"/>
  <c r="G140" i="33"/>
  <c r="G108" i="33"/>
  <c r="G13" i="33"/>
  <c r="K12" i="33"/>
  <c r="G77" i="33"/>
  <c r="B137" i="33"/>
  <c r="C137" i="33" s="1"/>
  <c r="B136" i="33"/>
  <c r="C136" i="33" s="1"/>
  <c r="G44" i="33"/>
  <c r="K43" i="33"/>
  <c r="L73" i="32"/>
  <c r="M73" i="32" s="1"/>
  <c r="B73" i="32" s="1"/>
  <c r="C73" i="32" s="1"/>
  <c r="L12" i="32"/>
  <c r="M12" i="32" s="1"/>
  <c r="B12" i="32" s="1"/>
  <c r="C12" i="32" s="1"/>
  <c r="L42" i="32"/>
  <c r="M42" i="32" s="1"/>
  <c r="B42" i="32" s="1"/>
  <c r="C42" i="32" s="1"/>
  <c r="G107" i="32"/>
  <c r="K106" i="32"/>
  <c r="K105" i="32"/>
  <c r="G138" i="32"/>
  <c r="K137" i="32"/>
  <c r="K136" i="32"/>
  <c r="B11" i="32"/>
  <c r="C11" i="32" s="1"/>
  <c r="B10" i="32"/>
  <c r="C10" i="32" s="1"/>
  <c r="G14" i="32"/>
  <c r="G44" i="32"/>
  <c r="K43" i="32"/>
  <c r="G75" i="32"/>
  <c r="K74" i="32"/>
  <c r="B135" i="32"/>
  <c r="C135" i="32" s="1"/>
  <c r="B72" i="32"/>
  <c r="C72" i="32" s="1"/>
  <c r="L137" i="31"/>
  <c r="M137" i="31" s="1"/>
  <c r="B137" i="31" s="1"/>
  <c r="C137" i="31" s="1"/>
  <c r="L138" i="31"/>
  <c r="M138" i="31" s="1"/>
  <c r="L10" i="31"/>
  <c r="M10" i="31" s="1"/>
  <c r="L11" i="31"/>
  <c r="M11" i="31" s="1"/>
  <c r="L105" i="31"/>
  <c r="M105" i="31" s="1"/>
  <c r="L106" i="31"/>
  <c r="M106" i="31" s="1"/>
  <c r="G44" i="31"/>
  <c r="K43" i="31"/>
  <c r="K42" i="31"/>
  <c r="G140" i="31"/>
  <c r="G76" i="31"/>
  <c r="K75" i="31"/>
  <c r="K74" i="31"/>
  <c r="G13" i="31"/>
  <c r="K12" i="31"/>
  <c r="G108" i="31"/>
  <c r="K107" i="31" s="1"/>
  <c r="B73" i="31"/>
  <c r="C73" i="31" s="1"/>
  <c r="B136" i="31"/>
  <c r="C136" i="31" s="1"/>
  <c r="L74" i="30"/>
  <c r="M74" i="30" s="1"/>
  <c r="L73" i="30"/>
  <c r="M73" i="30" s="1"/>
  <c r="L42" i="30"/>
  <c r="M42" i="30" s="1"/>
  <c r="L138" i="30"/>
  <c r="M138" i="30" s="1"/>
  <c r="L15" i="30"/>
  <c r="M15" i="30" s="1"/>
  <c r="B15" i="30" s="1"/>
  <c r="C15" i="30" s="1"/>
  <c r="L41" i="30"/>
  <c r="M41" i="30" s="1"/>
  <c r="G141" i="30"/>
  <c r="K140" i="30"/>
  <c r="G107" i="30"/>
  <c r="K106" i="30"/>
  <c r="G17" i="30"/>
  <c r="K16" i="30"/>
  <c r="G76" i="30"/>
  <c r="K75" i="30"/>
  <c r="G44" i="30"/>
  <c r="K43" i="30"/>
  <c r="K139" i="30"/>
  <c r="K105" i="30"/>
  <c r="B14" i="30"/>
  <c r="C14" i="30" s="1"/>
  <c r="L137" i="29"/>
  <c r="M137" i="29" s="1"/>
  <c r="B137" i="29" s="1"/>
  <c r="C137" i="29" s="1"/>
  <c r="L15" i="29"/>
  <c r="M15" i="29" s="1"/>
  <c r="B15" i="29" s="1"/>
  <c r="C15" i="29" s="1"/>
  <c r="B104" i="29"/>
  <c r="C104" i="29" s="1"/>
  <c r="B103" i="29"/>
  <c r="C103" i="29" s="1"/>
  <c r="G139" i="29"/>
  <c r="K138" i="29"/>
  <c r="G75" i="29"/>
  <c r="K73" i="29"/>
  <c r="G44" i="29"/>
  <c r="K43" i="29"/>
  <c r="K42" i="29"/>
  <c r="G107" i="29"/>
  <c r="K105" i="29"/>
  <c r="G17" i="29"/>
  <c r="K16" i="29" s="1"/>
  <c r="B41" i="29"/>
  <c r="C41" i="29" s="1"/>
  <c r="B40" i="29"/>
  <c r="C40" i="29" s="1"/>
  <c r="B14" i="29"/>
  <c r="C14" i="29" s="1"/>
  <c r="B13" i="29"/>
  <c r="C13" i="29" s="1"/>
  <c r="L139" i="28"/>
  <c r="M139" i="28" s="1"/>
  <c r="B139" i="28" s="1"/>
  <c r="C139" i="28" s="1"/>
  <c r="L106" i="28"/>
  <c r="M106" i="28" s="1"/>
  <c r="B106" i="28" s="1"/>
  <c r="C106" i="28" s="1"/>
  <c r="L74" i="28"/>
  <c r="M74" i="28" s="1"/>
  <c r="L11" i="28"/>
  <c r="M11" i="28" s="1"/>
  <c r="B11" i="28" s="1"/>
  <c r="C11" i="28" s="1"/>
  <c r="L73" i="28"/>
  <c r="M73" i="28" s="1"/>
  <c r="G108" i="28"/>
  <c r="G44" i="28"/>
  <c r="K43" i="28"/>
  <c r="G76" i="28"/>
  <c r="K75" i="28"/>
  <c r="G13" i="28"/>
  <c r="K12" i="28"/>
  <c r="K42" i="28"/>
  <c r="G141" i="28"/>
  <c r="L104" i="27"/>
  <c r="M104" i="27" s="1"/>
  <c r="L136" i="27"/>
  <c r="M136" i="27" s="1"/>
  <c r="L10" i="27"/>
  <c r="M10" i="27" s="1"/>
  <c r="G75" i="27"/>
  <c r="K74" i="27"/>
  <c r="K73" i="27"/>
  <c r="G13" i="27"/>
  <c r="K12" i="27"/>
  <c r="K11" i="27"/>
  <c r="G106" i="27"/>
  <c r="K105" i="27"/>
  <c r="G139" i="27"/>
  <c r="K138" i="27"/>
  <c r="K137" i="27"/>
  <c r="G44" i="27"/>
  <c r="K43" i="27"/>
  <c r="K42" i="27"/>
  <c r="L106" i="26"/>
  <c r="M106" i="26" s="1"/>
  <c r="B106" i="26" s="1"/>
  <c r="C106" i="26" s="1"/>
  <c r="L42" i="26"/>
  <c r="M42" i="26" s="1"/>
  <c r="B42" i="26" s="1"/>
  <c r="C42" i="26" s="1"/>
  <c r="L72" i="26"/>
  <c r="M72" i="26" s="1"/>
  <c r="L13" i="26"/>
  <c r="M13" i="26" s="1"/>
  <c r="B13" i="26" s="1"/>
  <c r="C13" i="26" s="1"/>
  <c r="G75" i="26"/>
  <c r="K74" i="26"/>
  <c r="B134" i="26"/>
  <c r="C134" i="26" s="1"/>
  <c r="B133" i="26"/>
  <c r="C133" i="26" s="1"/>
  <c r="G137" i="26"/>
  <c r="K136" i="26"/>
  <c r="G15" i="26"/>
  <c r="K14" i="26"/>
  <c r="K73" i="26"/>
  <c r="B12" i="26"/>
  <c r="C12" i="26" s="1"/>
  <c r="B41" i="26"/>
  <c r="C41" i="26" s="1"/>
  <c r="K43" i="26"/>
  <c r="G44" i="26"/>
  <c r="K135" i="26"/>
  <c r="G108" i="26"/>
  <c r="L76" i="25"/>
  <c r="M76" i="25" s="1"/>
  <c r="B76" i="25" s="1"/>
  <c r="C76" i="25" s="1"/>
  <c r="L42" i="25"/>
  <c r="M42" i="25" s="1"/>
  <c r="L41" i="25"/>
  <c r="M41" i="25" s="1"/>
  <c r="L138" i="25"/>
  <c r="M138" i="25" s="1"/>
  <c r="B138" i="25" s="1"/>
  <c r="C138" i="25" s="1"/>
  <c r="L12" i="25"/>
  <c r="M12" i="25" s="1"/>
  <c r="B12" i="25" s="1"/>
  <c r="C12" i="25" s="1"/>
  <c r="G107" i="25"/>
  <c r="K106" i="25"/>
  <c r="G14" i="25"/>
  <c r="G140" i="25"/>
  <c r="K105" i="25"/>
  <c r="B11" i="25"/>
  <c r="C11" i="25" s="1"/>
  <c r="B10" i="25"/>
  <c r="C10" i="25" s="1"/>
  <c r="G78" i="25"/>
  <c r="K77" i="25"/>
  <c r="G44" i="25"/>
  <c r="K43" i="25"/>
  <c r="B75" i="25"/>
  <c r="C75" i="25" s="1"/>
  <c r="B104" i="25"/>
  <c r="C104" i="25" s="1"/>
  <c r="B137" i="25"/>
  <c r="C137" i="25" s="1"/>
  <c r="B136" i="25"/>
  <c r="C136" i="25" s="1"/>
  <c r="L73" i="24"/>
  <c r="M73" i="24" s="1"/>
  <c r="L41" i="24"/>
  <c r="M41" i="24" s="1"/>
  <c r="L12" i="24"/>
  <c r="M12" i="24" s="1"/>
  <c r="B12" i="24" s="1"/>
  <c r="C12" i="24" s="1"/>
  <c r="L72" i="24"/>
  <c r="M72" i="24" s="1"/>
  <c r="G44" i="24"/>
  <c r="K42" i="24"/>
  <c r="G141" i="24"/>
  <c r="K140" i="24"/>
  <c r="K139" i="24"/>
  <c r="G14" i="24"/>
  <c r="G75" i="24"/>
  <c r="K74" i="24"/>
  <c r="G107" i="24"/>
  <c r="K106" i="24"/>
  <c r="K105" i="24"/>
  <c r="B138" i="24"/>
  <c r="C138" i="24" s="1"/>
  <c r="L42" i="23"/>
  <c r="M42" i="23" s="1"/>
  <c r="L104" i="23"/>
  <c r="M104" i="23" s="1"/>
  <c r="L41" i="23"/>
  <c r="M41" i="23" s="1"/>
  <c r="L12" i="23"/>
  <c r="M12" i="23" s="1"/>
  <c r="L105" i="23"/>
  <c r="M105" i="23" s="1"/>
  <c r="B40" i="23"/>
  <c r="C40" i="23" s="1"/>
  <c r="G75" i="23"/>
  <c r="K74" i="23"/>
  <c r="K73" i="23"/>
  <c r="G138" i="23"/>
  <c r="K137" i="23"/>
  <c r="K136" i="23"/>
  <c r="B135" i="23"/>
  <c r="C135" i="23" s="1"/>
  <c r="G44" i="23"/>
  <c r="K43" i="23" s="1"/>
  <c r="G14" i="23"/>
  <c r="G107" i="23"/>
  <c r="B72" i="23"/>
  <c r="C72" i="23" s="1"/>
  <c r="B11" i="23"/>
  <c r="C11" i="23" s="1"/>
  <c r="B10" i="23"/>
  <c r="C10" i="23" s="1"/>
  <c r="L135" i="22"/>
  <c r="M135" i="22" s="1"/>
  <c r="B135" i="22" s="1"/>
  <c r="C135" i="22" s="1"/>
  <c r="L12" i="22"/>
  <c r="M12" i="22" s="1"/>
  <c r="B12" i="22" s="1"/>
  <c r="C12" i="22" s="1"/>
  <c r="L104" i="22"/>
  <c r="M104" i="22" s="1"/>
  <c r="B104" i="22" s="1"/>
  <c r="C104" i="22" s="1"/>
  <c r="L42" i="22"/>
  <c r="M42" i="22" s="1"/>
  <c r="G78" i="22"/>
  <c r="K77" i="22"/>
  <c r="B103" i="22"/>
  <c r="C103" i="22" s="1"/>
  <c r="B102" i="22"/>
  <c r="C102" i="22" s="1"/>
  <c r="G106" i="22"/>
  <c r="K105" i="22" s="1"/>
  <c r="G44" i="22"/>
  <c r="G137" i="22"/>
  <c r="K136" i="22"/>
  <c r="G14" i="22"/>
  <c r="K13" i="22" s="1"/>
  <c r="K76" i="22"/>
  <c r="B11" i="22"/>
  <c r="C11" i="22" s="1"/>
  <c r="L136" i="21"/>
  <c r="M136" i="21" s="1"/>
  <c r="B136" i="21" s="1"/>
  <c r="C136" i="21" s="1"/>
  <c r="L137" i="21"/>
  <c r="M137" i="21" s="1"/>
  <c r="L73" i="21"/>
  <c r="M73" i="21" s="1"/>
  <c r="L74" i="21"/>
  <c r="M74" i="21" s="1"/>
  <c r="L12" i="21"/>
  <c r="M12" i="21" s="1"/>
  <c r="B12" i="21" s="1"/>
  <c r="C12" i="21" s="1"/>
  <c r="G45" i="21"/>
  <c r="G139" i="21"/>
  <c r="G108" i="21"/>
  <c r="K107" i="21" s="1"/>
  <c r="K106" i="21"/>
  <c r="G76" i="21"/>
  <c r="K75" i="21"/>
  <c r="K43" i="21"/>
  <c r="G14" i="21"/>
  <c r="K13" i="21"/>
  <c r="B11" i="21"/>
  <c r="C11" i="21" s="1"/>
  <c r="B10" i="21"/>
  <c r="C10" i="21" s="1"/>
  <c r="B105" i="21"/>
  <c r="C105" i="21" s="1"/>
  <c r="B104" i="21"/>
  <c r="C104" i="21" s="1"/>
  <c r="B135" i="21"/>
  <c r="C135" i="21" s="1"/>
  <c r="M135" i="9"/>
  <c r="B135" i="9" s="1"/>
  <c r="C135" i="9" s="1"/>
  <c r="K73" i="1"/>
  <c r="L73" i="1" s="1"/>
  <c r="B73" i="1" s="1"/>
  <c r="C73" i="1" s="1"/>
  <c r="K104" i="1"/>
  <c r="L104" i="1" s="1"/>
  <c r="B104" i="1" s="1"/>
  <c r="C104" i="1" s="1"/>
  <c r="K135" i="1"/>
  <c r="L135" i="1" s="1"/>
  <c r="B135" i="1" s="1"/>
  <c r="C135" i="1" s="1"/>
  <c r="K43" i="1"/>
  <c r="L43" i="1" s="1"/>
  <c r="B43" i="1" s="1"/>
  <c r="C43" i="1" s="1"/>
  <c r="C11" i="3"/>
  <c r="M107" i="4"/>
  <c r="M10" i="4"/>
  <c r="M44" i="3"/>
  <c r="M74" i="3"/>
  <c r="M104" i="3"/>
  <c r="M12" i="3"/>
  <c r="L8" i="1"/>
  <c r="L7" i="1"/>
  <c r="B7" i="1" s="1"/>
  <c r="C7" i="1" s="1"/>
  <c r="M106" i="9"/>
  <c r="M73" i="9"/>
  <c r="B73" i="9" s="1"/>
  <c r="C73" i="9" s="1"/>
  <c r="M11" i="9"/>
  <c r="M10" i="9"/>
  <c r="M107" i="9"/>
  <c r="G47" i="9"/>
  <c r="K46" i="9" s="1"/>
  <c r="G13" i="9"/>
  <c r="K12" i="9"/>
  <c r="G137" i="9"/>
  <c r="K136" i="9"/>
  <c r="G75" i="9"/>
  <c r="B134" i="9"/>
  <c r="C134" i="9" s="1"/>
  <c r="B133" i="9"/>
  <c r="C133" i="9" s="1"/>
  <c r="G109" i="9"/>
  <c r="K45" i="9"/>
  <c r="M10" i="8"/>
  <c r="M73" i="8"/>
  <c r="B73" i="8" s="1"/>
  <c r="C73" i="8" s="1"/>
  <c r="M104" i="8"/>
  <c r="B104" i="8" s="1"/>
  <c r="C104" i="8" s="1"/>
  <c r="M11" i="8"/>
  <c r="M41" i="8"/>
  <c r="M42" i="8"/>
  <c r="G138" i="8"/>
  <c r="K137" i="8"/>
  <c r="G13" i="8"/>
  <c r="K12" i="8" s="1"/>
  <c r="G106" i="8"/>
  <c r="K105" i="8"/>
  <c r="G75" i="8"/>
  <c r="G44" i="8"/>
  <c r="K136" i="8"/>
  <c r="M11" i="4"/>
  <c r="M136" i="4"/>
  <c r="M42" i="4"/>
  <c r="B42" i="4" s="1"/>
  <c r="C42" i="4" s="1"/>
  <c r="M75" i="4"/>
  <c r="M135" i="4"/>
  <c r="M106" i="4"/>
  <c r="G44" i="4"/>
  <c r="K43" i="4" s="1"/>
  <c r="G13" i="4"/>
  <c r="K12" i="4"/>
  <c r="G109" i="4"/>
  <c r="K108" i="4" s="1"/>
  <c r="G77" i="4"/>
  <c r="K76" i="4" s="1"/>
  <c r="G138" i="4"/>
  <c r="K137" i="4"/>
  <c r="M75" i="3"/>
  <c r="M45" i="3"/>
  <c r="G47" i="3"/>
  <c r="K46" i="3" s="1"/>
  <c r="G138" i="3"/>
  <c r="K137" i="3" s="1"/>
  <c r="G14" i="3"/>
  <c r="K13" i="3"/>
  <c r="G77" i="3"/>
  <c r="K76" i="3" s="1"/>
  <c r="K136" i="3"/>
  <c r="G106" i="3"/>
  <c r="K105" i="3"/>
  <c r="L41" i="2"/>
  <c r="L42" i="2"/>
  <c r="L11" i="2"/>
  <c r="B11" i="2" s="1"/>
  <c r="C11" i="2" s="1"/>
  <c r="L104" i="2"/>
  <c r="B104" i="2" s="1"/>
  <c r="C104" i="2" s="1"/>
  <c r="L135" i="2"/>
  <c r="B135" i="2" s="1"/>
  <c r="C135" i="2" s="1"/>
  <c r="G137" i="2"/>
  <c r="J136" i="2"/>
  <c r="J12" i="2"/>
  <c r="G13" i="2"/>
  <c r="G106" i="2"/>
  <c r="B134" i="2"/>
  <c r="C134" i="2" s="1"/>
  <c r="B133" i="2"/>
  <c r="C133" i="2" s="1"/>
  <c r="J76" i="2"/>
  <c r="G77" i="2"/>
  <c r="G44" i="2"/>
  <c r="J43" i="2"/>
  <c r="J75" i="2"/>
  <c r="G137" i="1"/>
  <c r="J136" i="1"/>
  <c r="G106" i="1"/>
  <c r="J105" i="1" s="1"/>
  <c r="B103" i="1"/>
  <c r="C103" i="1" s="1"/>
  <c r="B102" i="1"/>
  <c r="C102" i="1" s="1"/>
  <c r="G75" i="1"/>
  <c r="B72" i="1"/>
  <c r="C72" i="1" s="1"/>
  <c r="B71" i="1"/>
  <c r="C71" i="1" s="1"/>
  <c r="G45" i="1"/>
  <c r="J44" i="1" s="1"/>
  <c r="G11" i="1"/>
  <c r="J10" i="1"/>
  <c r="J9" i="1"/>
  <c r="L12" i="34" a="1"/>
  <c r="L11" i="34" a="1"/>
  <c r="L139" i="34" a="1"/>
  <c r="L75" i="34" a="1"/>
  <c r="L74" i="34" a="1"/>
  <c r="L43" i="33" a="1"/>
  <c r="L12" i="33" a="1"/>
  <c r="L106" i="32" a="1"/>
  <c r="L105" i="32" a="1"/>
  <c r="L137" i="32" a="1"/>
  <c r="L136" i="32" a="1"/>
  <c r="L43" i="32" a="1"/>
  <c r="L74" i="32" a="1"/>
  <c r="L43" i="31" a="1"/>
  <c r="L42" i="31" a="1"/>
  <c r="L75" i="31" a="1"/>
  <c r="L74" i="31" a="1"/>
  <c r="L12" i="31" a="1"/>
  <c r="L107" i="31" a="1"/>
  <c r="L106" i="30" a="1"/>
  <c r="L75" i="30" a="1"/>
  <c r="L139" i="30" a="1"/>
  <c r="L140" i="30" a="1"/>
  <c r="L16" i="30" a="1"/>
  <c r="L43" i="30" a="1"/>
  <c r="L105" i="30" a="1"/>
  <c r="L138" i="29" a="1"/>
  <c r="L73" i="29" a="1"/>
  <c r="L43" i="29" a="1"/>
  <c r="L42" i="29" a="1"/>
  <c r="L105" i="29" a="1"/>
  <c r="L16" i="29" a="1"/>
  <c r="L43" i="28" a="1"/>
  <c r="L42" i="28" a="1"/>
  <c r="L75" i="28" a="1"/>
  <c r="L12" i="28" a="1"/>
  <c r="L74" i="27" a="1"/>
  <c r="L73" i="27" a="1"/>
  <c r="L12" i="27" a="1"/>
  <c r="L11" i="27" a="1"/>
  <c r="L105" i="27" a="1"/>
  <c r="L138" i="27" a="1"/>
  <c r="L137" i="27" a="1"/>
  <c r="L43" i="27" a="1"/>
  <c r="L42" i="27" a="1"/>
  <c r="L135" i="26" a="1"/>
  <c r="L136" i="26" a="1"/>
  <c r="L73" i="26" a="1"/>
  <c r="L43" i="26" a="1"/>
  <c r="L74" i="26" a="1"/>
  <c r="L14" i="26" a="1"/>
  <c r="L43" i="25" a="1"/>
  <c r="L77" i="25" a="1"/>
  <c r="L106" i="25" a="1"/>
  <c r="L105" i="25" a="1"/>
  <c r="L42" i="24" a="1"/>
  <c r="L140" i="24" a="1"/>
  <c r="L105" i="24" a="1"/>
  <c r="L139" i="24" a="1"/>
  <c r="L74" i="24" a="1"/>
  <c r="L106" i="24" a="1"/>
  <c r="L73" i="23" a="1"/>
  <c r="L137" i="23" a="1"/>
  <c r="L136" i="23" a="1"/>
  <c r="L74" i="23" a="1"/>
  <c r="L43" i="23" a="1"/>
  <c r="L77" i="22" a="1"/>
  <c r="L76" i="22" a="1"/>
  <c r="L136" i="22" a="1"/>
  <c r="L105" i="22" a="1"/>
  <c r="L13" i="22" a="1"/>
  <c r="L75" i="21" a="1"/>
  <c r="L43" i="21" a="1"/>
  <c r="L106" i="21" a="1"/>
  <c r="L13" i="21" a="1"/>
  <c r="L107" i="21" a="1"/>
  <c r="K10" i="1" a="1"/>
  <c r="K136" i="1" a="1"/>
  <c r="K44" i="1" a="1"/>
  <c r="K9" i="1" a="1"/>
  <c r="K105" i="1" a="1"/>
  <c r="B42" i="25" l="1"/>
  <c r="C42" i="25" s="1"/>
  <c r="L74" i="34"/>
  <c r="M74" i="34" s="1"/>
  <c r="L75" i="34"/>
  <c r="M75" i="34" s="1"/>
  <c r="L139" i="34"/>
  <c r="M139" i="34" s="1"/>
  <c r="L11" i="34"/>
  <c r="M11" i="34" s="1"/>
  <c r="L12" i="34"/>
  <c r="M12" i="34" s="1"/>
  <c r="G142" i="34"/>
  <c r="K141" i="34"/>
  <c r="G77" i="34"/>
  <c r="K76" i="34" s="1"/>
  <c r="K45" i="34"/>
  <c r="G46" i="34"/>
  <c r="K44" i="34"/>
  <c r="K140" i="34"/>
  <c r="G109" i="34"/>
  <c r="B74" i="34"/>
  <c r="C74" i="34" s="1"/>
  <c r="B73" i="34"/>
  <c r="C73" i="34" s="1"/>
  <c r="B11" i="34"/>
  <c r="C11" i="34" s="1"/>
  <c r="B10" i="34"/>
  <c r="C10" i="34" s="1"/>
  <c r="B42" i="23"/>
  <c r="C42" i="23" s="1"/>
  <c r="B106" i="34"/>
  <c r="C106" i="34" s="1"/>
  <c r="B105" i="34"/>
  <c r="C105" i="34" s="1"/>
  <c r="G14" i="34"/>
  <c r="K107" i="34"/>
  <c r="B42" i="33"/>
  <c r="C42" i="33" s="1"/>
  <c r="L12" i="33"/>
  <c r="M12" i="33" s="1"/>
  <c r="B12" i="33" s="1"/>
  <c r="C12" i="33" s="1"/>
  <c r="L43" i="33"/>
  <c r="M43" i="33" s="1"/>
  <c r="B43" i="33" s="1"/>
  <c r="C43" i="33" s="1"/>
  <c r="G78" i="33"/>
  <c r="K77" i="33"/>
  <c r="K76" i="33"/>
  <c r="G14" i="33"/>
  <c r="G109" i="33"/>
  <c r="K108" i="33"/>
  <c r="B41" i="23"/>
  <c r="C41" i="23" s="1"/>
  <c r="K107" i="33"/>
  <c r="G141" i="33"/>
  <c r="K140" i="33"/>
  <c r="K139" i="33"/>
  <c r="B11" i="33"/>
  <c r="C11" i="33" s="1"/>
  <c r="B10" i="33"/>
  <c r="C10" i="33" s="1"/>
  <c r="B75" i="33"/>
  <c r="C75" i="33" s="1"/>
  <c r="B106" i="33"/>
  <c r="C106" i="33" s="1"/>
  <c r="B105" i="33"/>
  <c r="C105" i="33" s="1"/>
  <c r="G45" i="33"/>
  <c r="L74" i="32"/>
  <c r="M74" i="32" s="1"/>
  <c r="B74" i="32" s="1"/>
  <c r="C74" i="32" s="1"/>
  <c r="L43" i="32"/>
  <c r="M43" i="32" s="1"/>
  <c r="B43" i="32" s="1"/>
  <c r="C43" i="32" s="1"/>
  <c r="L136" i="32"/>
  <c r="M136" i="32" s="1"/>
  <c r="L137" i="32"/>
  <c r="M137" i="32" s="1"/>
  <c r="L105" i="32"/>
  <c r="M105" i="32" s="1"/>
  <c r="L106" i="32"/>
  <c r="M106" i="32" s="1"/>
  <c r="G76" i="32"/>
  <c r="K75" i="32"/>
  <c r="K44" i="32"/>
  <c r="G45" i="32"/>
  <c r="G15" i="32"/>
  <c r="K14" i="32"/>
  <c r="K13" i="32"/>
  <c r="G139" i="32"/>
  <c r="K138" i="32"/>
  <c r="G108" i="32"/>
  <c r="L107" i="31"/>
  <c r="M107" i="31" s="1"/>
  <c r="B107" i="31" s="1"/>
  <c r="C107" i="31" s="1"/>
  <c r="L12" i="31"/>
  <c r="M12" i="31" s="1"/>
  <c r="L74" i="31"/>
  <c r="M74" i="31" s="1"/>
  <c r="L75" i="31"/>
  <c r="M75" i="31" s="1"/>
  <c r="L42" i="31"/>
  <c r="M42" i="31" s="1"/>
  <c r="L43" i="31"/>
  <c r="M43" i="31" s="1"/>
  <c r="G14" i="31"/>
  <c r="K13" i="31" s="1"/>
  <c r="K76" i="31"/>
  <c r="G77" i="31"/>
  <c r="G141" i="31"/>
  <c r="K140" i="31"/>
  <c r="K139" i="31"/>
  <c r="G109" i="31"/>
  <c r="G45" i="31"/>
  <c r="K44" i="31" s="1"/>
  <c r="B106" i="31"/>
  <c r="C106" i="31" s="1"/>
  <c r="B105" i="31"/>
  <c r="C105" i="31" s="1"/>
  <c r="B11" i="31"/>
  <c r="C11" i="31" s="1"/>
  <c r="B10" i="31"/>
  <c r="C10" i="31" s="1"/>
  <c r="B138" i="31"/>
  <c r="C138" i="31" s="1"/>
  <c r="L105" i="30"/>
  <c r="M105" i="30" s="1"/>
  <c r="L43" i="30"/>
  <c r="M43" i="30" s="1"/>
  <c r="B43" i="30" s="1"/>
  <c r="C43" i="30" s="1"/>
  <c r="L16" i="30"/>
  <c r="M16" i="30" s="1"/>
  <c r="L140" i="30"/>
  <c r="M140" i="30" s="1"/>
  <c r="L139" i="30"/>
  <c r="M139" i="30" s="1"/>
  <c r="L75" i="30"/>
  <c r="M75" i="30" s="1"/>
  <c r="B75" i="30" s="1"/>
  <c r="C75" i="30" s="1"/>
  <c r="L106" i="30"/>
  <c r="M106" i="30" s="1"/>
  <c r="G77" i="30"/>
  <c r="G108" i="30"/>
  <c r="K107" i="30" s="1"/>
  <c r="G142" i="30"/>
  <c r="B42" i="30"/>
  <c r="C42" i="30" s="1"/>
  <c r="B41" i="30"/>
  <c r="C41" i="30" s="1"/>
  <c r="G45" i="30"/>
  <c r="G18" i="30"/>
  <c r="K17" i="30"/>
  <c r="B138" i="30"/>
  <c r="C138" i="30" s="1"/>
  <c r="B74" i="30"/>
  <c r="C74" i="30" s="1"/>
  <c r="B73" i="30"/>
  <c r="C73" i="30" s="1"/>
  <c r="L16" i="29"/>
  <c r="M16" i="29" s="1"/>
  <c r="B16" i="29" s="1"/>
  <c r="C16" i="29" s="1"/>
  <c r="L105" i="29"/>
  <c r="M105" i="29" s="1"/>
  <c r="L42" i="29"/>
  <c r="M42" i="29" s="1"/>
  <c r="L43" i="29"/>
  <c r="M43" i="29" s="1"/>
  <c r="L73" i="29"/>
  <c r="M73" i="29" s="1"/>
  <c r="L138" i="29"/>
  <c r="M138" i="29" s="1"/>
  <c r="B138" i="29" s="1"/>
  <c r="C138" i="29" s="1"/>
  <c r="G108" i="29"/>
  <c r="K107" i="29"/>
  <c r="K106" i="29"/>
  <c r="G45" i="29"/>
  <c r="K44" i="29" s="1"/>
  <c r="G18" i="29"/>
  <c r="K17" i="29"/>
  <c r="G76" i="29"/>
  <c r="K75" i="29"/>
  <c r="K74" i="29"/>
  <c r="G140" i="29"/>
  <c r="L12" i="28"/>
  <c r="M12" i="28" s="1"/>
  <c r="B12" i="28" s="1"/>
  <c r="C12" i="28" s="1"/>
  <c r="L75" i="28"/>
  <c r="M75" i="28" s="1"/>
  <c r="B75" i="28" s="1"/>
  <c r="C75" i="28" s="1"/>
  <c r="L42" i="28"/>
  <c r="M42" i="28" s="1"/>
  <c r="L43" i="28"/>
  <c r="M43" i="28" s="1"/>
  <c r="G142" i="28"/>
  <c r="K141" i="28"/>
  <c r="G14" i="28"/>
  <c r="G77" i="28"/>
  <c r="K76" i="28" s="1"/>
  <c r="K140" i="28"/>
  <c r="G45" i="28"/>
  <c r="K44" i="28" s="1"/>
  <c r="G109" i="28"/>
  <c r="K108" i="28"/>
  <c r="K107" i="28"/>
  <c r="B74" i="28"/>
  <c r="C74" i="28" s="1"/>
  <c r="B73" i="28"/>
  <c r="C73" i="28" s="1"/>
  <c r="L42" i="27"/>
  <c r="M42" i="27" s="1"/>
  <c r="L43" i="27"/>
  <c r="M43" i="27" s="1"/>
  <c r="L137" i="27"/>
  <c r="M137" i="27" s="1"/>
  <c r="B137" i="27" s="1"/>
  <c r="C137" i="27" s="1"/>
  <c r="L138" i="27"/>
  <c r="M138" i="27" s="1"/>
  <c r="L105" i="27"/>
  <c r="M105" i="27" s="1"/>
  <c r="B105" i="27" s="1"/>
  <c r="C105" i="27" s="1"/>
  <c r="L11" i="27"/>
  <c r="M11" i="27" s="1"/>
  <c r="B11" i="27" s="1"/>
  <c r="C11" i="27" s="1"/>
  <c r="L12" i="27"/>
  <c r="M12" i="27" s="1"/>
  <c r="L73" i="27"/>
  <c r="M73" i="27" s="1"/>
  <c r="L74" i="27"/>
  <c r="M74" i="27" s="1"/>
  <c r="G76" i="27"/>
  <c r="K75" i="27"/>
  <c r="B10" i="27"/>
  <c r="C10" i="27" s="1"/>
  <c r="B136" i="27"/>
  <c r="C136" i="27" s="1"/>
  <c r="B104" i="27"/>
  <c r="C104" i="27" s="1"/>
  <c r="G45" i="27"/>
  <c r="B41" i="25"/>
  <c r="C41" i="25" s="1"/>
  <c r="K139" i="27"/>
  <c r="G140" i="27"/>
  <c r="G107" i="27"/>
  <c r="K106" i="27"/>
  <c r="G14" i="27"/>
  <c r="L14" i="26"/>
  <c r="M14" i="26" s="1"/>
  <c r="B14" i="26" s="1"/>
  <c r="C14" i="26" s="1"/>
  <c r="L74" i="26"/>
  <c r="M74" i="26" s="1"/>
  <c r="L43" i="26"/>
  <c r="M43" i="26" s="1"/>
  <c r="B43" i="26" s="1"/>
  <c r="C43" i="26" s="1"/>
  <c r="L73" i="26"/>
  <c r="M73" i="26" s="1"/>
  <c r="B74" i="26" s="1"/>
  <c r="C74" i="26" s="1"/>
  <c r="L136" i="26"/>
  <c r="M136" i="26" s="1"/>
  <c r="L135" i="26"/>
  <c r="M135" i="26" s="1"/>
  <c r="G109" i="26"/>
  <c r="K107" i="26"/>
  <c r="B72" i="26"/>
  <c r="C72" i="26" s="1"/>
  <c r="G16" i="26"/>
  <c r="K15" i="26"/>
  <c r="G138" i="26"/>
  <c r="K137" i="26"/>
  <c r="G76" i="26"/>
  <c r="K75" i="26"/>
  <c r="K44" i="26"/>
  <c r="G45" i="26"/>
  <c r="L105" i="25"/>
  <c r="M105" i="25" s="1"/>
  <c r="L106" i="25"/>
  <c r="M106" i="25" s="1"/>
  <c r="L77" i="25"/>
  <c r="M77" i="25" s="1"/>
  <c r="B77" i="25" s="1"/>
  <c r="C77" i="25" s="1"/>
  <c r="L43" i="25"/>
  <c r="M43" i="25" s="1"/>
  <c r="B43" i="25" s="1"/>
  <c r="C43" i="25" s="1"/>
  <c r="G141" i="25"/>
  <c r="K140" i="25"/>
  <c r="G15" i="25"/>
  <c r="K14" i="25"/>
  <c r="G79" i="25"/>
  <c r="K78" i="25"/>
  <c r="K139" i="25"/>
  <c r="K13" i="25"/>
  <c r="G108" i="25"/>
  <c r="G45" i="25"/>
  <c r="L106" i="24"/>
  <c r="M106" i="24" s="1"/>
  <c r="L74" i="24"/>
  <c r="M74" i="24" s="1"/>
  <c r="B74" i="24" s="1"/>
  <c r="C74" i="24" s="1"/>
  <c r="L139" i="24"/>
  <c r="M139" i="24" s="1"/>
  <c r="L105" i="24"/>
  <c r="M105" i="24" s="1"/>
  <c r="L140" i="24"/>
  <c r="M140" i="24" s="1"/>
  <c r="L42" i="24"/>
  <c r="M42" i="24" s="1"/>
  <c r="G76" i="24"/>
  <c r="K75" i="24"/>
  <c r="G15" i="24"/>
  <c r="K14" i="24" s="1"/>
  <c r="K13" i="24"/>
  <c r="G108" i="24"/>
  <c r="G142" i="24"/>
  <c r="K141" i="24"/>
  <c r="G45" i="24"/>
  <c r="K43" i="24"/>
  <c r="B73" i="24"/>
  <c r="C73" i="24" s="1"/>
  <c r="B72" i="24"/>
  <c r="C72" i="24" s="1"/>
  <c r="B41" i="24"/>
  <c r="C41" i="24" s="1"/>
  <c r="L43" i="23"/>
  <c r="M43" i="23" s="1"/>
  <c r="B43" i="23" s="1"/>
  <c r="C43" i="23" s="1"/>
  <c r="L74" i="23"/>
  <c r="M74" i="23" s="1"/>
  <c r="L136" i="23"/>
  <c r="M136" i="23" s="1"/>
  <c r="L137" i="23"/>
  <c r="M137" i="23" s="1"/>
  <c r="L73" i="23"/>
  <c r="M73" i="23" s="1"/>
  <c r="G139" i="23"/>
  <c r="K138" i="23"/>
  <c r="G76" i="23"/>
  <c r="G15" i="23"/>
  <c r="K14" i="23"/>
  <c r="K13" i="23"/>
  <c r="G45" i="23"/>
  <c r="B12" i="23"/>
  <c r="C12" i="23" s="1"/>
  <c r="G108" i="23"/>
  <c r="B105" i="23"/>
  <c r="C105" i="23" s="1"/>
  <c r="B104" i="23"/>
  <c r="C104" i="23" s="1"/>
  <c r="K106" i="23"/>
  <c r="L13" i="22"/>
  <c r="M13" i="22" s="1"/>
  <c r="L105" i="22"/>
  <c r="M105" i="22" s="1"/>
  <c r="B105" i="22" s="1"/>
  <c r="C105" i="22" s="1"/>
  <c r="L136" i="22"/>
  <c r="M136" i="22" s="1"/>
  <c r="B136" i="22" s="1"/>
  <c r="C136" i="22" s="1"/>
  <c r="L76" i="22"/>
  <c r="M76" i="22" s="1"/>
  <c r="L77" i="22"/>
  <c r="M77" i="22" s="1"/>
  <c r="G45" i="22"/>
  <c r="K44" i="22"/>
  <c r="K43" i="22"/>
  <c r="G15" i="22"/>
  <c r="K14" i="22"/>
  <c r="G138" i="22"/>
  <c r="K137" i="22"/>
  <c r="G107" i="22"/>
  <c r="K106" i="22"/>
  <c r="G79" i="22"/>
  <c r="K78" i="22"/>
  <c r="B42" i="22"/>
  <c r="C42" i="22" s="1"/>
  <c r="L107" i="21"/>
  <c r="M107" i="21" s="1"/>
  <c r="L13" i="21"/>
  <c r="M13" i="21" s="1"/>
  <c r="B13" i="21" s="1"/>
  <c r="C13" i="21" s="1"/>
  <c r="L106" i="21"/>
  <c r="M106" i="21" s="1"/>
  <c r="L43" i="21"/>
  <c r="M43" i="21" s="1"/>
  <c r="L75" i="21"/>
  <c r="M75" i="21" s="1"/>
  <c r="B75" i="21" s="1"/>
  <c r="C75" i="21" s="1"/>
  <c r="G46" i="21"/>
  <c r="K45" i="21"/>
  <c r="G15" i="21"/>
  <c r="K14" i="21"/>
  <c r="G77" i="21"/>
  <c r="G140" i="21"/>
  <c r="K44" i="21"/>
  <c r="B137" i="21"/>
  <c r="C137" i="21" s="1"/>
  <c r="G109" i="21"/>
  <c r="K108" i="21"/>
  <c r="K138" i="21"/>
  <c r="B74" i="21"/>
  <c r="C74" i="21" s="1"/>
  <c r="B73" i="21"/>
  <c r="C73" i="21" s="1"/>
  <c r="M12" i="8"/>
  <c r="B12" i="8" s="1"/>
  <c r="C12" i="8" s="1"/>
  <c r="M45" i="9"/>
  <c r="M12" i="9"/>
  <c r="B12" i="9" s="1"/>
  <c r="C12" i="9" s="1"/>
  <c r="M46" i="9"/>
  <c r="K105" i="1"/>
  <c r="L105" i="1" s="1"/>
  <c r="B105" i="1" s="1"/>
  <c r="C105" i="1" s="1"/>
  <c r="K9" i="1"/>
  <c r="K44" i="1"/>
  <c r="L44" i="1" s="1"/>
  <c r="B44" i="1" s="1"/>
  <c r="C44" i="1" s="1"/>
  <c r="K136" i="1"/>
  <c r="L136" i="1" s="1"/>
  <c r="B136" i="1" s="1"/>
  <c r="C136" i="1" s="1"/>
  <c r="K10" i="1"/>
  <c r="B12" i="3"/>
  <c r="C12" i="3" s="1"/>
  <c r="M137" i="3"/>
  <c r="M105" i="3"/>
  <c r="B105" i="3" s="1"/>
  <c r="C105" i="3" s="1"/>
  <c r="M136" i="3"/>
  <c r="B8" i="1"/>
  <c r="C8" i="1" s="1"/>
  <c r="M136" i="9"/>
  <c r="B136" i="9" s="1"/>
  <c r="C136" i="9" s="1"/>
  <c r="G138" i="9"/>
  <c r="K137" i="9" s="1"/>
  <c r="G110" i="9"/>
  <c r="K109" i="9"/>
  <c r="K108" i="9"/>
  <c r="G76" i="9"/>
  <c r="K75" i="9"/>
  <c r="K74" i="9"/>
  <c r="G14" i="9"/>
  <c r="K13" i="9"/>
  <c r="G48" i="9"/>
  <c r="K47" i="9"/>
  <c r="B11" i="9"/>
  <c r="C11" i="9" s="1"/>
  <c r="B10" i="9"/>
  <c r="C10" i="9" s="1"/>
  <c r="B107" i="9"/>
  <c r="C107" i="9" s="1"/>
  <c r="B106" i="9"/>
  <c r="C106" i="9" s="1"/>
  <c r="M105" i="8"/>
  <c r="B105" i="8" s="1"/>
  <c r="C105" i="8" s="1"/>
  <c r="M136" i="8"/>
  <c r="M137" i="8"/>
  <c r="G76" i="8"/>
  <c r="K75" i="8"/>
  <c r="G139" i="8"/>
  <c r="K74" i="8"/>
  <c r="G107" i="8"/>
  <c r="K106" i="8" s="1"/>
  <c r="G14" i="8"/>
  <c r="K13" i="8" s="1"/>
  <c r="K44" i="8"/>
  <c r="G45" i="8"/>
  <c r="B42" i="8"/>
  <c r="C42" i="8" s="1"/>
  <c r="B41" i="8"/>
  <c r="C41" i="8" s="1"/>
  <c r="K43" i="8"/>
  <c r="B11" i="8"/>
  <c r="C11" i="8" s="1"/>
  <c r="B10" i="8"/>
  <c r="C10" i="8" s="1"/>
  <c r="M76" i="4"/>
  <c r="B76" i="4" s="1"/>
  <c r="C76" i="4" s="1"/>
  <c r="M12" i="4"/>
  <c r="B12" i="4" s="1"/>
  <c r="C12" i="4" s="1"/>
  <c r="M43" i="4"/>
  <c r="B43" i="4" s="1"/>
  <c r="C43" i="4" s="1"/>
  <c r="M137" i="4"/>
  <c r="B137" i="4" s="1"/>
  <c r="C137" i="4" s="1"/>
  <c r="M108" i="4"/>
  <c r="B108" i="4" s="1"/>
  <c r="C108" i="4" s="1"/>
  <c r="G14" i="4"/>
  <c r="K13" i="4"/>
  <c r="B11" i="4"/>
  <c r="C11" i="4" s="1"/>
  <c r="B10" i="4"/>
  <c r="C10" i="4" s="1"/>
  <c r="B136" i="4"/>
  <c r="C136" i="4" s="1"/>
  <c r="B135" i="4"/>
  <c r="C135" i="4" s="1"/>
  <c r="G110" i="4"/>
  <c r="K109" i="4"/>
  <c r="B107" i="4"/>
  <c r="C107" i="4" s="1"/>
  <c r="B106" i="4"/>
  <c r="C106" i="4" s="1"/>
  <c r="G139" i="4"/>
  <c r="K138" i="4" s="1"/>
  <c r="G78" i="4"/>
  <c r="K77" i="4" s="1"/>
  <c r="G45" i="4"/>
  <c r="K44" i="4" s="1"/>
  <c r="B75" i="4"/>
  <c r="C75" i="4" s="1"/>
  <c r="B45" i="3"/>
  <c r="C45" i="3" s="1"/>
  <c r="M46" i="3"/>
  <c r="B46" i="3" s="1"/>
  <c r="C46" i="3" s="1"/>
  <c r="M76" i="3"/>
  <c r="B76" i="3" s="1"/>
  <c r="C76" i="3" s="1"/>
  <c r="M13" i="3"/>
  <c r="G139" i="3"/>
  <c r="G107" i="3"/>
  <c r="G78" i="3"/>
  <c r="G15" i="3"/>
  <c r="K14" i="3"/>
  <c r="G48" i="3"/>
  <c r="B104" i="3"/>
  <c r="C104" i="3" s="1"/>
  <c r="B75" i="3"/>
  <c r="C75" i="3" s="1"/>
  <c r="B74" i="3"/>
  <c r="C74" i="3" s="1"/>
  <c r="B44" i="3"/>
  <c r="C44" i="3" s="1"/>
  <c r="L12" i="2"/>
  <c r="B12" i="2" s="1"/>
  <c r="C12" i="2" s="1"/>
  <c r="L76" i="2"/>
  <c r="L75" i="2"/>
  <c r="L136" i="2"/>
  <c r="L43" i="2"/>
  <c r="G107" i="2"/>
  <c r="J105" i="2"/>
  <c r="G138" i="2"/>
  <c r="J137" i="2"/>
  <c r="G14" i="2"/>
  <c r="J13" i="2"/>
  <c r="G45" i="2"/>
  <c r="G78" i="2"/>
  <c r="J77" i="2"/>
  <c r="B42" i="2"/>
  <c r="C42" i="2" s="1"/>
  <c r="B41" i="2"/>
  <c r="C41" i="2" s="1"/>
  <c r="G138" i="1"/>
  <c r="J137" i="1" s="1"/>
  <c r="G107" i="1"/>
  <c r="J106" i="1"/>
  <c r="G76" i="1"/>
  <c r="J75" i="1"/>
  <c r="J74" i="1"/>
  <c r="G46" i="1"/>
  <c r="G12" i="1"/>
  <c r="J11" i="1" s="1"/>
  <c r="L141" i="34" a="1"/>
  <c r="L107" i="34" a="1"/>
  <c r="L45" i="34" a="1"/>
  <c r="L140" i="34" a="1"/>
  <c r="L44" i="34" a="1"/>
  <c r="L76" i="34" a="1"/>
  <c r="L77" i="33" a="1"/>
  <c r="L76" i="33" a="1"/>
  <c r="L108" i="33" a="1"/>
  <c r="L107" i="33" a="1"/>
  <c r="L140" i="33" a="1"/>
  <c r="L139" i="33" a="1"/>
  <c r="L75" i="32" a="1"/>
  <c r="L44" i="32" a="1"/>
  <c r="L14" i="32" a="1"/>
  <c r="L13" i="32" a="1"/>
  <c r="L138" i="32" a="1"/>
  <c r="L76" i="31" a="1"/>
  <c r="L140" i="31" a="1"/>
  <c r="L139" i="31" a="1"/>
  <c r="L13" i="31" a="1"/>
  <c r="L44" i="31" a="1"/>
  <c r="L17" i="30" a="1"/>
  <c r="L107" i="30" a="1"/>
  <c r="L107" i="29" a="1"/>
  <c r="L106" i="29" a="1"/>
  <c r="L17" i="29" a="1"/>
  <c r="L75" i="29" a="1"/>
  <c r="L74" i="29" a="1"/>
  <c r="L44" i="29" a="1"/>
  <c r="L141" i="28" a="1"/>
  <c r="L140" i="28" a="1"/>
  <c r="L107" i="28" a="1"/>
  <c r="L108" i="28" a="1"/>
  <c r="L76" i="28" a="1"/>
  <c r="L44" i="28" a="1"/>
  <c r="L139" i="27" a="1"/>
  <c r="L106" i="27" a="1"/>
  <c r="L75" i="27" a="1"/>
  <c r="L15" i="26" a="1"/>
  <c r="L137" i="26" a="1"/>
  <c r="L75" i="26" a="1"/>
  <c r="L44" i="26" a="1"/>
  <c r="L107" i="26" a="1"/>
  <c r="L140" i="25" a="1"/>
  <c r="L14" i="25" a="1"/>
  <c r="L78" i="25" a="1"/>
  <c r="L139" i="25" a="1"/>
  <c r="L13" i="25" a="1"/>
  <c r="L75" i="24" a="1"/>
  <c r="L13" i="24" a="1"/>
  <c r="L141" i="24" a="1"/>
  <c r="L43" i="24" a="1"/>
  <c r="L14" i="24" a="1"/>
  <c r="L106" i="23" a="1"/>
  <c r="L138" i="23" a="1"/>
  <c r="L14" i="23" a="1"/>
  <c r="L13" i="23" a="1"/>
  <c r="L44" i="22" a="1"/>
  <c r="L43" i="22" a="1"/>
  <c r="L14" i="22" a="1"/>
  <c r="L137" i="22" a="1"/>
  <c r="L106" i="22" a="1"/>
  <c r="L78" i="22" a="1"/>
  <c r="L138" i="21" a="1"/>
  <c r="L44" i="21" a="1"/>
  <c r="L108" i="21" a="1"/>
  <c r="L45" i="21" a="1"/>
  <c r="L14" i="21" a="1"/>
  <c r="K106" i="1" a="1"/>
  <c r="K75" i="1" a="1"/>
  <c r="K137" i="1" a="1"/>
  <c r="K74" i="1" a="1"/>
  <c r="K11" i="1" a="1"/>
  <c r="L76" i="34" l="1"/>
  <c r="M76" i="34" s="1"/>
  <c r="L44" i="34"/>
  <c r="M44" i="34" s="1"/>
  <c r="L140" i="34"/>
  <c r="M140" i="34" s="1"/>
  <c r="L45" i="34"/>
  <c r="M45" i="34" s="1"/>
  <c r="L107" i="34"/>
  <c r="M107" i="34" s="1"/>
  <c r="L141" i="34"/>
  <c r="M141" i="34" s="1"/>
  <c r="G47" i="34"/>
  <c r="K46" i="34"/>
  <c r="G110" i="34"/>
  <c r="K109" i="34"/>
  <c r="G15" i="34"/>
  <c r="K14" i="34"/>
  <c r="K13" i="34"/>
  <c r="B76" i="34"/>
  <c r="C76" i="34" s="1"/>
  <c r="K108" i="34"/>
  <c r="G78" i="34"/>
  <c r="K77" i="34"/>
  <c r="G143" i="34"/>
  <c r="B12" i="34"/>
  <c r="C12" i="34" s="1"/>
  <c r="B140" i="34"/>
  <c r="C140" i="34" s="1"/>
  <c r="B139" i="34"/>
  <c r="C139" i="34" s="1"/>
  <c r="B75" i="34"/>
  <c r="C75" i="34" s="1"/>
  <c r="L139" i="33"/>
  <c r="M139" i="33" s="1"/>
  <c r="L140" i="33"/>
  <c r="M140" i="33" s="1"/>
  <c r="L107" i="33"/>
  <c r="M107" i="33" s="1"/>
  <c r="L108" i="33"/>
  <c r="M108" i="33" s="1"/>
  <c r="L76" i="33"/>
  <c r="M76" i="33" s="1"/>
  <c r="L77" i="33"/>
  <c r="M77" i="33" s="1"/>
  <c r="G142" i="33"/>
  <c r="K141" i="33"/>
  <c r="G110" i="33"/>
  <c r="K109" i="33"/>
  <c r="G15" i="33"/>
  <c r="K14" i="33"/>
  <c r="K13" i="33"/>
  <c r="G46" i="33"/>
  <c r="K45" i="33"/>
  <c r="K44" i="33"/>
  <c r="G79" i="33"/>
  <c r="K78" i="33"/>
  <c r="L138" i="32"/>
  <c r="M138" i="32" s="1"/>
  <c r="B138" i="32" s="1"/>
  <c r="C138" i="32" s="1"/>
  <c r="L13" i="32"/>
  <c r="M13" i="32" s="1"/>
  <c r="L14" i="32"/>
  <c r="M14" i="32" s="1"/>
  <c r="L44" i="32"/>
  <c r="M44" i="32" s="1"/>
  <c r="B44" i="32" s="1"/>
  <c r="C44" i="32" s="1"/>
  <c r="L75" i="32"/>
  <c r="M75" i="32" s="1"/>
  <c r="B75" i="32" s="1"/>
  <c r="C75" i="32" s="1"/>
  <c r="G109" i="32"/>
  <c r="K108" i="32"/>
  <c r="K107" i="32"/>
  <c r="K139" i="32"/>
  <c r="G140" i="32"/>
  <c r="G16" i="32"/>
  <c r="K15" i="32"/>
  <c r="G46" i="32"/>
  <c r="K45" i="32"/>
  <c r="G77" i="32"/>
  <c r="B106" i="32"/>
  <c r="C106" i="32" s="1"/>
  <c r="B105" i="32"/>
  <c r="C105" i="32" s="1"/>
  <c r="B137" i="32"/>
  <c r="C137" i="32" s="1"/>
  <c r="B136" i="32"/>
  <c r="C136" i="32" s="1"/>
  <c r="B73" i="26"/>
  <c r="C73" i="26" s="1"/>
  <c r="L44" i="31"/>
  <c r="M44" i="31" s="1"/>
  <c r="L13" i="31"/>
  <c r="M13" i="31" s="1"/>
  <c r="B13" i="31" s="1"/>
  <c r="C13" i="31" s="1"/>
  <c r="L139" i="31"/>
  <c r="M139" i="31" s="1"/>
  <c r="L140" i="31"/>
  <c r="M140" i="31" s="1"/>
  <c r="L76" i="31"/>
  <c r="M76" i="31" s="1"/>
  <c r="G110" i="31"/>
  <c r="K109" i="31"/>
  <c r="K108" i="31"/>
  <c r="G142" i="31"/>
  <c r="K141" i="31"/>
  <c r="B140" i="30"/>
  <c r="C140" i="30" s="1"/>
  <c r="G78" i="31"/>
  <c r="G46" i="31"/>
  <c r="K45" i="31" s="1"/>
  <c r="B44" i="31"/>
  <c r="C44" i="31" s="1"/>
  <c r="B43" i="31"/>
  <c r="C43" i="31" s="1"/>
  <c r="B42" i="31"/>
  <c r="C42" i="31" s="1"/>
  <c r="G15" i="31"/>
  <c r="K14" i="31"/>
  <c r="B75" i="31"/>
  <c r="C75" i="31" s="1"/>
  <c r="B74" i="31"/>
  <c r="C74" i="31" s="1"/>
  <c r="B12" i="31"/>
  <c r="C12" i="31" s="1"/>
  <c r="L107" i="30"/>
  <c r="M107" i="30" s="1"/>
  <c r="B107" i="30" s="1"/>
  <c r="C107" i="30" s="1"/>
  <c r="L17" i="30"/>
  <c r="M17" i="30" s="1"/>
  <c r="B17" i="30" s="1"/>
  <c r="C17" i="30" s="1"/>
  <c r="G19" i="30"/>
  <c r="K18" i="30" s="1"/>
  <c r="G46" i="30"/>
  <c r="K45" i="30"/>
  <c r="K44" i="30"/>
  <c r="G143" i="30"/>
  <c r="K141" i="30"/>
  <c r="G109" i="30"/>
  <c r="K108" i="30"/>
  <c r="G78" i="30"/>
  <c r="K77" i="30"/>
  <c r="K76" i="30"/>
  <c r="B139" i="30"/>
  <c r="C139" i="30" s="1"/>
  <c r="B16" i="30"/>
  <c r="C16" i="30" s="1"/>
  <c r="B106" i="30"/>
  <c r="C106" i="30" s="1"/>
  <c r="B105" i="30"/>
  <c r="C105" i="30" s="1"/>
  <c r="L44" i="29"/>
  <c r="M44" i="29" s="1"/>
  <c r="B44" i="29" s="1"/>
  <c r="C44" i="29" s="1"/>
  <c r="L74" i="29"/>
  <c r="M74" i="29" s="1"/>
  <c r="B74" i="29" s="1"/>
  <c r="C74" i="29" s="1"/>
  <c r="L75" i="29"/>
  <c r="M75" i="29" s="1"/>
  <c r="L17" i="29"/>
  <c r="M17" i="29" s="1"/>
  <c r="B17" i="29" s="1"/>
  <c r="C17" i="29" s="1"/>
  <c r="L106" i="29"/>
  <c r="M106" i="29" s="1"/>
  <c r="L107" i="29"/>
  <c r="M107" i="29" s="1"/>
  <c r="G141" i="29"/>
  <c r="K140" i="29"/>
  <c r="G109" i="29"/>
  <c r="B73" i="29"/>
  <c r="C73" i="29" s="1"/>
  <c r="K139" i="29"/>
  <c r="G77" i="29"/>
  <c r="G19" i="29"/>
  <c r="G46" i="29"/>
  <c r="K45" i="29"/>
  <c r="B43" i="29"/>
  <c r="C43" i="29" s="1"/>
  <c r="B42" i="29"/>
  <c r="C42" i="29" s="1"/>
  <c r="B105" i="29"/>
  <c r="C105" i="29" s="1"/>
  <c r="L44" i="28"/>
  <c r="M44" i="28" s="1"/>
  <c r="B44" i="28" s="1"/>
  <c r="C44" i="28" s="1"/>
  <c r="L76" i="28"/>
  <c r="M76" i="28" s="1"/>
  <c r="L108" i="28"/>
  <c r="M108" i="28" s="1"/>
  <c r="L107" i="28"/>
  <c r="M107" i="28" s="1"/>
  <c r="L140" i="28"/>
  <c r="M140" i="28" s="1"/>
  <c r="L141" i="28"/>
  <c r="M141" i="28" s="1"/>
  <c r="G15" i="28"/>
  <c r="K14" i="28"/>
  <c r="K13" i="28"/>
  <c r="G143" i="28"/>
  <c r="K142" i="28" s="1"/>
  <c r="B43" i="28"/>
  <c r="C43" i="28" s="1"/>
  <c r="B42" i="28"/>
  <c r="C42" i="28" s="1"/>
  <c r="G110" i="28"/>
  <c r="K109" i="28"/>
  <c r="G46" i="28"/>
  <c r="G78" i="28"/>
  <c r="K77" i="28"/>
  <c r="L75" i="27"/>
  <c r="M75" i="27" s="1"/>
  <c r="B75" i="27" s="1"/>
  <c r="C75" i="27" s="1"/>
  <c r="L106" i="27"/>
  <c r="M106" i="27" s="1"/>
  <c r="B106" i="27" s="1"/>
  <c r="C106" i="27" s="1"/>
  <c r="L139" i="27"/>
  <c r="M139" i="27" s="1"/>
  <c r="B139" i="27" s="1"/>
  <c r="C139" i="27" s="1"/>
  <c r="G46" i="27"/>
  <c r="K45" i="27"/>
  <c r="K44" i="27"/>
  <c r="G77" i="27"/>
  <c r="K76" i="27" s="1"/>
  <c r="B74" i="27"/>
  <c r="C74" i="27" s="1"/>
  <c r="B73" i="27"/>
  <c r="C73" i="27" s="1"/>
  <c r="G15" i="27"/>
  <c r="K14" i="27"/>
  <c r="B12" i="27"/>
  <c r="C12" i="27" s="1"/>
  <c r="K13" i="27"/>
  <c r="G108" i="27"/>
  <c r="K107" i="27" s="1"/>
  <c r="B138" i="27"/>
  <c r="C138" i="27" s="1"/>
  <c r="G141" i="27"/>
  <c r="K140" i="27"/>
  <c r="B43" i="27"/>
  <c r="C43" i="27" s="1"/>
  <c r="B42" i="27"/>
  <c r="C42" i="27" s="1"/>
  <c r="L107" i="26"/>
  <c r="M107" i="26" s="1"/>
  <c r="L44" i="26"/>
  <c r="M44" i="26" s="1"/>
  <c r="B44" i="26" s="1"/>
  <c r="C44" i="26" s="1"/>
  <c r="L75" i="26"/>
  <c r="M75" i="26" s="1"/>
  <c r="B75" i="26" s="1"/>
  <c r="C75" i="26" s="1"/>
  <c r="L137" i="26"/>
  <c r="M137" i="26" s="1"/>
  <c r="B137" i="26" s="1"/>
  <c r="C137" i="26" s="1"/>
  <c r="L15" i="26"/>
  <c r="M15" i="26" s="1"/>
  <c r="G17" i="26"/>
  <c r="K16" i="26"/>
  <c r="G110" i="26"/>
  <c r="K109" i="26"/>
  <c r="B136" i="26"/>
  <c r="C136" i="26" s="1"/>
  <c r="B135" i="26"/>
  <c r="C135" i="26" s="1"/>
  <c r="G77" i="26"/>
  <c r="G139" i="26"/>
  <c r="K108" i="26"/>
  <c r="G46" i="26"/>
  <c r="L13" i="25"/>
  <c r="M13" i="25" s="1"/>
  <c r="L139" i="25"/>
  <c r="M139" i="25" s="1"/>
  <c r="L78" i="25"/>
  <c r="M78" i="25" s="1"/>
  <c r="L14" i="25"/>
  <c r="M14" i="25" s="1"/>
  <c r="L140" i="25"/>
  <c r="M140" i="25" s="1"/>
  <c r="G16" i="25"/>
  <c r="K15" i="25"/>
  <c r="B106" i="25"/>
  <c r="C106" i="25" s="1"/>
  <c r="B105" i="25"/>
  <c r="C105" i="25" s="1"/>
  <c r="G46" i="25"/>
  <c r="K45" i="25"/>
  <c r="K44" i="25"/>
  <c r="G109" i="25"/>
  <c r="K107" i="25"/>
  <c r="G80" i="25"/>
  <c r="G142" i="25"/>
  <c r="K141" i="25"/>
  <c r="L14" i="24"/>
  <c r="M14" i="24" s="1"/>
  <c r="L43" i="24"/>
  <c r="M43" i="24" s="1"/>
  <c r="B43" i="24" s="1"/>
  <c r="C43" i="24" s="1"/>
  <c r="L141" i="24"/>
  <c r="M141" i="24" s="1"/>
  <c r="B141" i="24" s="1"/>
  <c r="C141" i="24" s="1"/>
  <c r="L13" i="24"/>
  <c r="M13" i="24" s="1"/>
  <c r="L75" i="24"/>
  <c r="M75" i="24" s="1"/>
  <c r="B75" i="24" s="1"/>
  <c r="C75" i="24" s="1"/>
  <c r="G46" i="24"/>
  <c r="K45" i="24"/>
  <c r="K44" i="24"/>
  <c r="K142" i="24"/>
  <c r="G143" i="24"/>
  <c r="G109" i="24"/>
  <c r="K108" i="24"/>
  <c r="K107" i="24"/>
  <c r="G16" i="24"/>
  <c r="K15" i="24"/>
  <c r="G77" i="24"/>
  <c r="B106" i="24"/>
  <c r="C106" i="24" s="1"/>
  <c r="B105" i="24"/>
  <c r="C105" i="24" s="1"/>
  <c r="B140" i="24"/>
  <c r="C140" i="24" s="1"/>
  <c r="B139" i="24"/>
  <c r="C139" i="24" s="1"/>
  <c r="B42" i="24"/>
  <c r="C42" i="24" s="1"/>
  <c r="L13" i="23"/>
  <c r="M13" i="23" s="1"/>
  <c r="L14" i="23"/>
  <c r="M14" i="23" s="1"/>
  <c r="L138" i="23"/>
  <c r="M138" i="23" s="1"/>
  <c r="B138" i="23" s="1"/>
  <c r="C138" i="23" s="1"/>
  <c r="L106" i="23"/>
  <c r="M106" i="23" s="1"/>
  <c r="G109" i="23"/>
  <c r="K108" i="23"/>
  <c r="G46" i="23"/>
  <c r="K45" i="23"/>
  <c r="K44" i="23"/>
  <c r="G16" i="23"/>
  <c r="K15" i="23"/>
  <c r="G77" i="23"/>
  <c r="K76" i="23" s="1"/>
  <c r="K107" i="23"/>
  <c r="K75" i="23"/>
  <c r="G140" i="23"/>
  <c r="K139" i="23" s="1"/>
  <c r="B74" i="23"/>
  <c r="C74" i="23" s="1"/>
  <c r="B73" i="23"/>
  <c r="C73" i="23" s="1"/>
  <c r="B137" i="23"/>
  <c r="C137" i="23" s="1"/>
  <c r="B136" i="23"/>
  <c r="C136" i="23" s="1"/>
  <c r="L78" i="22"/>
  <c r="M78" i="22" s="1"/>
  <c r="B78" i="22" s="1"/>
  <c r="C78" i="22" s="1"/>
  <c r="L106" i="22"/>
  <c r="M106" i="22" s="1"/>
  <c r="B106" i="22" s="1"/>
  <c r="C106" i="22" s="1"/>
  <c r="L137" i="22"/>
  <c r="M137" i="22" s="1"/>
  <c r="B137" i="22" s="1"/>
  <c r="C137" i="22" s="1"/>
  <c r="L14" i="22"/>
  <c r="M14" i="22" s="1"/>
  <c r="L43" i="22"/>
  <c r="M43" i="22" s="1"/>
  <c r="L44" i="22"/>
  <c r="M44" i="22" s="1"/>
  <c r="G80" i="22"/>
  <c r="G108" i="22"/>
  <c r="G139" i="22"/>
  <c r="K138" i="22"/>
  <c r="G16" i="22"/>
  <c r="K15" i="22"/>
  <c r="G46" i="22"/>
  <c r="B77" i="22"/>
  <c r="C77" i="22" s="1"/>
  <c r="B76" i="22"/>
  <c r="C76" i="22" s="1"/>
  <c r="B13" i="22"/>
  <c r="C13" i="22" s="1"/>
  <c r="L14" i="21"/>
  <c r="M14" i="21" s="1"/>
  <c r="B14" i="21" s="1"/>
  <c r="C14" i="21" s="1"/>
  <c r="L45" i="21"/>
  <c r="M45" i="21" s="1"/>
  <c r="L108" i="21"/>
  <c r="M108" i="21" s="1"/>
  <c r="B108" i="21" s="1"/>
  <c r="C108" i="21" s="1"/>
  <c r="L44" i="21"/>
  <c r="M44" i="21" s="1"/>
  <c r="B44" i="21" s="1"/>
  <c r="C44" i="21" s="1"/>
  <c r="L138" i="21"/>
  <c r="M138" i="21" s="1"/>
  <c r="G110" i="21"/>
  <c r="K109" i="21" s="1"/>
  <c r="G78" i="21"/>
  <c r="K77" i="21"/>
  <c r="K76" i="21"/>
  <c r="G16" i="21"/>
  <c r="K15" i="21" s="1"/>
  <c r="G141" i="21"/>
  <c r="K140" i="21"/>
  <c r="K139" i="21"/>
  <c r="G47" i="21"/>
  <c r="B43" i="21"/>
  <c r="C43" i="21" s="1"/>
  <c r="B107" i="21"/>
  <c r="C107" i="21" s="1"/>
  <c r="B106" i="21"/>
  <c r="C106" i="21" s="1"/>
  <c r="M109" i="9"/>
  <c r="M75" i="9"/>
  <c r="M47" i="9"/>
  <c r="B47" i="9" s="1"/>
  <c r="C47" i="9" s="1"/>
  <c r="K11" i="1"/>
  <c r="K74" i="1"/>
  <c r="L74" i="1" s="1"/>
  <c r="K137" i="1"/>
  <c r="L137" i="1" s="1"/>
  <c r="B137" i="1" s="1"/>
  <c r="C137" i="1" s="1"/>
  <c r="K75" i="1"/>
  <c r="L75" i="1" s="1"/>
  <c r="K106" i="1"/>
  <c r="L106" i="1" s="1"/>
  <c r="B106" i="1" s="1"/>
  <c r="C106" i="1" s="1"/>
  <c r="B13" i="3"/>
  <c r="C13" i="3" s="1"/>
  <c r="M14" i="3"/>
  <c r="B14" i="3" s="1"/>
  <c r="L9" i="1"/>
  <c r="B9" i="1" s="1"/>
  <c r="C9" i="1" s="1"/>
  <c r="L10" i="1"/>
  <c r="M108" i="9"/>
  <c r="M13" i="9"/>
  <c r="B13" i="9" s="1"/>
  <c r="C13" i="9" s="1"/>
  <c r="M74" i="9"/>
  <c r="M137" i="9"/>
  <c r="B137" i="9" s="1"/>
  <c r="C137" i="9" s="1"/>
  <c r="G77" i="9"/>
  <c r="K76" i="9" s="1"/>
  <c r="G15" i="9"/>
  <c r="G139" i="9"/>
  <c r="K138" i="9" s="1"/>
  <c r="B46" i="9"/>
  <c r="C46" i="9" s="1"/>
  <c r="B45" i="9"/>
  <c r="C45" i="9" s="1"/>
  <c r="G111" i="9"/>
  <c r="G49" i="9"/>
  <c r="K48" i="9" s="1"/>
  <c r="M106" i="8"/>
  <c r="B106" i="8" s="1"/>
  <c r="C106" i="8" s="1"/>
  <c r="M44" i="8"/>
  <c r="M43" i="8"/>
  <c r="M75" i="8"/>
  <c r="M74" i="8"/>
  <c r="M13" i="8"/>
  <c r="G140" i="8"/>
  <c r="K139" i="8"/>
  <c r="G15" i="8"/>
  <c r="B137" i="8"/>
  <c r="C137" i="8" s="1"/>
  <c r="B136" i="8"/>
  <c r="C136" i="8" s="1"/>
  <c r="G108" i="8"/>
  <c r="K107" i="8" s="1"/>
  <c r="K138" i="8"/>
  <c r="G77" i="8"/>
  <c r="K76" i="8" s="1"/>
  <c r="G46" i="8"/>
  <c r="K45" i="8"/>
  <c r="M77" i="4"/>
  <c r="B77" i="4" s="1"/>
  <c r="C77" i="4" s="1"/>
  <c r="M44" i="4"/>
  <c r="B44" i="4" s="1"/>
  <c r="C44" i="4" s="1"/>
  <c r="M13" i="4"/>
  <c r="M109" i="4"/>
  <c r="B109" i="4" s="1"/>
  <c r="C109" i="4" s="1"/>
  <c r="M138" i="4"/>
  <c r="B138" i="4" s="1"/>
  <c r="C138" i="4" s="1"/>
  <c r="G46" i="4"/>
  <c r="K45" i="4"/>
  <c r="G140" i="4"/>
  <c r="K139" i="4" s="1"/>
  <c r="G15" i="4"/>
  <c r="K14" i="4" s="1"/>
  <c r="G111" i="4"/>
  <c r="K110" i="4"/>
  <c r="G79" i="4"/>
  <c r="K78" i="4" s="1"/>
  <c r="G79" i="3"/>
  <c r="K78" i="3" s="1"/>
  <c r="K77" i="3"/>
  <c r="G108" i="3"/>
  <c r="K107" i="3"/>
  <c r="G49" i="3"/>
  <c r="K48" i="3" s="1"/>
  <c r="G16" i="3"/>
  <c r="K106" i="3"/>
  <c r="G140" i="3"/>
  <c r="K139" i="3"/>
  <c r="K138" i="3"/>
  <c r="B137" i="3"/>
  <c r="C137" i="3" s="1"/>
  <c r="B136" i="3"/>
  <c r="C136" i="3" s="1"/>
  <c r="K47" i="3"/>
  <c r="L105" i="2"/>
  <c r="L77" i="2"/>
  <c r="B77" i="2" s="1"/>
  <c r="C77" i="2" s="1"/>
  <c r="L13" i="2"/>
  <c r="B13" i="2" s="1"/>
  <c r="C13" i="2" s="1"/>
  <c r="L137" i="2"/>
  <c r="B137" i="2" s="1"/>
  <c r="C137" i="2" s="1"/>
  <c r="G46" i="2"/>
  <c r="J45" i="2"/>
  <c r="J14" i="2"/>
  <c r="G15" i="2"/>
  <c r="G108" i="2"/>
  <c r="J107" i="2"/>
  <c r="G79" i="2"/>
  <c r="B76" i="2"/>
  <c r="C76" i="2" s="1"/>
  <c r="B75" i="2"/>
  <c r="C75" i="2" s="1"/>
  <c r="G139" i="2"/>
  <c r="B136" i="2"/>
  <c r="C136" i="2" s="1"/>
  <c r="J44" i="2"/>
  <c r="J106" i="2"/>
  <c r="B43" i="2"/>
  <c r="C43" i="2" s="1"/>
  <c r="G139" i="1"/>
  <c r="G108" i="1"/>
  <c r="J107" i="1"/>
  <c r="G77" i="1"/>
  <c r="G47" i="1"/>
  <c r="J46" i="1"/>
  <c r="J45" i="1"/>
  <c r="G13" i="1"/>
  <c r="J12" i="1" s="1"/>
  <c r="L109" i="34" a="1"/>
  <c r="L13" i="34" a="1"/>
  <c r="L77" i="34" a="1"/>
  <c r="L46" i="34" a="1"/>
  <c r="L14" i="34" a="1"/>
  <c r="L108" i="34" a="1"/>
  <c r="L141" i="33" a="1"/>
  <c r="L109" i="33" a="1"/>
  <c r="L14" i="33" a="1"/>
  <c r="L13" i="33" a="1"/>
  <c r="L45" i="33" a="1"/>
  <c r="L44" i="33" a="1"/>
  <c r="L78" i="33" a="1"/>
  <c r="L108" i="32" a="1"/>
  <c r="L107" i="32" a="1"/>
  <c r="L139" i="32" a="1"/>
  <c r="L15" i="32" a="1"/>
  <c r="L45" i="32" a="1"/>
  <c r="L108" i="31" a="1"/>
  <c r="L141" i="31" a="1"/>
  <c r="L109" i="31" a="1"/>
  <c r="L14" i="31" a="1"/>
  <c r="L45" i="31" a="1"/>
  <c r="L141" i="30" a="1"/>
  <c r="L108" i="30" a="1"/>
  <c r="L45" i="30" a="1"/>
  <c r="L44" i="30" a="1"/>
  <c r="L77" i="30" a="1"/>
  <c r="L76" i="30" a="1"/>
  <c r="L18" i="30" a="1"/>
  <c r="L140" i="29" a="1"/>
  <c r="L139" i="29" a="1"/>
  <c r="L45" i="29" a="1"/>
  <c r="L14" i="28" a="1"/>
  <c r="L109" i="28" a="1"/>
  <c r="L13" i="28" a="1"/>
  <c r="L77" i="28" a="1"/>
  <c r="L142" i="28" a="1"/>
  <c r="L140" i="27" a="1"/>
  <c r="L45" i="27" a="1"/>
  <c r="L44" i="27" a="1"/>
  <c r="L14" i="27" a="1"/>
  <c r="L13" i="27" a="1"/>
  <c r="L76" i="27" a="1"/>
  <c r="L107" i="27" a="1"/>
  <c r="L16" i="26" a="1"/>
  <c r="L109" i="26" a="1"/>
  <c r="L108" i="26" a="1"/>
  <c r="L15" i="25" a="1"/>
  <c r="L45" i="25" a="1"/>
  <c r="L44" i="25" a="1"/>
  <c r="L107" i="25" a="1"/>
  <c r="L141" i="25" a="1"/>
  <c r="L45" i="24" a="1"/>
  <c r="L44" i="24" a="1"/>
  <c r="L142" i="24" a="1"/>
  <c r="L108" i="24" a="1"/>
  <c r="L107" i="24" a="1"/>
  <c r="L15" i="24" a="1"/>
  <c r="L45" i="23" a="1"/>
  <c r="L15" i="23" a="1"/>
  <c r="L107" i="23" a="1"/>
  <c r="L75" i="23" a="1"/>
  <c r="L108" i="23" a="1"/>
  <c r="L44" i="23" a="1"/>
  <c r="L76" i="23" a="1"/>
  <c r="L139" i="23" a="1"/>
  <c r="L138" i="22" a="1"/>
  <c r="L15" i="22" a="1"/>
  <c r="L76" i="21" a="1"/>
  <c r="L77" i="21" a="1"/>
  <c r="L140" i="21" a="1"/>
  <c r="L139" i="21" a="1"/>
  <c r="L15" i="21" a="1"/>
  <c r="L109" i="21" a="1"/>
  <c r="K107" i="1" a="1"/>
  <c r="K45" i="1" a="1"/>
  <c r="K46" i="1" a="1"/>
  <c r="K12" i="1" a="1"/>
  <c r="L108" i="34" l="1"/>
  <c r="M108" i="34" s="1"/>
  <c r="L14" i="34"/>
  <c r="M14" i="34" s="1"/>
  <c r="L46" i="34"/>
  <c r="M46" i="34" s="1"/>
  <c r="L77" i="34"/>
  <c r="M77" i="34" s="1"/>
  <c r="B77" i="34" s="1"/>
  <c r="C77" i="34" s="1"/>
  <c r="L13" i="34"/>
  <c r="M13" i="34" s="1"/>
  <c r="L109" i="34"/>
  <c r="M109" i="34" s="1"/>
  <c r="G144" i="34"/>
  <c r="K143" i="34"/>
  <c r="K142" i="34"/>
  <c r="G111" i="34"/>
  <c r="K110" i="34" s="1"/>
  <c r="B108" i="34"/>
  <c r="C108" i="34" s="1"/>
  <c r="B107" i="34"/>
  <c r="C107" i="34" s="1"/>
  <c r="B46" i="34"/>
  <c r="C46" i="34" s="1"/>
  <c r="B141" i="34"/>
  <c r="C141" i="34" s="1"/>
  <c r="G79" i="34"/>
  <c r="K78" i="34"/>
  <c r="G16" i="34"/>
  <c r="K15" i="34"/>
  <c r="K47" i="34"/>
  <c r="G48" i="34"/>
  <c r="B45" i="34"/>
  <c r="C45" i="34" s="1"/>
  <c r="B44" i="34"/>
  <c r="C44" i="34" s="1"/>
  <c r="L78" i="33"/>
  <c r="M78" i="33" s="1"/>
  <c r="B78" i="33" s="1"/>
  <c r="C78" i="33" s="1"/>
  <c r="L44" i="33"/>
  <c r="M44" i="33" s="1"/>
  <c r="L45" i="33"/>
  <c r="M45" i="33" s="1"/>
  <c r="L13" i="33"/>
  <c r="M13" i="33" s="1"/>
  <c r="L14" i="33"/>
  <c r="M14" i="33" s="1"/>
  <c r="L109" i="33"/>
  <c r="M109" i="33" s="1"/>
  <c r="L141" i="33"/>
  <c r="M141" i="33" s="1"/>
  <c r="G80" i="33"/>
  <c r="G47" i="33"/>
  <c r="K46" i="33" s="1"/>
  <c r="G16" i="33"/>
  <c r="K15" i="33"/>
  <c r="G111" i="33"/>
  <c r="G143" i="33"/>
  <c r="B77" i="33"/>
  <c r="C77" i="33" s="1"/>
  <c r="B76" i="33"/>
  <c r="C76" i="33" s="1"/>
  <c r="B108" i="33"/>
  <c r="C108" i="33" s="1"/>
  <c r="B107" i="33"/>
  <c r="C107" i="33" s="1"/>
  <c r="B140" i="33"/>
  <c r="C140" i="33" s="1"/>
  <c r="B139" i="33"/>
  <c r="C139" i="33" s="1"/>
  <c r="L45" i="32"/>
  <c r="M45" i="32" s="1"/>
  <c r="B45" i="32" s="1"/>
  <c r="C45" i="32" s="1"/>
  <c r="L15" i="32"/>
  <c r="M15" i="32" s="1"/>
  <c r="B15" i="32" s="1"/>
  <c r="C15" i="32" s="1"/>
  <c r="L139" i="32"/>
  <c r="M139" i="32" s="1"/>
  <c r="L107" i="32"/>
  <c r="M107" i="32" s="1"/>
  <c r="L108" i="32"/>
  <c r="M108" i="32" s="1"/>
  <c r="G78" i="32"/>
  <c r="K77" i="32"/>
  <c r="K76" i="32"/>
  <c r="G47" i="32"/>
  <c r="K46" i="32" s="1"/>
  <c r="G17" i="32"/>
  <c r="K16" i="32"/>
  <c r="G141" i="32"/>
  <c r="K140" i="32"/>
  <c r="G110" i="32"/>
  <c r="K109" i="32"/>
  <c r="B14" i="32"/>
  <c r="C14" i="32" s="1"/>
  <c r="B13" i="32"/>
  <c r="C13" i="32" s="1"/>
  <c r="L45" i="31"/>
  <c r="M45" i="31" s="1"/>
  <c r="B45" i="31" s="1"/>
  <c r="C45" i="31" s="1"/>
  <c r="L14" i="31"/>
  <c r="M14" i="31" s="1"/>
  <c r="L109" i="31"/>
  <c r="M109" i="31" s="1"/>
  <c r="L141" i="31"/>
  <c r="M141" i="31" s="1"/>
  <c r="L108" i="31"/>
  <c r="M108" i="31" s="1"/>
  <c r="G79" i="31"/>
  <c r="K78" i="31"/>
  <c r="K77" i="31"/>
  <c r="B140" i="31"/>
  <c r="C140" i="31" s="1"/>
  <c r="B139" i="31"/>
  <c r="C139" i="31" s="1"/>
  <c r="G16" i="31"/>
  <c r="K15" i="31"/>
  <c r="G47" i="31"/>
  <c r="K46" i="31"/>
  <c r="G143" i="31"/>
  <c r="G111" i="31"/>
  <c r="B76" i="31"/>
  <c r="C76" i="31" s="1"/>
  <c r="L18" i="30"/>
  <c r="M18" i="30" s="1"/>
  <c r="B18" i="30" s="1"/>
  <c r="C18" i="30" s="1"/>
  <c r="L76" i="30"/>
  <c r="M76" i="30" s="1"/>
  <c r="L77" i="30"/>
  <c r="M77" i="30" s="1"/>
  <c r="L44" i="30"/>
  <c r="M44" i="30" s="1"/>
  <c r="L45" i="30"/>
  <c r="M45" i="30" s="1"/>
  <c r="L108" i="30"/>
  <c r="M108" i="30" s="1"/>
  <c r="B108" i="30" s="1"/>
  <c r="C108" i="30" s="1"/>
  <c r="L141" i="30"/>
  <c r="M141" i="30" s="1"/>
  <c r="G79" i="30"/>
  <c r="K78" i="30"/>
  <c r="G144" i="30"/>
  <c r="K143" i="30"/>
  <c r="G110" i="30"/>
  <c r="K109" i="30"/>
  <c r="K142" i="30"/>
  <c r="G47" i="30"/>
  <c r="K46" i="30"/>
  <c r="G20" i="30"/>
  <c r="K19" i="30"/>
  <c r="L45" i="29"/>
  <c r="M45" i="29" s="1"/>
  <c r="B45" i="29" s="1"/>
  <c r="C45" i="29" s="1"/>
  <c r="L139" i="29"/>
  <c r="M139" i="29" s="1"/>
  <c r="L140" i="29"/>
  <c r="M140" i="29" s="1"/>
  <c r="G47" i="29"/>
  <c r="G20" i="29"/>
  <c r="K19" i="29"/>
  <c r="K18" i="29"/>
  <c r="G78" i="29"/>
  <c r="K77" i="29"/>
  <c r="K76" i="29"/>
  <c r="G110" i="29"/>
  <c r="K109" i="29" s="1"/>
  <c r="K108" i="29"/>
  <c r="G142" i="29"/>
  <c r="K141" i="29"/>
  <c r="B107" i="29"/>
  <c r="C107" i="29" s="1"/>
  <c r="B106" i="29"/>
  <c r="C106" i="29" s="1"/>
  <c r="B75" i="29"/>
  <c r="C75" i="29" s="1"/>
  <c r="L142" i="28"/>
  <c r="M142" i="28" s="1"/>
  <c r="L77" i="28"/>
  <c r="M77" i="28" s="1"/>
  <c r="B77" i="28" s="1"/>
  <c r="C77" i="28" s="1"/>
  <c r="L13" i="28"/>
  <c r="M13" i="28" s="1"/>
  <c r="L109" i="28"/>
  <c r="M109" i="28" s="1"/>
  <c r="L14" i="28"/>
  <c r="M14" i="28" s="1"/>
  <c r="G47" i="28"/>
  <c r="K46" i="28"/>
  <c r="K45" i="28"/>
  <c r="B108" i="28"/>
  <c r="C108" i="28" s="1"/>
  <c r="B107" i="28"/>
  <c r="C107" i="28" s="1"/>
  <c r="G79" i="28"/>
  <c r="K78" i="28"/>
  <c r="G111" i="28"/>
  <c r="G144" i="28"/>
  <c r="K143" i="28"/>
  <c r="G16" i="28"/>
  <c r="K15" i="28"/>
  <c r="B141" i="28"/>
  <c r="C141" i="28" s="1"/>
  <c r="B140" i="28"/>
  <c r="C140" i="28" s="1"/>
  <c r="B76" i="28"/>
  <c r="C76" i="28" s="1"/>
  <c r="L107" i="27"/>
  <c r="M107" i="27" s="1"/>
  <c r="B107" i="27" s="1"/>
  <c r="C107" i="27" s="1"/>
  <c r="L76" i="27"/>
  <c r="M76" i="27" s="1"/>
  <c r="B76" i="27" s="1"/>
  <c r="C76" i="27" s="1"/>
  <c r="L13" i="27"/>
  <c r="M13" i="27" s="1"/>
  <c r="L14" i="27"/>
  <c r="M14" i="27" s="1"/>
  <c r="L44" i="27"/>
  <c r="M44" i="27" s="1"/>
  <c r="L45" i="27"/>
  <c r="M45" i="27" s="1"/>
  <c r="L140" i="27"/>
  <c r="M140" i="27" s="1"/>
  <c r="B140" i="27" s="1"/>
  <c r="C140" i="27" s="1"/>
  <c r="G47" i="27"/>
  <c r="K46" i="27"/>
  <c r="G109" i="27"/>
  <c r="K108" i="27"/>
  <c r="G16" i="27"/>
  <c r="K15" i="27"/>
  <c r="G78" i="27"/>
  <c r="K77" i="27"/>
  <c r="G142" i="27"/>
  <c r="K141" i="27"/>
  <c r="L108" i="26"/>
  <c r="M108" i="26" s="1"/>
  <c r="B108" i="26" s="1"/>
  <c r="C108" i="26" s="1"/>
  <c r="L109" i="26"/>
  <c r="M109" i="26" s="1"/>
  <c r="L16" i="26"/>
  <c r="M16" i="26" s="1"/>
  <c r="B16" i="26" s="1"/>
  <c r="C16" i="26" s="1"/>
  <c r="G47" i="26"/>
  <c r="G111" i="26"/>
  <c r="G140" i="26"/>
  <c r="K138" i="26"/>
  <c r="G78" i="26"/>
  <c r="K77" i="26"/>
  <c r="K76" i="26"/>
  <c r="G18" i="26"/>
  <c r="B15" i="26"/>
  <c r="C15" i="26" s="1"/>
  <c r="K45" i="26"/>
  <c r="B107" i="26"/>
  <c r="C107" i="26" s="1"/>
  <c r="L141" i="25"/>
  <c r="M141" i="25" s="1"/>
  <c r="B141" i="25" s="1"/>
  <c r="C141" i="25" s="1"/>
  <c r="L107" i="25"/>
  <c r="M107" i="25" s="1"/>
  <c r="L44" i="25"/>
  <c r="M44" i="25" s="1"/>
  <c r="L45" i="25"/>
  <c r="M45" i="25" s="1"/>
  <c r="L15" i="25"/>
  <c r="M15" i="25" s="1"/>
  <c r="B15" i="25" s="1"/>
  <c r="C15" i="25" s="1"/>
  <c r="G143" i="25"/>
  <c r="G81" i="25"/>
  <c r="K80" i="25"/>
  <c r="K79" i="25"/>
  <c r="G110" i="25"/>
  <c r="K109" i="25"/>
  <c r="K108" i="25"/>
  <c r="G47" i="25"/>
  <c r="K46" i="25"/>
  <c r="G17" i="25"/>
  <c r="K16" i="25"/>
  <c r="B140" i="25"/>
  <c r="C140" i="25" s="1"/>
  <c r="B139" i="25"/>
  <c r="C139" i="25" s="1"/>
  <c r="B78" i="25"/>
  <c r="C78" i="25" s="1"/>
  <c r="B14" i="25"/>
  <c r="C14" i="25" s="1"/>
  <c r="B13" i="25"/>
  <c r="C13" i="25" s="1"/>
  <c r="L15" i="24"/>
  <c r="M15" i="24" s="1"/>
  <c r="B15" i="24" s="1"/>
  <c r="C15" i="24" s="1"/>
  <c r="L107" i="24"/>
  <c r="M107" i="24" s="1"/>
  <c r="L108" i="24"/>
  <c r="M108" i="24" s="1"/>
  <c r="L142" i="24"/>
  <c r="M142" i="24" s="1"/>
  <c r="L44" i="24"/>
  <c r="M44" i="24" s="1"/>
  <c r="L45" i="24"/>
  <c r="M45" i="24" s="1"/>
  <c r="G78" i="24"/>
  <c r="K77" i="24"/>
  <c r="K76" i="24"/>
  <c r="G17" i="24"/>
  <c r="K16" i="24"/>
  <c r="G110" i="24"/>
  <c r="G144" i="24"/>
  <c r="K143" i="24"/>
  <c r="G47" i="24"/>
  <c r="B14" i="24"/>
  <c r="C14" i="24" s="1"/>
  <c r="B13" i="24"/>
  <c r="C13" i="24" s="1"/>
  <c r="L139" i="23"/>
  <c r="M139" i="23" s="1"/>
  <c r="B139" i="23" s="1"/>
  <c r="C139" i="23" s="1"/>
  <c r="L76" i="23"/>
  <c r="M76" i="23" s="1"/>
  <c r="L44" i="23"/>
  <c r="M44" i="23" s="1"/>
  <c r="L108" i="23"/>
  <c r="M108" i="23" s="1"/>
  <c r="L75" i="23"/>
  <c r="M75" i="23" s="1"/>
  <c r="L107" i="23"/>
  <c r="M107" i="23" s="1"/>
  <c r="B107" i="23" s="1"/>
  <c r="C107" i="23" s="1"/>
  <c r="L15" i="23"/>
  <c r="M15" i="23" s="1"/>
  <c r="B15" i="23" s="1"/>
  <c r="C15" i="23" s="1"/>
  <c r="L45" i="23"/>
  <c r="M45" i="23" s="1"/>
  <c r="G17" i="23"/>
  <c r="K16" i="23"/>
  <c r="G110" i="23"/>
  <c r="K109" i="23"/>
  <c r="B14" i="23"/>
  <c r="C14" i="23" s="1"/>
  <c r="B13" i="23"/>
  <c r="C13" i="23" s="1"/>
  <c r="G141" i="23"/>
  <c r="K140" i="23"/>
  <c r="G78" i="23"/>
  <c r="K77" i="23"/>
  <c r="G47" i="23"/>
  <c r="K46" i="23"/>
  <c r="B106" i="23"/>
  <c r="C106" i="23" s="1"/>
  <c r="L15" i="22"/>
  <c r="M15" i="22" s="1"/>
  <c r="L138" i="22"/>
  <c r="M138" i="22" s="1"/>
  <c r="B138" i="22" s="1"/>
  <c r="C138" i="22" s="1"/>
  <c r="G47" i="22"/>
  <c r="K46" i="22"/>
  <c r="K45" i="22"/>
  <c r="G17" i="22"/>
  <c r="G140" i="22"/>
  <c r="G109" i="22"/>
  <c r="K108" i="22" s="1"/>
  <c r="K107" i="22"/>
  <c r="G81" i="22"/>
  <c r="K80" i="22"/>
  <c r="K79" i="22"/>
  <c r="B44" i="22"/>
  <c r="C44" i="22" s="1"/>
  <c r="B43" i="22"/>
  <c r="C43" i="22" s="1"/>
  <c r="B14" i="22"/>
  <c r="C14" i="22" s="1"/>
  <c r="L109" i="21"/>
  <c r="M109" i="21" s="1"/>
  <c r="B109" i="21" s="1"/>
  <c r="C109" i="21" s="1"/>
  <c r="L15" i="21"/>
  <c r="M15" i="21" s="1"/>
  <c r="B15" i="21" s="1"/>
  <c r="C15" i="21" s="1"/>
  <c r="L139" i="21"/>
  <c r="M139" i="21" s="1"/>
  <c r="B139" i="21" s="1"/>
  <c r="C139" i="21" s="1"/>
  <c r="L140" i="21"/>
  <c r="M140" i="21" s="1"/>
  <c r="L77" i="21"/>
  <c r="M77" i="21" s="1"/>
  <c r="L76" i="21"/>
  <c r="M76" i="21" s="1"/>
  <c r="G48" i="21"/>
  <c r="K46" i="21"/>
  <c r="G142" i="21"/>
  <c r="K141" i="21" s="1"/>
  <c r="G17" i="21"/>
  <c r="K16" i="21"/>
  <c r="G79" i="21"/>
  <c r="K78" i="21"/>
  <c r="B138" i="21"/>
  <c r="C138" i="21" s="1"/>
  <c r="B45" i="21"/>
  <c r="C45" i="21" s="1"/>
  <c r="K110" i="21"/>
  <c r="G111" i="21"/>
  <c r="M76" i="9"/>
  <c r="B76" i="9" s="1"/>
  <c r="C76" i="9" s="1"/>
  <c r="M48" i="9"/>
  <c r="B48" i="9" s="1"/>
  <c r="C48" i="9" s="1"/>
  <c r="M138" i="9"/>
  <c r="B138" i="9" s="1"/>
  <c r="C138" i="9" s="1"/>
  <c r="K12" i="1"/>
  <c r="K46" i="1"/>
  <c r="L46" i="1" s="1"/>
  <c r="K45" i="1"/>
  <c r="L45" i="1" s="1"/>
  <c r="K107" i="1"/>
  <c r="L107" i="1" s="1"/>
  <c r="B107" i="1" s="1"/>
  <c r="C107" i="1" s="1"/>
  <c r="C14" i="3"/>
  <c r="M48" i="3"/>
  <c r="B10" i="1"/>
  <c r="C10" i="1" s="1"/>
  <c r="L11" i="1"/>
  <c r="B11" i="1" s="1"/>
  <c r="C11" i="1" s="1"/>
  <c r="G16" i="9"/>
  <c r="K15" i="9"/>
  <c r="K14" i="9"/>
  <c r="G112" i="9"/>
  <c r="G140" i="9"/>
  <c r="K139" i="9"/>
  <c r="G50" i="9"/>
  <c r="B75" i="9"/>
  <c r="C75" i="9" s="1"/>
  <c r="B74" i="9"/>
  <c r="C74" i="9" s="1"/>
  <c r="K110" i="9"/>
  <c r="B109" i="9"/>
  <c r="C109" i="9" s="1"/>
  <c r="B108" i="9"/>
  <c r="C108" i="9" s="1"/>
  <c r="G78" i="9"/>
  <c r="K77" i="9"/>
  <c r="M107" i="8"/>
  <c r="B107" i="8" s="1"/>
  <c r="C107" i="8" s="1"/>
  <c r="M76" i="8"/>
  <c r="B76" i="8" s="1"/>
  <c r="C76" i="8" s="1"/>
  <c r="M139" i="8"/>
  <c r="M138" i="8"/>
  <c r="M45" i="8"/>
  <c r="G16" i="8"/>
  <c r="K15" i="8"/>
  <c r="K14" i="8"/>
  <c r="G141" i="8"/>
  <c r="K140" i="8" s="1"/>
  <c r="B75" i="8"/>
  <c r="C75" i="8" s="1"/>
  <c r="B74" i="8"/>
  <c r="C74" i="8" s="1"/>
  <c r="G47" i="8"/>
  <c r="K46" i="8" s="1"/>
  <c r="B13" i="8"/>
  <c r="C13" i="8" s="1"/>
  <c r="G109" i="8"/>
  <c r="K108" i="8" s="1"/>
  <c r="B44" i="8"/>
  <c r="C44" i="8" s="1"/>
  <c r="B43" i="8"/>
  <c r="C43" i="8" s="1"/>
  <c r="G78" i="8"/>
  <c r="K77" i="8"/>
  <c r="M139" i="4"/>
  <c r="B139" i="4" s="1"/>
  <c r="C139" i="4" s="1"/>
  <c r="M14" i="4"/>
  <c r="B14" i="4" s="1"/>
  <c r="C14" i="4" s="1"/>
  <c r="M78" i="4"/>
  <c r="B78" i="4" s="1"/>
  <c r="C78" i="4" s="1"/>
  <c r="M110" i="4"/>
  <c r="B110" i="4" s="1"/>
  <c r="C110" i="4" s="1"/>
  <c r="M45" i="4"/>
  <c r="G16" i="4"/>
  <c r="K15" i="4"/>
  <c r="G47" i="4"/>
  <c r="K46" i="4" s="1"/>
  <c r="G112" i="4"/>
  <c r="K111" i="4" s="1"/>
  <c r="G80" i="4"/>
  <c r="K79" i="4"/>
  <c r="G141" i="4"/>
  <c r="K140" i="4"/>
  <c r="B13" i="4"/>
  <c r="C13" i="4" s="1"/>
  <c r="M78" i="3"/>
  <c r="M138" i="3"/>
  <c r="M139" i="3"/>
  <c r="M106" i="3"/>
  <c r="M47" i="3"/>
  <c r="M77" i="3"/>
  <c r="M107" i="3"/>
  <c r="G17" i="3"/>
  <c r="G141" i="3"/>
  <c r="K15" i="3"/>
  <c r="G50" i="3"/>
  <c r="G109" i="3"/>
  <c r="G80" i="3"/>
  <c r="K79" i="3" s="1"/>
  <c r="L107" i="2"/>
  <c r="L14" i="2"/>
  <c r="B14" i="2" s="1"/>
  <c r="C14" i="2" s="1"/>
  <c r="L106" i="2"/>
  <c r="L44" i="2"/>
  <c r="L45" i="2"/>
  <c r="G80" i="2"/>
  <c r="J79" i="2"/>
  <c r="G109" i="2"/>
  <c r="G47" i="2"/>
  <c r="J46" i="2" s="1"/>
  <c r="J78" i="2"/>
  <c r="G16" i="2"/>
  <c r="J15" i="2"/>
  <c r="G140" i="2"/>
  <c r="J139" i="2"/>
  <c r="J138" i="2"/>
  <c r="B105" i="2"/>
  <c r="C105" i="2" s="1"/>
  <c r="G140" i="1"/>
  <c r="J138" i="1"/>
  <c r="G109" i="1"/>
  <c r="J108" i="1" s="1"/>
  <c r="G78" i="1"/>
  <c r="J77" i="1" s="1"/>
  <c r="J76" i="1"/>
  <c r="B75" i="1"/>
  <c r="C75" i="1" s="1"/>
  <c r="B74" i="1"/>
  <c r="C74" i="1" s="1"/>
  <c r="G48" i="1"/>
  <c r="G14" i="1"/>
  <c r="J13" i="1" s="1"/>
  <c r="L143" i="34" a="1"/>
  <c r="L47" i="34" a="1"/>
  <c r="L142" i="34" a="1"/>
  <c r="L78" i="34" a="1"/>
  <c r="L15" i="34" a="1"/>
  <c r="L110" i="34" a="1"/>
  <c r="L15" i="33" a="1"/>
  <c r="L46" i="33" a="1"/>
  <c r="L77" i="32" a="1"/>
  <c r="L76" i="32" a="1"/>
  <c r="L16" i="32" a="1"/>
  <c r="L140" i="32" a="1"/>
  <c r="L109" i="32" a="1"/>
  <c r="L46" i="32" a="1"/>
  <c r="L77" i="31" a="1"/>
  <c r="L15" i="31" a="1"/>
  <c r="L46" i="31" a="1"/>
  <c r="L78" i="31" a="1"/>
  <c r="L78" i="30" a="1"/>
  <c r="L143" i="30" a="1"/>
  <c r="L109" i="30" a="1"/>
  <c r="L142" i="30" a="1"/>
  <c r="L46" i="30" a="1"/>
  <c r="L19" i="30" a="1"/>
  <c r="L18" i="29" a="1"/>
  <c r="L77" i="29" a="1"/>
  <c r="L108" i="29" a="1"/>
  <c r="L19" i="29" a="1"/>
  <c r="L76" i="29" a="1"/>
  <c r="L141" i="29" a="1"/>
  <c r="L109" i="29" a="1"/>
  <c r="L78" i="28" a="1"/>
  <c r="L143" i="28" a="1"/>
  <c r="L15" i="28" a="1"/>
  <c r="L46" i="28" a="1"/>
  <c r="L45" i="28" a="1"/>
  <c r="L46" i="27" a="1"/>
  <c r="L108" i="27" a="1"/>
  <c r="L15" i="27" a="1"/>
  <c r="L77" i="27" a="1"/>
  <c r="L141" i="27" a="1"/>
  <c r="L45" i="26" a="1"/>
  <c r="L138" i="26" a="1"/>
  <c r="L77" i="26" a="1"/>
  <c r="L76" i="26" a="1"/>
  <c r="L80" i="25" a="1"/>
  <c r="L109" i="25" a="1"/>
  <c r="L108" i="25" a="1"/>
  <c r="L46" i="25" a="1"/>
  <c r="L16" i="25" a="1"/>
  <c r="L79" i="25" a="1"/>
  <c r="L16" i="24" a="1"/>
  <c r="L143" i="24" a="1"/>
  <c r="L77" i="24" a="1"/>
  <c r="L76" i="24" a="1"/>
  <c r="L46" i="23" a="1"/>
  <c r="L109" i="23" a="1"/>
  <c r="L77" i="23" a="1"/>
  <c r="L16" i="23" a="1"/>
  <c r="L140" i="23" a="1"/>
  <c r="L46" i="22" a="1"/>
  <c r="L45" i="22" a="1"/>
  <c r="L107" i="22" a="1"/>
  <c r="L79" i="22" a="1"/>
  <c r="L80" i="22" a="1"/>
  <c r="L108" i="22" a="1"/>
  <c r="L46" i="21" a="1"/>
  <c r="L110" i="21" a="1"/>
  <c r="L16" i="21" a="1"/>
  <c r="L78" i="21" a="1"/>
  <c r="L141" i="21" a="1"/>
  <c r="K138" i="1" a="1"/>
  <c r="K108" i="1" a="1"/>
  <c r="K76" i="1" a="1"/>
  <c r="K13" i="1" a="1"/>
  <c r="K77" i="1" a="1"/>
  <c r="L110" i="34" l="1"/>
  <c r="M110" i="34" s="1"/>
  <c r="L15" i="34"/>
  <c r="M15" i="34" s="1"/>
  <c r="L78" i="34"/>
  <c r="M78" i="34" s="1"/>
  <c r="L142" i="34"/>
  <c r="M142" i="34" s="1"/>
  <c r="L47" i="34"/>
  <c r="M47" i="34" s="1"/>
  <c r="L143" i="34"/>
  <c r="M143" i="34" s="1"/>
  <c r="G80" i="34"/>
  <c r="K79" i="34" s="1"/>
  <c r="G112" i="34"/>
  <c r="K111" i="34" s="1"/>
  <c r="B14" i="34"/>
  <c r="C14" i="34" s="1"/>
  <c r="B13" i="34"/>
  <c r="C13" i="34" s="1"/>
  <c r="B78" i="34"/>
  <c r="C78" i="34" s="1"/>
  <c r="B15" i="34"/>
  <c r="C15" i="34" s="1"/>
  <c r="G17" i="34"/>
  <c r="K16" i="34" s="1"/>
  <c r="G145" i="34"/>
  <c r="K144" i="34"/>
  <c r="B110" i="34"/>
  <c r="C110" i="34" s="1"/>
  <c r="B47" i="34"/>
  <c r="C47" i="34" s="1"/>
  <c r="G49" i="34"/>
  <c r="K48" i="34" s="1"/>
  <c r="B109" i="34"/>
  <c r="C109" i="34" s="1"/>
  <c r="L46" i="33"/>
  <c r="M46" i="33" s="1"/>
  <c r="B46" i="33" s="1"/>
  <c r="C46" i="33" s="1"/>
  <c r="L15" i="33"/>
  <c r="M15" i="33" s="1"/>
  <c r="G81" i="33"/>
  <c r="K80" i="33"/>
  <c r="G144" i="33"/>
  <c r="K143" i="33"/>
  <c r="K142" i="33"/>
  <c r="G112" i="33"/>
  <c r="K111" i="33"/>
  <c r="K110" i="33"/>
  <c r="G17" i="33"/>
  <c r="G48" i="33"/>
  <c r="K79" i="33"/>
  <c r="B15" i="33"/>
  <c r="C15" i="33" s="1"/>
  <c r="B141" i="33"/>
  <c r="C141" i="33" s="1"/>
  <c r="B14" i="33"/>
  <c r="C14" i="33" s="1"/>
  <c r="B13" i="33"/>
  <c r="C13" i="33" s="1"/>
  <c r="B45" i="33"/>
  <c r="C45" i="33" s="1"/>
  <c r="B44" i="33"/>
  <c r="C44" i="33" s="1"/>
  <c r="B109" i="33"/>
  <c r="C109" i="33" s="1"/>
  <c r="L46" i="32"/>
  <c r="M46" i="32" s="1"/>
  <c r="L109" i="32"/>
  <c r="M109" i="32" s="1"/>
  <c r="B109" i="32" s="1"/>
  <c r="C109" i="32" s="1"/>
  <c r="L140" i="32"/>
  <c r="M140" i="32" s="1"/>
  <c r="B140" i="32" s="1"/>
  <c r="C140" i="32" s="1"/>
  <c r="L16" i="32"/>
  <c r="M16" i="32" s="1"/>
  <c r="L76" i="32"/>
  <c r="M76" i="32" s="1"/>
  <c r="L77" i="32"/>
  <c r="M77" i="32" s="1"/>
  <c r="G111" i="32"/>
  <c r="G142" i="32"/>
  <c r="K141" i="32" s="1"/>
  <c r="G18" i="32"/>
  <c r="K17" i="32"/>
  <c r="G48" i="32"/>
  <c r="G79" i="32"/>
  <c r="K78" i="32"/>
  <c r="B108" i="32"/>
  <c r="C108" i="32" s="1"/>
  <c r="B107" i="32"/>
  <c r="C107" i="32" s="1"/>
  <c r="B139" i="32"/>
  <c r="C139" i="32" s="1"/>
  <c r="L78" i="31"/>
  <c r="M78" i="31" s="1"/>
  <c r="L46" i="31"/>
  <c r="M46" i="31" s="1"/>
  <c r="B46" i="31" s="1"/>
  <c r="C46" i="31" s="1"/>
  <c r="L15" i="31"/>
  <c r="M15" i="31" s="1"/>
  <c r="L77" i="31"/>
  <c r="M77" i="31" s="1"/>
  <c r="G112" i="31"/>
  <c r="K111" i="31"/>
  <c r="K110" i="31"/>
  <c r="G144" i="31"/>
  <c r="K143" i="31" s="1"/>
  <c r="K142" i="31"/>
  <c r="G48" i="31"/>
  <c r="G17" i="31"/>
  <c r="K16" i="31"/>
  <c r="B141" i="31"/>
  <c r="C141" i="31" s="1"/>
  <c r="G80" i="31"/>
  <c r="B109" i="31"/>
  <c r="C109" i="31" s="1"/>
  <c r="B108" i="31"/>
  <c r="C108" i="31" s="1"/>
  <c r="B14" i="31"/>
  <c r="C14" i="31" s="1"/>
  <c r="L19" i="30"/>
  <c r="M19" i="30" s="1"/>
  <c r="B19" i="30" s="1"/>
  <c r="C19" i="30" s="1"/>
  <c r="L46" i="30"/>
  <c r="M46" i="30" s="1"/>
  <c r="B46" i="30" s="1"/>
  <c r="C46" i="30" s="1"/>
  <c r="L142" i="30"/>
  <c r="M142" i="30" s="1"/>
  <c r="B142" i="30" s="1"/>
  <c r="C142" i="30" s="1"/>
  <c r="L109" i="30"/>
  <c r="M109" i="30" s="1"/>
  <c r="B109" i="30" s="1"/>
  <c r="C109" i="30" s="1"/>
  <c r="L143" i="30"/>
  <c r="M143" i="30" s="1"/>
  <c r="L78" i="30"/>
  <c r="M78" i="30" s="1"/>
  <c r="G21" i="30"/>
  <c r="K20" i="30"/>
  <c r="K47" i="30"/>
  <c r="G48" i="30"/>
  <c r="G111" i="30"/>
  <c r="G145" i="30"/>
  <c r="K144" i="30"/>
  <c r="G80" i="30"/>
  <c r="B141" i="30"/>
  <c r="C141" i="30" s="1"/>
  <c r="B45" i="30"/>
  <c r="C45" i="30" s="1"/>
  <c r="B44" i="30"/>
  <c r="C44" i="30" s="1"/>
  <c r="B77" i="30"/>
  <c r="C77" i="30" s="1"/>
  <c r="B76" i="30"/>
  <c r="C76" i="30" s="1"/>
  <c r="L109" i="29"/>
  <c r="M109" i="29" s="1"/>
  <c r="L141" i="29"/>
  <c r="M141" i="29" s="1"/>
  <c r="B141" i="29" s="1"/>
  <c r="C141" i="29" s="1"/>
  <c r="L76" i="29"/>
  <c r="M76" i="29" s="1"/>
  <c r="L19" i="29"/>
  <c r="M19" i="29" s="1"/>
  <c r="L108" i="29"/>
  <c r="M108" i="29" s="1"/>
  <c r="L77" i="29"/>
  <c r="M77" i="29" s="1"/>
  <c r="L18" i="29"/>
  <c r="M18" i="29" s="1"/>
  <c r="G79" i="29"/>
  <c r="K78" i="29"/>
  <c r="G21" i="29"/>
  <c r="G143" i="29"/>
  <c r="G111" i="29"/>
  <c r="G48" i="29"/>
  <c r="K47" i="29" s="1"/>
  <c r="K46" i="29"/>
  <c r="B140" i="29"/>
  <c r="C140" i="29" s="1"/>
  <c r="B139" i="29"/>
  <c r="C139" i="29" s="1"/>
  <c r="L45" i="28"/>
  <c r="M45" i="28" s="1"/>
  <c r="L46" i="28"/>
  <c r="M46" i="28" s="1"/>
  <c r="L15" i="28"/>
  <c r="M15" i="28" s="1"/>
  <c r="B15" i="28" s="1"/>
  <c r="C15" i="28" s="1"/>
  <c r="L143" i="28"/>
  <c r="M143" i="28" s="1"/>
  <c r="L78" i="28"/>
  <c r="M78" i="28" s="1"/>
  <c r="G48" i="28"/>
  <c r="B14" i="28"/>
  <c r="C14" i="28" s="1"/>
  <c r="B13" i="28"/>
  <c r="C13" i="28" s="1"/>
  <c r="B142" i="28"/>
  <c r="C142" i="28" s="1"/>
  <c r="G17" i="28"/>
  <c r="G145" i="28"/>
  <c r="K144" i="28"/>
  <c r="G112" i="28"/>
  <c r="K111" i="28"/>
  <c r="K110" i="28"/>
  <c r="G80" i="28"/>
  <c r="B109" i="28"/>
  <c r="C109" i="28" s="1"/>
  <c r="L141" i="27"/>
  <c r="M141" i="27" s="1"/>
  <c r="B141" i="27" s="1"/>
  <c r="C141" i="27" s="1"/>
  <c r="L77" i="27"/>
  <c r="M77" i="27" s="1"/>
  <c r="B77" i="27" s="1"/>
  <c r="C77" i="27" s="1"/>
  <c r="L15" i="27"/>
  <c r="M15" i="27" s="1"/>
  <c r="B15" i="27" s="1"/>
  <c r="C15" i="27" s="1"/>
  <c r="L108" i="27"/>
  <c r="M108" i="27" s="1"/>
  <c r="B108" i="27" s="1"/>
  <c r="C108" i="27" s="1"/>
  <c r="L46" i="27"/>
  <c r="M46" i="27" s="1"/>
  <c r="B46" i="27" s="1"/>
  <c r="C46" i="27" s="1"/>
  <c r="G17" i="27"/>
  <c r="K16" i="27"/>
  <c r="G110" i="27"/>
  <c r="B45" i="27"/>
  <c r="C45" i="27" s="1"/>
  <c r="B44" i="27"/>
  <c r="C44" i="27" s="1"/>
  <c r="B14" i="27"/>
  <c r="C14" i="27" s="1"/>
  <c r="B13" i="27"/>
  <c r="C13" i="27" s="1"/>
  <c r="G143" i="27"/>
  <c r="G79" i="27"/>
  <c r="G48" i="27"/>
  <c r="L76" i="26"/>
  <c r="M76" i="26" s="1"/>
  <c r="L77" i="26"/>
  <c r="M77" i="26" s="1"/>
  <c r="L138" i="26"/>
  <c r="M138" i="26" s="1"/>
  <c r="L45" i="26"/>
  <c r="M45" i="26" s="1"/>
  <c r="G19" i="26"/>
  <c r="K18" i="26"/>
  <c r="K17" i="26"/>
  <c r="G79" i="26"/>
  <c r="K78" i="26"/>
  <c r="G141" i="26"/>
  <c r="K140" i="26"/>
  <c r="K139" i="26"/>
  <c r="G112" i="26"/>
  <c r="K111" i="26"/>
  <c r="K110" i="26"/>
  <c r="G48" i="26"/>
  <c r="K46" i="26"/>
  <c r="B109" i="26"/>
  <c r="C109" i="26" s="1"/>
  <c r="L79" i="25"/>
  <c r="M79" i="25" s="1"/>
  <c r="L16" i="25"/>
  <c r="M16" i="25" s="1"/>
  <c r="B16" i="25" s="1"/>
  <c r="C16" i="25" s="1"/>
  <c r="L46" i="25"/>
  <c r="M46" i="25" s="1"/>
  <c r="B46" i="25" s="1"/>
  <c r="C46" i="25" s="1"/>
  <c r="L108" i="25"/>
  <c r="M108" i="25" s="1"/>
  <c r="B108" i="25" s="1"/>
  <c r="C108" i="25" s="1"/>
  <c r="L109" i="25"/>
  <c r="M109" i="25" s="1"/>
  <c r="L80" i="25"/>
  <c r="M80" i="25" s="1"/>
  <c r="G18" i="25"/>
  <c r="K17" i="25"/>
  <c r="K47" i="25"/>
  <c r="G48" i="25"/>
  <c r="G82" i="25"/>
  <c r="K81" i="25"/>
  <c r="G144" i="25"/>
  <c r="K143" i="25"/>
  <c r="B45" i="25"/>
  <c r="C45" i="25" s="1"/>
  <c r="B44" i="25"/>
  <c r="C44" i="25" s="1"/>
  <c r="B107" i="25"/>
  <c r="C107" i="25" s="1"/>
  <c r="G111" i="25"/>
  <c r="K142" i="25"/>
  <c r="L76" i="24"/>
  <c r="M76" i="24" s="1"/>
  <c r="L77" i="24"/>
  <c r="M77" i="24" s="1"/>
  <c r="L143" i="24"/>
  <c r="M143" i="24" s="1"/>
  <c r="B143" i="24" s="1"/>
  <c r="C143" i="24" s="1"/>
  <c r="L16" i="24"/>
  <c r="M16" i="24" s="1"/>
  <c r="B16" i="24" s="1"/>
  <c r="C16" i="24" s="1"/>
  <c r="G79" i="24"/>
  <c r="K78" i="24"/>
  <c r="B45" i="24"/>
  <c r="C45" i="24" s="1"/>
  <c r="B44" i="24"/>
  <c r="C44" i="24" s="1"/>
  <c r="B108" i="24"/>
  <c r="C108" i="24" s="1"/>
  <c r="B107" i="24"/>
  <c r="C107" i="24" s="1"/>
  <c r="B142" i="24"/>
  <c r="C142" i="24" s="1"/>
  <c r="G48" i="24"/>
  <c r="K47" i="24" s="1"/>
  <c r="K46" i="24"/>
  <c r="G145" i="24"/>
  <c r="K144" i="24"/>
  <c r="G111" i="24"/>
  <c r="K109" i="24"/>
  <c r="G18" i="24"/>
  <c r="K17" i="24"/>
  <c r="L140" i="23"/>
  <c r="M140" i="23" s="1"/>
  <c r="L16" i="23"/>
  <c r="M16" i="23" s="1"/>
  <c r="L77" i="23"/>
  <c r="M77" i="23" s="1"/>
  <c r="B77" i="23" s="1"/>
  <c r="C77" i="23" s="1"/>
  <c r="L109" i="23"/>
  <c r="M109" i="23" s="1"/>
  <c r="B109" i="23" s="1"/>
  <c r="C109" i="23" s="1"/>
  <c r="L46" i="23"/>
  <c r="M46" i="23" s="1"/>
  <c r="B46" i="23" s="1"/>
  <c r="C46" i="23" s="1"/>
  <c r="G142" i="23"/>
  <c r="K141" i="23"/>
  <c r="G111" i="23"/>
  <c r="G18" i="23"/>
  <c r="B108" i="23"/>
  <c r="C108" i="23" s="1"/>
  <c r="G79" i="23"/>
  <c r="K78" i="23"/>
  <c r="B76" i="23"/>
  <c r="C76" i="23" s="1"/>
  <c r="B75" i="23"/>
  <c r="C75" i="23" s="1"/>
  <c r="B45" i="23"/>
  <c r="C45" i="23" s="1"/>
  <c r="B44" i="23"/>
  <c r="C44" i="23" s="1"/>
  <c r="K47" i="23"/>
  <c r="G48" i="23"/>
  <c r="L108" i="22"/>
  <c r="M108" i="22" s="1"/>
  <c r="L80" i="22"/>
  <c r="M80" i="22" s="1"/>
  <c r="L79" i="22"/>
  <c r="M79" i="22" s="1"/>
  <c r="L107" i="22"/>
  <c r="M107" i="22" s="1"/>
  <c r="L45" i="22"/>
  <c r="M45" i="22" s="1"/>
  <c r="L46" i="22"/>
  <c r="M46" i="22" s="1"/>
  <c r="B15" i="22"/>
  <c r="C15" i="22" s="1"/>
  <c r="G82" i="22"/>
  <c r="K81" i="22" s="1"/>
  <c r="G110" i="22"/>
  <c r="G141" i="22"/>
  <c r="K140" i="22"/>
  <c r="K139" i="22"/>
  <c r="K17" i="22"/>
  <c r="G18" i="22"/>
  <c r="K16" i="22"/>
  <c r="G48" i="22"/>
  <c r="K47" i="22"/>
  <c r="L141" i="21"/>
  <c r="M141" i="21" s="1"/>
  <c r="B141" i="21" s="1"/>
  <c r="C141" i="21" s="1"/>
  <c r="L78" i="21"/>
  <c r="M78" i="21" s="1"/>
  <c r="B78" i="21" s="1"/>
  <c r="C78" i="21" s="1"/>
  <c r="L16" i="21"/>
  <c r="M16" i="21" s="1"/>
  <c r="B16" i="21" s="1"/>
  <c r="C16" i="21" s="1"/>
  <c r="L110" i="21"/>
  <c r="M110" i="21" s="1"/>
  <c r="L46" i="21"/>
  <c r="M46" i="21" s="1"/>
  <c r="G80" i="21"/>
  <c r="K79" i="21"/>
  <c r="G18" i="21"/>
  <c r="G49" i="21"/>
  <c r="K48" i="21" s="1"/>
  <c r="G143" i="21"/>
  <c r="K47" i="21"/>
  <c r="B77" i="21"/>
  <c r="C77" i="21" s="1"/>
  <c r="B76" i="21"/>
  <c r="C76" i="21" s="1"/>
  <c r="B140" i="21"/>
  <c r="C140" i="21" s="1"/>
  <c r="G112" i="21"/>
  <c r="K111" i="21"/>
  <c r="M140" i="8"/>
  <c r="B140" i="8" s="1"/>
  <c r="C140" i="8" s="1"/>
  <c r="M14" i="8"/>
  <c r="M46" i="8"/>
  <c r="B46" i="8" s="1"/>
  <c r="C46" i="8" s="1"/>
  <c r="M15" i="9"/>
  <c r="K77" i="1"/>
  <c r="L77" i="1" s="1"/>
  <c r="K13" i="1"/>
  <c r="K76" i="1"/>
  <c r="L76" i="1" s="1"/>
  <c r="K108" i="1"/>
  <c r="L108" i="1" s="1"/>
  <c r="B108" i="1" s="1"/>
  <c r="C108" i="1" s="1"/>
  <c r="K138" i="1"/>
  <c r="L138" i="1" s="1"/>
  <c r="M79" i="3"/>
  <c r="B79" i="3" s="1"/>
  <c r="C79" i="3" s="1"/>
  <c r="M15" i="3"/>
  <c r="L12" i="1"/>
  <c r="B12" i="1" s="1"/>
  <c r="C12" i="1" s="1"/>
  <c r="B107" i="2"/>
  <c r="C107" i="2" s="1"/>
  <c r="M14" i="9"/>
  <c r="M110" i="9"/>
  <c r="M139" i="9"/>
  <c r="B139" i="9" s="1"/>
  <c r="C139" i="9" s="1"/>
  <c r="M77" i="9"/>
  <c r="B77" i="9" s="1"/>
  <c r="C77" i="9" s="1"/>
  <c r="G51" i="9"/>
  <c r="K50" i="9"/>
  <c r="G113" i="9"/>
  <c r="K112" i="9"/>
  <c r="G141" i="9"/>
  <c r="K49" i="9"/>
  <c r="K111" i="9"/>
  <c r="G79" i="9"/>
  <c r="G17" i="9"/>
  <c r="M108" i="8"/>
  <c r="B108" i="8" s="1"/>
  <c r="C108" i="8" s="1"/>
  <c r="M15" i="8"/>
  <c r="M77" i="8"/>
  <c r="B77" i="8" s="1"/>
  <c r="C77" i="8" s="1"/>
  <c r="G17" i="8"/>
  <c r="B139" i="8"/>
  <c r="C139" i="8" s="1"/>
  <c r="B138" i="8"/>
  <c r="C138" i="8" s="1"/>
  <c r="G142" i="8"/>
  <c r="K141" i="8"/>
  <c r="G48" i="8"/>
  <c r="G79" i="8"/>
  <c r="G110" i="8"/>
  <c r="K109" i="8"/>
  <c r="B45" i="8"/>
  <c r="C45" i="8" s="1"/>
  <c r="M46" i="4"/>
  <c r="B46" i="4" s="1"/>
  <c r="C46" i="4" s="1"/>
  <c r="M111" i="4"/>
  <c r="B111" i="4" s="1"/>
  <c r="C111" i="4" s="1"/>
  <c r="M140" i="4"/>
  <c r="B140" i="4" s="1"/>
  <c r="C140" i="4" s="1"/>
  <c r="M15" i="4"/>
  <c r="M79" i="4"/>
  <c r="B79" i="4" s="1"/>
  <c r="C79" i="4" s="1"/>
  <c r="G113" i="4"/>
  <c r="K112" i="4"/>
  <c r="G48" i="4"/>
  <c r="K47" i="4"/>
  <c r="G81" i="4"/>
  <c r="G17" i="4"/>
  <c r="K16" i="4" s="1"/>
  <c r="G142" i="4"/>
  <c r="K141" i="4"/>
  <c r="B45" i="4"/>
  <c r="C45" i="4" s="1"/>
  <c r="G142" i="3"/>
  <c r="K141" i="3"/>
  <c r="G18" i="3"/>
  <c r="K17" i="3"/>
  <c r="B48" i="3"/>
  <c r="C48" i="3" s="1"/>
  <c r="B47" i="3"/>
  <c r="C47" i="3" s="1"/>
  <c r="G81" i="3"/>
  <c r="G110" i="3"/>
  <c r="K109" i="3"/>
  <c r="G51" i="3"/>
  <c r="K50" i="3"/>
  <c r="K49" i="3"/>
  <c r="K140" i="3"/>
  <c r="K16" i="3"/>
  <c r="B78" i="3"/>
  <c r="C78" i="3" s="1"/>
  <c r="B77" i="3"/>
  <c r="C77" i="3" s="1"/>
  <c r="B107" i="3"/>
  <c r="C107" i="3" s="1"/>
  <c r="B106" i="3"/>
  <c r="C106" i="3" s="1"/>
  <c r="B139" i="3"/>
  <c r="C139" i="3" s="1"/>
  <c r="B138" i="3"/>
  <c r="C138" i="3" s="1"/>
  <c r="K108" i="3"/>
  <c r="B106" i="2"/>
  <c r="C106" i="2" s="1"/>
  <c r="L46" i="2"/>
  <c r="B46" i="2" s="1"/>
  <c r="C46" i="2" s="1"/>
  <c r="L79" i="2"/>
  <c r="L138" i="2"/>
  <c r="L15" i="2"/>
  <c r="B15" i="2" s="1"/>
  <c r="C15" i="2" s="1"/>
  <c r="L139" i="2"/>
  <c r="L78" i="2"/>
  <c r="B45" i="2"/>
  <c r="C45" i="2" s="1"/>
  <c r="B44" i="2"/>
  <c r="C44" i="2" s="1"/>
  <c r="G110" i="2"/>
  <c r="J109" i="2"/>
  <c r="J16" i="2"/>
  <c r="G17" i="2"/>
  <c r="J108" i="2"/>
  <c r="G48" i="2"/>
  <c r="J80" i="2"/>
  <c r="G81" i="2"/>
  <c r="G141" i="2"/>
  <c r="J140" i="2" s="1"/>
  <c r="G141" i="1"/>
  <c r="J140" i="1" s="1"/>
  <c r="J139" i="1"/>
  <c r="G110" i="1"/>
  <c r="G79" i="1"/>
  <c r="G49" i="1"/>
  <c r="J48" i="1" s="1"/>
  <c r="J47" i="1"/>
  <c r="B46" i="1"/>
  <c r="C46" i="1" s="1"/>
  <c r="B45" i="1"/>
  <c r="C45" i="1" s="1"/>
  <c r="G15" i="1"/>
  <c r="J14" i="1"/>
  <c r="L144" i="34" a="1"/>
  <c r="L79" i="34" a="1"/>
  <c r="L111" i="34" a="1"/>
  <c r="L16" i="34" a="1"/>
  <c r="L48" i="34" a="1"/>
  <c r="L80" i="33" a="1"/>
  <c r="L143" i="33" a="1"/>
  <c r="L142" i="33" a="1"/>
  <c r="L111" i="33" a="1"/>
  <c r="L110" i="33" a="1"/>
  <c r="L79" i="33" a="1"/>
  <c r="L17" i="32" a="1"/>
  <c r="L78" i="32" a="1"/>
  <c r="L141" i="32" a="1"/>
  <c r="L111" i="31" a="1"/>
  <c r="L110" i="31" a="1"/>
  <c r="L142" i="31" a="1"/>
  <c r="L16" i="31" a="1"/>
  <c r="L143" i="31" a="1"/>
  <c r="L20" i="30" a="1"/>
  <c r="L47" i="30" a="1"/>
  <c r="L144" i="30" a="1"/>
  <c r="L78" i="29" a="1"/>
  <c r="L46" i="29" a="1"/>
  <c r="L47" i="29" a="1"/>
  <c r="L144" i="28" a="1"/>
  <c r="L111" i="28" a="1"/>
  <c r="L110" i="28" a="1"/>
  <c r="L16" i="27" a="1"/>
  <c r="L18" i="26" a="1"/>
  <c r="L17" i="26" a="1"/>
  <c r="L78" i="26" a="1"/>
  <c r="L140" i="26" a="1"/>
  <c r="L139" i="26" a="1"/>
  <c r="L111" i="26" a="1"/>
  <c r="L110" i="26" a="1"/>
  <c r="L46" i="26" a="1"/>
  <c r="L142" i="25" a="1"/>
  <c r="L17" i="25" a="1"/>
  <c r="L47" i="25" a="1"/>
  <c r="L81" i="25" a="1"/>
  <c r="L143" i="25" a="1"/>
  <c r="L109" i="24" a="1"/>
  <c r="L17" i="24" a="1"/>
  <c r="L78" i="24" a="1"/>
  <c r="L46" i="24" a="1"/>
  <c r="L144" i="24" a="1"/>
  <c r="L47" i="24" a="1"/>
  <c r="L47" i="23" a="1"/>
  <c r="L141" i="23" a="1"/>
  <c r="L78" i="23" a="1"/>
  <c r="L139" i="22" a="1"/>
  <c r="L47" i="22" a="1"/>
  <c r="L16" i="22" a="1"/>
  <c r="L17" i="22" a="1"/>
  <c r="L140" i="22" a="1"/>
  <c r="L81" i="22" a="1"/>
  <c r="L111" i="21" a="1"/>
  <c r="L79" i="21" a="1"/>
  <c r="L47" i="21" a="1"/>
  <c r="L48" i="21" a="1"/>
  <c r="K47" i="1" a="1"/>
  <c r="K139" i="1" a="1"/>
  <c r="K140" i="1" a="1"/>
  <c r="K14" i="1" a="1"/>
  <c r="K48" i="1" a="1"/>
  <c r="L48" i="34" l="1"/>
  <c r="M48" i="34" s="1"/>
  <c r="L16" i="34"/>
  <c r="M16" i="34" s="1"/>
  <c r="L111" i="34"/>
  <c r="M111" i="34" s="1"/>
  <c r="L79" i="34"/>
  <c r="M79" i="34" s="1"/>
  <c r="L144" i="34"/>
  <c r="M144" i="34" s="1"/>
  <c r="G146" i="34"/>
  <c r="G18" i="34"/>
  <c r="K17" i="34"/>
  <c r="B144" i="34"/>
  <c r="C144" i="34" s="1"/>
  <c r="B48" i="34"/>
  <c r="C48" i="34" s="1"/>
  <c r="B143" i="34"/>
  <c r="C143" i="34" s="1"/>
  <c r="B142" i="34"/>
  <c r="C142" i="34" s="1"/>
  <c r="B79" i="34"/>
  <c r="C79" i="34" s="1"/>
  <c r="B16" i="34"/>
  <c r="C16" i="34" s="1"/>
  <c r="G113" i="34"/>
  <c r="K112" i="34"/>
  <c r="G81" i="34"/>
  <c r="K80" i="34"/>
  <c r="G50" i="34"/>
  <c r="L79" i="33"/>
  <c r="M79" i="33" s="1"/>
  <c r="L110" i="33"/>
  <c r="M110" i="33" s="1"/>
  <c r="L111" i="33"/>
  <c r="M111" i="33" s="1"/>
  <c r="L142" i="33"/>
  <c r="M142" i="33" s="1"/>
  <c r="L143" i="33"/>
  <c r="M143" i="33" s="1"/>
  <c r="L80" i="33"/>
  <c r="M80" i="33" s="1"/>
  <c r="G49" i="33"/>
  <c r="K48" i="33"/>
  <c r="K47" i="33"/>
  <c r="G18" i="33"/>
  <c r="K17" i="33" s="1"/>
  <c r="K16" i="33"/>
  <c r="G113" i="33"/>
  <c r="K112" i="33"/>
  <c r="G145" i="33"/>
  <c r="K144" i="33"/>
  <c r="G82" i="33"/>
  <c r="K81" i="33"/>
  <c r="L141" i="32"/>
  <c r="M141" i="32" s="1"/>
  <c r="B141" i="32" s="1"/>
  <c r="C141" i="32" s="1"/>
  <c r="L78" i="32"/>
  <c r="M78" i="32" s="1"/>
  <c r="B78" i="32" s="1"/>
  <c r="C78" i="32" s="1"/>
  <c r="L17" i="32"/>
  <c r="M17" i="32" s="1"/>
  <c r="B17" i="32" s="1"/>
  <c r="C17" i="32" s="1"/>
  <c r="G80" i="32"/>
  <c r="G49" i="32"/>
  <c r="K48" i="32"/>
  <c r="K47" i="32"/>
  <c r="G19" i="32"/>
  <c r="G143" i="32"/>
  <c r="G112" i="32"/>
  <c r="K111" i="32"/>
  <c r="K110" i="32"/>
  <c r="B77" i="32"/>
  <c r="C77" i="32" s="1"/>
  <c r="B76" i="32"/>
  <c r="C76" i="32" s="1"/>
  <c r="B46" i="32"/>
  <c r="C46" i="32" s="1"/>
  <c r="B16" i="32"/>
  <c r="C16" i="32" s="1"/>
  <c r="L143" i="31"/>
  <c r="M143" i="31" s="1"/>
  <c r="L16" i="31"/>
  <c r="M16" i="31" s="1"/>
  <c r="B16" i="31" s="1"/>
  <c r="C16" i="31" s="1"/>
  <c r="L142" i="31"/>
  <c r="M142" i="31" s="1"/>
  <c r="L110" i="31"/>
  <c r="M110" i="31" s="1"/>
  <c r="L111" i="31"/>
  <c r="M111" i="31" s="1"/>
  <c r="G81" i="31"/>
  <c r="K80" i="31"/>
  <c r="K79" i="31"/>
  <c r="G18" i="31"/>
  <c r="K17" i="31"/>
  <c r="G49" i="31"/>
  <c r="K48" i="31"/>
  <c r="K47" i="31"/>
  <c r="G145" i="31"/>
  <c r="K144" i="31"/>
  <c r="G113" i="31"/>
  <c r="K112" i="31"/>
  <c r="B78" i="31"/>
  <c r="C78" i="31" s="1"/>
  <c r="B77" i="31"/>
  <c r="C77" i="31" s="1"/>
  <c r="B15" i="31"/>
  <c r="C15" i="31" s="1"/>
  <c r="L144" i="30"/>
  <c r="M144" i="30" s="1"/>
  <c r="B144" i="30" s="1"/>
  <c r="C144" i="30" s="1"/>
  <c r="L47" i="30"/>
  <c r="M47" i="30" s="1"/>
  <c r="L20" i="30"/>
  <c r="M20" i="30" s="1"/>
  <c r="B20" i="30" s="1"/>
  <c r="C20" i="30" s="1"/>
  <c r="G81" i="30"/>
  <c r="K80" i="30"/>
  <c r="K79" i="30"/>
  <c r="G146" i="30"/>
  <c r="G112" i="30"/>
  <c r="K110" i="30"/>
  <c r="G49" i="30"/>
  <c r="K48" i="30" s="1"/>
  <c r="G22" i="30"/>
  <c r="B78" i="30"/>
  <c r="C78" i="30" s="1"/>
  <c r="B143" i="30"/>
  <c r="C143" i="30" s="1"/>
  <c r="L47" i="29"/>
  <c r="M47" i="29" s="1"/>
  <c r="L46" i="29"/>
  <c r="M46" i="29" s="1"/>
  <c r="L78" i="29"/>
  <c r="M78" i="29" s="1"/>
  <c r="B78" i="29" s="1"/>
  <c r="C78" i="29" s="1"/>
  <c r="G112" i="29"/>
  <c r="K111" i="29"/>
  <c r="G144" i="29"/>
  <c r="K143" i="29"/>
  <c r="G22" i="29"/>
  <c r="K21" i="29"/>
  <c r="G80" i="29"/>
  <c r="B19" i="29"/>
  <c r="C19" i="29" s="1"/>
  <c r="B18" i="29"/>
  <c r="C18" i="29" s="1"/>
  <c r="B109" i="29"/>
  <c r="C109" i="29" s="1"/>
  <c r="B108" i="29"/>
  <c r="C108" i="29" s="1"/>
  <c r="B77" i="29"/>
  <c r="C77" i="29" s="1"/>
  <c r="B76" i="29"/>
  <c r="C76" i="29" s="1"/>
  <c r="G49" i="29"/>
  <c r="K110" i="29"/>
  <c r="K142" i="29"/>
  <c r="K20" i="29"/>
  <c r="L110" i="28"/>
  <c r="M110" i="28" s="1"/>
  <c r="L111" i="28"/>
  <c r="M111" i="28" s="1"/>
  <c r="L144" i="28"/>
  <c r="M144" i="28" s="1"/>
  <c r="G49" i="28"/>
  <c r="K48" i="28"/>
  <c r="K47" i="28"/>
  <c r="B78" i="28"/>
  <c r="C78" i="28" s="1"/>
  <c r="B144" i="28"/>
  <c r="C144" i="28" s="1"/>
  <c r="G81" i="28"/>
  <c r="K80" i="28"/>
  <c r="K79" i="28"/>
  <c r="B46" i="28"/>
  <c r="C46" i="28" s="1"/>
  <c r="B45" i="28"/>
  <c r="C45" i="28" s="1"/>
  <c r="G113" i="28"/>
  <c r="K112" i="28"/>
  <c r="G146" i="28"/>
  <c r="G18" i="28"/>
  <c r="K16" i="28"/>
  <c r="B143" i="28"/>
  <c r="C143" i="28" s="1"/>
  <c r="L16" i="27"/>
  <c r="M16" i="27" s="1"/>
  <c r="B16" i="27" s="1"/>
  <c r="C16" i="27" s="1"/>
  <c r="G144" i="27"/>
  <c r="K143" i="27" s="1"/>
  <c r="K142" i="27"/>
  <c r="G80" i="27"/>
  <c r="G111" i="27"/>
  <c r="K110" i="27"/>
  <c r="K109" i="27"/>
  <c r="G18" i="27"/>
  <c r="K17" i="27" s="1"/>
  <c r="G49" i="27"/>
  <c r="K48" i="27"/>
  <c r="K47" i="27"/>
  <c r="K78" i="27"/>
  <c r="L46" i="26"/>
  <c r="M46" i="26" s="1"/>
  <c r="B46" i="26" s="1"/>
  <c r="C46" i="26" s="1"/>
  <c r="L110" i="26"/>
  <c r="M110" i="26" s="1"/>
  <c r="L111" i="26"/>
  <c r="M111" i="26" s="1"/>
  <c r="L139" i="26"/>
  <c r="M139" i="26" s="1"/>
  <c r="L140" i="26"/>
  <c r="M140" i="26" s="1"/>
  <c r="L78" i="26"/>
  <c r="M78" i="26" s="1"/>
  <c r="L17" i="26"/>
  <c r="M17" i="26" s="1"/>
  <c r="L18" i="26"/>
  <c r="M18" i="26" s="1"/>
  <c r="G49" i="26"/>
  <c r="K48" i="26" s="1"/>
  <c r="K47" i="26"/>
  <c r="G113" i="26"/>
  <c r="G142" i="26"/>
  <c r="K141" i="26"/>
  <c r="G80" i="26"/>
  <c r="G20" i="26"/>
  <c r="B45" i="26"/>
  <c r="C45" i="26" s="1"/>
  <c r="B138" i="26"/>
  <c r="C138" i="26" s="1"/>
  <c r="B77" i="26"/>
  <c r="C77" i="26" s="1"/>
  <c r="B76" i="26"/>
  <c r="C76" i="26" s="1"/>
  <c r="L143" i="25"/>
  <c r="M143" i="25" s="1"/>
  <c r="L81" i="25"/>
  <c r="M81" i="25" s="1"/>
  <c r="B81" i="25" s="1"/>
  <c r="C81" i="25" s="1"/>
  <c r="L47" i="25"/>
  <c r="M47" i="25" s="1"/>
  <c r="B47" i="25" s="1"/>
  <c r="C47" i="25" s="1"/>
  <c r="L17" i="25"/>
  <c r="M17" i="25" s="1"/>
  <c r="L142" i="25"/>
  <c r="M142" i="25" s="1"/>
  <c r="G112" i="25"/>
  <c r="K110" i="25"/>
  <c r="G145" i="25"/>
  <c r="K144" i="25"/>
  <c r="G83" i="25"/>
  <c r="G49" i="25"/>
  <c r="K48" i="25"/>
  <c r="G19" i="25"/>
  <c r="B109" i="25"/>
  <c r="C109" i="25" s="1"/>
  <c r="B80" i="25"/>
  <c r="C80" i="25" s="1"/>
  <c r="B79" i="25"/>
  <c r="C79" i="25" s="1"/>
  <c r="L47" i="24"/>
  <c r="M47" i="24" s="1"/>
  <c r="L144" i="24"/>
  <c r="M144" i="24" s="1"/>
  <c r="B144" i="24" s="1"/>
  <c r="C144" i="24" s="1"/>
  <c r="L46" i="24"/>
  <c r="M46" i="24" s="1"/>
  <c r="L78" i="24"/>
  <c r="M78" i="24" s="1"/>
  <c r="B78" i="24" s="1"/>
  <c r="C78" i="24" s="1"/>
  <c r="L17" i="24"/>
  <c r="M17" i="24" s="1"/>
  <c r="B17" i="24" s="1"/>
  <c r="C17" i="24" s="1"/>
  <c r="L109" i="24"/>
  <c r="M109" i="24" s="1"/>
  <c r="G146" i="24"/>
  <c r="G49" i="24"/>
  <c r="K48" i="24" s="1"/>
  <c r="G80" i="24"/>
  <c r="G19" i="24"/>
  <c r="G112" i="24"/>
  <c r="K111" i="24"/>
  <c r="K110" i="24"/>
  <c r="B77" i="24"/>
  <c r="C77" i="24" s="1"/>
  <c r="B76" i="24"/>
  <c r="C76" i="24" s="1"/>
  <c r="L78" i="23"/>
  <c r="M78" i="23" s="1"/>
  <c r="B78" i="23" s="1"/>
  <c r="C78" i="23" s="1"/>
  <c r="L141" i="23"/>
  <c r="M141" i="23" s="1"/>
  <c r="B141" i="23" s="1"/>
  <c r="C141" i="23" s="1"/>
  <c r="L47" i="23"/>
  <c r="M47" i="23" s="1"/>
  <c r="B47" i="23" s="1"/>
  <c r="C47" i="23" s="1"/>
  <c r="G80" i="23"/>
  <c r="B16" i="23"/>
  <c r="C16" i="23" s="1"/>
  <c r="G19" i="23"/>
  <c r="K17" i="23"/>
  <c r="G112" i="23"/>
  <c r="K111" i="23"/>
  <c r="K110" i="23"/>
  <c r="G143" i="23"/>
  <c r="B140" i="23"/>
  <c r="C140" i="23" s="1"/>
  <c r="G49" i="23"/>
  <c r="K48" i="23"/>
  <c r="L81" i="22"/>
  <c r="M81" i="22" s="1"/>
  <c r="B81" i="22" s="1"/>
  <c r="C81" i="22" s="1"/>
  <c r="L140" i="22"/>
  <c r="M140" i="22" s="1"/>
  <c r="L17" i="22"/>
  <c r="M17" i="22" s="1"/>
  <c r="L16" i="22"/>
  <c r="M16" i="22" s="1"/>
  <c r="L47" i="22"/>
  <c r="M47" i="22" s="1"/>
  <c r="B47" i="22" s="1"/>
  <c r="C47" i="22" s="1"/>
  <c r="L139" i="22"/>
  <c r="M139" i="22" s="1"/>
  <c r="G19" i="22"/>
  <c r="K18" i="22" s="1"/>
  <c r="G142" i="22"/>
  <c r="K141" i="22"/>
  <c r="G111" i="22"/>
  <c r="K109" i="22"/>
  <c r="G49" i="22"/>
  <c r="G83" i="22"/>
  <c r="B46" i="22"/>
  <c r="C46" i="22" s="1"/>
  <c r="B45" i="22"/>
  <c r="C45" i="22" s="1"/>
  <c r="B108" i="22"/>
  <c r="C108" i="22" s="1"/>
  <c r="B107" i="22"/>
  <c r="C107" i="22" s="1"/>
  <c r="B80" i="22"/>
  <c r="C80" i="22" s="1"/>
  <c r="B79" i="22"/>
  <c r="C79" i="22" s="1"/>
  <c r="L48" i="21"/>
  <c r="M48" i="21" s="1"/>
  <c r="L47" i="21"/>
  <c r="M47" i="21" s="1"/>
  <c r="B47" i="21" s="1"/>
  <c r="C47" i="21" s="1"/>
  <c r="L79" i="21"/>
  <c r="M79" i="21" s="1"/>
  <c r="B79" i="21" s="1"/>
  <c r="C79" i="21" s="1"/>
  <c r="L111" i="21"/>
  <c r="M111" i="21" s="1"/>
  <c r="B111" i="21" s="1"/>
  <c r="C111" i="21" s="1"/>
  <c r="G144" i="21"/>
  <c r="K143" i="21"/>
  <c r="K142" i="21"/>
  <c r="G50" i="21"/>
  <c r="K49" i="21"/>
  <c r="G19" i="21"/>
  <c r="K18" i="21"/>
  <c r="K17" i="21"/>
  <c r="G81" i="21"/>
  <c r="K80" i="21"/>
  <c r="B46" i="21"/>
  <c r="C46" i="21" s="1"/>
  <c r="B110" i="21"/>
  <c r="C110" i="21" s="1"/>
  <c r="G113" i="21"/>
  <c r="M49" i="9"/>
  <c r="M112" i="9"/>
  <c r="M111" i="9"/>
  <c r="M50" i="9"/>
  <c r="K48" i="1"/>
  <c r="L48" i="1" s="1"/>
  <c r="K14" i="1"/>
  <c r="K140" i="1"/>
  <c r="L140" i="1" s="1"/>
  <c r="K139" i="1"/>
  <c r="L139" i="1" s="1"/>
  <c r="K47" i="1"/>
  <c r="L47" i="1" s="1"/>
  <c r="B15" i="3"/>
  <c r="C15" i="3" s="1"/>
  <c r="M140" i="3"/>
  <c r="M49" i="3"/>
  <c r="M17" i="3"/>
  <c r="M141" i="3"/>
  <c r="M108" i="3"/>
  <c r="M16" i="3"/>
  <c r="L13" i="1"/>
  <c r="B13" i="1" s="1"/>
  <c r="C13" i="1" s="1"/>
  <c r="G142" i="9"/>
  <c r="K141" i="9" s="1"/>
  <c r="G52" i="9"/>
  <c r="K51" i="9"/>
  <c r="K140" i="9"/>
  <c r="G18" i="9"/>
  <c r="K17" i="9"/>
  <c r="B110" i="9"/>
  <c r="C110" i="9" s="1"/>
  <c r="G80" i="9"/>
  <c r="K79" i="9"/>
  <c r="K78" i="9"/>
  <c r="G114" i="9"/>
  <c r="K16" i="9"/>
  <c r="B15" i="9"/>
  <c r="C15" i="9" s="1"/>
  <c r="B14" i="9"/>
  <c r="C14" i="9" s="1"/>
  <c r="M141" i="8"/>
  <c r="B141" i="8" s="1"/>
  <c r="C141" i="8" s="1"/>
  <c r="M109" i="8"/>
  <c r="B109" i="8" s="1"/>
  <c r="C109" i="8" s="1"/>
  <c r="G143" i="8"/>
  <c r="G111" i="8"/>
  <c r="K110" i="8" s="1"/>
  <c r="B15" i="8"/>
  <c r="C15" i="8" s="1"/>
  <c r="B14" i="8"/>
  <c r="C14" i="8" s="1"/>
  <c r="G80" i="8"/>
  <c r="K79" i="8"/>
  <c r="G49" i="8"/>
  <c r="K48" i="8" s="1"/>
  <c r="G18" i="8"/>
  <c r="K78" i="8"/>
  <c r="K16" i="8"/>
  <c r="K47" i="8"/>
  <c r="M47" i="4"/>
  <c r="B47" i="4" s="1"/>
  <c r="C47" i="4" s="1"/>
  <c r="M16" i="4"/>
  <c r="B16" i="4" s="1"/>
  <c r="C16" i="4" s="1"/>
  <c r="M141" i="4"/>
  <c r="M112" i="4"/>
  <c r="G82" i="4"/>
  <c r="K81" i="4" s="1"/>
  <c r="K80" i="4"/>
  <c r="G18" i="4"/>
  <c r="K17" i="4" s="1"/>
  <c r="G49" i="4"/>
  <c r="G114" i="4"/>
  <c r="K113" i="4"/>
  <c r="B15" i="4"/>
  <c r="C15" i="4" s="1"/>
  <c r="G143" i="4"/>
  <c r="M50" i="3"/>
  <c r="M109" i="3"/>
  <c r="G82" i="3"/>
  <c r="K81" i="3"/>
  <c r="G19" i="3"/>
  <c r="G143" i="3"/>
  <c r="G52" i="3"/>
  <c r="G111" i="3"/>
  <c r="K110" i="3" s="1"/>
  <c r="K80" i="3"/>
  <c r="L140" i="2"/>
  <c r="B140" i="2" s="1"/>
  <c r="C140" i="2" s="1"/>
  <c r="L16" i="2"/>
  <c r="B16" i="2" s="1"/>
  <c r="C16" i="2" s="1"/>
  <c r="L108" i="2"/>
  <c r="L80" i="2"/>
  <c r="L109" i="2"/>
  <c r="G49" i="2"/>
  <c r="G111" i="2"/>
  <c r="J110" i="2" s="1"/>
  <c r="G82" i="2"/>
  <c r="B139" i="2"/>
  <c r="C139" i="2" s="1"/>
  <c r="B138" i="2"/>
  <c r="C138" i="2" s="1"/>
  <c r="B79" i="2"/>
  <c r="C79" i="2" s="1"/>
  <c r="B78" i="2"/>
  <c r="C78" i="2" s="1"/>
  <c r="G18" i="2"/>
  <c r="J17" i="2"/>
  <c r="G142" i="2"/>
  <c r="J141" i="2"/>
  <c r="J47" i="2"/>
  <c r="G142" i="1"/>
  <c r="B138" i="1"/>
  <c r="C138" i="1" s="1"/>
  <c r="G111" i="1"/>
  <c r="J110" i="1"/>
  <c r="J109" i="1"/>
  <c r="G80" i="1"/>
  <c r="J79" i="1"/>
  <c r="J78" i="1"/>
  <c r="B77" i="1"/>
  <c r="C77" i="1" s="1"/>
  <c r="B76" i="1"/>
  <c r="C76" i="1" s="1"/>
  <c r="G50" i="1"/>
  <c r="J49" i="1"/>
  <c r="G16" i="1"/>
  <c r="J15" i="1"/>
  <c r="L17" i="34" a="1"/>
  <c r="L112" i="34" a="1"/>
  <c r="L80" i="34" a="1"/>
  <c r="L48" i="33" a="1"/>
  <c r="L47" i="33" a="1"/>
  <c r="L16" i="33" a="1"/>
  <c r="L112" i="33" a="1"/>
  <c r="L144" i="33" a="1"/>
  <c r="L81" i="33" a="1"/>
  <c r="L17" i="33" a="1"/>
  <c r="L48" i="32" a="1"/>
  <c r="L47" i="32" a="1"/>
  <c r="L111" i="32" a="1"/>
  <c r="L110" i="32" a="1"/>
  <c r="L80" i="31" a="1"/>
  <c r="L144" i="31" a="1"/>
  <c r="L47" i="31" a="1"/>
  <c r="L79" i="31" a="1"/>
  <c r="L17" i="31" a="1"/>
  <c r="L48" i="31" a="1"/>
  <c r="L112" i="31" a="1"/>
  <c r="L80" i="30" a="1"/>
  <c r="L110" i="30" a="1"/>
  <c r="L79" i="30" a="1"/>
  <c r="L48" i="30" a="1"/>
  <c r="L110" i="29" a="1"/>
  <c r="L111" i="29" a="1"/>
  <c r="L143" i="29" a="1"/>
  <c r="L21" i="29" a="1"/>
  <c r="L142" i="29" a="1"/>
  <c r="L20" i="29" a="1"/>
  <c r="L48" i="28" a="1"/>
  <c r="L16" i="28" a="1"/>
  <c r="L80" i="28" a="1"/>
  <c r="L79" i="28" a="1"/>
  <c r="L112" i="28" a="1"/>
  <c r="L47" i="28" a="1"/>
  <c r="L110" i="27" a="1"/>
  <c r="L48" i="27" a="1"/>
  <c r="L47" i="27" a="1"/>
  <c r="L142" i="27" a="1"/>
  <c r="L109" i="27" a="1"/>
  <c r="L78" i="27" a="1"/>
  <c r="L143" i="27" a="1"/>
  <c r="L17" i="27" a="1"/>
  <c r="L47" i="26" a="1"/>
  <c r="L141" i="26" a="1"/>
  <c r="L48" i="26" a="1"/>
  <c r="L144" i="25" a="1"/>
  <c r="L110" i="25" a="1"/>
  <c r="L48" i="25" a="1"/>
  <c r="L111" i="24" a="1"/>
  <c r="L110" i="24" a="1"/>
  <c r="L48" i="24" a="1"/>
  <c r="L48" i="23" a="1"/>
  <c r="L17" i="23" a="1"/>
  <c r="L111" i="23" a="1"/>
  <c r="L110" i="23" a="1"/>
  <c r="L141" i="22" a="1"/>
  <c r="L109" i="22" a="1"/>
  <c r="L18" i="22" a="1"/>
  <c r="L143" i="21" a="1"/>
  <c r="L142" i="21" a="1"/>
  <c r="L49" i="21" a="1"/>
  <c r="L18" i="21" a="1"/>
  <c r="L17" i="21" a="1"/>
  <c r="L80" i="21" a="1"/>
  <c r="K110" i="1" a="1"/>
  <c r="K79" i="1" a="1"/>
  <c r="K109" i="1" a="1"/>
  <c r="K78" i="1" a="1"/>
  <c r="K49" i="1" a="1"/>
  <c r="K15" i="1" a="1"/>
  <c r="L80" i="34" l="1"/>
  <c r="M80" i="34" s="1"/>
  <c r="B80" i="34" s="1"/>
  <c r="C80" i="34" s="1"/>
  <c r="L112" i="34"/>
  <c r="M112" i="34" s="1"/>
  <c r="L17" i="34"/>
  <c r="M17" i="34" s="1"/>
  <c r="G82" i="34"/>
  <c r="K81" i="34"/>
  <c r="G114" i="34"/>
  <c r="G19" i="34"/>
  <c r="G147" i="34"/>
  <c r="K146" i="34"/>
  <c r="K145" i="34"/>
  <c r="B112" i="34"/>
  <c r="C112" i="34" s="1"/>
  <c r="B111" i="34"/>
  <c r="C111" i="34" s="1"/>
  <c r="B17" i="34"/>
  <c r="C17" i="34" s="1"/>
  <c r="G51" i="34"/>
  <c r="K49" i="34"/>
  <c r="L17" i="33"/>
  <c r="M17" i="33" s="1"/>
  <c r="L81" i="33"/>
  <c r="M81" i="33" s="1"/>
  <c r="B81" i="33" s="1"/>
  <c r="C81" i="33" s="1"/>
  <c r="L144" i="33"/>
  <c r="M144" i="33" s="1"/>
  <c r="B144" i="33" s="1"/>
  <c r="C144" i="33" s="1"/>
  <c r="L112" i="33"/>
  <c r="M112" i="33" s="1"/>
  <c r="L16" i="33"/>
  <c r="M16" i="33" s="1"/>
  <c r="L47" i="33"/>
  <c r="M47" i="33" s="1"/>
  <c r="L48" i="33"/>
  <c r="M48" i="33" s="1"/>
  <c r="G83" i="33"/>
  <c r="G146" i="33"/>
  <c r="G114" i="33"/>
  <c r="K113" i="33" s="1"/>
  <c r="G19" i="33"/>
  <c r="K18" i="33"/>
  <c r="G50" i="33"/>
  <c r="K49" i="33"/>
  <c r="B143" i="33"/>
  <c r="C143" i="33" s="1"/>
  <c r="B142" i="33"/>
  <c r="C142" i="33" s="1"/>
  <c r="B111" i="33"/>
  <c r="C111" i="33" s="1"/>
  <c r="B110" i="33"/>
  <c r="C110" i="33" s="1"/>
  <c r="B80" i="33"/>
  <c r="C80" i="33" s="1"/>
  <c r="B79" i="33"/>
  <c r="C79" i="33" s="1"/>
  <c r="L110" i="32"/>
  <c r="M110" i="32" s="1"/>
  <c r="L111" i="32"/>
  <c r="M111" i="32" s="1"/>
  <c r="L47" i="32"/>
  <c r="M47" i="32" s="1"/>
  <c r="L48" i="32"/>
  <c r="M48" i="32" s="1"/>
  <c r="G113" i="32"/>
  <c r="K112" i="32"/>
  <c r="G144" i="32"/>
  <c r="K143" i="32"/>
  <c r="K142" i="32"/>
  <c r="G20" i="32"/>
  <c r="K19" i="32"/>
  <c r="K18" i="32"/>
  <c r="G50" i="32"/>
  <c r="K49" i="32"/>
  <c r="G81" i="32"/>
  <c r="K80" i="32"/>
  <c r="K79" i="32"/>
  <c r="L112" i="31"/>
  <c r="M112" i="31" s="1"/>
  <c r="B112" i="31" s="1"/>
  <c r="C112" i="31" s="1"/>
  <c r="L48" i="31"/>
  <c r="M48" i="31" s="1"/>
  <c r="L17" i="31"/>
  <c r="M17" i="31" s="1"/>
  <c r="B17" i="31" s="1"/>
  <c r="C17" i="31" s="1"/>
  <c r="L79" i="31"/>
  <c r="M79" i="31" s="1"/>
  <c r="L47" i="31"/>
  <c r="M47" i="31" s="1"/>
  <c r="L144" i="31"/>
  <c r="M144" i="31" s="1"/>
  <c r="L80" i="31"/>
  <c r="M80" i="31" s="1"/>
  <c r="G19" i="31"/>
  <c r="G114" i="31"/>
  <c r="G146" i="31"/>
  <c r="G50" i="31"/>
  <c r="K49" i="31"/>
  <c r="G82" i="31"/>
  <c r="K81" i="31"/>
  <c r="B111" i="31"/>
  <c r="C111" i="31" s="1"/>
  <c r="B110" i="31"/>
  <c r="C110" i="31" s="1"/>
  <c r="B143" i="31"/>
  <c r="C143" i="31" s="1"/>
  <c r="B142" i="31"/>
  <c r="C142" i="31" s="1"/>
  <c r="L48" i="30"/>
  <c r="M48" i="30" s="1"/>
  <c r="B48" i="30" s="1"/>
  <c r="C48" i="30" s="1"/>
  <c r="L79" i="30"/>
  <c r="M79" i="30" s="1"/>
  <c r="L110" i="30"/>
  <c r="M110" i="30" s="1"/>
  <c r="L80" i="30"/>
  <c r="M80" i="30" s="1"/>
  <c r="G113" i="30"/>
  <c r="K112" i="30"/>
  <c r="G147" i="30"/>
  <c r="K146" i="30"/>
  <c r="G82" i="30"/>
  <c r="K81" i="30" s="1"/>
  <c r="G23" i="30"/>
  <c r="K21" i="30"/>
  <c r="G50" i="30"/>
  <c r="K49" i="30"/>
  <c r="K111" i="30"/>
  <c r="K145" i="30"/>
  <c r="B47" i="30"/>
  <c r="C47" i="30" s="1"/>
  <c r="L20" i="29"/>
  <c r="M20" i="29" s="1"/>
  <c r="L142" i="29"/>
  <c r="M142" i="29" s="1"/>
  <c r="L21" i="29"/>
  <c r="M21" i="29" s="1"/>
  <c r="L143" i="29"/>
  <c r="M143" i="29" s="1"/>
  <c r="L111" i="29"/>
  <c r="M111" i="29" s="1"/>
  <c r="L110" i="29"/>
  <c r="M110" i="29" s="1"/>
  <c r="G81" i="29"/>
  <c r="G23" i="29"/>
  <c r="G113" i="29"/>
  <c r="G50" i="29"/>
  <c r="K79" i="29"/>
  <c r="G145" i="29"/>
  <c r="K144" i="29"/>
  <c r="B47" i="29"/>
  <c r="C47" i="29" s="1"/>
  <c r="B46" i="29"/>
  <c r="C46" i="29" s="1"/>
  <c r="K48" i="29"/>
  <c r="L47" i="28"/>
  <c r="M47" i="28" s="1"/>
  <c r="L112" i="28"/>
  <c r="M112" i="28" s="1"/>
  <c r="B112" i="28" s="1"/>
  <c r="C112" i="28" s="1"/>
  <c r="L79" i="28"/>
  <c r="M79" i="28" s="1"/>
  <c r="L80" i="28"/>
  <c r="M80" i="28" s="1"/>
  <c r="L16" i="28"/>
  <c r="M16" i="28" s="1"/>
  <c r="L48" i="28"/>
  <c r="M48" i="28" s="1"/>
  <c r="G50" i="28"/>
  <c r="K49" i="28"/>
  <c r="K18" i="28"/>
  <c r="G19" i="28"/>
  <c r="G147" i="28"/>
  <c r="K146" i="28"/>
  <c r="K145" i="28"/>
  <c r="G114" i="28"/>
  <c r="G82" i="28"/>
  <c r="K81" i="28"/>
  <c r="K17" i="28"/>
  <c r="B111" i="28"/>
  <c r="C111" i="28" s="1"/>
  <c r="B110" i="28"/>
  <c r="C110" i="28" s="1"/>
  <c r="L17" i="27"/>
  <c r="M17" i="27" s="1"/>
  <c r="B17" i="27" s="1"/>
  <c r="C17" i="27" s="1"/>
  <c r="L143" i="27"/>
  <c r="M143" i="27" s="1"/>
  <c r="L78" i="27"/>
  <c r="M78" i="27" s="1"/>
  <c r="L109" i="27"/>
  <c r="M109" i="27" s="1"/>
  <c r="L142" i="27"/>
  <c r="M142" i="27" s="1"/>
  <c r="L47" i="27"/>
  <c r="M47" i="27" s="1"/>
  <c r="L48" i="27"/>
  <c r="M48" i="27" s="1"/>
  <c r="L110" i="27"/>
  <c r="M110" i="27" s="1"/>
  <c r="G112" i="27"/>
  <c r="K111" i="27" s="1"/>
  <c r="G81" i="27"/>
  <c r="K80" i="27"/>
  <c r="K79" i="27"/>
  <c r="G50" i="27"/>
  <c r="G19" i="27"/>
  <c r="K18" i="27"/>
  <c r="G145" i="27"/>
  <c r="K144" i="27"/>
  <c r="L48" i="26"/>
  <c r="M48" i="26" s="1"/>
  <c r="L141" i="26"/>
  <c r="M141" i="26" s="1"/>
  <c r="B141" i="26" s="1"/>
  <c r="C141" i="26" s="1"/>
  <c r="L47" i="26"/>
  <c r="M47" i="26" s="1"/>
  <c r="B47" i="26" s="1"/>
  <c r="C47" i="26" s="1"/>
  <c r="G21" i="26"/>
  <c r="K20" i="26"/>
  <c r="K19" i="26"/>
  <c r="G81" i="26"/>
  <c r="K80" i="26"/>
  <c r="K79" i="26"/>
  <c r="G143" i="26"/>
  <c r="G114" i="26"/>
  <c r="K113" i="26"/>
  <c r="K112" i="26"/>
  <c r="G50" i="26"/>
  <c r="K49" i="26" s="1"/>
  <c r="B18" i="26"/>
  <c r="C18" i="26" s="1"/>
  <c r="B17" i="26"/>
  <c r="C17" i="26" s="1"/>
  <c r="B78" i="26"/>
  <c r="C78" i="26" s="1"/>
  <c r="B140" i="26"/>
  <c r="C140" i="26" s="1"/>
  <c r="B139" i="26"/>
  <c r="C139" i="26" s="1"/>
  <c r="B111" i="26"/>
  <c r="C111" i="26" s="1"/>
  <c r="B110" i="26"/>
  <c r="C110" i="26" s="1"/>
  <c r="L48" i="25"/>
  <c r="M48" i="25" s="1"/>
  <c r="B48" i="25" s="1"/>
  <c r="C48" i="25" s="1"/>
  <c r="L110" i="25"/>
  <c r="M110" i="25" s="1"/>
  <c r="L144" i="25"/>
  <c r="M144" i="25" s="1"/>
  <c r="B144" i="25" s="1"/>
  <c r="C144" i="25" s="1"/>
  <c r="G50" i="25"/>
  <c r="K49" i="25"/>
  <c r="G20" i="25"/>
  <c r="G84" i="25"/>
  <c r="K83" i="25" s="1"/>
  <c r="G113" i="25"/>
  <c r="K112" i="25"/>
  <c r="B143" i="25"/>
  <c r="C143" i="25" s="1"/>
  <c r="B142" i="25"/>
  <c r="C142" i="25" s="1"/>
  <c r="K18" i="25"/>
  <c r="K82" i="25"/>
  <c r="G146" i="25"/>
  <c r="K111" i="25"/>
  <c r="B17" i="25"/>
  <c r="C17" i="25" s="1"/>
  <c r="L48" i="24"/>
  <c r="M48" i="24" s="1"/>
  <c r="B48" i="24" s="1"/>
  <c r="C48" i="24" s="1"/>
  <c r="L110" i="24"/>
  <c r="M110" i="24" s="1"/>
  <c r="B110" i="24" s="1"/>
  <c r="C110" i="24" s="1"/>
  <c r="L111" i="24"/>
  <c r="M111" i="24" s="1"/>
  <c r="G113" i="24"/>
  <c r="K112" i="24"/>
  <c r="G20" i="24"/>
  <c r="K19" i="24"/>
  <c r="K18" i="24"/>
  <c r="G81" i="24"/>
  <c r="K80" i="24"/>
  <c r="K79" i="24"/>
  <c r="G50" i="24"/>
  <c r="K49" i="24"/>
  <c r="G147" i="24"/>
  <c r="K146" i="24"/>
  <c r="K145" i="24"/>
  <c r="B109" i="24"/>
  <c r="C109" i="24" s="1"/>
  <c r="B47" i="24"/>
  <c r="C47" i="24" s="1"/>
  <c r="B46" i="24"/>
  <c r="C46" i="24" s="1"/>
  <c r="L110" i="23"/>
  <c r="M110" i="23" s="1"/>
  <c r="L111" i="23"/>
  <c r="M111" i="23" s="1"/>
  <c r="L17" i="23"/>
  <c r="M17" i="23" s="1"/>
  <c r="L48" i="23"/>
  <c r="M48" i="23" s="1"/>
  <c r="B48" i="23" s="1"/>
  <c r="C48" i="23" s="1"/>
  <c r="G144" i="23"/>
  <c r="K142" i="23"/>
  <c r="G113" i="23"/>
  <c r="K112" i="23"/>
  <c r="G50" i="23"/>
  <c r="K49" i="23"/>
  <c r="G20" i="23"/>
  <c r="K19" i="23"/>
  <c r="K18" i="23"/>
  <c r="G81" i="23"/>
  <c r="K79" i="23"/>
  <c r="L18" i="22"/>
  <c r="M18" i="22" s="1"/>
  <c r="B18" i="22" s="1"/>
  <c r="C18" i="22" s="1"/>
  <c r="L109" i="22"/>
  <c r="M109" i="22" s="1"/>
  <c r="L141" i="22"/>
  <c r="M141" i="22" s="1"/>
  <c r="B141" i="22" s="1"/>
  <c r="C141" i="22" s="1"/>
  <c r="K49" i="22"/>
  <c r="G50" i="22"/>
  <c r="K48" i="22"/>
  <c r="G112" i="22"/>
  <c r="K111" i="22"/>
  <c r="K110" i="22"/>
  <c r="G84" i="22"/>
  <c r="K83" i="22" s="1"/>
  <c r="K82" i="22"/>
  <c r="G143" i="22"/>
  <c r="G20" i="22"/>
  <c r="K19" i="22" s="1"/>
  <c r="B140" i="22"/>
  <c r="C140" i="22" s="1"/>
  <c r="B139" i="22"/>
  <c r="C139" i="22" s="1"/>
  <c r="B17" i="22"/>
  <c r="C17" i="22" s="1"/>
  <c r="B16" i="22"/>
  <c r="C16" i="22" s="1"/>
  <c r="B17" i="3"/>
  <c r="C17" i="3" s="1"/>
  <c r="B48" i="21"/>
  <c r="C48" i="21" s="1"/>
  <c r="L80" i="21"/>
  <c r="M80" i="21" s="1"/>
  <c r="L17" i="21"/>
  <c r="M17" i="21" s="1"/>
  <c r="L18" i="21"/>
  <c r="M18" i="21" s="1"/>
  <c r="L49" i="21"/>
  <c r="M49" i="21" s="1"/>
  <c r="B49" i="21" s="1"/>
  <c r="C49" i="21" s="1"/>
  <c r="L142" i="21"/>
  <c r="M142" i="21" s="1"/>
  <c r="L143" i="21"/>
  <c r="M143" i="21" s="1"/>
  <c r="G82" i="21"/>
  <c r="G20" i="21"/>
  <c r="K19" i="21"/>
  <c r="K50" i="21"/>
  <c r="G51" i="21"/>
  <c r="G145" i="21"/>
  <c r="K144" i="21"/>
  <c r="G114" i="21"/>
  <c r="K112" i="21"/>
  <c r="M17" i="9"/>
  <c r="M140" i="9"/>
  <c r="M51" i="9"/>
  <c r="B51" i="9" s="1"/>
  <c r="C51" i="9" s="1"/>
  <c r="M141" i="9"/>
  <c r="K15" i="1"/>
  <c r="K49" i="1"/>
  <c r="L49" i="1" s="1"/>
  <c r="B49" i="1" s="1"/>
  <c r="C49" i="1" s="1"/>
  <c r="K78" i="1"/>
  <c r="L78" i="1" s="1"/>
  <c r="K109" i="1"/>
  <c r="L109" i="1" s="1"/>
  <c r="K79" i="1"/>
  <c r="L79" i="1" s="1"/>
  <c r="K110" i="1"/>
  <c r="L110" i="1" s="1"/>
  <c r="B16" i="3"/>
  <c r="C16" i="3" s="1"/>
  <c r="M81" i="4"/>
  <c r="M113" i="4"/>
  <c r="B113" i="4" s="1"/>
  <c r="C113" i="4" s="1"/>
  <c r="B112" i="9"/>
  <c r="C112" i="9" s="1"/>
  <c r="L14" i="1"/>
  <c r="B14" i="1" s="1"/>
  <c r="C14" i="1" s="1"/>
  <c r="B140" i="1"/>
  <c r="C140" i="1" s="1"/>
  <c r="B111" i="9"/>
  <c r="C111" i="9" s="1"/>
  <c r="B139" i="1"/>
  <c r="C139" i="1" s="1"/>
  <c r="M16" i="9"/>
  <c r="M78" i="9"/>
  <c r="M79" i="9"/>
  <c r="G19" i="9"/>
  <c r="K18" i="9" s="1"/>
  <c r="G53" i="9"/>
  <c r="K52" i="9"/>
  <c r="G143" i="9"/>
  <c r="G115" i="9"/>
  <c r="K114" i="9"/>
  <c r="K113" i="9"/>
  <c r="B50" i="9"/>
  <c r="C50" i="9" s="1"/>
  <c r="B49" i="9"/>
  <c r="C49" i="9" s="1"/>
  <c r="G81" i="9"/>
  <c r="K80" i="9" s="1"/>
  <c r="M48" i="8"/>
  <c r="M110" i="8"/>
  <c r="B110" i="8" s="1"/>
  <c r="C110" i="8" s="1"/>
  <c r="M79" i="8"/>
  <c r="M16" i="8"/>
  <c r="M78" i="8"/>
  <c r="M47" i="8"/>
  <c r="G19" i="8"/>
  <c r="G144" i="8"/>
  <c r="K142" i="8"/>
  <c r="G50" i="8"/>
  <c r="G81" i="8"/>
  <c r="K80" i="8" s="1"/>
  <c r="G112" i="8"/>
  <c r="K111" i="8" s="1"/>
  <c r="K17" i="8"/>
  <c r="M17" i="4"/>
  <c r="B17" i="4" s="1"/>
  <c r="C17" i="4" s="1"/>
  <c r="M80" i="4"/>
  <c r="G115" i="4"/>
  <c r="K114" i="4"/>
  <c r="G83" i="4"/>
  <c r="K82" i="4"/>
  <c r="G50" i="4"/>
  <c r="K48" i="4"/>
  <c r="G19" i="4"/>
  <c r="K18" i="4"/>
  <c r="B112" i="4"/>
  <c r="C112" i="4" s="1"/>
  <c r="G144" i="4"/>
  <c r="K142" i="4"/>
  <c r="B141" i="4"/>
  <c r="C141" i="4" s="1"/>
  <c r="M110" i="3"/>
  <c r="B110" i="3" s="1"/>
  <c r="C110" i="3" s="1"/>
  <c r="M81" i="3"/>
  <c r="M80" i="3"/>
  <c r="G20" i="3"/>
  <c r="G144" i="3"/>
  <c r="K143" i="3" s="1"/>
  <c r="B50" i="3"/>
  <c r="C50" i="3" s="1"/>
  <c r="B49" i="3"/>
  <c r="C49" i="3" s="1"/>
  <c r="B141" i="3"/>
  <c r="C141" i="3" s="1"/>
  <c r="B140" i="3"/>
  <c r="C140" i="3" s="1"/>
  <c r="G53" i="3"/>
  <c r="K142" i="3"/>
  <c r="K18" i="3"/>
  <c r="G83" i="3"/>
  <c r="K82" i="3"/>
  <c r="G112" i="3"/>
  <c r="K111" i="3"/>
  <c r="B109" i="3"/>
  <c r="C109" i="3" s="1"/>
  <c r="B108" i="3"/>
  <c r="C108" i="3" s="1"/>
  <c r="K51" i="3"/>
  <c r="L110" i="2"/>
  <c r="B110" i="2" s="1"/>
  <c r="C110" i="2" s="1"/>
  <c r="L47" i="2"/>
  <c r="L141" i="2"/>
  <c r="B141" i="2" s="1"/>
  <c r="C141" i="2" s="1"/>
  <c r="L17" i="2"/>
  <c r="B17" i="2" s="1"/>
  <c r="C17" i="2" s="1"/>
  <c r="G83" i="2"/>
  <c r="J82" i="2"/>
  <c r="G50" i="2"/>
  <c r="G112" i="2"/>
  <c r="J111" i="2"/>
  <c r="J48" i="2"/>
  <c r="G143" i="2"/>
  <c r="B80" i="2"/>
  <c r="C80" i="2" s="1"/>
  <c r="J81" i="2"/>
  <c r="J18" i="2"/>
  <c r="G19" i="2"/>
  <c r="B109" i="2"/>
  <c r="C109" i="2" s="1"/>
  <c r="B108" i="2"/>
  <c r="C108" i="2" s="1"/>
  <c r="G143" i="1"/>
  <c r="J141" i="1"/>
  <c r="G112" i="1"/>
  <c r="G81" i="1"/>
  <c r="G51" i="1"/>
  <c r="J50" i="1"/>
  <c r="B48" i="1"/>
  <c r="C48" i="1" s="1"/>
  <c r="B47" i="1"/>
  <c r="C47" i="1" s="1"/>
  <c r="G17" i="1"/>
  <c r="L81" i="34" a="1"/>
  <c r="L146" i="34" a="1"/>
  <c r="L145" i="34" a="1"/>
  <c r="L49" i="34" a="1"/>
  <c r="L49" i="33" a="1"/>
  <c r="L18" i="33" a="1"/>
  <c r="L113" i="33" a="1"/>
  <c r="L112" i="32" a="1"/>
  <c r="L143" i="32" a="1"/>
  <c r="L142" i="32" a="1"/>
  <c r="L19" i="32" a="1"/>
  <c r="L18" i="32" a="1"/>
  <c r="L49" i="32" a="1"/>
  <c r="L80" i="32" a="1"/>
  <c r="L79" i="32" a="1"/>
  <c r="L49" i="31" a="1"/>
  <c r="L81" i="31" a="1"/>
  <c r="L112" i="30" a="1"/>
  <c r="L146" i="30" a="1"/>
  <c r="L21" i="30" a="1"/>
  <c r="L49" i="30" a="1"/>
  <c r="L111" i="30" a="1"/>
  <c r="L145" i="30" a="1"/>
  <c r="L81" i="30" a="1"/>
  <c r="L48" i="29" a="1"/>
  <c r="L79" i="29" a="1"/>
  <c r="L144" i="29" a="1"/>
  <c r="L18" i="28" a="1"/>
  <c r="L146" i="28" a="1"/>
  <c r="L145" i="28" a="1"/>
  <c r="L81" i="28" a="1"/>
  <c r="L17" i="28" a="1"/>
  <c r="L49" i="28" a="1"/>
  <c r="L80" i="27" a="1"/>
  <c r="L18" i="27" a="1"/>
  <c r="L79" i="27" a="1"/>
  <c r="L144" i="27" a="1"/>
  <c r="L111" i="27" a="1"/>
  <c r="L20" i="26" a="1"/>
  <c r="L80" i="26" a="1"/>
  <c r="L79" i="26" a="1"/>
  <c r="L19" i="26" a="1"/>
  <c r="L113" i="26" a="1"/>
  <c r="L112" i="26" a="1"/>
  <c r="L49" i="26" a="1"/>
  <c r="L111" i="25" a="1"/>
  <c r="L49" i="25" a="1"/>
  <c r="L112" i="25" a="1"/>
  <c r="L18" i="25" a="1"/>
  <c r="L82" i="25" a="1"/>
  <c r="L83" i="25" a="1"/>
  <c r="L112" i="24" a="1"/>
  <c r="L18" i="24" a="1"/>
  <c r="L146" i="24" a="1"/>
  <c r="L145" i="24" a="1"/>
  <c r="L19" i="24" a="1"/>
  <c r="L80" i="24" a="1"/>
  <c r="L79" i="24" a="1"/>
  <c r="L49" i="24" a="1"/>
  <c r="L142" i="23" a="1"/>
  <c r="L112" i="23" a="1"/>
  <c r="L49" i="23" a="1"/>
  <c r="L19" i="23" a="1"/>
  <c r="L18" i="23" a="1"/>
  <c r="L79" i="23" a="1"/>
  <c r="L49" i="22" a="1"/>
  <c r="L111" i="22" a="1"/>
  <c r="L82" i="22" a="1"/>
  <c r="L48" i="22" a="1"/>
  <c r="L110" i="22" a="1"/>
  <c r="L83" i="22" a="1"/>
  <c r="L19" i="22" a="1"/>
  <c r="L19" i="21" a="1"/>
  <c r="L50" i="21" a="1"/>
  <c r="L144" i="21" a="1"/>
  <c r="L112" i="21" a="1"/>
  <c r="K50" i="1" a="1"/>
  <c r="K141" i="1" a="1"/>
  <c r="L49" i="34" l="1"/>
  <c r="M49" i="34" s="1"/>
  <c r="L145" i="34"/>
  <c r="M145" i="34" s="1"/>
  <c r="L146" i="34"/>
  <c r="M146" i="34" s="1"/>
  <c r="L81" i="34"/>
  <c r="M81" i="34" s="1"/>
  <c r="G52" i="34"/>
  <c r="K51" i="34"/>
  <c r="K50" i="34"/>
  <c r="G148" i="34"/>
  <c r="K147" i="34"/>
  <c r="G20" i="34"/>
  <c r="K18" i="34"/>
  <c r="G115" i="34"/>
  <c r="K114" i="34"/>
  <c r="K113" i="34"/>
  <c r="G83" i="34"/>
  <c r="K82" i="34" s="1"/>
  <c r="B81" i="34"/>
  <c r="C81" i="34" s="1"/>
  <c r="L113" i="33"/>
  <c r="M113" i="33" s="1"/>
  <c r="B113" i="33" s="1"/>
  <c r="C113" i="33" s="1"/>
  <c r="L18" i="33"/>
  <c r="M18" i="33" s="1"/>
  <c r="B18" i="33" s="1"/>
  <c r="C18" i="33" s="1"/>
  <c r="L49" i="33"/>
  <c r="M49" i="33" s="1"/>
  <c r="B49" i="33" s="1"/>
  <c r="C49" i="33" s="1"/>
  <c r="G147" i="33"/>
  <c r="K146" i="33"/>
  <c r="K145" i="33"/>
  <c r="G84" i="33"/>
  <c r="K83" i="33" s="1"/>
  <c r="K82" i="33"/>
  <c r="B48" i="33"/>
  <c r="C48" i="33" s="1"/>
  <c r="B47" i="33"/>
  <c r="C47" i="33" s="1"/>
  <c r="G51" i="33"/>
  <c r="K50" i="33" s="1"/>
  <c r="G20" i="33"/>
  <c r="K19" i="33"/>
  <c r="G115" i="33"/>
  <c r="K114" i="33"/>
  <c r="B17" i="33"/>
  <c r="C17" i="33" s="1"/>
  <c r="B16" i="33"/>
  <c r="C16" i="33" s="1"/>
  <c r="B112" i="33"/>
  <c r="C112" i="33" s="1"/>
  <c r="L79" i="32"/>
  <c r="M79" i="32" s="1"/>
  <c r="L80" i="32"/>
  <c r="M80" i="32" s="1"/>
  <c r="L49" i="32"/>
  <c r="M49" i="32" s="1"/>
  <c r="B49" i="32" s="1"/>
  <c r="C49" i="32" s="1"/>
  <c r="L18" i="32"/>
  <c r="M18" i="32" s="1"/>
  <c r="L19" i="32"/>
  <c r="M19" i="32" s="1"/>
  <c r="L142" i="32"/>
  <c r="M142" i="32" s="1"/>
  <c r="L143" i="32"/>
  <c r="M143" i="32" s="1"/>
  <c r="L112" i="32"/>
  <c r="M112" i="32" s="1"/>
  <c r="G82" i="32"/>
  <c r="K81" i="32"/>
  <c r="G51" i="32"/>
  <c r="G21" i="32"/>
  <c r="K20" i="32"/>
  <c r="G145" i="32"/>
  <c r="K144" i="32"/>
  <c r="G114" i="32"/>
  <c r="B48" i="32"/>
  <c r="C48" i="32" s="1"/>
  <c r="B47" i="32"/>
  <c r="C47" i="32" s="1"/>
  <c r="B111" i="32"/>
  <c r="C111" i="32" s="1"/>
  <c r="B110" i="32"/>
  <c r="C110" i="32" s="1"/>
  <c r="L81" i="31"/>
  <c r="M81" i="31" s="1"/>
  <c r="B81" i="31" s="1"/>
  <c r="C81" i="31" s="1"/>
  <c r="L49" i="31"/>
  <c r="M49" i="31" s="1"/>
  <c r="B49" i="31" s="1"/>
  <c r="C49" i="31" s="1"/>
  <c r="G83" i="31"/>
  <c r="G51" i="31"/>
  <c r="G147" i="31"/>
  <c r="K145" i="31"/>
  <c r="G115" i="31"/>
  <c r="K114" i="31"/>
  <c r="K113" i="31"/>
  <c r="G20" i="31"/>
  <c r="K19" i="31"/>
  <c r="K18" i="31"/>
  <c r="B48" i="31"/>
  <c r="C48" i="31" s="1"/>
  <c r="B47" i="31"/>
  <c r="C47" i="31" s="1"/>
  <c r="B144" i="31"/>
  <c r="C144" i="31" s="1"/>
  <c r="B80" i="31"/>
  <c r="C80" i="31" s="1"/>
  <c r="B79" i="31"/>
  <c r="C79" i="31" s="1"/>
  <c r="L81" i="30"/>
  <c r="M81" i="30" s="1"/>
  <c r="B81" i="30" s="1"/>
  <c r="C81" i="30" s="1"/>
  <c r="L145" i="30"/>
  <c r="M145" i="30" s="1"/>
  <c r="L111" i="30"/>
  <c r="M111" i="30" s="1"/>
  <c r="B111" i="30" s="1"/>
  <c r="C111" i="30" s="1"/>
  <c r="L49" i="30"/>
  <c r="M49" i="30" s="1"/>
  <c r="B49" i="30" s="1"/>
  <c r="C49" i="30" s="1"/>
  <c r="L21" i="30"/>
  <c r="M21" i="30" s="1"/>
  <c r="L146" i="30"/>
  <c r="M146" i="30" s="1"/>
  <c r="L112" i="30"/>
  <c r="M112" i="30" s="1"/>
  <c r="G51" i="30"/>
  <c r="G24" i="30"/>
  <c r="K23" i="30"/>
  <c r="K22" i="30"/>
  <c r="G83" i="30"/>
  <c r="K82" i="30"/>
  <c r="G148" i="30"/>
  <c r="K147" i="30"/>
  <c r="G114" i="30"/>
  <c r="B110" i="30"/>
  <c r="C110" i="30" s="1"/>
  <c r="B80" i="30"/>
  <c r="C80" i="30" s="1"/>
  <c r="B79" i="30"/>
  <c r="C79" i="30" s="1"/>
  <c r="L144" i="29"/>
  <c r="M144" i="29" s="1"/>
  <c r="B144" i="29" s="1"/>
  <c r="C144" i="29" s="1"/>
  <c r="L79" i="29"/>
  <c r="M79" i="29" s="1"/>
  <c r="L48" i="29"/>
  <c r="M48" i="29" s="1"/>
  <c r="G146" i="29"/>
  <c r="G51" i="29"/>
  <c r="K49" i="29"/>
  <c r="G114" i="29"/>
  <c r="K113" i="29"/>
  <c r="K112" i="29"/>
  <c r="G24" i="29"/>
  <c r="K22" i="29"/>
  <c r="G82" i="29"/>
  <c r="K81" i="29"/>
  <c r="K80" i="29"/>
  <c r="B111" i="29"/>
  <c r="C111" i="29" s="1"/>
  <c r="B110" i="29"/>
  <c r="C110" i="29" s="1"/>
  <c r="B143" i="29"/>
  <c r="C143" i="29" s="1"/>
  <c r="B142" i="29"/>
  <c r="C142" i="29" s="1"/>
  <c r="B21" i="29"/>
  <c r="C21" i="29" s="1"/>
  <c r="B20" i="29"/>
  <c r="C20" i="29" s="1"/>
  <c r="L49" i="28"/>
  <c r="M49" i="28" s="1"/>
  <c r="B49" i="28" s="1"/>
  <c r="C49" i="28" s="1"/>
  <c r="L17" i="28"/>
  <c r="M17" i="28" s="1"/>
  <c r="B17" i="28" s="1"/>
  <c r="C17" i="28" s="1"/>
  <c r="L81" i="28"/>
  <c r="M81" i="28" s="1"/>
  <c r="L145" i="28"/>
  <c r="M145" i="28" s="1"/>
  <c r="L146" i="28"/>
  <c r="M146" i="28" s="1"/>
  <c r="L18" i="28"/>
  <c r="M18" i="28" s="1"/>
  <c r="G83" i="28"/>
  <c r="K82" i="28"/>
  <c r="G115" i="28"/>
  <c r="K114" i="28"/>
  <c r="K113" i="28"/>
  <c r="G148" i="28"/>
  <c r="K147" i="28"/>
  <c r="G20" i="28"/>
  <c r="B16" i="28"/>
  <c r="C16" i="28" s="1"/>
  <c r="B80" i="28"/>
  <c r="C80" i="28" s="1"/>
  <c r="B79" i="28"/>
  <c r="C79" i="28" s="1"/>
  <c r="B48" i="26"/>
  <c r="C48" i="26" s="1"/>
  <c r="G51" i="28"/>
  <c r="B48" i="28"/>
  <c r="C48" i="28" s="1"/>
  <c r="B47" i="28"/>
  <c r="C47" i="28" s="1"/>
  <c r="L111" i="27"/>
  <c r="M111" i="27" s="1"/>
  <c r="B111" i="27" s="1"/>
  <c r="C111" i="27" s="1"/>
  <c r="L144" i="27"/>
  <c r="M144" i="27" s="1"/>
  <c r="B144" i="27" s="1"/>
  <c r="C144" i="27" s="1"/>
  <c r="L79" i="27"/>
  <c r="M79" i="27" s="1"/>
  <c r="B79" i="27" s="1"/>
  <c r="C79" i="27" s="1"/>
  <c r="L18" i="27"/>
  <c r="M18" i="27" s="1"/>
  <c r="B18" i="27" s="1"/>
  <c r="C18" i="27" s="1"/>
  <c r="L80" i="27"/>
  <c r="M80" i="27" s="1"/>
  <c r="G146" i="27"/>
  <c r="G20" i="27"/>
  <c r="K19" i="27"/>
  <c r="G51" i="27"/>
  <c r="G82" i="27"/>
  <c r="K81" i="27"/>
  <c r="B110" i="27"/>
  <c r="C110" i="27" s="1"/>
  <c r="B109" i="27"/>
  <c r="C109" i="27" s="1"/>
  <c r="B78" i="27"/>
  <c r="C78" i="27" s="1"/>
  <c r="K49" i="27"/>
  <c r="G113" i="27"/>
  <c r="B48" i="27"/>
  <c r="C48" i="27" s="1"/>
  <c r="B47" i="27"/>
  <c r="C47" i="27" s="1"/>
  <c r="B143" i="27"/>
  <c r="C143" i="27" s="1"/>
  <c r="B142" i="27"/>
  <c r="C142" i="27" s="1"/>
  <c r="L49" i="26"/>
  <c r="M49" i="26" s="1"/>
  <c r="B49" i="26" s="1"/>
  <c r="C49" i="26" s="1"/>
  <c r="L112" i="26"/>
  <c r="M112" i="26" s="1"/>
  <c r="L113" i="26"/>
  <c r="M113" i="26" s="1"/>
  <c r="L19" i="26"/>
  <c r="M19" i="26" s="1"/>
  <c r="L79" i="26"/>
  <c r="M79" i="26" s="1"/>
  <c r="L80" i="26"/>
  <c r="M80" i="26" s="1"/>
  <c r="L20" i="26"/>
  <c r="M20" i="26" s="1"/>
  <c r="G115" i="26"/>
  <c r="K114" i="26"/>
  <c r="G144" i="26"/>
  <c r="K143" i="26"/>
  <c r="K142" i="26"/>
  <c r="G51" i="26"/>
  <c r="G82" i="26"/>
  <c r="K81" i="26"/>
  <c r="G22" i="26"/>
  <c r="K21" i="26"/>
  <c r="L83" i="25"/>
  <c r="M83" i="25" s="1"/>
  <c r="L82" i="25"/>
  <c r="M82" i="25" s="1"/>
  <c r="L18" i="25"/>
  <c r="M18" i="25" s="1"/>
  <c r="L112" i="25"/>
  <c r="M112" i="25" s="1"/>
  <c r="L49" i="25"/>
  <c r="M49" i="25" s="1"/>
  <c r="L111" i="25"/>
  <c r="M111" i="25" s="1"/>
  <c r="G147" i="25"/>
  <c r="K146" i="25"/>
  <c r="K145" i="25"/>
  <c r="G114" i="25"/>
  <c r="G85" i="25"/>
  <c r="G21" i="25"/>
  <c r="K20" i="25"/>
  <c r="K19" i="25"/>
  <c r="G51" i="25"/>
  <c r="B110" i="25"/>
  <c r="C110" i="25" s="1"/>
  <c r="L49" i="24"/>
  <c r="M49" i="24" s="1"/>
  <c r="B49" i="24" s="1"/>
  <c r="C49" i="24" s="1"/>
  <c r="L79" i="24"/>
  <c r="M79" i="24" s="1"/>
  <c r="L80" i="24"/>
  <c r="M80" i="24" s="1"/>
  <c r="L19" i="24"/>
  <c r="M19" i="24" s="1"/>
  <c r="L145" i="24"/>
  <c r="M145" i="24" s="1"/>
  <c r="L146" i="24"/>
  <c r="M146" i="24" s="1"/>
  <c r="L18" i="24"/>
  <c r="M18" i="24" s="1"/>
  <c r="L112" i="24"/>
  <c r="M112" i="24" s="1"/>
  <c r="B112" i="24" s="1"/>
  <c r="C112" i="24" s="1"/>
  <c r="K50" i="24"/>
  <c r="G51" i="24"/>
  <c r="G114" i="24"/>
  <c r="G148" i="24"/>
  <c r="K147" i="24"/>
  <c r="G82" i="24"/>
  <c r="K81" i="24"/>
  <c r="G21" i="24"/>
  <c r="K20" i="24"/>
  <c r="B111" i="24"/>
  <c r="C111" i="24" s="1"/>
  <c r="L79" i="23"/>
  <c r="M79" i="23" s="1"/>
  <c r="L18" i="23"/>
  <c r="M18" i="23" s="1"/>
  <c r="B18" i="23" s="1"/>
  <c r="C18" i="23" s="1"/>
  <c r="L19" i="23"/>
  <c r="M19" i="23" s="1"/>
  <c r="L49" i="23"/>
  <c r="M49" i="23" s="1"/>
  <c r="L112" i="23"/>
  <c r="M112" i="23" s="1"/>
  <c r="B112" i="23" s="1"/>
  <c r="C112" i="23" s="1"/>
  <c r="L142" i="23"/>
  <c r="M142" i="23" s="1"/>
  <c r="B111" i="23"/>
  <c r="C111" i="23" s="1"/>
  <c r="B110" i="23"/>
  <c r="C110" i="23" s="1"/>
  <c r="G82" i="23"/>
  <c r="K81" i="23"/>
  <c r="K80" i="23"/>
  <c r="G21" i="23"/>
  <c r="G51" i="23"/>
  <c r="G114" i="23"/>
  <c r="G145" i="23"/>
  <c r="K144" i="23"/>
  <c r="K143" i="23"/>
  <c r="B17" i="23"/>
  <c r="C17" i="23" s="1"/>
  <c r="L19" i="22"/>
  <c r="M19" i="22" s="1"/>
  <c r="B19" i="22" s="1"/>
  <c r="C19" i="22" s="1"/>
  <c r="L83" i="22"/>
  <c r="M83" i="22" s="1"/>
  <c r="L110" i="22"/>
  <c r="M110" i="22" s="1"/>
  <c r="B110" i="22" s="1"/>
  <c r="C110" i="22" s="1"/>
  <c r="L48" i="22"/>
  <c r="M48" i="22" s="1"/>
  <c r="L82" i="22"/>
  <c r="M82" i="22" s="1"/>
  <c r="L111" i="22"/>
  <c r="M111" i="22" s="1"/>
  <c r="L49" i="22"/>
  <c r="M49" i="22" s="1"/>
  <c r="G113" i="22"/>
  <c r="K50" i="22"/>
  <c r="G51" i="22"/>
  <c r="G21" i="22"/>
  <c r="G144" i="22"/>
  <c r="K142" i="22"/>
  <c r="G85" i="22"/>
  <c r="K84" i="22"/>
  <c r="B109" i="22"/>
  <c r="C109" i="22" s="1"/>
  <c r="L112" i="21"/>
  <c r="M112" i="21" s="1"/>
  <c r="L144" i="21"/>
  <c r="M144" i="21" s="1"/>
  <c r="B144" i="21" s="1"/>
  <c r="C144" i="21" s="1"/>
  <c r="L50" i="21"/>
  <c r="M50" i="21" s="1"/>
  <c r="B50" i="21" s="1"/>
  <c r="C50" i="21" s="1"/>
  <c r="L19" i="21"/>
  <c r="M19" i="21" s="1"/>
  <c r="B19" i="21" s="1"/>
  <c r="C19" i="21" s="1"/>
  <c r="B143" i="21"/>
  <c r="C143" i="21" s="1"/>
  <c r="B142" i="21"/>
  <c r="C142" i="21" s="1"/>
  <c r="B18" i="21"/>
  <c r="C18" i="21" s="1"/>
  <c r="B17" i="21"/>
  <c r="C17" i="21" s="1"/>
  <c r="G115" i="21"/>
  <c r="K114" i="21"/>
  <c r="K113" i="21"/>
  <c r="B80" i="21"/>
  <c r="C80" i="21" s="1"/>
  <c r="G146" i="21"/>
  <c r="K145" i="21"/>
  <c r="G52" i="21"/>
  <c r="K51" i="21"/>
  <c r="G83" i="21"/>
  <c r="G21" i="21"/>
  <c r="K81" i="21"/>
  <c r="M111" i="8"/>
  <c r="B111" i="8" s="1"/>
  <c r="C111" i="8" s="1"/>
  <c r="M80" i="9"/>
  <c r="B80" i="9" s="1"/>
  <c r="C80" i="9" s="1"/>
  <c r="M114" i="9"/>
  <c r="M52" i="9"/>
  <c r="B52" i="9" s="1"/>
  <c r="C52" i="9" s="1"/>
  <c r="K141" i="1"/>
  <c r="L141" i="1" s="1"/>
  <c r="K50" i="1"/>
  <c r="L50" i="1" s="1"/>
  <c r="B50" i="1" s="1"/>
  <c r="C50" i="1" s="1"/>
  <c r="M82" i="4"/>
  <c r="B82" i="4" s="1"/>
  <c r="C82" i="4" s="1"/>
  <c r="M111" i="3"/>
  <c r="B111" i="3" s="1"/>
  <c r="C111" i="3" s="1"/>
  <c r="M82" i="3"/>
  <c r="B82" i="3" s="1"/>
  <c r="C82" i="3" s="1"/>
  <c r="M142" i="3"/>
  <c r="M18" i="3"/>
  <c r="M143" i="3"/>
  <c r="M51" i="3"/>
  <c r="L15" i="1"/>
  <c r="B15" i="1" s="1"/>
  <c r="C15" i="1" s="1"/>
  <c r="M18" i="9"/>
  <c r="B18" i="9" s="1"/>
  <c r="C18" i="9" s="1"/>
  <c r="M113" i="9"/>
  <c r="G116" i="9"/>
  <c r="K115" i="9" s="1"/>
  <c r="B79" i="9"/>
  <c r="C79" i="9" s="1"/>
  <c r="B78" i="9"/>
  <c r="C78" i="9" s="1"/>
  <c r="G144" i="9"/>
  <c r="G82" i="9"/>
  <c r="K81" i="9"/>
  <c r="B17" i="9"/>
  <c r="C17" i="9" s="1"/>
  <c r="B16" i="9"/>
  <c r="C16" i="9" s="1"/>
  <c r="K142" i="9"/>
  <c r="G54" i="9"/>
  <c r="K53" i="9" s="1"/>
  <c r="B141" i="9"/>
  <c r="C141" i="9" s="1"/>
  <c r="B140" i="9"/>
  <c r="C140" i="9" s="1"/>
  <c r="G20" i="9"/>
  <c r="M80" i="8"/>
  <c r="B80" i="8" s="1"/>
  <c r="C80" i="8" s="1"/>
  <c r="M142" i="8"/>
  <c r="M17" i="8"/>
  <c r="B17" i="8" s="1"/>
  <c r="C17" i="8" s="1"/>
  <c r="G51" i="8"/>
  <c r="K50" i="8"/>
  <c r="G20" i="8"/>
  <c r="K19" i="8" s="1"/>
  <c r="K18" i="8"/>
  <c r="B79" i="8"/>
  <c r="C79" i="8" s="1"/>
  <c r="B78" i="8"/>
  <c r="C78" i="8" s="1"/>
  <c r="G113" i="8"/>
  <c r="K112" i="8"/>
  <c r="G82" i="8"/>
  <c r="K81" i="8"/>
  <c r="K49" i="8"/>
  <c r="G145" i="8"/>
  <c r="K144" i="8" s="1"/>
  <c r="K143" i="8"/>
  <c r="B48" i="8"/>
  <c r="C48" i="8" s="1"/>
  <c r="B47" i="8"/>
  <c r="C47" i="8" s="1"/>
  <c r="B16" i="8"/>
  <c r="C16" i="8" s="1"/>
  <c r="M18" i="4"/>
  <c r="B18" i="4" s="1"/>
  <c r="C18" i="4" s="1"/>
  <c r="M48" i="4"/>
  <c r="M114" i="4"/>
  <c r="M142" i="4"/>
  <c r="G145" i="4"/>
  <c r="K144" i="4" s="1"/>
  <c r="G51" i="4"/>
  <c r="K50" i="4"/>
  <c r="G116" i="4"/>
  <c r="B81" i="4"/>
  <c r="C81" i="4" s="1"/>
  <c r="B80" i="4"/>
  <c r="C80" i="4" s="1"/>
  <c r="G20" i="4"/>
  <c r="K49" i="4"/>
  <c r="G84" i="4"/>
  <c r="K143" i="4"/>
  <c r="G54" i="3"/>
  <c r="K53" i="3" s="1"/>
  <c r="B81" i="3"/>
  <c r="C81" i="3" s="1"/>
  <c r="B80" i="3"/>
  <c r="C80" i="3" s="1"/>
  <c r="G84" i="3"/>
  <c r="K83" i="3" s="1"/>
  <c r="K52" i="3"/>
  <c r="G145" i="3"/>
  <c r="K144" i="3" s="1"/>
  <c r="G113" i="3"/>
  <c r="K112" i="3"/>
  <c r="G21" i="3"/>
  <c r="K20" i="3" s="1"/>
  <c r="K19" i="3"/>
  <c r="L48" i="2"/>
  <c r="B48" i="2" s="1"/>
  <c r="C48" i="2" s="1"/>
  <c r="L82" i="2"/>
  <c r="L18" i="2"/>
  <c r="B18" i="2" s="1"/>
  <c r="C18" i="2" s="1"/>
  <c r="L111" i="2"/>
  <c r="B111" i="2" s="1"/>
  <c r="C111" i="2" s="1"/>
  <c r="L81" i="2"/>
  <c r="G144" i="2"/>
  <c r="J143" i="2"/>
  <c r="G51" i="2"/>
  <c r="J50" i="2"/>
  <c r="J49" i="2"/>
  <c r="G20" i="2"/>
  <c r="J19" i="2"/>
  <c r="J142" i="2"/>
  <c r="G113" i="2"/>
  <c r="J112" i="2"/>
  <c r="J83" i="2"/>
  <c r="G84" i="2"/>
  <c r="B47" i="2"/>
  <c r="C47" i="2" s="1"/>
  <c r="G144" i="1"/>
  <c r="J143" i="1" s="1"/>
  <c r="J142" i="1"/>
  <c r="G113" i="1"/>
  <c r="J112" i="1" s="1"/>
  <c r="J111" i="1"/>
  <c r="B110" i="1"/>
  <c r="C110" i="1" s="1"/>
  <c r="B109" i="1"/>
  <c r="C109" i="1" s="1"/>
  <c r="G82" i="1"/>
  <c r="J80" i="1"/>
  <c r="B79" i="1"/>
  <c r="C79" i="1" s="1"/>
  <c r="B78" i="1"/>
  <c r="C78" i="1" s="1"/>
  <c r="G52" i="1"/>
  <c r="G18" i="1"/>
  <c r="J16" i="1"/>
  <c r="L51" i="34" a="1"/>
  <c r="L50" i="34" a="1"/>
  <c r="L147" i="34" a="1"/>
  <c r="L113" i="34" a="1"/>
  <c r="L18" i="34" a="1"/>
  <c r="L114" i="34" a="1"/>
  <c r="L82" i="34" a="1"/>
  <c r="L146" i="33" a="1"/>
  <c r="L145" i="33" a="1"/>
  <c r="L82" i="33" a="1"/>
  <c r="L19" i="33" a="1"/>
  <c r="L114" i="33" a="1"/>
  <c r="L83" i="33" a="1"/>
  <c r="L50" i="33" a="1"/>
  <c r="L20" i="32" a="1"/>
  <c r="L144" i="32" a="1"/>
  <c r="L81" i="32" a="1"/>
  <c r="L145" i="31" a="1"/>
  <c r="L18" i="31" a="1"/>
  <c r="L114" i="31" a="1"/>
  <c r="L113" i="31" a="1"/>
  <c r="L19" i="31" a="1"/>
  <c r="L23" i="30" a="1"/>
  <c r="L22" i="30" a="1"/>
  <c r="L147" i="30" a="1"/>
  <c r="L82" i="30" a="1"/>
  <c r="L49" i="29" a="1"/>
  <c r="L113" i="29" a="1"/>
  <c r="L112" i="29" a="1"/>
  <c r="L22" i="29" a="1"/>
  <c r="L81" i="29" a="1"/>
  <c r="L80" i="29" a="1"/>
  <c r="L114" i="28" a="1"/>
  <c r="L113" i="28" a="1"/>
  <c r="L147" i="28" a="1"/>
  <c r="L82" i="28" a="1"/>
  <c r="L49" i="27" a="1"/>
  <c r="L19" i="27" a="1"/>
  <c r="L81" i="27" a="1"/>
  <c r="L143" i="26" a="1"/>
  <c r="L21" i="26" a="1"/>
  <c r="L114" i="26" a="1"/>
  <c r="L142" i="26" a="1"/>
  <c r="L81" i="26" a="1"/>
  <c r="L146" i="25" a="1"/>
  <c r="L145" i="25" a="1"/>
  <c r="L20" i="25" a="1"/>
  <c r="L19" i="25" a="1"/>
  <c r="L50" i="24" a="1"/>
  <c r="L147" i="24" a="1"/>
  <c r="L81" i="24" a="1"/>
  <c r="L20" i="24" a="1"/>
  <c r="L143" i="23" a="1"/>
  <c r="L80" i="23" a="1"/>
  <c r="L81" i="23" a="1"/>
  <c r="L144" i="23" a="1"/>
  <c r="L50" i="22" a="1"/>
  <c r="L142" i="22" a="1"/>
  <c r="L84" i="22" a="1"/>
  <c r="L81" i="21" a="1"/>
  <c r="L51" i="21" a="1"/>
  <c r="L114" i="21" a="1"/>
  <c r="L113" i="21" a="1"/>
  <c r="L145" i="21" a="1"/>
  <c r="K111" i="1" a="1"/>
  <c r="K143" i="1" a="1"/>
  <c r="K142" i="1" a="1"/>
  <c r="K112" i="1" a="1"/>
  <c r="K80" i="1" a="1"/>
  <c r="K16" i="1" a="1"/>
  <c r="L82" i="34" l="1"/>
  <c r="M82" i="34" s="1"/>
  <c r="L114" i="34"/>
  <c r="M114" i="34" s="1"/>
  <c r="L18" i="34"/>
  <c r="M18" i="34" s="1"/>
  <c r="L113" i="34"/>
  <c r="M113" i="34" s="1"/>
  <c r="L147" i="34"/>
  <c r="M147" i="34" s="1"/>
  <c r="L50" i="34"/>
  <c r="M50" i="34" s="1"/>
  <c r="L51" i="34"/>
  <c r="M51" i="34" s="1"/>
  <c r="G21" i="34"/>
  <c r="K20" i="34"/>
  <c r="K19" i="34"/>
  <c r="G84" i="34"/>
  <c r="K83" i="34"/>
  <c r="G116" i="34"/>
  <c r="K115" i="34"/>
  <c r="G149" i="34"/>
  <c r="G53" i="34"/>
  <c r="K52" i="34"/>
  <c r="B82" i="34"/>
  <c r="C82" i="34" s="1"/>
  <c r="B147" i="34"/>
  <c r="C147" i="34" s="1"/>
  <c r="B146" i="34"/>
  <c r="C146" i="34" s="1"/>
  <c r="B145" i="34"/>
  <c r="C145" i="34" s="1"/>
  <c r="B49" i="34"/>
  <c r="C49" i="34" s="1"/>
  <c r="L50" i="33"/>
  <c r="M50" i="33" s="1"/>
  <c r="L83" i="33"/>
  <c r="M83" i="33" s="1"/>
  <c r="L114" i="33"/>
  <c r="M114" i="33" s="1"/>
  <c r="B114" i="33" s="1"/>
  <c r="C114" i="33" s="1"/>
  <c r="L19" i="33"/>
  <c r="M19" i="33" s="1"/>
  <c r="B19" i="33" s="1"/>
  <c r="C19" i="33" s="1"/>
  <c r="L82" i="33"/>
  <c r="M82" i="33" s="1"/>
  <c r="L145" i="33"/>
  <c r="M145" i="33" s="1"/>
  <c r="L146" i="33"/>
  <c r="M146" i="33" s="1"/>
  <c r="G116" i="33"/>
  <c r="K115" i="33"/>
  <c r="G148" i="33"/>
  <c r="K147" i="33"/>
  <c r="B50" i="33"/>
  <c r="C50" i="33" s="1"/>
  <c r="G21" i="33"/>
  <c r="G52" i="33"/>
  <c r="K51" i="33"/>
  <c r="G85" i="33"/>
  <c r="K84" i="33" s="1"/>
  <c r="L81" i="32"/>
  <c r="M81" i="32" s="1"/>
  <c r="B81" i="32" s="1"/>
  <c r="C81" i="32" s="1"/>
  <c r="L144" i="32"/>
  <c r="M144" i="32" s="1"/>
  <c r="B144" i="32" s="1"/>
  <c r="C144" i="32" s="1"/>
  <c r="L20" i="32"/>
  <c r="M20" i="32" s="1"/>
  <c r="B20" i="32" s="1"/>
  <c r="C20" i="32" s="1"/>
  <c r="G115" i="32"/>
  <c r="K114" i="32"/>
  <c r="K113" i="32"/>
  <c r="G146" i="32"/>
  <c r="G22" i="32"/>
  <c r="G52" i="32"/>
  <c r="K51" i="32"/>
  <c r="K50" i="32"/>
  <c r="G83" i="32"/>
  <c r="K82" i="32"/>
  <c r="B143" i="32"/>
  <c r="C143" i="32" s="1"/>
  <c r="B142" i="32"/>
  <c r="C142" i="32" s="1"/>
  <c r="B19" i="32"/>
  <c r="C19" i="32" s="1"/>
  <c r="B18" i="32"/>
  <c r="C18" i="32" s="1"/>
  <c r="B112" i="32"/>
  <c r="C112" i="32" s="1"/>
  <c r="B80" i="32"/>
  <c r="C80" i="32" s="1"/>
  <c r="B79" i="32"/>
  <c r="C79" i="32" s="1"/>
  <c r="L19" i="31"/>
  <c r="M19" i="31" s="1"/>
  <c r="L113" i="31"/>
  <c r="M113" i="31" s="1"/>
  <c r="L114" i="31"/>
  <c r="M114" i="31" s="1"/>
  <c r="L18" i="31"/>
  <c r="M18" i="31" s="1"/>
  <c r="L145" i="31"/>
  <c r="M145" i="31" s="1"/>
  <c r="G52" i="31"/>
  <c r="K51" i="31"/>
  <c r="K50" i="31"/>
  <c r="G84" i="31"/>
  <c r="K83" i="31" s="1"/>
  <c r="G21" i="31"/>
  <c r="K20" i="31"/>
  <c r="B112" i="25"/>
  <c r="C112" i="25" s="1"/>
  <c r="G116" i="31"/>
  <c r="K115" i="31"/>
  <c r="G148" i="31"/>
  <c r="K147" i="31"/>
  <c r="K82" i="31"/>
  <c r="K146" i="31"/>
  <c r="L82" i="30"/>
  <c r="M82" i="30" s="1"/>
  <c r="L147" i="30"/>
  <c r="M147" i="30" s="1"/>
  <c r="B147" i="30" s="1"/>
  <c r="C147" i="30" s="1"/>
  <c r="L22" i="30"/>
  <c r="M22" i="30" s="1"/>
  <c r="B22" i="30" s="1"/>
  <c r="C22" i="30" s="1"/>
  <c r="L23" i="30"/>
  <c r="M23" i="30" s="1"/>
  <c r="G115" i="30"/>
  <c r="K114" i="30"/>
  <c r="G149" i="30"/>
  <c r="K148" i="30"/>
  <c r="K51" i="30"/>
  <c r="G52" i="30"/>
  <c r="B112" i="30"/>
  <c r="C112" i="30" s="1"/>
  <c r="K113" i="30"/>
  <c r="G84" i="30"/>
  <c r="K83" i="30"/>
  <c r="G25" i="30"/>
  <c r="K50" i="30"/>
  <c r="B21" i="30"/>
  <c r="C21" i="30" s="1"/>
  <c r="B146" i="30"/>
  <c r="C146" i="30" s="1"/>
  <c r="B145" i="30"/>
  <c r="C145" i="30" s="1"/>
  <c r="L80" i="29"/>
  <c r="M80" i="29" s="1"/>
  <c r="B80" i="29" s="1"/>
  <c r="C80" i="29" s="1"/>
  <c r="L81" i="29"/>
  <c r="M81" i="29" s="1"/>
  <c r="L22" i="29"/>
  <c r="M22" i="29" s="1"/>
  <c r="L112" i="29"/>
  <c r="M112" i="29" s="1"/>
  <c r="L113" i="29"/>
  <c r="M113" i="29" s="1"/>
  <c r="L49" i="29"/>
  <c r="M49" i="29" s="1"/>
  <c r="B49" i="29" s="1"/>
  <c r="C49" i="29" s="1"/>
  <c r="G115" i="29"/>
  <c r="K114" i="29"/>
  <c r="G83" i="29"/>
  <c r="G25" i="29"/>
  <c r="K23" i="29"/>
  <c r="G52" i="29"/>
  <c r="K50" i="29"/>
  <c r="G147" i="29"/>
  <c r="K145" i="29"/>
  <c r="B48" i="29"/>
  <c r="C48" i="29" s="1"/>
  <c r="B79" i="29"/>
  <c r="C79" i="29" s="1"/>
  <c r="L82" i="28"/>
  <c r="M82" i="28" s="1"/>
  <c r="B82" i="28" s="1"/>
  <c r="C82" i="28" s="1"/>
  <c r="L147" i="28"/>
  <c r="M147" i="28" s="1"/>
  <c r="L113" i="28"/>
  <c r="M113" i="28" s="1"/>
  <c r="L114" i="28"/>
  <c r="M114" i="28" s="1"/>
  <c r="G84" i="28"/>
  <c r="K83" i="28"/>
  <c r="G52" i="28"/>
  <c r="K51" i="28"/>
  <c r="K50" i="28"/>
  <c r="B81" i="28"/>
  <c r="C81" i="28" s="1"/>
  <c r="G21" i="28"/>
  <c r="K20" i="28"/>
  <c r="K19" i="28"/>
  <c r="G149" i="28"/>
  <c r="K148" i="28"/>
  <c r="G116" i="28"/>
  <c r="K115" i="28"/>
  <c r="B146" i="28"/>
  <c r="C146" i="28" s="1"/>
  <c r="B145" i="28"/>
  <c r="C145" i="28" s="1"/>
  <c r="B18" i="28"/>
  <c r="C18" i="28" s="1"/>
  <c r="L81" i="27"/>
  <c r="M81" i="27" s="1"/>
  <c r="B81" i="27" s="1"/>
  <c r="C81" i="27" s="1"/>
  <c r="L19" i="27"/>
  <c r="M19" i="27" s="1"/>
  <c r="B19" i="27" s="1"/>
  <c r="C19" i="27" s="1"/>
  <c r="L49" i="27"/>
  <c r="M49" i="27" s="1"/>
  <c r="G114" i="27"/>
  <c r="G83" i="27"/>
  <c r="K82" i="27"/>
  <c r="G52" i="27"/>
  <c r="K50" i="27"/>
  <c r="G21" i="27"/>
  <c r="K20" i="27" s="1"/>
  <c r="G147" i="27"/>
  <c r="K146" i="27"/>
  <c r="K145" i="27"/>
  <c r="B80" i="27"/>
  <c r="C80" i="27" s="1"/>
  <c r="B111" i="25"/>
  <c r="C111" i="25" s="1"/>
  <c r="K112" i="27"/>
  <c r="L81" i="26"/>
  <c r="M81" i="26" s="1"/>
  <c r="B81" i="26" s="1"/>
  <c r="C81" i="26" s="1"/>
  <c r="L142" i="26"/>
  <c r="M142" i="26" s="1"/>
  <c r="L114" i="26"/>
  <c r="M114" i="26" s="1"/>
  <c r="L21" i="26"/>
  <c r="M21" i="26" s="1"/>
  <c r="L143" i="26"/>
  <c r="M143" i="26" s="1"/>
  <c r="G23" i="26"/>
  <c r="G83" i="26"/>
  <c r="K82" i="26"/>
  <c r="B80" i="26"/>
  <c r="C80" i="26" s="1"/>
  <c r="B79" i="26"/>
  <c r="C79" i="26" s="1"/>
  <c r="B20" i="26"/>
  <c r="C20" i="26" s="1"/>
  <c r="B19" i="26"/>
  <c r="C19" i="26" s="1"/>
  <c r="G52" i="26"/>
  <c r="K51" i="26"/>
  <c r="K50" i="26"/>
  <c r="G145" i="26"/>
  <c r="K144" i="26"/>
  <c r="G116" i="26"/>
  <c r="B113" i="26"/>
  <c r="C113" i="26" s="1"/>
  <c r="B112" i="26"/>
  <c r="C112" i="26" s="1"/>
  <c r="L19" i="25"/>
  <c r="M19" i="25" s="1"/>
  <c r="B19" i="25" s="1"/>
  <c r="C19" i="25" s="1"/>
  <c r="L20" i="25"/>
  <c r="M20" i="25" s="1"/>
  <c r="L145" i="25"/>
  <c r="M145" i="25" s="1"/>
  <c r="L146" i="25"/>
  <c r="M146" i="25" s="1"/>
  <c r="G52" i="25"/>
  <c r="K51" i="25"/>
  <c r="K50" i="25"/>
  <c r="G22" i="25"/>
  <c r="G86" i="25"/>
  <c r="K85" i="25"/>
  <c r="K84" i="25"/>
  <c r="G115" i="25"/>
  <c r="K114" i="25"/>
  <c r="K113" i="25"/>
  <c r="G148" i="25"/>
  <c r="K147" i="25"/>
  <c r="B18" i="25"/>
  <c r="C18" i="25" s="1"/>
  <c r="B49" i="25"/>
  <c r="C49" i="25" s="1"/>
  <c r="B83" i="25"/>
  <c r="C83" i="25" s="1"/>
  <c r="B82" i="25"/>
  <c r="C82" i="25" s="1"/>
  <c r="L20" i="24"/>
  <c r="M20" i="24" s="1"/>
  <c r="B20" i="24" s="1"/>
  <c r="C20" i="24" s="1"/>
  <c r="L81" i="24"/>
  <c r="M81" i="24" s="1"/>
  <c r="B81" i="24" s="1"/>
  <c r="C81" i="24" s="1"/>
  <c r="L147" i="24"/>
  <c r="M147" i="24" s="1"/>
  <c r="B147" i="24" s="1"/>
  <c r="C147" i="24" s="1"/>
  <c r="L50" i="24"/>
  <c r="M50" i="24" s="1"/>
  <c r="B50" i="24" s="1"/>
  <c r="C50" i="24" s="1"/>
  <c r="G22" i="24"/>
  <c r="K82" i="24"/>
  <c r="G83" i="24"/>
  <c r="G149" i="24"/>
  <c r="K148" i="24"/>
  <c r="G115" i="24"/>
  <c r="K114" i="24"/>
  <c r="K113" i="24"/>
  <c r="G52" i="24"/>
  <c r="K51" i="24"/>
  <c r="B19" i="24"/>
  <c r="C19" i="24" s="1"/>
  <c r="B18" i="24"/>
  <c r="C18" i="24" s="1"/>
  <c r="B146" i="24"/>
  <c r="C146" i="24" s="1"/>
  <c r="B145" i="24"/>
  <c r="C145" i="24" s="1"/>
  <c r="B80" i="24"/>
  <c r="C80" i="24" s="1"/>
  <c r="B79" i="24"/>
  <c r="C79" i="24" s="1"/>
  <c r="L144" i="23"/>
  <c r="M144" i="23" s="1"/>
  <c r="L81" i="23"/>
  <c r="M81" i="23" s="1"/>
  <c r="L80" i="23"/>
  <c r="M80" i="23" s="1"/>
  <c r="L143" i="23"/>
  <c r="M143" i="23" s="1"/>
  <c r="B143" i="23" s="1"/>
  <c r="C143" i="23" s="1"/>
  <c r="G115" i="23"/>
  <c r="K114" i="23"/>
  <c r="K113" i="23"/>
  <c r="G83" i="23"/>
  <c r="K82" i="23"/>
  <c r="B142" i="23"/>
  <c r="C142" i="23" s="1"/>
  <c r="G146" i="23"/>
  <c r="G52" i="23"/>
  <c r="K51" i="23"/>
  <c r="K50" i="23"/>
  <c r="G22" i="23"/>
  <c r="K20" i="23"/>
  <c r="B49" i="23"/>
  <c r="C49" i="23" s="1"/>
  <c r="B19" i="23"/>
  <c r="C19" i="23" s="1"/>
  <c r="B79" i="23"/>
  <c r="C79" i="23" s="1"/>
  <c r="L84" i="22"/>
  <c r="M84" i="22" s="1"/>
  <c r="B84" i="22" s="1"/>
  <c r="C84" i="22" s="1"/>
  <c r="L142" i="22"/>
  <c r="M142" i="22" s="1"/>
  <c r="L50" i="22"/>
  <c r="M50" i="22" s="1"/>
  <c r="G86" i="22"/>
  <c r="G145" i="22"/>
  <c r="K144" i="22"/>
  <c r="K143" i="22"/>
  <c r="G22" i="22"/>
  <c r="K21" i="22"/>
  <c r="K20" i="22"/>
  <c r="G52" i="22"/>
  <c r="G114" i="22"/>
  <c r="K113" i="22"/>
  <c r="K112" i="22"/>
  <c r="B83" i="22"/>
  <c r="C83" i="22" s="1"/>
  <c r="B82" i="22"/>
  <c r="C82" i="22" s="1"/>
  <c r="B111" i="22"/>
  <c r="C111" i="22" s="1"/>
  <c r="B49" i="22"/>
  <c r="C49" i="22" s="1"/>
  <c r="B48" i="22"/>
  <c r="C48" i="22" s="1"/>
  <c r="L145" i="21"/>
  <c r="M145" i="21" s="1"/>
  <c r="B145" i="21" s="1"/>
  <c r="C145" i="21" s="1"/>
  <c r="L113" i="21"/>
  <c r="M113" i="21" s="1"/>
  <c r="L114" i="21"/>
  <c r="M114" i="21" s="1"/>
  <c r="L51" i="21"/>
  <c r="M51" i="21" s="1"/>
  <c r="B51" i="21" s="1"/>
  <c r="C51" i="21" s="1"/>
  <c r="L81" i="21"/>
  <c r="M81" i="21" s="1"/>
  <c r="G53" i="21"/>
  <c r="K52" i="21" s="1"/>
  <c r="G147" i="21"/>
  <c r="K146" i="21"/>
  <c r="G116" i="21"/>
  <c r="K115" i="21" s="1"/>
  <c r="G84" i="21"/>
  <c r="G22" i="21"/>
  <c r="K20" i="21"/>
  <c r="K82" i="21"/>
  <c r="B112" i="21"/>
  <c r="C112" i="21" s="1"/>
  <c r="M144" i="8"/>
  <c r="M49" i="8"/>
  <c r="M53" i="9"/>
  <c r="B53" i="9" s="1"/>
  <c r="C53" i="9" s="1"/>
  <c r="M81" i="9"/>
  <c r="B81" i="9" s="1"/>
  <c r="C81" i="9" s="1"/>
  <c r="M115" i="9"/>
  <c r="B115" i="9" s="1"/>
  <c r="C115" i="9" s="1"/>
  <c r="M142" i="9"/>
  <c r="K16" i="1"/>
  <c r="K80" i="1"/>
  <c r="L80" i="1" s="1"/>
  <c r="K112" i="1"/>
  <c r="L112" i="1" s="1"/>
  <c r="K142" i="1"/>
  <c r="L142" i="1" s="1"/>
  <c r="K143" i="1"/>
  <c r="L143" i="1" s="1"/>
  <c r="K111" i="1"/>
  <c r="L111" i="1" s="1"/>
  <c r="B18" i="3"/>
  <c r="M144" i="4"/>
  <c r="M144" i="3"/>
  <c r="B144" i="3" s="1"/>
  <c r="C144" i="3" s="1"/>
  <c r="G145" i="9"/>
  <c r="K144" i="9"/>
  <c r="B114" i="9"/>
  <c r="C114" i="9" s="1"/>
  <c r="B113" i="9"/>
  <c r="C113" i="9" s="1"/>
  <c r="G117" i="9"/>
  <c r="K116" i="9"/>
  <c r="G83" i="9"/>
  <c r="K82" i="9"/>
  <c r="K143" i="9"/>
  <c r="G55" i="9"/>
  <c r="K54" i="9"/>
  <c r="G21" i="9"/>
  <c r="K20" i="9"/>
  <c r="K19" i="9"/>
  <c r="M19" i="8"/>
  <c r="M81" i="8"/>
  <c r="B81" i="8" s="1"/>
  <c r="C81" i="8" s="1"/>
  <c r="M18" i="8"/>
  <c r="M112" i="8"/>
  <c r="B112" i="8" s="1"/>
  <c r="C112" i="8" s="1"/>
  <c r="M143" i="8"/>
  <c r="B143" i="8" s="1"/>
  <c r="C143" i="8" s="1"/>
  <c r="M50" i="8"/>
  <c r="G83" i="8"/>
  <c r="K82" i="8"/>
  <c r="G114" i="8"/>
  <c r="G52" i="8"/>
  <c r="K51" i="8"/>
  <c r="G146" i="8"/>
  <c r="B142" i="8"/>
  <c r="C142" i="8" s="1"/>
  <c r="G21" i="8"/>
  <c r="K20" i="8"/>
  <c r="M143" i="4"/>
  <c r="B143" i="4" s="1"/>
  <c r="C143" i="4" s="1"/>
  <c r="M50" i="4"/>
  <c r="M49" i="4"/>
  <c r="G21" i="4"/>
  <c r="K20" i="4"/>
  <c r="K19" i="4"/>
  <c r="G117" i="4"/>
  <c r="K116" i="4"/>
  <c r="K115" i="4"/>
  <c r="G85" i="4"/>
  <c r="K84" i="4"/>
  <c r="K83" i="4"/>
  <c r="B114" i="4"/>
  <c r="C114" i="4" s="1"/>
  <c r="B48" i="4"/>
  <c r="C48" i="4" s="1"/>
  <c r="G52" i="4"/>
  <c r="K51" i="4"/>
  <c r="G146" i="4"/>
  <c r="K145" i="4" s="1"/>
  <c r="B142" i="4"/>
  <c r="C142" i="4" s="1"/>
  <c r="M20" i="3"/>
  <c r="M83" i="3"/>
  <c r="B83" i="3" s="1"/>
  <c r="C83" i="3" s="1"/>
  <c r="M53" i="3"/>
  <c r="M19" i="3"/>
  <c r="M112" i="3"/>
  <c r="B112" i="3" s="1"/>
  <c r="C112" i="3" s="1"/>
  <c r="M52" i="3"/>
  <c r="G146" i="3"/>
  <c r="G22" i="3"/>
  <c r="B51" i="3"/>
  <c r="C51" i="3" s="1"/>
  <c r="G55" i="3"/>
  <c r="K54" i="3"/>
  <c r="C18" i="3"/>
  <c r="B143" i="3"/>
  <c r="C143" i="3" s="1"/>
  <c r="B142" i="3"/>
  <c r="C142" i="3" s="1"/>
  <c r="G85" i="3"/>
  <c r="K84" i="3"/>
  <c r="G114" i="3"/>
  <c r="K113" i="3" s="1"/>
  <c r="L112" i="2"/>
  <c r="B112" i="2" s="1"/>
  <c r="C112" i="2" s="1"/>
  <c r="L50" i="2"/>
  <c r="L142" i="2"/>
  <c r="L19" i="2"/>
  <c r="B19" i="2" s="1"/>
  <c r="C19" i="2" s="1"/>
  <c r="L143" i="2"/>
  <c r="L83" i="2"/>
  <c r="B83" i="2" s="1"/>
  <c r="C83" i="2" s="1"/>
  <c r="L49" i="2"/>
  <c r="G114" i="2"/>
  <c r="J113" i="2"/>
  <c r="G21" i="2"/>
  <c r="J20" i="2"/>
  <c r="G52" i="2"/>
  <c r="J51" i="2"/>
  <c r="J144" i="2"/>
  <c r="G145" i="2"/>
  <c r="B82" i="2"/>
  <c r="C82" i="2" s="1"/>
  <c r="B81" i="2"/>
  <c r="C81" i="2" s="1"/>
  <c r="G85" i="2"/>
  <c r="J84" i="2"/>
  <c r="G145" i="1"/>
  <c r="J144" i="1"/>
  <c r="B141" i="1"/>
  <c r="C141" i="1" s="1"/>
  <c r="G114" i="1"/>
  <c r="J113" i="1"/>
  <c r="G83" i="1"/>
  <c r="J82" i="1"/>
  <c r="J81" i="1"/>
  <c r="G53" i="1"/>
  <c r="J51" i="1"/>
  <c r="G19" i="1"/>
  <c r="J18" i="1" s="1"/>
  <c r="J17" i="1"/>
  <c r="L20" i="34" a="1"/>
  <c r="L19" i="34" a="1"/>
  <c r="L83" i="34" a="1"/>
  <c r="L115" i="34" a="1"/>
  <c r="L52" i="34" a="1"/>
  <c r="L51" i="33" a="1"/>
  <c r="L115" i="33" a="1"/>
  <c r="L147" i="33" a="1"/>
  <c r="L84" i="33" a="1"/>
  <c r="L114" i="32" a="1"/>
  <c r="L113" i="32" a="1"/>
  <c r="L82" i="32" a="1"/>
  <c r="L51" i="32" a="1"/>
  <c r="L50" i="32" a="1"/>
  <c r="L51" i="31" a="1"/>
  <c r="L50" i="31" a="1"/>
  <c r="L20" i="31" a="1"/>
  <c r="L115" i="31" a="1"/>
  <c r="L147" i="31" a="1"/>
  <c r="L82" i="31" a="1"/>
  <c r="L146" i="31" a="1"/>
  <c r="L83" i="31" a="1"/>
  <c r="L114" i="30" a="1"/>
  <c r="L51" i="30" a="1"/>
  <c r="L113" i="30" a="1"/>
  <c r="L83" i="30" a="1"/>
  <c r="L50" i="30" a="1"/>
  <c r="L148" i="30" a="1"/>
  <c r="L114" i="29" a="1"/>
  <c r="L23" i="29" a="1"/>
  <c r="L50" i="29" a="1"/>
  <c r="L145" i="29" a="1"/>
  <c r="L50" i="28" a="1"/>
  <c r="L20" i="28" a="1"/>
  <c r="L19" i="28" a="1"/>
  <c r="L148" i="28" a="1"/>
  <c r="L115" i="28" a="1"/>
  <c r="L83" i="28" a="1"/>
  <c r="L51" i="28" a="1"/>
  <c r="L82" i="27" a="1"/>
  <c r="L146" i="27" a="1"/>
  <c r="L145" i="27" a="1"/>
  <c r="L50" i="27" a="1"/>
  <c r="L112" i="27" a="1"/>
  <c r="L20" i="27" a="1"/>
  <c r="L51" i="26" a="1"/>
  <c r="L50" i="26" a="1"/>
  <c r="L144" i="26" a="1"/>
  <c r="L82" i="26" a="1"/>
  <c r="L51" i="25" a="1"/>
  <c r="L50" i="25" a="1"/>
  <c r="L85" i="25" a="1"/>
  <c r="L84" i="25" a="1"/>
  <c r="L114" i="25" a="1"/>
  <c r="L113" i="25" a="1"/>
  <c r="L147" i="25" a="1"/>
  <c r="L113" i="24" a="1"/>
  <c r="L82" i="24" a="1"/>
  <c r="L148" i="24" a="1"/>
  <c r="L114" i="24" a="1"/>
  <c r="L51" i="24" a="1"/>
  <c r="L114" i="23" a="1"/>
  <c r="L113" i="23" a="1"/>
  <c r="L82" i="23" a="1"/>
  <c r="L51" i="23" a="1"/>
  <c r="L50" i="23" a="1"/>
  <c r="L20" i="23" a="1"/>
  <c r="L144" i="22" a="1"/>
  <c r="L143" i="22" a="1"/>
  <c r="L21" i="22" a="1"/>
  <c r="L20" i="22" a="1"/>
  <c r="L113" i="22" a="1"/>
  <c r="L112" i="22" a="1"/>
  <c r="L146" i="21" a="1"/>
  <c r="L20" i="21" a="1"/>
  <c r="L82" i="21" a="1"/>
  <c r="L52" i="21" a="1"/>
  <c r="L115" i="21" a="1"/>
  <c r="K144" i="1" a="1"/>
  <c r="K82" i="1" a="1"/>
  <c r="K51" i="1" a="1"/>
  <c r="K113" i="1" a="1"/>
  <c r="K81" i="1" a="1"/>
  <c r="K18" i="1" a="1"/>
  <c r="K17" i="1" a="1"/>
  <c r="L52" i="34" l="1"/>
  <c r="M52" i="34" s="1"/>
  <c r="B52" i="34" s="1"/>
  <c r="C52" i="34" s="1"/>
  <c r="L115" i="34"/>
  <c r="M115" i="34" s="1"/>
  <c r="L83" i="34"/>
  <c r="M83" i="34" s="1"/>
  <c r="L19" i="34"/>
  <c r="M19" i="34" s="1"/>
  <c r="L20" i="34"/>
  <c r="M20" i="34" s="1"/>
  <c r="G54" i="34"/>
  <c r="G150" i="34"/>
  <c r="K149" i="34"/>
  <c r="K148" i="34"/>
  <c r="G117" i="34"/>
  <c r="G85" i="34"/>
  <c r="G22" i="34"/>
  <c r="B51" i="34"/>
  <c r="C51" i="34" s="1"/>
  <c r="B114" i="34"/>
  <c r="C114" i="34" s="1"/>
  <c r="B113" i="34"/>
  <c r="C113" i="34" s="1"/>
  <c r="B50" i="34"/>
  <c r="C50" i="34" s="1"/>
  <c r="B18" i="34"/>
  <c r="C18" i="34" s="1"/>
  <c r="B115" i="34"/>
  <c r="C115" i="34" s="1"/>
  <c r="B83" i="34"/>
  <c r="C83" i="34" s="1"/>
  <c r="L84" i="33"/>
  <c r="M84" i="33" s="1"/>
  <c r="B84" i="33" s="1"/>
  <c r="C84" i="33" s="1"/>
  <c r="L147" i="33"/>
  <c r="M147" i="33" s="1"/>
  <c r="B147" i="33" s="1"/>
  <c r="C147" i="33" s="1"/>
  <c r="L115" i="33"/>
  <c r="M115" i="33" s="1"/>
  <c r="B115" i="33" s="1"/>
  <c r="C115" i="33" s="1"/>
  <c r="L51" i="33"/>
  <c r="M51" i="33" s="1"/>
  <c r="G53" i="33"/>
  <c r="K52" i="33"/>
  <c r="G149" i="33"/>
  <c r="K148" i="33"/>
  <c r="G86" i="33"/>
  <c r="K85" i="33"/>
  <c r="G22" i="33"/>
  <c r="K20" i="33"/>
  <c r="G117" i="33"/>
  <c r="B146" i="33"/>
  <c r="C146" i="33" s="1"/>
  <c r="B145" i="33"/>
  <c r="C145" i="33" s="1"/>
  <c r="B83" i="33"/>
  <c r="C83" i="33" s="1"/>
  <c r="B82" i="33"/>
  <c r="C82" i="33" s="1"/>
  <c r="B51" i="33"/>
  <c r="C51" i="33" s="1"/>
  <c r="L50" i="32"/>
  <c r="M50" i="32" s="1"/>
  <c r="L51" i="32"/>
  <c r="M51" i="32" s="1"/>
  <c r="L82" i="32"/>
  <c r="M82" i="32" s="1"/>
  <c r="B82" i="32" s="1"/>
  <c r="C82" i="32" s="1"/>
  <c r="L113" i="32"/>
  <c r="M113" i="32" s="1"/>
  <c r="L114" i="32"/>
  <c r="M114" i="32" s="1"/>
  <c r="G53" i="32"/>
  <c r="K52" i="32"/>
  <c r="G84" i="32"/>
  <c r="K83" i="32"/>
  <c r="G23" i="32"/>
  <c r="K22" i="32" s="1"/>
  <c r="K21" i="32"/>
  <c r="G147" i="32"/>
  <c r="K146" i="32"/>
  <c r="K145" i="32"/>
  <c r="G116" i="32"/>
  <c r="K115" i="32"/>
  <c r="L83" i="31"/>
  <c r="M83" i="31" s="1"/>
  <c r="L146" i="31"/>
  <c r="M146" i="31" s="1"/>
  <c r="B146" i="31" s="1"/>
  <c r="C146" i="31" s="1"/>
  <c r="L82" i="31"/>
  <c r="M82" i="31" s="1"/>
  <c r="L147" i="31"/>
  <c r="M147" i="31" s="1"/>
  <c r="L115" i="31"/>
  <c r="M115" i="31" s="1"/>
  <c r="B115" i="31" s="1"/>
  <c r="C115" i="31" s="1"/>
  <c r="L20" i="31"/>
  <c r="M20" i="31" s="1"/>
  <c r="B20" i="31" s="1"/>
  <c r="C20" i="31" s="1"/>
  <c r="L50" i="31"/>
  <c r="M50" i="31" s="1"/>
  <c r="L51" i="31"/>
  <c r="M51" i="31" s="1"/>
  <c r="G149" i="31"/>
  <c r="K148" i="31"/>
  <c r="G117" i="31"/>
  <c r="K116" i="31" s="1"/>
  <c r="G22" i="31"/>
  <c r="G85" i="31"/>
  <c r="G53" i="31"/>
  <c r="K52" i="31"/>
  <c r="B145" i="31"/>
  <c r="C145" i="31" s="1"/>
  <c r="B19" i="31"/>
  <c r="C19" i="31" s="1"/>
  <c r="B18" i="31"/>
  <c r="C18" i="31" s="1"/>
  <c r="B114" i="31"/>
  <c r="C114" i="31" s="1"/>
  <c r="B113" i="31"/>
  <c r="C113" i="31" s="1"/>
  <c r="L148" i="30"/>
  <c r="M148" i="30" s="1"/>
  <c r="B148" i="30" s="1"/>
  <c r="C148" i="30" s="1"/>
  <c r="L50" i="30"/>
  <c r="M50" i="30" s="1"/>
  <c r="L83" i="30"/>
  <c r="M83" i="30" s="1"/>
  <c r="B83" i="30" s="1"/>
  <c r="C83" i="30" s="1"/>
  <c r="L113" i="30"/>
  <c r="M113" i="30" s="1"/>
  <c r="L51" i="30"/>
  <c r="M51" i="30" s="1"/>
  <c r="L114" i="30"/>
  <c r="M114" i="30" s="1"/>
  <c r="G150" i="30"/>
  <c r="K149" i="30"/>
  <c r="G26" i="30"/>
  <c r="K24" i="30"/>
  <c r="G85" i="30"/>
  <c r="G53" i="30"/>
  <c r="B82" i="30"/>
  <c r="C82" i="30" s="1"/>
  <c r="G116" i="30"/>
  <c r="K115" i="30"/>
  <c r="B23" i="30"/>
  <c r="C23" i="30" s="1"/>
  <c r="B81" i="23"/>
  <c r="C81" i="23" s="1"/>
  <c r="L145" i="29"/>
  <c r="M145" i="29" s="1"/>
  <c r="L50" i="29"/>
  <c r="M50" i="29" s="1"/>
  <c r="B50" i="29" s="1"/>
  <c r="C50" i="29" s="1"/>
  <c r="L23" i="29"/>
  <c r="M23" i="29" s="1"/>
  <c r="B23" i="29" s="1"/>
  <c r="C23" i="29" s="1"/>
  <c r="L114" i="29"/>
  <c r="M114" i="29" s="1"/>
  <c r="B114" i="29" s="1"/>
  <c r="C114" i="29" s="1"/>
  <c r="G148" i="29"/>
  <c r="K147" i="29"/>
  <c r="K146" i="29"/>
  <c r="G53" i="29"/>
  <c r="K52" i="29"/>
  <c r="K51" i="29"/>
  <c r="G26" i="29"/>
  <c r="K25" i="29"/>
  <c r="K24" i="29"/>
  <c r="G84" i="29"/>
  <c r="K83" i="29"/>
  <c r="K82" i="29"/>
  <c r="G116" i="29"/>
  <c r="K115" i="29"/>
  <c r="B113" i="29"/>
  <c r="C113" i="29" s="1"/>
  <c r="B112" i="29"/>
  <c r="C112" i="29" s="1"/>
  <c r="B22" i="29"/>
  <c r="C22" i="29" s="1"/>
  <c r="B81" i="29"/>
  <c r="C81" i="29" s="1"/>
  <c r="L51" i="28"/>
  <c r="M51" i="28" s="1"/>
  <c r="L83" i="28"/>
  <c r="M83" i="28" s="1"/>
  <c r="B83" i="28" s="1"/>
  <c r="C83" i="28" s="1"/>
  <c r="L115" i="28"/>
  <c r="M115" i="28" s="1"/>
  <c r="L148" i="28"/>
  <c r="M148" i="28" s="1"/>
  <c r="L19" i="28"/>
  <c r="M19" i="28" s="1"/>
  <c r="L20" i="28"/>
  <c r="M20" i="28" s="1"/>
  <c r="L50" i="28"/>
  <c r="M50" i="28" s="1"/>
  <c r="G53" i="28"/>
  <c r="K52" i="28"/>
  <c r="G85" i="28"/>
  <c r="B114" i="28"/>
  <c r="C114" i="28" s="1"/>
  <c r="B113" i="28"/>
  <c r="C113" i="28" s="1"/>
  <c r="G117" i="28"/>
  <c r="G150" i="28"/>
  <c r="K149" i="28"/>
  <c r="G22" i="28"/>
  <c r="B147" i="28"/>
  <c r="C147" i="28" s="1"/>
  <c r="L20" i="27"/>
  <c r="M20" i="27" s="1"/>
  <c r="B20" i="27" s="1"/>
  <c r="C20" i="27" s="1"/>
  <c r="L112" i="27"/>
  <c r="M112" i="27" s="1"/>
  <c r="L50" i="27"/>
  <c r="M50" i="27" s="1"/>
  <c r="B50" i="27" s="1"/>
  <c r="C50" i="27" s="1"/>
  <c r="L145" i="27"/>
  <c r="M145" i="27" s="1"/>
  <c r="L146" i="27"/>
  <c r="M146" i="27" s="1"/>
  <c r="L82" i="27"/>
  <c r="M82" i="27" s="1"/>
  <c r="B82" i="27" s="1"/>
  <c r="C82" i="27" s="1"/>
  <c r="G148" i="27"/>
  <c r="K147" i="27"/>
  <c r="G22" i="27"/>
  <c r="K21" i="27"/>
  <c r="G53" i="27"/>
  <c r="K52" i="27"/>
  <c r="K51" i="27"/>
  <c r="G84" i="27"/>
  <c r="G115" i="27"/>
  <c r="K114" i="27"/>
  <c r="K113" i="27"/>
  <c r="B49" i="27"/>
  <c r="C49" i="27" s="1"/>
  <c r="L82" i="26"/>
  <c r="M82" i="26" s="1"/>
  <c r="B82" i="26" s="1"/>
  <c r="C82" i="26" s="1"/>
  <c r="L144" i="26"/>
  <c r="M144" i="26" s="1"/>
  <c r="B144" i="26" s="1"/>
  <c r="C144" i="26" s="1"/>
  <c r="L50" i="26"/>
  <c r="M50" i="26" s="1"/>
  <c r="L51" i="26"/>
  <c r="M51" i="26" s="1"/>
  <c r="G84" i="26"/>
  <c r="G24" i="26"/>
  <c r="B80" i="23"/>
  <c r="C80" i="23" s="1"/>
  <c r="K22" i="26"/>
  <c r="G117" i="26"/>
  <c r="B143" i="26"/>
  <c r="C143" i="26" s="1"/>
  <c r="B142" i="26"/>
  <c r="C142" i="26" s="1"/>
  <c r="K115" i="26"/>
  <c r="K145" i="26"/>
  <c r="G146" i="26"/>
  <c r="G53" i="26"/>
  <c r="K52" i="26"/>
  <c r="B114" i="26"/>
  <c r="C114" i="26" s="1"/>
  <c r="B21" i="26"/>
  <c r="C21" i="26" s="1"/>
  <c r="L147" i="25"/>
  <c r="M147" i="25" s="1"/>
  <c r="L113" i="25"/>
  <c r="M113" i="25" s="1"/>
  <c r="L114" i="25"/>
  <c r="M114" i="25" s="1"/>
  <c r="L84" i="25"/>
  <c r="M84" i="25" s="1"/>
  <c r="L85" i="25"/>
  <c r="M85" i="25" s="1"/>
  <c r="L50" i="25"/>
  <c r="M50" i="25" s="1"/>
  <c r="L51" i="25"/>
  <c r="M51" i="25" s="1"/>
  <c r="G149" i="25"/>
  <c r="K148" i="25"/>
  <c r="G116" i="25"/>
  <c r="K115" i="25"/>
  <c r="G87" i="25"/>
  <c r="K86" i="25"/>
  <c r="G23" i="25"/>
  <c r="K22" i="25"/>
  <c r="K21" i="25"/>
  <c r="G53" i="25"/>
  <c r="K52" i="25"/>
  <c r="B146" i="25"/>
  <c r="C146" i="25" s="1"/>
  <c r="B145" i="25"/>
  <c r="C145" i="25" s="1"/>
  <c r="B20" i="25"/>
  <c r="C20" i="25" s="1"/>
  <c r="L51" i="24"/>
  <c r="M51" i="24" s="1"/>
  <c r="B51" i="24" s="1"/>
  <c r="C51" i="24" s="1"/>
  <c r="L114" i="24"/>
  <c r="M114" i="24" s="1"/>
  <c r="L148" i="24"/>
  <c r="M148" i="24" s="1"/>
  <c r="B148" i="24" s="1"/>
  <c r="C148" i="24" s="1"/>
  <c r="L82" i="24"/>
  <c r="M82" i="24" s="1"/>
  <c r="B82" i="24" s="1"/>
  <c r="C82" i="24" s="1"/>
  <c r="L113" i="24"/>
  <c r="M113" i="24" s="1"/>
  <c r="G116" i="24"/>
  <c r="K115" i="24"/>
  <c r="B144" i="23"/>
  <c r="C144" i="23" s="1"/>
  <c r="G150" i="24"/>
  <c r="K149" i="24" s="1"/>
  <c r="G84" i="24"/>
  <c r="K83" i="24"/>
  <c r="G53" i="24"/>
  <c r="K52" i="24"/>
  <c r="G23" i="24"/>
  <c r="K22" i="24"/>
  <c r="K21" i="24"/>
  <c r="L20" i="23"/>
  <c r="M20" i="23" s="1"/>
  <c r="L50" i="23"/>
  <c r="M50" i="23" s="1"/>
  <c r="L51" i="23"/>
  <c r="M51" i="23" s="1"/>
  <c r="L82" i="23"/>
  <c r="M82" i="23" s="1"/>
  <c r="B82" i="23" s="1"/>
  <c r="C82" i="23" s="1"/>
  <c r="L113" i="23"/>
  <c r="M113" i="23" s="1"/>
  <c r="L114" i="23"/>
  <c r="M114" i="23" s="1"/>
  <c r="G23" i="23"/>
  <c r="K22" i="23"/>
  <c r="K21" i="23"/>
  <c r="G53" i="23"/>
  <c r="K52" i="23"/>
  <c r="G147" i="23"/>
  <c r="K146" i="23" s="1"/>
  <c r="K145" i="23"/>
  <c r="G84" i="23"/>
  <c r="G116" i="23"/>
  <c r="K115" i="23"/>
  <c r="L112" i="22"/>
  <c r="M112" i="22" s="1"/>
  <c r="L113" i="22"/>
  <c r="M113" i="22" s="1"/>
  <c r="L20" i="22"/>
  <c r="M20" i="22" s="1"/>
  <c r="L21" i="22"/>
  <c r="M21" i="22" s="1"/>
  <c r="L143" i="22"/>
  <c r="M143" i="22" s="1"/>
  <c r="B143" i="22" s="1"/>
  <c r="C143" i="22" s="1"/>
  <c r="L144" i="22"/>
  <c r="M144" i="22" s="1"/>
  <c r="G115" i="22"/>
  <c r="K114" i="22"/>
  <c r="G53" i="22"/>
  <c r="K52" i="22"/>
  <c r="K51" i="22"/>
  <c r="G23" i="22"/>
  <c r="G146" i="22"/>
  <c r="G87" i="22"/>
  <c r="K86" i="22"/>
  <c r="K85" i="22"/>
  <c r="B142" i="22"/>
  <c r="C142" i="22" s="1"/>
  <c r="B50" i="22"/>
  <c r="C50" i="22" s="1"/>
  <c r="L115" i="21"/>
  <c r="M115" i="21" s="1"/>
  <c r="B115" i="21" s="1"/>
  <c r="C115" i="21" s="1"/>
  <c r="L52" i="21"/>
  <c r="M52" i="21" s="1"/>
  <c r="L82" i="21"/>
  <c r="M82" i="21" s="1"/>
  <c r="L20" i="21"/>
  <c r="M20" i="21" s="1"/>
  <c r="L146" i="21"/>
  <c r="M146" i="21" s="1"/>
  <c r="G23" i="21"/>
  <c r="K22" i="21"/>
  <c r="K21" i="21"/>
  <c r="G85" i="21"/>
  <c r="K84" i="21"/>
  <c r="K83" i="21"/>
  <c r="K116" i="21"/>
  <c r="G117" i="21"/>
  <c r="G148" i="21"/>
  <c r="K147" i="21"/>
  <c r="G54" i="21"/>
  <c r="B81" i="21"/>
  <c r="C81" i="21" s="1"/>
  <c r="B114" i="21"/>
  <c r="C114" i="21" s="1"/>
  <c r="B113" i="21"/>
  <c r="C113" i="21" s="1"/>
  <c r="M20" i="8"/>
  <c r="B20" i="8" s="1"/>
  <c r="C20" i="8" s="1"/>
  <c r="M51" i="8"/>
  <c r="B51" i="8" s="1"/>
  <c r="C51" i="8" s="1"/>
  <c r="M54" i="9"/>
  <c r="B54" i="9" s="1"/>
  <c r="C54" i="9" s="1"/>
  <c r="M143" i="9"/>
  <c r="B143" i="9" s="1"/>
  <c r="C143" i="9" s="1"/>
  <c r="M82" i="9"/>
  <c r="B82" i="9" s="1"/>
  <c r="C82" i="9" s="1"/>
  <c r="M116" i="9"/>
  <c r="B116" i="9" s="1"/>
  <c r="C116" i="9" s="1"/>
  <c r="K17" i="1"/>
  <c r="K18" i="1"/>
  <c r="K81" i="1"/>
  <c r="L81" i="1" s="1"/>
  <c r="B81" i="1" s="1"/>
  <c r="C81" i="1" s="1"/>
  <c r="K113" i="1"/>
  <c r="L113" i="1" s="1"/>
  <c r="B113" i="1" s="1"/>
  <c r="C113" i="1" s="1"/>
  <c r="K51" i="1"/>
  <c r="L51" i="1" s="1"/>
  <c r="K82" i="1"/>
  <c r="L82" i="1" s="1"/>
  <c r="K144" i="1"/>
  <c r="L144" i="1" s="1"/>
  <c r="B144" i="1" s="1"/>
  <c r="C144" i="1" s="1"/>
  <c r="B20" i="3"/>
  <c r="C20" i="3" s="1"/>
  <c r="B19" i="3"/>
  <c r="C19" i="3" s="1"/>
  <c r="M19" i="4"/>
  <c r="M84" i="4"/>
  <c r="M113" i="3"/>
  <c r="B113" i="3" s="1"/>
  <c r="C113" i="3" s="1"/>
  <c r="M84" i="3"/>
  <c r="M54" i="3"/>
  <c r="B54" i="3" s="1"/>
  <c r="C54" i="3" s="1"/>
  <c r="L16" i="1"/>
  <c r="B16" i="1" s="1"/>
  <c r="C16" i="1" s="1"/>
  <c r="B50" i="2"/>
  <c r="C50" i="2" s="1"/>
  <c r="B143" i="1"/>
  <c r="C143" i="1" s="1"/>
  <c r="B19" i="8"/>
  <c r="C19" i="8" s="1"/>
  <c r="B50" i="4"/>
  <c r="C50" i="4" s="1"/>
  <c r="B144" i="4"/>
  <c r="C144" i="4" s="1"/>
  <c r="M19" i="9"/>
  <c r="M144" i="9"/>
  <c r="M20" i="9"/>
  <c r="B18" i="8"/>
  <c r="C18" i="8" s="1"/>
  <c r="G146" i="9"/>
  <c r="B142" i="9"/>
  <c r="C142" i="9" s="1"/>
  <c r="G84" i="9"/>
  <c r="K117" i="9"/>
  <c r="G118" i="9"/>
  <c r="G22" i="9"/>
  <c r="K21" i="9" s="1"/>
  <c r="G56" i="9"/>
  <c r="M82" i="8"/>
  <c r="B82" i="8" s="1"/>
  <c r="C82" i="8" s="1"/>
  <c r="G115" i="8"/>
  <c r="K114" i="8"/>
  <c r="G84" i="8"/>
  <c r="K113" i="8"/>
  <c r="G22" i="8"/>
  <c r="G147" i="8"/>
  <c r="K146" i="8"/>
  <c r="G53" i="8"/>
  <c r="B50" i="8"/>
  <c r="C50" i="8" s="1"/>
  <c r="B49" i="8"/>
  <c r="C49" i="8" s="1"/>
  <c r="B144" i="8"/>
  <c r="C144" i="8" s="1"/>
  <c r="K145" i="8"/>
  <c r="B49" i="4"/>
  <c r="C49" i="4" s="1"/>
  <c r="B53" i="3"/>
  <c r="C53" i="3" s="1"/>
  <c r="M145" i="4"/>
  <c r="B145" i="4" s="1"/>
  <c r="C145" i="4" s="1"/>
  <c r="M83" i="4"/>
  <c r="M20" i="4"/>
  <c r="M116" i="4"/>
  <c r="M51" i="4"/>
  <c r="B51" i="4" s="1"/>
  <c r="C51" i="4" s="1"/>
  <c r="M115" i="4"/>
  <c r="G22" i="4"/>
  <c r="K21" i="4" s="1"/>
  <c r="G86" i="4"/>
  <c r="K85" i="4" s="1"/>
  <c r="B52" i="3"/>
  <c r="C52" i="3" s="1"/>
  <c r="G53" i="4"/>
  <c r="K52" i="4"/>
  <c r="G118" i="4"/>
  <c r="K117" i="4" s="1"/>
  <c r="G147" i="4"/>
  <c r="K146" i="4"/>
  <c r="G23" i="3"/>
  <c r="K22" i="3"/>
  <c r="G147" i="3"/>
  <c r="K146" i="3"/>
  <c r="G115" i="3"/>
  <c r="K114" i="3"/>
  <c r="G86" i="3"/>
  <c r="K85" i="3"/>
  <c r="G56" i="3"/>
  <c r="K55" i="3" s="1"/>
  <c r="K21" i="3"/>
  <c r="K145" i="3"/>
  <c r="L20" i="2"/>
  <c r="B20" i="2" s="1"/>
  <c r="C20" i="2" s="1"/>
  <c r="L51" i="2"/>
  <c r="B51" i="2" s="1"/>
  <c r="C51" i="2" s="1"/>
  <c r="L113" i="2"/>
  <c r="B113" i="2" s="1"/>
  <c r="C113" i="2" s="1"/>
  <c r="L84" i="2"/>
  <c r="B84" i="2" s="1"/>
  <c r="C84" i="2" s="1"/>
  <c r="L144" i="2"/>
  <c r="B144" i="2" s="1"/>
  <c r="C144" i="2" s="1"/>
  <c r="G115" i="2"/>
  <c r="J114" i="2"/>
  <c r="G53" i="2"/>
  <c r="J52" i="2"/>
  <c r="B49" i="2"/>
  <c r="C49" i="2" s="1"/>
  <c r="G86" i="2"/>
  <c r="B143" i="2"/>
  <c r="C143" i="2" s="1"/>
  <c r="B142" i="2"/>
  <c r="C142" i="2" s="1"/>
  <c r="J145" i="2"/>
  <c r="G146" i="2"/>
  <c r="G22" i="2"/>
  <c r="G146" i="1"/>
  <c r="J145" i="1" s="1"/>
  <c r="B142" i="1"/>
  <c r="C142" i="1" s="1"/>
  <c r="G115" i="1"/>
  <c r="B112" i="1"/>
  <c r="C112" i="1" s="1"/>
  <c r="B111" i="1"/>
  <c r="C111" i="1" s="1"/>
  <c r="G84" i="1"/>
  <c r="B80" i="1"/>
  <c r="C80" i="1" s="1"/>
  <c r="G54" i="1"/>
  <c r="J53" i="1"/>
  <c r="J52" i="1"/>
  <c r="G20" i="1"/>
  <c r="L149" i="34" a="1"/>
  <c r="L148" i="34" a="1"/>
  <c r="L52" i="33" a="1"/>
  <c r="L148" i="33" a="1"/>
  <c r="L85" i="33" a="1"/>
  <c r="L20" i="33" a="1"/>
  <c r="L52" i="32" a="1"/>
  <c r="L146" i="32" a="1"/>
  <c r="L145" i="32" a="1"/>
  <c r="L115" i="32" a="1"/>
  <c r="L83" i="32" a="1"/>
  <c r="L21" i="32" a="1"/>
  <c r="L22" i="32" a="1"/>
  <c r="L148" i="31" a="1"/>
  <c r="L52" i="31" a="1"/>
  <c r="L116" i="31" a="1"/>
  <c r="L149" i="30" a="1"/>
  <c r="L24" i="30" a="1"/>
  <c r="L115" i="30" a="1"/>
  <c r="L147" i="29" a="1"/>
  <c r="L146" i="29" a="1"/>
  <c r="L52" i="29" a="1"/>
  <c r="L25" i="29" a="1"/>
  <c r="L24" i="29" a="1"/>
  <c r="L83" i="29" a="1"/>
  <c r="L82" i="29" a="1"/>
  <c r="L115" i="29" a="1"/>
  <c r="L51" i="29" a="1"/>
  <c r="L149" i="28" a="1"/>
  <c r="L52" i="28" a="1"/>
  <c r="L147" i="27" a="1"/>
  <c r="L21" i="27" a="1"/>
  <c r="L51" i="27" a="1"/>
  <c r="L114" i="27" a="1"/>
  <c r="L113" i="27" a="1"/>
  <c r="L52" i="27" a="1"/>
  <c r="L52" i="26" a="1"/>
  <c r="L22" i="26" a="1"/>
  <c r="L115" i="26" a="1"/>
  <c r="L145" i="26" a="1"/>
  <c r="L148" i="25" a="1"/>
  <c r="L21" i="25" a="1"/>
  <c r="L52" i="25" a="1"/>
  <c r="L115" i="25" a="1"/>
  <c r="L86" i="25" a="1"/>
  <c r="L22" i="25" a="1"/>
  <c r="L115" i="24" a="1"/>
  <c r="L22" i="24" a="1"/>
  <c r="L21" i="24" a="1"/>
  <c r="L83" i="24" a="1"/>
  <c r="L52" i="24" a="1"/>
  <c r="L149" i="24" a="1"/>
  <c r="L52" i="23" a="1"/>
  <c r="L22" i="23" a="1"/>
  <c r="L21" i="23" a="1"/>
  <c r="L145" i="23" a="1"/>
  <c r="L115" i="23" a="1"/>
  <c r="L146" i="23" a="1"/>
  <c r="L114" i="22" a="1"/>
  <c r="L51" i="22" a="1"/>
  <c r="L86" i="22" a="1"/>
  <c r="L85" i="22" a="1"/>
  <c r="L52" i="22" a="1"/>
  <c r="L83" i="21" a="1"/>
  <c r="L22" i="21" a="1"/>
  <c r="L21" i="21" a="1"/>
  <c r="L84" i="21" a="1"/>
  <c r="L116" i="21" a="1"/>
  <c r="L147" i="21" a="1"/>
  <c r="K53" i="1" a="1"/>
  <c r="K145" i="1" a="1"/>
  <c r="K52" i="1" a="1"/>
  <c r="L148" i="34" l="1"/>
  <c r="M148" i="34" s="1"/>
  <c r="L149" i="34"/>
  <c r="M149" i="34" s="1"/>
  <c r="G23" i="34"/>
  <c r="K21" i="34"/>
  <c r="G86" i="34"/>
  <c r="K85" i="34"/>
  <c r="K84" i="34"/>
  <c r="G118" i="34"/>
  <c r="K117" i="34"/>
  <c r="K116" i="34"/>
  <c r="G151" i="34"/>
  <c r="K150" i="34" s="1"/>
  <c r="G55" i="34"/>
  <c r="K54" i="34"/>
  <c r="K53" i="34"/>
  <c r="B20" i="34"/>
  <c r="C20" i="34" s="1"/>
  <c r="B19" i="34"/>
  <c r="C19" i="34" s="1"/>
  <c r="L20" i="33"/>
  <c r="M20" i="33" s="1"/>
  <c r="L85" i="33"/>
  <c r="M85" i="33" s="1"/>
  <c r="B85" i="33" s="1"/>
  <c r="C85" i="33" s="1"/>
  <c r="L148" i="33"/>
  <c r="M148" i="33" s="1"/>
  <c r="B148" i="33" s="1"/>
  <c r="C148" i="33" s="1"/>
  <c r="L52" i="33"/>
  <c r="M52" i="33" s="1"/>
  <c r="B52" i="33" s="1"/>
  <c r="C52" i="33" s="1"/>
  <c r="G118" i="33"/>
  <c r="K117" i="33"/>
  <c r="K116" i="33"/>
  <c r="G23" i="33"/>
  <c r="K22" i="33"/>
  <c r="K21" i="33"/>
  <c r="G87" i="33"/>
  <c r="K86" i="33"/>
  <c r="G150" i="33"/>
  <c r="G54" i="33"/>
  <c r="L22" i="32"/>
  <c r="M22" i="32" s="1"/>
  <c r="L21" i="32"/>
  <c r="M21" i="32" s="1"/>
  <c r="L83" i="32"/>
  <c r="M83" i="32" s="1"/>
  <c r="B83" i="32" s="1"/>
  <c r="C83" i="32" s="1"/>
  <c r="L115" i="32"/>
  <c r="M115" i="32" s="1"/>
  <c r="B115" i="32" s="1"/>
  <c r="C115" i="32" s="1"/>
  <c r="L145" i="32"/>
  <c r="M145" i="32" s="1"/>
  <c r="L146" i="32"/>
  <c r="M146" i="32" s="1"/>
  <c r="L52" i="32"/>
  <c r="M52" i="32" s="1"/>
  <c r="B52" i="32" s="1"/>
  <c r="C52" i="32" s="1"/>
  <c r="G54" i="32"/>
  <c r="G117" i="32"/>
  <c r="G148" i="32"/>
  <c r="K147" i="32"/>
  <c r="B114" i="32"/>
  <c r="C114" i="32" s="1"/>
  <c r="B113" i="32"/>
  <c r="C113" i="32" s="1"/>
  <c r="G24" i="32"/>
  <c r="K23" i="32"/>
  <c r="G85" i="32"/>
  <c r="B51" i="32"/>
  <c r="C51" i="32" s="1"/>
  <c r="B50" i="32"/>
  <c r="C50" i="32" s="1"/>
  <c r="L116" i="31"/>
  <c r="M116" i="31" s="1"/>
  <c r="B116" i="31" s="1"/>
  <c r="C116" i="31" s="1"/>
  <c r="L52" i="31"/>
  <c r="M52" i="31" s="1"/>
  <c r="B52" i="31" s="1"/>
  <c r="C52" i="31" s="1"/>
  <c r="L148" i="31"/>
  <c r="M148" i="31" s="1"/>
  <c r="B148" i="31" s="1"/>
  <c r="C148" i="31" s="1"/>
  <c r="G54" i="31"/>
  <c r="K53" i="31" s="1"/>
  <c r="G86" i="31"/>
  <c r="K84" i="31"/>
  <c r="K22" i="31"/>
  <c r="G23" i="31"/>
  <c r="B51" i="31"/>
  <c r="C51" i="31" s="1"/>
  <c r="B50" i="31"/>
  <c r="C50" i="31" s="1"/>
  <c r="B83" i="31"/>
  <c r="C83" i="31" s="1"/>
  <c r="B82" i="31"/>
  <c r="C82" i="31" s="1"/>
  <c r="K21" i="31"/>
  <c r="G118" i="31"/>
  <c r="K117" i="31"/>
  <c r="G150" i="31"/>
  <c r="K149" i="31" s="1"/>
  <c r="B147" i="31"/>
  <c r="C147" i="31" s="1"/>
  <c r="L115" i="30"/>
  <c r="M115" i="30" s="1"/>
  <c r="B115" i="30" s="1"/>
  <c r="C115" i="30" s="1"/>
  <c r="L24" i="30"/>
  <c r="M24" i="30" s="1"/>
  <c r="L149" i="30"/>
  <c r="M149" i="30" s="1"/>
  <c r="B149" i="30" s="1"/>
  <c r="C149" i="30" s="1"/>
  <c r="B51" i="30"/>
  <c r="C51" i="30" s="1"/>
  <c r="B50" i="30"/>
  <c r="C50" i="30" s="1"/>
  <c r="G117" i="30"/>
  <c r="G54" i="30"/>
  <c r="K52" i="30"/>
  <c r="G86" i="30"/>
  <c r="K84" i="30"/>
  <c r="G27" i="30"/>
  <c r="K26" i="30"/>
  <c r="K25" i="30"/>
  <c r="G151" i="30"/>
  <c r="B114" i="30"/>
  <c r="C114" i="30" s="1"/>
  <c r="B113" i="30"/>
  <c r="C113" i="30" s="1"/>
  <c r="L51" i="29"/>
  <c r="M51" i="29" s="1"/>
  <c r="B51" i="29" s="1"/>
  <c r="C51" i="29" s="1"/>
  <c r="L115" i="29"/>
  <c r="M115" i="29" s="1"/>
  <c r="B115" i="29" s="1"/>
  <c r="C115" i="29" s="1"/>
  <c r="L82" i="29"/>
  <c r="M82" i="29" s="1"/>
  <c r="L83" i="29"/>
  <c r="M83" i="29" s="1"/>
  <c r="L24" i="29"/>
  <c r="M24" i="29" s="1"/>
  <c r="L25" i="29"/>
  <c r="M25" i="29" s="1"/>
  <c r="L52" i="29"/>
  <c r="M52" i="29" s="1"/>
  <c r="L146" i="29"/>
  <c r="M146" i="29" s="1"/>
  <c r="L147" i="29"/>
  <c r="M147" i="29" s="1"/>
  <c r="K116" i="29"/>
  <c r="G117" i="29"/>
  <c r="G85" i="29"/>
  <c r="K84" i="29"/>
  <c r="G27" i="29"/>
  <c r="G54" i="29"/>
  <c r="G149" i="29"/>
  <c r="K148" i="29"/>
  <c r="B145" i="29"/>
  <c r="C145" i="29" s="1"/>
  <c r="L52" i="28"/>
  <c r="M52" i="28" s="1"/>
  <c r="B52" i="28" s="1"/>
  <c r="C52" i="28" s="1"/>
  <c r="L149" i="28"/>
  <c r="M149" i="28" s="1"/>
  <c r="B149" i="28" s="1"/>
  <c r="C149" i="28" s="1"/>
  <c r="B115" i="28"/>
  <c r="C115" i="28" s="1"/>
  <c r="B148" i="28"/>
  <c r="C148" i="28" s="1"/>
  <c r="G23" i="28"/>
  <c r="K21" i="28"/>
  <c r="G151" i="28"/>
  <c r="G118" i="28"/>
  <c r="K117" i="28"/>
  <c r="K116" i="28"/>
  <c r="G86" i="28"/>
  <c r="K85" i="28"/>
  <c r="K84" i="28"/>
  <c r="G54" i="28"/>
  <c r="B51" i="28"/>
  <c r="C51" i="28" s="1"/>
  <c r="B50" i="28"/>
  <c r="C50" i="28" s="1"/>
  <c r="B20" i="28"/>
  <c r="C20" i="28" s="1"/>
  <c r="B19" i="28"/>
  <c r="C19" i="28" s="1"/>
  <c r="L52" i="27"/>
  <c r="M52" i="27" s="1"/>
  <c r="L113" i="27"/>
  <c r="M113" i="27" s="1"/>
  <c r="B113" i="27" s="1"/>
  <c r="C113" i="27" s="1"/>
  <c r="L114" i="27"/>
  <c r="M114" i="27" s="1"/>
  <c r="L51" i="27"/>
  <c r="M51" i="27" s="1"/>
  <c r="L21" i="27"/>
  <c r="M21" i="27" s="1"/>
  <c r="B21" i="27" s="1"/>
  <c r="C21" i="27" s="1"/>
  <c r="L147" i="27"/>
  <c r="M147" i="27" s="1"/>
  <c r="G116" i="27"/>
  <c r="K115" i="27"/>
  <c r="G85" i="27"/>
  <c r="K84" i="27" s="1"/>
  <c r="K83" i="27"/>
  <c r="G54" i="27"/>
  <c r="B112" i="27"/>
  <c r="C112" i="27" s="1"/>
  <c r="G23" i="27"/>
  <c r="K148" i="27"/>
  <c r="G149" i="27"/>
  <c r="B146" i="27"/>
  <c r="C146" i="27" s="1"/>
  <c r="B145" i="27"/>
  <c r="C145" i="27" s="1"/>
  <c r="L145" i="26"/>
  <c r="M145" i="26" s="1"/>
  <c r="B145" i="26" s="1"/>
  <c r="C145" i="26" s="1"/>
  <c r="L115" i="26"/>
  <c r="M115" i="26" s="1"/>
  <c r="L22" i="26"/>
  <c r="M22" i="26" s="1"/>
  <c r="L52" i="26"/>
  <c r="M52" i="26" s="1"/>
  <c r="B52" i="26" s="1"/>
  <c r="C52" i="26" s="1"/>
  <c r="G118" i="26"/>
  <c r="K117" i="26"/>
  <c r="K116" i="26"/>
  <c r="G25" i="26"/>
  <c r="K23" i="26"/>
  <c r="G85" i="26"/>
  <c r="K84" i="26"/>
  <c r="K83" i="26"/>
  <c r="B51" i="26"/>
  <c r="C51" i="26" s="1"/>
  <c r="B50" i="26"/>
  <c r="C50" i="26" s="1"/>
  <c r="G54" i="26"/>
  <c r="G147" i="26"/>
  <c r="L22" i="25"/>
  <c r="M22" i="25" s="1"/>
  <c r="L86" i="25"/>
  <c r="M86" i="25" s="1"/>
  <c r="B86" i="25" s="1"/>
  <c r="C86" i="25" s="1"/>
  <c r="L115" i="25"/>
  <c r="M115" i="25" s="1"/>
  <c r="B115" i="25" s="1"/>
  <c r="C115" i="25" s="1"/>
  <c r="L52" i="25"/>
  <c r="M52" i="25" s="1"/>
  <c r="B52" i="25" s="1"/>
  <c r="C52" i="25" s="1"/>
  <c r="L21" i="25"/>
  <c r="M21" i="25" s="1"/>
  <c r="L148" i="25"/>
  <c r="M148" i="25" s="1"/>
  <c r="B148" i="25"/>
  <c r="C148" i="25" s="1"/>
  <c r="G24" i="25"/>
  <c r="K23" i="25"/>
  <c r="G88" i="25"/>
  <c r="G117" i="25"/>
  <c r="B147" i="25"/>
  <c r="C147" i="25" s="1"/>
  <c r="G54" i="25"/>
  <c r="G150" i="25"/>
  <c r="K149" i="25"/>
  <c r="B51" i="25"/>
  <c r="C51" i="25" s="1"/>
  <c r="B50" i="25"/>
  <c r="C50" i="25" s="1"/>
  <c r="B85" i="25"/>
  <c r="C85" i="25" s="1"/>
  <c r="B84" i="25"/>
  <c r="C84" i="25" s="1"/>
  <c r="B114" i="25"/>
  <c r="C114" i="25" s="1"/>
  <c r="B113" i="25"/>
  <c r="C113" i="25" s="1"/>
  <c r="L149" i="24"/>
  <c r="M149" i="24" s="1"/>
  <c r="B149" i="24" s="1"/>
  <c r="C149" i="24" s="1"/>
  <c r="L52" i="24"/>
  <c r="M52" i="24" s="1"/>
  <c r="B52" i="24" s="1"/>
  <c r="C52" i="24" s="1"/>
  <c r="L83" i="24"/>
  <c r="M83" i="24" s="1"/>
  <c r="B83" i="24" s="1"/>
  <c r="C83" i="24" s="1"/>
  <c r="L21" i="24"/>
  <c r="M21" i="24" s="1"/>
  <c r="L22" i="24"/>
  <c r="M22" i="24" s="1"/>
  <c r="L115" i="24"/>
  <c r="M115" i="24" s="1"/>
  <c r="G24" i="24"/>
  <c r="K23" i="24"/>
  <c r="K53" i="24"/>
  <c r="G54" i="24"/>
  <c r="G85" i="24"/>
  <c r="G151" i="24"/>
  <c r="G117" i="24"/>
  <c r="B114" i="24"/>
  <c r="C114" i="24" s="1"/>
  <c r="B113" i="24"/>
  <c r="C113" i="24" s="1"/>
  <c r="L146" i="23"/>
  <c r="M146" i="23" s="1"/>
  <c r="L115" i="23"/>
  <c r="M115" i="23" s="1"/>
  <c r="B115" i="23" s="1"/>
  <c r="C115" i="23" s="1"/>
  <c r="L145" i="23"/>
  <c r="M145" i="23" s="1"/>
  <c r="L21" i="23"/>
  <c r="M21" i="23" s="1"/>
  <c r="B21" i="23" s="1"/>
  <c r="C21" i="23" s="1"/>
  <c r="L22" i="23"/>
  <c r="M22" i="23" s="1"/>
  <c r="L52" i="23"/>
  <c r="M52" i="23" s="1"/>
  <c r="B52" i="23" s="1"/>
  <c r="C52" i="23" s="1"/>
  <c r="G85" i="23"/>
  <c r="G24" i="23"/>
  <c r="K23" i="23"/>
  <c r="G117" i="23"/>
  <c r="K83" i="23"/>
  <c r="G148" i="23"/>
  <c r="K147" i="23"/>
  <c r="G54" i="23"/>
  <c r="B114" i="23"/>
  <c r="C114" i="23" s="1"/>
  <c r="B113" i="23"/>
  <c r="C113" i="23" s="1"/>
  <c r="B51" i="23"/>
  <c r="C51" i="23" s="1"/>
  <c r="B50" i="23"/>
  <c r="C50" i="23" s="1"/>
  <c r="B20" i="23"/>
  <c r="C20" i="23" s="1"/>
  <c r="L52" i="22"/>
  <c r="M52" i="22" s="1"/>
  <c r="L85" i="22"/>
  <c r="M85" i="22" s="1"/>
  <c r="L86" i="22"/>
  <c r="M86" i="22" s="1"/>
  <c r="L51" i="22"/>
  <c r="M51" i="22" s="1"/>
  <c r="L114" i="22"/>
  <c r="M114" i="22" s="1"/>
  <c r="G116" i="22"/>
  <c r="B114" i="22"/>
  <c r="C114" i="22" s="1"/>
  <c r="G88" i="22"/>
  <c r="K87" i="22"/>
  <c r="G147" i="22"/>
  <c r="K145" i="22"/>
  <c r="G24" i="22"/>
  <c r="K23" i="22"/>
  <c r="K22" i="22"/>
  <c r="G54" i="22"/>
  <c r="K53" i="22" s="1"/>
  <c r="B144" i="22"/>
  <c r="C144" i="22" s="1"/>
  <c r="B21" i="22"/>
  <c r="C21" i="22" s="1"/>
  <c r="B20" i="22"/>
  <c r="C20" i="22" s="1"/>
  <c r="B113" i="22"/>
  <c r="C113" i="22" s="1"/>
  <c r="B112" i="22"/>
  <c r="C112" i="22" s="1"/>
  <c r="L147" i="21"/>
  <c r="M147" i="21" s="1"/>
  <c r="B147" i="21" s="1"/>
  <c r="C147" i="21" s="1"/>
  <c r="L116" i="21"/>
  <c r="M116" i="21" s="1"/>
  <c r="B116" i="21" s="1"/>
  <c r="C116" i="21" s="1"/>
  <c r="L84" i="21"/>
  <c r="M84" i="21" s="1"/>
  <c r="L21" i="21"/>
  <c r="M21" i="21" s="1"/>
  <c r="B21" i="21" s="1"/>
  <c r="C21" i="21" s="1"/>
  <c r="L22" i="21"/>
  <c r="M22" i="21" s="1"/>
  <c r="L83" i="21"/>
  <c r="M83" i="21" s="1"/>
  <c r="B83" i="21" s="1"/>
  <c r="C83" i="21" s="1"/>
  <c r="B52" i="21"/>
  <c r="C52" i="21" s="1"/>
  <c r="B82" i="21"/>
  <c r="C82" i="21" s="1"/>
  <c r="G55" i="21"/>
  <c r="K53" i="21"/>
  <c r="G149" i="21"/>
  <c r="K148" i="21" s="1"/>
  <c r="G118" i="21"/>
  <c r="K117" i="21"/>
  <c r="G86" i="21"/>
  <c r="G24" i="21"/>
  <c r="B146" i="21"/>
  <c r="C146" i="21" s="1"/>
  <c r="B20" i="21"/>
  <c r="C20" i="21" s="1"/>
  <c r="M114" i="8"/>
  <c r="M21" i="9"/>
  <c r="B21" i="9" s="1"/>
  <c r="C21" i="9" s="1"/>
  <c r="M117" i="9"/>
  <c r="B117" i="9" s="1"/>
  <c r="C117" i="9" s="1"/>
  <c r="K52" i="1"/>
  <c r="L52" i="1" s="1"/>
  <c r="B52" i="1" s="1"/>
  <c r="C52" i="1" s="1"/>
  <c r="K145" i="1"/>
  <c r="L145" i="1" s="1"/>
  <c r="B145" i="1" s="1"/>
  <c r="C145" i="1" s="1"/>
  <c r="K53" i="1"/>
  <c r="L53" i="1" s="1"/>
  <c r="M117" i="4"/>
  <c r="B117" i="4" s="1"/>
  <c r="C117" i="4" s="1"/>
  <c r="M52" i="4"/>
  <c r="B52" i="4" s="1"/>
  <c r="C52" i="4" s="1"/>
  <c r="M85" i="4"/>
  <c r="B85" i="4" s="1"/>
  <c r="C85" i="4" s="1"/>
  <c r="M146" i="4"/>
  <c r="B146" i="4" s="1"/>
  <c r="C146" i="4" s="1"/>
  <c r="M85" i="3"/>
  <c r="B85" i="3" s="1"/>
  <c r="C85" i="3" s="1"/>
  <c r="M114" i="3"/>
  <c r="B114" i="3" s="1"/>
  <c r="C114" i="3" s="1"/>
  <c r="M146" i="3"/>
  <c r="M22" i="3"/>
  <c r="L17" i="1"/>
  <c r="B17" i="1" s="1"/>
  <c r="C17" i="1" s="1"/>
  <c r="L18" i="1"/>
  <c r="G85" i="9"/>
  <c r="K84" i="9"/>
  <c r="G57" i="9"/>
  <c r="B20" i="9"/>
  <c r="C20" i="9" s="1"/>
  <c r="B19" i="9"/>
  <c r="C19" i="9" s="1"/>
  <c r="K55" i="9"/>
  <c r="G23" i="9"/>
  <c r="K22" i="9"/>
  <c r="K83" i="9"/>
  <c r="G147" i="9"/>
  <c r="K146" i="9"/>
  <c r="B144" i="9"/>
  <c r="C144" i="9" s="1"/>
  <c r="K145" i="9"/>
  <c r="G119" i="9"/>
  <c r="K118" i="9" s="1"/>
  <c r="M113" i="8"/>
  <c r="M145" i="8"/>
  <c r="M146" i="8"/>
  <c r="G116" i="8"/>
  <c r="G54" i="8"/>
  <c r="K53" i="8" s="1"/>
  <c r="G85" i="8"/>
  <c r="K84" i="8"/>
  <c r="G148" i="8"/>
  <c r="G23" i="8"/>
  <c r="K22" i="8"/>
  <c r="K21" i="8"/>
  <c r="K83" i="8"/>
  <c r="K52" i="8"/>
  <c r="M21" i="4"/>
  <c r="B21" i="4" s="1"/>
  <c r="C21" i="4" s="1"/>
  <c r="K53" i="4"/>
  <c r="G54" i="4"/>
  <c r="B20" i="4"/>
  <c r="C20" i="4" s="1"/>
  <c r="B19" i="4"/>
  <c r="C19" i="4" s="1"/>
  <c r="G148" i="4"/>
  <c r="G119" i="4"/>
  <c r="K118" i="4"/>
  <c r="B84" i="4"/>
  <c r="C84" i="4" s="1"/>
  <c r="B83" i="4"/>
  <c r="C83" i="4" s="1"/>
  <c r="G87" i="4"/>
  <c r="G23" i="4"/>
  <c r="K22" i="4"/>
  <c r="B116" i="4"/>
  <c r="C116" i="4" s="1"/>
  <c r="B115" i="4"/>
  <c r="C115" i="4" s="1"/>
  <c r="M55" i="3"/>
  <c r="B55" i="3" s="1"/>
  <c r="C55" i="3" s="1"/>
  <c r="M145" i="3"/>
  <c r="M21" i="3"/>
  <c r="G87" i="3"/>
  <c r="B84" i="3"/>
  <c r="C84" i="3" s="1"/>
  <c r="G116" i="3"/>
  <c r="G148" i="3"/>
  <c r="K147" i="3"/>
  <c r="G24" i="3"/>
  <c r="K23" i="3"/>
  <c r="G57" i="3"/>
  <c r="K56" i="3"/>
  <c r="L114" i="2"/>
  <c r="B114" i="2" s="1"/>
  <c r="C114" i="2" s="1"/>
  <c r="L52" i="2"/>
  <c r="B52" i="2" s="1"/>
  <c r="C52" i="2" s="1"/>
  <c r="L145" i="2"/>
  <c r="B145" i="2" s="1"/>
  <c r="C145" i="2" s="1"/>
  <c r="G87" i="2"/>
  <c r="J86" i="2"/>
  <c r="G54" i="2"/>
  <c r="J53" i="2" s="1"/>
  <c r="J115" i="2"/>
  <c r="G116" i="2"/>
  <c r="G23" i="2"/>
  <c r="J22" i="2"/>
  <c r="J21" i="2"/>
  <c r="G147" i="2"/>
  <c r="J85" i="2"/>
  <c r="G147" i="1"/>
  <c r="G116" i="1"/>
  <c r="J115" i="1"/>
  <c r="J114" i="1"/>
  <c r="G85" i="1"/>
  <c r="J84" i="1"/>
  <c r="J83" i="1"/>
  <c r="B82" i="1"/>
  <c r="C82" i="1" s="1"/>
  <c r="G55" i="1"/>
  <c r="B51" i="1"/>
  <c r="C51" i="1" s="1"/>
  <c r="G21" i="1"/>
  <c r="J19" i="1"/>
  <c r="L21" i="34" a="1"/>
  <c r="L85" i="34" a="1"/>
  <c r="L84" i="34" a="1"/>
  <c r="L116" i="34" a="1"/>
  <c r="L53" i="34" a="1"/>
  <c r="L117" i="34" a="1"/>
  <c r="L54" i="34" a="1"/>
  <c r="L150" i="34" a="1"/>
  <c r="L117" i="33" a="1"/>
  <c r="L116" i="33" a="1"/>
  <c r="L21" i="33" a="1"/>
  <c r="L86" i="33" a="1"/>
  <c r="L22" i="33" a="1"/>
  <c r="L147" i="32" a="1"/>
  <c r="L23" i="32" a="1"/>
  <c r="L22" i="31" a="1"/>
  <c r="L21" i="31" a="1"/>
  <c r="L117" i="31" a="1"/>
  <c r="L84" i="31" a="1"/>
  <c r="L53" i="31" a="1"/>
  <c r="L149" i="31" a="1"/>
  <c r="L52" i="30" a="1"/>
  <c r="L84" i="30" a="1"/>
  <c r="L25" i="30" a="1"/>
  <c r="L26" i="30" a="1"/>
  <c r="L116" i="29" a="1"/>
  <c r="L84" i="29" a="1"/>
  <c r="L148" i="29" a="1"/>
  <c r="L21" i="28" a="1"/>
  <c r="L84" i="28" a="1"/>
  <c r="L117" i="28" a="1"/>
  <c r="L116" i="28" a="1"/>
  <c r="L85" i="28" a="1"/>
  <c r="L83" i="27" a="1"/>
  <c r="L148" i="27" a="1"/>
  <c r="L115" i="27" a="1"/>
  <c r="L84" i="27" a="1"/>
  <c r="L117" i="26" a="1"/>
  <c r="L116" i="26" a="1"/>
  <c r="L23" i="26" a="1"/>
  <c r="L84" i="26" a="1"/>
  <c r="L83" i="26" a="1"/>
  <c r="L23" i="25" a="1"/>
  <c r="L149" i="25" a="1"/>
  <c r="L23" i="24" a="1"/>
  <c r="L53" i="24" a="1"/>
  <c r="L23" i="23" a="1"/>
  <c r="L147" i="23" a="1"/>
  <c r="L83" i="23" a="1"/>
  <c r="L23" i="22" a="1"/>
  <c r="L22" i="22" a="1"/>
  <c r="L87" i="22" a="1"/>
  <c r="L145" i="22" a="1"/>
  <c r="L53" i="22" a="1"/>
  <c r="L53" i="21" a="1"/>
  <c r="L117" i="21" a="1"/>
  <c r="L148" i="21" a="1"/>
  <c r="K84" i="1" a="1"/>
  <c r="K83" i="1" a="1"/>
  <c r="K19" i="1" a="1"/>
  <c r="K115" i="1" a="1"/>
  <c r="K114" i="1" a="1"/>
  <c r="L150" i="34" l="1"/>
  <c r="M150" i="34" s="1"/>
  <c r="B150" i="34" s="1"/>
  <c r="C150" i="34" s="1"/>
  <c r="L54" i="34"/>
  <c r="M54" i="34" s="1"/>
  <c r="L117" i="34"/>
  <c r="M117" i="34" s="1"/>
  <c r="L53" i="34"/>
  <c r="M53" i="34" s="1"/>
  <c r="L116" i="34"/>
  <c r="M116" i="34" s="1"/>
  <c r="L84" i="34"/>
  <c r="M84" i="34" s="1"/>
  <c r="L85" i="34"/>
  <c r="M85" i="34" s="1"/>
  <c r="L21" i="34"/>
  <c r="M21" i="34" s="1"/>
  <c r="G56" i="34"/>
  <c r="K55" i="34" s="1"/>
  <c r="B149" i="34"/>
  <c r="C149" i="34" s="1"/>
  <c r="B148" i="34"/>
  <c r="C148" i="34" s="1"/>
  <c r="G152" i="34"/>
  <c r="G119" i="34"/>
  <c r="K118" i="34"/>
  <c r="G87" i="34"/>
  <c r="K86" i="34"/>
  <c r="G24" i="34"/>
  <c r="K23" i="34"/>
  <c r="K22" i="34"/>
  <c r="L22" i="33"/>
  <c r="M22" i="33" s="1"/>
  <c r="L86" i="33"/>
  <c r="M86" i="33" s="1"/>
  <c r="B86" i="33" s="1"/>
  <c r="C86" i="33" s="1"/>
  <c r="L21" i="33"/>
  <c r="M21" i="33" s="1"/>
  <c r="B21" i="33" s="1"/>
  <c r="C21" i="33" s="1"/>
  <c r="L116" i="33"/>
  <c r="M116" i="33" s="1"/>
  <c r="L117" i="33"/>
  <c r="M117" i="33" s="1"/>
  <c r="G24" i="33"/>
  <c r="K23" i="33"/>
  <c r="B20" i="33"/>
  <c r="C20" i="33" s="1"/>
  <c r="G55" i="33"/>
  <c r="K54" i="33" s="1"/>
  <c r="K53" i="33"/>
  <c r="G151" i="33"/>
  <c r="K149" i="33"/>
  <c r="B52" i="27"/>
  <c r="C52" i="27" s="1"/>
  <c r="G88" i="33"/>
  <c r="G119" i="33"/>
  <c r="K118" i="33"/>
  <c r="L23" i="32"/>
  <c r="M23" i="32" s="1"/>
  <c r="B23" i="32" s="1"/>
  <c r="C23" i="32" s="1"/>
  <c r="L147" i="32"/>
  <c r="M147" i="32" s="1"/>
  <c r="B147" i="32" s="1"/>
  <c r="C147" i="32" s="1"/>
  <c r="G118" i="32"/>
  <c r="K117" i="32"/>
  <c r="G25" i="32"/>
  <c r="G149" i="32"/>
  <c r="K148" i="32"/>
  <c r="K116" i="32"/>
  <c r="G55" i="32"/>
  <c r="K54" i="32"/>
  <c r="K53" i="32"/>
  <c r="B146" i="32"/>
  <c r="C146" i="32" s="1"/>
  <c r="B145" i="32"/>
  <c r="C145" i="32" s="1"/>
  <c r="G86" i="32"/>
  <c r="K85" i="32"/>
  <c r="B22" i="32"/>
  <c r="C22" i="32" s="1"/>
  <c r="B21" i="32"/>
  <c r="C21" i="32" s="1"/>
  <c r="K84" i="32"/>
  <c r="L149" i="31"/>
  <c r="M149" i="31" s="1"/>
  <c r="B149" i="31" s="1"/>
  <c r="C149" i="31" s="1"/>
  <c r="L53" i="31"/>
  <c r="M53" i="31" s="1"/>
  <c r="B53" i="31" s="1"/>
  <c r="C53" i="31" s="1"/>
  <c r="L84" i="31"/>
  <c r="M84" i="31" s="1"/>
  <c r="L117" i="31"/>
  <c r="M117" i="31" s="1"/>
  <c r="B117" i="31" s="1"/>
  <c r="C117" i="31" s="1"/>
  <c r="L21" i="31"/>
  <c r="M21" i="31" s="1"/>
  <c r="L22" i="31"/>
  <c r="M22" i="31" s="1"/>
  <c r="G119" i="31"/>
  <c r="K118" i="31" s="1"/>
  <c r="G24" i="31"/>
  <c r="K23" i="31"/>
  <c r="G87" i="31"/>
  <c r="K86" i="31"/>
  <c r="K85" i="31"/>
  <c r="G55" i="31"/>
  <c r="K54" i="31"/>
  <c r="G151" i="31"/>
  <c r="L26" i="30"/>
  <c r="M26" i="30" s="1"/>
  <c r="L25" i="30"/>
  <c r="M25" i="30" s="1"/>
  <c r="L84" i="30"/>
  <c r="M84" i="30" s="1"/>
  <c r="L52" i="30"/>
  <c r="M52" i="30" s="1"/>
  <c r="G152" i="30"/>
  <c r="K151" i="30"/>
  <c r="K150" i="30"/>
  <c r="G55" i="30"/>
  <c r="K54" i="30"/>
  <c r="G118" i="30"/>
  <c r="K117" i="30"/>
  <c r="G28" i="30"/>
  <c r="G87" i="30"/>
  <c r="K86" i="30"/>
  <c r="K85" i="30"/>
  <c r="K53" i="30"/>
  <c r="K116" i="30"/>
  <c r="B24" i="30"/>
  <c r="C24" i="30" s="1"/>
  <c r="L148" i="29"/>
  <c r="M148" i="29" s="1"/>
  <c r="B148" i="29" s="1"/>
  <c r="C148" i="29" s="1"/>
  <c r="L84" i="29"/>
  <c r="M84" i="29" s="1"/>
  <c r="B84" i="29" s="1"/>
  <c r="C84" i="29" s="1"/>
  <c r="L116" i="29"/>
  <c r="M116" i="29" s="1"/>
  <c r="B116" i="29" s="1"/>
  <c r="C116" i="29" s="1"/>
  <c r="G150" i="29"/>
  <c r="G55" i="29"/>
  <c r="K54" i="29"/>
  <c r="K53" i="29"/>
  <c r="G28" i="29"/>
  <c r="K27" i="29"/>
  <c r="K26" i="29"/>
  <c r="G86" i="29"/>
  <c r="G118" i="29"/>
  <c r="K117" i="29"/>
  <c r="B147" i="29"/>
  <c r="C147" i="29" s="1"/>
  <c r="B25" i="29"/>
  <c r="C25" i="29" s="1"/>
  <c r="B146" i="29"/>
  <c r="C146" i="29" s="1"/>
  <c r="B83" i="29"/>
  <c r="C83" i="29" s="1"/>
  <c r="B82" i="29"/>
  <c r="C82" i="29" s="1"/>
  <c r="B24" i="29"/>
  <c r="C24" i="29" s="1"/>
  <c r="B52" i="29"/>
  <c r="C52" i="29" s="1"/>
  <c r="L85" i="28"/>
  <c r="M85" i="28" s="1"/>
  <c r="L116" i="28"/>
  <c r="M116" i="28" s="1"/>
  <c r="L117" i="28"/>
  <c r="M117" i="28" s="1"/>
  <c r="L84" i="28"/>
  <c r="M84" i="28" s="1"/>
  <c r="L21" i="28"/>
  <c r="M21" i="28" s="1"/>
  <c r="G119" i="28"/>
  <c r="K118" i="28"/>
  <c r="G24" i="28"/>
  <c r="K23" i="28"/>
  <c r="K22" i="28"/>
  <c r="G87" i="28"/>
  <c r="K86" i="28"/>
  <c r="G152" i="28"/>
  <c r="K151" i="28"/>
  <c r="K150" i="28"/>
  <c r="G55" i="28"/>
  <c r="K53" i="28"/>
  <c r="L84" i="27"/>
  <c r="M84" i="27" s="1"/>
  <c r="L115" i="27"/>
  <c r="M115" i="27" s="1"/>
  <c r="B115" i="27" s="1"/>
  <c r="C115" i="27" s="1"/>
  <c r="L148" i="27"/>
  <c r="M148" i="27" s="1"/>
  <c r="B148" i="27" s="1"/>
  <c r="C148" i="27" s="1"/>
  <c r="L83" i="27"/>
  <c r="M83" i="27" s="1"/>
  <c r="G24" i="27"/>
  <c r="K23" i="27"/>
  <c r="K22" i="27"/>
  <c r="B51" i="27"/>
  <c r="C51" i="27" s="1"/>
  <c r="G55" i="27"/>
  <c r="K54" i="27"/>
  <c r="K53" i="27"/>
  <c r="G86" i="27"/>
  <c r="G117" i="27"/>
  <c r="B147" i="27"/>
  <c r="C147" i="27" s="1"/>
  <c r="B114" i="27"/>
  <c r="C114" i="27" s="1"/>
  <c r="G150" i="27"/>
  <c r="K149" i="27" s="1"/>
  <c r="L83" i="26"/>
  <c r="M83" i="26" s="1"/>
  <c r="L84" i="26"/>
  <c r="M84" i="26" s="1"/>
  <c r="L23" i="26"/>
  <c r="M23" i="26" s="1"/>
  <c r="B23" i="26" s="1"/>
  <c r="C23" i="26" s="1"/>
  <c r="L116" i="26"/>
  <c r="M116" i="26" s="1"/>
  <c r="L117" i="26"/>
  <c r="M117" i="26" s="1"/>
  <c r="G148" i="26"/>
  <c r="K147" i="26"/>
  <c r="G55" i="26"/>
  <c r="K54" i="26"/>
  <c r="K53" i="26"/>
  <c r="G86" i="26"/>
  <c r="G26" i="26"/>
  <c r="K24" i="26"/>
  <c r="G119" i="26"/>
  <c r="K118" i="26"/>
  <c r="B22" i="26"/>
  <c r="C22" i="26" s="1"/>
  <c r="B115" i="26"/>
  <c r="C115" i="26" s="1"/>
  <c r="K146" i="26"/>
  <c r="L149" i="25"/>
  <c r="M149" i="25" s="1"/>
  <c r="B149" i="25" s="1"/>
  <c r="C149" i="25" s="1"/>
  <c r="L23" i="25"/>
  <c r="M23" i="25" s="1"/>
  <c r="B23" i="25" s="1"/>
  <c r="C23" i="25" s="1"/>
  <c r="G151" i="25"/>
  <c r="K150" i="25" s="1"/>
  <c r="G55" i="25"/>
  <c r="K54" i="25"/>
  <c r="K53" i="25"/>
  <c r="G118" i="25"/>
  <c r="K117" i="25"/>
  <c r="K116" i="25"/>
  <c r="G89" i="25"/>
  <c r="K87" i="25"/>
  <c r="G25" i="25"/>
  <c r="K24" i="25" s="1"/>
  <c r="B22" i="25"/>
  <c r="C22" i="25" s="1"/>
  <c r="B21" i="25"/>
  <c r="C21" i="25" s="1"/>
  <c r="L53" i="24"/>
  <c r="M53" i="24" s="1"/>
  <c r="B53" i="24" s="1"/>
  <c r="C53" i="24" s="1"/>
  <c r="L23" i="24"/>
  <c r="M23" i="24" s="1"/>
  <c r="B23" i="24" s="1"/>
  <c r="C23" i="24" s="1"/>
  <c r="G118" i="24"/>
  <c r="K117" i="24"/>
  <c r="K116" i="24"/>
  <c r="G152" i="24"/>
  <c r="K150" i="24"/>
  <c r="G86" i="24"/>
  <c r="K84" i="24"/>
  <c r="G55" i="24"/>
  <c r="K54" i="24"/>
  <c r="G25" i="24"/>
  <c r="B22" i="24"/>
  <c r="C22" i="24" s="1"/>
  <c r="B21" i="24"/>
  <c r="C21" i="24" s="1"/>
  <c r="B115" i="24"/>
  <c r="C115" i="24" s="1"/>
  <c r="L83" i="23"/>
  <c r="M83" i="23" s="1"/>
  <c r="L147" i="23"/>
  <c r="M147" i="23" s="1"/>
  <c r="B147" i="23" s="1"/>
  <c r="C147" i="23" s="1"/>
  <c r="L23" i="23"/>
  <c r="M23" i="23" s="1"/>
  <c r="B23" i="23" s="1"/>
  <c r="C23" i="23" s="1"/>
  <c r="G55" i="23"/>
  <c r="K54" i="23"/>
  <c r="K53" i="23"/>
  <c r="G149" i="23"/>
  <c r="K148" i="23"/>
  <c r="G118" i="23"/>
  <c r="K117" i="23"/>
  <c r="K24" i="23"/>
  <c r="G25" i="23"/>
  <c r="G86" i="23"/>
  <c r="K85" i="23"/>
  <c r="K84" i="23"/>
  <c r="K116" i="23"/>
  <c r="B22" i="23"/>
  <c r="C22" i="23" s="1"/>
  <c r="B146" i="23"/>
  <c r="C146" i="23" s="1"/>
  <c r="B145" i="23"/>
  <c r="C145" i="23" s="1"/>
  <c r="L53" i="22"/>
  <c r="M53" i="22" s="1"/>
  <c r="L145" i="22"/>
  <c r="M145" i="22" s="1"/>
  <c r="L87" i="22"/>
  <c r="M87" i="22" s="1"/>
  <c r="L22" i="22"/>
  <c r="M22" i="22" s="1"/>
  <c r="L23" i="22"/>
  <c r="M23" i="22" s="1"/>
  <c r="G25" i="22"/>
  <c r="K24" i="22"/>
  <c r="G148" i="22"/>
  <c r="K147" i="22"/>
  <c r="K146" i="22"/>
  <c r="B84" i="21"/>
  <c r="C84" i="21" s="1"/>
  <c r="G89" i="22"/>
  <c r="K88" i="22" s="1"/>
  <c r="G55" i="22"/>
  <c r="K54" i="22"/>
  <c r="G117" i="22"/>
  <c r="K116" i="22" s="1"/>
  <c r="K115" i="22"/>
  <c r="B52" i="22"/>
  <c r="C52" i="22" s="1"/>
  <c r="B51" i="22"/>
  <c r="C51" i="22" s="1"/>
  <c r="B86" i="22"/>
  <c r="C86" i="22" s="1"/>
  <c r="B85" i="22"/>
  <c r="C85" i="22" s="1"/>
  <c r="B53" i="22"/>
  <c r="C53" i="22" s="1"/>
  <c r="L148" i="21"/>
  <c r="M148" i="21" s="1"/>
  <c r="B148" i="21" s="1"/>
  <c r="C148" i="21" s="1"/>
  <c r="L117" i="21"/>
  <c r="M117" i="21" s="1"/>
  <c r="B117" i="21" s="1"/>
  <c r="C117" i="21" s="1"/>
  <c r="L53" i="21"/>
  <c r="M53" i="21" s="1"/>
  <c r="G119" i="21"/>
  <c r="K118" i="21"/>
  <c r="G87" i="21"/>
  <c r="G150" i="21"/>
  <c r="G56" i="21"/>
  <c r="K55" i="21"/>
  <c r="K54" i="21"/>
  <c r="B22" i="21"/>
  <c r="C22" i="21" s="1"/>
  <c r="G25" i="21"/>
  <c r="K24" i="21"/>
  <c r="K23" i="21"/>
  <c r="K85" i="21"/>
  <c r="M118" i="9"/>
  <c r="B118" i="9" s="1"/>
  <c r="C118" i="9" s="1"/>
  <c r="M83" i="9"/>
  <c r="M146" i="9"/>
  <c r="K114" i="1"/>
  <c r="K115" i="1"/>
  <c r="L115" i="1" s="1"/>
  <c r="K19" i="1"/>
  <c r="K83" i="1"/>
  <c r="L83" i="1" s="1"/>
  <c r="K84" i="1"/>
  <c r="L84" i="1" s="1"/>
  <c r="B22" i="3"/>
  <c r="C22" i="3" s="1"/>
  <c r="B21" i="3"/>
  <c r="C21" i="3" s="1"/>
  <c r="M22" i="4"/>
  <c r="M53" i="4"/>
  <c r="B53" i="4" s="1"/>
  <c r="C53" i="4" s="1"/>
  <c r="M56" i="3"/>
  <c r="B56" i="3" s="1"/>
  <c r="C56" i="3" s="1"/>
  <c r="M23" i="3"/>
  <c r="M147" i="3"/>
  <c r="B147" i="3" s="1"/>
  <c r="C147" i="3" s="1"/>
  <c r="B18" i="1"/>
  <c r="C18" i="1" s="1"/>
  <c r="M145" i="9"/>
  <c r="M84" i="9"/>
  <c r="M22" i="9"/>
  <c r="B22" i="9" s="1"/>
  <c r="C22" i="9" s="1"/>
  <c r="M55" i="9"/>
  <c r="G24" i="9"/>
  <c r="K23" i="9" s="1"/>
  <c r="G58" i="9"/>
  <c r="G120" i="9"/>
  <c r="G86" i="9"/>
  <c r="K56" i="9"/>
  <c r="G148" i="9"/>
  <c r="K147" i="9" s="1"/>
  <c r="M53" i="8"/>
  <c r="M22" i="8"/>
  <c r="M84" i="8"/>
  <c r="M83" i="8"/>
  <c r="M52" i="8"/>
  <c r="M21" i="8"/>
  <c r="G149" i="8"/>
  <c r="K148" i="8"/>
  <c r="G86" i="8"/>
  <c r="G24" i="8"/>
  <c r="K147" i="8"/>
  <c r="G117" i="8"/>
  <c r="K116" i="8"/>
  <c r="G55" i="8"/>
  <c r="B146" i="8"/>
  <c r="C146" i="8" s="1"/>
  <c r="B145" i="8"/>
  <c r="C145" i="8" s="1"/>
  <c r="K115" i="8"/>
  <c r="B114" i="8"/>
  <c r="C114" i="8" s="1"/>
  <c r="B113" i="8"/>
  <c r="C113" i="8" s="1"/>
  <c r="M118" i="4"/>
  <c r="B118" i="4" s="1"/>
  <c r="C118" i="4" s="1"/>
  <c r="G88" i="4"/>
  <c r="K87" i="4"/>
  <c r="K86" i="4"/>
  <c r="G120" i="4"/>
  <c r="G149" i="4"/>
  <c r="K148" i="4" s="1"/>
  <c r="G55" i="4"/>
  <c r="K54" i="4"/>
  <c r="G24" i="4"/>
  <c r="K23" i="4" s="1"/>
  <c r="K147" i="4"/>
  <c r="G117" i="3"/>
  <c r="K116" i="3"/>
  <c r="K115" i="3"/>
  <c r="G149" i="3"/>
  <c r="K148" i="3"/>
  <c r="G88" i="3"/>
  <c r="K86" i="3"/>
  <c r="B146" i="3"/>
  <c r="C146" i="3" s="1"/>
  <c r="B145" i="3"/>
  <c r="C145" i="3" s="1"/>
  <c r="G58" i="3"/>
  <c r="K57" i="3" s="1"/>
  <c r="G25" i="3"/>
  <c r="L53" i="2"/>
  <c r="B53" i="2" s="1"/>
  <c r="C53" i="2" s="1"/>
  <c r="L22" i="2"/>
  <c r="L85" i="2"/>
  <c r="L21" i="2"/>
  <c r="L86" i="2"/>
  <c r="L115" i="2"/>
  <c r="B115" i="2" s="1"/>
  <c r="C115" i="2" s="1"/>
  <c r="G117" i="2"/>
  <c r="J116" i="2"/>
  <c r="G148" i="2"/>
  <c r="G24" i="2"/>
  <c r="G55" i="2"/>
  <c r="J54" i="2"/>
  <c r="J87" i="2"/>
  <c r="G88" i="2"/>
  <c r="J146" i="2"/>
  <c r="G148" i="1"/>
  <c r="J146" i="1"/>
  <c r="L114" i="1"/>
  <c r="G117" i="1"/>
  <c r="G86" i="1"/>
  <c r="G56" i="1"/>
  <c r="J55" i="1"/>
  <c r="J54" i="1"/>
  <c r="B53" i="1"/>
  <c r="C53" i="1" s="1"/>
  <c r="G22" i="1"/>
  <c r="J20" i="1"/>
  <c r="L22" i="34" a="1"/>
  <c r="L118" i="34" a="1"/>
  <c r="L86" i="34" a="1"/>
  <c r="L23" i="34" a="1"/>
  <c r="L55" i="34" a="1"/>
  <c r="L23" i="33" a="1"/>
  <c r="L53" i="33" a="1"/>
  <c r="L149" i="33" a="1"/>
  <c r="L118" i="33" a="1"/>
  <c r="L54" i="33" a="1"/>
  <c r="L84" i="32" a="1"/>
  <c r="L117" i="32" a="1"/>
  <c r="L148" i="32" a="1"/>
  <c r="L116" i="32" a="1"/>
  <c r="L85" i="32" a="1"/>
  <c r="L54" i="32" a="1"/>
  <c r="L53" i="32" a="1"/>
  <c r="L54" i="31" a="1"/>
  <c r="L23" i="31" a="1"/>
  <c r="L86" i="31" a="1"/>
  <c r="L85" i="31" a="1"/>
  <c r="L118" i="31" a="1"/>
  <c r="L151" i="30" a="1"/>
  <c r="L150" i="30" a="1"/>
  <c r="L54" i="30" a="1"/>
  <c r="L117" i="30" a="1"/>
  <c r="L86" i="30" a="1"/>
  <c r="L85" i="30" a="1"/>
  <c r="L53" i="30" a="1"/>
  <c r="L116" i="30" a="1"/>
  <c r="L54" i="29" a="1"/>
  <c r="L53" i="29" a="1"/>
  <c r="L27" i="29" a="1"/>
  <c r="L117" i="29" a="1"/>
  <c r="L26" i="29" a="1"/>
  <c r="L22" i="28" a="1"/>
  <c r="L86" i="28" a="1"/>
  <c r="L151" i="28" a="1"/>
  <c r="L150" i="28" a="1"/>
  <c r="L53" i="28" a="1"/>
  <c r="L118" i="28" a="1"/>
  <c r="L23" i="28" a="1"/>
  <c r="L22" i="27" a="1"/>
  <c r="L54" i="27" a="1"/>
  <c r="L53" i="27" a="1"/>
  <c r="L23" i="27" a="1"/>
  <c r="L149" i="27" a="1"/>
  <c r="L146" i="26" a="1"/>
  <c r="L147" i="26" a="1"/>
  <c r="L54" i="26" a="1"/>
  <c r="L118" i="26" a="1"/>
  <c r="L53" i="26" a="1"/>
  <c r="L24" i="26" a="1"/>
  <c r="L117" i="25" a="1"/>
  <c r="L87" i="25" a="1"/>
  <c r="L54" i="25" a="1"/>
  <c r="L53" i="25" a="1"/>
  <c r="L116" i="25" a="1"/>
  <c r="L150" i="25" a="1"/>
  <c r="L24" i="25" a="1"/>
  <c r="L117" i="24" a="1"/>
  <c r="L116" i="24" a="1"/>
  <c r="L150" i="24" a="1"/>
  <c r="L84" i="24" a="1"/>
  <c r="L54" i="24" a="1"/>
  <c r="L117" i="23" a="1"/>
  <c r="L84" i="23" a="1"/>
  <c r="L54" i="23" a="1"/>
  <c r="L148" i="23" a="1"/>
  <c r="L116" i="23" a="1"/>
  <c r="L53" i="23" a="1"/>
  <c r="L24" i="23" a="1"/>
  <c r="L85" i="23" a="1"/>
  <c r="L24" i="22" a="1"/>
  <c r="L147" i="22" a="1"/>
  <c r="L146" i="22" a="1"/>
  <c r="L54" i="22" a="1"/>
  <c r="L115" i="22" a="1"/>
  <c r="L88" i="22" a="1"/>
  <c r="L116" i="22" a="1"/>
  <c r="L118" i="21" a="1"/>
  <c r="L55" i="21" a="1"/>
  <c r="L85" i="21" a="1"/>
  <c r="L54" i="21" a="1"/>
  <c r="L24" i="21" a="1"/>
  <c r="L23" i="21" a="1"/>
  <c r="K146" i="1" a="1"/>
  <c r="K55" i="1" a="1"/>
  <c r="K54" i="1" a="1"/>
  <c r="K20" i="1" a="1"/>
  <c r="L55" i="34" l="1"/>
  <c r="M55" i="34" s="1"/>
  <c r="L23" i="34"/>
  <c r="M23" i="34" s="1"/>
  <c r="L86" i="34"/>
  <c r="M86" i="34" s="1"/>
  <c r="L118" i="34"/>
  <c r="M118" i="34" s="1"/>
  <c r="B118" i="34" s="1"/>
  <c r="C118" i="34" s="1"/>
  <c r="L22" i="34"/>
  <c r="M22" i="34" s="1"/>
  <c r="B23" i="34" s="1"/>
  <c r="C23" i="34" s="1"/>
  <c r="G25" i="34"/>
  <c r="G88" i="34"/>
  <c r="G120" i="34"/>
  <c r="G153" i="34"/>
  <c r="K152" i="34"/>
  <c r="K151" i="34"/>
  <c r="G57" i="34"/>
  <c r="B21" i="34"/>
  <c r="C21" i="34" s="1"/>
  <c r="B86" i="34"/>
  <c r="C86" i="34" s="1"/>
  <c r="B85" i="34"/>
  <c r="C85" i="34" s="1"/>
  <c r="B84" i="34"/>
  <c r="C84" i="34" s="1"/>
  <c r="B117" i="34"/>
  <c r="C117" i="34" s="1"/>
  <c r="B116" i="34"/>
  <c r="C116" i="34" s="1"/>
  <c r="B54" i="34"/>
  <c r="C54" i="34" s="1"/>
  <c r="B53" i="34"/>
  <c r="C53" i="34" s="1"/>
  <c r="B55" i="34"/>
  <c r="C55" i="34" s="1"/>
  <c r="L54" i="33"/>
  <c r="M54" i="33" s="1"/>
  <c r="L118" i="33"/>
  <c r="M118" i="33" s="1"/>
  <c r="B118" i="33" s="1"/>
  <c r="C118" i="33" s="1"/>
  <c r="L149" i="33"/>
  <c r="M149" i="33" s="1"/>
  <c r="L53" i="33"/>
  <c r="M53" i="33" s="1"/>
  <c r="L23" i="33"/>
  <c r="M23" i="33" s="1"/>
  <c r="B23" i="33"/>
  <c r="C23" i="33" s="1"/>
  <c r="G120" i="33"/>
  <c r="K119" i="33" s="1"/>
  <c r="G89" i="33"/>
  <c r="K88" i="33"/>
  <c r="K87" i="33"/>
  <c r="G152" i="33"/>
  <c r="K151" i="33"/>
  <c r="K150" i="33"/>
  <c r="G56" i="33"/>
  <c r="K55" i="33"/>
  <c r="G25" i="33"/>
  <c r="K24" i="33" s="1"/>
  <c r="B117" i="33"/>
  <c r="C117" i="33" s="1"/>
  <c r="B116" i="33"/>
  <c r="C116" i="33" s="1"/>
  <c r="B22" i="33"/>
  <c r="C22" i="33" s="1"/>
  <c r="L53" i="32"/>
  <c r="M53" i="32" s="1"/>
  <c r="L54" i="32"/>
  <c r="M54" i="32" s="1"/>
  <c r="L85" i="32"/>
  <c r="M85" i="32" s="1"/>
  <c r="L116" i="32"/>
  <c r="M116" i="32" s="1"/>
  <c r="L148" i="32"/>
  <c r="M148" i="32" s="1"/>
  <c r="B148" i="32" s="1"/>
  <c r="C148" i="32" s="1"/>
  <c r="L117" i="32"/>
  <c r="M117" i="32" s="1"/>
  <c r="L84" i="32"/>
  <c r="M84" i="32" s="1"/>
  <c r="G87" i="32"/>
  <c r="K86" i="32"/>
  <c r="G56" i="32"/>
  <c r="K55" i="32"/>
  <c r="G150" i="32"/>
  <c r="K149" i="32"/>
  <c r="G26" i="32"/>
  <c r="K25" i="32"/>
  <c r="K24" i="32"/>
  <c r="G119" i="32"/>
  <c r="K118" i="32"/>
  <c r="L118" i="31"/>
  <c r="M118" i="31" s="1"/>
  <c r="B118" i="31" s="1"/>
  <c r="C118" i="31" s="1"/>
  <c r="L85" i="31"/>
  <c r="M85" i="31" s="1"/>
  <c r="L86" i="31"/>
  <c r="M86" i="31" s="1"/>
  <c r="L23" i="31"/>
  <c r="M23" i="31" s="1"/>
  <c r="B23" i="31" s="1"/>
  <c r="C23" i="31" s="1"/>
  <c r="L54" i="31"/>
  <c r="M54" i="31" s="1"/>
  <c r="G56" i="31"/>
  <c r="K55" i="31"/>
  <c r="G88" i="31"/>
  <c r="G25" i="31"/>
  <c r="G152" i="31"/>
  <c r="K151" i="31"/>
  <c r="K150" i="31"/>
  <c r="G120" i="31"/>
  <c r="B22" i="31"/>
  <c r="C22" i="31" s="1"/>
  <c r="B21" i="31"/>
  <c r="C21" i="31" s="1"/>
  <c r="B84" i="31"/>
  <c r="C84" i="31" s="1"/>
  <c r="B26" i="30"/>
  <c r="C26" i="30" s="1"/>
  <c r="B25" i="30"/>
  <c r="C25" i="30" s="1"/>
  <c r="L116" i="30"/>
  <c r="M116" i="30" s="1"/>
  <c r="L53" i="30"/>
  <c r="M53" i="30" s="1"/>
  <c r="B53" i="30" s="1"/>
  <c r="C53" i="30" s="1"/>
  <c r="L85" i="30"/>
  <c r="M85" i="30" s="1"/>
  <c r="L86" i="30"/>
  <c r="M86" i="30" s="1"/>
  <c r="L117" i="30"/>
  <c r="M117" i="30" s="1"/>
  <c r="L54" i="30"/>
  <c r="M54" i="30" s="1"/>
  <c r="L150" i="30"/>
  <c r="M150" i="30" s="1"/>
  <c r="L151" i="30"/>
  <c r="M151" i="30" s="1"/>
  <c r="K87" i="30"/>
  <c r="G88" i="30"/>
  <c r="G29" i="30"/>
  <c r="K27" i="30"/>
  <c r="G119" i="30"/>
  <c r="K118" i="30"/>
  <c r="G56" i="30"/>
  <c r="K55" i="30"/>
  <c r="G153" i="30"/>
  <c r="K152" i="30"/>
  <c r="B52" i="30"/>
  <c r="C52" i="30" s="1"/>
  <c r="B84" i="30"/>
  <c r="C84" i="30" s="1"/>
  <c r="L26" i="29"/>
  <c r="M26" i="29" s="1"/>
  <c r="L117" i="29"/>
  <c r="M117" i="29" s="1"/>
  <c r="B117" i="29" s="1"/>
  <c r="C117" i="29" s="1"/>
  <c r="L27" i="29"/>
  <c r="M27" i="29" s="1"/>
  <c r="L53" i="29"/>
  <c r="M53" i="29" s="1"/>
  <c r="L54" i="29"/>
  <c r="M54" i="29" s="1"/>
  <c r="G119" i="29"/>
  <c r="K118" i="29"/>
  <c r="G87" i="29"/>
  <c r="K86" i="29" s="1"/>
  <c r="G56" i="29"/>
  <c r="K55" i="29"/>
  <c r="G151" i="29"/>
  <c r="K150" i="29"/>
  <c r="K149" i="29"/>
  <c r="K85" i="29"/>
  <c r="G29" i="29"/>
  <c r="L23" i="28"/>
  <c r="M23" i="28" s="1"/>
  <c r="L118" i="28"/>
  <c r="M118" i="28" s="1"/>
  <c r="B118" i="28" s="1"/>
  <c r="C118" i="28" s="1"/>
  <c r="L53" i="28"/>
  <c r="M53" i="28" s="1"/>
  <c r="L150" i="28"/>
  <c r="M150" i="28" s="1"/>
  <c r="L151" i="28"/>
  <c r="M151" i="28" s="1"/>
  <c r="L86" i="28"/>
  <c r="M86" i="28" s="1"/>
  <c r="B86" i="28" s="1"/>
  <c r="C86" i="28" s="1"/>
  <c r="L22" i="28"/>
  <c r="M22" i="28" s="1"/>
  <c r="G25" i="28"/>
  <c r="G120" i="28"/>
  <c r="B21" i="28"/>
  <c r="C21" i="28" s="1"/>
  <c r="B85" i="28"/>
  <c r="C85" i="28" s="1"/>
  <c r="B84" i="28"/>
  <c r="C84" i="28" s="1"/>
  <c r="B117" i="28"/>
  <c r="C117" i="28" s="1"/>
  <c r="B116" i="28"/>
  <c r="C116" i="28" s="1"/>
  <c r="G56" i="28"/>
  <c r="K55" i="28"/>
  <c r="K54" i="28"/>
  <c r="G153" i="28"/>
  <c r="K152" i="28"/>
  <c r="G88" i="28"/>
  <c r="L149" i="27"/>
  <c r="M149" i="27" s="1"/>
  <c r="B149" i="27" s="1"/>
  <c r="C149" i="27" s="1"/>
  <c r="L23" i="27"/>
  <c r="M23" i="27" s="1"/>
  <c r="L53" i="27"/>
  <c r="M53" i="27" s="1"/>
  <c r="L54" i="27"/>
  <c r="M54" i="27" s="1"/>
  <c r="L22" i="27"/>
  <c r="M22" i="27" s="1"/>
  <c r="G118" i="27"/>
  <c r="K117" i="27"/>
  <c r="K116" i="27"/>
  <c r="G87" i="27"/>
  <c r="K86" i="27"/>
  <c r="G56" i="27"/>
  <c r="K55" i="27"/>
  <c r="G25" i="27"/>
  <c r="K24" i="27" s="1"/>
  <c r="B84" i="27"/>
  <c r="C84" i="27" s="1"/>
  <c r="B83" i="27"/>
  <c r="C83" i="27" s="1"/>
  <c r="K85" i="27"/>
  <c r="G151" i="27"/>
  <c r="K150" i="27"/>
  <c r="L24" i="26"/>
  <c r="M24" i="26" s="1"/>
  <c r="B24" i="26" s="1"/>
  <c r="C24" i="26" s="1"/>
  <c r="L53" i="26"/>
  <c r="M53" i="26" s="1"/>
  <c r="L118" i="26"/>
  <c r="M118" i="26" s="1"/>
  <c r="B118" i="26" s="1"/>
  <c r="C118" i="26" s="1"/>
  <c r="L54" i="26"/>
  <c r="M54" i="26" s="1"/>
  <c r="L147" i="26"/>
  <c r="M147" i="26" s="1"/>
  <c r="L146" i="26"/>
  <c r="M146" i="26" s="1"/>
  <c r="G27" i="26"/>
  <c r="K25" i="26"/>
  <c r="G87" i="26"/>
  <c r="K86" i="26"/>
  <c r="K85" i="26"/>
  <c r="G120" i="26"/>
  <c r="G56" i="26"/>
  <c r="K55" i="26"/>
  <c r="G149" i="26"/>
  <c r="K148" i="26" s="1"/>
  <c r="B117" i="26"/>
  <c r="C117" i="26" s="1"/>
  <c r="B116" i="26"/>
  <c r="C116" i="26" s="1"/>
  <c r="B84" i="26"/>
  <c r="C84" i="26" s="1"/>
  <c r="B83" i="26"/>
  <c r="C83" i="26" s="1"/>
  <c r="L24" i="25"/>
  <c r="M24" i="25" s="1"/>
  <c r="B24" i="25" s="1"/>
  <c r="C24" i="25" s="1"/>
  <c r="L150" i="25"/>
  <c r="M150" i="25" s="1"/>
  <c r="B150" i="25" s="1"/>
  <c r="C150" i="25" s="1"/>
  <c r="L116" i="25"/>
  <c r="M116" i="25" s="1"/>
  <c r="L53" i="25"/>
  <c r="M53" i="25" s="1"/>
  <c r="L54" i="25"/>
  <c r="M54" i="25" s="1"/>
  <c r="L87" i="25"/>
  <c r="M87" i="25" s="1"/>
  <c r="L117" i="25"/>
  <c r="M117" i="25" s="1"/>
  <c r="G90" i="25"/>
  <c r="K89" i="25"/>
  <c r="K88" i="25"/>
  <c r="G119" i="25"/>
  <c r="K118" i="25"/>
  <c r="G56" i="25"/>
  <c r="K55" i="25"/>
  <c r="G26" i="25"/>
  <c r="K25" i="25" s="1"/>
  <c r="G152" i="25"/>
  <c r="K151" i="25"/>
  <c r="L54" i="24"/>
  <c r="M54" i="24" s="1"/>
  <c r="B54" i="24" s="1"/>
  <c r="C54" i="24" s="1"/>
  <c r="L84" i="24"/>
  <c r="M84" i="24" s="1"/>
  <c r="L150" i="24"/>
  <c r="M150" i="24" s="1"/>
  <c r="L116" i="24"/>
  <c r="M116" i="24" s="1"/>
  <c r="L117" i="24"/>
  <c r="M117" i="24" s="1"/>
  <c r="G26" i="24"/>
  <c r="K25" i="24"/>
  <c r="G87" i="24"/>
  <c r="K85" i="24"/>
  <c r="G153" i="24"/>
  <c r="G119" i="24"/>
  <c r="K118" i="24"/>
  <c r="K24" i="24"/>
  <c r="G56" i="24"/>
  <c r="K55" i="24"/>
  <c r="K151" i="24"/>
  <c r="L85" i="23"/>
  <c r="M85" i="23" s="1"/>
  <c r="L24" i="23"/>
  <c r="M24" i="23" s="1"/>
  <c r="B24" i="23" s="1"/>
  <c r="C24" i="23" s="1"/>
  <c r="L53" i="23"/>
  <c r="M53" i="23" s="1"/>
  <c r="L116" i="23"/>
  <c r="M116" i="23" s="1"/>
  <c r="L148" i="23"/>
  <c r="M148" i="23" s="1"/>
  <c r="B148" i="23" s="1"/>
  <c r="C148" i="23" s="1"/>
  <c r="L54" i="23"/>
  <c r="M54" i="23" s="1"/>
  <c r="L84" i="23"/>
  <c r="M84" i="23" s="1"/>
  <c r="L117" i="23"/>
  <c r="M117" i="23" s="1"/>
  <c r="G87" i="23"/>
  <c r="G26" i="23"/>
  <c r="K25" i="23"/>
  <c r="G119" i="23"/>
  <c r="G150" i="23"/>
  <c r="G56" i="23"/>
  <c r="K55" i="23"/>
  <c r="B83" i="23"/>
  <c r="C83" i="23" s="1"/>
  <c r="L116" i="22"/>
  <c r="M116" i="22" s="1"/>
  <c r="L88" i="22"/>
  <c r="M88" i="22" s="1"/>
  <c r="L115" i="22"/>
  <c r="M115" i="22" s="1"/>
  <c r="L54" i="22"/>
  <c r="M54" i="22" s="1"/>
  <c r="B54" i="22" s="1"/>
  <c r="C54" i="22" s="1"/>
  <c r="L146" i="22"/>
  <c r="M146" i="22" s="1"/>
  <c r="L147" i="22"/>
  <c r="M147" i="22" s="1"/>
  <c r="L24" i="22"/>
  <c r="M24" i="22" s="1"/>
  <c r="B24" i="22" s="1"/>
  <c r="C24" i="22" s="1"/>
  <c r="G149" i="22"/>
  <c r="K148" i="22"/>
  <c r="G118" i="22"/>
  <c r="K117" i="22" s="1"/>
  <c r="G56" i="22"/>
  <c r="K55" i="22"/>
  <c r="G90" i="22"/>
  <c r="K89" i="22"/>
  <c r="G26" i="22"/>
  <c r="B23" i="22"/>
  <c r="C23" i="22" s="1"/>
  <c r="B22" i="22"/>
  <c r="C22" i="22" s="1"/>
  <c r="B87" i="22"/>
  <c r="C87" i="22" s="1"/>
  <c r="B145" i="22"/>
  <c r="C145" i="22" s="1"/>
  <c r="L23" i="21"/>
  <c r="M23" i="21" s="1"/>
  <c r="L24" i="21"/>
  <c r="M24" i="21" s="1"/>
  <c r="L54" i="21"/>
  <c r="M54" i="21" s="1"/>
  <c r="L85" i="21"/>
  <c r="M85" i="21" s="1"/>
  <c r="L55" i="21"/>
  <c r="M55" i="21" s="1"/>
  <c r="L118" i="21"/>
  <c r="M118" i="21" s="1"/>
  <c r="B118" i="21" s="1"/>
  <c r="C118" i="21" s="1"/>
  <c r="G26" i="21"/>
  <c r="K25" i="21" s="1"/>
  <c r="G57" i="21"/>
  <c r="K56" i="21"/>
  <c r="G151" i="21"/>
  <c r="K150" i="21"/>
  <c r="K149" i="21"/>
  <c r="G88" i="21"/>
  <c r="K87" i="21"/>
  <c r="K86" i="21"/>
  <c r="G120" i="21"/>
  <c r="B53" i="21"/>
  <c r="C53" i="21" s="1"/>
  <c r="M115" i="8"/>
  <c r="M148" i="8"/>
  <c r="M147" i="9"/>
  <c r="B147" i="9" s="1"/>
  <c r="C147" i="9" s="1"/>
  <c r="M56" i="9"/>
  <c r="B56" i="9" s="1"/>
  <c r="C56" i="9" s="1"/>
  <c r="M23" i="9"/>
  <c r="B23" i="9" s="1"/>
  <c r="C23" i="9" s="1"/>
  <c r="K20" i="1"/>
  <c r="K54" i="1"/>
  <c r="K55" i="1"/>
  <c r="K146" i="1"/>
  <c r="L146" i="1" s="1"/>
  <c r="B23" i="3"/>
  <c r="C23" i="3" s="1"/>
  <c r="M23" i="4"/>
  <c r="B23" i="4" s="1"/>
  <c r="C23" i="4" s="1"/>
  <c r="L19" i="1"/>
  <c r="B19" i="1" s="1"/>
  <c r="C19" i="1" s="1"/>
  <c r="G87" i="9"/>
  <c r="K86" i="9"/>
  <c r="G121" i="9"/>
  <c r="K120" i="9" s="1"/>
  <c r="K85" i="9"/>
  <c r="G25" i="9"/>
  <c r="K24" i="9"/>
  <c r="B55" i="9"/>
  <c r="C55" i="9" s="1"/>
  <c r="G149" i="9"/>
  <c r="K148" i="9"/>
  <c r="B146" i="9"/>
  <c r="C146" i="9" s="1"/>
  <c r="B145" i="9"/>
  <c r="C145" i="9" s="1"/>
  <c r="K119" i="9"/>
  <c r="G59" i="9"/>
  <c r="K58" i="9"/>
  <c r="K57" i="9"/>
  <c r="B84" i="9"/>
  <c r="C84" i="9" s="1"/>
  <c r="B83" i="9"/>
  <c r="C83" i="9" s="1"/>
  <c r="M116" i="8"/>
  <c r="M147" i="8"/>
  <c r="G56" i="8"/>
  <c r="G118" i="8"/>
  <c r="G87" i="8"/>
  <c r="K86" i="8"/>
  <c r="B22" i="8"/>
  <c r="C22" i="8" s="1"/>
  <c r="B21" i="8"/>
  <c r="C21" i="8" s="1"/>
  <c r="G25" i="8"/>
  <c r="K24" i="8"/>
  <c r="K23" i="8"/>
  <c r="K85" i="8"/>
  <c r="G150" i="8"/>
  <c r="K149" i="8" s="1"/>
  <c r="B53" i="8"/>
  <c r="C53" i="8" s="1"/>
  <c r="B52" i="8"/>
  <c r="C52" i="8" s="1"/>
  <c r="B84" i="8"/>
  <c r="C84" i="8" s="1"/>
  <c r="B83" i="8"/>
  <c r="C83" i="8" s="1"/>
  <c r="K54" i="8"/>
  <c r="M148" i="4"/>
  <c r="M54" i="4"/>
  <c r="B54" i="4" s="1"/>
  <c r="C54" i="4" s="1"/>
  <c r="M86" i="4"/>
  <c r="M87" i="4"/>
  <c r="M147" i="4"/>
  <c r="G25" i="4"/>
  <c r="K24" i="4"/>
  <c r="G56" i="4"/>
  <c r="K55" i="4"/>
  <c r="G150" i="4"/>
  <c r="G121" i="4"/>
  <c r="K120" i="4" s="1"/>
  <c r="K119" i="4"/>
  <c r="G89" i="4"/>
  <c r="K88" i="4" s="1"/>
  <c r="B22" i="4"/>
  <c r="C22" i="4" s="1"/>
  <c r="M116" i="3"/>
  <c r="M115" i="3"/>
  <c r="M86" i="3"/>
  <c r="M148" i="3"/>
  <c r="M57" i="3"/>
  <c r="B57" i="3" s="1"/>
  <c r="C57" i="3" s="1"/>
  <c r="G26" i="3"/>
  <c r="K25" i="3" s="1"/>
  <c r="G89" i="3"/>
  <c r="K88" i="3"/>
  <c r="K24" i="3"/>
  <c r="G118" i="3"/>
  <c r="K117" i="3" s="1"/>
  <c r="K87" i="3"/>
  <c r="G150" i="3"/>
  <c r="K149" i="3" s="1"/>
  <c r="G59" i="3"/>
  <c r="L54" i="2"/>
  <c r="B54" i="2" s="1"/>
  <c r="C54" i="2" s="1"/>
  <c r="L146" i="2"/>
  <c r="L116" i="2"/>
  <c r="B116" i="2" s="1"/>
  <c r="C116" i="2" s="1"/>
  <c r="L87" i="2"/>
  <c r="B87" i="2" s="1"/>
  <c r="C87" i="2" s="1"/>
  <c r="G25" i="2"/>
  <c r="J24" i="2"/>
  <c r="G149" i="2"/>
  <c r="J148" i="2"/>
  <c r="B22" i="2"/>
  <c r="C22" i="2" s="1"/>
  <c r="B21" i="2"/>
  <c r="C21" i="2" s="1"/>
  <c r="J147" i="2"/>
  <c r="B86" i="2"/>
  <c r="C86" i="2" s="1"/>
  <c r="B85" i="2"/>
  <c r="C85" i="2" s="1"/>
  <c r="J55" i="2"/>
  <c r="G56" i="2"/>
  <c r="G118" i="2"/>
  <c r="J88" i="2"/>
  <c r="G89" i="2"/>
  <c r="J23" i="2"/>
  <c r="G149" i="1"/>
  <c r="J148" i="1"/>
  <c r="J147" i="1"/>
  <c r="G118" i="1"/>
  <c r="J117" i="1"/>
  <c r="J116" i="1"/>
  <c r="B115" i="1"/>
  <c r="C115" i="1" s="1"/>
  <c r="B114" i="1"/>
  <c r="C114" i="1" s="1"/>
  <c r="G87" i="1"/>
  <c r="J86" i="1"/>
  <c r="J85" i="1"/>
  <c r="B84" i="1"/>
  <c r="C84" i="1" s="1"/>
  <c r="B83" i="1"/>
  <c r="C83" i="1" s="1"/>
  <c r="L54" i="1"/>
  <c r="L55" i="1"/>
  <c r="G57" i="1"/>
  <c r="G23" i="1"/>
  <c r="J21" i="1"/>
  <c r="L152" i="34" a="1"/>
  <c r="L151" i="34" a="1"/>
  <c r="L88" i="33" a="1"/>
  <c r="L150" i="33" a="1"/>
  <c r="L87" i="33" a="1"/>
  <c r="L151" i="33" a="1"/>
  <c r="L55" i="33" a="1"/>
  <c r="L24" i="33" a="1"/>
  <c r="L119" i="33" a="1"/>
  <c r="L118" i="32" a="1"/>
  <c r="L86" i="32" a="1"/>
  <c r="L55" i="32" a="1"/>
  <c r="L149" i="32" a="1"/>
  <c r="L25" i="32" a="1"/>
  <c r="L24" i="32" a="1"/>
  <c r="L150" i="31" a="1"/>
  <c r="L55" i="31" a="1"/>
  <c r="L151" i="31" a="1"/>
  <c r="L118" i="30" a="1"/>
  <c r="L55" i="30" a="1"/>
  <c r="L87" i="30" a="1"/>
  <c r="L27" i="30" a="1"/>
  <c r="L152" i="30" a="1"/>
  <c r="L118" i="29" a="1"/>
  <c r="L55" i="29" a="1"/>
  <c r="L150" i="29" a="1"/>
  <c r="L149" i="29" a="1"/>
  <c r="L85" i="29" a="1"/>
  <c r="L86" i="29" a="1"/>
  <c r="L54" i="28" a="1"/>
  <c r="L152" i="28" a="1"/>
  <c r="L55" i="28" a="1"/>
  <c r="L117" i="27" a="1"/>
  <c r="L116" i="27" a="1"/>
  <c r="L55" i="27" a="1"/>
  <c r="L85" i="27" a="1"/>
  <c r="L86" i="27" a="1"/>
  <c r="L150" i="27" a="1"/>
  <c r="L24" i="27" a="1"/>
  <c r="L25" i="26" a="1"/>
  <c r="L86" i="26" a="1"/>
  <c r="L85" i="26" a="1"/>
  <c r="L55" i="26" a="1"/>
  <c r="L148" i="26" a="1"/>
  <c r="L88" i="25" a="1"/>
  <c r="L118" i="25" a="1"/>
  <c r="L151" i="25" a="1"/>
  <c r="L89" i="25" a="1"/>
  <c r="L55" i="25" a="1"/>
  <c r="L25" i="25" a="1"/>
  <c r="L25" i="24" a="1"/>
  <c r="L151" i="24" a="1"/>
  <c r="L85" i="24" a="1"/>
  <c r="L118" i="24" a="1"/>
  <c r="L24" i="24" a="1"/>
  <c r="L55" i="24" a="1"/>
  <c r="L25" i="23" a="1"/>
  <c r="L55" i="23" a="1"/>
  <c r="L148" i="22" a="1"/>
  <c r="L55" i="22" a="1"/>
  <c r="L89" i="22" a="1"/>
  <c r="L117" i="22" a="1"/>
  <c r="L87" i="21" a="1"/>
  <c r="L56" i="21" a="1"/>
  <c r="L86" i="21" a="1"/>
  <c r="L150" i="21" a="1"/>
  <c r="L149" i="21" a="1"/>
  <c r="L25" i="21" a="1"/>
  <c r="K86" i="1" a="1"/>
  <c r="K85" i="1" a="1"/>
  <c r="K21" i="1" a="1"/>
  <c r="K148" i="1" a="1"/>
  <c r="K116" i="1" a="1"/>
  <c r="K147" i="1" a="1"/>
  <c r="K117" i="1" a="1"/>
  <c r="B22" i="34" l="1"/>
  <c r="C22" i="34" s="1"/>
  <c r="L151" i="34"/>
  <c r="M151" i="34" s="1"/>
  <c r="L152" i="34"/>
  <c r="M152" i="34" s="1"/>
  <c r="G121" i="34"/>
  <c r="K120" i="34"/>
  <c r="G58" i="34"/>
  <c r="K57" i="34"/>
  <c r="K56" i="34"/>
  <c r="K153" i="34"/>
  <c r="G154" i="34"/>
  <c r="K119" i="34"/>
  <c r="G89" i="34"/>
  <c r="K88" i="34"/>
  <c r="K87" i="34"/>
  <c r="G26" i="34"/>
  <c r="K25" i="34"/>
  <c r="K24" i="34"/>
  <c r="L119" i="33"/>
  <c r="M119" i="33" s="1"/>
  <c r="B119" i="33" s="1"/>
  <c r="C119" i="33" s="1"/>
  <c r="L24" i="33"/>
  <c r="M24" i="33" s="1"/>
  <c r="B24" i="33" s="1"/>
  <c r="C24" i="33" s="1"/>
  <c r="L55" i="33"/>
  <c r="M55" i="33" s="1"/>
  <c r="B55" i="33" s="1"/>
  <c r="C55" i="33" s="1"/>
  <c r="L151" i="33"/>
  <c r="M151" i="33" s="1"/>
  <c r="L87" i="33"/>
  <c r="M87" i="33" s="1"/>
  <c r="L150" i="33"/>
  <c r="M150" i="33" s="1"/>
  <c r="L88" i="33"/>
  <c r="M88" i="33" s="1"/>
  <c r="G57" i="33"/>
  <c r="G153" i="33"/>
  <c r="G90" i="33"/>
  <c r="K89" i="33"/>
  <c r="B54" i="33"/>
  <c r="C54" i="33" s="1"/>
  <c r="B53" i="33"/>
  <c r="C53" i="33" s="1"/>
  <c r="B149" i="33"/>
  <c r="C149" i="33" s="1"/>
  <c r="G26" i="33"/>
  <c r="K25" i="33"/>
  <c r="G121" i="33"/>
  <c r="L24" i="32"/>
  <c r="M24" i="32" s="1"/>
  <c r="L25" i="32"/>
  <c r="M25" i="32" s="1"/>
  <c r="L149" i="32"/>
  <c r="M149" i="32" s="1"/>
  <c r="B149" i="32" s="1"/>
  <c r="C149" i="32" s="1"/>
  <c r="L55" i="32"/>
  <c r="M55" i="32" s="1"/>
  <c r="B55" i="32" s="1"/>
  <c r="C55" i="32" s="1"/>
  <c r="L86" i="32"/>
  <c r="M86" i="32" s="1"/>
  <c r="B86" i="32" s="1"/>
  <c r="C86" i="32" s="1"/>
  <c r="L118" i="32"/>
  <c r="M118" i="32" s="1"/>
  <c r="B118" i="32" s="1"/>
  <c r="C118" i="32" s="1"/>
  <c r="G120" i="32"/>
  <c r="G27" i="32"/>
  <c r="K26" i="32"/>
  <c r="G151" i="32"/>
  <c r="K150" i="32" s="1"/>
  <c r="G57" i="32"/>
  <c r="G88" i="32"/>
  <c r="K87" i="32" s="1"/>
  <c r="B85" i="32"/>
  <c r="C85" i="32" s="1"/>
  <c r="B84" i="32"/>
  <c r="C84" i="32" s="1"/>
  <c r="B117" i="32"/>
  <c r="C117" i="32" s="1"/>
  <c r="B116" i="32"/>
  <c r="C116" i="32" s="1"/>
  <c r="B54" i="32"/>
  <c r="C54" i="32" s="1"/>
  <c r="B53" i="32"/>
  <c r="C53" i="32" s="1"/>
  <c r="B86" i="31"/>
  <c r="C86" i="31" s="1"/>
  <c r="L151" i="31"/>
  <c r="M151" i="31" s="1"/>
  <c r="L55" i="31"/>
  <c r="M55" i="31" s="1"/>
  <c r="B55" i="31" s="1"/>
  <c r="C55" i="31" s="1"/>
  <c r="L150" i="31"/>
  <c r="M150" i="31" s="1"/>
  <c r="G153" i="31"/>
  <c r="K152" i="31"/>
  <c r="G26" i="31"/>
  <c r="K25" i="31"/>
  <c r="K24" i="31"/>
  <c r="G89" i="31"/>
  <c r="K88" i="31"/>
  <c r="G121" i="31"/>
  <c r="K120" i="31"/>
  <c r="K119" i="31"/>
  <c r="K87" i="31"/>
  <c r="G57" i="31"/>
  <c r="B54" i="31"/>
  <c r="C54" i="31" s="1"/>
  <c r="B85" i="31"/>
  <c r="C85" i="31" s="1"/>
  <c r="L152" i="30"/>
  <c r="M152" i="30" s="1"/>
  <c r="L27" i="30"/>
  <c r="M27" i="30" s="1"/>
  <c r="L87" i="30"/>
  <c r="M87" i="30" s="1"/>
  <c r="B87" i="30" s="1"/>
  <c r="C87" i="30" s="1"/>
  <c r="L55" i="30"/>
  <c r="M55" i="30" s="1"/>
  <c r="B55" i="30" s="1"/>
  <c r="C55" i="30" s="1"/>
  <c r="L118" i="30"/>
  <c r="M118" i="30" s="1"/>
  <c r="B118" i="30" s="1"/>
  <c r="C118" i="30" s="1"/>
  <c r="G154" i="30"/>
  <c r="G30" i="30"/>
  <c r="K29" i="30"/>
  <c r="G89" i="30"/>
  <c r="K88" i="30" s="1"/>
  <c r="G57" i="30"/>
  <c r="B151" i="30"/>
  <c r="C151" i="30" s="1"/>
  <c r="B150" i="30"/>
  <c r="C150" i="30" s="1"/>
  <c r="B86" i="30"/>
  <c r="C86" i="30" s="1"/>
  <c r="B85" i="30"/>
  <c r="C85" i="30" s="1"/>
  <c r="B54" i="30"/>
  <c r="C54" i="30" s="1"/>
  <c r="G120" i="30"/>
  <c r="K28" i="30"/>
  <c r="B117" i="30"/>
  <c r="C117" i="30" s="1"/>
  <c r="B116" i="30"/>
  <c r="C116" i="30" s="1"/>
  <c r="L86" i="29"/>
  <c r="M86" i="29" s="1"/>
  <c r="L85" i="29"/>
  <c r="M85" i="29" s="1"/>
  <c r="L149" i="29"/>
  <c r="M149" i="29" s="1"/>
  <c r="L150" i="29"/>
  <c r="M150" i="29" s="1"/>
  <c r="L55" i="29"/>
  <c r="M55" i="29" s="1"/>
  <c r="B55" i="29" s="1"/>
  <c r="C55" i="29" s="1"/>
  <c r="L118" i="29"/>
  <c r="M118" i="29" s="1"/>
  <c r="G30" i="29"/>
  <c r="K29" i="29"/>
  <c r="K28" i="29"/>
  <c r="G152" i="29"/>
  <c r="G57" i="29"/>
  <c r="B54" i="29"/>
  <c r="C54" i="29" s="1"/>
  <c r="B53" i="29"/>
  <c r="C53" i="29" s="1"/>
  <c r="G88" i="29"/>
  <c r="G120" i="29"/>
  <c r="B27" i="29"/>
  <c r="C27" i="29" s="1"/>
  <c r="B26" i="29"/>
  <c r="C26" i="29" s="1"/>
  <c r="B23" i="28"/>
  <c r="C23" i="28" s="1"/>
  <c r="L55" i="28"/>
  <c r="M55" i="28" s="1"/>
  <c r="L152" i="28"/>
  <c r="M152" i="28" s="1"/>
  <c r="B152" i="28" s="1"/>
  <c r="C152" i="28" s="1"/>
  <c r="L54" i="28"/>
  <c r="M54" i="28" s="1"/>
  <c r="B54" i="28" s="1"/>
  <c r="C54" i="28" s="1"/>
  <c r="G26" i="28"/>
  <c r="K25" i="28"/>
  <c r="G89" i="28"/>
  <c r="K88" i="28"/>
  <c r="G57" i="28"/>
  <c r="B22" i="28"/>
  <c r="C22" i="28" s="1"/>
  <c r="G121" i="28"/>
  <c r="K120" i="28"/>
  <c r="K119" i="28"/>
  <c r="K24" i="28"/>
  <c r="K87" i="28"/>
  <c r="B151" i="28"/>
  <c r="C151" i="28" s="1"/>
  <c r="B150" i="28"/>
  <c r="C150" i="28" s="1"/>
  <c r="K153" i="28"/>
  <c r="G154" i="28"/>
  <c r="B53" i="28"/>
  <c r="C53" i="28" s="1"/>
  <c r="L24" i="27"/>
  <c r="M24" i="27" s="1"/>
  <c r="B24" i="27" s="1"/>
  <c r="C24" i="27" s="1"/>
  <c r="L150" i="27"/>
  <c r="M150" i="27" s="1"/>
  <c r="B150" i="27" s="1"/>
  <c r="C150" i="27" s="1"/>
  <c r="L86" i="27"/>
  <c r="M86" i="27" s="1"/>
  <c r="L85" i="27"/>
  <c r="M85" i="27" s="1"/>
  <c r="L55" i="27"/>
  <c r="M55" i="27" s="1"/>
  <c r="B55" i="27" s="1"/>
  <c r="C55" i="27" s="1"/>
  <c r="L116" i="27"/>
  <c r="M116" i="27" s="1"/>
  <c r="L117" i="27"/>
  <c r="M117" i="27" s="1"/>
  <c r="G152" i="27"/>
  <c r="K151" i="27"/>
  <c r="G26" i="27"/>
  <c r="K25" i="27"/>
  <c r="G57" i="27"/>
  <c r="G88" i="27"/>
  <c r="G119" i="27"/>
  <c r="K118" i="27"/>
  <c r="B23" i="27"/>
  <c r="C23" i="27" s="1"/>
  <c r="B22" i="27"/>
  <c r="C22" i="27" s="1"/>
  <c r="B54" i="27"/>
  <c r="C54" i="27" s="1"/>
  <c r="B53" i="27"/>
  <c r="C53" i="27" s="1"/>
  <c r="L148" i="26"/>
  <c r="M148" i="26" s="1"/>
  <c r="B148" i="26" s="1"/>
  <c r="C148" i="26" s="1"/>
  <c r="L55" i="26"/>
  <c r="M55" i="26" s="1"/>
  <c r="B55" i="26" s="1"/>
  <c r="C55" i="26" s="1"/>
  <c r="L85" i="26"/>
  <c r="M85" i="26" s="1"/>
  <c r="L86" i="26"/>
  <c r="M86" i="26" s="1"/>
  <c r="L25" i="26"/>
  <c r="M25" i="26" s="1"/>
  <c r="B25" i="26" s="1"/>
  <c r="C25" i="26" s="1"/>
  <c r="G121" i="26"/>
  <c r="K120" i="26"/>
  <c r="G88" i="26"/>
  <c r="G28" i="26"/>
  <c r="B147" i="26"/>
  <c r="C147" i="26" s="1"/>
  <c r="B146" i="26"/>
  <c r="C146" i="26" s="1"/>
  <c r="G150" i="26"/>
  <c r="K149" i="26" s="1"/>
  <c r="G57" i="26"/>
  <c r="K56" i="26" s="1"/>
  <c r="K119" i="26"/>
  <c r="K26" i="26"/>
  <c r="B54" i="26"/>
  <c r="C54" i="26" s="1"/>
  <c r="B53" i="26"/>
  <c r="C53" i="26" s="1"/>
  <c r="L25" i="25"/>
  <c r="M25" i="25" s="1"/>
  <c r="B25" i="25" s="1"/>
  <c r="C25" i="25" s="1"/>
  <c r="L55" i="25"/>
  <c r="M55" i="25" s="1"/>
  <c r="B55" i="25" s="1"/>
  <c r="C55" i="25" s="1"/>
  <c r="L89" i="25"/>
  <c r="M89" i="25" s="1"/>
  <c r="L151" i="25"/>
  <c r="M151" i="25" s="1"/>
  <c r="B151" i="25" s="1"/>
  <c r="C151" i="25" s="1"/>
  <c r="L118" i="25"/>
  <c r="M118" i="25" s="1"/>
  <c r="L88" i="25"/>
  <c r="M88" i="25" s="1"/>
  <c r="G153" i="25"/>
  <c r="K152" i="25"/>
  <c r="K56" i="25"/>
  <c r="G57" i="25"/>
  <c r="G120" i="25"/>
  <c r="B87" i="25"/>
  <c r="C87" i="25" s="1"/>
  <c r="B54" i="25"/>
  <c r="C54" i="25" s="1"/>
  <c r="B53" i="25"/>
  <c r="C53" i="25" s="1"/>
  <c r="B117" i="25"/>
  <c r="C117" i="25" s="1"/>
  <c r="B116" i="25"/>
  <c r="C116" i="25" s="1"/>
  <c r="K26" i="25"/>
  <c r="G27" i="25"/>
  <c r="G91" i="25"/>
  <c r="L55" i="24"/>
  <c r="M55" i="24" s="1"/>
  <c r="B55" i="24" s="1"/>
  <c r="C55" i="24" s="1"/>
  <c r="L24" i="24"/>
  <c r="M24" i="24" s="1"/>
  <c r="L118" i="24"/>
  <c r="M118" i="24" s="1"/>
  <c r="L85" i="24"/>
  <c r="M85" i="24" s="1"/>
  <c r="B85" i="24" s="1"/>
  <c r="C85" i="24" s="1"/>
  <c r="L151" i="24"/>
  <c r="M151" i="24" s="1"/>
  <c r="L25" i="24"/>
  <c r="M25" i="24" s="1"/>
  <c r="G57" i="24"/>
  <c r="K56" i="24" s="1"/>
  <c r="K119" i="24"/>
  <c r="G120" i="24"/>
  <c r="G154" i="24"/>
  <c r="K152" i="24"/>
  <c r="G88" i="24"/>
  <c r="K86" i="24"/>
  <c r="B85" i="23"/>
  <c r="C85" i="23" s="1"/>
  <c r="G27" i="24"/>
  <c r="B117" i="24"/>
  <c r="C117" i="24" s="1"/>
  <c r="B116" i="24"/>
  <c r="C116" i="24" s="1"/>
  <c r="B150" i="24"/>
  <c r="C150" i="24" s="1"/>
  <c r="B84" i="24"/>
  <c r="C84" i="24" s="1"/>
  <c r="L55" i="23"/>
  <c r="M55" i="23" s="1"/>
  <c r="B55" i="23" s="1"/>
  <c r="C55" i="23" s="1"/>
  <c r="L25" i="23"/>
  <c r="M25" i="23" s="1"/>
  <c r="B25" i="23" s="1"/>
  <c r="C25" i="23" s="1"/>
  <c r="G120" i="23"/>
  <c r="G88" i="23"/>
  <c r="G57" i="23"/>
  <c r="G151" i="23"/>
  <c r="B117" i="23"/>
  <c r="C117" i="23" s="1"/>
  <c r="B116" i="23"/>
  <c r="C116" i="23" s="1"/>
  <c r="K149" i="23"/>
  <c r="K118" i="23"/>
  <c r="G27" i="23"/>
  <c r="K26" i="23"/>
  <c r="K86" i="23"/>
  <c r="B54" i="23"/>
  <c r="C54" i="23" s="1"/>
  <c r="B53" i="23"/>
  <c r="C53" i="23" s="1"/>
  <c r="B84" i="23"/>
  <c r="C84" i="23" s="1"/>
  <c r="L117" i="22"/>
  <c r="M117" i="22" s="1"/>
  <c r="B117" i="22" s="1"/>
  <c r="C117" i="22" s="1"/>
  <c r="L89" i="22"/>
  <c r="M89" i="22" s="1"/>
  <c r="B89" i="22" s="1"/>
  <c r="C89" i="22" s="1"/>
  <c r="L55" i="22"/>
  <c r="M55" i="22" s="1"/>
  <c r="B55" i="22" s="1"/>
  <c r="C55" i="22" s="1"/>
  <c r="L148" i="22"/>
  <c r="M148" i="22" s="1"/>
  <c r="B148" i="22" s="1"/>
  <c r="C148" i="22" s="1"/>
  <c r="G27" i="22"/>
  <c r="K26" i="22" s="1"/>
  <c r="G150" i="22"/>
  <c r="K149" i="22" s="1"/>
  <c r="K25" i="22"/>
  <c r="G91" i="22"/>
  <c r="K90" i="22" s="1"/>
  <c r="G57" i="22"/>
  <c r="G119" i="22"/>
  <c r="K118" i="22"/>
  <c r="B147" i="22"/>
  <c r="C147" i="22" s="1"/>
  <c r="B146" i="22"/>
  <c r="C146" i="22" s="1"/>
  <c r="B116" i="22"/>
  <c r="C116" i="22" s="1"/>
  <c r="B115" i="22"/>
  <c r="C115" i="22" s="1"/>
  <c r="B88" i="22"/>
  <c r="C88" i="22" s="1"/>
  <c r="B55" i="21"/>
  <c r="C55" i="21" s="1"/>
  <c r="L25" i="21"/>
  <c r="M25" i="21" s="1"/>
  <c r="B25" i="21" s="1"/>
  <c r="C25" i="21" s="1"/>
  <c r="L149" i="21"/>
  <c r="M149" i="21" s="1"/>
  <c r="L150" i="21"/>
  <c r="M150" i="21" s="1"/>
  <c r="L86" i="21"/>
  <c r="M86" i="21" s="1"/>
  <c r="L56" i="21"/>
  <c r="M56" i="21" s="1"/>
  <c r="B56" i="21" s="1"/>
  <c r="C56" i="21" s="1"/>
  <c r="L87" i="21"/>
  <c r="M87" i="21" s="1"/>
  <c r="B54" i="21"/>
  <c r="C54" i="21" s="1"/>
  <c r="G121" i="21"/>
  <c r="K120" i="21"/>
  <c r="G152" i="21"/>
  <c r="K151" i="21" s="1"/>
  <c r="K119" i="21"/>
  <c r="B24" i="21"/>
  <c r="C24" i="21" s="1"/>
  <c r="B23" i="21"/>
  <c r="C23" i="21" s="1"/>
  <c r="G58" i="21"/>
  <c r="K57" i="21"/>
  <c r="G89" i="21"/>
  <c r="K88" i="21"/>
  <c r="G27" i="21"/>
  <c r="B85" i="21"/>
  <c r="C85" i="21" s="1"/>
  <c r="M149" i="8"/>
  <c r="M148" i="9"/>
  <c r="B148" i="9" s="1"/>
  <c r="C148" i="9" s="1"/>
  <c r="M24" i="9"/>
  <c r="B24" i="9" s="1"/>
  <c r="C24" i="9" s="1"/>
  <c r="M120" i="9"/>
  <c r="K117" i="1"/>
  <c r="L117" i="1" s="1"/>
  <c r="K147" i="1"/>
  <c r="L147" i="1" s="1"/>
  <c r="B147" i="1" s="1"/>
  <c r="C147" i="1" s="1"/>
  <c r="K116" i="1"/>
  <c r="L116" i="1" s="1"/>
  <c r="K148" i="1"/>
  <c r="L148" i="1" s="1"/>
  <c r="K21" i="1"/>
  <c r="K85" i="1"/>
  <c r="L85" i="1" s="1"/>
  <c r="K86" i="1"/>
  <c r="L86" i="1" s="1"/>
  <c r="M88" i="4"/>
  <c r="B88" i="4" s="1"/>
  <c r="C88" i="4" s="1"/>
  <c r="M24" i="4"/>
  <c r="B24" i="4" s="1"/>
  <c r="C24" i="4" s="1"/>
  <c r="M25" i="3"/>
  <c r="M149" i="3"/>
  <c r="B149" i="3" s="1"/>
  <c r="C149" i="3" s="1"/>
  <c r="M87" i="3"/>
  <c r="L20" i="1"/>
  <c r="B20" i="1" s="1"/>
  <c r="C20" i="1" s="1"/>
  <c r="M57" i="9"/>
  <c r="M86" i="9"/>
  <c r="M85" i="9"/>
  <c r="M58" i="9"/>
  <c r="M119" i="9"/>
  <c r="G150" i="9"/>
  <c r="K149" i="9" s="1"/>
  <c r="G88" i="9"/>
  <c r="K87" i="9" s="1"/>
  <c r="G26" i="9"/>
  <c r="K25" i="9" s="1"/>
  <c r="G60" i="9"/>
  <c r="K59" i="9"/>
  <c r="G122" i="9"/>
  <c r="K121" i="9"/>
  <c r="M23" i="8"/>
  <c r="M54" i="8"/>
  <c r="M86" i="8"/>
  <c r="M85" i="8"/>
  <c r="M24" i="8"/>
  <c r="G57" i="8"/>
  <c r="K56" i="8"/>
  <c r="G26" i="8"/>
  <c r="G119" i="8"/>
  <c r="K118" i="8"/>
  <c r="G88" i="8"/>
  <c r="K87" i="8" s="1"/>
  <c r="K117" i="8"/>
  <c r="K55" i="8"/>
  <c r="B116" i="8"/>
  <c r="C116" i="8" s="1"/>
  <c r="B115" i="8"/>
  <c r="C115" i="8" s="1"/>
  <c r="G151" i="8"/>
  <c r="K150" i="8"/>
  <c r="B148" i="8"/>
  <c r="C148" i="8" s="1"/>
  <c r="B147" i="8"/>
  <c r="C147" i="8" s="1"/>
  <c r="M120" i="4"/>
  <c r="M55" i="4"/>
  <c r="B55" i="4" s="1"/>
  <c r="C55" i="4" s="1"/>
  <c r="M119" i="4"/>
  <c r="G151" i="4"/>
  <c r="K150" i="4"/>
  <c r="K149" i="4"/>
  <c r="B148" i="4"/>
  <c r="C148" i="4" s="1"/>
  <c r="B147" i="4"/>
  <c r="C147" i="4" s="1"/>
  <c r="B87" i="4"/>
  <c r="C87" i="4" s="1"/>
  <c r="B86" i="4"/>
  <c r="C86" i="4" s="1"/>
  <c r="G26" i="4"/>
  <c r="K25" i="4"/>
  <c r="G122" i="4"/>
  <c r="K121" i="4"/>
  <c r="G57" i="4"/>
  <c r="G90" i="4"/>
  <c r="K89" i="4"/>
  <c r="M117" i="3"/>
  <c r="B117" i="3" s="1"/>
  <c r="C117" i="3" s="1"/>
  <c r="M88" i="3"/>
  <c r="M24" i="3"/>
  <c r="G27" i="3"/>
  <c r="K26" i="3" s="1"/>
  <c r="G60" i="3"/>
  <c r="K59" i="3"/>
  <c r="B86" i="3"/>
  <c r="C86" i="3" s="1"/>
  <c r="B148" i="3"/>
  <c r="C148" i="3" s="1"/>
  <c r="G90" i="3"/>
  <c r="K58" i="3"/>
  <c r="B116" i="3"/>
  <c r="C116" i="3" s="1"/>
  <c r="B115" i="3"/>
  <c r="C115" i="3" s="1"/>
  <c r="G119" i="3"/>
  <c r="K118" i="3"/>
  <c r="G151" i="3"/>
  <c r="K150" i="3" s="1"/>
  <c r="L55" i="2"/>
  <c r="B55" i="2" s="1"/>
  <c r="C55" i="2" s="1"/>
  <c r="L147" i="2"/>
  <c r="B147" i="2" s="1"/>
  <c r="C147" i="2" s="1"/>
  <c r="L148" i="2"/>
  <c r="L88" i="2"/>
  <c r="B88" i="2" s="1"/>
  <c r="C88" i="2" s="1"/>
  <c r="L23" i="2"/>
  <c r="L24" i="2"/>
  <c r="G90" i="2"/>
  <c r="J89" i="2"/>
  <c r="G26" i="2"/>
  <c r="J25" i="2" s="1"/>
  <c r="J149" i="2"/>
  <c r="G150" i="2"/>
  <c r="G119" i="2"/>
  <c r="J117" i="2"/>
  <c r="B146" i="2"/>
  <c r="C146" i="2" s="1"/>
  <c r="G57" i="2"/>
  <c r="J56" i="2"/>
  <c r="G150" i="1"/>
  <c r="J149" i="1" s="1"/>
  <c r="B146" i="1"/>
  <c r="C146" i="1" s="1"/>
  <c r="G119" i="1"/>
  <c r="G88" i="1"/>
  <c r="G58" i="1"/>
  <c r="J57" i="1"/>
  <c r="J56" i="1"/>
  <c r="B55" i="1"/>
  <c r="C55" i="1" s="1"/>
  <c r="B54" i="1"/>
  <c r="C54" i="1" s="1"/>
  <c r="G24" i="1"/>
  <c r="J23" i="1"/>
  <c r="J22" i="1"/>
  <c r="L120" i="34" a="1"/>
  <c r="L57" i="34" a="1"/>
  <c r="L56" i="34" a="1"/>
  <c r="L153" i="34" a="1"/>
  <c r="L88" i="34" a="1"/>
  <c r="L87" i="34" a="1"/>
  <c r="L24" i="34" a="1"/>
  <c r="L119" i="34" a="1"/>
  <c r="L25" i="34" a="1"/>
  <c r="L89" i="33" a="1"/>
  <c r="L25" i="33" a="1"/>
  <c r="L26" i="32" a="1"/>
  <c r="L150" i="32" a="1"/>
  <c r="L87" i="32" a="1"/>
  <c r="L88" i="31" a="1"/>
  <c r="L120" i="31" a="1"/>
  <c r="L119" i="31" a="1"/>
  <c r="L87" i="31" a="1"/>
  <c r="L152" i="31" a="1"/>
  <c r="L25" i="31" a="1"/>
  <c r="L24" i="31" a="1"/>
  <c r="L28" i="30" a="1"/>
  <c r="L29" i="30" a="1"/>
  <c r="L88" i="30" a="1"/>
  <c r="L29" i="29" a="1"/>
  <c r="L28" i="29" a="1"/>
  <c r="L120" i="28" a="1"/>
  <c r="L119" i="28" a="1"/>
  <c r="L24" i="28" a="1"/>
  <c r="L87" i="28" a="1"/>
  <c r="L153" i="28" a="1"/>
  <c r="L25" i="28" a="1"/>
  <c r="L88" i="28" a="1"/>
  <c r="L151" i="27" a="1"/>
  <c r="L25" i="27" a="1"/>
  <c r="L118" i="27" a="1"/>
  <c r="L119" i="26" a="1"/>
  <c r="L26" i="26" a="1"/>
  <c r="L120" i="26" a="1"/>
  <c r="L149" i="26" a="1"/>
  <c r="L56" i="26" a="1"/>
  <c r="L152" i="25" a="1"/>
  <c r="L56" i="25" a="1"/>
  <c r="L26" i="25" a="1"/>
  <c r="L152" i="24" a="1"/>
  <c r="L86" i="24" a="1"/>
  <c r="L119" i="24" a="1"/>
  <c r="L56" i="24" a="1"/>
  <c r="L149" i="23" a="1"/>
  <c r="L118" i="23" a="1"/>
  <c r="L26" i="23" a="1"/>
  <c r="L86" i="23" a="1"/>
  <c r="L25" i="22" a="1"/>
  <c r="L118" i="22" a="1"/>
  <c r="L26" i="22" a="1"/>
  <c r="L149" i="22" a="1"/>
  <c r="L90" i="22" a="1"/>
  <c r="L120" i="21" a="1"/>
  <c r="L119" i="21" a="1"/>
  <c r="L57" i="21" a="1"/>
  <c r="L88" i="21" a="1"/>
  <c r="L151" i="21" a="1"/>
  <c r="K149" i="1" a="1"/>
  <c r="K56" i="1" a="1"/>
  <c r="K23" i="1" a="1"/>
  <c r="K57" i="1" a="1"/>
  <c r="K22" i="1" a="1"/>
  <c r="L25" i="34" l="1"/>
  <c r="M25" i="34" s="1"/>
  <c r="L119" i="34"/>
  <c r="M119" i="34" s="1"/>
  <c r="L24" i="34"/>
  <c r="M24" i="34" s="1"/>
  <c r="L87" i="34"/>
  <c r="M87" i="34" s="1"/>
  <c r="L88" i="34"/>
  <c r="M88" i="34" s="1"/>
  <c r="L153" i="34"/>
  <c r="M153" i="34" s="1"/>
  <c r="B153" i="34" s="1"/>
  <c r="C153" i="34" s="1"/>
  <c r="L56" i="34"/>
  <c r="M56" i="34" s="1"/>
  <c r="L57" i="34"/>
  <c r="M57" i="34" s="1"/>
  <c r="L120" i="34"/>
  <c r="M120" i="34" s="1"/>
  <c r="G27" i="34"/>
  <c r="K26" i="34"/>
  <c r="G90" i="34"/>
  <c r="K89" i="34"/>
  <c r="G155" i="34"/>
  <c r="K154" i="34"/>
  <c r="G59" i="34"/>
  <c r="K58" i="34"/>
  <c r="G122" i="34"/>
  <c r="K121" i="34"/>
  <c r="B152" i="34"/>
  <c r="C152" i="34" s="1"/>
  <c r="B151" i="34"/>
  <c r="C151" i="34" s="1"/>
  <c r="B151" i="33"/>
  <c r="C151" i="33" s="1"/>
  <c r="L25" i="33"/>
  <c r="M25" i="33" s="1"/>
  <c r="B25" i="33" s="1"/>
  <c r="C25" i="33" s="1"/>
  <c r="L89" i="33"/>
  <c r="M89" i="33" s="1"/>
  <c r="B89" i="33" s="1"/>
  <c r="C89" i="33" s="1"/>
  <c r="G154" i="33"/>
  <c r="G58" i="33"/>
  <c r="K57" i="33"/>
  <c r="G122" i="33"/>
  <c r="K121" i="33"/>
  <c r="G27" i="33"/>
  <c r="K26" i="33" s="1"/>
  <c r="B150" i="33"/>
  <c r="C150" i="33" s="1"/>
  <c r="G91" i="33"/>
  <c r="K152" i="33"/>
  <c r="K56" i="33"/>
  <c r="B88" i="33"/>
  <c r="C88" i="33" s="1"/>
  <c r="B87" i="33"/>
  <c r="C87" i="33" s="1"/>
  <c r="K120" i="33"/>
  <c r="L87" i="32"/>
  <c r="M87" i="32" s="1"/>
  <c r="B87" i="32" s="1"/>
  <c r="C87" i="32" s="1"/>
  <c r="L150" i="32"/>
  <c r="M150" i="32" s="1"/>
  <c r="B150" i="32" s="1"/>
  <c r="C150" i="32" s="1"/>
  <c r="L26" i="32"/>
  <c r="M26" i="32" s="1"/>
  <c r="B26" i="32" s="1"/>
  <c r="C26" i="32" s="1"/>
  <c r="G121" i="32"/>
  <c r="K120" i="32"/>
  <c r="K119" i="32"/>
  <c r="G89" i="32"/>
  <c r="K88" i="32"/>
  <c r="G58" i="32"/>
  <c r="K57" i="32"/>
  <c r="K56" i="32"/>
  <c r="G152" i="32"/>
  <c r="K151" i="32"/>
  <c r="G28" i="32"/>
  <c r="B25" i="32"/>
  <c r="C25" i="32" s="1"/>
  <c r="B24" i="32"/>
  <c r="C24" i="32" s="1"/>
  <c r="L24" i="31"/>
  <c r="M24" i="31" s="1"/>
  <c r="L25" i="31"/>
  <c r="M25" i="31" s="1"/>
  <c r="L152" i="31"/>
  <c r="M152" i="31" s="1"/>
  <c r="B152" i="31" s="1"/>
  <c r="C152" i="31" s="1"/>
  <c r="L87" i="31"/>
  <c r="M87" i="31" s="1"/>
  <c r="L119" i="31"/>
  <c r="M119" i="31" s="1"/>
  <c r="L120" i="31"/>
  <c r="M120" i="31" s="1"/>
  <c r="L88" i="31"/>
  <c r="M88" i="31" s="1"/>
  <c r="G58" i="31"/>
  <c r="K57" i="31"/>
  <c r="K56" i="31"/>
  <c r="G90" i="31"/>
  <c r="K89" i="31"/>
  <c r="G27" i="31"/>
  <c r="K26" i="31"/>
  <c r="G154" i="31"/>
  <c r="K153" i="31" s="1"/>
  <c r="B89" i="25"/>
  <c r="C89" i="25" s="1"/>
  <c r="B151" i="31"/>
  <c r="C151" i="31" s="1"/>
  <c r="B150" i="31"/>
  <c r="C150" i="31" s="1"/>
  <c r="G122" i="31"/>
  <c r="L88" i="30"/>
  <c r="M88" i="30" s="1"/>
  <c r="B88" i="30" s="1"/>
  <c r="C88" i="30" s="1"/>
  <c r="L29" i="30"/>
  <c r="M29" i="30" s="1"/>
  <c r="L28" i="30"/>
  <c r="M28" i="30" s="1"/>
  <c r="G58" i="30"/>
  <c r="K57" i="30"/>
  <c r="B152" i="30"/>
  <c r="C152" i="30" s="1"/>
  <c r="K56" i="30"/>
  <c r="G90" i="30"/>
  <c r="K89" i="30" s="1"/>
  <c r="G31" i="30"/>
  <c r="G155" i="30"/>
  <c r="K154" i="30"/>
  <c r="K153" i="30"/>
  <c r="G121" i="30"/>
  <c r="K120" i="30"/>
  <c r="K119" i="30"/>
  <c r="B27" i="30"/>
  <c r="C27" i="30" s="1"/>
  <c r="L28" i="29"/>
  <c r="M28" i="29" s="1"/>
  <c r="L29" i="29"/>
  <c r="M29" i="29" s="1"/>
  <c r="G153" i="29"/>
  <c r="G121" i="29"/>
  <c r="K119" i="29"/>
  <c r="G89" i="29"/>
  <c r="K88" i="29"/>
  <c r="K87" i="29"/>
  <c r="G58" i="29"/>
  <c r="K57" i="29" s="1"/>
  <c r="K56" i="29"/>
  <c r="K151" i="29"/>
  <c r="G31" i="29"/>
  <c r="B150" i="29"/>
  <c r="C150" i="29" s="1"/>
  <c r="B149" i="29"/>
  <c r="C149" i="29" s="1"/>
  <c r="B118" i="29"/>
  <c r="C118" i="29" s="1"/>
  <c r="B86" i="29"/>
  <c r="C86" i="29" s="1"/>
  <c r="B85" i="29"/>
  <c r="C85" i="29" s="1"/>
  <c r="B55" i="28"/>
  <c r="C55" i="28" s="1"/>
  <c r="L88" i="28"/>
  <c r="M88" i="28" s="1"/>
  <c r="L25" i="28"/>
  <c r="M25" i="28" s="1"/>
  <c r="L153" i="28"/>
  <c r="M153" i="28" s="1"/>
  <c r="B153" i="28" s="1"/>
  <c r="C153" i="28" s="1"/>
  <c r="L87" i="28"/>
  <c r="M87" i="28" s="1"/>
  <c r="L24" i="28"/>
  <c r="M24" i="28" s="1"/>
  <c r="L119" i="28"/>
  <c r="M119" i="28" s="1"/>
  <c r="L120" i="28"/>
  <c r="M120" i="28" s="1"/>
  <c r="G122" i="28"/>
  <c r="K121" i="28" s="1"/>
  <c r="G58" i="28"/>
  <c r="K57" i="28"/>
  <c r="K56" i="28"/>
  <c r="G90" i="28"/>
  <c r="K89" i="28"/>
  <c r="G27" i="28"/>
  <c r="K26" i="28"/>
  <c r="G155" i="28"/>
  <c r="K154" i="28"/>
  <c r="L118" i="27"/>
  <c r="M118" i="27" s="1"/>
  <c r="B118" i="27" s="1"/>
  <c r="C118" i="27" s="1"/>
  <c r="L25" i="27"/>
  <c r="M25" i="27" s="1"/>
  <c r="B25" i="27" s="1"/>
  <c r="C25" i="27" s="1"/>
  <c r="L151" i="27"/>
  <c r="M151" i="27" s="1"/>
  <c r="B151" i="27" s="1"/>
  <c r="C151" i="27" s="1"/>
  <c r="G58" i="27"/>
  <c r="K57" i="27"/>
  <c r="K56" i="27"/>
  <c r="G153" i="27"/>
  <c r="B117" i="27"/>
  <c r="C117" i="27" s="1"/>
  <c r="B116" i="27"/>
  <c r="C116" i="27" s="1"/>
  <c r="B86" i="27"/>
  <c r="C86" i="27" s="1"/>
  <c r="B85" i="27"/>
  <c r="C85" i="27" s="1"/>
  <c r="G120" i="27"/>
  <c r="K119" i="27" s="1"/>
  <c r="G89" i="27"/>
  <c r="K88" i="27"/>
  <c r="K87" i="27"/>
  <c r="G27" i="27"/>
  <c r="K26" i="27"/>
  <c r="L56" i="26"/>
  <c r="M56" i="26" s="1"/>
  <c r="B56" i="26" s="1"/>
  <c r="C56" i="26" s="1"/>
  <c r="L149" i="26"/>
  <c r="M149" i="26" s="1"/>
  <c r="B149" i="26" s="1"/>
  <c r="C149" i="26" s="1"/>
  <c r="L120" i="26"/>
  <c r="M120" i="26" s="1"/>
  <c r="L26" i="26"/>
  <c r="M26" i="26" s="1"/>
  <c r="B26" i="26" s="1"/>
  <c r="C26" i="26" s="1"/>
  <c r="L119" i="26"/>
  <c r="M119" i="26" s="1"/>
  <c r="G29" i="26"/>
  <c r="K28" i="26"/>
  <c r="K27" i="26"/>
  <c r="B86" i="26"/>
  <c r="C86" i="26" s="1"/>
  <c r="B85" i="26"/>
  <c r="C85" i="26" s="1"/>
  <c r="G58" i="26"/>
  <c r="G151" i="26"/>
  <c r="G89" i="26"/>
  <c r="K87" i="26"/>
  <c r="G122" i="26"/>
  <c r="L26" i="25"/>
  <c r="M26" i="25" s="1"/>
  <c r="B26" i="25" s="1"/>
  <c r="C26" i="25" s="1"/>
  <c r="L56" i="25"/>
  <c r="M56" i="25" s="1"/>
  <c r="B56" i="25" s="1"/>
  <c r="C56" i="25" s="1"/>
  <c r="L152" i="25"/>
  <c r="M152" i="25" s="1"/>
  <c r="B152" i="25" s="1"/>
  <c r="C152" i="25" s="1"/>
  <c r="B88" i="25"/>
  <c r="C88" i="25" s="1"/>
  <c r="G121" i="25"/>
  <c r="K120" i="25"/>
  <c r="K119" i="25"/>
  <c r="G58" i="25"/>
  <c r="K57" i="25"/>
  <c r="G154" i="25"/>
  <c r="B118" i="25"/>
  <c r="C118" i="25" s="1"/>
  <c r="G92" i="25"/>
  <c r="K90" i="25"/>
  <c r="K27" i="25"/>
  <c r="G28" i="25"/>
  <c r="L56" i="24"/>
  <c r="M56" i="24" s="1"/>
  <c r="B56" i="24" s="1"/>
  <c r="C56" i="24" s="1"/>
  <c r="L119" i="24"/>
  <c r="M119" i="24" s="1"/>
  <c r="B119" i="24" s="1"/>
  <c r="C119" i="24" s="1"/>
  <c r="L86" i="24"/>
  <c r="M86" i="24" s="1"/>
  <c r="B86" i="24" s="1"/>
  <c r="C86" i="24" s="1"/>
  <c r="L152" i="24"/>
  <c r="M152" i="24" s="1"/>
  <c r="B152" i="24" s="1"/>
  <c r="C152" i="24" s="1"/>
  <c r="G28" i="24"/>
  <c r="K26" i="24"/>
  <c r="G89" i="24"/>
  <c r="K88" i="24"/>
  <c r="K87" i="24"/>
  <c r="G155" i="24"/>
  <c r="K154" i="24"/>
  <c r="K153" i="24"/>
  <c r="G121" i="24"/>
  <c r="K120" i="24"/>
  <c r="B151" i="24"/>
  <c r="C151" i="24" s="1"/>
  <c r="B25" i="24"/>
  <c r="C25" i="24" s="1"/>
  <c r="B24" i="24"/>
  <c r="C24" i="24" s="1"/>
  <c r="G58" i="24"/>
  <c r="K57" i="24"/>
  <c r="B118" i="24"/>
  <c r="C118" i="24" s="1"/>
  <c r="L86" i="23"/>
  <c r="M86" i="23" s="1"/>
  <c r="L26" i="23"/>
  <c r="M26" i="23" s="1"/>
  <c r="B26" i="23" s="1"/>
  <c r="C26" i="23" s="1"/>
  <c r="L118" i="23"/>
  <c r="M118" i="23" s="1"/>
  <c r="L149" i="23"/>
  <c r="M149" i="23" s="1"/>
  <c r="G152" i="23"/>
  <c r="K151" i="23"/>
  <c r="K150" i="23"/>
  <c r="G28" i="23"/>
  <c r="K57" i="23"/>
  <c r="G58" i="23"/>
  <c r="K56" i="23"/>
  <c r="G89" i="23"/>
  <c r="K88" i="23"/>
  <c r="K87" i="23"/>
  <c r="G121" i="23"/>
  <c r="K120" i="23"/>
  <c r="K119" i="23"/>
  <c r="L90" i="22"/>
  <c r="M90" i="22" s="1"/>
  <c r="B90" i="22" s="1"/>
  <c r="C90" i="22" s="1"/>
  <c r="L149" i="22"/>
  <c r="M149" i="22" s="1"/>
  <c r="B149" i="22" s="1"/>
  <c r="C149" i="22" s="1"/>
  <c r="L26" i="22"/>
  <c r="M26" i="22" s="1"/>
  <c r="L118" i="22"/>
  <c r="M118" i="22" s="1"/>
  <c r="B118" i="22" s="1"/>
  <c r="C118" i="22" s="1"/>
  <c r="L25" i="22"/>
  <c r="M25" i="22" s="1"/>
  <c r="G58" i="22"/>
  <c r="K57" i="22"/>
  <c r="K119" i="22"/>
  <c r="G120" i="22"/>
  <c r="K56" i="22"/>
  <c r="G92" i="22"/>
  <c r="K91" i="22"/>
  <c r="G151" i="22"/>
  <c r="G28" i="22"/>
  <c r="B87" i="21"/>
  <c r="C87" i="21" s="1"/>
  <c r="B86" i="21"/>
  <c r="C86" i="21" s="1"/>
  <c r="L151" i="21"/>
  <c r="M151" i="21" s="1"/>
  <c r="B151" i="21" s="1"/>
  <c r="C151" i="21" s="1"/>
  <c r="L88" i="21"/>
  <c r="M88" i="21" s="1"/>
  <c r="B88" i="21" s="1"/>
  <c r="C88" i="21" s="1"/>
  <c r="L57" i="21"/>
  <c r="M57" i="21" s="1"/>
  <c r="B57" i="21" s="1"/>
  <c r="C57" i="21" s="1"/>
  <c r="L119" i="21"/>
  <c r="M119" i="21" s="1"/>
  <c r="L120" i="21"/>
  <c r="M120" i="21" s="1"/>
  <c r="K89" i="21"/>
  <c r="G90" i="21"/>
  <c r="G59" i="21"/>
  <c r="K58" i="21"/>
  <c r="G153" i="21"/>
  <c r="G122" i="21"/>
  <c r="K121" i="21"/>
  <c r="G28" i="21"/>
  <c r="K26" i="21"/>
  <c r="B150" i="21"/>
  <c r="C150" i="21" s="1"/>
  <c r="B149" i="21"/>
  <c r="C149" i="21" s="1"/>
  <c r="M150" i="8"/>
  <c r="B150" i="8" s="1"/>
  <c r="C150" i="8" s="1"/>
  <c r="M25" i="9"/>
  <c r="B25" i="9" s="1"/>
  <c r="C25" i="9" s="1"/>
  <c r="M149" i="9"/>
  <c r="B149" i="9" s="1"/>
  <c r="C149" i="9" s="1"/>
  <c r="K22" i="1"/>
  <c r="K57" i="1"/>
  <c r="L57" i="1" s="1"/>
  <c r="K23" i="1"/>
  <c r="K56" i="1"/>
  <c r="L56" i="1" s="1"/>
  <c r="K149" i="1"/>
  <c r="L149" i="1" s="1"/>
  <c r="B149" i="1" s="1"/>
  <c r="C149" i="1" s="1"/>
  <c r="B25" i="3"/>
  <c r="C25" i="3" s="1"/>
  <c r="B24" i="3"/>
  <c r="C24" i="3" s="1"/>
  <c r="M150" i="3"/>
  <c r="B150" i="3" s="1"/>
  <c r="C150" i="3" s="1"/>
  <c r="L21" i="1"/>
  <c r="B21" i="1" s="1"/>
  <c r="C21" i="1" s="1"/>
  <c r="M87" i="9"/>
  <c r="B87" i="9" s="1"/>
  <c r="C87" i="9" s="1"/>
  <c r="M121" i="9"/>
  <c r="B121" i="9" s="1"/>
  <c r="C121" i="9" s="1"/>
  <c r="M59" i="9"/>
  <c r="B59" i="9" s="1"/>
  <c r="C59" i="9" s="1"/>
  <c r="B86" i="9"/>
  <c r="C86" i="9" s="1"/>
  <c r="B85" i="9"/>
  <c r="C85" i="9" s="1"/>
  <c r="B120" i="9"/>
  <c r="C120" i="9" s="1"/>
  <c r="B119" i="9"/>
  <c r="C119" i="9" s="1"/>
  <c r="B58" i="9"/>
  <c r="C58" i="9" s="1"/>
  <c r="G89" i="9"/>
  <c r="K88" i="9"/>
  <c r="G123" i="9"/>
  <c r="G61" i="9"/>
  <c r="K26" i="9"/>
  <c r="G27" i="9"/>
  <c r="G151" i="9"/>
  <c r="K150" i="9"/>
  <c r="B57" i="9"/>
  <c r="C57" i="9" s="1"/>
  <c r="M87" i="8"/>
  <c r="B87" i="8" s="1"/>
  <c r="C87" i="8" s="1"/>
  <c r="M55" i="8"/>
  <c r="B55" i="8" s="1"/>
  <c r="C55" i="8" s="1"/>
  <c r="M117" i="8"/>
  <c r="M118" i="8"/>
  <c r="M56" i="8"/>
  <c r="G27" i="8"/>
  <c r="K26" i="8"/>
  <c r="K25" i="8"/>
  <c r="B149" i="8"/>
  <c r="C149" i="8" s="1"/>
  <c r="G152" i="8"/>
  <c r="K151" i="8"/>
  <c r="G120" i="8"/>
  <c r="K119" i="8" s="1"/>
  <c r="B54" i="8"/>
  <c r="C54" i="8" s="1"/>
  <c r="G89" i="8"/>
  <c r="G58" i="8"/>
  <c r="K57" i="8" s="1"/>
  <c r="B86" i="8"/>
  <c r="C86" i="8" s="1"/>
  <c r="B85" i="8"/>
  <c r="C85" i="8" s="1"/>
  <c r="B24" i="8"/>
  <c r="C24" i="8" s="1"/>
  <c r="B23" i="8"/>
  <c r="C23" i="8" s="1"/>
  <c r="B88" i="3"/>
  <c r="C88" i="3" s="1"/>
  <c r="M150" i="4"/>
  <c r="M25" i="4"/>
  <c r="B25" i="4" s="1"/>
  <c r="C25" i="4" s="1"/>
  <c r="M149" i="4"/>
  <c r="M121" i="4"/>
  <c r="B121" i="4" s="1"/>
  <c r="C121" i="4" s="1"/>
  <c r="M89" i="4"/>
  <c r="G27" i="4"/>
  <c r="K26" i="4"/>
  <c r="G91" i="4"/>
  <c r="K90" i="4"/>
  <c r="G58" i="4"/>
  <c r="K57" i="4"/>
  <c r="B120" i="4"/>
  <c r="C120" i="4" s="1"/>
  <c r="B119" i="4"/>
  <c r="C119" i="4" s="1"/>
  <c r="B87" i="3"/>
  <c r="C87" i="3" s="1"/>
  <c r="K56" i="4"/>
  <c r="G152" i="4"/>
  <c r="K151" i="4"/>
  <c r="G123" i="4"/>
  <c r="K122" i="4" s="1"/>
  <c r="M26" i="3"/>
  <c r="M59" i="3"/>
  <c r="M118" i="3"/>
  <c r="B118" i="3" s="1"/>
  <c r="C118" i="3" s="1"/>
  <c r="M58" i="3"/>
  <c r="G120" i="3"/>
  <c r="K119" i="3" s="1"/>
  <c r="G28" i="3"/>
  <c r="K27" i="3"/>
  <c r="G91" i="3"/>
  <c r="K90" i="3"/>
  <c r="G61" i="3"/>
  <c r="K60" i="3" s="1"/>
  <c r="G152" i="3"/>
  <c r="K151" i="3"/>
  <c r="K89" i="3"/>
  <c r="L25" i="2"/>
  <c r="B25" i="2" s="1"/>
  <c r="C25" i="2" s="1"/>
  <c r="L56" i="2"/>
  <c r="B56" i="2" s="1"/>
  <c r="C56" i="2" s="1"/>
  <c r="L149" i="2"/>
  <c r="B149" i="2" s="1"/>
  <c r="C149" i="2" s="1"/>
  <c r="L89" i="2"/>
  <c r="B89" i="2" s="1"/>
  <c r="C89" i="2" s="1"/>
  <c r="L117" i="2"/>
  <c r="G151" i="2"/>
  <c r="J150" i="2"/>
  <c r="B24" i="2"/>
  <c r="C24" i="2" s="1"/>
  <c r="B23" i="2"/>
  <c r="C23" i="2" s="1"/>
  <c r="G58" i="2"/>
  <c r="J57" i="2" s="1"/>
  <c r="G91" i="2"/>
  <c r="J90" i="2"/>
  <c r="G120" i="2"/>
  <c r="B148" i="2"/>
  <c r="C148" i="2" s="1"/>
  <c r="J118" i="2"/>
  <c r="G27" i="2"/>
  <c r="J26" i="2"/>
  <c r="G151" i="1"/>
  <c r="J150" i="1" s="1"/>
  <c r="B148" i="1"/>
  <c r="C148" i="1" s="1"/>
  <c r="G120" i="1"/>
  <c r="J119" i="1"/>
  <c r="J118" i="1"/>
  <c r="B117" i="1"/>
  <c r="C117" i="1" s="1"/>
  <c r="B116" i="1"/>
  <c r="C116" i="1" s="1"/>
  <c r="G89" i="1"/>
  <c r="J88" i="1"/>
  <c r="J87" i="1"/>
  <c r="B86" i="1"/>
  <c r="C86" i="1" s="1"/>
  <c r="B85" i="1"/>
  <c r="C85" i="1" s="1"/>
  <c r="G59" i="1"/>
  <c r="J58" i="1" s="1"/>
  <c r="G25" i="1"/>
  <c r="J24" i="1" s="1"/>
  <c r="L89" i="34" a="1"/>
  <c r="L58" i="34" a="1"/>
  <c r="L121" i="34" a="1"/>
  <c r="L26" i="34" a="1"/>
  <c r="L154" i="34" a="1"/>
  <c r="L120" i="33" a="1"/>
  <c r="L57" i="33" a="1"/>
  <c r="L121" i="33" a="1"/>
  <c r="L152" i="33" a="1"/>
  <c r="L56" i="33" a="1"/>
  <c r="L26" i="33" a="1"/>
  <c r="L120" i="32" a="1"/>
  <c r="L56" i="32" a="1"/>
  <c r="L119" i="32" a="1"/>
  <c r="L88" i="32" a="1"/>
  <c r="L151" i="32" a="1"/>
  <c r="L57" i="32" a="1"/>
  <c r="L57" i="31" a="1"/>
  <c r="L56" i="31" a="1"/>
  <c r="L26" i="31" a="1"/>
  <c r="L89" i="31" a="1"/>
  <c r="L153" i="31" a="1"/>
  <c r="L57" i="30" a="1"/>
  <c r="L56" i="30" a="1"/>
  <c r="L154" i="30" a="1"/>
  <c r="L153" i="30" a="1"/>
  <c r="L120" i="30" a="1"/>
  <c r="L119" i="30" a="1"/>
  <c r="L89" i="30" a="1"/>
  <c r="L119" i="29" a="1"/>
  <c r="L88" i="29" a="1"/>
  <c r="L87" i="29" a="1"/>
  <c r="L56" i="29" a="1"/>
  <c r="L151" i="29" a="1"/>
  <c r="L57" i="29" a="1"/>
  <c r="L57" i="28" a="1"/>
  <c r="L56" i="28" a="1"/>
  <c r="L89" i="28" a="1"/>
  <c r="L26" i="28" a="1"/>
  <c r="L154" i="28" a="1"/>
  <c r="L121" i="28" a="1"/>
  <c r="L87" i="27" a="1"/>
  <c r="L26" i="27" a="1"/>
  <c r="L57" i="27" a="1"/>
  <c r="L56" i="27" a="1"/>
  <c r="L88" i="27" a="1"/>
  <c r="L119" i="27" a="1"/>
  <c r="L28" i="26" a="1"/>
  <c r="L27" i="26" a="1"/>
  <c r="L87" i="26" a="1"/>
  <c r="L120" i="25" a="1"/>
  <c r="L119" i="25" a="1"/>
  <c r="L90" i="25" a="1"/>
  <c r="L27" i="25" a="1"/>
  <c r="L57" i="25" a="1"/>
  <c r="L57" i="24" a="1"/>
  <c r="L26" i="24" a="1"/>
  <c r="L88" i="24" a="1"/>
  <c r="L87" i="24" a="1"/>
  <c r="L154" i="24" a="1"/>
  <c r="L153" i="24" a="1"/>
  <c r="L120" i="24" a="1"/>
  <c r="L151" i="23" a="1"/>
  <c r="L150" i="23" a="1"/>
  <c r="L57" i="23" a="1"/>
  <c r="L88" i="23" a="1"/>
  <c r="L87" i="23" a="1"/>
  <c r="L120" i="23" a="1"/>
  <c r="L56" i="23" a="1"/>
  <c r="L119" i="23" a="1"/>
  <c r="L57" i="22" a="1"/>
  <c r="L119" i="22" a="1"/>
  <c r="L56" i="22" a="1"/>
  <c r="L91" i="22" a="1"/>
  <c r="L58" i="21" a="1"/>
  <c r="L26" i="21" a="1"/>
  <c r="L89" i="21" a="1"/>
  <c r="L121" i="21" a="1"/>
  <c r="K24" i="1" a="1"/>
  <c r="K150" i="1" a="1"/>
  <c r="K119" i="1" a="1"/>
  <c r="K118" i="1" a="1"/>
  <c r="K88" i="1" a="1"/>
  <c r="K87" i="1" a="1"/>
  <c r="K58" i="1" a="1"/>
  <c r="L154" i="34" l="1"/>
  <c r="M154" i="34" s="1"/>
  <c r="B154" i="34" s="1"/>
  <c r="C154" i="34" s="1"/>
  <c r="L26" i="34"/>
  <c r="M26" i="34" s="1"/>
  <c r="B26" i="34" s="1"/>
  <c r="C26" i="34" s="1"/>
  <c r="L121" i="34"/>
  <c r="M121" i="34" s="1"/>
  <c r="L58" i="34"/>
  <c r="M58" i="34" s="1"/>
  <c r="B58" i="34" s="1"/>
  <c r="C58" i="34" s="1"/>
  <c r="L89" i="34"/>
  <c r="M89" i="34" s="1"/>
  <c r="B89" i="34" s="1"/>
  <c r="C89" i="34" s="1"/>
  <c r="G60" i="34"/>
  <c r="G91" i="34"/>
  <c r="G28" i="34"/>
  <c r="B121" i="34"/>
  <c r="C121" i="34" s="1"/>
  <c r="G156" i="34"/>
  <c r="K156" i="34" s="1"/>
  <c r="K155" i="34"/>
  <c r="B88" i="34"/>
  <c r="C88" i="34" s="1"/>
  <c r="B87" i="34"/>
  <c r="C87" i="34" s="1"/>
  <c r="K122" i="34"/>
  <c r="G123" i="34"/>
  <c r="B57" i="34"/>
  <c r="C57" i="34" s="1"/>
  <c r="B56" i="34"/>
  <c r="C56" i="34" s="1"/>
  <c r="B25" i="34"/>
  <c r="C25" i="34" s="1"/>
  <c r="B24" i="34"/>
  <c r="C24" i="34" s="1"/>
  <c r="B120" i="34"/>
  <c r="C120" i="34" s="1"/>
  <c r="B119" i="34"/>
  <c r="C119" i="34" s="1"/>
  <c r="L26" i="33"/>
  <c r="M26" i="33" s="1"/>
  <c r="B26" i="33" s="1"/>
  <c r="C26" i="33" s="1"/>
  <c r="L56" i="33"/>
  <c r="M56" i="33" s="1"/>
  <c r="L152" i="33"/>
  <c r="M152" i="33" s="1"/>
  <c r="L121" i="33"/>
  <c r="M121" i="33" s="1"/>
  <c r="L57" i="33"/>
  <c r="M57" i="33" s="1"/>
  <c r="L120" i="33"/>
  <c r="M120" i="33" s="1"/>
  <c r="G92" i="33"/>
  <c r="K91" i="33"/>
  <c r="K90" i="33"/>
  <c r="G28" i="33"/>
  <c r="G123" i="33"/>
  <c r="G59" i="33"/>
  <c r="K58" i="33"/>
  <c r="G155" i="33"/>
  <c r="K154" i="33"/>
  <c r="K153" i="33"/>
  <c r="L57" i="32"/>
  <c r="M57" i="32" s="1"/>
  <c r="L151" i="32"/>
  <c r="M151" i="32" s="1"/>
  <c r="B151" i="32" s="1"/>
  <c r="C151" i="32" s="1"/>
  <c r="L88" i="32"/>
  <c r="M88" i="32" s="1"/>
  <c r="B88" i="32" s="1"/>
  <c r="C88" i="32" s="1"/>
  <c r="L119" i="32"/>
  <c r="M119" i="32" s="1"/>
  <c r="L56" i="32"/>
  <c r="M56" i="32" s="1"/>
  <c r="L120" i="32"/>
  <c r="M120" i="32" s="1"/>
  <c r="G59" i="32"/>
  <c r="K58" i="32"/>
  <c r="G29" i="32"/>
  <c r="K27" i="32"/>
  <c r="G153" i="32"/>
  <c r="K152" i="32"/>
  <c r="G90" i="32"/>
  <c r="K89" i="32"/>
  <c r="G122" i="32"/>
  <c r="K121" i="32"/>
  <c r="L153" i="31"/>
  <c r="M153" i="31" s="1"/>
  <c r="B153" i="31" s="1"/>
  <c r="C153" i="31" s="1"/>
  <c r="L89" i="31"/>
  <c r="M89" i="31" s="1"/>
  <c r="B89" i="31" s="1"/>
  <c r="C89" i="31" s="1"/>
  <c r="L26" i="31"/>
  <c r="M26" i="31" s="1"/>
  <c r="B26" i="31" s="1"/>
  <c r="C26" i="31" s="1"/>
  <c r="L56" i="31"/>
  <c r="M56" i="31" s="1"/>
  <c r="L57" i="31"/>
  <c r="M57" i="31" s="1"/>
  <c r="G28" i="31"/>
  <c r="G91" i="31"/>
  <c r="G59" i="31"/>
  <c r="K58" i="31"/>
  <c r="B120" i="31"/>
  <c r="C120" i="31" s="1"/>
  <c r="B119" i="31"/>
  <c r="C119" i="31" s="1"/>
  <c r="B88" i="31"/>
  <c r="C88" i="31" s="1"/>
  <c r="B87" i="31"/>
  <c r="C87" i="31" s="1"/>
  <c r="G123" i="31"/>
  <c r="G155" i="31"/>
  <c r="K121" i="31"/>
  <c r="B25" i="31"/>
  <c r="C25" i="31" s="1"/>
  <c r="B24" i="31"/>
  <c r="C24" i="31" s="1"/>
  <c r="B29" i="30"/>
  <c r="C29" i="30" s="1"/>
  <c r="L89" i="30"/>
  <c r="M89" i="30" s="1"/>
  <c r="B89" i="30" s="1"/>
  <c r="C89" i="30" s="1"/>
  <c r="L119" i="30"/>
  <c r="M119" i="30" s="1"/>
  <c r="L120" i="30"/>
  <c r="M120" i="30" s="1"/>
  <c r="L153" i="30"/>
  <c r="M153" i="30" s="1"/>
  <c r="L154" i="30"/>
  <c r="M154" i="30" s="1"/>
  <c r="L56" i="30"/>
  <c r="M56" i="30" s="1"/>
  <c r="L57" i="30"/>
  <c r="M57" i="30" s="1"/>
  <c r="G122" i="30"/>
  <c r="K121" i="30"/>
  <c r="G156" i="30"/>
  <c r="K156" i="30" s="1"/>
  <c r="K155" i="30"/>
  <c r="G32" i="30"/>
  <c r="K32" i="30" s="1"/>
  <c r="K31" i="30"/>
  <c r="K30" i="30"/>
  <c r="G91" i="30"/>
  <c r="K90" i="30" s="1"/>
  <c r="G59" i="30"/>
  <c r="K58" i="30"/>
  <c r="B28" i="30"/>
  <c r="C28" i="30" s="1"/>
  <c r="L57" i="29"/>
  <c r="M57" i="29" s="1"/>
  <c r="L151" i="29"/>
  <c r="M151" i="29" s="1"/>
  <c r="L56" i="29"/>
  <c r="M56" i="29" s="1"/>
  <c r="L87" i="29"/>
  <c r="M87" i="29" s="1"/>
  <c r="L88" i="29"/>
  <c r="M88" i="29" s="1"/>
  <c r="L119" i="29"/>
  <c r="M119" i="29" s="1"/>
  <c r="G32" i="29"/>
  <c r="K32" i="29" s="1"/>
  <c r="K30" i="29"/>
  <c r="G59" i="29"/>
  <c r="K58" i="29" s="1"/>
  <c r="G90" i="29"/>
  <c r="G122" i="29"/>
  <c r="K121" i="29"/>
  <c r="K120" i="29"/>
  <c r="G154" i="29"/>
  <c r="K152" i="29"/>
  <c r="B29" i="29"/>
  <c r="C29" i="29" s="1"/>
  <c r="B28" i="29"/>
  <c r="C28" i="29" s="1"/>
  <c r="L121" i="28"/>
  <c r="M121" i="28" s="1"/>
  <c r="B121" i="28" s="1"/>
  <c r="C121" i="28" s="1"/>
  <c r="L154" i="28"/>
  <c r="M154" i="28" s="1"/>
  <c r="B154" i="28" s="1"/>
  <c r="C154" i="28" s="1"/>
  <c r="L26" i="28"/>
  <c r="M26" i="28" s="1"/>
  <c r="B26" i="28" s="1"/>
  <c r="C26" i="28" s="1"/>
  <c r="L89" i="28"/>
  <c r="M89" i="28" s="1"/>
  <c r="B89" i="28" s="1"/>
  <c r="C89" i="28" s="1"/>
  <c r="L56" i="28"/>
  <c r="M56" i="28" s="1"/>
  <c r="L57" i="28"/>
  <c r="M57" i="28" s="1"/>
  <c r="B25" i="28"/>
  <c r="C25" i="28" s="1"/>
  <c r="B24" i="28"/>
  <c r="C24" i="28" s="1"/>
  <c r="B88" i="28"/>
  <c r="C88" i="28" s="1"/>
  <c r="B87" i="28"/>
  <c r="C87" i="28" s="1"/>
  <c r="G156" i="28"/>
  <c r="K156" i="28" s="1"/>
  <c r="K155" i="28"/>
  <c r="G28" i="28"/>
  <c r="G91" i="28"/>
  <c r="G59" i="28"/>
  <c r="K58" i="28"/>
  <c r="K122" i="28"/>
  <c r="G123" i="28"/>
  <c r="B120" i="28"/>
  <c r="C120" i="28" s="1"/>
  <c r="B119" i="28"/>
  <c r="C119" i="28" s="1"/>
  <c r="L119" i="27"/>
  <c r="M119" i="27" s="1"/>
  <c r="B119" i="27" s="1"/>
  <c r="C119" i="27" s="1"/>
  <c r="L88" i="27"/>
  <c r="M88" i="27" s="1"/>
  <c r="L56" i="27"/>
  <c r="M56" i="27" s="1"/>
  <c r="L57" i="27"/>
  <c r="M57" i="27" s="1"/>
  <c r="L26" i="27"/>
  <c r="M26" i="27" s="1"/>
  <c r="B26" i="27" s="1"/>
  <c r="C26" i="27" s="1"/>
  <c r="L87" i="27"/>
  <c r="M87" i="27" s="1"/>
  <c r="G90" i="27"/>
  <c r="K27" i="27"/>
  <c r="G28" i="27"/>
  <c r="G121" i="27"/>
  <c r="K120" i="27"/>
  <c r="G154" i="27"/>
  <c r="K153" i="27"/>
  <c r="K152" i="27"/>
  <c r="G59" i="27"/>
  <c r="K58" i="27"/>
  <c r="L87" i="26"/>
  <c r="M87" i="26" s="1"/>
  <c r="L27" i="26"/>
  <c r="M27" i="26" s="1"/>
  <c r="B27" i="26" s="1"/>
  <c r="C27" i="26" s="1"/>
  <c r="L28" i="26"/>
  <c r="M28" i="26" s="1"/>
  <c r="G123" i="26"/>
  <c r="G90" i="26"/>
  <c r="K88" i="26"/>
  <c r="G152" i="26"/>
  <c r="K151" i="26" s="1"/>
  <c r="K150" i="26"/>
  <c r="G59" i="26"/>
  <c r="K58" i="26"/>
  <c r="K57" i="26"/>
  <c r="G30" i="26"/>
  <c r="B120" i="26"/>
  <c r="C120" i="26" s="1"/>
  <c r="B119" i="26"/>
  <c r="C119" i="26" s="1"/>
  <c r="K121" i="26"/>
  <c r="L57" i="25"/>
  <c r="M57" i="25" s="1"/>
  <c r="B57" i="25" s="1"/>
  <c r="C57" i="25" s="1"/>
  <c r="L27" i="25"/>
  <c r="M27" i="25" s="1"/>
  <c r="B27" i="25" s="1"/>
  <c r="C27" i="25" s="1"/>
  <c r="L90" i="25"/>
  <c r="M90" i="25" s="1"/>
  <c r="L119" i="25"/>
  <c r="M119" i="25" s="1"/>
  <c r="L120" i="25"/>
  <c r="M120" i="25" s="1"/>
  <c r="G93" i="25"/>
  <c r="K92" i="25"/>
  <c r="K91" i="25"/>
  <c r="G155" i="25"/>
  <c r="K153" i="25"/>
  <c r="G59" i="25"/>
  <c r="K58" i="25"/>
  <c r="G122" i="25"/>
  <c r="K121" i="25"/>
  <c r="G29" i="25"/>
  <c r="K28" i="25"/>
  <c r="L120" i="24"/>
  <c r="M120" i="24" s="1"/>
  <c r="B120" i="24" s="1"/>
  <c r="C120" i="24" s="1"/>
  <c r="L153" i="24"/>
  <c r="M153" i="24" s="1"/>
  <c r="B153" i="24" s="1"/>
  <c r="C153" i="24" s="1"/>
  <c r="L154" i="24"/>
  <c r="M154" i="24" s="1"/>
  <c r="L87" i="24"/>
  <c r="M87" i="24" s="1"/>
  <c r="B87" i="24" s="1"/>
  <c r="C87" i="24" s="1"/>
  <c r="L88" i="24"/>
  <c r="M88" i="24" s="1"/>
  <c r="L26" i="24"/>
  <c r="M26" i="24" s="1"/>
  <c r="L57" i="24"/>
  <c r="M57" i="24" s="1"/>
  <c r="G122" i="24"/>
  <c r="K121" i="24"/>
  <c r="G156" i="24"/>
  <c r="K156" i="24" s="1"/>
  <c r="G90" i="24"/>
  <c r="G29" i="24"/>
  <c r="K28" i="24"/>
  <c r="K27" i="24"/>
  <c r="G59" i="24"/>
  <c r="K58" i="24"/>
  <c r="L119" i="23"/>
  <c r="M119" i="23" s="1"/>
  <c r="B119" i="23" s="1"/>
  <c r="C119" i="23" s="1"/>
  <c r="L56" i="23"/>
  <c r="M56" i="23" s="1"/>
  <c r="L120" i="23"/>
  <c r="M120" i="23" s="1"/>
  <c r="L87" i="23"/>
  <c r="M87" i="23" s="1"/>
  <c r="B87" i="23" s="1"/>
  <c r="C87" i="23" s="1"/>
  <c r="L88" i="23"/>
  <c r="M88" i="23" s="1"/>
  <c r="L57" i="23"/>
  <c r="M57" i="23" s="1"/>
  <c r="L150" i="23"/>
  <c r="M150" i="23" s="1"/>
  <c r="L151" i="23"/>
  <c r="M151" i="23" s="1"/>
  <c r="G122" i="23"/>
  <c r="K121" i="23"/>
  <c r="G90" i="23"/>
  <c r="K89" i="23"/>
  <c r="G59" i="23"/>
  <c r="K58" i="23"/>
  <c r="G29" i="23"/>
  <c r="K28" i="23"/>
  <c r="K27" i="23"/>
  <c r="G153" i="23"/>
  <c r="K152" i="23"/>
  <c r="B149" i="23"/>
  <c r="C149" i="23" s="1"/>
  <c r="B118" i="23"/>
  <c r="C118" i="23" s="1"/>
  <c r="B86" i="23"/>
  <c r="C86" i="23" s="1"/>
  <c r="L91" i="22"/>
  <c r="M91" i="22" s="1"/>
  <c r="B91" i="22" s="1"/>
  <c r="C91" i="22" s="1"/>
  <c r="L56" i="22"/>
  <c r="M56" i="22" s="1"/>
  <c r="L119" i="22"/>
  <c r="M119" i="22" s="1"/>
  <c r="B119" i="22" s="1"/>
  <c r="C119" i="22" s="1"/>
  <c r="L57" i="22"/>
  <c r="M57" i="22" s="1"/>
  <c r="G29" i="22"/>
  <c r="K28" i="22"/>
  <c r="K27" i="22"/>
  <c r="G152" i="22"/>
  <c r="K150" i="22"/>
  <c r="G93" i="22"/>
  <c r="G121" i="22"/>
  <c r="K120" i="22"/>
  <c r="G59" i="22"/>
  <c r="K58" i="22"/>
  <c r="B26" i="22"/>
  <c r="C26" i="22" s="1"/>
  <c r="B25" i="22"/>
  <c r="C25" i="22" s="1"/>
  <c r="L121" i="21"/>
  <c r="M121" i="21" s="1"/>
  <c r="B121" i="21" s="1"/>
  <c r="C121" i="21" s="1"/>
  <c r="L89" i="21"/>
  <c r="M89" i="21" s="1"/>
  <c r="L26" i="21"/>
  <c r="M26" i="21" s="1"/>
  <c r="L58" i="21"/>
  <c r="M58" i="21" s="1"/>
  <c r="B58" i="21" s="1"/>
  <c r="C58" i="21" s="1"/>
  <c r="G29" i="21"/>
  <c r="K28" i="21"/>
  <c r="K27" i="21"/>
  <c r="G123" i="21"/>
  <c r="K122" i="21"/>
  <c r="G154" i="21"/>
  <c r="K153" i="21" s="1"/>
  <c r="K152" i="21"/>
  <c r="G60" i="21"/>
  <c r="K59" i="21"/>
  <c r="G91" i="21"/>
  <c r="B120" i="21"/>
  <c r="C120" i="21" s="1"/>
  <c r="B119" i="21"/>
  <c r="C119" i="21" s="1"/>
  <c r="M151" i="8"/>
  <c r="B151" i="8" s="1"/>
  <c r="C151" i="8" s="1"/>
  <c r="M25" i="8"/>
  <c r="M88" i="9"/>
  <c r="B88" i="9" s="1"/>
  <c r="C88" i="9" s="1"/>
  <c r="M150" i="9"/>
  <c r="B150" i="9" s="1"/>
  <c r="C150" i="9" s="1"/>
  <c r="K58" i="1"/>
  <c r="L58" i="1" s="1"/>
  <c r="B58" i="1" s="1"/>
  <c r="C58" i="1" s="1"/>
  <c r="K87" i="1"/>
  <c r="L87" i="1" s="1"/>
  <c r="K88" i="1"/>
  <c r="L88" i="1" s="1"/>
  <c r="K118" i="1"/>
  <c r="L118" i="1" s="1"/>
  <c r="K119" i="1"/>
  <c r="L119" i="1" s="1"/>
  <c r="K150" i="1"/>
  <c r="L150" i="1" s="1"/>
  <c r="B150" i="1" s="1"/>
  <c r="C150" i="1" s="1"/>
  <c r="K24" i="1"/>
  <c r="B26" i="3"/>
  <c r="C26" i="3" s="1"/>
  <c r="M60" i="3"/>
  <c r="B60" i="3" s="1"/>
  <c r="C60" i="3" s="1"/>
  <c r="M151" i="3"/>
  <c r="M90" i="3"/>
  <c r="M27" i="3"/>
  <c r="B27" i="3" s="1"/>
  <c r="M89" i="3"/>
  <c r="L22" i="1"/>
  <c r="B22" i="1" s="1"/>
  <c r="C22" i="1" s="1"/>
  <c r="L23" i="1"/>
  <c r="M26" i="9"/>
  <c r="B26" i="9" s="1"/>
  <c r="C26" i="9" s="1"/>
  <c r="G152" i="9"/>
  <c r="K151" i="9"/>
  <c r="G124" i="9"/>
  <c r="K123" i="9" s="1"/>
  <c r="G28" i="9"/>
  <c r="K27" i="9"/>
  <c r="K122" i="9"/>
  <c r="G90" i="9"/>
  <c r="K89" i="9"/>
  <c r="G62" i="9"/>
  <c r="K61" i="9"/>
  <c r="K60" i="9"/>
  <c r="M119" i="8"/>
  <c r="B119" i="8" s="1"/>
  <c r="C119" i="8" s="1"/>
  <c r="M57" i="8"/>
  <c r="B57" i="8" s="1"/>
  <c r="C57" i="8" s="1"/>
  <c r="M26" i="8"/>
  <c r="G153" i="8"/>
  <c r="K152" i="8" s="1"/>
  <c r="B118" i="8"/>
  <c r="C118" i="8" s="1"/>
  <c r="B117" i="8"/>
  <c r="C117" i="8" s="1"/>
  <c r="G90" i="8"/>
  <c r="K89" i="8" s="1"/>
  <c r="G28" i="8"/>
  <c r="K27" i="8"/>
  <c r="G59" i="8"/>
  <c r="K58" i="8" s="1"/>
  <c r="K88" i="8"/>
  <c r="B56" i="8"/>
  <c r="C56" i="8" s="1"/>
  <c r="G121" i="8"/>
  <c r="K120" i="8" s="1"/>
  <c r="M122" i="4"/>
  <c r="B122" i="4" s="1"/>
  <c r="C122" i="4" s="1"/>
  <c r="M26" i="4"/>
  <c r="B26" i="4" s="1"/>
  <c r="C26" i="4" s="1"/>
  <c r="M56" i="4"/>
  <c r="M57" i="4"/>
  <c r="M151" i="4"/>
  <c r="B151" i="4" s="1"/>
  <c r="C151" i="4" s="1"/>
  <c r="M90" i="4"/>
  <c r="B90" i="4" s="1"/>
  <c r="C90" i="4" s="1"/>
  <c r="G59" i="4"/>
  <c r="K58" i="4" s="1"/>
  <c r="G28" i="4"/>
  <c r="K27" i="4"/>
  <c r="G124" i="4"/>
  <c r="K123" i="4" s="1"/>
  <c r="B89" i="4"/>
  <c r="C89" i="4" s="1"/>
  <c r="B150" i="4"/>
  <c r="C150" i="4" s="1"/>
  <c r="B149" i="4"/>
  <c r="C149" i="4" s="1"/>
  <c r="G92" i="4"/>
  <c r="K91" i="4"/>
  <c r="G153" i="4"/>
  <c r="K152" i="4"/>
  <c r="M119" i="3"/>
  <c r="B119" i="3" s="1"/>
  <c r="C119" i="3" s="1"/>
  <c r="G92" i="3"/>
  <c r="G29" i="3"/>
  <c r="K28" i="3"/>
  <c r="B59" i="3"/>
  <c r="C59" i="3" s="1"/>
  <c r="B58" i="3"/>
  <c r="C58" i="3" s="1"/>
  <c r="G153" i="3"/>
  <c r="K152" i="3"/>
  <c r="G121" i="3"/>
  <c r="K120" i="3"/>
  <c r="G62" i="3"/>
  <c r="K61" i="3"/>
  <c r="L57" i="2"/>
  <c r="B57" i="2" s="1"/>
  <c r="C57" i="2" s="1"/>
  <c r="L90" i="2"/>
  <c r="B90" i="2" s="1"/>
  <c r="C90" i="2" s="1"/>
  <c r="L118" i="2"/>
  <c r="B118" i="2" s="1"/>
  <c r="C118" i="2" s="1"/>
  <c r="L26" i="2"/>
  <c r="B26" i="2" s="1"/>
  <c r="C26" i="2" s="1"/>
  <c r="L150" i="2"/>
  <c r="B150" i="2" s="1"/>
  <c r="C150" i="2" s="1"/>
  <c r="G92" i="2"/>
  <c r="J91" i="2"/>
  <c r="G59" i="2"/>
  <c r="J58" i="2"/>
  <c r="G121" i="2"/>
  <c r="J120" i="2"/>
  <c r="G152" i="2"/>
  <c r="J151" i="2"/>
  <c r="G28" i="2"/>
  <c r="J27" i="2"/>
  <c r="B117" i="2"/>
  <c r="C117" i="2" s="1"/>
  <c r="J119" i="2"/>
  <c r="G152" i="1"/>
  <c r="J151" i="1"/>
  <c r="G121" i="1"/>
  <c r="J120" i="1"/>
  <c r="G90" i="1"/>
  <c r="J89" i="1"/>
  <c r="G60" i="1"/>
  <c r="B57" i="1"/>
  <c r="C57" i="1" s="1"/>
  <c r="B56" i="1"/>
  <c r="C56" i="1" s="1"/>
  <c r="G26" i="1"/>
  <c r="J25" i="1" s="1"/>
  <c r="L155" i="34" a="1"/>
  <c r="L156" i="34" a="1"/>
  <c r="L122" i="34" a="1"/>
  <c r="L90" i="33" a="1"/>
  <c r="L58" i="33" a="1"/>
  <c r="L154" i="33" a="1"/>
  <c r="L153" i="33" a="1"/>
  <c r="L91" i="33" a="1"/>
  <c r="L58" i="32" a="1"/>
  <c r="L27" i="32" a="1"/>
  <c r="L152" i="32" a="1"/>
  <c r="L89" i="32" a="1"/>
  <c r="L121" i="32" a="1"/>
  <c r="L121" i="31" a="1"/>
  <c r="L58" i="31" a="1"/>
  <c r="L58" i="30" a="1"/>
  <c r="L121" i="30" a="1"/>
  <c r="L31" i="30" a="1"/>
  <c r="L156" i="30" a="1"/>
  <c r="L155" i="30" a="1"/>
  <c r="L32" i="30" a="1"/>
  <c r="L30" i="30" a="1"/>
  <c r="L90" i="30" a="1"/>
  <c r="L32" i="29" a="1"/>
  <c r="L121" i="29" a="1"/>
  <c r="L120" i="29" a="1"/>
  <c r="L152" i="29" a="1"/>
  <c r="L30" i="29" a="1"/>
  <c r="L58" i="29" a="1"/>
  <c r="L156" i="28" a="1"/>
  <c r="L155" i="28" a="1"/>
  <c r="L58" i="28" a="1"/>
  <c r="L122" i="28" a="1"/>
  <c r="L27" i="27" a="1"/>
  <c r="L120" i="27" a="1"/>
  <c r="L153" i="27" a="1"/>
  <c r="L152" i="27" a="1"/>
  <c r="L58" i="27" a="1"/>
  <c r="L121" i="26" a="1"/>
  <c r="L88" i="26" a="1"/>
  <c r="L150" i="26" a="1"/>
  <c r="L58" i="26" a="1"/>
  <c r="L57" i="26" a="1"/>
  <c r="L151" i="26" a="1"/>
  <c r="L92" i="25" a="1"/>
  <c r="L91" i="25" a="1"/>
  <c r="L153" i="25" a="1"/>
  <c r="L58" i="25" a="1"/>
  <c r="L121" i="25" a="1"/>
  <c r="L28" i="25" a="1"/>
  <c r="L28" i="24" a="1"/>
  <c r="L121" i="24" a="1"/>
  <c r="L156" i="24" a="1"/>
  <c r="L27" i="24" a="1"/>
  <c r="L58" i="24" a="1"/>
  <c r="L121" i="23" a="1"/>
  <c r="L27" i="23" a="1"/>
  <c r="L152" i="23" a="1"/>
  <c r="L89" i="23" a="1"/>
  <c r="L58" i="23" a="1"/>
  <c r="L28" i="23" a="1"/>
  <c r="L28" i="22" a="1"/>
  <c r="L150" i="22" a="1"/>
  <c r="L120" i="22" a="1"/>
  <c r="L58" i="22" a="1"/>
  <c r="L27" i="22" a="1"/>
  <c r="L27" i="21" a="1"/>
  <c r="L122" i="21" a="1"/>
  <c r="L28" i="21" a="1"/>
  <c r="L152" i="21" a="1"/>
  <c r="L59" i="21" a="1"/>
  <c r="L153" i="21" a="1"/>
  <c r="K89" i="1" a="1"/>
  <c r="K151" i="1" a="1"/>
  <c r="K120" i="1" a="1"/>
  <c r="K25" i="1" a="1"/>
  <c r="L122" i="34" l="1"/>
  <c r="M122" i="34" s="1"/>
  <c r="B122" i="34" s="1"/>
  <c r="C122" i="34" s="1"/>
  <c r="L156" i="34"/>
  <c r="M156" i="34" s="1"/>
  <c r="L155" i="34"/>
  <c r="M155" i="34" s="1"/>
  <c r="B156" i="34" s="1"/>
  <c r="C156" i="34" s="1"/>
  <c r="G29" i="34"/>
  <c r="K28" i="34"/>
  <c r="K27" i="34"/>
  <c r="G92" i="34"/>
  <c r="K91" i="34"/>
  <c r="K90" i="34"/>
  <c r="G61" i="34"/>
  <c r="K60" i="34"/>
  <c r="K59" i="34"/>
  <c r="G124" i="34"/>
  <c r="K123" i="34"/>
  <c r="L91" i="33"/>
  <c r="M91" i="33" s="1"/>
  <c r="L153" i="33"/>
  <c r="M153" i="33" s="1"/>
  <c r="B153" i="33" s="1"/>
  <c r="C153" i="33" s="1"/>
  <c r="L154" i="33"/>
  <c r="M154" i="33" s="1"/>
  <c r="L58" i="33"/>
  <c r="M58" i="33" s="1"/>
  <c r="L90" i="33"/>
  <c r="M90" i="33" s="1"/>
  <c r="B121" i="33"/>
  <c r="C121" i="33" s="1"/>
  <c r="B120" i="33"/>
  <c r="C120" i="33" s="1"/>
  <c r="G156" i="33"/>
  <c r="K156" i="33" s="1"/>
  <c r="K155" i="33"/>
  <c r="G60" i="33"/>
  <c r="G124" i="33"/>
  <c r="K123" i="33"/>
  <c r="K122" i="33"/>
  <c r="G29" i="33"/>
  <c r="K28" i="33"/>
  <c r="K27" i="33"/>
  <c r="G93" i="33"/>
  <c r="K92" i="33"/>
  <c r="B152" i="33"/>
  <c r="C152" i="33" s="1"/>
  <c r="B57" i="33"/>
  <c r="C57" i="33" s="1"/>
  <c r="B56" i="33"/>
  <c r="C56" i="33" s="1"/>
  <c r="L121" i="32"/>
  <c r="M121" i="32" s="1"/>
  <c r="B121" i="32" s="1"/>
  <c r="C121" i="32" s="1"/>
  <c r="L89" i="32"/>
  <c r="M89" i="32" s="1"/>
  <c r="B89" i="32" s="1"/>
  <c r="C89" i="32" s="1"/>
  <c r="L152" i="32"/>
  <c r="M152" i="32" s="1"/>
  <c r="B152" i="32" s="1"/>
  <c r="C152" i="32" s="1"/>
  <c r="L27" i="32"/>
  <c r="M27" i="32" s="1"/>
  <c r="L58" i="32"/>
  <c r="M58" i="32" s="1"/>
  <c r="G123" i="32"/>
  <c r="G91" i="32"/>
  <c r="G154" i="32"/>
  <c r="G30" i="32"/>
  <c r="K29" i="32"/>
  <c r="G60" i="32"/>
  <c r="B120" i="32"/>
  <c r="C120" i="32" s="1"/>
  <c r="B119" i="32"/>
  <c r="C119" i="32" s="1"/>
  <c r="K28" i="32"/>
  <c r="B57" i="32"/>
  <c r="C57" i="32" s="1"/>
  <c r="B56" i="32"/>
  <c r="C56" i="32" s="1"/>
  <c r="L58" i="31"/>
  <c r="M58" i="31" s="1"/>
  <c r="B58" i="31" s="1"/>
  <c r="C58" i="31" s="1"/>
  <c r="L121" i="31"/>
  <c r="M121" i="31" s="1"/>
  <c r="G124" i="31"/>
  <c r="K123" i="31"/>
  <c r="G60" i="31"/>
  <c r="G92" i="31"/>
  <c r="K91" i="31" s="1"/>
  <c r="G29" i="31"/>
  <c r="K28" i="31"/>
  <c r="B57" i="31"/>
  <c r="C57" i="31" s="1"/>
  <c r="B56" i="31"/>
  <c r="C56" i="31" s="1"/>
  <c r="G156" i="31"/>
  <c r="K156" i="31" s="1"/>
  <c r="K155" i="31"/>
  <c r="K122" i="31"/>
  <c r="K90" i="31"/>
  <c r="K27" i="31"/>
  <c r="K154" i="31"/>
  <c r="L90" i="30"/>
  <c r="M90" i="30" s="1"/>
  <c r="B90" i="30" s="1"/>
  <c r="C90" i="30" s="1"/>
  <c r="L30" i="30"/>
  <c r="M30" i="30" s="1"/>
  <c r="L32" i="30"/>
  <c r="M32" i="30" s="1"/>
  <c r="L155" i="30"/>
  <c r="M155" i="30" s="1"/>
  <c r="B156" i="30" s="1"/>
  <c r="C156" i="30" s="1"/>
  <c r="L156" i="30"/>
  <c r="M156" i="30" s="1"/>
  <c r="L31" i="30"/>
  <c r="M31" i="30" s="1"/>
  <c r="B32" i="30" s="1"/>
  <c r="C32" i="30" s="1"/>
  <c r="L121" i="30"/>
  <c r="M121" i="30" s="1"/>
  <c r="B121" i="30" s="1"/>
  <c r="C121" i="30" s="1"/>
  <c r="L58" i="30"/>
  <c r="M58" i="30" s="1"/>
  <c r="B58" i="30" s="1"/>
  <c r="C58" i="30" s="1"/>
  <c r="K59" i="30"/>
  <c r="G60" i="30"/>
  <c r="G123" i="30"/>
  <c r="B57" i="30"/>
  <c r="C57" i="30" s="1"/>
  <c r="B56" i="30"/>
  <c r="C56" i="30" s="1"/>
  <c r="B154" i="30"/>
  <c r="C154" i="30" s="1"/>
  <c r="B153" i="30"/>
  <c r="C153" i="30" s="1"/>
  <c r="B120" i="30"/>
  <c r="C120" i="30" s="1"/>
  <c r="B119" i="30"/>
  <c r="C119" i="30" s="1"/>
  <c r="G92" i="30"/>
  <c r="L58" i="29"/>
  <c r="M58" i="29" s="1"/>
  <c r="B58" i="29" s="1"/>
  <c r="C58" i="29" s="1"/>
  <c r="L30" i="29"/>
  <c r="M30" i="29" s="1"/>
  <c r="L152" i="29"/>
  <c r="M152" i="29" s="1"/>
  <c r="B152" i="29" s="1"/>
  <c r="C152" i="29" s="1"/>
  <c r="L120" i="29"/>
  <c r="M120" i="29" s="1"/>
  <c r="L121" i="29"/>
  <c r="M121" i="29" s="1"/>
  <c r="L32" i="29"/>
  <c r="M32" i="29" s="1"/>
  <c r="G155" i="29"/>
  <c r="K154" i="29"/>
  <c r="K153" i="29"/>
  <c r="K122" i="29"/>
  <c r="G123" i="29"/>
  <c r="G91" i="29"/>
  <c r="K90" i="29"/>
  <c r="K89" i="29"/>
  <c r="G60" i="29"/>
  <c r="K59" i="29"/>
  <c r="K31" i="29"/>
  <c r="B88" i="29"/>
  <c r="C88" i="29" s="1"/>
  <c r="B87" i="29"/>
  <c r="C87" i="29" s="1"/>
  <c r="B57" i="29"/>
  <c r="C57" i="29" s="1"/>
  <c r="B56" i="29"/>
  <c r="C56" i="29" s="1"/>
  <c r="B119" i="29"/>
  <c r="C119" i="29" s="1"/>
  <c r="B151" i="29"/>
  <c r="C151" i="29" s="1"/>
  <c r="L122" i="28"/>
  <c r="M122" i="28" s="1"/>
  <c r="B122" i="28" s="1"/>
  <c r="C122" i="28" s="1"/>
  <c r="L58" i="28"/>
  <c r="M58" i="28" s="1"/>
  <c r="B58" i="28" s="1"/>
  <c r="C58" i="28" s="1"/>
  <c r="L155" i="28"/>
  <c r="M155" i="28" s="1"/>
  <c r="B156" i="28" s="1"/>
  <c r="C156" i="28" s="1"/>
  <c r="L156" i="28"/>
  <c r="M156" i="28" s="1"/>
  <c r="G60" i="28"/>
  <c r="K59" i="28" s="1"/>
  <c r="G92" i="28"/>
  <c r="K91" i="28"/>
  <c r="K90" i="28"/>
  <c r="G29" i="28"/>
  <c r="K28" i="28"/>
  <c r="K27" i="28"/>
  <c r="B57" i="28"/>
  <c r="C57" i="28" s="1"/>
  <c r="B56" i="28"/>
  <c r="C56" i="28" s="1"/>
  <c r="G124" i="28"/>
  <c r="K123" i="28"/>
  <c r="L58" i="27"/>
  <c r="M58" i="27" s="1"/>
  <c r="B58" i="27" s="1"/>
  <c r="C58" i="27" s="1"/>
  <c r="L152" i="27"/>
  <c r="M152" i="27" s="1"/>
  <c r="L153" i="27"/>
  <c r="M153" i="27" s="1"/>
  <c r="L120" i="27"/>
  <c r="M120" i="27" s="1"/>
  <c r="B120" i="27" s="1"/>
  <c r="C120" i="27" s="1"/>
  <c r="L27" i="27"/>
  <c r="M27" i="27" s="1"/>
  <c r="B27" i="27" s="1"/>
  <c r="C27" i="27" s="1"/>
  <c r="G122" i="27"/>
  <c r="K121" i="27"/>
  <c r="G29" i="27"/>
  <c r="K28" i="27"/>
  <c r="G60" i="27"/>
  <c r="K59" i="27"/>
  <c r="G155" i="27"/>
  <c r="G91" i="27"/>
  <c r="K90" i="27"/>
  <c r="K89" i="27"/>
  <c r="B88" i="27"/>
  <c r="C88" i="27" s="1"/>
  <c r="B87" i="27"/>
  <c r="C87" i="27" s="1"/>
  <c r="B57" i="27"/>
  <c r="C57" i="27" s="1"/>
  <c r="B56" i="27"/>
  <c r="C56" i="27" s="1"/>
  <c r="L151" i="26"/>
  <c r="M151" i="26" s="1"/>
  <c r="L57" i="26"/>
  <c r="M57" i="26" s="1"/>
  <c r="L58" i="26"/>
  <c r="M58" i="26" s="1"/>
  <c r="L150" i="26"/>
  <c r="M150" i="26" s="1"/>
  <c r="L88" i="26"/>
  <c r="M88" i="26" s="1"/>
  <c r="L121" i="26"/>
  <c r="M121" i="26" s="1"/>
  <c r="G31" i="26"/>
  <c r="K30" i="26" s="1"/>
  <c r="K29" i="26"/>
  <c r="G60" i="26"/>
  <c r="K59" i="26"/>
  <c r="G153" i="26"/>
  <c r="G91" i="26"/>
  <c r="K89" i="26"/>
  <c r="G124" i="26"/>
  <c r="K122" i="26"/>
  <c r="B28" i="26"/>
  <c r="C28" i="26" s="1"/>
  <c r="B87" i="26"/>
  <c r="C87" i="26" s="1"/>
  <c r="L28" i="25"/>
  <c r="M28" i="25" s="1"/>
  <c r="B28" i="25" s="1"/>
  <c r="C28" i="25" s="1"/>
  <c r="L121" i="25"/>
  <c r="M121" i="25" s="1"/>
  <c r="B121" i="25" s="1"/>
  <c r="C121" i="25" s="1"/>
  <c r="L58" i="25"/>
  <c r="M58" i="25" s="1"/>
  <c r="B58" i="25" s="1"/>
  <c r="C58" i="25" s="1"/>
  <c r="L153" i="25"/>
  <c r="M153" i="25" s="1"/>
  <c r="L91" i="25"/>
  <c r="M91" i="25" s="1"/>
  <c r="L92" i="25"/>
  <c r="M92" i="25" s="1"/>
  <c r="G156" i="25"/>
  <c r="K156" i="25" s="1"/>
  <c r="K155" i="25"/>
  <c r="G30" i="25"/>
  <c r="K29" i="25" s="1"/>
  <c r="G123" i="25"/>
  <c r="G60" i="25"/>
  <c r="K154" i="25"/>
  <c r="G94" i="25"/>
  <c r="K94" i="25" s="1"/>
  <c r="B120" i="25"/>
  <c r="C120" i="25" s="1"/>
  <c r="B119" i="25"/>
  <c r="C119" i="25" s="1"/>
  <c r="B90" i="25"/>
  <c r="C90" i="25" s="1"/>
  <c r="L58" i="24"/>
  <c r="M58" i="24" s="1"/>
  <c r="B58" i="24" s="1"/>
  <c r="C58" i="24" s="1"/>
  <c r="L27" i="24"/>
  <c r="M27" i="24" s="1"/>
  <c r="B27" i="24" s="1"/>
  <c r="C27" i="24" s="1"/>
  <c r="L156" i="24"/>
  <c r="M156" i="24" s="1"/>
  <c r="L121" i="24"/>
  <c r="M121" i="24" s="1"/>
  <c r="B121" i="24" s="1"/>
  <c r="C121" i="24" s="1"/>
  <c r="L28" i="24"/>
  <c r="M28" i="24" s="1"/>
  <c r="G91" i="24"/>
  <c r="K89" i="24"/>
  <c r="K122" i="24"/>
  <c r="G123" i="24"/>
  <c r="B26" i="24"/>
  <c r="C26" i="24" s="1"/>
  <c r="G60" i="24"/>
  <c r="K59" i="24"/>
  <c r="G30" i="24"/>
  <c r="K29" i="24"/>
  <c r="K155" i="24"/>
  <c r="B88" i="24"/>
  <c r="C88" i="24" s="1"/>
  <c r="B57" i="24"/>
  <c r="C57" i="24" s="1"/>
  <c r="B154" i="24"/>
  <c r="C154" i="24" s="1"/>
  <c r="B151" i="23"/>
  <c r="C151" i="23" s="1"/>
  <c r="L28" i="23"/>
  <c r="M28" i="23" s="1"/>
  <c r="L58" i="23"/>
  <c r="M58" i="23" s="1"/>
  <c r="B58" i="23" s="1"/>
  <c r="C58" i="23" s="1"/>
  <c r="L89" i="23"/>
  <c r="M89" i="23" s="1"/>
  <c r="B89" i="23" s="1"/>
  <c r="C89" i="23" s="1"/>
  <c r="L152" i="23"/>
  <c r="M152" i="23" s="1"/>
  <c r="B152" i="23" s="1"/>
  <c r="C152" i="23" s="1"/>
  <c r="L27" i="23"/>
  <c r="M27" i="23" s="1"/>
  <c r="L121" i="23"/>
  <c r="M121" i="23" s="1"/>
  <c r="G154" i="23"/>
  <c r="G60" i="23"/>
  <c r="K59" i="23"/>
  <c r="G91" i="23"/>
  <c r="B150" i="23"/>
  <c r="C150" i="23" s="1"/>
  <c r="G30" i="23"/>
  <c r="K29" i="23"/>
  <c r="G123" i="23"/>
  <c r="K122" i="23" s="1"/>
  <c r="B88" i="23"/>
  <c r="C88" i="23" s="1"/>
  <c r="B57" i="23"/>
  <c r="C57" i="23" s="1"/>
  <c r="B56" i="23"/>
  <c r="C56" i="23" s="1"/>
  <c r="B120" i="23"/>
  <c r="C120" i="23" s="1"/>
  <c r="L27" i="22"/>
  <c r="M27" i="22" s="1"/>
  <c r="L58" i="22"/>
  <c r="M58" i="22" s="1"/>
  <c r="L120" i="22"/>
  <c r="M120" i="22" s="1"/>
  <c r="L150" i="22"/>
  <c r="M150" i="22" s="1"/>
  <c r="L28" i="22"/>
  <c r="M28" i="22" s="1"/>
  <c r="G153" i="22"/>
  <c r="G30" i="22"/>
  <c r="K29" i="22"/>
  <c r="G60" i="22"/>
  <c r="K59" i="22"/>
  <c r="G122" i="22"/>
  <c r="K121" i="22"/>
  <c r="G94" i="22"/>
  <c r="K94" i="22" s="1"/>
  <c r="K92" i="22"/>
  <c r="K151" i="22"/>
  <c r="B57" i="22"/>
  <c r="C57" i="22" s="1"/>
  <c r="B56" i="22"/>
  <c r="C56" i="22" s="1"/>
  <c r="L153" i="21"/>
  <c r="M153" i="21" s="1"/>
  <c r="L59" i="21"/>
  <c r="M59" i="21" s="1"/>
  <c r="B59" i="21" s="1"/>
  <c r="C59" i="21" s="1"/>
  <c r="L152" i="21"/>
  <c r="M152" i="21" s="1"/>
  <c r="L28" i="21"/>
  <c r="M28" i="21" s="1"/>
  <c r="L122" i="21"/>
  <c r="M122" i="21" s="1"/>
  <c r="L27" i="21"/>
  <c r="M27" i="21" s="1"/>
  <c r="G92" i="21"/>
  <c r="K91" i="21"/>
  <c r="K90" i="21"/>
  <c r="G61" i="21"/>
  <c r="G155" i="21"/>
  <c r="K154" i="21"/>
  <c r="G124" i="21"/>
  <c r="K123" i="21"/>
  <c r="G30" i="21"/>
  <c r="K29" i="21"/>
  <c r="B26" i="21"/>
  <c r="C26" i="21" s="1"/>
  <c r="B89" i="21"/>
  <c r="C89" i="21" s="1"/>
  <c r="M88" i="8"/>
  <c r="M123" i="9"/>
  <c r="M60" i="9"/>
  <c r="K25" i="1"/>
  <c r="K120" i="1"/>
  <c r="L120" i="1" s="1"/>
  <c r="B120" i="1" s="1"/>
  <c r="C120" i="1" s="1"/>
  <c r="K151" i="1"/>
  <c r="L151" i="1" s="1"/>
  <c r="B151" i="1" s="1"/>
  <c r="C151" i="1" s="1"/>
  <c r="K89" i="1"/>
  <c r="L89" i="1" s="1"/>
  <c r="B89" i="1" s="1"/>
  <c r="C89" i="1" s="1"/>
  <c r="C27" i="3"/>
  <c r="M58" i="4"/>
  <c r="B58" i="4" s="1"/>
  <c r="C58" i="4" s="1"/>
  <c r="M152" i="4"/>
  <c r="B152" i="4" s="1"/>
  <c r="C152" i="4" s="1"/>
  <c r="M91" i="4"/>
  <c r="B91" i="4" s="1"/>
  <c r="C91" i="4" s="1"/>
  <c r="M123" i="4"/>
  <c r="B123" i="4" s="1"/>
  <c r="C123" i="4" s="1"/>
  <c r="M61" i="3"/>
  <c r="B61" i="3" s="1"/>
  <c r="C61" i="3" s="1"/>
  <c r="M120" i="3"/>
  <c r="B120" i="3" s="1"/>
  <c r="C120" i="3" s="1"/>
  <c r="B23" i="1"/>
  <c r="C23" i="1" s="1"/>
  <c r="L24" i="1"/>
  <c r="B24" i="1" s="1"/>
  <c r="C24" i="1" s="1"/>
  <c r="M122" i="9"/>
  <c r="M61" i="9"/>
  <c r="M151" i="9"/>
  <c r="B151" i="9" s="1"/>
  <c r="C151" i="9" s="1"/>
  <c r="M89" i="9"/>
  <c r="B89" i="9" s="1"/>
  <c r="C89" i="9" s="1"/>
  <c r="M27" i="9"/>
  <c r="B27" i="9" s="1"/>
  <c r="C27" i="9" s="1"/>
  <c r="G125" i="9"/>
  <c r="K125" i="9" s="1"/>
  <c r="G29" i="9"/>
  <c r="K28" i="9"/>
  <c r="G63" i="9"/>
  <c r="K63" i="9" s="1"/>
  <c r="G153" i="9"/>
  <c r="K152" i="9" s="1"/>
  <c r="G91" i="9"/>
  <c r="K90" i="9"/>
  <c r="M152" i="8"/>
  <c r="B152" i="8" s="1"/>
  <c r="C152" i="8" s="1"/>
  <c r="M27" i="8"/>
  <c r="B27" i="8" s="1"/>
  <c r="C27" i="8" s="1"/>
  <c r="M89" i="8"/>
  <c r="M58" i="8"/>
  <c r="B58" i="8" s="1"/>
  <c r="C58" i="8" s="1"/>
  <c r="M120" i="8"/>
  <c r="B120" i="8" s="1"/>
  <c r="C120" i="8" s="1"/>
  <c r="K90" i="8"/>
  <c r="G91" i="8"/>
  <c r="G122" i="8"/>
  <c r="K121" i="8"/>
  <c r="B26" i="8"/>
  <c r="C26" i="8" s="1"/>
  <c r="B25" i="8"/>
  <c r="C25" i="8" s="1"/>
  <c r="G29" i="8"/>
  <c r="G154" i="8"/>
  <c r="K153" i="8"/>
  <c r="G60" i="8"/>
  <c r="K59" i="8"/>
  <c r="M27" i="4"/>
  <c r="G29" i="4"/>
  <c r="K28" i="4"/>
  <c r="G60" i="4"/>
  <c r="K59" i="4"/>
  <c r="G154" i="4"/>
  <c r="K153" i="4"/>
  <c r="B57" i="4"/>
  <c r="C57" i="4" s="1"/>
  <c r="B56" i="4"/>
  <c r="C56" i="4" s="1"/>
  <c r="G93" i="4"/>
  <c r="K92" i="4" s="1"/>
  <c r="G125" i="4"/>
  <c r="K125" i="4" s="1"/>
  <c r="M152" i="3"/>
  <c r="B152" i="3" s="1"/>
  <c r="C152" i="3" s="1"/>
  <c r="M28" i="3"/>
  <c r="B28" i="3" s="1"/>
  <c r="G154" i="3"/>
  <c r="K153" i="3"/>
  <c r="G30" i="3"/>
  <c r="K29" i="3" s="1"/>
  <c r="G63" i="3"/>
  <c r="K63" i="3" s="1"/>
  <c r="K62" i="3"/>
  <c r="G93" i="3"/>
  <c r="K92" i="3" s="1"/>
  <c r="K91" i="3"/>
  <c r="G122" i="3"/>
  <c r="K121" i="3"/>
  <c r="B90" i="3"/>
  <c r="C90" i="3" s="1"/>
  <c r="B89" i="3"/>
  <c r="C89" i="3" s="1"/>
  <c r="B151" i="3"/>
  <c r="C151" i="3" s="1"/>
  <c r="L120" i="2"/>
  <c r="L151" i="2"/>
  <c r="B151" i="2" s="1"/>
  <c r="C151" i="2" s="1"/>
  <c r="L91" i="2"/>
  <c r="B91" i="2" s="1"/>
  <c r="C91" i="2" s="1"/>
  <c r="L119" i="2"/>
  <c r="L27" i="2"/>
  <c r="L58" i="2"/>
  <c r="G153" i="2"/>
  <c r="J152" i="2"/>
  <c r="G122" i="2"/>
  <c r="G60" i="2"/>
  <c r="J59" i="2"/>
  <c r="J92" i="2"/>
  <c r="G93" i="2"/>
  <c r="G29" i="2"/>
  <c r="J28" i="2" s="1"/>
  <c r="G153" i="1"/>
  <c r="J152" i="1"/>
  <c r="G122" i="1"/>
  <c r="J121" i="1"/>
  <c r="B119" i="1"/>
  <c r="C119" i="1" s="1"/>
  <c r="B118" i="1"/>
  <c r="C118" i="1" s="1"/>
  <c r="G91" i="1"/>
  <c r="B88" i="1"/>
  <c r="C88" i="1" s="1"/>
  <c r="B87" i="1"/>
  <c r="C87" i="1" s="1"/>
  <c r="G61" i="1"/>
  <c r="J60" i="1"/>
  <c r="J59" i="1"/>
  <c r="G27" i="1"/>
  <c r="J26" i="1"/>
  <c r="L28" i="34" a="1"/>
  <c r="L27" i="34" a="1"/>
  <c r="L91" i="34" a="1"/>
  <c r="L90" i="34" a="1"/>
  <c r="L60" i="34" a="1"/>
  <c r="L59" i="34" a="1"/>
  <c r="L123" i="34" a="1"/>
  <c r="L123" i="33" a="1"/>
  <c r="L122" i="33" a="1"/>
  <c r="L28" i="33" a="1"/>
  <c r="L27" i="33" a="1"/>
  <c r="L156" i="33" a="1"/>
  <c r="L155" i="33" a="1"/>
  <c r="L92" i="33" a="1"/>
  <c r="L29" i="32" a="1"/>
  <c r="L28" i="32" a="1"/>
  <c r="L154" i="31" a="1"/>
  <c r="L123" i="31" a="1"/>
  <c r="L90" i="31" a="1"/>
  <c r="L28" i="31" a="1"/>
  <c r="L156" i="31" a="1"/>
  <c r="L155" i="31" a="1"/>
  <c r="L122" i="31" a="1"/>
  <c r="L27" i="31" a="1"/>
  <c r="L91" i="31" a="1"/>
  <c r="L59" i="30" a="1"/>
  <c r="L89" i="29" a="1"/>
  <c r="L122" i="29" a="1"/>
  <c r="L90" i="29" a="1"/>
  <c r="L59" i="29" a="1"/>
  <c r="L31" i="29" a="1"/>
  <c r="L154" i="29" a="1"/>
  <c r="L153" i="29" a="1"/>
  <c r="L27" i="28" a="1"/>
  <c r="L123" i="28" a="1"/>
  <c r="L91" i="28" a="1"/>
  <c r="L90" i="28" a="1"/>
  <c r="L28" i="28" a="1"/>
  <c r="L59" i="28" a="1"/>
  <c r="L121" i="27" a="1"/>
  <c r="L28" i="27" a="1"/>
  <c r="L59" i="27" a="1"/>
  <c r="L90" i="27" a="1"/>
  <c r="L89" i="27" a="1"/>
  <c r="L29" i="26" a="1"/>
  <c r="L59" i="26" a="1"/>
  <c r="L122" i="26" a="1"/>
  <c r="L89" i="26" a="1"/>
  <c r="L30" i="26" a="1"/>
  <c r="L156" i="25" a="1"/>
  <c r="L155" i="25" a="1"/>
  <c r="L154" i="25" a="1"/>
  <c r="L94" i="25" a="1"/>
  <c r="L29" i="25" a="1"/>
  <c r="L89" i="24" a="1"/>
  <c r="L122" i="24" a="1"/>
  <c r="L59" i="24" a="1"/>
  <c r="L29" i="24" a="1"/>
  <c r="L155" i="24" a="1"/>
  <c r="L59" i="23" a="1"/>
  <c r="L29" i="23" a="1"/>
  <c r="L122" i="23" a="1"/>
  <c r="L59" i="22" a="1"/>
  <c r="L121" i="22" a="1"/>
  <c r="L94" i="22" a="1"/>
  <c r="L92" i="22" a="1"/>
  <c r="L151" i="22" a="1"/>
  <c r="L29" i="22" a="1"/>
  <c r="L123" i="21" a="1"/>
  <c r="L29" i="21" a="1"/>
  <c r="L154" i="21" a="1"/>
  <c r="L91" i="21" a="1"/>
  <c r="L90" i="21" a="1"/>
  <c r="K59" i="1" a="1"/>
  <c r="K152" i="1" a="1"/>
  <c r="K60" i="1" a="1"/>
  <c r="K26" i="1" a="1"/>
  <c r="K121" i="1" a="1"/>
  <c r="B155" i="34" l="1"/>
  <c r="C155" i="34" s="1"/>
  <c r="L123" i="34"/>
  <c r="M123" i="34" s="1"/>
  <c r="B123" i="34" s="1"/>
  <c r="C123" i="34" s="1"/>
  <c r="L59" i="34"/>
  <c r="M59" i="34" s="1"/>
  <c r="L60" i="34"/>
  <c r="M60" i="34" s="1"/>
  <c r="L90" i="34"/>
  <c r="M90" i="34" s="1"/>
  <c r="L91" i="34"/>
  <c r="M91" i="34" s="1"/>
  <c r="L27" i="34"/>
  <c r="M27" i="34" s="1"/>
  <c r="L28" i="34"/>
  <c r="M28" i="34" s="1"/>
  <c r="G125" i="34"/>
  <c r="K125" i="34" s="1"/>
  <c r="K124" i="34"/>
  <c r="G62" i="34"/>
  <c r="G93" i="34"/>
  <c r="K92" i="34"/>
  <c r="G30" i="34"/>
  <c r="K29" i="34"/>
  <c r="L92" i="33"/>
  <c r="M92" i="33" s="1"/>
  <c r="B92" i="33" s="1"/>
  <c r="C92" i="33" s="1"/>
  <c r="L155" i="33"/>
  <c r="M155" i="33" s="1"/>
  <c r="B156" i="33" s="1"/>
  <c r="C156" i="33" s="1"/>
  <c r="L156" i="33"/>
  <c r="M156" i="33" s="1"/>
  <c r="L27" i="33"/>
  <c r="M27" i="33" s="1"/>
  <c r="L28" i="33"/>
  <c r="M28" i="33" s="1"/>
  <c r="L122" i="33"/>
  <c r="M122" i="33" s="1"/>
  <c r="L123" i="33"/>
  <c r="M123" i="33" s="1"/>
  <c r="G30" i="33"/>
  <c r="K29" i="33"/>
  <c r="G61" i="33"/>
  <c r="K60" i="33" s="1"/>
  <c r="B91" i="33"/>
  <c r="C91" i="33" s="1"/>
  <c r="B90" i="33"/>
  <c r="C90" i="33" s="1"/>
  <c r="B154" i="33"/>
  <c r="C154" i="33" s="1"/>
  <c r="B58" i="33"/>
  <c r="C58" i="33" s="1"/>
  <c r="G94" i="33"/>
  <c r="K94" i="33" s="1"/>
  <c r="B155" i="30"/>
  <c r="C155" i="30" s="1"/>
  <c r="G125" i="33"/>
  <c r="K125" i="33" s="1"/>
  <c r="K124" i="33"/>
  <c r="K59" i="33"/>
  <c r="L28" i="32"/>
  <c r="M28" i="32" s="1"/>
  <c r="B28" i="32" s="1"/>
  <c r="C28" i="32" s="1"/>
  <c r="L29" i="32"/>
  <c r="M29" i="32" s="1"/>
  <c r="G61" i="32"/>
  <c r="K60" i="32"/>
  <c r="K59" i="32"/>
  <c r="G31" i="32"/>
  <c r="G155" i="32"/>
  <c r="K154" i="32"/>
  <c r="K153" i="32"/>
  <c r="G92" i="32"/>
  <c r="K91" i="32"/>
  <c r="K90" i="32"/>
  <c r="B27" i="32"/>
  <c r="C27" i="32" s="1"/>
  <c r="G124" i="32"/>
  <c r="K123" i="32"/>
  <c r="K122" i="32"/>
  <c r="B58" i="32"/>
  <c r="C58" i="32" s="1"/>
  <c r="L91" i="31"/>
  <c r="M91" i="31" s="1"/>
  <c r="L27" i="31"/>
  <c r="M27" i="31" s="1"/>
  <c r="L122" i="31"/>
  <c r="M122" i="31" s="1"/>
  <c r="B122" i="31" s="1"/>
  <c r="C122" i="31" s="1"/>
  <c r="L155" i="31"/>
  <c r="M155" i="31" s="1"/>
  <c r="B156" i="31" s="1"/>
  <c r="C156" i="31" s="1"/>
  <c r="L156" i="31"/>
  <c r="M156" i="31" s="1"/>
  <c r="L28" i="31"/>
  <c r="M28" i="31" s="1"/>
  <c r="L90" i="31"/>
  <c r="M90" i="31" s="1"/>
  <c r="L123" i="31"/>
  <c r="M123" i="31" s="1"/>
  <c r="L154" i="31"/>
  <c r="M154" i="31" s="1"/>
  <c r="G30" i="31"/>
  <c r="K29" i="31"/>
  <c r="G93" i="31"/>
  <c r="K92" i="31"/>
  <c r="G61" i="31"/>
  <c r="K60" i="31"/>
  <c r="K59" i="31"/>
  <c r="G125" i="31"/>
  <c r="K125" i="31" s="1"/>
  <c r="K124" i="31"/>
  <c r="B121" i="31"/>
  <c r="C121" i="31" s="1"/>
  <c r="L59" i="30"/>
  <c r="M59" i="30" s="1"/>
  <c r="G124" i="30"/>
  <c r="K123" i="30"/>
  <c r="K122" i="30"/>
  <c r="G61" i="30"/>
  <c r="K60" i="30"/>
  <c r="G93" i="30"/>
  <c r="K92" i="30" s="1"/>
  <c r="K91" i="30"/>
  <c r="B31" i="30"/>
  <c r="C31" i="30" s="1"/>
  <c r="B30" i="30"/>
  <c r="C30" i="30" s="1"/>
  <c r="L153" i="29"/>
  <c r="M153" i="29" s="1"/>
  <c r="B153" i="29" s="1"/>
  <c r="C153" i="29" s="1"/>
  <c r="L154" i="29"/>
  <c r="M154" i="29" s="1"/>
  <c r="L31" i="29"/>
  <c r="M31" i="29" s="1"/>
  <c r="B32" i="29" s="1"/>
  <c r="C32" i="29" s="1"/>
  <c r="L59" i="29"/>
  <c r="M59" i="29" s="1"/>
  <c r="L90" i="29"/>
  <c r="M90" i="29" s="1"/>
  <c r="L122" i="29"/>
  <c r="M122" i="29" s="1"/>
  <c r="L89" i="29"/>
  <c r="M89" i="29" s="1"/>
  <c r="G61" i="29"/>
  <c r="K60" i="29"/>
  <c r="G92" i="29"/>
  <c r="K91" i="29"/>
  <c r="B30" i="29"/>
  <c r="C30" i="29" s="1"/>
  <c r="G124" i="29"/>
  <c r="K123" i="29"/>
  <c r="G156" i="29"/>
  <c r="K156" i="29" s="1"/>
  <c r="B121" i="29"/>
  <c r="C121" i="29" s="1"/>
  <c r="B120" i="29"/>
  <c r="C120" i="29" s="1"/>
  <c r="L59" i="28"/>
  <c r="M59" i="28" s="1"/>
  <c r="B59" i="28" s="1"/>
  <c r="C59" i="28" s="1"/>
  <c r="L28" i="28"/>
  <c r="M28" i="28" s="1"/>
  <c r="L90" i="28"/>
  <c r="M90" i="28" s="1"/>
  <c r="L91" i="28"/>
  <c r="M91" i="28" s="1"/>
  <c r="L123" i="28"/>
  <c r="M123" i="28" s="1"/>
  <c r="B123" i="28" s="1"/>
  <c r="C123" i="28" s="1"/>
  <c r="L27" i="28"/>
  <c r="M27" i="28" s="1"/>
  <c r="G30" i="28"/>
  <c r="K29" i="28"/>
  <c r="G93" i="28"/>
  <c r="K92" i="28" s="1"/>
  <c r="G125" i="28"/>
  <c r="K125" i="28" s="1"/>
  <c r="K124" i="28"/>
  <c r="G61" i="28"/>
  <c r="K60" i="28"/>
  <c r="B155" i="28"/>
  <c r="C155" i="28" s="1"/>
  <c r="L89" i="27"/>
  <c r="M89" i="27" s="1"/>
  <c r="L90" i="27"/>
  <c r="M90" i="27" s="1"/>
  <c r="L59" i="27"/>
  <c r="M59" i="27" s="1"/>
  <c r="L28" i="27"/>
  <c r="M28" i="27" s="1"/>
  <c r="B28" i="27" s="1"/>
  <c r="C28" i="27" s="1"/>
  <c r="L121" i="27"/>
  <c r="M121" i="27" s="1"/>
  <c r="B121" i="27" s="1"/>
  <c r="C121" i="27" s="1"/>
  <c r="G92" i="27"/>
  <c r="G156" i="27"/>
  <c r="K156" i="27" s="1"/>
  <c r="K155" i="27"/>
  <c r="K154" i="27"/>
  <c r="G61" i="27"/>
  <c r="G30" i="27"/>
  <c r="K29" i="27"/>
  <c r="G123" i="27"/>
  <c r="B153" i="27"/>
  <c r="C153" i="27" s="1"/>
  <c r="B152" i="27"/>
  <c r="C152" i="27" s="1"/>
  <c r="L30" i="26"/>
  <c r="M30" i="26" s="1"/>
  <c r="L89" i="26"/>
  <c r="M89" i="26" s="1"/>
  <c r="B89" i="26" s="1"/>
  <c r="C89" i="26" s="1"/>
  <c r="L122" i="26"/>
  <c r="M122" i="26" s="1"/>
  <c r="L59" i="26"/>
  <c r="M59" i="26" s="1"/>
  <c r="B59" i="26" s="1"/>
  <c r="C59" i="26" s="1"/>
  <c r="L29" i="26"/>
  <c r="M29" i="26" s="1"/>
  <c r="G125" i="26"/>
  <c r="K125" i="26" s="1"/>
  <c r="K124" i="26"/>
  <c r="G154" i="26"/>
  <c r="K153" i="26"/>
  <c r="G61" i="26"/>
  <c r="B151" i="26"/>
  <c r="C151" i="26" s="1"/>
  <c r="B150" i="26"/>
  <c r="C150" i="26" s="1"/>
  <c r="K123" i="26"/>
  <c r="G92" i="26"/>
  <c r="K91" i="26"/>
  <c r="K90" i="26"/>
  <c r="K152" i="26"/>
  <c r="G32" i="26"/>
  <c r="K32" i="26" s="1"/>
  <c r="K31" i="26"/>
  <c r="B121" i="26"/>
  <c r="C121" i="26" s="1"/>
  <c r="B88" i="26"/>
  <c r="C88" i="26" s="1"/>
  <c r="B58" i="26"/>
  <c r="C58" i="26" s="1"/>
  <c r="B57" i="26"/>
  <c r="C57" i="26" s="1"/>
  <c r="B28" i="21"/>
  <c r="C28" i="21" s="1"/>
  <c r="L29" i="25"/>
  <c r="M29" i="25" s="1"/>
  <c r="L94" i="25"/>
  <c r="M94" i="25" s="1"/>
  <c r="L154" i="25"/>
  <c r="M154" i="25" s="1"/>
  <c r="B154" i="25" s="1"/>
  <c r="C154" i="25" s="1"/>
  <c r="L155" i="25"/>
  <c r="M155" i="25" s="1"/>
  <c r="B156" i="25" s="1"/>
  <c r="C156" i="25" s="1"/>
  <c r="L156" i="25"/>
  <c r="M156" i="25" s="1"/>
  <c r="K93" i="25"/>
  <c r="G61" i="25"/>
  <c r="K60" i="25"/>
  <c r="K59" i="25"/>
  <c r="G124" i="25"/>
  <c r="K123" i="25"/>
  <c r="K122" i="25"/>
  <c r="G31" i="25"/>
  <c r="B92" i="25"/>
  <c r="C92" i="25" s="1"/>
  <c r="B153" i="25"/>
  <c r="C153" i="25" s="1"/>
  <c r="B91" i="25"/>
  <c r="C91" i="25" s="1"/>
  <c r="L155" i="24"/>
  <c r="M155" i="24" s="1"/>
  <c r="L29" i="24"/>
  <c r="M29" i="24" s="1"/>
  <c r="B29" i="24" s="1"/>
  <c r="C29" i="24" s="1"/>
  <c r="L59" i="24"/>
  <c r="M59" i="24" s="1"/>
  <c r="B59" i="24" s="1"/>
  <c r="C59" i="24" s="1"/>
  <c r="L122" i="24"/>
  <c r="M122" i="24" s="1"/>
  <c r="B122" i="24" s="1"/>
  <c r="C122" i="24" s="1"/>
  <c r="L89" i="24"/>
  <c r="M89" i="24" s="1"/>
  <c r="G31" i="24"/>
  <c r="G61" i="24"/>
  <c r="K60" i="24"/>
  <c r="G124" i="24"/>
  <c r="K123" i="24"/>
  <c r="G92" i="24"/>
  <c r="K91" i="24"/>
  <c r="K90" i="24"/>
  <c r="B28" i="24"/>
  <c r="C28" i="24" s="1"/>
  <c r="L122" i="23"/>
  <c r="M122" i="23" s="1"/>
  <c r="L29" i="23"/>
  <c r="M29" i="23" s="1"/>
  <c r="B29" i="23" s="1"/>
  <c r="C29" i="23" s="1"/>
  <c r="L59" i="23"/>
  <c r="M59" i="23" s="1"/>
  <c r="G31" i="23"/>
  <c r="G92" i="23"/>
  <c r="K91" i="23"/>
  <c r="K90" i="23"/>
  <c r="G61" i="23"/>
  <c r="G124" i="23"/>
  <c r="K123" i="23"/>
  <c r="G155" i="23"/>
  <c r="K154" i="23"/>
  <c r="K153" i="23"/>
  <c r="B28" i="23"/>
  <c r="C28" i="23" s="1"/>
  <c r="B27" i="23"/>
  <c r="C27" i="23" s="1"/>
  <c r="B121" i="23"/>
  <c r="C121" i="23" s="1"/>
  <c r="L29" i="22"/>
  <c r="M29" i="22" s="1"/>
  <c r="L151" i="22"/>
  <c r="M151" i="22" s="1"/>
  <c r="L92" i="22"/>
  <c r="M92" i="22" s="1"/>
  <c r="L94" i="22"/>
  <c r="M94" i="22" s="1"/>
  <c r="L121" i="22"/>
  <c r="M121" i="22" s="1"/>
  <c r="B121" i="22" s="1"/>
  <c r="C121" i="22" s="1"/>
  <c r="L59" i="22"/>
  <c r="M59" i="22" s="1"/>
  <c r="B59" i="22" s="1"/>
  <c r="C59" i="22" s="1"/>
  <c r="G31" i="22"/>
  <c r="K153" i="22"/>
  <c r="G154" i="22"/>
  <c r="K152" i="22"/>
  <c r="B150" i="22"/>
  <c r="C150" i="22" s="1"/>
  <c r="B28" i="22"/>
  <c r="C28" i="22" s="1"/>
  <c r="B27" i="22"/>
  <c r="C27" i="22" s="1"/>
  <c r="B27" i="21"/>
  <c r="C27" i="21" s="1"/>
  <c r="B120" i="22"/>
  <c r="C120" i="22" s="1"/>
  <c r="K93" i="22"/>
  <c r="K122" i="22"/>
  <c r="G123" i="22"/>
  <c r="G61" i="22"/>
  <c r="K60" i="22"/>
  <c r="B58" i="22"/>
  <c r="C58" i="22" s="1"/>
  <c r="L90" i="21"/>
  <c r="M90" i="21" s="1"/>
  <c r="L91" i="21"/>
  <c r="M91" i="21" s="1"/>
  <c r="L154" i="21"/>
  <c r="M154" i="21" s="1"/>
  <c r="B154" i="21" s="1"/>
  <c r="C154" i="21" s="1"/>
  <c r="L29" i="21"/>
  <c r="M29" i="21" s="1"/>
  <c r="B29" i="21" s="1"/>
  <c r="C29" i="21" s="1"/>
  <c r="L123" i="21"/>
  <c r="M123" i="21" s="1"/>
  <c r="B123" i="21" s="1"/>
  <c r="C123" i="21" s="1"/>
  <c r="G62" i="21"/>
  <c r="K61" i="21" s="1"/>
  <c r="K30" i="21"/>
  <c r="G31" i="21"/>
  <c r="G125" i="21"/>
  <c r="K125" i="21" s="1"/>
  <c r="G156" i="21"/>
  <c r="K156" i="21" s="1"/>
  <c r="K60" i="21"/>
  <c r="G93" i="21"/>
  <c r="B122" i="21"/>
  <c r="C122" i="21" s="1"/>
  <c r="B153" i="21"/>
  <c r="C153" i="21" s="1"/>
  <c r="B152" i="21"/>
  <c r="C152" i="21" s="1"/>
  <c r="M121" i="8"/>
  <c r="B121" i="8" s="1"/>
  <c r="C121" i="8" s="1"/>
  <c r="M90" i="9"/>
  <c r="B90" i="9" s="1"/>
  <c r="C90" i="9" s="1"/>
  <c r="M63" i="9"/>
  <c r="K121" i="1"/>
  <c r="L121" i="1" s="1"/>
  <c r="B121" i="1" s="1"/>
  <c r="C121" i="1" s="1"/>
  <c r="K26" i="1"/>
  <c r="K60" i="1"/>
  <c r="L60" i="1" s="1"/>
  <c r="K152" i="1"/>
  <c r="L152" i="1" s="1"/>
  <c r="B152" i="1" s="1"/>
  <c r="C152" i="1" s="1"/>
  <c r="K59" i="1"/>
  <c r="L59" i="1" s="1"/>
  <c r="C28" i="3"/>
  <c r="M153" i="4"/>
  <c r="B153" i="4" s="1"/>
  <c r="C153" i="4" s="1"/>
  <c r="M59" i="4"/>
  <c r="B59" i="4" s="1"/>
  <c r="C59" i="4" s="1"/>
  <c r="M91" i="3"/>
  <c r="M92" i="3"/>
  <c r="M62" i="3"/>
  <c r="B63" i="3" s="1"/>
  <c r="C63" i="3" s="1"/>
  <c r="M63" i="3"/>
  <c r="M153" i="3"/>
  <c r="L25" i="1"/>
  <c r="B25" i="1" s="1"/>
  <c r="C25" i="1" s="1"/>
  <c r="B120" i="2"/>
  <c r="C120" i="2" s="1"/>
  <c r="M152" i="9"/>
  <c r="B152" i="9" s="1"/>
  <c r="C152" i="9" s="1"/>
  <c r="M125" i="9"/>
  <c r="M28" i="9"/>
  <c r="B28" i="9" s="1"/>
  <c r="C28" i="9" s="1"/>
  <c r="G30" i="9"/>
  <c r="K29" i="9"/>
  <c r="K62" i="9"/>
  <c r="K124" i="9"/>
  <c r="G154" i="9"/>
  <c r="K153" i="9"/>
  <c r="B61" i="9"/>
  <c r="C61" i="9" s="1"/>
  <c r="B60" i="9"/>
  <c r="C60" i="9" s="1"/>
  <c r="G92" i="9"/>
  <c r="K91" i="9"/>
  <c r="B123" i="9"/>
  <c r="C123" i="9" s="1"/>
  <c r="B122" i="9"/>
  <c r="C122" i="9" s="1"/>
  <c r="M90" i="8"/>
  <c r="B90" i="8" s="1"/>
  <c r="C90" i="8" s="1"/>
  <c r="M59" i="8"/>
  <c r="B59" i="8" s="1"/>
  <c r="C59" i="8" s="1"/>
  <c r="M153" i="8"/>
  <c r="B153" i="8" s="1"/>
  <c r="C153" i="8" s="1"/>
  <c r="G30" i="8"/>
  <c r="K29" i="8" s="1"/>
  <c r="G123" i="8"/>
  <c r="K122" i="8" s="1"/>
  <c r="G92" i="8"/>
  <c r="K91" i="8" s="1"/>
  <c r="G61" i="8"/>
  <c r="B89" i="8"/>
  <c r="C89" i="8" s="1"/>
  <c r="B88" i="8"/>
  <c r="C88" i="8" s="1"/>
  <c r="K154" i="8"/>
  <c r="G155" i="8"/>
  <c r="K28" i="8"/>
  <c r="M92" i="4"/>
  <c r="B92" i="4" s="1"/>
  <c r="C92" i="4" s="1"/>
  <c r="M28" i="4"/>
  <c r="B28" i="4" s="1"/>
  <c r="C28" i="4" s="1"/>
  <c r="M125" i="4"/>
  <c r="G30" i="4"/>
  <c r="K29" i="4"/>
  <c r="K124" i="4"/>
  <c r="G94" i="4"/>
  <c r="K94" i="4" s="1"/>
  <c r="K93" i="4"/>
  <c r="G155" i="4"/>
  <c r="K154" i="4" s="1"/>
  <c r="B119" i="2"/>
  <c r="C119" i="2" s="1"/>
  <c r="G61" i="4"/>
  <c r="B27" i="4"/>
  <c r="C27" i="4" s="1"/>
  <c r="M121" i="3"/>
  <c r="B121" i="3" s="1"/>
  <c r="C121" i="3" s="1"/>
  <c r="M29" i="3"/>
  <c r="G31" i="3"/>
  <c r="K30" i="3"/>
  <c r="G155" i="3"/>
  <c r="G94" i="3"/>
  <c r="K94" i="3" s="1"/>
  <c r="K93" i="3"/>
  <c r="G123" i="3"/>
  <c r="L28" i="2"/>
  <c r="B28" i="2" s="1"/>
  <c r="C28" i="2" s="1"/>
  <c r="L92" i="2"/>
  <c r="B92" i="2" s="1"/>
  <c r="C92" i="2" s="1"/>
  <c r="L152" i="2"/>
  <c r="B152" i="2" s="1"/>
  <c r="C152" i="2" s="1"/>
  <c r="L59" i="2"/>
  <c r="B59" i="2" s="1"/>
  <c r="C59" i="2" s="1"/>
  <c r="G61" i="2"/>
  <c r="G123" i="2"/>
  <c r="J122" i="2" s="1"/>
  <c r="B58" i="2"/>
  <c r="C58" i="2" s="1"/>
  <c r="J121" i="2"/>
  <c r="G30" i="2"/>
  <c r="J29" i="2"/>
  <c r="B27" i="2"/>
  <c r="C27" i="2" s="1"/>
  <c r="G154" i="2"/>
  <c r="J153" i="2"/>
  <c r="G94" i="2"/>
  <c r="J94" i="2" s="1"/>
  <c r="J93" i="2"/>
  <c r="G154" i="1"/>
  <c r="J153" i="1"/>
  <c r="G123" i="1"/>
  <c r="G92" i="1"/>
  <c r="J91" i="1"/>
  <c r="J90" i="1"/>
  <c r="G62" i="1"/>
  <c r="G28" i="1"/>
  <c r="J27" i="1" s="1"/>
  <c r="L92" i="34" a="1"/>
  <c r="L125" i="34" a="1"/>
  <c r="L124" i="34" a="1"/>
  <c r="L29" i="34" a="1"/>
  <c r="L125" i="33" a="1"/>
  <c r="L124" i="33" a="1"/>
  <c r="L59" i="33" a="1"/>
  <c r="L29" i="33" a="1"/>
  <c r="L94" i="33" a="1"/>
  <c r="L60" i="33" a="1"/>
  <c r="L153" i="32" a="1"/>
  <c r="L60" i="32" a="1"/>
  <c r="L59" i="32" a="1"/>
  <c r="L154" i="32" a="1"/>
  <c r="L91" i="32" a="1"/>
  <c r="L90" i="32" a="1"/>
  <c r="L123" i="32" a="1"/>
  <c r="L122" i="32" a="1"/>
  <c r="L29" i="31" a="1"/>
  <c r="L59" i="31" a="1"/>
  <c r="L124" i="31" a="1"/>
  <c r="L92" i="31" a="1"/>
  <c r="L60" i="31" a="1"/>
  <c r="L125" i="31" a="1"/>
  <c r="L123" i="30" a="1"/>
  <c r="L122" i="30" a="1"/>
  <c r="L60" i="30" a="1"/>
  <c r="L91" i="30" a="1"/>
  <c r="L92" i="30" a="1"/>
  <c r="L91" i="29" a="1"/>
  <c r="L123" i="29" a="1"/>
  <c r="L156" i="29" a="1"/>
  <c r="L60" i="29" a="1"/>
  <c r="L29" i="28" a="1"/>
  <c r="L125" i="28" a="1"/>
  <c r="L124" i="28" a="1"/>
  <c r="L60" i="28" a="1"/>
  <c r="L92" i="28" a="1"/>
  <c r="L156" i="27" a="1"/>
  <c r="L155" i="27" a="1"/>
  <c r="L154" i="27" a="1"/>
  <c r="L29" i="27" a="1"/>
  <c r="L125" i="26" a="1"/>
  <c r="L124" i="26" a="1"/>
  <c r="L153" i="26" a="1"/>
  <c r="L123" i="26" a="1"/>
  <c r="L91" i="26" a="1"/>
  <c r="L90" i="26" a="1"/>
  <c r="L152" i="26" a="1"/>
  <c r="L32" i="26" a="1"/>
  <c r="L31" i="26" a="1"/>
  <c r="L93" i="25" a="1"/>
  <c r="L60" i="25" a="1"/>
  <c r="L123" i="25" a="1"/>
  <c r="L122" i="25" a="1"/>
  <c r="L59" i="25" a="1"/>
  <c r="L60" i="24" a="1"/>
  <c r="L123" i="24" a="1"/>
  <c r="L91" i="24" a="1"/>
  <c r="L90" i="24" a="1"/>
  <c r="L123" i="23" a="1"/>
  <c r="L154" i="23" a="1"/>
  <c r="L153" i="23" a="1"/>
  <c r="L91" i="23" a="1"/>
  <c r="L90" i="23" a="1"/>
  <c r="L60" i="22" a="1"/>
  <c r="L152" i="22" a="1"/>
  <c r="L93" i="22" a="1"/>
  <c r="L122" i="22" a="1"/>
  <c r="L153" i="22" a="1"/>
  <c r="L156" i="21" a="1"/>
  <c r="L60" i="21" a="1"/>
  <c r="L125" i="21" a="1"/>
  <c r="L30" i="21" a="1"/>
  <c r="L61" i="21" a="1"/>
  <c r="K153" i="1" a="1"/>
  <c r="K91" i="1" a="1"/>
  <c r="K90" i="1" a="1"/>
  <c r="K27" i="1" a="1"/>
  <c r="L29" i="34" l="1"/>
  <c r="M29" i="34" s="1"/>
  <c r="B29" i="34" s="1"/>
  <c r="C29" i="34" s="1"/>
  <c r="L124" i="34"/>
  <c r="M124" i="34" s="1"/>
  <c r="B125" i="34" s="1"/>
  <c r="C125" i="34" s="1"/>
  <c r="L125" i="34"/>
  <c r="M125" i="34" s="1"/>
  <c r="L92" i="34"/>
  <c r="M92" i="34" s="1"/>
  <c r="B92" i="34" s="1"/>
  <c r="C92" i="34" s="1"/>
  <c r="G63" i="34"/>
  <c r="K63" i="34" s="1"/>
  <c r="K62" i="34"/>
  <c r="K61" i="34"/>
  <c r="B28" i="34"/>
  <c r="C28" i="34" s="1"/>
  <c r="B27" i="34"/>
  <c r="C27" i="34" s="1"/>
  <c r="G31" i="34"/>
  <c r="G94" i="34"/>
  <c r="K94" i="34" s="1"/>
  <c r="B91" i="34"/>
  <c r="C91" i="34" s="1"/>
  <c r="B90" i="34"/>
  <c r="C90" i="34" s="1"/>
  <c r="B60" i="34"/>
  <c r="C60" i="34" s="1"/>
  <c r="B59" i="34"/>
  <c r="C59" i="34" s="1"/>
  <c r="B155" i="33"/>
  <c r="C155" i="33" s="1"/>
  <c r="L60" i="33"/>
  <c r="M60" i="33" s="1"/>
  <c r="L94" i="33"/>
  <c r="M94" i="33" s="1"/>
  <c r="L29" i="33"/>
  <c r="M29" i="33" s="1"/>
  <c r="B29" i="33" s="1"/>
  <c r="C29" i="33" s="1"/>
  <c r="L59" i="33"/>
  <c r="M59" i="33" s="1"/>
  <c r="L124" i="33"/>
  <c r="M124" i="33" s="1"/>
  <c r="B125" i="33" s="1"/>
  <c r="C125" i="33" s="1"/>
  <c r="L125" i="33"/>
  <c r="M125" i="33" s="1"/>
  <c r="K93" i="33"/>
  <c r="G62" i="33"/>
  <c r="K30" i="33"/>
  <c r="G31" i="33"/>
  <c r="B123" i="33"/>
  <c r="C123" i="33" s="1"/>
  <c r="B122" i="33"/>
  <c r="C122" i="33" s="1"/>
  <c r="B28" i="33"/>
  <c r="C28" i="33" s="1"/>
  <c r="B27" i="33"/>
  <c r="C27" i="33" s="1"/>
  <c r="L122" i="32"/>
  <c r="M122" i="32" s="1"/>
  <c r="L123" i="32"/>
  <c r="M123" i="32" s="1"/>
  <c r="L90" i="32"/>
  <c r="M90" i="32" s="1"/>
  <c r="L91" i="32"/>
  <c r="M91" i="32" s="1"/>
  <c r="L154" i="32"/>
  <c r="M154" i="32" s="1"/>
  <c r="L59" i="32"/>
  <c r="M59" i="32" s="1"/>
  <c r="L60" i="32"/>
  <c r="M60" i="32" s="1"/>
  <c r="L153" i="32"/>
  <c r="M153" i="32" s="1"/>
  <c r="G125" i="32"/>
  <c r="K125" i="32" s="1"/>
  <c r="K124" i="32"/>
  <c r="G93" i="32"/>
  <c r="K92" i="32"/>
  <c r="G156" i="32"/>
  <c r="K156" i="32" s="1"/>
  <c r="K155" i="32"/>
  <c r="G32" i="32"/>
  <c r="K32" i="32" s="1"/>
  <c r="K31" i="32"/>
  <c r="K30" i="32"/>
  <c r="G62" i="32"/>
  <c r="B29" i="32"/>
  <c r="C29" i="32" s="1"/>
  <c r="L125" i="31"/>
  <c r="M125" i="31" s="1"/>
  <c r="L60" i="31"/>
  <c r="M60" i="31" s="1"/>
  <c r="L92" i="31"/>
  <c r="M92" i="31" s="1"/>
  <c r="B92" i="31" s="1"/>
  <c r="C92" i="31" s="1"/>
  <c r="L124" i="31"/>
  <c r="M124" i="31" s="1"/>
  <c r="B125" i="31" s="1"/>
  <c r="C125" i="31" s="1"/>
  <c r="L59" i="31"/>
  <c r="M59" i="31" s="1"/>
  <c r="L29" i="31"/>
  <c r="M29" i="31" s="1"/>
  <c r="B29" i="31" s="1"/>
  <c r="C29" i="31" s="1"/>
  <c r="G94" i="31"/>
  <c r="K94" i="31" s="1"/>
  <c r="G31" i="31"/>
  <c r="G62" i="31"/>
  <c r="B155" i="31"/>
  <c r="C155" i="31" s="1"/>
  <c r="B154" i="31"/>
  <c r="C154" i="31" s="1"/>
  <c r="B91" i="31"/>
  <c r="C91" i="31" s="1"/>
  <c r="B90" i="31"/>
  <c r="C90" i="31" s="1"/>
  <c r="B123" i="31"/>
  <c r="C123" i="31" s="1"/>
  <c r="B28" i="31"/>
  <c r="C28" i="31" s="1"/>
  <c r="B27" i="31"/>
  <c r="C27" i="31" s="1"/>
  <c r="L92" i="30"/>
  <c r="M92" i="30" s="1"/>
  <c r="L91" i="30"/>
  <c r="M91" i="30" s="1"/>
  <c r="L60" i="30"/>
  <c r="M60" i="30" s="1"/>
  <c r="B60" i="30" s="1"/>
  <c r="C60" i="30" s="1"/>
  <c r="L122" i="30"/>
  <c r="M122" i="30" s="1"/>
  <c r="L123" i="30"/>
  <c r="M123" i="30" s="1"/>
  <c r="G94" i="30"/>
  <c r="K94" i="30" s="1"/>
  <c r="B59" i="30"/>
  <c r="C59" i="30" s="1"/>
  <c r="G62" i="30"/>
  <c r="G125" i="30"/>
  <c r="K125" i="30" s="1"/>
  <c r="K124" i="30"/>
  <c r="L60" i="29"/>
  <c r="M60" i="29" s="1"/>
  <c r="L156" i="29"/>
  <c r="M156" i="29" s="1"/>
  <c r="L123" i="29"/>
  <c r="M123" i="29" s="1"/>
  <c r="B123" i="29" s="1"/>
  <c r="C123" i="29" s="1"/>
  <c r="L91" i="29"/>
  <c r="M91" i="29" s="1"/>
  <c r="B91" i="29" s="1"/>
  <c r="C91" i="29" s="1"/>
  <c r="G62" i="29"/>
  <c r="K61" i="29"/>
  <c r="B90" i="29"/>
  <c r="C90" i="29" s="1"/>
  <c r="B89" i="29"/>
  <c r="C89" i="29" s="1"/>
  <c r="B59" i="29"/>
  <c r="C59" i="29" s="1"/>
  <c r="B154" i="29"/>
  <c r="C154" i="29" s="1"/>
  <c r="B122" i="29"/>
  <c r="C122" i="29" s="1"/>
  <c r="K155" i="29"/>
  <c r="G125" i="29"/>
  <c r="K125" i="29" s="1"/>
  <c r="K124" i="29"/>
  <c r="B31" i="29"/>
  <c r="C31" i="29" s="1"/>
  <c r="G93" i="29"/>
  <c r="K92" i="29"/>
  <c r="L92" i="28"/>
  <c r="M92" i="28" s="1"/>
  <c r="B92" i="28" s="1"/>
  <c r="C92" i="28" s="1"/>
  <c r="L60" i="28"/>
  <c r="M60" i="28" s="1"/>
  <c r="B60" i="28" s="1"/>
  <c r="C60" i="28" s="1"/>
  <c r="L124" i="28"/>
  <c r="M124" i="28" s="1"/>
  <c r="B125" i="28" s="1"/>
  <c r="C125" i="28" s="1"/>
  <c r="L125" i="28"/>
  <c r="M125" i="28" s="1"/>
  <c r="L29" i="28"/>
  <c r="M29" i="28" s="1"/>
  <c r="B29" i="28" s="1"/>
  <c r="C29" i="28" s="1"/>
  <c r="G62" i="28"/>
  <c r="G31" i="28"/>
  <c r="B91" i="28"/>
  <c r="C91" i="28" s="1"/>
  <c r="B90" i="28"/>
  <c r="C90" i="28" s="1"/>
  <c r="G94" i="28"/>
  <c r="K94" i="28" s="1"/>
  <c r="B28" i="28"/>
  <c r="C28" i="28" s="1"/>
  <c r="B27" i="28"/>
  <c r="C27" i="28" s="1"/>
  <c r="L29" i="27"/>
  <c r="M29" i="27" s="1"/>
  <c r="B29" i="27" s="1"/>
  <c r="C29" i="27" s="1"/>
  <c r="L154" i="27"/>
  <c r="M154" i="27" s="1"/>
  <c r="L155" i="27"/>
  <c r="M155" i="27" s="1"/>
  <c r="B156" i="27" s="1"/>
  <c r="C156" i="27" s="1"/>
  <c r="L156" i="27"/>
  <c r="M156" i="27" s="1"/>
  <c r="G124" i="27"/>
  <c r="K123" i="27"/>
  <c r="K122" i="27"/>
  <c r="G31" i="27"/>
  <c r="G62" i="27"/>
  <c r="K60" i="27"/>
  <c r="G93" i="27"/>
  <c r="K92" i="27"/>
  <c r="K91" i="27"/>
  <c r="B59" i="27"/>
  <c r="C59" i="27" s="1"/>
  <c r="B90" i="27"/>
  <c r="C90" i="27" s="1"/>
  <c r="B89" i="27"/>
  <c r="C89" i="27" s="1"/>
  <c r="L31" i="26"/>
  <c r="M31" i="26" s="1"/>
  <c r="B32" i="26" s="1"/>
  <c r="C32" i="26" s="1"/>
  <c r="L32" i="26"/>
  <c r="M32" i="26" s="1"/>
  <c r="L152" i="26"/>
  <c r="M152" i="26" s="1"/>
  <c r="L90" i="26"/>
  <c r="M90" i="26" s="1"/>
  <c r="L91" i="26"/>
  <c r="M91" i="26" s="1"/>
  <c r="L123" i="26"/>
  <c r="M123" i="26" s="1"/>
  <c r="L153" i="26"/>
  <c r="M153" i="26" s="1"/>
  <c r="L124" i="26"/>
  <c r="M124" i="26" s="1"/>
  <c r="B125" i="26" s="1"/>
  <c r="C125" i="26" s="1"/>
  <c r="L125" i="26"/>
  <c r="M125" i="26" s="1"/>
  <c r="G93" i="26"/>
  <c r="G62" i="26"/>
  <c r="K60" i="26"/>
  <c r="G155" i="26"/>
  <c r="K154" i="26"/>
  <c r="B30" i="26"/>
  <c r="C30" i="26" s="1"/>
  <c r="B29" i="26"/>
  <c r="C29" i="26" s="1"/>
  <c r="B122" i="26"/>
  <c r="C122" i="26" s="1"/>
  <c r="L59" i="25"/>
  <c r="M59" i="25" s="1"/>
  <c r="L122" i="25"/>
  <c r="M122" i="25" s="1"/>
  <c r="L123" i="25"/>
  <c r="M123" i="25" s="1"/>
  <c r="L60" i="25"/>
  <c r="M60" i="25" s="1"/>
  <c r="L93" i="25"/>
  <c r="M93" i="25" s="1"/>
  <c r="G62" i="25"/>
  <c r="G32" i="25"/>
  <c r="K32" i="25" s="1"/>
  <c r="K30" i="25"/>
  <c r="G125" i="25"/>
  <c r="K125" i="25" s="1"/>
  <c r="K124" i="25"/>
  <c r="B155" i="25"/>
  <c r="C155" i="25" s="1"/>
  <c r="B29" i="25"/>
  <c r="C29" i="25" s="1"/>
  <c r="L90" i="24"/>
  <c r="M90" i="24" s="1"/>
  <c r="B90" i="24" s="1"/>
  <c r="C90" i="24" s="1"/>
  <c r="L91" i="24"/>
  <c r="M91" i="24" s="1"/>
  <c r="L123" i="24"/>
  <c r="M123" i="24" s="1"/>
  <c r="B123" i="24" s="1"/>
  <c r="C123" i="24" s="1"/>
  <c r="L60" i="24"/>
  <c r="M60" i="24" s="1"/>
  <c r="B60" i="24" s="1"/>
  <c r="C60" i="24" s="1"/>
  <c r="G93" i="24"/>
  <c r="G125" i="24"/>
  <c r="K125" i="24" s="1"/>
  <c r="K124" i="24"/>
  <c r="K61" i="24"/>
  <c r="G62" i="24"/>
  <c r="G32" i="24"/>
  <c r="K32" i="24" s="1"/>
  <c r="K31" i="24"/>
  <c r="K30" i="24"/>
  <c r="B89" i="24"/>
  <c r="C89" i="24" s="1"/>
  <c r="B156" i="24"/>
  <c r="C156" i="24" s="1"/>
  <c r="B155" i="24"/>
  <c r="C155" i="24" s="1"/>
  <c r="L90" i="23"/>
  <c r="M90" i="23" s="1"/>
  <c r="L91" i="23"/>
  <c r="M91" i="23" s="1"/>
  <c r="L153" i="23"/>
  <c r="M153" i="23" s="1"/>
  <c r="L154" i="23"/>
  <c r="M154" i="23" s="1"/>
  <c r="L123" i="23"/>
  <c r="M123" i="23" s="1"/>
  <c r="B123" i="23" s="1"/>
  <c r="C123" i="23" s="1"/>
  <c r="G62" i="23"/>
  <c r="K60" i="23"/>
  <c r="G93" i="23"/>
  <c r="K92" i="23"/>
  <c r="G32" i="23"/>
  <c r="K32" i="23" s="1"/>
  <c r="K31" i="23"/>
  <c r="K30" i="23"/>
  <c r="B59" i="23"/>
  <c r="C59" i="23" s="1"/>
  <c r="B122" i="23"/>
  <c r="C122" i="23" s="1"/>
  <c r="G156" i="23"/>
  <c r="K156" i="23" s="1"/>
  <c r="K155" i="23"/>
  <c r="G125" i="23"/>
  <c r="K125" i="23" s="1"/>
  <c r="K124" i="23"/>
  <c r="L153" i="22"/>
  <c r="M153" i="22" s="1"/>
  <c r="L122" i="22"/>
  <c r="M122" i="22" s="1"/>
  <c r="B122" i="22" s="1"/>
  <c r="C122" i="22" s="1"/>
  <c r="L93" i="22"/>
  <c r="M93" i="22" s="1"/>
  <c r="B94" i="22" s="1"/>
  <c r="C94" i="22" s="1"/>
  <c r="L152" i="22"/>
  <c r="M152" i="22" s="1"/>
  <c r="B152" i="22" s="1"/>
  <c r="C152" i="22" s="1"/>
  <c r="L60" i="22"/>
  <c r="M60" i="22" s="1"/>
  <c r="B60" i="22" s="1"/>
  <c r="C60" i="22" s="1"/>
  <c r="G32" i="22"/>
  <c r="K32" i="22" s="1"/>
  <c r="K31" i="22"/>
  <c r="K30" i="22"/>
  <c r="B151" i="22"/>
  <c r="C151" i="22" s="1"/>
  <c r="B29" i="22"/>
  <c r="C29" i="22" s="1"/>
  <c r="G155" i="22"/>
  <c r="K154" i="22"/>
  <c r="G62" i="22"/>
  <c r="K61" i="22"/>
  <c r="G124" i="22"/>
  <c r="B92" i="22"/>
  <c r="C92" i="22" s="1"/>
  <c r="L61" i="21"/>
  <c r="M61" i="21" s="1"/>
  <c r="L30" i="21"/>
  <c r="M30" i="21" s="1"/>
  <c r="B30" i="21" s="1"/>
  <c r="C30" i="21" s="1"/>
  <c r="L125" i="21"/>
  <c r="M125" i="21" s="1"/>
  <c r="L60" i="21"/>
  <c r="M60" i="21" s="1"/>
  <c r="L156" i="21"/>
  <c r="M156" i="21" s="1"/>
  <c r="K93" i="21"/>
  <c r="G94" i="21"/>
  <c r="K94" i="21" s="1"/>
  <c r="K124" i="21"/>
  <c r="K155" i="21"/>
  <c r="G32" i="21"/>
  <c r="K32" i="21" s="1"/>
  <c r="K31" i="21"/>
  <c r="K92" i="21"/>
  <c r="G63" i="21"/>
  <c r="K63" i="21" s="1"/>
  <c r="K62" i="21"/>
  <c r="B91" i="21"/>
  <c r="C91" i="21" s="1"/>
  <c r="B90" i="21"/>
  <c r="C90" i="21" s="1"/>
  <c r="M91" i="8"/>
  <c r="B91" i="8" s="1"/>
  <c r="C91" i="8" s="1"/>
  <c r="M122" i="8"/>
  <c r="B122" i="8" s="1"/>
  <c r="C122" i="8" s="1"/>
  <c r="M124" i="9"/>
  <c r="M29" i="9"/>
  <c r="B29" i="9" s="1"/>
  <c r="C29" i="9" s="1"/>
  <c r="M91" i="9"/>
  <c r="B91" i="9" s="1"/>
  <c r="C91" i="9" s="1"/>
  <c r="K27" i="1"/>
  <c r="K90" i="1"/>
  <c r="L90" i="1" s="1"/>
  <c r="K91" i="1"/>
  <c r="L91" i="1" s="1"/>
  <c r="K153" i="1"/>
  <c r="L153" i="1" s="1"/>
  <c r="B153" i="1" s="1"/>
  <c r="C153" i="1" s="1"/>
  <c r="B29" i="3"/>
  <c r="C29" i="3" s="1"/>
  <c r="M154" i="4"/>
  <c r="B154" i="4" s="1"/>
  <c r="C154" i="4" s="1"/>
  <c r="M93" i="4"/>
  <c r="B94" i="4" s="1"/>
  <c r="C94" i="4" s="1"/>
  <c r="M30" i="3"/>
  <c r="M93" i="3"/>
  <c r="B94" i="3" s="1"/>
  <c r="C94" i="3" s="1"/>
  <c r="M94" i="3"/>
  <c r="L26" i="1"/>
  <c r="B26" i="1" s="1"/>
  <c r="C26" i="1" s="1"/>
  <c r="M153" i="9"/>
  <c r="B153" i="9" s="1"/>
  <c r="C153" i="9" s="1"/>
  <c r="M62" i="9"/>
  <c r="G155" i="9"/>
  <c r="K154" i="9" s="1"/>
  <c r="G93" i="9"/>
  <c r="K92" i="9" s="1"/>
  <c r="G31" i="9"/>
  <c r="M29" i="8"/>
  <c r="M28" i="8"/>
  <c r="M154" i="8"/>
  <c r="B154" i="8" s="1"/>
  <c r="C154" i="8" s="1"/>
  <c r="G62" i="8"/>
  <c r="K61" i="8"/>
  <c r="K60" i="8"/>
  <c r="G124" i="8"/>
  <c r="K123" i="8"/>
  <c r="G31" i="8"/>
  <c r="K30" i="8" s="1"/>
  <c r="G156" i="8"/>
  <c r="K156" i="8" s="1"/>
  <c r="G93" i="8"/>
  <c r="K92" i="8" s="1"/>
  <c r="M29" i="4"/>
  <c r="B29" i="4" s="1"/>
  <c r="C29" i="4" s="1"/>
  <c r="M124" i="4"/>
  <c r="M94" i="4"/>
  <c r="G156" i="4"/>
  <c r="K156" i="4" s="1"/>
  <c r="K155" i="4"/>
  <c r="G62" i="4"/>
  <c r="K61" i="4" s="1"/>
  <c r="G31" i="4"/>
  <c r="B62" i="3"/>
  <c r="C62" i="3" s="1"/>
  <c r="K60" i="4"/>
  <c r="B153" i="3"/>
  <c r="C153" i="3" s="1"/>
  <c r="G124" i="3"/>
  <c r="K123" i="3"/>
  <c r="B92" i="3"/>
  <c r="C92" i="3" s="1"/>
  <c r="B91" i="3"/>
  <c r="C91" i="3" s="1"/>
  <c r="G156" i="3"/>
  <c r="K156" i="3" s="1"/>
  <c r="K155" i="3"/>
  <c r="K154" i="3"/>
  <c r="G32" i="3"/>
  <c r="K32" i="3" s="1"/>
  <c r="K31" i="3"/>
  <c r="K122" i="3"/>
  <c r="L122" i="2"/>
  <c r="L94" i="2"/>
  <c r="L121" i="2"/>
  <c r="L153" i="2"/>
  <c r="B153" i="2" s="1"/>
  <c r="C153" i="2" s="1"/>
  <c r="L29" i="2"/>
  <c r="L93" i="2"/>
  <c r="B94" i="2" s="1"/>
  <c r="C94" i="2" s="1"/>
  <c r="J30" i="2"/>
  <c r="G31" i="2"/>
  <c r="G62" i="2"/>
  <c r="J61" i="2"/>
  <c r="G124" i="2"/>
  <c r="J123" i="2"/>
  <c r="J60" i="2"/>
  <c r="J154" i="2"/>
  <c r="G155" i="2"/>
  <c r="G155" i="1"/>
  <c r="J154" i="1" s="1"/>
  <c r="G124" i="1"/>
  <c r="J123" i="1"/>
  <c r="J122" i="1"/>
  <c r="G93" i="1"/>
  <c r="G63" i="1"/>
  <c r="J63" i="1" s="1"/>
  <c r="J62" i="1"/>
  <c r="J61" i="1"/>
  <c r="B60" i="1"/>
  <c r="C60" i="1" s="1"/>
  <c r="B59" i="1"/>
  <c r="C59" i="1" s="1"/>
  <c r="G29" i="1"/>
  <c r="L63" i="34" a="1"/>
  <c r="L62" i="34" a="1"/>
  <c r="L61" i="34" a="1"/>
  <c r="L94" i="34" a="1"/>
  <c r="L93" i="33" a="1"/>
  <c r="L30" i="33" a="1"/>
  <c r="L125" i="32" a="1"/>
  <c r="L124" i="32" a="1"/>
  <c r="L155" i="32" a="1"/>
  <c r="L31" i="32" a="1"/>
  <c r="L30" i="32" a="1"/>
  <c r="L92" i="32" a="1"/>
  <c r="L156" i="32" a="1"/>
  <c r="L32" i="32" a="1"/>
  <c r="L94" i="31" a="1"/>
  <c r="L125" i="30" a="1"/>
  <c r="L124" i="30" a="1"/>
  <c r="L94" i="30" a="1"/>
  <c r="L155" i="29" a="1"/>
  <c r="L125" i="29" a="1"/>
  <c r="L124" i="29" a="1"/>
  <c r="L92" i="29" a="1"/>
  <c r="L61" i="29" a="1"/>
  <c r="L94" i="28" a="1"/>
  <c r="L123" i="27" a="1"/>
  <c r="L122" i="27" a="1"/>
  <c r="L60" i="27" a="1"/>
  <c r="L92" i="27" a="1"/>
  <c r="L91" i="27" a="1"/>
  <c r="L60" i="26" a="1"/>
  <c r="L154" i="26" a="1"/>
  <c r="L32" i="25" a="1"/>
  <c r="L30" i="25" a="1"/>
  <c r="L125" i="25" a="1"/>
  <c r="L124" i="25" a="1"/>
  <c r="L125" i="24" a="1"/>
  <c r="L124" i="24" a="1"/>
  <c r="L61" i="24" a="1"/>
  <c r="L32" i="24" a="1"/>
  <c r="L31" i="24" a="1"/>
  <c r="L30" i="24" a="1"/>
  <c r="L125" i="23" a="1"/>
  <c r="L124" i="23" a="1"/>
  <c r="L60" i="23" a="1"/>
  <c r="L32" i="23" a="1"/>
  <c r="L31" i="23" a="1"/>
  <c r="L30" i="23" a="1"/>
  <c r="L155" i="23" a="1"/>
  <c r="L92" i="23" a="1"/>
  <c r="L156" i="23" a="1"/>
  <c r="L32" i="22" a="1"/>
  <c r="L31" i="22" a="1"/>
  <c r="L30" i="22" a="1"/>
  <c r="L154" i="22" a="1"/>
  <c r="L61" i="22" a="1"/>
  <c r="L92" i="21" a="1"/>
  <c r="L62" i="21" a="1"/>
  <c r="L93" i="21" a="1"/>
  <c r="L32" i="21" a="1"/>
  <c r="L63" i="21" a="1"/>
  <c r="L94" i="21" a="1"/>
  <c r="L124" i="21" a="1"/>
  <c r="L155" i="21" a="1"/>
  <c r="L31" i="21" a="1"/>
  <c r="K123" i="1" a="1"/>
  <c r="K122" i="1" a="1"/>
  <c r="K63" i="1" a="1"/>
  <c r="K61" i="1" a="1"/>
  <c r="K62" i="1" a="1"/>
  <c r="K154" i="1" a="1"/>
  <c r="L94" i="34" l="1"/>
  <c r="M94" i="34" s="1"/>
  <c r="L61" i="34"/>
  <c r="M61" i="34" s="1"/>
  <c r="L62" i="34"/>
  <c r="M62" i="34" s="1"/>
  <c r="B63" i="34" s="1"/>
  <c r="C63" i="34" s="1"/>
  <c r="L63" i="34"/>
  <c r="M63" i="34" s="1"/>
  <c r="K93" i="34"/>
  <c r="G32" i="34"/>
  <c r="K32" i="34" s="1"/>
  <c r="K31" i="34"/>
  <c r="K30" i="34"/>
  <c r="B124" i="31"/>
  <c r="C124" i="31" s="1"/>
  <c r="B124" i="34"/>
  <c r="C124" i="34" s="1"/>
  <c r="L30" i="33"/>
  <c r="M30" i="33" s="1"/>
  <c r="B30" i="33" s="1"/>
  <c r="C30" i="33" s="1"/>
  <c r="L93" i="33"/>
  <c r="M93" i="33" s="1"/>
  <c r="B124" i="33"/>
  <c r="C124" i="33" s="1"/>
  <c r="G32" i="33"/>
  <c r="K32" i="33" s="1"/>
  <c r="K31" i="33"/>
  <c r="G63" i="33"/>
  <c r="K63" i="33" s="1"/>
  <c r="K62" i="33"/>
  <c r="B60" i="33"/>
  <c r="C60" i="33" s="1"/>
  <c r="B59" i="33"/>
  <c r="C59" i="33" s="1"/>
  <c r="K61" i="33"/>
  <c r="L32" i="32"/>
  <c r="M32" i="32" s="1"/>
  <c r="L156" i="32"/>
  <c r="M156" i="32" s="1"/>
  <c r="L92" i="32"/>
  <c r="M92" i="32" s="1"/>
  <c r="B92" i="32" s="1"/>
  <c r="C92" i="32" s="1"/>
  <c r="L30" i="32"/>
  <c r="M30" i="32" s="1"/>
  <c r="L31" i="32"/>
  <c r="M31" i="32" s="1"/>
  <c r="B32" i="32" s="1"/>
  <c r="C32" i="32" s="1"/>
  <c r="L155" i="32"/>
  <c r="M155" i="32" s="1"/>
  <c r="B156" i="32" s="1"/>
  <c r="C156" i="32" s="1"/>
  <c r="L124" i="32"/>
  <c r="M124" i="32" s="1"/>
  <c r="B125" i="32" s="1"/>
  <c r="C125" i="32" s="1"/>
  <c r="L125" i="32"/>
  <c r="M125" i="32" s="1"/>
  <c r="B123" i="32"/>
  <c r="C123" i="32" s="1"/>
  <c r="B122" i="32"/>
  <c r="C122" i="32" s="1"/>
  <c r="G63" i="32"/>
  <c r="K63" i="32" s="1"/>
  <c r="K62" i="32"/>
  <c r="B91" i="32"/>
  <c r="C91" i="32" s="1"/>
  <c r="B90" i="32"/>
  <c r="C90" i="32" s="1"/>
  <c r="K61" i="32"/>
  <c r="G94" i="32"/>
  <c r="K94" i="32" s="1"/>
  <c r="B154" i="32"/>
  <c r="C154" i="32" s="1"/>
  <c r="B153" i="32"/>
  <c r="C153" i="32" s="1"/>
  <c r="B60" i="32"/>
  <c r="C60" i="32" s="1"/>
  <c r="B59" i="32"/>
  <c r="C59" i="32" s="1"/>
  <c r="L94" i="31"/>
  <c r="M94" i="31" s="1"/>
  <c r="G63" i="31"/>
  <c r="K63" i="31" s="1"/>
  <c r="K62" i="31"/>
  <c r="K61" i="31"/>
  <c r="G32" i="31"/>
  <c r="K32" i="31" s="1"/>
  <c r="K31" i="31"/>
  <c r="K93" i="31"/>
  <c r="B60" i="31"/>
  <c r="C60" i="31" s="1"/>
  <c r="B59" i="31"/>
  <c r="C59" i="31" s="1"/>
  <c r="K30" i="31"/>
  <c r="L94" i="30"/>
  <c r="M94" i="30" s="1"/>
  <c r="L124" i="30"/>
  <c r="M124" i="30" s="1"/>
  <c r="B125" i="30" s="1"/>
  <c r="C125" i="30" s="1"/>
  <c r="L125" i="30"/>
  <c r="M125" i="30" s="1"/>
  <c r="K93" i="30"/>
  <c r="B124" i="30"/>
  <c r="C124" i="30" s="1"/>
  <c r="G63" i="30"/>
  <c r="K63" i="30" s="1"/>
  <c r="K62" i="30"/>
  <c r="K61" i="30"/>
  <c r="B123" i="30"/>
  <c r="C123" i="30" s="1"/>
  <c r="B122" i="30"/>
  <c r="C122" i="30" s="1"/>
  <c r="B92" i="30"/>
  <c r="C92" i="30" s="1"/>
  <c r="B91" i="30"/>
  <c r="C91" i="30" s="1"/>
  <c r="L61" i="29"/>
  <c r="M61" i="29" s="1"/>
  <c r="B61" i="29" s="1"/>
  <c r="C61" i="29" s="1"/>
  <c r="L92" i="29"/>
  <c r="M92" i="29" s="1"/>
  <c r="B92" i="29" s="1"/>
  <c r="C92" i="29" s="1"/>
  <c r="L124" i="29"/>
  <c r="M124" i="29" s="1"/>
  <c r="B125" i="29" s="1"/>
  <c r="C125" i="29" s="1"/>
  <c r="L125" i="29"/>
  <c r="M125" i="29" s="1"/>
  <c r="L155" i="29"/>
  <c r="M155" i="29" s="1"/>
  <c r="G94" i="29"/>
  <c r="K94" i="29" s="1"/>
  <c r="B60" i="29"/>
  <c r="C60" i="29" s="1"/>
  <c r="G63" i="29"/>
  <c r="K63" i="29" s="1"/>
  <c r="K62" i="29"/>
  <c r="L94" i="28"/>
  <c r="M94" i="28" s="1"/>
  <c r="K93" i="28"/>
  <c r="B124" i="28"/>
  <c r="C124" i="28" s="1"/>
  <c r="G32" i="28"/>
  <c r="K32" i="28" s="1"/>
  <c r="K31" i="28"/>
  <c r="K30" i="28"/>
  <c r="G63" i="28"/>
  <c r="K63" i="28" s="1"/>
  <c r="K62" i="28"/>
  <c r="K61" i="28"/>
  <c r="L91" i="27"/>
  <c r="M91" i="27" s="1"/>
  <c r="L92" i="27"/>
  <c r="M92" i="27" s="1"/>
  <c r="L60" i="27"/>
  <c r="M60" i="27" s="1"/>
  <c r="L122" i="27"/>
  <c r="M122" i="27" s="1"/>
  <c r="L123" i="27"/>
  <c r="M123" i="27" s="1"/>
  <c r="G94" i="27"/>
  <c r="K94" i="27" s="1"/>
  <c r="G63" i="27"/>
  <c r="K63" i="27" s="1"/>
  <c r="K62" i="27"/>
  <c r="K61" i="27"/>
  <c r="G32" i="27"/>
  <c r="K32" i="27" s="1"/>
  <c r="K30" i="27"/>
  <c r="G125" i="27"/>
  <c r="K125" i="27" s="1"/>
  <c r="K124" i="27"/>
  <c r="B155" i="27"/>
  <c r="C155" i="27" s="1"/>
  <c r="B154" i="27"/>
  <c r="C154" i="27" s="1"/>
  <c r="B31" i="26"/>
  <c r="C31" i="26" s="1"/>
  <c r="L154" i="26"/>
  <c r="M154" i="26" s="1"/>
  <c r="L60" i="26"/>
  <c r="M60" i="26" s="1"/>
  <c r="G156" i="26"/>
  <c r="K156" i="26" s="1"/>
  <c r="G63" i="26"/>
  <c r="K63" i="26" s="1"/>
  <c r="K61" i="26"/>
  <c r="G94" i="26"/>
  <c r="K94" i="26" s="1"/>
  <c r="K92" i="26"/>
  <c r="B124" i="26"/>
  <c r="C124" i="26" s="1"/>
  <c r="B91" i="26"/>
  <c r="C91" i="26" s="1"/>
  <c r="B90" i="26"/>
  <c r="C90" i="26" s="1"/>
  <c r="B153" i="26"/>
  <c r="C153" i="26" s="1"/>
  <c r="B152" i="26"/>
  <c r="C152" i="26" s="1"/>
  <c r="B123" i="26"/>
  <c r="C123" i="26" s="1"/>
  <c r="L124" i="25"/>
  <c r="M124" i="25" s="1"/>
  <c r="B125" i="25" s="1"/>
  <c r="C125" i="25" s="1"/>
  <c r="L125" i="25"/>
  <c r="M125" i="25" s="1"/>
  <c r="L30" i="25"/>
  <c r="M30" i="25" s="1"/>
  <c r="L32" i="25"/>
  <c r="M32" i="25" s="1"/>
  <c r="K31" i="25"/>
  <c r="G63" i="25"/>
  <c r="K63" i="25" s="1"/>
  <c r="K62" i="25"/>
  <c r="K61" i="25"/>
  <c r="B94" i="25"/>
  <c r="C94" i="25" s="1"/>
  <c r="B93" i="25"/>
  <c r="C93" i="25" s="1"/>
  <c r="B123" i="25"/>
  <c r="C123" i="25" s="1"/>
  <c r="B122" i="25"/>
  <c r="C122" i="25" s="1"/>
  <c r="B60" i="25"/>
  <c r="C60" i="25" s="1"/>
  <c r="B59" i="25"/>
  <c r="C59" i="25" s="1"/>
  <c r="L30" i="24"/>
  <c r="M30" i="24" s="1"/>
  <c r="L31" i="24"/>
  <c r="M31" i="24" s="1"/>
  <c r="B32" i="24" s="1"/>
  <c r="C32" i="24" s="1"/>
  <c r="L32" i="24"/>
  <c r="M32" i="24" s="1"/>
  <c r="L61" i="24"/>
  <c r="M61" i="24" s="1"/>
  <c r="L124" i="24"/>
  <c r="M124" i="24" s="1"/>
  <c r="B125" i="24" s="1"/>
  <c r="C125" i="24" s="1"/>
  <c r="L125" i="24"/>
  <c r="M125" i="24" s="1"/>
  <c r="G63" i="24"/>
  <c r="K63" i="24" s="1"/>
  <c r="K62" i="24"/>
  <c r="K93" i="24"/>
  <c r="G94" i="24"/>
  <c r="K94" i="24" s="1"/>
  <c r="K92" i="24"/>
  <c r="B91" i="24"/>
  <c r="C91" i="24" s="1"/>
  <c r="L156" i="23"/>
  <c r="M156" i="23" s="1"/>
  <c r="L92" i="23"/>
  <c r="M92" i="23" s="1"/>
  <c r="L155" i="23"/>
  <c r="M155" i="23" s="1"/>
  <c r="B156" i="23" s="1"/>
  <c r="C156" i="23" s="1"/>
  <c r="L30" i="23"/>
  <c r="M30" i="23" s="1"/>
  <c r="L31" i="23"/>
  <c r="M31" i="23" s="1"/>
  <c r="B32" i="23" s="1"/>
  <c r="C32" i="23" s="1"/>
  <c r="L32" i="23"/>
  <c r="M32" i="23" s="1"/>
  <c r="L60" i="23"/>
  <c r="M60" i="23" s="1"/>
  <c r="L124" i="23"/>
  <c r="M124" i="23" s="1"/>
  <c r="B125" i="23" s="1"/>
  <c r="C125" i="23" s="1"/>
  <c r="L125" i="23"/>
  <c r="M125" i="23" s="1"/>
  <c r="G94" i="23"/>
  <c r="K94" i="23" s="1"/>
  <c r="G63" i="23"/>
  <c r="K63" i="23" s="1"/>
  <c r="K62" i="23"/>
  <c r="K61" i="23"/>
  <c r="B154" i="23"/>
  <c r="C154" i="23" s="1"/>
  <c r="B153" i="23"/>
  <c r="C153" i="23" s="1"/>
  <c r="B91" i="23"/>
  <c r="C91" i="23" s="1"/>
  <c r="B90" i="23"/>
  <c r="C90" i="23" s="1"/>
  <c r="B153" i="22"/>
  <c r="C153" i="22" s="1"/>
  <c r="L61" i="22"/>
  <c r="M61" i="22" s="1"/>
  <c r="B61" i="22" s="1"/>
  <c r="C61" i="22" s="1"/>
  <c r="L154" i="22"/>
  <c r="M154" i="22" s="1"/>
  <c r="B154" i="22" s="1"/>
  <c r="C154" i="22" s="1"/>
  <c r="L30" i="22"/>
  <c r="M30" i="22" s="1"/>
  <c r="L31" i="22"/>
  <c r="M31" i="22" s="1"/>
  <c r="B32" i="22" s="1"/>
  <c r="C32" i="22" s="1"/>
  <c r="L32" i="22"/>
  <c r="M32" i="22" s="1"/>
  <c r="G125" i="22"/>
  <c r="K125" i="22" s="1"/>
  <c r="K124" i="22"/>
  <c r="K123" i="22"/>
  <c r="G156" i="22"/>
  <c r="K156" i="22" s="1"/>
  <c r="G63" i="22"/>
  <c r="K63" i="22" s="1"/>
  <c r="B93" i="22"/>
  <c r="C93" i="22" s="1"/>
  <c r="L31" i="21"/>
  <c r="M31" i="21" s="1"/>
  <c r="B32" i="21" s="1"/>
  <c r="C32" i="21" s="1"/>
  <c r="L155" i="21"/>
  <c r="M155" i="21" s="1"/>
  <c r="L124" i="21"/>
  <c r="M124" i="21" s="1"/>
  <c r="L94" i="21"/>
  <c r="M94" i="21" s="1"/>
  <c r="L63" i="21"/>
  <c r="M63" i="21" s="1"/>
  <c r="L32" i="21"/>
  <c r="M32" i="21" s="1"/>
  <c r="L93" i="21"/>
  <c r="M93" i="21" s="1"/>
  <c r="B94" i="21" s="1"/>
  <c r="C94" i="21" s="1"/>
  <c r="L62" i="21"/>
  <c r="M62" i="21" s="1"/>
  <c r="B63" i="21" s="1"/>
  <c r="C63" i="21" s="1"/>
  <c r="L92" i="21"/>
  <c r="M92" i="21" s="1"/>
  <c r="B61" i="21"/>
  <c r="C61" i="21" s="1"/>
  <c r="B60" i="21"/>
  <c r="C60" i="21" s="1"/>
  <c r="M154" i="9"/>
  <c r="B154" i="9" s="1"/>
  <c r="C154" i="9" s="1"/>
  <c r="M92" i="9"/>
  <c r="B92" i="9" s="1"/>
  <c r="C92" i="9" s="1"/>
  <c r="K154" i="1"/>
  <c r="L154" i="1" s="1"/>
  <c r="B154" i="1" s="1"/>
  <c r="C154" i="1" s="1"/>
  <c r="K62" i="1"/>
  <c r="L62" i="1" s="1"/>
  <c r="B63" i="1" s="1"/>
  <c r="C63" i="1" s="1"/>
  <c r="K61" i="1"/>
  <c r="L61" i="1" s="1"/>
  <c r="K63" i="1"/>
  <c r="L63" i="1" s="1"/>
  <c r="K122" i="1"/>
  <c r="L122" i="1" s="1"/>
  <c r="K123" i="1"/>
  <c r="L123" i="1" s="1"/>
  <c r="B30" i="3"/>
  <c r="C30" i="3" s="1"/>
  <c r="M61" i="4"/>
  <c r="M60" i="4"/>
  <c r="M155" i="4"/>
  <c r="B156" i="4" s="1"/>
  <c r="C156" i="4" s="1"/>
  <c r="M156" i="4"/>
  <c r="M123" i="3"/>
  <c r="M122" i="3"/>
  <c r="M31" i="3"/>
  <c r="M155" i="3"/>
  <c r="B156" i="3" s="1"/>
  <c r="C156" i="3" s="1"/>
  <c r="L27" i="1"/>
  <c r="B27" i="1" s="1"/>
  <c r="C27" i="1" s="1"/>
  <c r="G32" i="9"/>
  <c r="K32" i="9" s="1"/>
  <c r="K31" i="9"/>
  <c r="K30" i="9"/>
  <c r="B125" i="9"/>
  <c r="C125" i="9" s="1"/>
  <c r="B124" i="9"/>
  <c r="C124" i="9" s="1"/>
  <c r="G94" i="9"/>
  <c r="K94" i="9" s="1"/>
  <c r="K93" i="9"/>
  <c r="G156" i="9"/>
  <c r="K156" i="9" s="1"/>
  <c r="K155" i="9"/>
  <c r="B63" i="9"/>
  <c r="C63" i="9" s="1"/>
  <c r="B62" i="9"/>
  <c r="C62" i="9" s="1"/>
  <c r="M92" i="8"/>
  <c r="B92" i="8" s="1"/>
  <c r="C92" i="8" s="1"/>
  <c r="M30" i="8"/>
  <c r="M156" i="8"/>
  <c r="M61" i="8"/>
  <c r="M123" i="8"/>
  <c r="B123" i="8" s="1"/>
  <c r="C123" i="8" s="1"/>
  <c r="M60" i="8"/>
  <c r="G63" i="8"/>
  <c r="K63" i="8" s="1"/>
  <c r="G32" i="8"/>
  <c r="K32" i="8" s="1"/>
  <c r="K31" i="8"/>
  <c r="G125" i="8"/>
  <c r="K125" i="8" s="1"/>
  <c r="B29" i="8"/>
  <c r="C29" i="8" s="1"/>
  <c r="B28" i="8"/>
  <c r="C28" i="8" s="1"/>
  <c r="G94" i="8"/>
  <c r="K94" i="8" s="1"/>
  <c r="K93" i="8"/>
  <c r="K155" i="8"/>
  <c r="B93" i="3"/>
  <c r="C93" i="3" s="1"/>
  <c r="G32" i="4"/>
  <c r="K32" i="4" s="1"/>
  <c r="K31" i="4"/>
  <c r="G63" i="4"/>
  <c r="K63" i="4" s="1"/>
  <c r="K30" i="4"/>
  <c r="B125" i="4"/>
  <c r="C125" i="4" s="1"/>
  <c r="B124" i="4"/>
  <c r="C124" i="4" s="1"/>
  <c r="B93" i="4"/>
  <c r="C93" i="4" s="1"/>
  <c r="M32" i="3"/>
  <c r="M154" i="3"/>
  <c r="M156" i="3"/>
  <c r="G125" i="3"/>
  <c r="K125" i="3" s="1"/>
  <c r="K124" i="3"/>
  <c r="L154" i="2"/>
  <c r="B154" i="2" s="1"/>
  <c r="C154" i="2" s="1"/>
  <c r="L61" i="2"/>
  <c r="L60" i="2"/>
  <c r="L30" i="2"/>
  <c r="B30" i="2" s="1"/>
  <c r="C30" i="2" s="1"/>
  <c r="L123" i="2"/>
  <c r="B123" i="2" s="1"/>
  <c r="C123" i="2" s="1"/>
  <c r="J62" i="2"/>
  <c r="G63" i="2"/>
  <c r="J63" i="2" s="1"/>
  <c r="G32" i="2"/>
  <c r="J32" i="2" s="1"/>
  <c r="J31" i="2"/>
  <c r="B29" i="2"/>
  <c r="C29" i="2" s="1"/>
  <c r="B122" i="2"/>
  <c r="C122" i="2" s="1"/>
  <c r="B121" i="2"/>
  <c r="C121" i="2" s="1"/>
  <c r="G125" i="2"/>
  <c r="J125" i="2" s="1"/>
  <c r="B93" i="2"/>
  <c r="C93" i="2" s="1"/>
  <c r="G156" i="2"/>
  <c r="J156" i="2" s="1"/>
  <c r="J155" i="2"/>
  <c r="G156" i="1"/>
  <c r="J156" i="1" s="1"/>
  <c r="J155" i="1"/>
  <c r="G125" i="1"/>
  <c r="J125" i="1" s="1"/>
  <c r="G94" i="1"/>
  <c r="J94" i="1" s="1"/>
  <c r="J93" i="1"/>
  <c r="J92" i="1"/>
  <c r="B91" i="1"/>
  <c r="C91" i="1" s="1"/>
  <c r="B90" i="1"/>
  <c r="C90" i="1" s="1"/>
  <c r="G30" i="1"/>
  <c r="J28" i="1"/>
  <c r="L32" i="34" a="1"/>
  <c r="L93" i="34" a="1"/>
  <c r="L31" i="34" a="1"/>
  <c r="L30" i="34" a="1"/>
  <c r="L32" i="33" a="1"/>
  <c r="L63" i="33" a="1"/>
  <c r="L61" i="33" a="1"/>
  <c r="L31" i="33" a="1"/>
  <c r="L62" i="33" a="1"/>
  <c r="L62" i="32" a="1"/>
  <c r="L61" i="32" a="1"/>
  <c r="L94" i="32" a="1"/>
  <c r="L63" i="32" a="1"/>
  <c r="L30" i="31" a="1"/>
  <c r="L63" i="31" a="1"/>
  <c r="L62" i="31" a="1"/>
  <c r="L61" i="31" a="1"/>
  <c r="L32" i="31" a="1"/>
  <c r="L31" i="31" a="1"/>
  <c r="L93" i="31" a="1"/>
  <c r="L93" i="30" a="1"/>
  <c r="L63" i="30" a="1"/>
  <c r="L62" i="30" a="1"/>
  <c r="L61" i="30" a="1"/>
  <c r="L94" i="29" a="1"/>
  <c r="L63" i="29" a="1"/>
  <c r="L62" i="29" a="1"/>
  <c r="L63" i="28" a="1"/>
  <c r="L62" i="28" a="1"/>
  <c r="L61" i="28" a="1"/>
  <c r="L93" i="28" a="1"/>
  <c r="L32" i="28" a="1"/>
  <c r="L31" i="28" a="1"/>
  <c r="L30" i="28" a="1"/>
  <c r="L94" i="27" a="1"/>
  <c r="L63" i="27" a="1"/>
  <c r="L62" i="27" a="1"/>
  <c r="L61" i="27" a="1"/>
  <c r="L32" i="27" a="1"/>
  <c r="L30" i="27" a="1"/>
  <c r="L125" i="27" a="1"/>
  <c r="L124" i="27" a="1"/>
  <c r="L156" i="26" a="1"/>
  <c r="L63" i="26" a="1"/>
  <c r="L61" i="26" a="1"/>
  <c r="L94" i="26" a="1"/>
  <c r="L92" i="26" a="1"/>
  <c r="L63" i="25" a="1"/>
  <c r="L31" i="25" a="1"/>
  <c r="L62" i="25" a="1"/>
  <c r="L61" i="25" a="1"/>
  <c r="L94" i="24" a="1"/>
  <c r="L92" i="24" a="1"/>
  <c r="L63" i="24" a="1"/>
  <c r="L62" i="24" a="1"/>
  <c r="L93" i="24" a="1"/>
  <c r="L94" i="23" a="1"/>
  <c r="L63" i="23" a="1"/>
  <c r="L62" i="23" a="1"/>
  <c r="L61" i="23" a="1"/>
  <c r="L125" i="22" a="1"/>
  <c r="L124" i="22" a="1"/>
  <c r="L123" i="22" a="1"/>
  <c r="L156" i="22" a="1"/>
  <c r="L63" i="22" a="1"/>
  <c r="K28" i="1" a="1"/>
  <c r="K156" i="1" a="1"/>
  <c r="K125" i="1" a="1"/>
  <c r="K94" i="1" a="1"/>
  <c r="K93" i="1" a="1"/>
  <c r="K92" i="1" a="1"/>
  <c r="K155" i="1" a="1"/>
  <c r="L30" i="34" l="1"/>
  <c r="M30" i="34" s="1"/>
  <c r="L31" i="34"/>
  <c r="M31" i="34" s="1"/>
  <c r="B32" i="34" s="1"/>
  <c r="C32" i="34" s="1"/>
  <c r="L93" i="34"/>
  <c r="M93" i="34" s="1"/>
  <c r="L32" i="34"/>
  <c r="M32" i="34" s="1"/>
  <c r="B62" i="34"/>
  <c r="C62" i="34" s="1"/>
  <c r="B61" i="34"/>
  <c r="C61" i="34" s="1"/>
  <c r="L62" i="33"/>
  <c r="M62" i="33" s="1"/>
  <c r="B63" i="33" s="1"/>
  <c r="C63" i="33" s="1"/>
  <c r="L31" i="33"/>
  <c r="M31" i="33" s="1"/>
  <c r="B32" i="33" s="1"/>
  <c r="C32" i="33" s="1"/>
  <c r="L61" i="33"/>
  <c r="M61" i="33" s="1"/>
  <c r="L63" i="33"/>
  <c r="M63" i="33" s="1"/>
  <c r="L32" i="33"/>
  <c r="M32" i="33" s="1"/>
  <c r="B94" i="33"/>
  <c r="C94" i="33" s="1"/>
  <c r="B93" i="33"/>
  <c r="C93" i="33" s="1"/>
  <c r="B124" i="32"/>
  <c r="C124" i="32" s="1"/>
  <c r="L63" i="32"/>
  <c r="M63" i="32" s="1"/>
  <c r="L94" i="32"/>
  <c r="M94" i="32" s="1"/>
  <c r="L61" i="32"/>
  <c r="M61" i="32" s="1"/>
  <c r="L62" i="32"/>
  <c r="M62" i="32" s="1"/>
  <c r="B63" i="32" s="1"/>
  <c r="C63" i="32" s="1"/>
  <c r="K93" i="32"/>
  <c r="B155" i="32"/>
  <c r="C155" i="32" s="1"/>
  <c r="B31" i="32"/>
  <c r="C31" i="32" s="1"/>
  <c r="B30" i="32"/>
  <c r="C30" i="32" s="1"/>
  <c r="L93" i="31"/>
  <c r="M93" i="31" s="1"/>
  <c r="L31" i="31"/>
  <c r="M31" i="31" s="1"/>
  <c r="B32" i="31" s="1"/>
  <c r="C32" i="31" s="1"/>
  <c r="L32" i="31"/>
  <c r="M32" i="31" s="1"/>
  <c r="L61" i="31"/>
  <c r="M61" i="31" s="1"/>
  <c r="L62" i="31"/>
  <c r="M62" i="31" s="1"/>
  <c r="B63" i="31" s="1"/>
  <c r="C63" i="31" s="1"/>
  <c r="L63" i="31"/>
  <c r="M63" i="31" s="1"/>
  <c r="L30" i="31"/>
  <c r="M30" i="31" s="1"/>
  <c r="L61" i="30"/>
  <c r="M61" i="30" s="1"/>
  <c r="L62" i="30"/>
  <c r="M62" i="30" s="1"/>
  <c r="B63" i="30" s="1"/>
  <c r="C63" i="30" s="1"/>
  <c r="L63" i="30"/>
  <c r="M63" i="30" s="1"/>
  <c r="L93" i="30"/>
  <c r="M93" i="30" s="1"/>
  <c r="B124" i="23"/>
  <c r="C124" i="23" s="1"/>
  <c r="B124" i="29"/>
  <c r="C124" i="29" s="1"/>
  <c r="L62" i="29"/>
  <c r="M62" i="29" s="1"/>
  <c r="B63" i="29" s="1"/>
  <c r="C63" i="29" s="1"/>
  <c r="L63" i="29"/>
  <c r="M63" i="29" s="1"/>
  <c r="L94" i="29"/>
  <c r="M94" i="29" s="1"/>
  <c r="K93" i="29"/>
  <c r="B156" i="29"/>
  <c r="C156" i="29" s="1"/>
  <c r="B155" i="29"/>
  <c r="C155" i="29" s="1"/>
  <c r="L30" i="28"/>
  <c r="M30" i="28" s="1"/>
  <c r="L31" i="28"/>
  <c r="M31" i="28" s="1"/>
  <c r="B32" i="28" s="1"/>
  <c r="C32" i="28" s="1"/>
  <c r="L32" i="28"/>
  <c r="M32" i="28" s="1"/>
  <c r="L93" i="28"/>
  <c r="M93" i="28" s="1"/>
  <c r="L61" i="28"/>
  <c r="M61" i="28" s="1"/>
  <c r="L62" i="28"/>
  <c r="M62" i="28" s="1"/>
  <c r="B63" i="28" s="1"/>
  <c r="C63" i="28" s="1"/>
  <c r="L63" i="28"/>
  <c r="M63" i="28" s="1"/>
  <c r="L124" i="27"/>
  <c r="M124" i="27" s="1"/>
  <c r="B125" i="27" s="1"/>
  <c r="C125" i="27" s="1"/>
  <c r="L125" i="27"/>
  <c r="M125" i="27" s="1"/>
  <c r="L30" i="27"/>
  <c r="M30" i="27" s="1"/>
  <c r="L32" i="27"/>
  <c r="M32" i="27" s="1"/>
  <c r="L61" i="27"/>
  <c r="M61" i="27" s="1"/>
  <c r="B61" i="27" s="1"/>
  <c r="C61" i="27" s="1"/>
  <c r="L62" i="27"/>
  <c r="M62" i="27" s="1"/>
  <c r="B63" i="27" s="1"/>
  <c r="C63" i="27" s="1"/>
  <c r="L63" i="27"/>
  <c r="M63" i="27" s="1"/>
  <c r="L94" i="27"/>
  <c r="M94" i="27" s="1"/>
  <c r="B92" i="27"/>
  <c r="C92" i="27" s="1"/>
  <c r="B91" i="27"/>
  <c r="C91" i="27" s="1"/>
  <c r="K31" i="27"/>
  <c r="K93" i="27"/>
  <c r="B123" i="27"/>
  <c r="C123" i="27" s="1"/>
  <c r="B122" i="27"/>
  <c r="C122" i="27" s="1"/>
  <c r="B60" i="27"/>
  <c r="C60" i="27" s="1"/>
  <c r="L92" i="26"/>
  <c r="M92" i="26" s="1"/>
  <c r="L94" i="26"/>
  <c r="M94" i="26" s="1"/>
  <c r="L61" i="26"/>
  <c r="M61" i="26" s="1"/>
  <c r="B61" i="26" s="1"/>
  <c r="C61" i="26" s="1"/>
  <c r="L63" i="26"/>
  <c r="M63" i="26" s="1"/>
  <c r="L156" i="26"/>
  <c r="M156" i="26" s="1"/>
  <c r="B60" i="26"/>
  <c r="C60" i="26" s="1"/>
  <c r="B154" i="26"/>
  <c r="C154" i="26" s="1"/>
  <c r="K93" i="26"/>
  <c r="K62" i="26"/>
  <c r="K155" i="26"/>
  <c r="L61" i="25"/>
  <c r="M61" i="25" s="1"/>
  <c r="L62" i="25"/>
  <c r="M62" i="25" s="1"/>
  <c r="B63" i="25" s="1"/>
  <c r="C63" i="25" s="1"/>
  <c r="L31" i="25"/>
  <c r="M31" i="25" s="1"/>
  <c r="B32" i="25" s="1"/>
  <c r="C32" i="25" s="1"/>
  <c r="L63" i="25"/>
  <c r="M63" i="25" s="1"/>
  <c r="B30" i="25"/>
  <c r="C30" i="25" s="1"/>
  <c r="B124" i="25"/>
  <c r="C124" i="25" s="1"/>
  <c r="L93" i="24"/>
  <c r="M93" i="24" s="1"/>
  <c r="B94" i="24" s="1"/>
  <c r="C94" i="24" s="1"/>
  <c r="L62" i="24"/>
  <c r="M62" i="24" s="1"/>
  <c r="B63" i="24" s="1"/>
  <c r="C63" i="24" s="1"/>
  <c r="L63" i="24"/>
  <c r="M63" i="24" s="1"/>
  <c r="L92" i="24"/>
  <c r="M92" i="24" s="1"/>
  <c r="L94" i="24"/>
  <c r="M94" i="24" s="1"/>
  <c r="B31" i="24"/>
  <c r="C31" i="24" s="1"/>
  <c r="B30" i="24"/>
  <c r="C30" i="24" s="1"/>
  <c r="B124" i="24"/>
  <c r="C124" i="24" s="1"/>
  <c r="B61" i="24"/>
  <c r="C61" i="24" s="1"/>
  <c r="B155" i="23"/>
  <c r="C155" i="23" s="1"/>
  <c r="L61" i="23"/>
  <c r="M61" i="23" s="1"/>
  <c r="L62" i="23"/>
  <c r="M62" i="23" s="1"/>
  <c r="B63" i="23" s="1"/>
  <c r="C63" i="23" s="1"/>
  <c r="L63" i="23"/>
  <c r="M63" i="23" s="1"/>
  <c r="L94" i="23"/>
  <c r="M94" i="23" s="1"/>
  <c r="B92" i="23"/>
  <c r="C92" i="23" s="1"/>
  <c r="K93" i="23"/>
  <c r="B60" i="23"/>
  <c r="C60" i="23" s="1"/>
  <c r="B31" i="23"/>
  <c r="C31" i="23" s="1"/>
  <c r="B30" i="23"/>
  <c r="C30" i="23" s="1"/>
  <c r="L63" i="22"/>
  <c r="M63" i="22" s="1"/>
  <c r="L156" i="22"/>
  <c r="M156" i="22" s="1"/>
  <c r="L123" i="22"/>
  <c r="M123" i="22" s="1"/>
  <c r="L124" i="22"/>
  <c r="M124" i="22" s="1"/>
  <c r="B125" i="22" s="1"/>
  <c r="C125" i="22" s="1"/>
  <c r="L125" i="22"/>
  <c r="M125" i="22" s="1"/>
  <c r="K62" i="22"/>
  <c r="K155" i="22"/>
  <c r="B31" i="22"/>
  <c r="C31" i="22" s="1"/>
  <c r="B30" i="22"/>
  <c r="C30" i="22" s="1"/>
  <c r="B125" i="21"/>
  <c r="C125" i="21" s="1"/>
  <c r="B124" i="21"/>
  <c r="C124" i="21" s="1"/>
  <c r="B62" i="21"/>
  <c r="C62" i="21" s="1"/>
  <c r="B31" i="21"/>
  <c r="C31" i="21" s="1"/>
  <c r="B156" i="21"/>
  <c r="C156" i="21" s="1"/>
  <c r="B155" i="21"/>
  <c r="C155" i="21" s="1"/>
  <c r="B93" i="21"/>
  <c r="C93" i="21" s="1"/>
  <c r="B92" i="21"/>
  <c r="C92" i="21" s="1"/>
  <c r="M155" i="8"/>
  <c r="M125" i="8"/>
  <c r="M63" i="8"/>
  <c r="M30" i="9"/>
  <c r="K155" i="1"/>
  <c r="L155" i="1" s="1"/>
  <c r="B156" i="1" s="1"/>
  <c r="C156" i="1" s="1"/>
  <c r="K92" i="1"/>
  <c r="L92" i="1" s="1"/>
  <c r="K93" i="1"/>
  <c r="L93" i="1" s="1"/>
  <c r="B94" i="1" s="1"/>
  <c r="C94" i="1" s="1"/>
  <c r="K94" i="1"/>
  <c r="L94" i="1" s="1"/>
  <c r="K125" i="1"/>
  <c r="L125" i="1" s="1"/>
  <c r="K156" i="1"/>
  <c r="L156" i="1" s="1"/>
  <c r="K28" i="1"/>
  <c r="B32" i="3"/>
  <c r="C32" i="3" s="1"/>
  <c r="B31" i="3"/>
  <c r="C31" i="3" s="1"/>
  <c r="M63" i="4"/>
  <c r="M31" i="4"/>
  <c r="B32" i="4" s="1"/>
  <c r="C32" i="4" s="1"/>
  <c r="M32" i="4"/>
  <c r="M124" i="3"/>
  <c r="B125" i="3" s="1"/>
  <c r="C125" i="3" s="1"/>
  <c r="M155" i="9"/>
  <c r="B156" i="9" s="1"/>
  <c r="C156" i="9" s="1"/>
  <c r="M156" i="9"/>
  <c r="M94" i="9"/>
  <c r="M31" i="9"/>
  <c r="B32" i="9" s="1"/>
  <c r="C32" i="9" s="1"/>
  <c r="M32" i="9"/>
  <c r="M93" i="9"/>
  <c r="B94" i="9" s="1"/>
  <c r="C94" i="9" s="1"/>
  <c r="M32" i="8"/>
  <c r="M31" i="8"/>
  <c r="B32" i="8" s="1"/>
  <c r="C32" i="8" s="1"/>
  <c r="M93" i="8"/>
  <c r="B94" i="8" s="1"/>
  <c r="C94" i="8" s="1"/>
  <c r="M94" i="8"/>
  <c r="K124" i="8"/>
  <c r="K62" i="8"/>
  <c r="B61" i="8"/>
  <c r="C61" i="8" s="1"/>
  <c r="B60" i="8"/>
  <c r="C60" i="8" s="1"/>
  <c r="B30" i="8"/>
  <c r="C30" i="8" s="1"/>
  <c r="B155" i="4"/>
  <c r="C155" i="4" s="1"/>
  <c r="M30" i="4"/>
  <c r="K62" i="4"/>
  <c r="B61" i="4"/>
  <c r="C61" i="4" s="1"/>
  <c r="B60" i="4"/>
  <c r="C60" i="4" s="1"/>
  <c r="M125" i="3"/>
  <c r="B155" i="3"/>
  <c r="C155" i="3" s="1"/>
  <c r="B154" i="3"/>
  <c r="C154" i="3" s="1"/>
  <c r="B123" i="3"/>
  <c r="C123" i="3" s="1"/>
  <c r="B122" i="3"/>
  <c r="C122" i="3" s="1"/>
  <c r="L125" i="2"/>
  <c r="L31" i="2"/>
  <c r="B32" i="2" s="1"/>
  <c r="C32" i="2" s="1"/>
  <c r="L62" i="2"/>
  <c r="B63" i="2" s="1"/>
  <c r="C63" i="2" s="1"/>
  <c r="L155" i="2"/>
  <c r="B156" i="2" s="1"/>
  <c r="C156" i="2" s="1"/>
  <c r="L32" i="2"/>
  <c r="L156" i="2"/>
  <c r="L63" i="2"/>
  <c r="J124" i="2"/>
  <c r="B61" i="2"/>
  <c r="C61" i="2" s="1"/>
  <c r="B60" i="2"/>
  <c r="C60" i="2" s="1"/>
  <c r="J124" i="1"/>
  <c r="B123" i="1"/>
  <c r="C123" i="1" s="1"/>
  <c r="B122" i="1"/>
  <c r="C122" i="1" s="1"/>
  <c r="B62" i="1"/>
  <c r="C62" i="1" s="1"/>
  <c r="B61" i="1"/>
  <c r="C61" i="1" s="1"/>
  <c r="G31" i="1"/>
  <c r="J30" i="1" s="1"/>
  <c r="J29" i="1"/>
  <c r="L93" i="32" a="1"/>
  <c r="L93" i="29" a="1"/>
  <c r="L31" i="27" a="1"/>
  <c r="L93" i="27" a="1"/>
  <c r="L93" i="26" a="1"/>
  <c r="L62" i="26" a="1"/>
  <c r="L155" i="26" a="1"/>
  <c r="L93" i="23" a="1"/>
  <c r="L62" i="22" a="1"/>
  <c r="L155" i="22" a="1"/>
  <c r="K29" i="1" a="1"/>
  <c r="K124" i="1" a="1"/>
  <c r="K30" i="1" a="1"/>
  <c r="B31" i="33" l="1"/>
  <c r="C31" i="33" s="1"/>
  <c r="B62" i="29"/>
  <c r="C62" i="29" s="1"/>
  <c r="B94" i="34"/>
  <c r="C94" i="34" s="1"/>
  <c r="B93" i="34"/>
  <c r="C93" i="34" s="1"/>
  <c r="B31" i="34"/>
  <c r="C31" i="34" s="1"/>
  <c r="B30" i="34"/>
  <c r="C30" i="34" s="1"/>
  <c r="B62" i="33"/>
  <c r="C62" i="33" s="1"/>
  <c r="B61" i="33"/>
  <c r="C61" i="33" s="1"/>
  <c r="L93" i="32"/>
  <c r="M93" i="32" s="1"/>
  <c r="B62" i="32"/>
  <c r="C62" i="32" s="1"/>
  <c r="B61" i="32"/>
  <c r="C61" i="32" s="1"/>
  <c r="B31" i="31"/>
  <c r="C31" i="31" s="1"/>
  <c r="B30" i="31"/>
  <c r="C30" i="31" s="1"/>
  <c r="B62" i="31"/>
  <c r="C62" i="31" s="1"/>
  <c r="B61" i="31"/>
  <c r="C61" i="31" s="1"/>
  <c r="B94" i="31"/>
  <c r="C94" i="31" s="1"/>
  <c r="B93" i="31"/>
  <c r="C93" i="31" s="1"/>
  <c r="B62" i="30"/>
  <c r="C62" i="30" s="1"/>
  <c r="B61" i="30"/>
  <c r="C61" i="30" s="1"/>
  <c r="B94" i="30"/>
  <c r="C94" i="30" s="1"/>
  <c r="B93" i="30"/>
  <c r="C93" i="30" s="1"/>
  <c r="L93" i="29"/>
  <c r="M93" i="29" s="1"/>
  <c r="B62" i="28"/>
  <c r="C62" i="28" s="1"/>
  <c r="B61" i="28"/>
  <c r="C61" i="28" s="1"/>
  <c r="B94" i="28"/>
  <c r="C94" i="28" s="1"/>
  <c r="B93" i="28"/>
  <c r="C93" i="28" s="1"/>
  <c r="B31" i="28"/>
  <c r="C31" i="28" s="1"/>
  <c r="B30" i="28"/>
  <c r="C30" i="28" s="1"/>
  <c r="L93" i="27"/>
  <c r="M93" i="27" s="1"/>
  <c r="L31" i="27"/>
  <c r="M31" i="27" s="1"/>
  <c r="B32" i="27" s="1"/>
  <c r="C32" i="27" s="1"/>
  <c r="B124" i="27"/>
  <c r="C124" i="27" s="1"/>
  <c r="B62" i="27"/>
  <c r="C62" i="27" s="1"/>
  <c r="B30" i="27"/>
  <c r="C30" i="27" s="1"/>
  <c r="L155" i="26"/>
  <c r="M155" i="26" s="1"/>
  <c r="L62" i="26"/>
  <c r="M62" i="26" s="1"/>
  <c r="B63" i="26" s="1"/>
  <c r="C63" i="26" s="1"/>
  <c r="L93" i="26"/>
  <c r="M93" i="26" s="1"/>
  <c r="B94" i="26" s="1"/>
  <c r="C94" i="26" s="1"/>
  <c r="B93" i="26"/>
  <c r="C93" i="26" s="1"/>
  <c r="B92" i="26"/>
  <c r="C92" i="26" s="1"/>
  <c r="B31" i="25"/>
  <c r="C31" i="25" s="1"/>
  <c r="B62" i="25"/>
  <c r="C62" i="25" s="1"/>
  <c r="B61" i="25"/>
  <c r="C61" i="25" s="1"/>
  <c r="B62" i="24"/>
  <c r="C62" i="24" s="1"/>
  <c r="B93" i="24"/>
  <c r="C93" i="24" s="1"/>
  <c r="B92" i="24"/>
  <c r="C92" i="24" s="1"/>
  <c r="B62" i="23"/>
  <c r="C62" i="23" s="1"/>
  <c r="L93" i="23"/>
  <c r="M93" i="23" s="1"/>
  <c r="B61" i="23"/>
  <c r="C61" i="23" s="1"/>
  <c r="L155" i="22"/>
  <c r="M155" i="22" s="1"/>
  <c r="L62" i="22"/>
  <c r="M62" i="22" s="1"/>
  <c r="B124" i="22"/>
  <c r="C124" i="22" s="1"/>
  <c r="B123" i="22"/>
  <c r="C123" i="22" s="1"/>
  <c r="M62" i="8"/>
  <c r="M124" i="8"/>
  <c r="K30" i="1"/>
  <c r="K124" i="1"/>
  <c r="L124" i="1" s="1"/>
  <c r="K29" i="1"/>
  <c r="M62" i="4"/>
  <c r="L28" i="1"/>
  <c r="B28" i="1" s="1"/>
  <c r="C28" i="1" s="1"/>
  <c r="B93" i="9"/>
  <c r="C93" i="9" s="1"/>
  <c r="B155" i="9"/>
  <c r="C155" i="9" s="1"/>
  <c r="B31" i="9"/>
  <c r="C31" i="9" s="1"/>
  <c r="B30" i="9"/>
  <c r="C30" i="9" s="1"/>
  <c r="B31" i="8"/>
  <c r="C31" i="8" s="1"/>
  <c r="B156" i="8"/>
  <c r="C156" i="8" s="1"/>
  <c r="B155" i="8"/>
  <c r="C155" i="8" s="1"/>
  <c r="B93" i="8"/>
  <c r="C93" i="8" s="1"/>
  <c r="B31" i="2"/>
  <c r="C31" i="2" s="1"/>
  <c r="B62" i="2"/>
  <c r="C62" i="2" s="1"/>
  <c r="B124" i="3"/>
  <c r="C124" i="3" s="1"/>
  <c r="B155" i="2"/>
  <c r="C155" i="2" s="1"/>
  <c r="B31" i="4"/>
  <c r="C31" i="4" s="1"/>
  <c r="B30" i="4"/>
  <c r="C30" i="4" s="1"/>
  <c r="L124" i="2"/>
  <c r="B155" i="1"/>
  <c r="C155" i="1" s="1"/>
  <c r="B93" i="1"/>
  <c r="C93" i="1" s="1"/>
  <c r="B92" i="1"/>
  <c r="C92" i="1" s="1"/>
  <c r="G32" i="1"/>
  <c r="J32" i="1" s="1"/>
  <c r="K32" i="1" a="1"/>
  <c r="B94" i="32" l="1"/>
  <c r="C94" i="32" s="1"/>
  <c r="B93" i="32"/>
  <c r="C93" i="32" s="1"/>
  <c r="B62" i="26"/>
  <c r="C62" i="26" s="1"/>
  <c r="B94" i="29"/>
  <c r="C94" i="29" s="1"/>
  <c r="B93" i="29"/>
  <c r="C93" i="29" s="1"/>
  <c r="B31" i="27"/>
  <c r="C31" i="27" s="1"/>
  <c r="B94" i="27"/>
  <c r="C94" i="27" s="1"/>
  <c r="B93" i="27"/>
  <c r="C93" i="27" s="1"/>
  <c r="B156" i="26"/>
  <c r="C156" i="26" s="1"/>
  <c r="B155" i="26"/>
  <c r="C155" i="26" s="1"/>
  <c r="B94" i="23"/>
  <c r="C94" i="23" s="1"/>
  <c r="B93" i="23"/>
  <c r="C93" i="23" s="1"/>
  <c r="B63" i="22"/>
  <c r="C63" i="22" s="1"/>
  <c r="B62" i="22"/>
  <c r="C62" i="22" s="1"/>
  <c r="B156" i="22"/>
  <c r="C156" i="22" s="1"/>
  <c r="B155" i="22"/>
  <c r="C155" i="22" s="1"/>
  <c r="K32" i="1"/>
  <c r="J31" i="1"/>
  <c r="L29" i="1"/>
  <c r="B29" i="1" s="1"/>
  <c r="C29" i="1" s="1"/>
  <c r="L30" i="1"/>
  <c r="B125" i="8"/>
  <c r="C125" i="8" s="1"/>
  <c r="B124" i="8"/>
  <c r="C124" i="8" s="1"/>
  <c r="B63" i="8"/>
  <c r="C63" i="8" s="1"/>
  <c r="B62" i="8"/>
  <c r="C62" i="8" s="1"/>
  <c r="B63" i="4"/>
  <c r="C63" i="4" s="1"/>
  <c r="B62" i="4"/>
  <c r="C62" i="4" s="1"/>
  <c r="B125" i="2"/>
  <c r="C125" i="2" s="1"/>
  <c r="B124" i="2"/>
  <c r="C124" i="2" s="1"/>
  <c r="B125" i="1"/>
  <c r="C125" i="1" s="1"/>
  <c r="B124" i="1"/>
  <c r="C124" i="1" s="1"/>
  <c r="K31" i="1" a="1"/>
  <c r="K31" i="1" l="1"/>
  <c r="L31" i="1" s="1"/>
  <c r="B32" i="1" s="1"/>
  <c r="C32" i="1" s="1"/>
  <c r="B30" i="1"/>
  <c r="C30" i="1" s="1"/>
  <c r="L32" i="1"/>
  <c r="B31" i="1" l="1"/>
  <c r="C3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<sst xmlns="http://schemas.openxmlformats.org/spreadsheetml/2006/main" count="9274" uniqueCount="48">
  <si>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</si>
  <si>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</si>
  <si>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</si>
  <si>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</si>
  <si>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</si>
  <si>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</si>
  <si>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</si>
  <si>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</si>
  <si>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</si>
  <si>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</si>
  <si>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</si>
  <si>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</si>
  <si>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</si>
  <si>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</si>
  <si>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</si>
  <si>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</si>
  <si>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</si>
  <si>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</si>
  <si>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</si>
  <si>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</si>
  <si>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</si>
  <si>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</si>
  <si>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</si>
  <si>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</si>
  <si>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</si>
  <si>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</si>
  <si>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</si>
  <si>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</si>
  <si>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</si>
  <si>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</si>
  <si>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</si>
  <si>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</si>
  <si>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</si>
  <si>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</si>
  <si>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</si>
  <si>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</si>
  <si>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</si>
  <si>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</si>
  <si>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</si>
  <si>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</si>
  <si>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</si>
  <si>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</si>
  <si>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</si>
  <si>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</si>
  <si>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</si>
  <si>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Jaarrond cq zomer</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</si>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</sst>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xf numFmtId="0" fontId="0" fillId="0" borderId="0" xfId="0" applyAlignme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applyBorder="1"/>
    <xf numFmtId="2" fontId="0" fillId="0" borderId="5"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9" xfId="0" applyBorder="1"/>
    <xf numFmtId="0" fontId="0" fillId="0" borderId="10" xfId="0" applyBorder="1"/>
    <xf numFmtId="0" fontId="0" fillId="0" borderId="11" xfId="0" applyBorder="1"/>
    <xf numFmtId="0" fontId="0" fillId="0" borderId="0" xfId="0" applyFill="1" applyBorder="1"/>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586740</xdr:colOff>
          <xdr:row>12</xdr:row>
          <xdr:rowOff>99060</xdr:rowOff>
        </xdr:from>
        <xdr:to>
          <xdr:col>21</xdr:col>
          <xdr:colOff>601980</xdr:colOff>
          <xdr:row>15</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3B17B646-0A5B-3327-527A-56D7E598A7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tabSelected="1" workbookViewId="0">
      <selection activeCell="J9" sqref="J9"/>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s>
  <sheetData>
    <row r="2" spans="2:22" x14ac:dyDescent="0.3">
      <c r="B2" s="3" t="s">
        <v>37</v>
      </c>
      <c r="C2" s="4"/>
      <c r="D2" s="4"/>
      <c r="E2" s="4"/>
      <c r="F2" s="4"/>
      <c r="G2" s="4"/>
      <c r="H2" s="4"/>
      <c r="I2" s="4"/>
      <c r="J2" s="4"/>
      <c r="K2" s="4"/>
      <c r="L2" s="4"/>
      <c r="M2" s="4"/>
      <c r="N2" s="4"/>
      <c r="O2" s="4"/>
      <c r="P2" s="4"/>
      <c r="Q2" s="4"/>
      <c r="R2" s="4"/>
      <c r="S2" s="4"/>
      <c r="T2" s="4"/>
      <c r="U2" s="4"/>
      <c r="V2" s="5"/>
    </row>
    <row r="3" spans="2:22" x14ac:dyDescent="0.3">
      <c r="B3" s="6" t="s">
        <v>38</v>
      </c>
      <c r="C3" s="7"/>
      <c r="D3" s="7"/>
      <c r="E3" s="7"/>
      <c r="F3" s="7"/>
      <c r="G3" s="7"/>
      <c r="H3" s="7"/>
      <c r="I3" s="7"/>
      <c r="J3" s="7"/>
      <c r="K3" s="7"/>
      <c r="L3" s="7"/>
      <c r="M3" s="7"/>
      <c r="N3" s="7"/>
      <c r="O3" s="7"/>
      <c r="P3" s="7"/>
      <c r="Q3" s="7"/>
      <c r="R3" s="7"/>
      <c r="S3" s="7"/>
      <c r="T3" s="7"/>
      <c r="U3" s="7"/>
      <c r="V3" s="8"/>
    </row>
    <row r="4" spans="2:22" x14ac:dyDescent="0.3">
      <c r="B4" s="6" t="s">
        <v>42</v>
      </c>
      <c r="C4" s="7"/>
      <c r="D4" s="7"/>
      <c r="E4" s="7"/>
      <c r="F4" s="7"/>
      <c r="G4" s="7"/>
      <c r="H4" s="7"/>
      <c r="I4" s="7"/>
      <c r="J4" s="7"/>
      <c r="K4" s="7"/>
      <c r="L4" s="7"/>
      <c r="M4" s="7"/>
      <c r="N4" s="7"/>
      <c r="O4" s="7"/>
      <c r="P4" s="7"/>
      <c r="Q4" s="7"/>
      <c r="R4" s="7"/>
      <c r="S4" s="7"/>
      <c r="T4" s="7"/>
      <c r="U4" s="7"/>
      <c r="V4" s="8"/>
    </row>
    <row r="5" spans="2:22" x14ac:dyDescent="0.3">
      <c r="B5" s="6" t="s">
        <v>39</v>
      </c>
      <c r="C5" s="7"/>
      <c r="D5" s="7"/>
      <c r="E5" s="7"/>
      <c r="F5" s="7"/>
      <c r="G5" s="7"/>
      <c r="H5" s="7"/>
      <c r="I5" s="7"/>
      <c r="J5" s="7"/>
      <c r="K5" s="7"/>
      <c r="L5" s="7"/>
      <c r="M5" s="7"/>
      <c r="N5" s="7"/>
      <c r="O5" s="7"/>
      <c r="P5" s="7"/>
      <c r="Q5" s="7"/>
      <c r="R5" s="7"/>
      <c r="S5" s="7"/>
      <c r="T5" s="7"/>
      <c r="U5" s="7"/>
      <c r="V5" s="8"/>
    </row>
    <row r="6" spans="2:22" x14ac:dyDescent="0.3">
      <c r="B6" s="9" t="s">
        <v>40</v>
      </c>
      <c r="C6" s="10"/>
      <c r="D6" s="10"/>
      <c r="E6" s="10"/>
      <c r="F6" s="10"/>
      <c r="G6" s="10"/>
      <c r="H6" s="10"/>
      <c r="I6" s="10"/>
      <c r="J6" s="10"/>
      <c r="K6" s="10"/>
      <c r="L6" s="10"/>
      <c r="M6" s="10"/>
      <c r="N6" s="10"/>
      <c r="O6" s="10"/>
      <c r="P6" s="10"/>
      <c r="Q6" s="10"/>
      <c r="R6" s="10"/>
      <c r="S6" s="10"/>
      <c r="T6" s="10"/>
      <c r="U6" s="10"/>
      <c r="V6" s="11"/>
    </row>
    <row r="8" spans="2:22" x14ac:dyDescent="0.3">
      <c r="B8" t="s">
        <v>41</v>
      </c>
    </row>
    <row r="10" spans="2:22" x14ac:dyDescent="0.3">
      <c r="B10" t="s">
        <v>46</v>
      </c>
    </row>
    <row r="12" spans="2:22" x14ac:dyDescent="0.3">
      <c r="B12" s="14" t="s">
        <v>45</v>
      </c>
      <c r="C12" s="15"/>
      <c r="D12" s="15"/>
      <c r="E12" s="15"/>
      <c r="F12" s="15"/>
      <c r="G12" s="16"/>
      <c r="J12" s="14" t="s">
        <v>43</v>
      </c>
      <c r="K12" s="15"/>
      <c r="L12" s="15"/>
      <c r="M12" s="15"/>
      <c r="N12" s="15"/>
      <c r="O12" s="16"/>
      <c r="P12" s="2"/>
      <c r="Q12" s="14" t="s">
        <v>47</v>
      </c>
      <c r="R12" s="15"/>
      <c r="S12" s="15"/>
      <c r="T12" s="15"/>
      <c r="U12" s="15"/>
      <c r="V12" s="16"/>
    </row>
    <row r="13" spans="2:22" x14ac:dyDescent="0.3">
      <c r="B13" s="17" t="s">
        <v>4</v>
      </c>
      <c r="C13" s="18" t="s">
        <v>0</v>
      </c>
      <c r="D13" s="18" t="s">
        <v>44</v>
      </c>
      <c r="E13" s="18" t="s">
        <v>1</v>
      </c>
      <c r="F13" s="18" t="s">
        <v>2</v>
      </c>
      <c r="G13" s="19" t="s">
        <v>1</v>
      </c>
      <c r="J13" s="17" t="s">
        <v>4</v>
      </c>
      <c r="K13" s="18" t="s">
        <v>0</v>
      </c>
      <c r="L13" s="18" t="s">
        <v>44</v>
      </c>
      <c r="M13" s="18" t="s">
        <v>1</v>
      </c>
      <c r="N13" s="18" t="s">
        <v>2</v>
      </c>
      <c r="O13" s="19" t="s">
        <v>1</v>
      </c>
    </row>
    <row r="14" spans="2:22" x14ac:dyDescent="0.3">
      <c r="B14" s="6">
        <v>2014</v>
      </c>
      <c r="C14" s="7"/>
      <c r="D14" s="7">
        <f>24*60</f>
        <v>1440</v>
      </c>
      <c r="E14" s="12">
        <v>40</v>
      </c>
      <c r="F14" s="7" cm="1">
        <f t="array" ref="F14">STOWA2024_JAARROND_T(D14,E14,B14,C14,"")</f>
        <v>1.3867945199130938</v>
      </c>
      <c r="G14" s="13" cm="1">
        <f t="array" ref="G14">STOWA2024_JAARROND_V(D14,F14,B14,C14,"")</f>
        <v>39.999310880109064</v>
      </c>
      <c r="J14" s="6">
        <v>2014</v>
      </c>
      <c r="K14" s="7"/>
      <c r="L14" s="7">
        <f>24*60</f>
        <v>1440</v>
      </c>
      <c r="M14" s="12">
        <v>40</v>
      </c>
      <c r="N14" s="7" cm="1">
        <f t="array" ref="N14">STOWA2024_NDJF_T(L14,M14,J14,K14,"")</f>
        <v>9.054446345774382</v>
      </c>
      <c r="O14" s="13" cm="1">
        <f t="array" ref="O14">STOWA2024_NDJF_V(L14,N14,J14,K14,"")</f>
        <v>39.999439214099723</v>
      </c>
    </row>
    <row r="15" spans="2:22" x14ac:dyDescent="0.3">
      <c r="B15" s="6">
        <v>2014</v>
      </c>
      <c r="C15" s="7"/>
      <c r="D15" s="7">
        <f>9*24*60</f>
        <v>12960</v>
      </c>
      <c r="E15" s="7">
        <v>120</v>
      </c>
      <c r="F15" s="7" cm="1">
        <f t="array" ref="F15">STOWA2024_JAARROND_T(D15,E15,B15,C15,"")</f>
        <v>9.1721556522034824</v>
      </c>
      <c r="G15" s="13" cm="1">
        <f t="array" ref="G15">STOWA2024_JAARROND_V(D15,F15,B15,C15,"")</f>
        <v>119.99917812720106</v>
      </c>
      <c r="J15" s="6">
        <v>2014</v>
      </c>
      <c r="K15" s="7"/>
      <c r="L15" s="7">
        <f>9*24*60</f>
        <v>12960</v>
      </c>
      <c r="M15" s="7">
        <v>120</v>
      </c>
      <c r="N15" s="7" cm="1">
        <f t="array" ref="N15">STOWA2024_NDJF_T(L15,M15,J15,K15,"")</f>
        <v>31.513859319347564</v>
      </c>
      <c r="O15" s="13" cm="1">
        <f t="array" ref="O15">STOWA2024_NDJF_V(L15,N15,J15,K15,"")</f>
        <v>119.99922517367013</v>
      </c>
    </row>
    <row r="16" spans="2:22" x14ac:dyDescent="0.3">
      <c r="B16" s="6">
        <v>2033</v>
      </c>
      <c r="C16" s="7" t="s">
        <v>25</v>
      </c>
      <c r="D16" s="7">
        <f>24*60</f>
        <v>1440</v>
      </c>
      <c r="E16" s="7">
        <v>40</v>
      </c>
      <c r="F16" s="7" cm="1">
        <f t="array" ref="F16">STOWA2024_JAARROND_T(D16,E16,B16,C16,"")</f>
        <v>1.2111876855378967</v>
      </c>
      <c r="G16" s="13" cm="1">
        <f t="array" ref="G16">STOWA2024_JAARROND_V(D16,F16,B16,C16,"")</f>
        <v>39.99935887377913</v>
      </c>
      <c r="J16" s="6">
        <v>2033</v>
      </c>
      <c r="K16" s="7" t="s">
        <v>25</v>
      </c>
      <c r="L16" s="7">
        <f>24*60</f>
        <v>1440</v>
      </c>
      <c r="M16" s="7">
        <v>40</v>
      </c>
      <c r="N16" s="7" cm="1">
        <f t="array" ref="N16">STOWA2024_NDJF_T(L16,M16,J16,K16,"")</f>
        <v>7.3997073025715334</v>
      </c>
      <c r="O16" s="13" cm="1">
        <f t="array" ref="O16">STOWA2024_NDJF_V(L16,N16,J16,K16,"")</f>
        <v>39.9993853872747</v>
      </c>
    </row>
    <row r="17" spans="2:15" x14ac:dyDescent="0.3">
      <c r="B17" s="6">
        <v>2033</v>
      </c>
      <c r="C17" s="7" t="s">
        <v>25</v>
      </c>
      <c r="D17" s="7">
        <f>9*24*60</f>
        <v>12960</v>
      </c>
      <c r="E17" s="7">
        <v>40</v>
      </c>
      <c r="F17" s="7" cm="1">
        <f t="array" ref="F17">STOWA2024_JAARROND_T(D17,E17,B17,C17,"")</f>
        <v>7.2267876643892739E-2</v>
      </c>
      <c r="G17" s="13" cm="1">
        <f t="array" ref="G17">STOWA2024_JAARROND_V(D17,F17,B17,C17,"")</f>
        <v>40.000344603734725</v>
      </c>
      <c r="J17" s="6">
        <v>2033</v>
      </c>
      <c r="K17" s="7" t="s">
        <v>25</v>
      </c>
      <c r="L17" s="7">
        <f>9*24*60</f>
        <v>12960</v>
      </c>
      <c r="M17" s="7">
        <v>40</v>
      </c>
      <c r="N17" s="7" cm="1">
        <f t="array" ref="N17">STOWA2024_NDJF_T(L17,M17,J17,K17,"")</f>
        <v>0.16915369389963325</v>
      </c>
      <c r="O17" s="13" cm="1">
        <f t="array" ref="O17">STOWA2024_NDJF_V(L17,N17,J17,K17,"")</f>
        <v>40.000243358705234</v>
      </c>
    </row>
    <row r="18" spans="2:15" x14ac:dyDescent="0.3">
      <c r="B18" s="6">
        <v>2050</v>
      </c>
      <c r="C18" s="20" t="s">
        <v>31</v>
      </c>
      <c r="D18" s="7">
        <f>24*60</f>
        <v>1440</v>
      </c>
      <c r="E18" s="7">
        <v>40</v>
      </c>
      <c r="F18" s="7" cm="1">
        <f t="array" ref="F18">STOWA2024_JAARROND_T(D18,E18,B18,C18,"")</f>
        <v>1.000651027769659</v>
      </c>
      <c r="G18" s="13" cm="1">
        <f t="array" ref="G18">STOWA2024_JAARROND_V(D18,F18,B18,C18,"")</f>
        <v>39.999346696314234</v>
      </c>
      <c r="J18" s="6">
        <v>2050</v>
      </c>
      <c r="K18" s="20" t="s">
        <v>31</v>
      </c>
      <c r="L18" s="7">
        <f>24*60</f>
        <v>1440</v>
      </c>
      <c r="M18" s="7">
        <v>40</v>
      </c>
      <c r="N18" s="7" cm="1">
        <f t="array" ref="N18">STOWA2024_NDJF_T(L18,M18,J18,K18,"")</f>
        <v>5.5797778375479847</v>
      </c>
      <c r="O18" s="13" cm="1">
        <f t="array" ref="O18">STOWA2024_NDJF_V(L18,N18,J18,K18,"")</f>
        <v>39.999277554485772</v>
      </c>
    </row>
    <row r="19" spans="2:15" x14ac:dyDescent="0.3">
      <c r="B19" s="6">
        <v>2050</v>
      </c>
      <c r="C19" s="20" t="s">
        <v>31</v>
      </c>
      <c r="D19" s="7">
        <f>12*60</f>
        <v>720</v>
      </c>
      <c r="E19" s="7">
        <v>40</v>
      </c>
      <c r="F19" s="7" cm="1">
        <f t="array" ref="F19">STOWA2024_JAARROND_T(D19,E19,B19,C19,"")</f>
        <v>2.0630445928227261</v>
      </c>
      <c r="G19" s="13" cm="1">
        <f t="array" ref="G19">STOWA2024_JAARROND_V(D19,F19,B19,C19,"")</f>
        <v>39.999312471476337</v>
      </c>
      <c r="J19" s="6">
        <v>2050</v>
      </c>
      <c r="K19" s="20" t="s">
        <v>31</v>
      </c>
      <c r="L19" s="7">
        <f>12*60</f>
        <v>720</v>
      </c>
      <c r="M19" s="7">
        <v>40</v>
      </c>
      <c r="N19" s="7" cm="1">
        <f t="array" ref="N19">STOWA2024_NDJF_T(L19,M19,J19,K19,"")</f>
        <v>24.164218621502979</v>
      </c>
      <c r="O19" s="13" cm="1">
        <f t="array" ref="O19">STOWA2024_NDJF_V(L19,N19,J19,K19,"")</f>
        <v>40.000860600652416</v>
      </c>
    </row>
    <row r="20" spans="2:15" x14ac:dyDescent="0.3">
      <c r="B20" s="6">
        <v>2050</v>
      </c>
      <c r="C20" s="20" t="s">
        <v>31</v>
      </c>
      <c r="D20" s="7">
        <f>96*60</f>
        <v>5760</v>
      </c>
      <c r="E20" s="7">
        <v>160</v>
      </c>
      <c r="F20" s="7" cm="1">
        <f t="array" ref="F20">STOWA2024_JAARROND_T(D20,E20,B20,C20,"")</f>
        <v>413.55572948182356</v>
      </c>
      <c r="G20" s="13" cm="1">
        <f t="array" ref="G20">STOWA2024_JAARROND_V(D20,F20,B20,C20,"")</f>
        <v>159.99911431743115</v>
      </c>
      <c r="J20" s="6">
        <v>2050</v>
      </c>
      <c r="K20" s="20" t="s">
        <v>31</v>
      </c>
      <c r="L20" s="7">
        <f>96*60</f>
        <v>5760</v>
      </c>
      <c r="M20" s="7">
        <v>160</v>
      </c>
      <c r="N20" s="7" cm="1">
        <f t="array" ref="N20">STOWA2024_NDJF_T(L20,M20,J20,K20,"")</f>
        <v>4770.8045728905463</v>
      </c>
      <c r="O20" s="13" cm="1">
        <f t="array" ref="O20">STOWA2024_NDJF_V(L20,N20,J20,K20,"")</f>
        <v>159.99915470051516</v>
      </c>
    </row>
    <row r="21" spans="2:15" x14ac:dyDescent="0.3">
      <c r="B21" s="6">
        <v>2100</v>
      </c>
      <c r="C21" s="20" t="s">
        <v>31</v>
      </c>
      <c r="D21" s="7">
        <f>96*60</f>
        <v>5760</v>
      </c>
      <c r="E21" s="7">
        <v>160</v>
      </c>
      <c r="F21" s="7" cm="1">
        <f t="array" ref="F21">STOWA2024_JAARROND_T(D21,E21,B21,C21,"")</f>
        <v>230.26183001522406</v>
      </c>
      <c r="G21" s="13" cm="1">
        <f t="array" ref="G21">STOWA2024_JAARROND_V(D21,F21,B21,C21,"")</f>
        <v>159.99913475844221</v>
      </c>
      <c r="J21" s="6">
        <v>2100</v>
      </c>
      <c r="K21" s="20" t="s">
        <v>31</v>
      </c>
      <c r="L21" s="7">
        <f>96*60</f>
        <v>5760</v>
      </c>
      <c r="M21" s="7">
        <v>160</v>
      </c>
      <c r="N21" s="7" cm="1">
        <f t="array" ref="N21">STOWA2024_NDJF_T(L21,M21,J21,K21,"")</f>
        <v>1555.1746250851581</v>
      </c>
      <c r="O21" s="13" cm="1">
        <f t="array" ref="O21">STOWA2024_NDJF_V(L21,N21,J21,K21,"")</f>
        <v>159.99909555106191</v>
      </c>
    </row>
    <row r="22" spans="2:15" x14ac:dyDescent="0.3">
      <c r="B22" s="6">
        <v>2150</v>
      </c>
      <c r="C22" s="20" t="s">
        <v>31</v>
      </c>
      <c r="D22" s="7">
        <f>96*60</f>
        <v>5760</v>
      </c>
      <c r="E22" s="7">
        <v>160</v>
      </c>
      <c r="F22" s="7" cm="1">
        <f t="array" ref="F22">STOWA2024_JAARROND_T(D22,E22,B22,C22,"")</f>
        <v>166.85474400644065</v>
      </c>
      <c r="G22" s="13" cm="1">
        <f t="array" ref="G22">STOWA2024_JAARROND_V(D22,F22,B22,C22,"")</f>
        <v>159.99905629777561</v>
      </c>
      <c r="J22" s="6">
        <v>2150</v>
      </c>
      <c r="K22" s="20" t="s">
        <v>31</v>
      </c>
      <c r="L22" s="7">
        <f>96*60</f>
        <v>5760</v>
      </c>
      <c r="M22" s="7">
        <v>160</v>
      </c>
      <c r="N22" s="7" cm="1">
        <f t="array" ref="N22">STOWA2024_NDJF_T(L22,M22,J22,K22,"")</f>
        <v>867.59827362126111</v>
      </c>
      <c r="O22" s="13" cm="1">
        <f t="array" ref="O22">STOWA2024_NDJF_V(L22,N22,J22,K22,"")</f>
        <v>159.9990411907647</v>
      </c>
    </row>
    <row r="23" spans="2:15" x14ac:dyDescent="0.3">
      <c r="B23" s="6"/>
      <c r="C23" s="7"/>
      <c r="D23" s="7"/>
      <c r="E23" s="7"/>
      <c r="F23" s="7"/>
      <c r="G23" s="8"/>
      <c r="J23" s="6"/>
      <c r="K23" s="7"/>
      <c r="L23" s="7"/>
      <c r="M23" s="7"/>
      <c r="N23" s="7"/>
      <c r="O23" s="8"/>
    </row>
    <row r="24" spans="2:15" x14ac:dyDescent="0.3">
      <c r="B24" s="6"/>
      <c r="C24" s="7"/>
      <c r="D24" s="7"/>
      <c r="E24" s="7"/>
      <c r="F24" s="7"/>
      <c r="G24" s="8"/>
      <c r="J24" s="6"/>
      <c r="K24" s="7"/>
      <c r="L24" s="7"/>
      <c r="M24" s="7"/>
      <c r="N24" s="7"/>
      <c r="O24" s="8"/>
    </row>
    <row r="25" spans="2:15" x14ac:dyDescent="0.3">
      <c r="B25" s="6"/>
      <c r="C25" s="7"/>
      <c r="D25" s="7"/>
      <c r="E25" s="7"/>
      <c r="F25" s="7"/>
      <c r="G25" s="8"/>
      <c r="J25" s="6"/>
      <c r="K25" s="7"/>
      <c r="L25" s="7"/>
      <c r="M25" s="7"/>
      <c r="N25" s="7"/>
      <c r="O25" s="8"/>
    </row>
    <row r="26" spans="2:15" x14ac:dyDescent="0.3">
      <c r="B26" s="6"/>
      <c r="C26" s="7"/>
      <c r="D26" s="7"/>
      <c r="E26" s="7"/>
      <c r="F26" s="7"/>
      <c r="G26" s="8"/>
      <c r="J26" s="6"/>
      <c r="K26" s="7"/>
      <c r="L26" s="7"/>
      <c r="M26" s="7"/>
      <c r="N26" s="7"/>
      <c r="O26" s="8"/>
    </row>
    <row r="27" spans="2:15" x14ac:dyDescent="0.3">
      <c r="B27" s="9"/>
      <c r="C27" s="10"/>
      <c r="D27" s="10"/>
      <c r="E27" s="10"/>
      <c r="F27" s="10"/>
      <c r="G27" s="11"/>
      <c r="J27" s="9"/>
      <c r="K27" s="10"/>
      <c r="L27" s="10"/>
      <c r="M27" s="10"/>
      <c r="N27" s="10"/>
      <c r="O27" s="11"/>
    </row>
  </sheetData>
  <mergeCells count="3">
    <mergeCell ref="B12:G12"/>
    <mergeCell ref="J12:O12"/>
    <mergeCell ref="Q12:V12"/>
  </mergeCell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15</xdr:col>
                <xdr:colOff>586740</xdr:colOff>
                <xdr:row>12</xdr:row>
                <xdr:rowOff>99060</xdr:rowOff>
              </from>
              <to>
                <xdr:col>21</xdr:col>
                <xdr:colOff>601980</xdr:colOff>
                <xdr:row>15</xdr:row>
                <xdr:rowOff>121920</xdr:rowOff>
              </to>
            </anchor>
          </controlPr>
        </control>
      </mc:Choice>
      <mc:Fallback>
        <control shapeId="3073"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56"/>
  <sheetViews>
    <sheetView topLeftCell="A130" workbookViewId="0">
      <selection activeCell="G156" sqref="G156"/>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21875" customWidth="1"/>
    <col min="6" max="6" width="4.21875" bestFit="1" customWidth="1"/>
    <col min="7" max="7" width="8" customWidth="1"/>
    <col min="8" max="8" width="19.441406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22</v>
      </c>
      <c r="I1" t="s">
        <v>4</v>
      </c>
      <c r="J1" t="s">
        <v>13</v>
      </c>
      <c r="K1" t="s">
        <v>2</v>
      </c>
      <c r="L1" t="s">
        <v>3</v>
      </c>
    </row>
    <row r="2" spans="1:12" x14ac:dyDescent="0.3">
      <c r="A2">
        <v>24</v>
      </c>
      <c r="B2" s="1">
        <f>365.25*24/A2 - L2</f>
        <v>350.44718260727518</v>
      </c>
      <c r="C2">
        <f>B2</f>
        <v>350.44718260727518</v>
      </c>
      <c r="D2" t="s">
        <v>24</v>
      </c>
      <c r="E2" t="s">
        <v>21</v>
      </c>
      <c r="F2">
        <v>1</v>
      </c>
      <c r="G2">
        <v>10</v>
      </c>
      <c r="I2">
        <v>2014</v>
      </c>
      <c r="J2">
        <f>AVERAGE(G2:G4)</f>
        <v>15</v>
      </c>
      <c r="K2" cm="1">
        <f t="array" ref="K2">STOWA2024_JAARROND_T(A2*60,J2,I2,"","")</f>
        <v>6.7554707557999943E-2</v>
      </c>
      <c r="L2">
        <f>1/K2</f>
        <v>14.802817392724814</v>
      </c>
    </row>
    <row r="3" spans="1:12" x14ac:dyDescent="0.3">
      <c r="A3">
        <v>24</v>
      </c>
      <c r="B3">
        <f>L2-L3</f>
        <v>4.5305808327441799</v>
      </c>
      <c r="C3">
        <f t="shared" ref="C3:C156" si="0">B3</f>
        <v>4.5305808327441799</v>
      </c>
      <c r="D3" t="s">
        <v>24</v>
      </c>
      <c r="E3" t="s">
        <v>21</v>
      </c>
      <c r="F3">
        <v>1</v>
      </c>
      <c r="G3">
        <f t="shared" ref="G3:G7" si="1">G2+5</f>
        <v>15</v>
      </c>
      <c r="I3">
        <v>2014</v>
      </c>
      <c r="J3">
        <f t="shared" ref="J3:J7" si="2">AVERAGE(G3:G4)</f>
        <v>17.5</v>
      </c>
      <c r="K3" cm="1">
        <f t="array" ref="K3">STOWA2024_JAARROND_T(A3*60,J3,I3,"","")</f>
        <v>9.7349782996224654E-2</v>
      </c>
      <c r="L3">
        <f t="shared" ref="L3:L7" si="3">1/K3</f>
        <v>10.272236559980634</v>
      </c>
    </row>
    <row r="4" spans="1:12" x14ac:dyDescent="0.3">
      <c r="A4">
        <v>24</v>
      </c>
      <c r="B4">
        <f t="shared" ref="B3:B7" si="4">L3-L4</f>
        <v>5.0673260409223664</v>
      </c>
      <c r="C4">
        <f>B4</f>
        <v>5.0673260409223664</v>
      </c>
      <c r="D4" t="s">
        <v>24</v>
      </c>
      <c r="E4" t="s">
        <v>21</v>
      </c>
      <c r="F4">
        <v>1</v>
      </c>
      <c r="G4">
        <f t="shared" si="1"/>
        <v>20</v>
      </c>
      <c r="I4">
        <v>2014</v>
      </c>
      <c r="J4">
        <f t="shared" si="2"/>
        <v>22.5</v>
      </c>
      <c r="K4" cm="1">
        <f t="array" ref="K4">STOWA2024_JAARROND_T(A4*60,J4,I4,"","")</f>
        <v>0.19212626160207871</v>
      </c>
      <c r="L4">
        <f t="shared" si="3"/>
        <v>5.2049105190582674</v>
      </c>
    </row>
    <row r="5" spans="1:12" x14ac:dyDescent="0.3">
      <c r="A5">
        <v>24</v>
      </c>
      <c r="B5">
        <f t="shared" si="4"/>
        <v>2.4096553692327864</v>
      </c>
      <c r="C5">
        <f t="shared" si="0"/>
        <v>2.4096553692327864</v>
      </c>
      <c r="D5" t="s">
        <v>24</v>
      </c>
      <c r="E5" t="s">
        <v>21</v>
      </c>
      <c r="F5">
        <v>1</v>
      </c>
      <c r="G5">
        <f t="shared" si="1"/>
        <v>25</v>
      </c>
      <c r="I5">
        <v>2014</v>
      </c>
      <c r="J5">
        <f t="shared" si="2"/>
        <v>27.5</v>
      </c>
      <c r="K5" cm="1">
        <f t="array" ref="K5">STOWA2024_JAARROND_T(A5*60,J5,I5,"","")</f>
        <v>0.3577490949484286</v>
      </c>
      <c r="L5">
        <f t="shared" si="3"/>
        <v>2.795255149825481</v>
      </c>
    </row>
    <row r="6" spans="1:12" x14ac:dyDescent="0.3">
      <c r="A6">
        <v>24</v>
      </c>
      <c r="B6">
        <f t="shared" si="4"/>
        <v>1.2186913402979787</v>
      </c>
      <c r="C6">
        <f t="shared" si="0"/>
        <v>1.2186913402979787</v>
      </c>
      <c r="D6" t="s">
        <v>24</v>
      </c>
      <c r="E6" t="s">
        <v>21</v>
      </c>
      <c r="F6">
        <v>1</v>
      </c>
      <c r="G6">
        <f t="shared" si="1"/>
        <v>30</v>
      </c>
      <c r="I6">
        <v>2014</v>
      </c>
      <c r="J6">
        <f t="shared" si="2"/>
        <v>32.5</v>
      </c>
      <c r="K6" cm="1">
        <f t="array" ref="K6">STOWA2024_JAARROND_T(A6*60,J6,I6,"","")</f>
        <v>0.6342908507456485</v>
      </c>
      <c r="L6">
        <f t="shared" si="3"/>
        <v>1.5765638095275023</v>
      </c>
    </row>
    <row r="7" spans="1:12" x14ac:dyDescent="0.3">
      <c r="A7">
        <v>24</v>
      </c>
      <c r="B7">
        <f t="shared" si="4"/>
        <v>0.6492279072005247</v>
      </c>
      <c r="C7">
        <f t="shared" si="0"/>
        <v>0.6492279072005247</v>
      </c>
      <c r="D7" t="s">
        <v>24</v>
      </c>
      <c r="E7" t="s">
        <v>21</v>
      </c>
      <c r="F7">
        <v>1</v>
      </c>
      <c r="G7">
        <f t="shared" si="1"/>
        <v>35</v>
      </c>
      <c r="I7">
        <v>2014</v>
      </c>
      <c r="J7">
        <f t="shared" si="2"/>
        <v>37.5</v>
      </c>
      <c r="K7" cm="1">
        <f t="array" ref="K7">STOWA2024_JAARROND_T(A7*60,J7,I7,"","")</f>
        <v>1.0783579040676472</v>
      </c>
      <c r="L7">
        <f t="shared" si="3"/>
        <v>0.9273359023269776</v>
      </c>
    </row>
    <row r="8" spans="1:12" x14ac:dyDescent="0.3">
      <c r="A8">
        <v>24</v>
      </c>
      <c r="B8">
        <f>L7-L8</f>
        <v>0.36188627013527064</v>
      </c>
      <c r="C8">
        <f t="shared" si="0"/>
        <v>0.36188627013527064</v>
      </c>
      <c r="D8" t="s">
        <v>24</v>
      </c>
      <c r="E8" t="s">
        <v>21</v>
      </c>
      <c r="F8">
        <v>1</v>
      </c>
      <c r="G8">
        <f>G7+5</f>
        <v>40</v>
      </c>
      <c r="I8">
        <v>2014</v>
      </c>
      <c r="J8">
        <f>AVERAGE(G8:G9)</f>
        <v>42.5</v>
      </c>
      <c r="K8" cm="1">
        <f t="array" ref="K8">STOWA2024_JAARROND_T(A8*60,J8,I8,"","")</f>
        <v>1.7685041126014305</v>
      </c>
      <c r="L8">
        <f>1/K8</f>
        <v>0.56544963219170696</v>
      </c>
    </row>
    <row r="9" spans="1:12" x14ac:dyDescent="0.3">
      <c r="A9">
        <v>24</v>
      </c>
      <c r="B9">
        <f t="shared" ref="B9:B31" si="5">L8-L9</f>
        <v>0.2096154332648848</v>
      </c>
      <c r="C9">
        <f t="shared" si="0"/>
        <v>0.2096154332648848</v>
      </c>
      <c r="D9" t="s">
        <v>24</v>
      </c>
      <c r="E9" t="s">
        <v>21</v>
      </c>
      <c r="F9">
        <v>1</v>
      </c>
      <c r="G9">
        <f t="shared" ref="G9:G31" si="6">G8+5</f>
        <v>45</v>
      </c>
      <c r="I9">
        <v>2014</v>
      </c>
      <c r="J9">
        <f t="shared" ref="J9:J31" si="7">AVERAGE(G9:G10)</f>
        <v>47.5</v>
      </c>
      <c r="K9" cm="1">
        <f t="array" ref="K9">STOWA2024_JAARROND_T(A9*60,J9,I9,"","")</f>
        <v>2.8102976133714779</v>
      </c>
      <c r="L9">
        <f t="shared" ref="L9:L31" si="8">1/K9</f>
        <v>0.35583419892682217</v>
      </c>
    </row>
    <row r="10" spans="1:12" x14ac:dyDescent="0.3">
      <c r="A10">
        <v>24</v>
      </c>
      <c r="B10">
        <f t="shared" si="5"/>
        <v>0.12560813774259752</v>
      </c>
      <c r="C10">
        <f t="shared" si="0"/>
        <v>0.12560813774259752</v>
      </c>
      <c r="D10" t="s">
        <v>24</v>
      </c>
      <c r="E10" t="s">
        <v>21</v>
      </c>
      <c r="F10">
        <v>1</v>
      </c>
      <c r="G10">
        <f t="shared" si="6"/>
        <v>50</v>
      </c>
      <c r="I10">
        <v>2014</v>
      </c>
      <c r="J10">
        <f t="shared" si="7"/>
        <v>52.5</v>
      </c>
      <c r="K10" cm="1">
        <f t="array" ref="K10">STOWA2024_JAARROND_T(A10*60,J10,I10,"","")</f>
        <v>4.3435569146961592</v>
      </c>
      <c r="L10">
        <f t="shared" si="8"/>
        <v>0.23022606118422465</v>
      </c>
    </row>
    <row r="11" spans="1:12" x14ac:dyDescent="0.3">
      <c r="A11">
        <v>24</v>
      </c>
      <c r="B11">
        <f t="shared" si="5"/>
        <v>7.7558203292288325E-2</v>
      </c>
      <c r="C11">
        <f t="shared" si="0"/>
        <v>7.7558203292288325E-2</v>
      </c>
      <c r="D11" t="s">
        <v>24</v>
      </c>
      <c r="E11" t="s">
        <v>21</v>
      </c>
      <c r="F11">
        <v>1</v>
      </c>
      <c r="G11">
        <f t="shared" si="6"/>
        <v>55</v>
      </c>
      <c r="I11">
        <v>2014</v>
      </c>
      <c r="J11">
        <f t="shared" si="7"/>
        <v>57.5</v>
      </c>
      <c r="K11" cm="1">
        <f t="array" ref="K11">STOWA2024_JAARROND_T(A11*60,J11,I11,"","")</f>
        <v>6.5501672310607457</v>
      </c>
      <c r="L11">
        <f t="shared" si="8"/>
        <v>0.15266785789193632</v>
      </c>
    </row>
    <row r="12" spans="1:12" x14ac:dyDescent="0.3">
      <c r="A12">
        <v>24</v>
      </c>
      <c r="B12">
        <f t="shared" si="5"/>
        <v>4.9179775613164681E-2</v>
      </c>
      <c r="C12">
        <f t="shared" si="0"/>
        <v>4.9179775613164681E-2</v>
      </c>
      <c r="D12" t="s">
        <v>24</v>
      </c>
      <c r="E12" t="s">
        <v>21</v>
      </c>
      <c r="F12">
        <v>1</v>
      </c>
      <c r="G12">
        <f t="shared" si="6"/>
        <v>60</v>
      </c>
      <c r="I12">
        <v>2014</v>
      </c>
      <c r="J12">
        <f t="shared" si="7"/>
        <v>62.5</v>
      </c>
      <c r="K12" cm="1">
        <f t="array" ref="K12">STOWA2024_JAARROND_T(A12*60,J12,I12,"","")</f>
        <v>9.6629484089408866</v>
      </c>
      <c r="L12">
        <f t="shared" si="8"/>
        <v>0.10348808227877164</v>
      </c>
    </row>
    <row r="13" spans="1:12" x14ac:dyDescent="0.3">
      <c r="A13">
        <v>24</v>
      </c>
      <c r="B13">
        <f t="shared" si="5"/>
        <v>3.1939352112677219E-2</v>
      </c>
      <c r="C13">
        <f t="shared" si="0"/>
        <v>3.1939352112677219E-2</v>
      </c>
      <c r="D13" t="s">
        <v>24</v>
      </c>
      <c r="E13" t="s">
        <v>21</v>
      </c>
      <c r="F13">
        <v>1</v>
      </c>
      <c r="G13">
        <f t="shared" si="6"/>
        <v>65</v>
      </c>
      <c r="I13">
        <v>2014</v>
      </c>
      <c r="J13">
        <f t="shared" si="7"/>
        <v>67.5</v>
      </c>
      <c r="K13" cm="1">
        <f t="array" ref="K13">STOWA2024_JAARROND_T(A13*60,J13,I13,"","")</f>
        <v>13.976488439118112</v>
      </c>
      <c r="L13">
        <f t="shared" si="8"/>
        <v>7.1548730166094421E-2</v>
      </c>
    </row>
    <row r="14" spans="1:12" x14ac:dyDescent="0.3">
      <c r="A14">
        <v>24</v>
      </c>
      <c r="B14">
        <f t="shared" si="5"/>
        <v>2.1190637922994526E-2</v>
      </c>
      <c r="C14">
        <f t="shared" si="0"/>
        <v>2.1190637922994526E-2</v>
      </c>
      <c r="D14" t="s">
        <v>24</v>
      </c>
      <c r="E14" t="s">
        <v>21</v>
      </c>
      <c r="F14">
        <v>1</v>
      </c>
      <c r="G14">
        <f t="shared" si="6"/>
        <v>70</v>
      </c>
      <c r="I14">
        <v>2014</v>
      </c>
      <c r="J14">
        <f t="shared" si="7"/>
        <v>72.5</v>
      </c>
      <c r="K14" cm="1">
        <f t="array" ref="K14">STOWA2024_JAARROND_T(A14*60,J14,I14,"","")</f>
        <v>19.857781648529802</v>
      </c>
      <c r="L14">
        <f t="shared" si="8"/>
        <v>5.0358092243099895E-2</v>
      </c>
    </row>
    <row r="15" spans="1:12" x14ac:dyDescent="0.3">
      <c r="A15">
        <v>24</v>
      </c>
      <c r="B15">
        <f t="shared" si="5"/>
        <v>1.4336502910128675E-2</v>
      </c>
      <c r="C15">
        <f t="shared" si="0"/>
        <v>1.4336502910128675E-2</v>
      </c>
      <c r="D15" t="s">
        <v>24</v>
      </c>
      <c r="E15" t="s">
        <v>21</v>
      </c>
      <c r="F15">
        <v>1</v>
      </c>
      <c r="G15">
        <f t="shared" si="6"/>
        <v>75</v>
      </c>
      <c r="I15">
        <v>2014</v>
      </c>
      <c r="J15">
        <f t="shared" si="7"/>
        <v>77.5</v>
      </c>
      <c r="K15" cm="1">
        <f t="array" ref="K15">STOWA2024_JAARROND_T(A15*60,J15,I15,"","")</f>
        <v>27.76112932598123</v>
      </c>
      <c r="L15">
        <f t="shared" si="8"/>
        <v>3.602158933297122E-2</v>
      </c>
    </row>
    <row r="16" spans="1:12" x14ac:dyDescent="0.3">
      <c r="A16">
        <v>24</v>
      </c>
      <c r="B16">
        <f t="shared" si="5"/>
        <v>9.8717915732990068E-3</v>
      </c>
      <c r="C16">
        <f t="shared" si="0"/>
        <v>9.8717915732990068E-3</v>
      </c>
      <c r="D16" t="s">
        <v>24</v>
      </c>
      <c r="E16" t="s">
        <v>21</v>
      </c>
      <c r="F16">
        <v>1</v>
      </c>
      <c r="G16">
        <f t="shared" si="6"/>
        <v>80</v>
      </c>
      <c r="I16">
        <v>2014</v>
      </c>
      <c r="J16">
        <f t="shared" si="7"/>
        <v>82.5</v>
      </c>
      <c r="K16" cm="1">
        <f t="array" ref="K16">STOWA2024_JAARROND_T(A16*60,J16,I16,"","")</f>
        <v>38.241213534055838</v>
      </c>
      <c r="L16">
        <f t="shared" si="8"/>
        <v>2.6149797759672213E-2</v>
      </c>
    </row>
    <row r="17" spans="1:12" x14ac:dyDescent="0.3">
      <c r="A17">
        <v>24</v>
      </c>
      <c r="B17">
        <f t="shared" si="5"/>
        <v>6.9078766837385869E-3</v>
      </c>
      <c r="C17">
        <f t="shared" si="0"/>
        <v>6.9078766837385869E-3</v>
      </c>
      <c r="D17" t="s">
        <v>24</v>
      </c>
      <c r="E17" t="s">
        <v>21</v>
      </c>
      <c r="F17">
        <v>1</v>
      </c>
      <c r="G17">
        <f t="shared" si="6"/>
        <v>85</v>
      </c>
      <c r="I17">
        <v>2014</v>
      </c>
      <c r="J17">
        <f t="shared" si="7"/>
        <v>87.5</v>
      </c>
      <c r="K17" cm="1">
        <f t="array" ref="K17">STOWA2024_JAARROND_T(A17*60,J17,I17,"","")</f>
        <v>51.969862887065169</v>
      </c>
      <c r="L17">
        <f t="shared" si="8"/>
        <v>1.9241921075933626E-2</v>
      </c>
    </row>
    <row r="18" spans="1:12" x14ac:dyDescent="0.3">
      <c r="A18">
        <v>24</v>
      </c>
      <c r="B18">
        <f t="shared" si="5"/>
        <v>4.9062085412348057E-3</v>
      </c>
      <c r="C18">
        <f t="shared" si="0"/>
        <v>4.9062085412348057E-3</v>
      </c>
      <c r="D18" t="s">
        <v>24</v>
      </c>
      <c r="E18" t="s">
        <v>21</v>
      </c>
      <c r="F18">
        <v>1</v>
      </c>
      <c r="G18">
        <f t="shared" si="6"/>
        <v>90</v>
      </c>
      <c r="I18">
        <v>2014</v>
      </c>
      <c r="J18">
        <f t="shared" si="7"/>
        <v>92.5</v>
      </c>
      <c r="K18" cm="1">
        <f t="array" ref="K18">STOWA2024_JAARROND_T(A18*60,J18,I18,"","")</f>
        <v>69.755863029448577</v>
      </c>
      <c r="L18">
        <f t="shared" si="8"/>
        <v>1.433571253469882E-2</v>
      </c>
    </row>
    <row r="19" spans="1:12" x14ac:dyDescent="0.3">
      <c r="A19">
        <v>24</v>
      </c>
      <c r="B19">
        <f t="shared" si="5"/>
        <v>3.5321025055577073E-3</v>
      </c>
      <c r="C19">
        <f t="shared" si="0"/>
        <v>3.5321025055577073E-3</v>
      </c>
      <c r="D19" t="s">
        <v>24</v>
      </c>
      <c r="E19" t="s">
        <v>21</v>
      </c>
      <c r="F19">
        <v>1</v>
      </c>
      <c r="G19">
        <f t="shared" si="6"/>
        <v>95</v>
      </c>
      <c r="I19">
        <v>2014</v>
      </c>
      <c r="J19">
        <f t="shared" si="7"/>
        <v>97.5</v>
      </c>
      <c r="K19" cm="1">
        <f t="array" ref="K19">STOWA2024_JAARROND_T(A19*60,J19,I19,"","")</f>
        <v>92.56165275335286</v>
      </c>
      <c r="L19">
        <f t="shared" si="8"/>
        <v>1.0803610029141113E-2</v>
      </c>
    </row>
    <row r="20" spans="1:12" x14ac:dyDescent="0.3">
      <c r="A20">
        <v>24</v>
      </c>
      <c r="B20">
        <f t="shared" si="5"/>
        <v>2.5751118827855718E-3</v>
      </c>
      <c r="C20">
        <f t="shared" si="0"/>
        <v>2.5751118827855718E-3</v>
      </c>
      <c r="D20" t="s">
        <v>24</v>
      </c>
      <c r="E20" t="s">
        <v>21</v>
      </c>
      <c r="F20">
        <v>1</v>
      </c>
      <c r="G20">
        <f t="shared" si="6"/>
        <v>100</v>
      </c>
      <c r="I20">
        <v>2014</v>
      </c>
      <c r="J20">
        <f t="shared" si="7"/>
        <v>102.5</v>
      </c>
      <c r="K20" cm="1">
        <f t="array" ref="K20">STOWA2024_JAARROND_T(A20*60,J20,I20,"","")</f>
        <v>121.52886009251968</v>
      </c>
      <c r="L20">
        <f t="shared" si="8"/>
        <v>8.2284981463555413E-3</v>
      </c>
    </row>
    <row r="21" spans="1:12" x14ac:dyDescent="0.3">
      <c r="A21">
        <v>24</v>
      </c>
      <c r="B21">
        <f t="shared" si="5"/>
        <v>1.8993986003384136E-3</v>
      </c>
      <c r="C21">
        <f t="shared" si="0"/>
        <v>1.8993986003384136E-3</v>
      </c>
      <c r="D21" t="s">
        <v>24</v>
      </c>
      <c r="E21" t="s">
        <v>21</v>
      </c>
      <c r="F21">
        <v>1</v>
      </c>
      <c r="G21">
        <f t="shared" si="6"/>
        <v>105</v>
      </c>
      <c r="I21">
        <v>2014</v>
      </c>
      <c r="J21">
        <f t="shared" si="7"/>
        <v>107.5</v>
      </c>
      <c r="K21" cm="1">
        <f t="array" ref="K21">STOWA2024_JAARROND_T(A21*60,J21,I21,"","")</f>
        <v>158.00035893404382</v>
      </c>
      <c r="L21">
        <f t="shared" si="8"/>
        <v>6.3290995460171277E-3</v>
      </c>
    </row>
    <row r="22" spans="1:12" x14ac:dyDescent="0.3">
      <c r="A22">
        <v>24</v>
      </c>
      <c r="B22">
        <f t="shared" si="5"/>
        <v>1.41626514000879E-3</v>
      </c>
      <c r="C22">
        <f t="shared" si="0"/>
        <v>1.41626514000879E-3</v>
      </c>
      <c r="D22" t="s">
        <v>24</v>
      </c>
      <c r="E22" t="s">
        <v>21</v>
      </c>
      <c r="F22">
        <v>1</v>
      </c>
      <c r="G22">
        <f t="shared" si="6"/>
        <v>110</v>
      </c>
      <c r="I22">
        <v>2014</v>
      </c>
      <c r="J22">
        <f t="shared" si="7"/>
        <v>112.5</v>
      </c>
      <c r="K22" cm="1">
        <f t="array" ref="K22">STOWA2024_JAARROND_T(A22*60,J22,I22,"","")</f>
        <v>203.5484849188102</v>
      </c>
      <c r="L22">
        <f t="shared" si="8"/>
        <v>4.9128344060083377E-3</v>
      </c>
    </row>
    <row r="23" spans="1:12" x14ac:dyDescent="0.3">
      <c r="A23">
        <v>24</v>
      </c>
      <c r="B23">
        <f t="shared" si="5"/>
        <v>1.0666494825457328E-3</v>
      </c>
      <c r="C23">
        <f t="shared" si="0"/>
        <v>1.0666494825457328E-3</v>
      </c>
      <c r="D23" t="s">
        <v>24</v>
      </c>
      <c r="E23" t="s">
        <v>21</v>
      </c>
      <c r="F23">
        <v>1</v>
      </c>
      <c r="G23">
        <f t="shared" si="6"/>
        <v>115</v>
      </c>
      <c r="I23">
        <v>2014</v>
      </c>
      <c r="J23">
        <f t="shared" si="7"/>
        <v>117.5</v>
      </c>
      <c r="K23" cm="1">
        <f t="array" ref="K23">STOWA2024_JAARROND_T(A23*60,J23,I23,"","")</f>
        <v>259.99789919090267</v>
      </c>
      <c r="L23">
        <f t="shared" si="8"/>
        <v>3.8461849234626049E-3</v>
      </c>
    </row>
    <row r="24" spans="1:12" x14ac:dyDescent="0.3">
      <c r="A24">
        <v>24</v>
      </c>
      <c r="B24">
        <f t="shared" si="5"/>
        <v>8.1095668620019285E-4</v>
      </c>
      <c r="C24">
        <f t="shared" si="0"/>
        <v>8.1095668620019285E-4</v>
      </c>
      <c r="D24" t="s">
        <v>24</v>
      </c>
      <c r="E24" t="s">
        <v>21</v>
      </c>
      <c r="F24">
        <v>1</v>
      </c>
      <c r="G24">
        <f t="shared" si="6"/>
        <v>120</v>
      </c>
      <c r="I24">
        <v>2014</v>
      </c>
      <c r="J24">
        <f t="shared" si="7"/>
        <v>122.5</v>
      </c>
      <c r="K24" cm="1">
        <f t="array" ref="K24">STOWA2024_JAARROND_T(A24*60,J24,I24,"","")</f>
        <v>329.46451529521158</v>
      </c>
      <c r="L24">
        <f t="shared" si="8"/>
        <v>3.035228237262412E-3</v>
      </c>
    </row>
    <row r="25" spans="1:12" x14ac:dyDescent="0.3">
      <c r="A25">
        <v>24</v>
      </c>
      <c r="B25">
        <f t="shared" si="5"/>
        <v>6.2199121644724437E-4</v>
      </c>
      <c r="C25">
        <f t="shared" si="0"/>
        <v>6.2199121644724437E-4</v>
      </c>
      <c r="D25" t="s">
        <v>24</v>
      </c>
      <c r="E25" t="s">
        <v>21</v>
      </c>
      <c r="F25">
        <v>1</v>
      </c>
      <c r="G25">
        <f t="shared" si="6"/>
        <v>125</v>
      </c>
      <c r="I25">
        <v>2014</v>
      </c>
      <c r="J25">
        <f t="shared" si="7"/>
        <v>127.5</v>
      </c>
      <c r="K25" cm="1">
        <f t="array" ref="K25">STOWA2024_JAARROND_T(A25*60,J25,I25,"","")</f>
        <v>414.38117821605846</v>
      </c>
      <c r="L25">
        <f t="shared" si="8"/>
        <v>2.4132370208151677E-3</v>
      </c>
    </row>
    <row r="26" spans="1:12" x14ac:dyDescent="0.3">
      <c r="A26">
        <v>24</v>
      </c>
      <c r="B26">
        <f t="shared" si="5"/>
        <v>4.8103836630872146E-4</v>
      </c>
      <c r="C26">
        <f t="shared" si="0"/>
        <v>4.8103836630872146E-4</v>
      </c>
      <c r="D26" t="s">
        <v>24</v>
      </c>
      <c r="E26" t="s">
        <v>21</v>
      </c>
      <c r="F26">
        <v>1</v>
      </c>
      <c r="G26">
        <f t="shared" si="6"/>
        <v>130</v>
      </c>
      <c r="I26">
        <v>2014</v>
      </c>
      <c r="J26">
        <f t="shared" si="7"/>
        <v>132.5</v>
      </c>
      <c r="K26" cm="1">
        <f t="array" ref="K26">STOWA2024_JAARROND_T(A26*60,J26,I26,"","")</f>
        <v>517.54512801657881</v>
      </c>
      <c r="L26">
        <f t="shared" si="8"/>
        <v>1.9321986545064462E-3</v>
      </c>
    </row>
    <row r="27" spans="1:12" x14ac:dyDescent="0.3">
      <c r="A27">
        <v>24</v>
      </c>
      <c r="B27">
        <f t="shared" si="5"/>
        <v>3.7491077714890556E-4</v>
      </c>
      <c r="C27">
        <f t="shared" si="0"/>
        <v>3.7491077714890556E-4</v>
      </c>
      <c r="D27" t="s">
        <v>24</v>
      </c>
      <c r="E27" t="s">
        <v>21</v>
      </c>
      <c r="F27">
        <v>1</v>
      </c>
      <c r="G27">
        <f t="shared" si="6"/>
        <v>135</v>
      </c>
      <c r="I27">
        <v>2014</v>
      </c>
      <c r="J27">
        <f t="shared" si="7"/>
        <v>137.5</v>
      </c>
      <c r="K27" cm="1">
        <f t="array" ref="K27">STOWA2024_JAARROND_T(A27*60,J27,I27,"","")</f>
        <v>642.1420307315525</v>
      </c>
      <c r="L27">
        <f t="shared" si="8"/>
        <v>1.5572878773575406E-3</v>
      </c>
    </row>
    <row r="28" spans="1:12" x14ac:dyDescent="0.3">
      <c r="A28">
        <v>24</v>
      </c>
      <c r="B28">
        <f t="shared" si="5"/>
        <v>2.9433776686564129E-4</v>
      </c>
      <c r="C28">
        <f t="shared" si="0"/>
        <v>2.9433776686564129E-4</v>
      </c>
      <c r="D28" t="s">
        <v>24</v>
      </c>
      <c r="E28" t="s">
        <v>21</v>
      </c>
      <c r="F28">
        <v>1</v>
      </c>
      <c r="G28">
        <f t="shared" si="6"/>
        <v>140</v>
      </c>
      <c r="I28">
        <v>2014</v>
      </c>
      <c r="J28">
        <f t="shared" si="7"/>
        <v>142.5</v>
      </c>
      <c r="K28" cm="1">
        <f t="array" ref="K28">STOWA2024_JAARROND_T(A28*60,J28,I28,"","")</f>
        <v>791.79691398143643</v>
      </c>
      <c r="L28">
        <f t="shared" si="8"/>
        <v>1.2629501104918994E-3</v>
      </c>
    </row>
    <row r="29" spans="1:12" x14ac:dyDescent="0.3">
      <c r="A29">
        <v>24</v>
      </c>
      <c r="B29">
        <f t="shared" si="5"/>
        <v>2.3267699378517418E-4</v>
      </c>
      <c r="C29">
        <f t="shared" si="0"/>
        <v>2.3267699378517418E-4</v>
      </c>
      <c r="D29" t="s">
        <v>24</v>
      </c>
      <c r="E29" t="s">
        <v>21</v>
      </c>
      <c r="F29">
        <v>1</v>
      </c>
      <c r="G29">
        <f t="shared" si="6"/>
        <v>145</v>
      </c>
      <c r="I29">
        <v>2014</v>
      </c>
      <c r="J29">
        <f t="shared" si="7"/>
        <v>147.5</v>
      </c>
      <c r="K29" cm="1">
        <f t="array" ref="K29">STOWA2024_JAARROND_T(A29*60,J29,I29,"","")</f>
        <v>970.61641596211564</v>
      </c>
      <c r="L29">
        <f t="shared" si="8"/>
        <v>1.0302731167067252E-3</v>
      </c>
    </row>
    <row r="30" spans="1:12" x14ac:dyDescent="0.3">
      <c r="A30">
        <v>24</v>
      </c>
      <c r="B30">
        <f t="shared" si="5"/>
        <v>1.8513341511307779E-4</v>
      </c>
      <c r="C30">
        <f t="shared" si="0"/>
        <v>1.8513341511307779E-4</v>
      </c>
      <c r="D30" t="s">
        <v>24</v>
      </c>
      <c r="E30" t="s">
        <v>21</v>
      </c>
      <c r="F30">
        <v>1</v>
      </c>
      <c r="G30">
        <f t="shared" si="6"/>
        <v>150</v>
      </c>
      <c r="I30">
        <v>2014</v>
      </c>
      <c r="J30">
        <f t="shared" si="7"/>
        <v>152.5</v>
      </c>
      <c r="K30" cm="1">
        <f t="array" ref="K30">STOWA2024_JAARROND_T(A30*60,J30,I30,"","")</f>
        <v>1183.2363313595829</v>
      </c>
      <c r="L30">
        <f t="shared" si="8"/>
        <v>8.451397015936474E-4</v>
      </c>
    </row>
    <row r="31" spans="1:12" x14ac:dyDescent="0.3">
      <c r="A31">
        <v>24</v>
      </c>
      <c r="B31">
        <f t="shared" si="5"/>
        <v>1.4821007818649988E-4</v>
      </c>
      <c r="C31">
        <f t="shared" si="0"/>
        <v>1.4821007818649988E-4</v>
      </c>
      <c r="D31" t="s">
        <v>24</v>
      </c>
      <c r="E31" t="s">
        <v>21</v>
      </c>
      <c r="F31">
        <v>1</v>
      </c>
      <c r="G31">
        <f t="shared" si="6"/>
        <v>155</v>
      </c>
      <c r="I31">
        <v>2014</v>
      </c>
      <c r="J31">
        <f t="shared" si="7"/>
        <v>157.5</v>
      </c>
      <c r="K31" cm="1">
        <f t="array" ref="K31">STOWA2024_JAARROND_T(A31*60,J31,I31,"","")</f>
        <v>1434.8651089204716</v>
      </c>
      <c r="L31">
        <f t="shared" si="8"/>
        <v>6.9692962340714751E-4</v>
      </c>
    </row>
    <row r="32" spans="1:12" x14ac:dyDescent="0.3">
      <c r="A32">
        <v>24</v>
      </c>
      <c r="B32" s="1">
        <f>L31</f>
        <v>6.9692962340714751E-4</v>
      </c>
      <c r="C32">
        <f t="shared" si="0"/>
        <v>6.9692962340714751E-4</v>
      </c>
      <c r="D32" t="s">
        <v>24</v>
      </c>
      <c r="E32" t="s">
        <v>21</v>
      </c>
      <c r="F32">
        <v>1</v>
      </c>
      <c r="G32">
        <f t="shared" ref="G32" si="9">G31+5</f>
        <v>160</v>
      </c>
      <c r="I32">
        <v>2014</v>
      </c>
      <c r="J32">
        <f>AVERAGE(G32:G33)</f>
        <v>85</v>
      </c>
      <c r="K32" cm="1">
        <f t="array" ref="K32">STOWA2024_JAARROND_T(A32*60,J32,I32,"","")</f>
        <v>44.652552453119853</v>
      </c>
      <c r="L32">
        <f>1/K32</f>
        <v>2.2395136337388266E-2</v>
      </c>
    </row>
    <row r="33" spans="1:12" x14ac:dyDescent="0.3">
      <c r="A33">
        <v>48</v>
      </c>
      <c r="B33" s="1">
        <f>365.25*24/A33 - L33</f>
        <v>156.48213627818046</v>
      </c>
      <c r="C33">
        <f>B33</f>
        <v>156.48213627818046</v>
      </c>
      <c r="D33" t="s">
        <v>24</v>
      </c>
      <c r="E33" t="s">
        <v>21</v>
      </c>
      <c r="F33">
        <v>1</v>
      </c>
      <c r="G33">
        <v>10</v>
      </c>
      <c r="I33">
        <v>2014</v>
      </c>
      <c r="J33">
        <f>AVERAGE(G33:G35)</f>
        <v>15</v>
      </c>
      <c r="K33" cm="1">
        <f t="array" ref="K33">STOWA2024_JAARROND_T(A33*60,J33,I33,"","")</f>
        <v>3.8251356494100275E-2</v>
      </c>
      <c r="L33">
        <f>1/K33</f>
        <v>26.142863721819531</v>
      </c>
    </row>
    <row r="34" spans="1:12" x14ac:dyDescent="0.3">
      <c r="A34">
        <v>48</v>
      </c>
      <c r="B34">
        <f t="shared" ref="B34:B38" si="10">L33-L34</f>
        <v>6.9045458498143297</v>
      </c>
      <c r="C34">
        <f t="shared" si="0"/>
        <v>6.9045458498143297</v>
      </c>
      <c r="D34" t="s">
        <v>24</v>
      </c>
      <c r="E34" t="s">
        <v>21</v>
      </c>
      <c r="F34">
        <v>1</v>
      </c>
      <c r="G34">
        <f t="shared" ref="G34:G38" si="11">G33+5</f>
        <v>15</v>
      </c>
      <c r="I34">
        <v>2014</v>
      </c>
      <c r="J34">
        <f t="shared" ref="J34:J38" si="12">AVERAGE(G34:G35)</f>
        <v>17.5</v>
      </c>
      <c r="K34" cm="1">
        <f t="array" ref="K34">STOWA2024_JAARROND_T(A34*60,J34,I34,"","")</f>
        <v>5.1979596483077053E-2</v>
      </c>
      <c r="L34">
        <f t="shared" ref="L34:L38" si="13">1/K34</f>
        <v>19.238317872005201</v>
      </c>
    </row>
    <row r="35" spans="1:12" x14ac:dyDescent="0.3">
      <c r="A35">
        <v>48</v>
      </c>
      <c r="B35">
        <f t="shared" si="10"/>
        <v>8.5344289243083544</v>
      </c>
      <c r="C35">
        <f t="shared" si="0"/>
        <v>8.5344289243083544</v>
      </c>
      <c r="D35" t="s">
        <v>24</v>
      </c>
      <c r="E35" t="s">
        <v>21</v>
      </c>
      <c r="F35">
        <v>1</v>
      </c>
      <c r="G35">
        <f t="shared" si="11"/>
        <v>20</v>
      </c>
      <c r="I35">
        <v>2014</v>
      </c>
      <c r="J35">
        <f t="shared" si="12"/>
        <v>22.5</v>
      </c>
      <c r="K35" cm="1">
        <f t="array" ref="K35">STOWA2024_JAARROND_T(A35*60,J35,I35,"","")</f>
        <v>9.3423988691060722E-2</v>
      </c>
      <c r="L35">
        <f t="shared" si="13"/>
        <v>10.703888947696846</v>
      </c>
    </row>
    <row r="36" spans="1:12" x14ac:dyDescent="0.3">
      <c r="A36">
        <v>48</v>
      </c>
      <c r="B36">
        <f t="shared" si="10"/>
        <v>4.5501153624021571</v>
      </c>
      <c r="C36">
        <f t="shared" si="0"/>
        <v>4.5501153624021571</v>
      </c>
      <c r="D36" t="s">
        <v>24</v>
      </c>
      <c r="E36" t="s">
        <v>21</v>
      </c>
      <c r="F36">
        <v>1</v>
      </c>
      <c r="G36">
        <f t="shared" si="11"/>
        <v>25</v>
      </c>
      <c r="I36">
        <v>2014</v>
      </c>
      <c r="J36">
        <f t="shared" si="12"/>
        <v>27.5</v>
      </c>
      <c r="K36" cm="1">
        <f t="array" ref="K36">STOWA2024_JAARROND_T(A36*60,J36,I36,"","")</f>
        <v>0.16250191628590971</v>
      </c>
      <c r="L36">
        <f t="shared" si="13"/>
        <v>6.1537735852946893</v>
      </c>
    </row>
    <row r="37" spans="1:12" x14ac:dyDescent="0.3">
      <c r="A37">
        <v>48</v>
      </c>
      <c r="B37">
        <f t="shared" si="10"/>
        <v>2.510762477570633</v>
      </c>
      <c r="C37">
        <f t="shared" si="0"/>
        <v>2.510762477570633</v>
      </c>
      <c r="D37" t="s">
        <v>24</v>
      </c>
      <c r="E37" t="s">
        <v>21</v>
      </c>
      <c r="F37">
        <v>1</v>
      </c>
      <c r="G37">
        <f t="shared" si="11"/>
        <v>30</v>
      </c>
      <c r="I37">
        <v>2014</v>
      </c>
      <c r="J37">
        <f t="shared" si="12"/>
        <v>32.5</v>
      </c>
      <c r="K37" cm="1">
        <f t="array" ref="K37">STOWA2024_JAARROND_T(A37*60,J37,I37,"","")</f>
        <v>0.27449820229198874</v>
      </c>
      <c r="L37">
        <f t="shared" si="13"/>
        <v>3.6430111077240563</v>
      </c>
    </row>
    <row r="38" spans="1:12" x14ac:dyDescent="0.3">
      <c r="A38">
        <v>48</v>
      </c>
      <c r="B38">
        <f t="shared" si="10"/>
        <v>1.4287395510462244</v>
      </c>
      <c r="C38">
        <f t="shared" si="0"/>
        <v>1.4287395510462244</v>
      </c>
      <c r="D38" t="s">
        <v>24</v>
      </c>
      <c r="E38" t="s">
        <v>21</v>
      </c>
      <c r="F38">
        <v>1</v>
      </c>
      <c r="G38">
        <f t="shared" si="11"/>
        <v>35</v>
      </c>
      <c r="I38">
        <v>2014</v>
      </c>
      <c r="J38">
        <f t="shared" si="12"/>
        <v>37.5</v>
      </c>
      <c r="K38" cm="1">
        <f t="array" ref="K38">STOWA2024_JAARROND_T(A38*60,J38,I38,"","")</f>
        <v>0.45161579074806146</v>
      </c>
      <c r="L38">
        <f t="shared" si="13"/>
        <v>2.2142715566778319</v>
      </c>
    </row>
    <row r="39" spans="1:12" x14ac:dyDescent="0.3">
      <c r="A39">
        <v>48</v>
      </c>
      <c r="B39">
        <f>L38-L39</f>
        <v>0.83598676009692574</v>
      </c>
      <c r="C39">
        <f t="shared" si="0"/>
        <v>0.83598676009692574</v>
      </c>
      <c r="D39" t="s">
        <v>24</v>
      </c>
      <c r="E39" t="s">
        <v>21</v>
      </c>
      <c r="F39">
        <v>1</v>
      </c>
      <c r="G39">
        <f>G38+5</f>
        <v>40</v>
      </c>
      <c r="I39">
        <v>2014</v>
      </c>
      <c r="J39">
        <f>AVERAGE(G39:G40)</f>
        <v>42.5</v>
      </c>
      <c r="K39" cm="1">
        <f t="array" ref="K39">STOWA2024_JAARROND_T(A39*60,J39,I39,"","")</f>
        <v>0.72553945489400118</v>
      </c>
      <c r="L39">
        <f>1/K39</f>
        <v>1.3782847965809062</v>
      </c>
    </row>
    <row r="40" spans="1:12" x14ac:dyDescent="0.3">
      <c r="A40">
        <v>48</v>
      </c>
      <c r="B40">
        <f t="shared" ref="B40:B62" si="14">L39-L40</f>
        <v>0.50146616479295114</v>
      </c>
      <c r="C40">
        <f t="shared" si="0"/>
        <v>0.50146616479295114</v>
      </c>
      <c r="D40" t="s">
        <v>24</v>
      </c>
      <c r="E40" t="s">
        <v>21</v>
      </c>
      <c r="F40">
        <v>1</v>
      </c>
      <c r="G40">
        <f t="shared" ref="G40:G63" si="15">G39+5</f>
        <v>45</v>
      </c>
      <c r="I40">
        <v>2014</v>
      </c>
      <c r="J40">
        <f t="shared" ref="J40:J62" si="16">AVERAGE(G40:G41)</f>
        <v>47.5</v>
      </c>
      <c r="K40" cm="1">
        <f t="array" ref="K40">STOWA2024_JAARROND_T(A40*60,J40,I40,"","")</f>
        <v>1.1404867138382553</v>
      </c>
      <c r="L40">
        <f t="shared" ref="L40:L62" si="17">1/K40</f>
        <v>0.87681863178795505</v>
      </c>
    </row>
    <row r="41" spans="1:12" x14ac:dyDescent="0.3">
      <c r="A41">
        <v>48</v>
      </c>
      <c r="B41">
        <f t="shared" si="14"/>
        <v>0.30796589256508466</v>
      </c>
      <c r="C41">
        <f t="shared" si="0"/>
        <v>0.30796589256508466</v>
      </c>
      <c r="D41" t="s">
        <v>24</v>
      </c>
      <c r="E41" t="s">
        <v>21</v>
      </c>
      <c r="F41">
        <v>1</v>
      </c>
      <c r="G41">
        <f t="shared" si="15"/>
        <v>50</v>
      </c>
      <c r="I41">
        <v>2014</v>
      </c>
      <c r="J41">
        <f t="shared" si="16"/>
        <v>52.5</v>
      </c>
      <c r="K41" cm="1">
        <f t="array" ref="K41">STOWA2024_JAARROND_T(A41*60,J41,I41,"","")</f>
        <v>1.7579242061243039</v>
      </c>
      <c r="L41">
        <f t="shared" si="17"/>
        <v>0.56885273922287038</v>
      </c>
    </row>
    <row r="42" spans="1:12" x14ac:dyDescent="0.3">
      <c r="A42">
        <v>48</v>
      </c>
      <c r="B42">
        <f t="shared" si="14"/>
        <v>0.19305252184646554</v>
      </c>
      <c r="C42">
        <f t="shared" si="0"/>
        <v>0.19305252184646554</v>
      </c>
      <c r="D42" t="s">
        <v>24</v>
      </c>
      <c r="E42" t="s">
        <v>21</v>
      </c>
      <c r="F42">
        <v>1</v>
      </c>
      <c r="G42">
        <f t="shared" si="15"/>
        <v>55</v>
      </c>
      <c r="I42">
        <v>2014</v>
      </c>
      <c r="J42">
        <f t="shared" si="16"/>
        <v>57.5</v>
      </c>
      <c r="K42" cm="1">
        <f t="array" ref="K42">STOWA2024_JAARROND_T(A42*60,J42,I42,"","")</f>
        <v>2.660988349025863</v>
      </c>
      <c r="L42">
        <f t="shared" si="17"/>
        <v>0.37580021737640484</v>
      </c>
    </row>
    <row r="43" spans="1:12" x14ac:dyDescent="0.3">
      <c r="A43">
        <v>48</v>
      </c>
      <c r="B43">
        <f t="shared" si="14"/>
        <v>0.1233708755117926</v>
      </c>
      <c r="C43">
        <f t="shared" si="0"/>
        <v>0.1233708755117926</v>
      </c>
      <c r="D43" t="s">
        <v>24</v>
      </c>
      <c r="E43" t="s">
        <v>21</v>
      </c>
      <c r="F43">
        <v>1</v>
      </c>
      <c r="G43">
        <f t="shared" si="15"/>
        <v>60</v>
      </c>
      <c r="I43">
        <v>2014</v>
      </c>
      <c r="J43">
        <f t="shared" si="16"/>
        <v>62.5</v>
      </c>
      <c r="K43" cm="1">
        <f t="array" ref="K43">STOWA2024_JAARROND_T(A43*60,J43,I43,"","")</f>
        <v>3.9615046040738764</v>
      </c>
      <c r="L43">
        <f t="shared" si="17"/>
        <v>0.25242934186461224</v>
      </c>
    </row>
    <row r="44" spans="1:12" x14ac:dyDescent="0.3">
      <c r="A44">
        <v>48</v>
      </c>
      <c r="B44">
        <f t="shared" si="14"/>
        <v>8.0243319091728771E-2</v>
      </c>
      <c r="C44">
        <f t="shared" si="0"/>
        <v>8.0243319091728771E-2</v>
      </c>
      <c r="D44" t="s">
        <v>24</v>
      </c>
      <c r="E44" t="s">
        <v>21</v>
      </c>
      <c r="F44">
        <v>1</v>
      </c>
      <c r="G44">
        <f t="shared" si="15"/>
        <v>65</v>
      </c>
      <c r="I44">
        <v>2014</v>
      </c>
      <c r="J44">
        <f t="shared" si="16"/>
        <v>67.5</v>
      </c>
      <c r="K44" cm="1">
        <f t="array" ref="K44">STOWA2024_JAARROND_T(A44*60,J44,I44,"","")</f>
        <v>5.8076723295886703</v>
      </c>
      <c r="L44">
        <f t="shared" si="17"/>
        <v>0.17218602277288347</v>
      </c>
    </row>
    <row r="45" spans="1:12" x14ac:dyDescent="0.3">
      <c r="A45">
        <v>48</v>
      </c>
      <c r="B45">
        <f t="shared" si="14"/>
        <v>5.3053447969961226E-2</v>
      </c>
      <c r="C45">
        <f t="shared" si="0"/>
        <v>5.3053447969961226E-2</v>
      </c>
      <c r="D45" t="s">
        <v>24</v>
      </c>
      <c r="E45" t="s">
        <v>21</v>
      </c>
      <c r="F45">
        <v>1</v>
      </c>
      <c r="G45">
        <f t="shared" si="15"/>
        <v>70</v>
      </c>
      <c r="I45">
        <v>2014</v>
      </c>
      <c r="J45">
        <f t="shared" si="16"/>
        <v>72.5</v>
      </c>
      <c r="K45" cm="1">
        <f t="array" ref="K45">STOWA2024_JAARROND_T(A45*60,J45,I45,"","")</f>
        <v>8.3940097966846814</v>
      </c>
      <c r="L45">
        <f t="shared" si="17"/>
        <v>0.11913257480292225</v>
      </c>
    </row>
    <row r="46" spans="1:12" x14ac:dyDescent="0.3">
      <c r="A46">
        <v>48</v>
      </c>
      <c r="B46">
        <f t="shared" si="14"/>
        <v>3.561077627409534E-2</v>
      </c>
      <c r="C46">
        <f t="shared" si="0"/>
        <v>3.561077627409534E-2</v>
      </c>
      <c r="D46" t="s">
        <v>24</v>
      </c>
      <c r="E46" t="s">
        <v>21</v>
      </c>
      <c r="F46">
        <v>1</v>
      </c>
      <c r="G46">
        <f t="shared" si="15"/>
        <v>75</v>
      </c>
      <c r="I46">
        <v>2014</v>
      </c>
      <c r="J46">
        <f t="shared" si="16"/>
        <v>77.5</v>
      </c>
      <c r="K46" cm="1">
        <f t="array" ref="K46">STOWA2024_JAARROND_T(A46*60,J46,I46,"","")</f>
        <v>11.972922250409367</v>
      </c>
      <c r="L46">
        <f t="shared" si="17"/>
        <v>8.3521798528826907E-2</v>
      </c>
    </row>
    <row r="47" spans="1:12" x14ac:dyDescent="0.3">
      <c r="A47">
        <v>48</v>
      </c>
      <c r="B47">
        <f t="shared" si="14"/>
        <v>2.4242275332342557E-2</v>
      </c>
      <c r="C47">
        <f t="shared" si="0"/>
        <v>2.4242275332342557E-2</v>
      </c>
      <c r="D47" t="s">
        <v>24</v>
      </c>
      <c r="E47" t="s">
        <v>21</v>
      </c>
      <c r="F47">
        <v>1</v>
      </c>
      <c r="G47">
        <f t="shared" si="15"/>
        <v>80</v>
      </c>
      <c r="I47">
        <v>2014</v>
      </c>
      <c r="J47">
        <f t="shared" si="16"/>
        <v>82.5</v>
      </c>
      <c r="K47" cm="1">
        <f t="array" ref="K47">STOWA2024_JAARROND_T(A47*60,J47,I47,"","")</f>
        <v>16.869231499812507</v>
      </c>
      <c r="L47">
        <f t="shared" si="17"/>
        <v>5.927952319648435E-2</v>
      </c>
    </row>
    <row r="48" spans="1:12" x14ac:dyDescent="0.3">
      <c r="A48">
        <v>48</v>
      </c>
      <c r="B48">
        <f t="shared" si="14"/>
        <v>1.6721244964399425E-2</v>
      </c>
      <c r="C48">
        <f t="shared" si="0"/>
        <v>1.6721244964399425E-2</v>
      </c>
      <c r="D48" t="s">
        <v>24</v>
      </c>
      <c r="E48" t="s">
        <v>21</v>
      </c>
      <c r="F48">
        <v>1</v>
      </c>
      <c r="G48">
        <f t="shared" si="15"/>
        <v>85</v>
      </c>
      <c r="I48">
        <v>2014</v>
      </c>
      <c r="J48">
        <f t="shared" si="16"/>
        <v>87.5</v>
      </c>
      <c r="K48" cm="1">
        <f t="array" ref="K48">STOWA2024_JAARROND_T(A48*60,J48,I48,"","")</f>
        <v>23.497191182092848</v>
      </c>
      <c r="L48">
        <f t="shared" si="17"/>
        <v>4.2558278232084926E-2</v>
      </c>
    </row>
    <row r="49" spans="1:12" x14ac:dyDescent="0.3">
      <c r="A49">
        <v>48</v>
      </c>
      <c r="B49">
        <f t="shared" si="14"/>
        <v>1.1674937054577207E-2</v>
      </c>
      <c r="C49">
        <f t="shared" si="0"/>
        <v>1.1674937054577207E-2</v>
      </c>
      <c r="D49" t="s">
        <v>24</v>
      </c>
      <c r="E49" t="s">
        <v>21</v>
      </c>
      <c r="F49">
        <v>1</v>
      </c>
      <c r="G49">
        <f t="shared" si="15"/>
        <v>90</v>
      </c>
      <c r="I49">
        <v>2014</v>
      </c>
      <c r="J49">
        <f t="shared" si="16"/>
        <v>92.5</v>
      </c>
      <c r="K49" cm="1">
        <f t="array" ref="K49">STOWA2024_JAARROND_T(A49*60,J49,I49,"","")</f>
        <v>32.379916222545837</v>
      </c>
      <c r="L49">
        <f t="shared" si="17"/>
        <v>3.0883341177507719E-2</v>
      </c>
    </row>
    <row r="50" spans="1:12" x14ac:dyDescent="0.3">
      <c r="A50">
        <v>48</v>
      </c>
      <c r="B50">
        <f t="shared" si="14"/>
        <v>8.2458000355625435E-3</v>
      </c>
      <c r="C50">
        <f t="shared" si="0"/>
        <v>8.2458000355625435E-3</v>
      </c>
      <c r="D50" t="s">
        <v>24</v>
      </c>
      <c r="E50" t="s">
        <v>21</v>
      </c>
      <c r="F50">
        <v>1</v>
      </c>
      <c r="G50">
        <f t="shared" si="15"/>
        <v>95</v>
      </c>
      <c r="I50">
        <v>2014</v>
      </c>
      <c r="J50">
        <f t="shared" si="16"/>
        <v>97.5</v>
      </c>
      <c r="K50" cm="1">
        <f t="array" ref="K50">STOWA2024_JAARROND_T(A50*60,J50,I50,"","")</f>
        <v>44.174408948818943</v>
      </c>
      <c r="L50">
        <f t="shared" si="17"/>
        <v>2.2637541141945175E-2</v>
      </c>
    </row>
    <row r="51" spans="1:12" x14ac:dyDescent="0.3">
      <c r="A51">
        <v>48</v>
      </c>
      <c r="B51">
        <f t="shared" si="14"/>
        <v>5.8868119615541233E-3</v>
      </c>
      <c r="C51">
        <f t="shared" si="0"/>
        <v>5.8868119615541233E-3</v>
      </c>
      <c r="D51" t="s">
        <v>24</v>
      </c>
      <c r="E51" t="s">
        <v>21</v>
      </c>
      <c r="F51">
        <v>1</v>
      </c>
      <c r="G51">
        <f t="shared" si="15"/>
        <v>100</v>
      </c>
      <c r="I51">
        <v>2014</v>
      </c>
      <c r="J51">
        <f t="shared" si="16"/>
        <v>102.5</v>
      </c>
      <c r="K51" cm="1">
        <f t="array" ref="K51">STOWA2024_JAARROND_T(A51*60,J51,I51,"","")</f>
        <v>59.698893655962905</v>
      </c>
      <c r="L51">
        <f t="shared" si="17"/>
        <v>1.6750729180391052E-2</v>
      </c>
    </row>
    <row r="52" spans="1:12" x14ac:dyDescent="0.3">
      <c r="A52">
        <v>48</v>
      </c>
      <c r="B52">
        <f t="shared" si="14"/>
        <v>4.2452839142563328E-3</v>
      </c>
      <c r="C52">
        <f t="shared" si="0"/>
        <v>4.2452839142563328E-3</v>
      </c>
      <c r="D52" t="s">
        <v>24</v>
      </c>
      <c r="E52" t="s">
        <v>21</v>
      </c>
      <c r="F52">
        <v>1</v>
      </c>
      <c r="G52">
        <f t="shared" si="15"/>
        <v>105</v>
      </c>
      <c r="I52">
        <v>2014</v>
      </c>
      <c r="J52">
        <f t="shared" si="16"/>
        <v>107.5</v>
      </c>
      <c r="K52" cm="1">
        <f t="array" ref="K52">STOWA2024_JAARROND_T(A52*60,J52,I52,"","")</f>
        <v>79.965165471400113</v>
      </c>
      <c r="L52">
        <f t="shared" si="17"/>
        <v>1.2505445266134719E-2</v>
      </c>
    </row>
    <row r="53" spans="1:12" x14ac:dyDescent="0.3">
      <c r="A53">
        <v>48</v>
      </c>
      <c r="B53">
        <f t="shared" si="14"/>
        <v>3.090934700462112E-3</v>
      </c>
      <c r="C53">
        <f t="shared" si="0"/>
        <v>3.090934700462112E-3</v>
      </c>
      <c r="D53" t="s">
        <v>24</v>
      </c>
      <c r="E53" t="s">
        <v>21</v>
      </c>
      <c r="F53">
        <v>1</v>
      </c>
      <c r="G53">
        <f t="shared" si="15"/>
        <v>110</v>
      </c>
      <c r="I53">
        <v>2014</v>
      </c>
      <c r="J53">
        <f t="shared" si="16"/>
        <v>112.5</v>
      </c>
      <c r="K53" cm="1">
        <f t="array" ref="K53">STOWA2024_JAARROND_T(A53*60,J53,I53,"","")</f>
        <v>106.21901085821942</v>
      </c>
      <c r="L53">
        <f t="shared" si="17"/>
        <v>9.4145105656726069E-3</v>
      </c>
    </row>
    <row r="54" spans="1:12" x14ac:dyDescent="0.3">
      <c r="A54">
        <v>48</v>
      </c>
      <c r="B54">
        <f t="shared" si="14"/>
        <v>2.2706903759345332E-3</v>
      </c>
      <c r="C54">
        <f t="shared" si="0"/>
        <v>2.2706903759345332E-3</v>
      </c>
      <c r="D54" t="s">
        <v>24</v>
      </c>
      <c r="E54" t="s">
        <v>21</v>
      </c>
      <c r="F54">
        <v>1</v>
      </c>
      <c r="G54">
        <f t="shared" si="15"/>
        <v>115</v>
      </c>
      <c r="I54">
        <v>2014</v>
      </c>
      <c r="J54">
        <f t="shared" si="16"/>
        <v>117.5</v>
      </c>
      <c r="K54" cm="1">
        <f t="array" ref="K54">STOWA2024_JAARROND_T(A54*60,J54,I54,"","")</f>
        <v>139.98112682573898</v>
      </c>
      <c r="L54">
        <f t="shared" si="17"/>
        <v>7.1438201897380737E-3</v>
      </c>
    </row>
    <row r="55" spans="1:12" x14ac:dyDescent="0.3">
      <c r="A55">
        <v>48</v>
      </c>
      <c r="B55">
        <f t="shared" si="14"/>
        <v>1.682291966156887E-3</v>
      </c>
      <c r="C55">
        <f t="shared" si="0"/>
        <v>1.682291966156887E-3</v>
      </c>
      <c r="D55" t="s">
        <v>24</v>
      </c>
      <c r="E55" t="s">
        <v>21</v>
      </c>
      <c r="F55">
        <v>1</v>
      </c>
      <c r="G55">
        <f t="shared" si="15"/>
        <v>120</v>
      </c>
      <c r="I55">
        <v>2014</v>
      </c>
      <c r="J55">
        <f t="shared" si="16"/>
        <v>122.5</v>
      </c>
      <c r="K55" cm="1">
        <f t="array" ref="K55">STOWA2024_JAARROND_T(A55*60,J55,I55,"","")</f>
        <v>183.09893477842152</v>
      </c>
      <c r="L55">
        <f t="shared" si="17"/>
        <v>5.4615282235811868E-3</v>
      </c>
    </row>
    <row r="56" spans="1:12" x14ac:dyDescent="0.3">
      <c r="A56">
        <v>48</v>
      </c>
      <c r="B56">
        <f t="shared" si="14"/>
        <v>1.2564751366652156E-3</v>
      </c>
      <c r="C56">
        <f t="shared" si="0"/>
        <v>1.2564751366652156E-3</v>
      </c>
      <c r="D56" t="s">
        <v>24</v>
      </c>
      <c r="E56" t="s">
        <v>21</v>
      </c>
      <c r="F56">
        <v>1</v>
      </c>
      <c r="G56">
        <f t="shared" si="15"/>
        <v>125</v>
      </c>
      <c r="I56">
        <v>2014</v>
      </c>
      <c r="J56">
        <f t="shared" si="16"/>
        <v>127.5</v>
      </c>
      <c r="K56" cm="1">
        <f t="array" ref="K56">STOWA2024_JAARROND_T(A56*60,J56,I56,"","")</f>
        <v>237.80912614670703</v>
      </c>
      <c r="L56">
        <f t="shared" si="17"/>
        <v>4.2050530869159712E-3</v>
      </c>
    </row>
    <row r="57" spans="1:12" x14ac:dyDescent="0.3">
      <c r="A57">
        <v>48</v>
      </c>
      <c r="B57">
        <f t="shared" si="14"/>
        <v>9.4556086800750075E-4</v>
      </c>
      <c r="C57">
        <f t="shared" si="0"/>
        <v>9.4556086800750075E-4</v>
      </c>
      <c r="D57" t="s">
        <v>24</v>
      </c>
      <c r="E57" t="s">
        <v>21</v>
      </c>
      <c r="F57">
        <v>1</v>
      </c>
      <c r="G57">
        <f t="shared" si="15"/>
        <v>130</v>
      </c>
      <c r="I57">
        <v>2014</v>
      </c>
      <c r="J57">
        <f t="shared" si="16"/>
        <v>132.5</v>
      </c>
      <c r="K57" cm="1">
        <f t="array" ref="K57">STOWA2024_JAARROND_T(A57*60,J57,I57,"","")</f>
        <v>306.7962531706479</v>
      </c>
      <c r="L57">
        <f t="shared" si="17"/>
        <v>3.2594922189084705E-3</v>
      </c>
    </row>
    <row r="58" spans="1:12" x14ac:dyDescent="0.3">
      <c r="A58">
        <v>48</v>
      </c>
      <c r="B58">
        <f t="shared" si="14"/>
        <v>7.1676072882902913E-4</v>
      </c>
      <c r="C58">
        <f t="shared" si="0"/>
        <v>7.1676072882902913E-4</v>
      </c>
      <c r="D58" t="s">
        <v>24</v>
      </c>
      <c r="E58" t="s">
        <v>21</v>
      </c>
      <c r="F58">
        <v>1</v>
      </c>
      <c r="G58">
        <f t="shared" si="15"/>
        <v>135</v>
      </c>
      <c r="I58">
        <v>2014</v>
      </c>
      <c r="J58">
        <f t="shared" si="16"/>
        <v>137.5</v>
      </c>
      <c r="K58" cm="1">
        <f t="array" ref="K58">STOWA2024_JAARROND_T(A58*60,J58,I58,"","")</f>
        <v>393.27786040387514</v>
      </c>
      <c r="L58">
        <f t="shared" si="17"/>
        <v>2.5427314900794413E-3</v>
      </c>
    </row>
    <row r="59" spans="1:12" x14ac:dyDescent="0.3">
      <c r="A59">
        <v>48</v>
      </c>
      <c r="B59">
        <f t="shared" si="14"/>
        <v>5.4707871307943436E-4</v>
      </c>
      <c r="C59">
        <f t="shared" si="0"/>
        <v>5.4707871307943436E-4</v>
      </c>
      <c r="D59" t="s">
        <v>24</v>
      </c>
      <c r="E59" t="s">
        <v>21</v>
      </c>
      <c r="F59">
        <v>1</v>
      </c>
      <c r="G59">
        <f t="shared" si="15"/>
        <v>140</v>
      </c>
      <c r="I59">
        <v>2014</v>
      </c>
      <c r="J59">
        <f t="shared" si="16"/>
        <v>142.5</v>
      </c>
      <c r="K59" cm="1">
        <f t="array" ref="K59">STOWA2024_JAARROND_T(A59*60,J59,I59,"","")</f>
        <v>501.08917318936818</v>
      </c>
      <c r="L59">
        <f t="shared" si="17"/>
        <v>1.995652777000007E-3</v>
      </c>
    </row>
    <row r="60" spans="1:12" x14ac:dyDescent="0.3">
      <c r="A60">
        <v>48</v>
      </c>
      <c r="B60">
        <f t="shared" si="14"/>
        <v>4.2028212602510497E-4</v>
      </c>
      <c r="C60">
        <f t="shared" si="0"/>
        <v>4.2028212602510497E-4</v>
      </c>
      <c r="D60" t="s">
        <v>24</v>
      </c>
      <c r="E60" t="s">
        <v>21</v>
      </c>
      <c r="F60">
        <v>1</v>
      </c>
      <c r="G60">
        <f t="shared" si="15"/>
        <v>145</v>
      </c>
      <c r="I60">
        <v>2014</v>
      </c>
      <c r="J60">
        <f t="shared" si="16"/>
        <v>147.5</v>
      </c>
      <c r="K60" cm="1">
        <f t="array" ref="K60">STOWA2024_JAARROND_T(A60*60,J60,I60,"","")</f>
        <v>634.7712516931557</v>
      </c>
      <c r="L60">
        <f t="shared" si="17"/>
        <v>1.575370650974902E-3</v>
      </c>
    </row>
    <row r="61" spans="1:12" x14ac:dyDescent="0.3">
      <c r="A61">
        <v>48</v>
      </c>
      <c r="B61">
        <f t="shared" si="14"/>
        <v>3.2489803026031715E-4</v>
      </c>
      <c r="C61">
        <f t="shared" si="0"/>
        <v>3.2489803026031715E-4</v>
      </c>
      <c r="D61" t="s">
        <v>24</v>
      </c>
      <c r="E61" t="s">
        <v>21</v>
      </c>
      <c r="F61">
        <v>1</v>
      </c>
      <c r="G61">
        <f t="shared" si="15"/>
        <v>150</v>
      </c>
      <c r="I61">
        <v>2014</v>
      </c>
      <c r="J61">
        <f t="shared" si="16"/>
        <v>152.5</v>
      </c>
      <c r="K61" cm="1">
        <f t="array" ref="K61">STOWA2024_JAARROND_T(A61*60,J61,I61,"","")</f>
        <v>799.69763706505478</v>
      </c>
      <c r="L61">
        <f t="shared" si="17"/>
        <v>1.2504726207145849E-3</v>
      </c>
    </row>
    <row r="62" spans="1:12" x14ac:dyDescent="0.3">
      <c r="A62">
        <v>48</v>
      </c>
      <c r="B62">
        <f t="shared" si="14"/>
        <v>2.5265711391802789E-4</v>
      </c>
      <c r="C62">
        <f t="shared" si="0"/>
        <v>2.5265711391802789E-4</v>
      </c>
      <c r="D62" t="s">
        <v>24</v>
      </c>
      <c r="E62" t="s">
        <v>21</v>
      </c>
      <c r="F62">
        <v>1</v>
      </c>
      <c r="G62">
        <f t="shared" si="15"/>
        <v>155</v>
      </c>
      <c r="I62">
        <v>2014</v>
      </c>
      <c r="J62">
        <f t="shared" si="16"/>
        <v>157.5</v>
      </c>
      <c r="K62" cm="1">
        <f t="array" ref="K62">STOWA2024_JAARROND_T(A62*60,J62,I62,"","")</f>
        <v>1002.1892756612456</v>
      </c>
      <c r="L62">
        <f t="shared" si="17"/>
        <v>9.9781550679655696E-4</v>
      </c>
    </row>
    <row r="63" spans="1:12" x14ac:dyDescent="0.3">
      <c r="A63">
        <v>48</v>
      </c>
      <c r="B63" s="1">
        <f>L62</f>
        <v>9.9781550679655696E-4</v>
      </c>
      <c r="C63">
        <f t="shared" si="0"/>
        <v>9.9781550679655696E-4</v>
      </c>
      <c r="D63" t="s">
        <v>24</v>
      </c>
      <c r="E63" t="s">
        <v>21</v>
      </c>
      <c r="F63">
        <v>1</v>
      </c>
      <c r="G63">
        <f t="shared" si="15"/>
        <v>160</v>
      </c>
      <c r="I63">
        <v>2014</v>
      </c>
      <c r="J63">
        <f>AVERAGE(G63:G64)</f>
        <v>85</v>
      </c>
      <c r="K63" cm="1">
        <f t="array" ref="K63">STOWA2024_JAARROND_T(A63*60,J63,I63,"","")</f>
        <v>19.936972584353686</v>
      </c>
      <c r="L63">
        <f>1/K63</f>
        <v>5.0158066665788009E-2</v>
      </c>
    </row>
    <row r="64" spans="1:12" x14ac:dyDescent="0.3">
      <c r="A64">
        <v>96</v>
      </c>
      <c r="B64" s="1">
        <f>365.25*24/A64 - L64</f>
        <v>50.337008048319149</v>
      </c>
      <c r="C64">
        <f>B64</f>
        <v>50.337008048319149</v>
      </c>
      <c r="D64" t="s">
        <v>24</v>
      </c>
      <c r="E64" t="s">
        <v>21</v>
      </c>
      <c r="F64">
        <v>1</v>
      </c>
      <c r="G64">
        <v>10</v>
      </c>
      <c r="I64">
        <v>2014</v>
      </c>
      <c r="J64">
        <f>AVERAGE(G64:G66)</f>
        <v>15</v>
      </c>
      <c r="K64" cm="1">
        <f t="array" ref="K64">STOWA2024_JAARROND_T(A64*60,J64,I64,"","")</f>
        <v>2.4404832068379331E-2</v>
      </c>
      <c r="L64">
        <f>1/K64</f>
        <v>40.975491951680851</v>
      </c>
    </row>
    <row r="65" spans="1:12" x14ac:dyDescent="0.3">
      <c r="A65">
        <v>96</v>
      </c>
      <c r="B65">
        <f t="shared" ref="B65:B69" si="18">L64-L65</f>
        <v>8.4302182378687931</v>
      </c>
      <c r="C65">
        <f t="shared" si="0"/>
        <v>8.4302182378687931</v>
      </c>
      <c r="D65" t="s">
        <v>24</v>
      </c>
      <c r="E65" t="s">
        <v>21</v>
      </c>
      <c r="F65">
        <v>1</v>
      </c>
      <c r="G65">
        <f t="shared" ref="G65:G69" si="19">G64+5</f>
        <v>15</v>
      </c>
      <c r="I65">
        <v>2014</v>
      </c>
      <c r="J65">
        <f t="shared" ref="J65:J69" si="20">AVERAGE(G65:G66)</f>
        <v>17.5</v>
      </c>
      <c r="K65" cm="1">
        <f t="array" ref="K65">STOWA2024_JAARROND_T(A65*60,J65,I65,"","")</f>
        <v>3.0726427707861152E-2</v>
      </c>
      <c r="L65">
        <f t="shared" ref="L65:L69" si="21">1/K65</f>
        <v>32.545273713812058</v>
      </c>
    </row>
    <row r="66" spans="1:12" x14ac:dyDescent="0.3">
      <c r="A66">
        <v>96</v>
      </c>
      <c r="B66">
        <f t="shared" si="18"/>
        <v>11.841373137553319</v>
      </c>
      <c r="C66">
        <f t="shared" si="0"/>
        <v>11.841373137553319</v>
      </c>
      <c r="D66" t="s">
        <v>24</v>
      </c>
      <c r="E66" t="s">
        <v>21</v>
      </c>
      <c r="F66">
        <v>1</v>
      </c>
      <c r="G66">
        <f t="shared" si="19"/>
        <v>20</v>
      </c>
      <c r="I66">
        <v>2014</v>
      </c>
      <c r="J66">
        <f t="shared" si="20"/>
        <v>22.5</v>
      </c>
      <c r="K66" cm="1">
        <f t="array" ref="K66">STOWA2024_JAARROND_T(A66*60,J66,I66,"","")</f>
        <v>4.8300077384775736E-2</v>
      </c>
      <c r="L66">
        <f t="shared" si="21"/>
        <v>20.703900576258739</v>
      </c>
    </row>
    <row r="67" spans="1:12" x14ac:dyDescent="0.3">
      <c r="A67">
        <v>96</v>
      </c>
      <c r="B67">
        <f t="shared" si="18"/>
        <v>7.3909756334763532</v>
      </c>
      <c r="C67">
        <f t="shared" si="0"/>
        <v>7.3909756334763532</v>
      </c>
      <c r="D67" t="s">
        <v>24</v>
      </c>
      <c r="E67" t="s">
        <v>21</v>
      </c>
      <c r="F67">
        <v>1</v>
      </c>
      <c r="G67">
        <f t="shared" si="19"/>
        <v>25</v>
      </c>
      <c r="I67">
        <v>2014</v>
      </c>
      <c r="J67">
        <f t="shared" si="20"/>
        <v>27.5</v>
      </c>
      <c r="K67" cm="1">
        <f t="array" ref="K67">STOWA2024_JAARROND_T(A67*60,J67,I67,"","")</f>
        <v>7.5114973178163291E-2</v>
      </c>
      <c r="L67">
        <f t="shared" si="21"/>
        <v>13.312924942782386</v>
      </c>
    </row>
    <row r="68" spans="1:12" x14ac:dyDescent="0.3">
      <c r="A68">
        <v>96</v>
      </c>
      <c r="B68">
        <f t="shared" si="18"/>
        <v>4.6647155887892122</v>
      </c>
      <c r="C68">
        <f t="shared" si="0"/>
        <v>4.6647155887892122</v>
      </c>
      <c r="D68" t="s">
        <v>24</v>
      </c>
      <c r="E68" t="s">
        <v>21</v>
      </c>
      <c r="F68">
        <v>1</v>
      </c>
      <c r="G68">
        <f t="shared" si="19"/>
        <v>30</v>
      </c>
      <c r="I68">
        <v>2014</v>
      </c>
      <c r="J68">
        <f t="shared" si="20"/>
        <v>32.5</v>
      </c>
      <c r="K68" cm="1">
        <f t="array" ref="K68">STOWA2024_JAARROND_T(A68*60,J68,I68,"","")</f>
        <v>0.1156308732903495</v>
      </c>
      <c r="L68">
        <f t="shared" si="21"/>
        <v>8.6482093539931739</v>
      </c>
    </row>
    <row r="69" spans="1:12" x14ac:dyDescent="0.3">
      <c r="A69">
        <v>96</v>
      </c>
      <c r="B69">
        <f t="shared" si="18"/>
        <v>2.9751314677595042</v>
      </c>
      <c r="C69">
        <f t="shared" si="0"/>
        <v>2.9751314677595042</v>
      </c>
      <c r="D69" t="s">
        <v>24</v>
      </c>
      <c r="E69" t="s">
        <v>21</v>
      </c>
      <c r="F69">
        <v>1</v>
      </c>
      <c r="G69">
        <f t="shared" si="19"/>
        <v>35</v>
      </c>
      <c r="I69">
        <v>2014</v>
      </c>
      <c r="J69">
        <f t="shared" si="20"/>
        <v>37.5</v>
      </c>
      <c r="K69" cm="1">
        <f t="array" ref="K69">STOWA2024_JAARROND_T(A69*60,J69,I69,"","")</f>
        <v>0.17627115651392816</v>
      </c>
      <c r="L69">
        <f t="shared" si="21"/>
        <v>5.6730778862336697</v>
      </c>
    </row>
    <row r="70" spans="1:12" x14ac:dyDescent="0.3">
      <c r="A70">
        <v>96</v>
      </c>
      <c r="B70">
        <f>L69-L70</f>
        <v>1.9167538275564717</v>
      </c>
      <c r="C70">
        <f t="shared" si="0"/>
        <v>1.9167538275564717</v>
      </c>
      <c r="D70" t="s">
        <v>24</v>
      </c>
      <c r="E70" t="s">
        <v>21</v>
      </c>
      <c r="F70">
        <v>1</v>
      </c>
      <c r="G70">
        <f>G69+5</f>
        <v>40</v>
      </c>
      <c r="I70">
        <v>2014</v>
      </c>
      <c r="J70">
        <f>AVERAGE(G70:G71)</f>
        <v>42.5</v>
      </c>
      <c r="K70" cm="1">
        <f t="array" ref="K70">STOWA2024_JAARROND_T(A70*60,J70,I70,"","")</f>
        <v>0.26621771294997199</v>
      </c>
      <c r="L70">
        <f>1/K70</f>
        <v>3.756324058677198</v>
      </c>
    </row>
    <row r="71" spans="1:12" x14ac:dyDescent="0.3">
      <c r="A71">
        <v>96</v>
      </c>
      <c r="B71">
        <f t="shared" ref="B71:B93" si="22">L70-L71</f>
        <v>1.2469167550758988</v>
      </c>
      <c r="C71">
        <f t="shared" si="0"/>
        <v>1.2469167550758988</v>
      </c>
      <c r="D71" t="s">
        <v>24</v>
      </c>
      <c r="E71" t="s">
        <v>21</v>
      </c>
      <c r="F71">
        <v>1</v>
      </c>
      <c r="G71">
        <f t="shared" ref="G71:G94" si="23">G70+5</f>
        <v>45</v>
      </c>
      <c r="I71">
        <v>2014</v>
      </c>
      <c r="J71">
        <f t="shared" ref="J71:J93" si="24">AVERAGE(G71:G72)</f>
        <v>47.5</v>
      </c>
      <c r="K71" cm="1">
        <f t="array" ref="K71">STOWA2024_JAARROND_T(A71*60,J71,I71,"","")</f>
        <v>0.39850047402224448</v>
      </c>
      <c r="L71">
        <f t="shared" ref="L71:L93" si="25">1/K71</f>
        <v>2.5094073036012992</v>
      </c>
    </row>
    <row r="72" spans="1:12" x14ac:dyDescent="0.3">
      <c r="A72">
        <v>96</v>
      </c>
      <c r="B72">
        <f t="shared" si="22"/>
        <v>0.81859168031112972</v>
      </c>
      <c r="C72">
        <f t="shared" si="0"/>
        <v>0.81859168031112972</v>
      </c>
      <c r="D72" t="s">
        <v>24</v>
      </c>
      <c r="E72" t="s">
        <v>21</v>
      </c>
      <c r="F72">
        <v>1</v>
      </c>
      <c r="G72">
        <f t="shared" si="23"/>
        <v>50</v>
      </c>
      <c r="I72">
        <v>2014</v>
      </c>
      <c r="J72">
        <f t="shared" si="24"/>
        <v>52.5</v>
      </c>
      <c r="K72" cm="1">
        <f t="array" ref="K72">STOWA2024_JAARROND_T(A72*60,J72,I72,"","")</f>
        <v>0.59143054170158027</v>
      </c>
      <c r="L72">
        <f t="shared" si="25"/>
        <v>1.6908156232901694</v>
      </c>
    </row>
    <row r="73" spans="1:12" x14ac:dyDescent="0.3">
      <c r="A73">
        <v>96</v>
      </c>
      <c r="B73">
        <f t="shared" si="22"/>
        <v>0.54218848025422184</v>
      </c>
      <c r="C73">
        <f t="shared" si="0"/>
        <v>0.54218848025422184</v>
      </c>
      <c r="D73" t="s">
        <v>24</v>
      </c>
      <c r="E73" t="s">
        <v>21</v>
      </c>
      <c r="F73">
        <v>1</v>
      </c>
      <c r="G73">
        <f t="shared" si="23"/>
        <v>55</v>
      </c>
      <c r="I73">
        <v>2014</v>
      </c>
      <c r="J73">
        <f t="shared" si="24"/>
        <v>57.5</v>
      </c>
      <c r="K73" cm="1">
        <f t="array" ref="K73">STOWA2024_JAARROND_T(A73*60,J73,I73,"","")</f>
        <v>0.8706045352166154</v>
      </c>
      <c r="L73">
        <f t="shared" si="25"/>
        <v>1.1486271430359476</v>
      </c>
    </row>
    <row r="74" spans="1:12" x14ac:dyDescent="0.3">
      <c r="A74">
        <v>96</v>
      </c>
      <c r="B74">
        <f t="shared" si="22"/>
        <v>0.36210119706675858</v>
      </c>
      <c r="C74">
        <f t="shared" si="0"/>
        <v>0.36210119706675858</v>
      </c>
      <c r="D74" t="s">
        <v>24</v>
      </c>
      <c r="E74" t="s">
        <v>21</v>
      </c>
      <c r="F74">
        <v>1</v>
      </c>
      <c r="G74">
        <f t="shared" si="23"/>
        <v>60</v>
      </c>
      <c r="I74">
        <v>2014</v>
      </c>
      <c r="J74">
        <f t="shared" si="24"/>
        <v>62.5</v>
      </c>
      <c r="K74" cm="1">
        <f t="array" ref="K74">STOWA2024_JAARROND_T(A74*60,J74,I74,"","")</f>
        <v>1.2714138740429721</v>
      </c>
      <c r="L74">
        <f t="shared" si="25"/>
        <v>0.78652594596918901</v>
      </c>
    </row>
    <row r="75" spans="1:12" x14ac:dyDescent="0.3">
      <c r="A75">
        <v>96</v>
      </c>
      <c r="B75">
        <f t="shared" si="22"/>
        <v>0.24392529023873633</v>
      </c>
      <c r="C75">
        <f t="shared" si="0"/>
        <v>0.24392529023873633</v>
      </c>
      <c r="D75" t="s">
        <v>24</v>
      </c>
      <c r="E75" t="s">
        <v>21</v>
      </c>
      <c r="F75">
        <v>1</v>
      </c>
      <c r="G75">
        <f t="shared" si="23"/>
        <v>65</v>
      </c>
      <c r="I75">
        <v>2014</v>
      </c>
      <c r="J75">
        <f t="shared" si="24"/>
        <v>67.5</v>
      </c>
      <c r="K75" cm="1">
        <f t="array" ref="K75">STOWA2024_JAARROND_T(A75*60,J75,I75,"","")</f>
        <v>1.8429760256256844</v>
      </c>
      <c r="L75">
        <f t="shared" si="25"/>
        <v>0.54260065573045269</v>
      </c>
    </row>
    <row r="76" spans="1:12" x14ac:dyDescent="0.3">
      <c r="A76">
        <v>96</v>
      </c>
      <c r="B76">
        <f t="shared" si="22"/>
        <v>0.16555780865009523</v>
      </c>
      <c r="C76">
        <f t="shared" si="0"/>
        <v>0.16555780865009523</v>
      </c>
      <c r="D76" t="s">
        <v>24</v>
      </c>
      <c r="E76" t="s">
        <v>21</v>
      </c>
      <c r="F76">
        <v>1</v>
      </c>
      <c r="G76">
        <f t="shared" si="23"/>
        <v>70</v>
      </c>
      <c r="I76">
        <v>2014</v>
      </c>
      <c r="J76">
        <f t="shared" si="24"/>
        <v>72.5</v>
      </c>
      <c r="K76" cm="1">
        <f t="array" ref="K76">STOWA2024_JAARROND_T(A76*60,J76,I76,"","")</f>
        <v>2.6522184620223666</v>
      </c>
      <c r="L76">
        <f t="shared" si="25"/>
        <v>0.37704284708035746</v>
      </c>
    </row>
    <row r="77" spans="1:12" x14ac:dyDescent="0.3">
      <c r="A77">
        <v>96</v>
      </c>
      <c r="B77">
        <f t="shared" si="22"/>
        <v>0.11320936132453491</v>
      </c>
      <c r="C77">
        <f t="shared" si="0"/>
        <v>0.11320936132453491</v>
      </c>
      <c r="D77" t="s">
        <v>24</v>
      </c>
      <c r="E77" t="s">
        <v>21</v>
      </c>
      <c r="F77">
        <v>1</v>
      </c>
      <c r="G77">
        <f t="shared" si="23"/>
        <v>75</v>
      </c>
      <c r="I77">
        <v>2014</v>
      </c>
      <c r="J77">
        <f t="shared" si="24"/>
        <v>77.5</v>
      </c>
      <c r="K77" cm="1">
        <f t="array" ref="K77">STOWA2024_JAARROND_T(A77*60,J77,I77,"","")</f>
        <v>3.7902694464094613</v>
      </c>
      <c r="L77">
        <f t="shared" si="25"/>
        <v>0.26383348575582255</v>
      </c>
    </row>
    <row r="78" spans="1:12" x14ac:dyDescent="0.3">
      <c r="A78">
        <v>96</v>
      </c>
      <c r="B78">
        <f t="shared" si="22"/>
        <v>7.7973844951214927E-2</v>
      </c>
      <c r="C78">
        <f t="shared" si="0"/>
        <v>7.7973844951214927E-2</v>
      </c>
      <c r="D78" t="s">
        <v>24</v>
      </c>
      <c r="E78" t="s">
        <v>21</v>
      </c>
      <c r="F78">
        <v>1</v>
      </c>
      <c r="G78">
        <f t="shared" si="23"/>
        <v>80</v>
      </c>
      <c r="I78">
        <v>2014</v>
      </c>
      <c r="J78">
        <f t="shared" si="24"/>
        <v>82.5</v>
      </c>
      <c r="K78" cm="1">
        <f t="array" ref="K78">STOWA2024_JAARROND_T(A78*60,J78,I78,"","")</f>
        <v>5.3804042430668959</v>
      </c>
      <c r="L78">
        <f t="shared" si="25"/>
        <v>0.18585964080460762</v>
      </c>
    </row>
    <row r="79" spans="1:12" x14ac:dyDescent="0.3">
      <c r="A79">
        <v>96</v>
      </c>
      <c r="B79">
        <f t="shared" si="22"/>
        <v>5.4082406799835725E-2</v>
      </c>
      <c r="C79">
        <f t="shared" si="0"/>
        <v>5.4082406799835725E-2</v>
      </c>
      <c r="D79" t="s">
        <v>24</v>
      </c>
      <c r="E79" t="s">
        <v>21</v>
      </c>
      <c r="F79">
        <v>1</v>
      </c>
      <c r="G79">
        <f t="shared" si="23"/>
        <v>85</v>
      </c>
      <c r="I79">
        <v>2014</v>
      </c>
      <c r="J79">
        <f t="shared" si="24"/>
        <v>87.5</v>
      </c>
      <c r="K79" cm="1">
        <f t="array" ref="K79">STOWA2024_JAARROND_T(A79*60,J79,I79,"","")</f>
        <v>7.5885641973923068</v>
      </c>
      <c r="L79">
        <f t="shared" si="25"/>
        <v>0.1317772340047719</v>
      </c>
    </row>
    <row r="80" spans="1:12" x14ac:dyDescent="0.3">
      <c r="A80">
        <v>96</v>
      </c>
      <c r="B80">
        <f t="shared" si="22"/>
        <v>3.7760920980188017E-2</v>
      </c>
      <c r="C80">
        <f t="shared" si="0"/>
        <v>3.7760920980188017E-2</v>
      </c>
      <c r="D80" t="s">
        <v>24</v>
      </c>
      <c r="E80" t="s">
        <v>21</v>
      </c>
      <c r="F80">
        <v>1</v>
      </c>
      <c r="G80">
        <f t="shared" si="23"/>
        <v>90</v>
      </c>
      <c r="I80">
        <v>2014</v>
      </c>
      <c r="J80">
        <f t="shared" si="24"/>
        <v>92.5</v>
      </c>
      <c r="K80" cm="1">
        <f t="array" ref="K80">STOWA2024_JAARROND_T(A80*60,J80,I80,"","")</f>
        <v>10.636451992522986</v>
      </c>
      <c r="L80">
        <f t="shared" si="25"/>
        <v>9.4016313024583881E-2</v>
      </c>
    </row>
    <row r="81" spans="1:12" x14ac:dyDescent="0.3">
      <c r="A81">
        <v>96</v>
      </c>
      <c r="B81">
        <f t="shared" si="22"/>
        <v>2.6536595346550076E-2</v>
      </c>
      <c r="C81">
        <f t="shared" si="0"/>
        <v>2.6536595346550076E-2</v>
      </c>
      <c r="D81" t="s">
        <v>24</v>
      </c>
      <c r="E81" t="s">
        <v>21</v>
      </c>
      <c r="F81">
        <v>1</v>
      </c>
      <c r="G81">
        <f t="shared" si="23"/>
        <v>95</v>
      </c>
      <c r="I81">
        <v>2014</v>
      </c>
      <c r="J81">
        <f t="shared" si="24"/>
        <v>97.5</v>
      </c>
      <c r="K81" cm="1">
        <f t="array" ref="K81">STOWA2024_JAARROND_T(A81*60,J81,I81,"","")</f>
        <v>14.819267691238771</v>
      </c>
      <c r="L81">
        <f t="shared" si="25"/>
        <v>6.7479717678033804E-2</v>
      </c>
    </row>
    <row r="82" spans="1:12" x14ac:dyDescent="0.3">
      <c r="A82">
        <v>96</v>
      </c>
      <c r="B82">
        <f t="shared" si="22"/>
        <v>1.8765076566936559E-2</v>
      </c>
      <c r="C82">
        <f t="shared" si="0"/>
        <v>1.8765076566936559E-2</v>
      </c>
      <c r="D82" t="s">
        <v>24</v>
      </c>
      <c r="E82" t="s">
        <v>21</v>
      </c>
      <c r="F82">
        <v>1</v>
      </c>
      <c r="G82">
        <f t="shared" si="23"/>
        <v>100</v>
      </c>
      <c r="I82">
        <v>2014</v>
      </c>
      <c r="J82">
        <f t="shared" si="24"/>
        <v>102.5</v>
      </c>
      <c r="K82" cm="1">
        <f t="array" ref="K82">STOWA2024_JAARROND_T(A82*60,J82,I82,"","")</f>
        <v>20.527709476898906</v>
      </c>
      <c r="L82">
        <f t="shared" si="25"/>
        <v>4.8714641111097245E-2</v>
      </c>
    </row>
    <row r="83" spans="1:12" x14ac:dyDescent="0.3">
      <c r="A83">
        <v>96</v>
      </c>
      <c r="B83">
        <f t="shared" si="22"/>
        <v>1.3349479889890679E-2</v>
      </c>
      <c r="C83">
        <f t="shared" si="0"/>
        <v>1.3349479889890679E-2</v>
      </c>
      <c r="D83" t="s">
        <v>24</v>
      </c>
      <c r="E83" t="s">
        <v>21</v>
      </c>
      <c r="F83">
        <v>1</v>
      </c>
      <c r="G83">
        <f t="shared" si="23"/>
        <v>105</v>
      </c>
      <c r="I83">
        <v>2014</v>
      </c>
      <c r="J83">
        <f t="shared" si="24"/>
        <v>107.5</v>
      </c>
      <c r="K83" cm="1">
        <f t="array" ref="K83">STOWA2024_JAARROND_T(A83*60,J83,I83,"","")</f>
        <v>28.276415700329235</v>
      </c>
      <c r="L83">
        <f t="shared" si="25"/>
        <v>3.5365161221206566E-2</v>
      </c>
    </row>
    <row r="84" spans="1:12" x14ac:dyDescent="0.3">
      <c r="A84">
        <v>96</v>
      </c>
      <c r="B84">
        <f t="shared" si="22"/>
        <v>9.5520889350416173E-3</v>
      </c>
      <c r="C84">
        <f t="shared" si="0"/>
        <v>9.5520889350416173E-3</v>
      </c>
      <c r="D84" t="s">
        <v>24</v>
      </c>
      <c r="E84" t="s">
        <v>21</v>
      </c>
      <c r="F84">
        <v>1</v>
      </c>
      <c r="G84">
        <f t="shared" si="23"/>
        <v>110</v>
      </c>
      <c r="I84">
        <v>2014</v>
      </c>
      <c r="J84">
        <f t="shared" si="24"/>
        <v>112.5</v>
      </c>
      <c r="K84" cm="1">
        <f t="array" ref="K84">STOWA2024_JAARROND_T(A84*60,J84,I84,"","")</f>
        <v>38.74006119511666</v>
      </c>
      <c r="L84">
        <f t="shared" si="25"/>
        <v>2.5813072286164949E-2</v>
      </c>
    </row>
    <row r="85" spans="1:12" x14ac:dyDescent="0.3">
      <c r="A85">
        <v>96</v>
      </c>
      <c r="B85">
        <f t="shared" si="22"/>
        <v>6.8732073935824853E-3</v>
      </c>
      <c r="C85">
        <f t="shared" si="0"/>
        <v>6.8732073935824853E-3</v>
      </c>
      <c r="D85" t="s">
        <v>24</v>
      </c>
      <c r="E85" t="s">
        <v>21</v>
      </c>
      <c r="F85">
        <v>1</v>
      </c>
      <c r="G85">
        <f t="shared" si="23"/>
        <v>115</v>
      </c>
      <c r="I85">
        <v>2014</v>
      </c>
      <c r="J85">
        <f t="shared" si="24"/>
        <v>117.5</v>
      </c>
      <c r="K85" cm="1">
        <f t="array" ref="K85">STOWA2024_JAARROND_T(A85*60,J85,I85,"","")</f>
        <v>52.798687090510143</v>
      </c>
      <c r="L85">
        <f t="shared" si="25"/>
        <v>1.8939864892582464E-2</v>
      </c>
    </row>
    <row r="86" spans="1:12" x14ac:dyDescent="0.3">
      <c r="A86">
        <v>96</v>
      </c>
      <c r="B86">
        <f t="shared" si="22"/>
        <v>4.9727529960776826E-3</v>
      </c>
      <c r="C86">
        <f t="shared" si="0"/>
        <v>4.9727529960776826E-3</v>
      </c>
      <c r="D86" t="s">
        <v>24</v>
      </c>
      <c r="E86" t="s">
        <v>21</v>
      </c>
      <c r="F86">
        <v>1</v>
      </c>
      <c r="G86">
        <f t="shared" si="23"/>
        <v>120</v>
      </c>
      <c r="I86">
        <v>2014</v>
      </c>
      <c r="J86">
        <f t="shared" si="24"/>
        <v>122.5</v>
      </c>
      <c r="K86" cm="1">
        <f t="array" ref="K86">STOWA2024_JAARROND_T(A86*60,J86,I86,"","")</f>
        <v>71.596762982205817</v>
      </c>
      <c r="L86">
        <f t="shared" si="25"/>
        <v>1.3967111896504781E-2</v>
      </c>
    </row>
    <row r="87" spans="1:12" x14ac:dyDescent="0.3">
      <c r="A87">
        <v>96</v>
      </c>
      <c r="B87">
        <f t="shared" si="22"/>
        <v>3.6165317637369097E-3</v>
      </c>
      <c r="C87">
        <f t="shared" si="0"/>
        <v>3.6165317637369097E-3</v>
      </c>
      <c r="D87" t="s">
        <v>24</v>
      </c>
      <c r="E87" t="s">
        <v>21</v>
      </c>
      <c r="F87">
        <v>1</v>
      </c>
      <c r="G87">
        <f t="shared" si="23"/>
        <v>125</v>
      </c>
      <c r="I87">
        <v>2014</v>
      </c>
      <c r="J87">
        <f t="shared" si="24"/>
        <v>127.5</v>
      </c>
      <c r="K87" cm="1">
        <f t="array" ref="K87">STOWA2024_JAARROND_T(A87*60,J87,I87,"","")</f>
        <v>96.612942189993731</v>
      </c>
      <c r="L87">
        <f t="shared" si="25"/>
        <v>1.0350580132767871E-2</v>
      </c>
    </row>
    <row r="88" spans="1:12" x14ac:dyDescent="0.3">
      <c r="A88">
        <v>96</v>
      </c>
      <c r="B88">
        <f t="shared" si="22"/>
        <v>2.6437146487708636E-3</v>
      </c>
      <c r="C88">
        <f t="shared" si="0"/>
        <v>2.6437146487708636E-3</v>
      </c>
      <c r="D88" t="s">
        <v>24</v>
      </c>
      <c r="E88" t="s">
        <v>21</v>
      </c>
      <c r="F88">
        <v>1</v>
      </c>
      <c r="G88">
        <f t="shared" si="23"/>
        <v>130</v>
      </c>
      <c r="I88">
        <v>2014</v>
      </c>
      <c r="J88">
        <f t="shared" si="24"/>
        <v>132.5</v>
      </c>
      <c r="K88" cm="1">
        <f t="array" ref="K88">STOWA2024_JAARROND_T(A88*60,J88,I88,"","")</f>
        <v>129.75443804961424</v>
      </c>
      <c r="L88">
        <f t="shared" si="25"/>
        <v>7.7068654839970076E-3</v>
      </c>
    </row>
    <row r="89" spans="1:12" x14ac:dyDescent="0.3">
      <c r="A89">
        <v>96</v>
      </c>
      <c r="B89">
        <f t="shared" si="22"/>
        <v>1.9420192113938457E-3</v>
      </c>
      <c r="C89">
        <f t="shared" si="0"/>
        <v>1.9420192113938457E-3</v>
      </c>
      <c r="D89" t="s">
        <v>24</v>
      </c>
      <c r="E89" t="s">
        <v>21</v>
      </c>
      <c r="F89">
        <v>1</v>
      </c>
      <c r="G89">
        <f t="shared" si="23"/>
        <v>135</v>
      </c>
      <c r="I89">
        <v>2014</v>
      </c>
      <c r="J89">
        <f t="shared" si="24"/>
        <v>137.5</v>
      </c>
      <c r="K89" cm="1">
        <f t="array" ref="K89">STOWA2024_JAARROND_T(A89*60,J89,I89,"","")</f>
        <v>173.46516328672925</v>
      </c>
      <c r="L89">
        <f t="shared" si="25"/>
        <v>5.764846272603162E-3</v>
      </c>
    </row>
    <row r="90" spans="1:12" x14ac:dyDescent="0.3">
      <c r="A90">
        <v>96</v>
      </c>
      <c r="B90">
        <f t="shared" si="22"/>
        <v>1.4334511926966317E-3</v>
      </c>
      <c r="C90">
        <f t="shared" si="0"/>
        <v>1.4334511926966317E-3</v>
      </c>
      <c r="D90" t="s">
        <v>24</v>
      </c>
      <c r="E90" t="s">
        <v>21</v>
      </c>
      <c r="F90">
        <v>1</v>
      </c>
      <c r="G90">
        <f t="shared" si="23"/>
        <v>140</v>
      </c>
      <c r="I90">
        <v>2014</v>
      </c>
      <c r="J90">
        <f t="shared" si="24"/>
        <v>142.5</v>
      </c>
      <c r="K90" cm="1">
        <f t="array" ref="K90">STOWA2024_JAARROND_T(A90*60,J90,I90,"","")</f>
        <v>230.8724975560483</v>
      </c>
      <c r="L90">
        <f t="shared" si="25"/>
        <v>4.3313950799065302E-3</v>
      </c>
    </row>
    <row r="91" spans="1:12" x14ac:dyDescent="0.3">
      <c r="A91">
        <v>96</v>
      </c>
      <c r="B91">
        <f t="shared" si="22"/>
        <v>1.0629214299124369E-3</v>
      </c>
      <c r="C91">
        <f t="shared" si="0"/>
        <v>1.0629214299124369E-3</v>
      </c>
      <c r="D91" t="s">
        <v>24</v>
      </c>
      <c r="E91" t="s">
        <v>21</v>
      </c>
      <c r="F91">
        <v>1</v>
      </c>
      <c r="G91">
        <f t="shared" si="23"/>
        <v>145</v>
      </c>
      <c r="I91">
        <v>2014</v>
      </c>
      <c r="J91">
        <f t="shared" si="24"/>
        <v>147.5</v>
      </c>
      <c r="K91" cm="1">
        <f t="array" ref="K91">STOWA2024_JAARROND_T(A91*60,J91,I91,"","")</f>
        <v>305.95320846530524</v>
      </c>
      <c r="L91">
        <f t="shared" si="25"/>
        <v>3.2684736499940933E-3</v>
      </c>
    </row>
    <row r="92" spans="1:12" x14ac:dyDescent="0.3">
      <c r="A92">
        <v>96</v>
      </c>
      <c r="B92">
        <f t="shared" si="22"/>
        <v>7.917310386868358E-4</v>
      </c>
      <c r="C92">
        <f t="shared" si="0"/>
        <v>7.917310386868358E-4</v>
      </c>
      <c r="D92" t="s">
        <v>24</v>
      </c>
      <c r="E92" t="s">
        <v>21</v>
      </c>
      <c r="F92">
        <v>1</v>
      </c>
      <c r="G92">
        <f t="shared" si="23"/>
        <v>150</v>
      </c>
      <c r="I92">
        <v>2014</v>
      </c>
      <c r="J92">
        <f t="shared" si="24"/>
        <v>152.5</v>
      </c>
      <c r="K92" cm="1">
        <f t="array" ref="K92">STOWA2024_JAARROND_T(A92*60,J92,I92,"","")</f>
        <v>403.75612525686989</v>
      </c>
      <c r="L92">
        <f t="shared" si="25"/>
        <v>2.4767426113072575E-3</v>
      </c>
    </row>
    <row r="93" spans="1:12" x14ac:dyDescent="0.3">
      <c r="A93">
        <v>96</v>
      </c>
      <c r="B93">
        <f t="shared" si="22"/>
        <v>5.9230329302957518E-4</v>
      </c>
      <c r="C93">
        <f t="shared" si="0"/>
        <v>5.9230329302957518E-4</v>
      </c>
      <c r="D93" t="s">
        <v>24</v>
      </c>
      <c r="E93" t="s">
        <v>21</v>
      </c>
      <c r="F93">
        <v>1</v>
      </c>
      <c r="G93">
        <f t="shared" si="23"/>
        <v>155</v>
      </c>
      <c r="I93">
        <v>2014</v>
      </c>
      <c r="J93">
        <f t="shared" si="24"/>
        <v>157.5</v>
      </c>
      <c r="K93" cm="1">
        <f t="array" ref="K93">STOWA2024_JAARROND_T(A93*60,J93,I93,"","")</f>
        <v>530.66182089321308</v>
      </c>
      <c r="L93">
        <f t="shared" si="25"/>
        <v>1.8844393182776823E-3</v>
      </c>
    </row>
    <row r="94" spans="1:12" x14ac:dyDescent="0.3">
      <c r="A94">
        <v>96</v>
      </c>
      <c r="B94" s="1">
        <f>L93</f>
        <v>1.8844393182776823E-3</v>
      </c>
      <c r="C94">
        <f t="shared" si="0"/>
        <v>1.8844393182776823E-3</v>
      </c>
      <c r="D94" t="s">
        <v>24</v>
      </c>
      <c r="E94" t="s">
        <v>21</v>
      </c>
      <c r="F94">
        <v>1</v>
      </c>
      <c r="G94">
        <f t="shared" si="23"/>
        <v>160</v>
      </c>
      <c r="I94">
        <v>2014</v>
      </c>
      <c r="J94">
        <f>AVERAGE(G94:G95)</f>
        <v>85</v>
      </c>
      <c r="K94" cm="1">
        <f t="array" ref="K94">STOWA2024_JAARROND_T(A94*60,J94,I94,"","")</f>
        <v>6.394865932424926</v>
      </c>
      <c r="L94">
        <f>1/K94</f>
        <v>0.15637544407765264</v>
      </c>
    </row>
    <row r="95" spans="1:12" x14ac:dyDescent="0.3">
      <c r="A95">
        <v>192</v>
      </c>
      <c r="B95" s="1">
        <f>365.25*24/A95 - L95</f>
        <v>-8.5460547250979673</v>
      </c>
      <c r="C95">
        <f>B95</f>
        <v>-8.5460547250979673</v>
      </c>
      <c r="D95" t="s">
        <v>24</v>
      </c>
      <c r="E95" t="s">
        <v>21</v>
      </c>
      <c r="F95">
        <v>1</v>
      </c>
      <c r="G95">
        <v>10</v>
      </c>
      <c r="I95">
        <v>2014</v>
      </c>
      <c r="J95">
        <f>AVERAGE(G95:G97)</f>
        <v>15</v>
      </c>
      <c r="K95" cm="1">
        <f t="array" ref="K95">STOWA2024_JAARROND_T(A95*60,J95,I95,"","")</f>
        <v>1.8449399985328623E-2</v>
      </c>
      <c r="L95">
        <f>1/K95</f>
        <v>54.202304725097967</v>
      </c>
    </row>
    <row r="96" spans="1:12" x14ac:dyDescent="0.3">
      <c r="A96">
        <v>192</v>
      </c>
      <c r="B96">
        <f t="shared" ref="B96:B100" si="26">L95-L96</f>
        <v>7.7224328062273244</v>
      </c>
      <c r="C96">
        <f t="shared" si="0"/>
        <v>7.7224328062273244</v>
      </c>
      <c r="D96" t="s">
        <v>24</v>
      </c>
      <c r="E96" t="s">
        <v>21</v>
      </c>
      <c r="F96">
        <v>1</v>
      </c>
      <c r="G96">
        <f t="shared" ref="G96:G100" si="27">G95+5</f>
        <v>15</v>
      </c>
      <c r="I96">
        <v>2014</v>
      </c>
      <c r="J96">
        <f t="shared" ref="J96:J100" si="28">AVERAGE(G96:G97)</f>
        <v>17.5</v>
      </c>
      <c r="K96" cm="1">
        <f t="array" ref="K96">STOWA2024_JAARROND_T(A96*60,J96,I96,"","")</f>
        <v>2.1514689234631991E-2</v>
      </c>
      <c r="L96">
        <f t="shared" ref="L96:L100" si="29">1/K96</f>
        <v>46.479871918870643</v>
      </c>
    </row>
    <row r="97" spans="1:12" x14ac:dyDescent="0.3">
      <c r="A97">
        <v>192</v>
      </c>
      <c r="B97">
        <f t="shared" si="26"/>
        <v>12.311338318724481</v>
      </c>
      <c r="C97">
        <f t="shared" si="0"/>
        <v>12.311338318724481</v>
      </c>
      <c r="D97" t="s">
        <v>24</v>
      </c>
      <c r="E97" t="s">
        <v>21</v>
      </c>
      <c r="F97">
        <v>1</v>
      </c>
      <c r="G97">
        <f t="shared" si="27"/>
        <v>20</v>
      </c>
      <c r="I97">
        <v>2014</v>
      </c>
      <c r="J97">
        <f t="shared" si="28"/>
        <v>22.5</v>
      </c>
      <c r="K97" cm="1">
        <f t="array" ref="K97">STOWA2024_JAARROND_T(A97*60,J97,I97,"","")</f>
        <v>2.9266693493563395E-2</v>
      </c>
      <c r="L97">
        <f t="shared" si="29"/>
        <v>34.168533600146162</v>
      </c>
    </row>
    <row r="98" spans="1:12" x14ac:dyDescent="0.3">
      <c r="A98">
        <v>192</v>
      </c>
      <c r="B98">
        <f t="shared" si="26"/>
        <v>9.0603275114890636</v>
      </c>
      <c r="C98">
        <f t="shared" si="0"/>
        <v>9.0603275114890636</v>
      </c>
      <c r="D98" t="s">
        <v>24</v>
      </c>
      <c r="E98" t="s">
        <v>21</v>
      </c>
      <c r="F98">
        <v>1</v>
      </c>
      <c r="G98">
        <f t="shared" si="27"/>
        <v>25</v>
      </c>
      <c r="I98">
        <v>2014</v>
      </c>
      <c r="J98">
        <f t="shared" si="28"/>
        <v>27.5</v>
      </c>
      <c r="K98" cm="1">
        <f t="array" ref="K98">STOWA2024_JAARROND_T(A98*60,J98,I98,"","")</f>
        <v>3.9827616376454739E-2</v>
      </c>
      <c r="L98">
        <f t="shared" si="29"/>
        <v>25.108206088657099</v>
      </c>
    </row>
    <row r="99" spans="1:12" x14ac:dyDescent="0.3">
      <c r="A99">
        <v>192</v>
      </c>
      <c r="B99">
        <f t="shared" si="26"/>
        <v>6.6655142500844455</v>
      </c>
      <c r="C99">
        <f t="shared" si="0"/>
        <v>6.6655142500844455</v>
      </c>
      <c r="D99" t="s">
        <v>24</v>
      </c>
      <c r="E99" t="s">
        <v>21</v>
      </c>
      <c r="F99">
        <v>1</v>
      </c>
      <c r="G99">
        <f t="shared" si="27"/>
        <v>30</v>
      </c>
      <c r="I99">
        <v>2014</v>
      </c>
      <c r="J99">
        <f t="shared" si="28"/>
        <v>32.5</v>
      </c>
      <c r="K99" cm="1">
        <f t="array" ref="K99">STOWA2024_JAARROND_T(A99*60,J99,I99,"","")</f>
        <v>5.4222019689583102E-2</v>
      </c>
      <c r="L99">
        <f t="shared" si="29"/>
        <v>18.442691838572653</v>
      </c>
    </row>
    <row r="100" spans="1:12" x14ac:dyDescent="0.3">
      <c r="A100">
        <v>192</v>
      </c>
      <c r="B100">
        <f t="shared" si="26"/>
        <v>4.9015104158585991</v>
      </c>
      <c r="C100">
        <f t="shared" si="0"/>
        <v>4.9015104158585991</v>
      </c>
      <c r="D100" t="s">
        <v>24</v>
      </c>
      <c r="E100" t="s">
        <v>21</v>
      </c>
      <c r="F100">
        <v>1</v>
      </c>
      <c r="G100">
        <f t="shared" si="27"/>
        <v>35</v>
      </c>
      <c r="I100">
        <v>2014</v>
      </c>
      <c r="J100">
        <f t="shared" si="28"/>
        <v>37.5</v>
      </c>
      <c r="K100" cm="1">
        <f t="array" ref="K100">STOWA2024_JAARROND_T(A100*60,J100,I100,"","")</f>
        <v>7.3848800099716144E-2</v>
      </c>
      <c r="L100">
        <f t="shared" si="29"/>
        <v>13.541181422714054</v>
      </c>
    </row>
    <row r="101" spans="1:12" x14ac:dyDescent="0.3">
      <c r="A101">
        <v>192</v>
      </c>
      <c r="B101">
        <f>L100-L101</f>
        <v>3.602882342904314</v>
      </c>
      <c r="C101">
        <f t="shared" si="0"/>
        <v>3.602882342904314</v>
      </c>
      <c r="D101" t="s">
        <v>24</v>
      </c>
      <c r="E101" t="s">
        <v>21</v>
      </c>
      <c r="F101">
        <v>1</v>
      </c>
      <c r="G101">
        <f>G100+5</f>
        <v>40</v>
      </c>
      <c r="I101">
        <v>2014</v>
      </c>
      <c r="J101">
        <f>AVERAGE(G101:G102)</f>
        <v>42.5</v>
      </c>
      <c r="K101" cm="1">
        <f t="array" ref="K101">STOWA2024_JAARROND_T(A101*60,J101,I101,"","")</f>
        <v>0.10062083984084973</v>
      </c>
      <c r="L101">
        <f>1/K101</f>
        <v>9.9382990798097399</v>
      </c>
    </row>
    <row r="102" spans="1:12" x14ac:dyDescent="0.3">
      <c r="A102">
        <v>192</v>
      </c>
      <c r="B102">
        <f t="shared" ref="B102:B124" si="30">L101-L102</f>
        <v>2.6472460475164086</v>
      </c>
      <c r="C102">
        <f t="shared" si="0"/>
        <v>2.6472460475164086</v>
      </c>
      <c r="D102" t="s">
        <v>24</v>
      </c>
      <c r="E102" t="s">
        <v>21</v>
      </c>
      <c r="F102">
        <v>1</v>
      </c>
      <c r="G102">
        <f t="shared" ref="G102:G125" si="31">G101+5</f>
        <v>45</v>
      </c>
      <c r="I102">
        <v>2014</v>
      </c>
      <c r="J102">
        <f t="shared" ref="J102:J124" si="32">AVERAGE(G102:G103)</f>
        <v>47.5</v>
      </c>
      <c r="K102" cm="1">
        <f t="array" ref="K102">STOWA2024_JAARROND_T(A102*60,J102,I102,"","")</f>
        <v>0.13715439944968547</v>
      </c>
      <c r="L102">
        <f t="shared" ref="L102:L124" si="33">1/K102</f>
        <v>7.2910530322933313</v>
      </c>
    </row>
    <row r="103" spans="1:12" x14ac:dyDescent="0.3">
      <c r="A103">
        <v>192</v>
      </c>
      <c r="B103">
        <f t="shared" si="30"/>
        <v>1.9443605564131081</v>
      </c>
      <c r="C103">
        <f t="shared" si="0"/>
        <v>1.9443605564131081</v>
      </c>
      <c r="D103" t="s">
        <v>24</v>
      </c>
      <c r="E103" t="s">
        <v>21</v>
      </c>
      <c r="F103">
        <v>1</v>
      </c>
      <c r="G103">
        <f t="shared" si="31"/>
        <v>50</v>
      </c>
      <c r="I103">
        <v>2014</v>
      </c>
      <c r="J103">
        <f t="shared" si="32"/>
        <v>52.5</v>
      </c>
      <c r="K103" cm="1">
        <f t="array" ref="K103">STOWA2024_JAARROND_T(A103*60,J103,I103,"","")</f>
        <v>0.18703151612163191</v>
      </c>
      <c r="L103">
        <f t="shared" si="33"/>
        <v>5.3466924758802232</v>
      </c>
    </row>
    <row r="104" spans="1:12" x14ac:dyDescent="0.3">
      <c r="A104">
        <v>192</v>
      </c>
      <c r="B104">
        <f t="shared" si="30"/>
        <v>1.4273965885624156</v>
      </c>
      <c r="C104">
        <f t="shared" si="0"/>
        <v>1.4273965885624156</v>
      </c>
      <c r="D104" t="s">
        <v>24</v>
      </c>
      <c r="E104" t="s">
        <v>21</v>
      </c>
      <c r="F104">
        <v>1</v>
      </c>
      <c r="G104">
        <f t="shared" si="31"/>
        <v>55</v>
      </c>
      <c r="I104">
        <v>2014</v>
      </c>
      <c r="J104">
        <f t="shared" si="32"/>
        <v>57.5</v>
      </c>
      <c r="K104" cm="1">
        <f t="array" ref="K104">STOWA2024_JAARROND_T(A104*60,J104,I104,"","")</f>
        <v>0.25514787062539329</v>
      </c>
      <c r="L104">
        <f t="shared" si="33"/>
        <v>3.9192958873178076</v>
      </c>
    </row>
    <row r="105" spans="1:12" x14ac:dyDescent="0.3">
      <c r="A105">
        <v>192</v>
      </c>
      <c r="B105">
        <f t="shared" si="30"/>
        <v>1.0475402549690407</v>
      </c>
      <c r="C105">
        <f t="shared" si="0"/>
        <v>1.0475402549690407</v>
      </c>
      <c r="D105" t="s">
        <v>24</v>
      </c>
      <c r="E105" t="s">
        <v>21</v>
      </c>
      <c r="F105">
        <v>1</v>
      </c>
      <c r="G105">
        <f t="shared" si="31"/>
        <v>60</v>
      </c>
      <c r="I105">
        <v>2014</v>
      </c>
      <c r="J105">
        <f t="shared" si="32"/>
        <v>62.5</v>
      </c>
      <c r="K105" cm="1">
        <f t="array" ref="K105">STOWA2024_JAARROND_T(A105*60,J105,I105,"","")</f>
        <v>0.34821904368726342</v>
      </c>
      <c r="L105">
        <f t="shared" si="33"/>
        <v>2.871755632348767</v>
      </c>
    </row>
    <row r="106" spans="1:12" x14ac:dyDescent="0.3">
      <c r="A106">
        <v>192</v>
      </c>
      <c r="B106">
        <f t="shared" si="30"/>
        <v>0.76841713880783935</v>
      </c>
      <c r="C106">
        <f t="shared" si="0"/>
        <v>0.76841713880783935</v>
      </c>
      <c r="D106" t="s">
        <v>24</v>
      </c>
      <c r="E106" t="s">
        <v>21</v>
      </c>
      <c r="F106">
        <v>1</v>
      </c>
      <c r="G106">
        <f t="shared" si="31"/>
        <v>65</v>
      </c>
      <c r="I106">
        <v>2014</v>
      </c>
      <c r="J106">
        <f t="shared" si="32"/>
        <v>67.5</v>
      </c>
      <c r="K106" cm="1">
        <f t="array" ref="K106">STOWA2024_JAARROND_T(A106*60,J106,I106,"","")</f>
        <v>0.47543464975840399</v>
      </c>
      <c r="L106">
        <f t="shared" si="33"/>
        <v>2.1033384935409276</v>
      </c>
    </row>
    <row r="107" spans="1:12" x14ac:dyDescent="0.3">
      <c r="A107">
        <v>192</v>
      </c>
      <c r="B107">
        <f t="shared" si="30"/>
        <v>0.56346255485483376</v>
      </c>
      <c r="C107">
        <f t="shared" si="0"/>
        <v>0.56346255485483376</v>
      </c>
      <c r="D107" t="s">
        <v>24</v>
      </c>
      <c r="E107" t="s">
        <v>21</v>
      </c>
      <c r="F107">
        <v>1</v>
      </c>
      <c r="G107">
        <f t="shared" si="31"/>
        <v>70</v>
      </c>
      <c r="I107">
        <v>2014</v>
      </c>
      <c r="J107">
        <f t="shared" si="32"/>
        <v>72.5</v>
      </c>
      <c r="K107" cm="1">
        <f t="array" ref="K107">STOWA2024_JAARROND_T(A107*60,J107,I107,"","")</f>
        <v>0.64940296479549808</v>
      </c>
      <c r="L107">
        <f t="shared" si="33"/>
        <v>1.5398759386860938</v>
      </c>
    </row>
    <row r="108" spans="1:12" x14ac:dyDescent="0.3">
      <c r="A108">
        <v>192</v>
      </c>
      <c r="B108">
        <f t="shared" si="30"/>
        <v>0.41298007052311259</v>
      </c>
      <c r="C108">
        <f t="shared" si="0"/>
        <v>0.41298007052311259</v>
      </c>
      <c r="D108" t="s">
        <v>24</v>
      </c>
      <c r="E108" t="s">
        <v>21</v>
      </c>
      <c r="F108">
        <v>1</v>
      </c>
      <c r="G108">
        <f t="shared" si="31"/>
        <v>75</v>
      </c>
      <c r="I108">
        <v>2014</v>
      </c>
      <c r="J108">
        <f t="shared" si="32"/>
        <v>77.5</v>
      </c>
      <c r="K108" cm="1">
        <f t="array" ref="K108">STOWA2024_JAARROND_T(A108*60,J108,I108,"","")</f>
        <v>0.88739343913839908</v>
      </c>
      <c r="L108">
        <f t="shared" si="33"/>
        <v>1.1268958681629813</v>
      </c>
    </row>
    <row r="109" spans="1:12" x14ac:dyDescent="0.3">
      <c r="A109">
        <v>192</v>
      </c>
      <c r="B109">
        <f t="shared" si="30"/>
        <v>0.30249222830275335</v>
      </c>
      <c r="C109">
        <f t="shared" si="0"/>
        <v>0.30249222830275335</v>
      </c>
      <c r="D109" t="s">
        <v>24</v>
      </c>
      <c r="E109" t="s">
        <v>21</v>
      </c>
      <c r="F109">
        <v>1</v>
      </c>
      <c r="G109">
        <f t="shared" si="31"/>
        <v>80</v>
      </c>
      <c r="I109">
        <v>2014</v>
      </c>
      <c r="J109">
        <f t="shared" si="32"/>
        <v>82.5</v>
      </c>
      <c r="K109" cm="1">
        <f t="array" ref="K109">STOWA2024_JAARROND_T(A109*60,J109,I109,"","")</f>
        <v>1.2129980408256607</v>
      </c>
      <c r="L109">
        <f t="shared" si="33"/>
        <v>0.82440363986022791</v>
      </c>
    </row>
    <row r="110" spans="1:12" x14ac:dyDescent="0.3">
      <c r="A110">
        <v>192</v>
      </c>
      <c r="B110">
        <f t="shared" si="30"/>
        <v>0.22159930078291135</v>
      </c>
      <c r="C110">
        <f t="shared" si="0"/>
        <v>0.22159930078291135</v>
      </c>
      <c r="D110" t="s">
        <v>24</v>
      </c>
      <c r="E110" t="s">
        <v>21</v>
      </c>
      <c r="F110">
        <v>1</v>
      </c>
      <c r="G110">
        <f t="shared" si="31"/>
        <v>85</v>
      </c>
      <c r="I110">
        <v>2014</v>
      </c>
      <c r="J110">
        <f t="shared" si="32"/>
        <v>87.5</v>
      </c>
      <c r="K110" cm="1">
        <f t="array" ref="K110">STOWA2024_JAARROND_T(A110*60,J110,I110,"","")</f>
        <v>1.6589130753946657</v>
      </c>
      <c r="L110">
        <f t="shared" si="33"/>
        <v>0.60280433907731656</v>
      </c>
    </row>
    <row r="111" spans="1:12" x14ac:dyDescent="0.3">
      <c r="A111">
        <v>192</v>
      </c>
      <c r="B111">
        <f t="shared" si="30"/>
        <v>0.16221855631385668</v>
      </c>
      <c r="C111">
        <f t="shared" si="0"/>
        <v>0.16221855631385668</v>
      </c>
      <c r="D111" t="s">
        <v>24</v>
      </c>
      <c r="E111" t="s">
        <v>21</v>
      </c>
      <c r="F111">
        <v>1</v>
      </c>
      <c r="G111">
        <f t="shared" si="31"/>
        <v>90</v>
      </c>
      <c r="I111">
        <v>2014</v>
      </c>
      <c r="J111">
        <f t="shared" si="32"/>
        <v>92.5</v>
      </c>
      <c r="K111" cm="1">
        <f t="array" ref="K111">STOWA2024_JAARROND_T(A111*60,J111,I111,"","")</f>
        <v>2.2697055581951822</v>
      </c>
      <c r="L111">
        <f t="shared" si="33"/>
        <v>0.44058578276345989</v>
      </c>
    </row>
    <row r="112" spans="1:12" x14ac:dyDescent="0.3">
      <c r="A112">
        <v>192</v>
      </c>
      <c r="B112">
        <f t="shared" si="30"/>
        <v>0.1187018746014819</v>
      </c>
      <c r="C112">
        <f t="shared" si="0"/>
        <v>0.1187018746014819</v>
      </c>
      <c r="D112" t="s">
        <v>24</v>
      </c>
      <c r="E112" t="s">
        <v>21</v>
      </c>
      <c r="F112">
        <v>1</v>
      </c>
      <c r="G112">
        <f t="shared" si="31"/>
        <v>95</v>
      </c>
      <c r="I112">
        <v>2014</v>
      </c>
      <c r="J112">
        <f t="shared" si="32"/>
        <v>97.5</v>
      </c>
      <c r="K112" cm="1">
        <f t="array" ref="K112">STOWA2024_JAARROND_T(A112*60,J112,I112,"","")</f>
        <v>3.1067101356827735</v>
      </c>
      <c r="L112">
        <f t="shared" si="33"/>
        <v>0.32188390816197798</v>
      </c>
    </row>
    <row r="113" spans="1:12" x14ac:dyDescent="0.3">
      <c r="A113">
        <v>192</v>
      </c>
      <c r="B113">
        <f t="shared" si="30"/>
        <v>8.6819320320126708E-2</v>
      </c>
      <c r="C113">
        <f t="shared" si="0"/>
        <v>8.6819320320126708E-2</v>
      </c>
      <c r="D113" t="s">
        <v>24</v>
      </c>
      <c r="E113" t="s">
        <v>21</v>
      </c>
      <c r="F113">
        <v>1</v>
      </c>
      <c r="G113">
        <f t="shared" si="31"/>
        <v>100</v>
      </c>
      <c r="I113">
        <v>2014</v>
      </c>
      <c r="J113">
        <f t="shared" si="32"/>
        <v>102.5</v>
      </c>
      <c r="K113" cm="1">
        <f t="array" ref="K113">STOWA2024_JAARROND_T(A113*60,J113,I113,"","")</f>
        <v>4.254149930370577</v>
      </c>
      <c r="L113">
        <f t="shared" si="33"/>
        <v>0.23506458784185127</v>
      </c>
    </row>
    <row r="114" spans="1:12" x14ac:dyDescent="0.3">
      <c r="A114">
        <v>192</v>
      </c>
      <c r="B114">
        <f t="shared" si="30"/>
        <v>6.3476537548437878E-2</v>
      </c>
      <c r="C114">
        <f t="shared" si="0"/>
        <v>6.3476537548437878E-2</v>
      </c>
      <c r="D114" t="s">
        <v>24</v>
      </c>
      <c r="E114" t="s">
        <v>21</v>
      </c>
      <c r="F114">
        <v>1</v>
      </c>
      <c r="G114">
        <f t="shared" si="31"/>
        <v>105</v>
      </c>
      <c r="I114">
        <v>2014</v>
      </c>
      <c r="J114">
        <f t="shared" si="32"/>
        <v>107.5</v>
      </c>
      <c r="K114" cm="1">
        <f t="array" ref="K114">STOWA2024_JAARROND_T(A114*60,J114,I114,"","")</f>
        <v>5.8279116657017349</v>
      </c>
      <c r="L114">
        <f t="shared" si="33"/>
        <v>0.1715880502934134</v>
      </c>
    </row>
    <row r="115" spans="1:12" x14ac:dyDescent="0.3">
      <c r="A115">
        <v>192</v>
      </c>
      <c r="B115">
        <f t="shared" si="30"/>
        <v>4.6387728125294486E-2</v>
      </c>
      <c r="C115">
        <f t="shared" si="0"/>
        <v>4.6387728125294486E-2</v>
      </c>
      <c r="D115" t="s">
        <v>24</v>
      </c>
      <c r="E115" t="s">
        <v>21</v>
      </c>
      <c r="F115">
        <v>1</v>
      </c>
      <c r="G115">
        <f t="shared" si="31"/>
        <v>110</v>
      </c>
      <c r="I115">
        <v>2014</v>
      </c>
      <c r="J115">
        <f t="shared" si="32"/>
        <v>112.5</v>
      </c>
      <c r="K115" cm="1">
        <f t="array" ref="K115">STOWA2024_JAARROND_T(A115*60,J115,I115,"","")</f>
        <v>7.9871998943996374</v>
      </c>
      <c r="L115">
        <f t="shared" si="33"/>
        <v>0.12520032216811891</v>
      </c>
    </row>
    <row r="116" spans="1:12" x14ac:dyDescent="0.3">
      <c r="A116">
        <v>192</v>
      </c>
      <c r="B116">
        <f t="shared" si="30"/>
        <v>3.3886065033070234E-2</v>
      </c>
      <c r="C116">
        <f t="shared" si="0"/>
        <v>3.3886065033070234E-2</v>
      </c>
      <c r="D116" t="s">
        <v>24</v>
      </c>
      <c r="E116" t="s">
        <v>21</v>
      </c>
      <c r="F116">
        <v>1</v>
      </c>
      <c r="G116">
        <f t="shared" si="31"/>
        <v>115</v>
      </c>
      <c r="I116">
        <v>2014</v>
      </c>
      <c r="J116">
        <f t="shared" si="32"/>
        <v>117.5</v>
      </c>
      <c r="K116" cm="1">
        <f t="array" ref="K116">STOWA2024_JAARROND_T(A116*60,J116,I116,"","")</f>
        <v>10.951192413700042</v>
      </c>
      <c r="L116">
        <f t="shared" si="33"/>
        <v>9.1314257135048676E-2</v>
      </c>
    </row>
    <row r="117" spans="1:12" x14ac:dyDescent="0.3">
      <c r="A117">
        <v>192</v>
      </c>
      <c r="B117">
        <f t="shared" si="30"/>
        <v>2.4743110472328966E-2</v>
      </c>
      <c r="C117">
        <f t="shared" si="0"/>
        <v>2.4743110472328966E-2</v>
      </c>
      <c r="D117" t="s">
        <v>24</v>
      </c>
      <c r="E117" t="s">
        <v>21</v>
      </c>
      <c r="F117">
        <v>1</v>
      </c>
      <c r="G117">
        <f t="shared" si="31"/>
        <v>120</v>
      </c>
      <c r="I117">
        <v>2014</v>
      </c>
      <c r="J117">
        <f t="shared" si="32"/>
        <v>122.5</v>
      </c>
      <c r="K117" cm="1">
        <f t="array" ref="K117">STOWA2024_JAARROND_T(A117*60,J117,I117,"","")</f>
        <v>15.021522838812789</v>
      </c>
      <c r="L117">
        <f t="shared" si="33"/>
        <v>6.657114666271971E-2</v>
      </c>
    </row>
    <row r="118" spans="1:12" x14ac:dyDescent="0.3">
      <c r="A118">
        <v>192</v>
      </c>
      <c r="B118">
        <f t="shared" si="30"/>
        <v>1.8059353330081372E-2</v>
      </c>
      <c r="C118">
        <f t="shared" si="0"/>
        <v>1.8059353330081372E-2</v>
      </c>
      <c r="D118" t="s">
        <v>24</v>
      </c>
      <c r="E118" t="s">
        <v>21</v>
      </c>
      <c r="F118">
        <v>1</v>
      </c>
      <c r="G118">
        <f t="shared" si="31"/>
        <v>125</v>
      </c>
      <c r="I118">
        <v>2014</v>
      </c>
      <c r="J118">
        <f t="shared" si="32"/>
        <v>127.5</v>
      </c>
      <c r="K118" cm="1">
        <f t="array" ref="K118">STOWA2024_JAARROND_T(A118*60,J118,I118,"","")</f>
        <v>20.613544280730768</v>
      </c>
      <c r="L118">
        <f t="shared" si="33"/>
        <v>4.8511793332638338E-2</v>
      </c>
    </row>
    <row r="119" spans="1:12" x14ac:dyDescent="0.3">
      <c r="A119">
        <v>192</v>
      </c>
      <c r="B119">
        <f t="shared" si="30"/>
        <v>1.3175418674828035E-2</v>
      </c>
      <c r="C119">
        <f t="shared" si="0"/>
        <v>1.3175418674828035E-2</v>
      </c>
      <c r="D119" t="s">
        <v>24</v>
      </c>
      <c r="E119" t="s">
        <v>21</v>
      </c>
      <c r="F119">
        <v>1</v>
      </c>
      <c r="G119">
        <f t="shared" si="31"/>
        <v>130</v>
      </c>
      <c r="I119">
        <v>2014</v>
      </c>
      <c r="J119">
        <f t="shared" si="32"/>
        <v>132.5</v>
      </c>
      <c r="K119" cm="1">
        <f t="array" ref="K119">STOWA2024_JAARROND_T(A119*60,J119,I119,"","")</f>
        <v>28.299450910960179</v>
      </c>
      <c r="L119">
        <f t="shared" si="33"/>
        <v>3.5336374657810303E-2</v>
      </c>
    </row>
    <row r="120" spans="1:12" x14ac:dyDescent="0.3">
      <c r="A120">
        <v>192</v>
      </c>
      <c r="B120">
        <f t="shared" si="30"/>
        <v>9.6083325833444221E-3</v>
      </c>
      <c r="C120">
        <f t="shared" si="0"/>
        <v>9.6083325833444221E-3</v>
      </c>
      <c r="D120" t="s">
        <v>24</v>
      </c>
      <c r="E120" t="s">
        <v>21</v>
      </c>
      <c r="F120">
        <v>1</v>
      </c>
      <c r="G120">
        <f t="shared" si="31"/>
        <v>135</v>
      </c>
      <c r="I120">
        <v>2014</v>
      </c>
      <c r="J120">
        <f t="shared" si="32"/>
        <v>137.5</v>
      </c>
      <c r="K120" cm="1">
        <f t="array" ref="K120">STOWA2024_JAARROND_T(A120*60,J120,I120,"","")</f>
        <v>38.868095640766327</v>
      </c>
      <c r="L120">
        <f t="shared" si="33"/>
        <v>2.5728042074465881E-2</v>
      </c>
    </row>
    <row r="121" spans="1:12" x14ac:dyDescent="0.3">
      <c r="A121">
        <v>192</v>
      </c>
      <c r="B121">
        <f t="shared" si="30"/>
        <v>7.0036936916482266E-3</v>
      </c>
      <c r="C121">
        <f t="shared" si="0"/>
        <v>7.0036936916482266E-3</v>
      </c>
      <c r="D121" t="s">
        <v>24</v>
      </c>
      <c r="E121" t="s">
        <v>21</v>
      </c>
      <c r="F121">
        <v>1</v>
      </c>
      <c r="G121">
        <f t="shared" si="31"/>
        <v>140</v>
      </c>
      <c r="I121">
        <v>2014</v>
      </c>
      <c r="J121">
        <f t="shared" si="32"/>
        <v>142.5</v>
      </c>
      <c r="K121" cm="1">
        <f t="array" ref="K121">STOWA2024_JAARROND_T(A121*60,J121,I121,"","")</f>
        <v>53.406397891936642</v>
      </c>
      <c r="L121">
        <f t="shared" si="33"/>
        <v>1.8724348382817654E-2</v>
      </c>
    </row>
    <row r="122" spans="1:12" x14ac:dyDescent="0.3">
      <c r="A122">
        <v>192</v>
      </c>
      <c r="B122">
        <f t="shared" si="30"/>
        <v>5.1030479034944211E-3</v>
      </c>
      <c r="C122">
        <f t="shared" si="0"/>
        <v>5.1030479034944211E-3</v>
      </c>
      <c r="D122" t="s">
        <v>24</v>
      </c>
      <c r="E122" t="s">
        <v>21</v>
      </c>
      <c r="F122">
        <v>1</v>
      </c>
      <c r="G122">
        <f t="shared" si="31"/>
        <v>145</v>
      </c>
      <c r="I122">
        <v>2014</v>
      </c>
      <c r="J122">
        <f t="shared" si="32"/>
        <v>147.5</v>
      </c>
      <c r="K122" cm="1">
        <f t="array" ref="K122">STOWA2024_JAARROND_T(A122*60,J122,I122,"","")</f>
        <v>73.414429225606838</v>
      </c>
      <c r="L122">
        <f t="shared" si="33"/>
        <v>1.3621300479323233E-2</v>
      </c>
    </row>
    <row r="123" spans="1:12" x14ac:dyDescent="0.3">
      <c r="A123">
        <v>192</v>
      </c>
      <c r="B123">
        <f t="shared" si="30"/>
        <v>3.7165893982455747E-3</v>
      </c>
      <c r="C123">
        <f t="shared" si="0"/>
        <v>3.7165893982455747E-3</v>
      </c>
      <c r="D123" t="s">
        <v>24</v>
      </c>
      <c r="E123" t="s">
        <v>21</v>
      </c>
      <c r="F123">
        <v>1</v>
      </c>
      <c r="G123">
        <f t="shared" si="31"/>
        <v>150</v>
      </c>
      <c r="I123">
        <v>2014</v>
      </c>
      <c r="J123">
        <f t="shared" si="32"/>
        <v>152.5</v>
      </c>
      <c r="K123" cm="1">
        <f t="array" ref="K123">STOWA2024_JAARROND_T(A123*60,J123,I123,"","")</f>
        <v>100.96205652181399</v>
      </c>
      <c r="L123">
        <f t="shared" si="33"/>
        <v>9.9047110810776585E-3</v>
      </c>
    </row>
    <row r="124" spans="1:12" x14ac:dyDescent="0.3">
      <c r="A124">
        <v>192</v>
      </c>
      <c r="B124">
        <f t="shared" si="30"/>
        <v>2.7056490196688057E-3</v>
      </c>
      <c r="C124">
        <f t="shared" si="0"/>
        <v>2.7056490196688057E-3</v>
      </c>
      <c r="D124" t="s">
        <v>24</v>
      </c>
      <c r="E124" t="s">
        <v>21</v>
      </c>
      <c r="F124">
        <v>1</v>
      </c>
      <c r="G124">
        <f t="shared" si="31"/>
        <v>155</v>
      </c>
      <c r="I124">
        <v>2014</v>
      </c>
      <c r="J124">
        <f t="shared" si="32"/>
        <v>157.5</v>
      </c>
      <c r="K124" cm="1">
        <f t="array" ref="K124">STOWA2024_JAARROND_T(A124*60,J124,I124,"","")</f>
        <v>138.90698419736924</v>
      </c>
      <c r="L124">
        <f t="shared" si="33"/>
        <v>7.1990620614088528E-3</v>
      </c>
    </row>
    <row r="125" spans="1:12" x14ac:dyDescent="0.3">
      <c r="A125">
        <v>192</v>
      </c>
      <c r="B125" s="1">
        <f>L124</f>
        <v>7.1990620614088528E-3</v>
      </c>
      <c r="C125">
        <f t="shared" si="0"/>
        <v>7.1990620614088528E-3</v>
      </c>
      <c r="D125" t="s">
        <v>24</v>
      </c>
      <c r="E125" t="s">
        <v>21</v>
      </c>
      <c r="F125">
        <v>1</v>
      </c>
      <c r="G125">
        <f t="shared" si="31"/>
        <v>160</v>
      </c>
      <c r="I125">
        <v>2014</v>
      </c>
      <c r="J125">
        <f>AVERAGE(G125:G126)</f>
        <v>85</v>
      </c>
      <c r="K125" cm="1">
        <f t="array" ref="K125">STOWA2024_JAARROND_T(A125*60,J125,I125,"","")</f>
        <v>1.4184669614313807</v>
      </c>
      <c r="L125">
        <f>1/K125</f>
        <v>0.7049864587546657</v>
      </c>
    </row>
    <row r="126" spans="1:12" x14ac:dyDescent="0.3">
      <c r="A126">
        <v>216</v>
      </c>
      <c r="B126" s="1">
        <f>365.25*24/A126 - L126</f>
        <v>-15.281678298460243</v>
      </c>
      <c r="C126">
        <f>B126</f>
        <v>-15.281678298460243</v>
      </c>
      <c r="D126" t="s">
        <v>24</v>
      </c>
      <c r="E126" t="s">
        <v>21</v>
      </c>
      <c r="F126">
        <v>1</v>
      </c>
      <c r="G126">
        <v>10</v>
      </c>
      <c r="I126">
        <v>2014</v>
      </c>
      <c r="J126">
        <f>AVERAGE(G126:G128)</f>
        <v>15</v>
      </c>
      <c r="K126" cm="1">
        <f t="array" ref="K126">STOWA2024_JAARROND_T(A126*60,J126,I126,"","")</f>
        <v>1.7900291627808158E-2</v>
      </c>
      <c r="L126">
        <f>1/K126</f>
        <v>55.865011631793578</v>
      </c>
    </row>
    <row r="127" spans="1:12" x14ac:dyDescent="0.3">
      <c r="A127">
        <v>216</v>
      </c>
      <c r="B127">
        <f t="shared" ref="B127:B131" si="34">L126-L127</f>
        <v>7.3902749439459186</v>
      </c>
      <c r="C127">
        <f t="shared" si="0"/>
        <v>7.3902749439459186</v>
      </c>
      <c r="D127" t="s">
        <v>24</v>
      </c>
      <c r="E127" t="s">
        <v>21</v>
      </c>
      <c r="F127">
        <v>1</v>
      </c>
      <c r="G127">
        <f t="shared" ref="G127:G131" si="35">G126+5</f>
        <v>15</v>
      </c>
      <c r="I127">
        <v>2014</v>
      </c>
      <c r="J127">
        <f t="shared" ref="J127:J131" si="36">AVERAGE(G127:G128)</f>
        <v>17.5</v>
      </c>
      <c r="K127" cm="1">
        <f t="array" ref="K127">STOWA2024_JAARROND_T(A127*60,J127,I127,"","")</f>
        <v>2.0629302360928435E-2</v>
      </c>
      <c r="L127">
        <f t="shared" ref="L127:L131" si="37">1/K127</f>
        <v>48.47473668784766</v>
      </c>
    </row>
    <row r="128" spans="1:12" x14ac:dyDescent="0.3">
      <c r="A128">
        <v>216</v>
      </c>
      <c r="B128">
        <f t="shared" si="34"/>
        <v>12.010131561687977</v>
      </c>
      <c r="C128">
        <f t="shared" si="0"/>
        <v>12.010131561687977</v>
      </c>
      <c r="D128" t="s">
        <v>24</v>
      </c>
      <c r="E128" t="s">
        <v>21</v>
      </c>
      <c r="F128">
        <v>1</v>
      </c>
      <c r="G128">
        <f t="shared" si="35"/>
        <v>20</v>
      </c>
      <c r="I128">
        <v>2014</v>
      </c>
      <c r="J128">
        <f t="shared" si="36"/>
        <v>22.5</v>
      </c>
      <c r="K128" cm="1">
        <f t="array" ref="K128">STOWA2024_JAARROND_T(A128*60,J128,I128,"","")</f>
        <v>2.7423853803989245E-2</v>
      </c>
      <c r="L128">
        <f t="shared" si="37"/>
        <v>36.464605126159682</v>
      </c>
    </row>
    <row r="129" spans="1:12" x14ac:dyDescent="0.3">
      <c r="A129">
        <v>216</v>
      </c>
      <c r="B129">
        <f t="shared" si="34"/>
        <v>9.0684848659795705</v>
      </c>
      <c r="C129">
        <f t="shared" si="0"/>
        <v>9.0684848659795705</v>
      </c>
      <c r="D129" t="s">
        <v>24</v>
      </c>
      <c r="E129" t="s">
        <v>21</v>
      </c>
      <c r="F129">
        <v>1</v>
      </c>
      <c r="G129">
        <f t="shared" si="35"/>
        <v>25</v>
      </c>
      <c r="I129">
        <v>2014</v>
      </c>
      <c r="J129">
        <f t="shared" si="36"/>
        <v>27.5</v>
      </c>
      <c r="K129" cm="1">
        <f t="array" ref="K129">STOWA2024_JAARROND_T(A129*60,J129,I129,"","")</f>
        <v>3.6501518846575015E-2</v>
      </c>
      <c r="L129">
        <f t="shared" si="37"/>
        <v>27.396120260180112</v>
      </c>
    </row>
    <row r="130" spans="1:12" x14ac:dyDescent="0.3">
      <c r="A130">
        <v>216</v>
      </c>
      <c r="B130">
        <f t="shared" si="34"/>
        <v>6.8384689149057856</v>
      </c>
      <c r="C130">
        <f t="shared" si="0"/>
        <v>6.8384689149057856</v>
      </c>
      <c r="D130" t="s">
        <v>24</v>
      </c>
      <c r="E130" t="s">
        <v>21</v>
      </c>
      <c r="F130">
        <v>1</v>
      </c>
      <c r="G130">
        <f t="shared" si="35"/>
        <v>30</v>
      </c>
      <c r="I130">
        <v>2014</v>
      </c>
      <c r="J130">
        <f t="shared" si="36"/>
        <v>32.5</v>
      </c>
      <c r="K130" cm="1">
        <f t="array" ref="K130">STOWA2024_JAARROND_T(A130*60,J130,I130,"","")</f>
        <v>4.8643689067616867E-2</v>
      </c>
      <c r="L130">
        <f t="shared" si="37"/>
        <v>20.557651345274326</v>
      </c>
    </row>
    <row r="131" spans="1:12" x14ac:dyDescent="0.3">
      <c r="A131">
        <v>216</v>
      </c>
      <c r="B131">
        <f t="shared" si="34"/>
        <v>5.1510436389344765</v>
      </c>
      <c r="C131">
        <f t="shared" si="0"/>
        <v>5.1510436389344765</v>
      </c>
      <c r="D131" t="s">
        <v>24</v>
      </c>
      <c r="E131" t="s">
        <v>21</v>
      </c>
      <c r="F131">
        <v>1</v>
      </c>
      <c r="G131">
        <f t="shared" si="35"/>
        <v>35</v>
      </c>
      <c r="I131">
        <v>2014</v>
      </c>
      <c r="J131">
        <f t="shared" si="36"/>
        <v>37.5</v>
      </c>
      <c r="K131" cm="1">
        <f t="array" ref="K131">STOWA2024_JAARROND_T(A131*60,J131,I131,"","")</f>
        <v>6.4907215076846408E-2</v>
      </c>
      <c r="L131">
        <f t="shared" si="37"/>
        <v>15.40660770633985</v>
      </c>
    </row>
    <row r="132" spans="1:12" x14ac:dyDescent="0.3">
      <c r="A132">
        <v>216</v>
      </c>
      <c r="B132">
        <f>L131-L132</f>
        <v>3.8751437980425418</v>
      </c>
      <c r="C132">
        <f t="shared" si="0"/>
        <v>3.8751437980425418</v>
      </c>
      <c r="D132" t="s">
        <v>24</v>
      </c>
      <c r="E132" t="s">
        <v>21</v>
      </c>
      <c r="F132">
        <v>1</v>
      </c>
      <c r="G132">
        <f>G131+5</f>
        <v>40</v>
      </c>
      <c r="I132">
        <v>2014</v>
      </c>
      <c r="J132">
        <f>AVERAGE(G132:G133)</f>
        <v>42.5</v>
      </c>
      <c r="K132" cm="1">
        <f t="array" ref="K132">STOWA2024_JAARROND_T(A132*60,J132,I132,"","")</f>
        <v>8.6719258539279087E-2</v>
      </c>
      <c r="L132">
        <f>1/K132</f>
        <v>11.531463908297308</v>
      </c>
    </row>
    <row r="133" spans="1:12" x14ac:dyDescent="0.3">
      <c r="A133">
        <v>216</v>
      </c>
      <c r="B133">
        <f t="shared" ref="B133:B155" si="38">L132-L133</f>
        <v>2.9113436328975961</v>
      </c>
      <c r="C133">
        <f t="shared" si="0"/>
        <v>2.9113436328975961</v>
      </c>
      <c r="D133" t="s">
        <v>24</v>
      </c>
      <c r="E133" t="s">
        <v>21</v>
      </c>
      <c r="F133">
        <v>1</v>
      </c>
      <c r="G133">
        <f t="shared" ref="G133:G156" si="39">G132+5</f>
        <v>45</v>
      </c>
      <c r="I133">
        <v>2014</v>
      </c>
      <c r="J133">
        <f t="shared" ref="J133:J155" si="40">AVERAGE(G133:G134)</f>
        <v>47.5</v>
      </c>
      <c r="K133" cm="1">
        <f t="array" ref="K133">STOWA2024_JAARROND_T(A133*60,J133,I133,"","")</f>
        <v>0.11600766208028696</v>
      </c>
      <c r="L133">
        <f t="shared" ref="L133:L155" si="41">1/K133</f>
        <v>8.6201202753997119</v>
      </c>
    </row>
    <row r="134" spans="1:12" x14ac:dyDescent="0.3">
      <c r="A134">
        <v>216</v>
      </c>
      <c r="B134">
        <f t="shared" si="38"/>
        <v>2.1846220862505294</v>
      </c>
      <c r="C134">
        <f t="shared" si="0"/>
        <v>2.1846220862505294</v>
      </c>
      <c r="D134" t="s">
        <v>24</v>
      </c>
      <c r="E134" t="s">
        <v>21</v>
      </c>
      <c r="F134">
        <v>1</v>
      </c>
      <c r="G134">
        <f t="shared" si="39"/>
        <v>50</v>
      </c>
      <c r="I134">
        <v>2014</v>
      </c>
      <c r="J134">
        <f t="shared" si="40"/>
        <v>52.5</v>
      </c>
      <c r="K134" cm="1">
        <f t="array" ref="K134">STOWA2024_JAARROND_T(A134*60,J134,I134,"","")</f>
        <v>0.15538812545796193</v>
      </c>
      <c r="L134">
        <f t="shared" si="41"/>
        <v>6.4354981891491825</v>
      </c>
    </row>
    <row r="135" spans="1:12" x14ac:dyDescent="0.3">
      <c r="A135">
        <v>216</v>
      </c>
      <c r="B135">
        <f t="shared" si="38"/>
        <v>1.6372149569124632</v>
      </c>
      <c r="C135">
        <f t="shared" si="0"/>
        <v>1.6372149569124632</v>
      </c>
      <c r="D135" t="s">
        <v>24</v>
      </c>
      <c r="E135" t="s">
        <v>21</v>
      </c>
      <c r="F135">
        <v>1</v>
      </c>
      <c r="G135">
        <f t="shared" si="39"/>
        <v>55</v>
      </c>
      <c r="I135">
        <v>2014</v>
      </c>
      <c r="J135">
        <f t="shared" si="40"/>
        <v>57.5</v>
      </c>
      <c r="K135" cm="1">
        <f t="array" ref="K135">STOWA2024_JAARROND_T(A135*60,J135,I135,"","")</f>
        <v>0.20840787248272757</v>
      </c>
      <c r="L135">
        <f t="shared" si="41"/>
        <v>4.7982832322367193</v>
      </c>
    </row>
    <row r="136" spans="1:12" x14ac:dyDescent="0.3">
      <c r="A136">
        <v>216</v>
      </c>
      <c r="B136">
        <f t="shared" si="38"/>
        <v>1.2254300487226923</v>
      </c>
      <c r="C136">
        <f t="shared" si="0"/>
        <v>1.2254300487226923</v>
      </c>
      <c r="D136" t="s">
        <v>24</v>
      </c>
      <c r="E136" t="s">
        <v>21</v>
      </c>
      <c r="F136">
        <v>1</v>
      </c>
      <c r="G136">
        <f t="shared" si="39"/>
        <v>60</v>
      </c>
      <c r="I136">
        <v>2014</v>
      </c>
      <c r="J136">
        <f t="shared" si="40"/>
        <v>62.5</v>
      </c>
      <c r="K136" cm="1">
        <f t="array" ref="K136">STOWA2024_JAARROND_T(A136*60,J136,I136,"","")</f>
        <v>0.27988835494675007</v>
      </c>
      <c r="L136">
        <f t="shared" si="41"/>
        <v>3.5728531835140269</v>
      </c>
    </row>
    <row r="137" spans="1:12" x14ac:dyDescent="0.3">
      <c r="A137">
        <v>216</v>
      </c>
      <c r="B137">
        <f t="shared" si="38"/>
        <v>0.91598382454340666</v>
      </c>
      <c r="C137">
        <f t="shared" si="0"/>
        <v>0.91598382454340666</v>
      </c>
      <c r="D137" t="s">
        <v>24</v>
      </c>
      <c r="E137" t="s">
        <v>21</v>
      </c>
      <c r="F137">
        <v>1</v>
      </c>
      <c r="G137">
        <f t="shared" si="39"/>
        <v>65</v>
      </c>
      <c r="I137">
        <v>2014</v>
      </c>
      <c r="J137">
        <f t="shared" si="40"/>
        <v>67.5</v>
      </c>
      <c r="K137" cm="1">
        <f t="array" ref="K137">STOWA2024_JAARROND_T(A137*60,J137,I137,"","")</f>
        <v>0.37638282688744651</v>
      </c>
      <c r="L137">
        <f t="shared" si="41"/>
        <v>2.6568693589706203</v>
      </c>
    </row>
    <row r="138" spans="1:12" x14ac:dyDescent="0.3">
      <c r="A138">
        <v>216</v>
      </c>
      <c r="B138">
        <f t="shared" si="38"/>
        <v>0.68380166523309982</v>
      </c>
      <c r="C138">
        <f t="shared" si="0"/>
        <v>0.68380166523309982</v>
      </c>
      <c r="D138" t="s">
        <v>24</v>
      </c>
      <c r="E138" t="s">
        <v>21</v>
      </c>
      <c r="F138">
        <v>1</v>
      </c>
      <c r="G138">
        <f t="shared" si="39"/>
        <v>70</v>
      </c>
      <c r="I138">
        <v>2014</v>
      </c>
      <c r="J138">
        <f t="shared" si="40"/>
        <v>72.5</v>
      </c>
      <c r="K138" cm="1">
        <f t="array" ref="K138">STOWA2024_JAARROND_T(A138*60,J138,I138,"","")</f>
        <v>0.50682498282952027</v>
      </c>
      <c r="L138">
        <f t="shared" si="41"/>
        <v>1.9730676937375204</v>
      </c>
    </row>
    <row r="139" spans="1:12" x14ac:dyDescent="0.3">
      <c r="A139">
        <v>216</v>
      </c>
      <c r="B139">
        <f t="shared" si="38"/>
        <v>0.50976964985987294</v>
      </c>
      <c r="C139">
        <f t="shared" si="0"/>
        <v>0.50976964985987294</v>
      </c>
      <c r="D139" t="s">
        <v>24</v>
      </c>
      <c r="E139" t="s">
        <v>21</v>
      </c>
      <c r="F139">
        <v>1</v>
      </c>
      <c r="G139">
        <f t="shared" si="39"/>
        <v>75</v>
      </c>
      <c r="I139">
        <v>2014</v>
      </c>
      <c r="J139">
        <f t="shared" si="40"/>
        <v>77.5</v>
      </c>
      <c r="K139" cm="1">
        <f t="array" ref="K139">STOWA2024_JAARROND_T(A139*60,J139,I139,"","")</f>
        <v>0.68338777884925139</v>
      </c>
      <c r="L139">
        <f t="shared" si="41"/>
        <v>1.4632980438776475</v>
      </c>
    </row>
    <row r="140" spans="1:12" x14ac:dyDescent="0.3">
      <c r="A140">
        <v>216</v>
      </c>
      <c r="B140">
        <f t="shared" si="38"/>
        <v>0.37954509339106868</v>
      </c>
      <c r="C140">
        <f t="shared" si="0"/>
        <v>0.37954509339106868</v>
      </c>
      <c r="D140" t="s">
        <v>24</v>
      </c>
      <c r="E140" t="s">
        <v>21</v>
      </c>
      <c r="F140">
        <v>1</v>
      </c>
      <c r="G140">
        <f t="shared" si="39"/>
        <v>80</v>
      </c>
      <c r="I140">
        <v>2014</v>
      </c>
      <c r="J140">
        <f t="shared" si="40"/>
        <v>82.5</v>
      </c>
      <c r="K140" cm="1">
        <f t="array" ref="K140">STOWA2024_JAARROND_T(A140*60,J140,I140,"","")</f>
        <v>0.92271951790398743</v>
      </c>
      <c r="L140">
        <f t="shared" si="41"/>
        <v>1.0837529504865788</v>
      </c>
    </row>
    <row r="141" spans="1:12" x14ac:dyDescent="0.3">
      <c r="A141">
        <v>216</v>
      </c>
      <c r="B141">
        <f t="shared" si="38"/>
        <v>0.28214041275137491</v>
      </c>
      <c r="C141">
        <f t="shared" si="0"/>
        <v>0.28214041275137491</v>
      </c>
      <c r="D141" t="s">
        <v>24</v>
      </c>
      <c r="E141" t="s">
        <v>21</v>
      </c>
      <c r="F141">
        <v>1</v>
      </c>
      <c r="G141">
        <f t="shared" si="39"/>
        <v>85</v>
      </c>
      <c r="I141">
        <v>2014</v>
      </c>
      <c r="J141">
        <f t="shared" si="40"/>
        <v>87.5</v>
      </c>
      <c r="K141" cm="1">
        <f t="array" ref="K141">STOWA2024_JAARROND_T(A141*60,J141,I141,"","")</f>
        <v>1.2474854782402733</v>
      </c>
      <c r="L141">
        <f t="shared" si="41"/>
        <v>0.80161253773520391</v>
      </c>
    </row>
    <row r="142" spans="1:12" x14ac:dyDescent="0.3">
      <c r="A142">
        <v>216</v>
      </c>
      <c r="B142">
        <f t="shared" si="38"/>
        <v>0.20955233577805921</v>
      </c>
      <c r="C142">
        <f t="shared" si="0"/>
        <v>0.20955233577805921</v>
      </c>
      <c r="D142" t="s">
        <v>24</v>
      </c>
      <c r="E142" t="s">
        <v>21</v>
      </c>
      <c r="F142">
        <v>1</v>
      </c>
      <c r="G142">
        <f t="shared" si="39"/>
        <v>90</v>
      </c>
      <c r="I142">
        <v>2014</v>
      </c>
      <c r="J142">
        <f t="shared" si="40"/>
        <v>92.5</v>
      </c>
      <c r="K142" cm="1">
        <f t="array" ref="K142">STOWA2024_JAARROND_T(A142*60,J142,I142,"","")</f>
        <v>1.6890174287924582</v>
      </c>
      <c r="L142">
        <f t="shared" si="41"/>
        <v>0.5920602019571447</v>
      </c>
    </row>
    <row r="143" spans="1:12" x14ac:dyDescent="0.3">
      <c r="A143">
        <v>216</v>
      </c>
      <c r="B143">
        <f t="shared" si="38"/>
        <v>0.15539075399132957</v>
      </c>
      <c r="C143">
        <f t="shared" si="0"/>
        <v>0.15539075399132957</v>
      </c>
      <c r="D143" t="s">
        <v>24</v>
      </c>
      <c r="E143" t="s">
        <v>21</v>
      </c>
      <c r="F143">
        <v>1</v>
      </c>
      <c r="G143">
        <f t="shared" si="39"/>
        <v>95</v>
      </c>
      <c r="I143">
        <v>2014</v>
      </c>
      <c r="J143">
        <f t="shared" si="40"/>
        <v>97.5</v>
      </c>
      <c r="K143" cm="1">
        <f t="array" ref="K143">STOWA2024_JAARROND_T(A143*60,J143,I143,"","")</f>
        <v>2.2900617495874944</v>
      </c>
      <c r="L143">
        <f t="shared" si="41"/>
        <v>0.43666944796581514</v>
      </c>
    </row>
    <row r="144" spans="1:12" x14ac:dyDescent="0.3">
      <c r="A144">
        <v>216</v>
      </c>
      <c r="B144">
        <f t="shared" si="38"/>
        <v>0.11505794799596264</v>
      </c>
      <c r="C144">
        <f t="shared" si="0"/>
        <v>0.11505794799596264</v>
      </c>
      <c r="D144" t="s">
        <v>24</v>
      </c>
      <c r="E144" t="s">
        <v>21</v>
      </c>
      <c r="F144">
        <v>1</v>
      </c>
      <c r="G144">
        <f t="shared" si="39"/>
        <v>100</v>
      </c>
      <c r="I144">
        <v>2014</v>
      </c>
      <c r="J144">
        <f t="shared" si="40"/>
        <v>102.5</v>
      </c>
      <c r="K144" cm="1">
        <f t="array" ref="K144">STOWA2024_JAARROND_T(A144*60,J144,I144,"","")</f>
        <v>3.1093415505780699</v>
      </c>
      <c r="L144">
        <f t="shared" si="41"/>
        <v>0.3216114999698525</v>
      </c>
    </row>
    <row r="145" spans="1:12" x14ac:dyDescent="0.3">
      <c r="A145">
        <v>216</v>
      </c>
      <c r="B145">
        <f t="shared" si="38"/>
        <v>8.5081473016395126E-2</v>
      </c>
      <c r="C145">
        <f t="shared" si="0"/>
        <v>8.5081473016395126E-2</v>
      </c>
      <c r="D145" t="s">
        <v>24</v>
      </c>
      <c r="E145" t="s">
        <v>21</v>
      </c>
      <c r="F145">
        <v>1</v>
      </c>
      <c r="G145">
        <f t="shared" si="39"/>
        <v>105</v>
      </c>
      <c r="I145">
        <v>2014</v>
      </c>
      <c r="J145">
        <f t="shared" si="40"/>
        <v>107.5</v>
      </c>
      <c r="K145" cm="1">
        <f t="array" ref="K145">STOWA2024_JAARROND_T(A145*60,J145,I145,"","")</f>
        <v>4.2277930327922917</v>
      </c>
      <c r="L145">
        <f t="shared" si="41"/>
        <v>0.23653002695345737</v>
      </c>
    </row>
    <row r="146" spans="1:12" x14ac:dyDescent="0.3">
      <c r="A146">
        <v>216</v>
      </c>
      <c r="B146">
        <f t="shared" si="38"/>
        <v>6.282373477269379E-2</v>
      </c>
      <c r="C146">
        <f t="shared" si="0"/>
        <v>6.282373477269379E-2</v>
      </c>
      <c r="D146" t="s">
        <v>24</v>
      </c>
      <c r="E146" t="s">
        <v>21</v>
      </c>
      <c r="F146">
        <v>1</v>
      </c>
      <c r="G146">
        <f t="shared" si="39"/>
        <v>110</v>
      </c>
      <c r="I146">
        <v>2014</v>
      </c>
      <c r="J146">
        <f t="shared" si="40"/>
        <v>112.5</v>
      </c>
      <c r="K146" cm="1">
        <f t="array" ref="K146">STOWA2024_JAARROND_T(A146*60,J146,I146,"","")</f>
        <v>5.7568438508800375</v>
      </c>
      <c r="L146">
        <f t="shared" si="41"/>
        <v>0.17370629218076358</v>
      </c>
    </row>
    <row r="147" spans="1:12" x14ac:dyDescent="0.3">
      <c r="A147">
        <v>216</v>
      </c>
      <c r="B147">
        <f t="shared" si="38"/>
        <v>4.6321776550169474E-2</v>
      </c>
      <c r="C147">
        <f t="shared" si="0"/>
        <v>4.6321776550169474E-2</v>
      </c>
      <c r="D147" t="s">
        <v>24</v>
      </c>
      <c r="E147" t="s">
        <v>21</v>
      </c>
      <c r="F147">
        <v>1</v>
      </c>
      <c r="G147">
        <f t="shared" si="39"/>
        <v>115</v>
      </c>
      <c r="I147">
        <v>2014</v>
      </c>
      <c r="J147">
        <f t="shared" si="40"/>
        <v>117.5</v>
      </c>
      <c r="K147" cm="1">
        <f t="array" ref="K147">STOWA2024_JAARROND_T(A147*60,J147,I147,"","")</f>
        <v>7.8502476933690106</v>
      </c>
      <c r="L147">
        <f t="shared" si="41"/>
        <v>0.12738451563059411</v>
      </c>
    </row>
    <row r="148" spans="1:12" x14ac:dyDescent="0.3">
      <c r="A148">
        <v>216</v>
      </c>
      <c r="B148">
        <f t="shared" si="38"/>
        <v>3.4106249045318268E-2</v>
      </c>
      <c r="C148">
        <f t="shared" si="0"/>
        <v>3.4106249045318268E-2</v>
      </c>
      <c r="D148" t="s">
        <v>24</v>
      </c>
      <c r="E148" t="s">
        <v>21</v>
      </c>
      <c r="F148">
        <v>1</v>
      </c>
      <c r="G148">
        <f t="shared" si="39"/>
        <v>120</v>
      </c>
      <c r="I148">
        <v>2014</v>
      </c>
      <c r="J148">
        <f t="shared" si="40"/>
        <v>122.5</v>
      </c>
      <c r="K148" cm="1">
        <f t="array" ref="K148">STOWA2024_JAARROND_T(A148*60,J148,I148,"","")</f>
        <v>10.720610884056159</v>
      </c>
      <c r="L148">
        <f t="shared" si="41"/>
        <v>9.327826658527584E-2</v>
      </c>
    </row>
    <row r="149" spans="1:12" x14ac:dyDescent="0.3">
      <c r="A149">
        <v>216</v>
      </c>
      <c r="B149">
        <f t="shared" si="38"/>
        <v>2.5076132932693784E-2</v>
      </c>
      <c r="C149">
        <f t="shared" si="0"/>
        <v>2.5076132932693784E-2</v>
      </c>
      <c r="D149" t="s">
        <v>24</v>
      </c>
      <c r="E149" t="s">
        <v>21</v>
      </c>
      <c r="F149">
        <v>1</v>
      </c>
      <c r="G149">
        <f t="shared" si="39"/>
        <v>125</v>
      </c>
      <c r="I149">
        <v>2014</v>
      </c>
      <c r="J149">
        <f t="shared" si="40"/>
        <v>127.5</v>
      </c>
      <c r="K149" cm="1">
        <f t="array" ref="K149">STOWA2024_JAARROND_T(A149*60,J149,I149,"","")</f>
        <v>14.662297884901159</v>
      </c>
      <c r="L149">
        <f t="shared" si="41"/>
        <v>6.8202133652582056E-2</v>
      </c>
    </row>
    <row r="150" spans="1:12" x14ac:dyDescent="0.3">
      <c r="A150">
        <v>216</v>
      </c>
      <c r="B150">
        <f t="shared" si="38"/>
        <v>1.8409040742257972E-2</v>
      </c>
      <c r="C150">
        <f t="shared" si="0"/>
        <v>1.8409040742257972E-2</v>
      </c>
      <c r="D150" t="s">
        <v>24</v>
      </c>
      <c r="E150" t="s">
        <v>21</v>
      </c>
      <c r="F150">
        <v>1</v>
      </c>
      <c r="G150">
        <f t="shared" si="39"/>
        <v>130</v>
      </c>
      <c r="I150">
        <v>2014</v>
      </c>
      <c r="J150">
        <f t="shared" si="40"/>
        <v>132.5</v>
      </c>
      <c r="K150" cm="1">
        <f t="array" ref="K150">STOWA2024_JAARROND_T(A150*60,J150,I150,"","")</f>
        <v>20.083106743358382</v>
      </c>
      <c r="L150">
        <f t="shared" si="41"/>
        <v>4.9793092910324084E-2</v>
      </c>
    </row>
    <row r="151" spans="1:12" x14ac:dyDescent="0.3">
      <c r="A151">
        <v>216</v>
      </c>
      <c r="B151">
        <f t="shared" si="38"/>
        <v>1.3495162365530632E-2</v>
      </c>
      <c r="C151">
        <f t="shared" si="0"/>
        <v>1.3495162365530632E-2</v>
      </c>
      <c r="D151" t="s">
        <v>24</v>
      </c>
      <c r="E151" t="s">
        <v>21</v>
      </c>
      <c r="F151">
        <v>1</v>
      </c>
      <c r="G151">
        <f t="shared" si="39"/>
        <v>135</v>
      </c>
      <c r="I151">
        <v>2014</v>
      </c>
      <c r="J151">
        <f t="shared" si="40"/>
        <v>137.5</v>
      </c>
      <c r="K151" cm="1">
        <f t="array" ref="K151">STOWA2024_JAARROND_T(A151*60,J151,I151,"","")</f>
        <v>27.549779973432649</v>
      </c>
      <c r="L151">
        <f t="shared" si="41"/>
        <v>3.6297930544793452E-2</v>
      </c>
    </row>
    <row r="152" spans="1:12" x14ac:dyDescent="0.3">
      <c r="A152">
        <v>216</v>
      </c>
      <c r="B152">
        <f t="shared" si="38"/>
        <v>9.8777666229901522E-3</v>
      </c>
      <c r="C152">
        <f t="shared" si="0"/>
        <v>9.8777666229901522E-3</v>
      </c>
      <c r="D152" t="s">
        <v>24</v>
      </c>
      <c r="E152" t="s">
        <v>21</v>
      </c>
      <c r="F152">
        <v>1</v>
      </c>
      <c r="G152">
        <f t="shared" si="39"/>
        <v>140</v>
      </c>
      <c r="I152">
        <v>2014</v>
      </c>
      <c r="J152">
        <f t="shared" si="40"/>
        <v>142.5</v>
      </c>
      <c r="K152" cm="1">
        <f t="array" ref="K152">STOWA2024_JAARROND_T(A152*60,J152,I152,"","")</f>
        <v>37.849878712325008</v>
      </c>
      <c r="L152">
        <f t="shared" si="41"/>
        <v>2.64201639218033E-2</v>
      </c>
    </row>
    <row r="153" spans="1:12" x14ac:dyDescent="0.3">
      <c r="A153">
        <v>216</v>
      </c>
      <c r="B153">
        <f t="shared" si="38"/>
        <v>7.2192950278701998E-3</v>
      </c>
      <c r="C153">
        <f t="shared" si="0"/>
        <v>7.2192950278701998E-3</v>
      </c>
      <c r="D153" t="s">
        <v>24</v>
      </c>
      <c r="E153" t="s">
        <v>21</v>
      </c>
      <c r="F153">
        <v>1</v>
      </c>
      <c r="G153">
        <f t="shared" si="39"/>
        <v>145</v>
      </c>
      <c r="I153">
        <v>2014</v>
      </c>
      <c r="J153">
        <f t="shared" si="40"/>
        <v>147.5</v>
      </c>
      <c r="K153" cm="1">
        <f t="array" ref="K153">STOWA2024_JAARROND_T(A153*60,J153,I153,"","")</f>
        <v>52.080976414352271</v>
      </c>
      <c r="L153">
        <f t="shared" si="41"/>
        <v>1.9200868893933101E-2</v>
      </c>
    </row>
    <row r="154" spans="1:12" x14ac:dyDescent="0.3">
      <c r="A154">
        <v>216</v>
      </c>
      <c r="B154">
        <f t="shared" si="38"/>
        <v>5.2683772304223594E-3</v>
      </c>
      <c r="C154">
        <f t="shared" si="0"/>
        <v>5.2683772304223594E-3</v>
      </c>
      <c r="D154" t="s">
        <v>24</v>
      </c>
      <c r="E154" t="s">
        <v>21</v>
      </c>
      <c r="F154">
        <v>1</v>
      </c>
      <c r="G154">
        <f t="shared" si="39"/>
        <v>150</v>
      </c>
      <c r="I154">
        <v>2014</v>
      </c>
      <c r="J154">
        <f t="shared" si="40"/>
        <v>152.5</v>
      </c>
      <c r="K154" cm="1">
        <f t="array" ref="K154">STOWA2024_JAARROND_T(A154*60,J154,I154,"","")</f>
        <v>71.774670615379193</v>
      </c>
      <c r="L154">
        <f t="shared" si="41"/>
        <v>1.3932491663510741E-2</v>
      </c>
    </row>
    <row r="155" spans="1:12" x14ac:dyDescent="0.3">
      <c r="A155">
        <v>216</v>
      </c>
      <c r="B155">
        <f t="shared" si="38"/>
        <v>3.8386736948725179E-3</v>
      </c>
      <c r="C155">
        <f t="shared" si="0"/>
        <v>3.8386736948725179E-3</v>
      </c>
      <c r="D155" t="s">
        <v>24</v>
      </c>
      <c r="E155" t="s">
        <v>21</v>
      </c>
      <c r="F155">
        <v>1</v>
      </c>
      <c r="G155">
        <f t="shared" si="39"/>
        <v>155</v>
      </c>
      <c r="I155">
        <v>2014</v>
      </c>
      <c r="J155">
        <f t="shared" si="40"/>
        <v>157.5</v>
      </c>
      <c r="K155" cm="1">
        <f t="array" ref="K155">STOWA2024_JAARROND_T(A155*60,J155,I155,"","")</f>
        <v>99.070540315570199</v>
      </c>
      <c r="L155">
        <f t="shared" si="41"/>
        <v>1.0093817968638223E-2</v>
      </c>
    </row>
    <row r="156" spans="1:12" x14ac:dyDescent="0.3">
      <c r="A156">
        <v>216</v>
      </c>
      <c r="B156" s="1">
        <f>L155</f>
        <v>1.0093817968638223E-2</v>
      </c>
      <c r="C156">
        <f t="shared" si="0"/>
        <v>1.0093817968638223E-2</v>
      </c>
      <c r="D156" t="s">
        <v>24</v>
      </c>
      <c r="E156" t="s">
        <v>21</v>
      </c>
      <c r="F156">
        <v>1</v>
      </c>
      <c r="G156">
        <f t="shared" si="39"/>
        <v>160</v>
      </c>
      <c r="I156">
        <v>2014</v>
      </c>
      <c r="J156">
        <f>AVERAGE(G156:G157)</f>
        <v>160</v>
      </c>
      <c r="K156" cm="1">
        <f t="array" ref="K156">STOWA2024_JAARROND_T(A156*60,J156,I156,"","")</f>
        <v>116.46289366194533</v>
      </c>
      <c r="L156">
        <f>1/K156</f>
        <v>8.5864258439489003E-3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56"/>
  <sheetViews>
    <sheetView workbookViewId="0">
      <selection activeCell="F24" sqref="F24"/>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21875" customWidth="1"/>
    <col min="6" max="6" width="4.21875" bestFit="1" customWidth="1"/>
    <col min="7" max="7" width="8" bestFit="1" customWidth="1"/>
    <col min="8" max="8" width="18.21875" customWidth="1"/>
    <col min="9" max="9" width="21" customWidth="1"/>
    <col min="10" max="10" width="11.44140625" bestFit="1" customWidth="1"/>
    <col min="11" max="11" width="13.5546875" bestFit="1" customWidth="1"/>
  </cols>
  <sheetData>
    <row r="1" spans="1:31" x14ac:dyDescent="0.3">
      <c r="A1" t="s">
        <v>14</v>
      </c>
      <c r="B1" t="s">
        <v>15</v>
      </c>
      <c r="C1" t="s">
        <v>16</v>
      </c>
      <c r="D1" t="s">
        <v>17</v>
      </c>
      <c r="E1" t="s">
        <v>18</v>
      </c>
      <c r="F1" t="s">
        <v>20</v>
      </c>
      <c r="G1" t="s">
        <v>1</v>
      </c>
      <c r="I1" t="s">
        <v>4</v>
      </c>
      <c r="J1" t="s">
        <v>13</v>
      </c>
      <c r="K1" t="s">
        <v>2</v>
      </c>
      <c r="L1" t="s">
        <v>3</v>
      </c>
    </row>
    <row r="2" spans="1:31" x14ac:dyDescent="0.3">
      <c r="A2">
        <v>24</v>
      </c>
      <c r="B2" s="1">
        <f>365.25*24/A2 - L2</f>
        <v>358.56137507801128</v>
      </c>
      <c r="C2">
        <f>B2</f>
        <v>358.56137507801128</v>
      </c>
      <c r="D2" t="s">
        <v>24</v>
      </c>
      <c r="E2" t="s">
        <v>19</v>
      </c>
      <c r="F2">
        <v>1</v>
      </c>
      <c r="G2">
        <v>10</v>
      </c>
      <c r="I2">
        <v>2014</v>
      </c>
      <c r="J2">
        <f>AVERAGE(G2:G4)</f>
        <v>15</v>
      </c>
      <c r="K2" cm="1">
        <f t="array" ref="K2">STOWA2024_NDJF_T(A2*60,J2,I2,"","")</f>
        <v>0.14950756121972364</v>
      </c>
      <c r="L2">
        <f>1/K2</f>
        <v>6.688624921988735</v>
      </c>
      <c r="AD2" t="s">
        <v>5</v>
      </c>
      <c r="AE2" t="s">
        <v>6</v>
      </c>
    </row>
    <row r="3" spans="1:31" x14ac:dyDescent="0.3">
      <c r="A3">
        <v>24</v>
      </c>
      <c r="B3">
        <f t="shared" ref="B3:B7" si="0">L2-L3</f>
        <v>2.5096123154109593</v>
      </c>
      <c r="C3">
        <f t="shared" ref="C3:C32" si="1">B3</f>
        <v>2.5096123154109593</v>
      </c>
      <c r="D3" t="s">
        <v>24</v>
      </c>
      <c r="E3" t="s">
        <v>19</v>
      </c>
      <c r="F3">
        <v>1</v>
      </c>
      <c r="G3">
        <f t="shared" ref="G3:G7" si="2">G2+5</f>
        <v>15</v>
      </c>
      <c r="I3">
        <v>2014</v>
      </c>
      <c r="J3">
        <f t="shared" ref="J3:J7" si="3">AVERAGE(G3:G4)</f>
        <v>17.5</v>
      </c>
      <c r="K3" cm="1">
        <f t="array" ref="K3">STOWA2024_NDJF_T(A3*60,J3,I3,"","")</f>
        <v>0.23929097472115726</v>
      </c>
      <c r="L3">
        <f t="shared" ref="L3:L7" si="4">1/K3</f>
        <v>4.1790126065777757</v>
      </c>
    </row>
    <row r="4" spans="1:31" x14ac:dyDescent="0.3">
      <c r="A4">
        <v>24</v>
      </c>
      <c r="B4">
        <f t="shared" si="0"/>
        <v>2.4710665415182946</v>
      </c>
      <c r="C4">
        <f t="shared" si="1"/>
        <v>2.4710665415182946</v>
      </c>
      <c r="D4" t="s">
        <v>24</v>
      </c>
      <c r="E4" t="s">
        <v>19</v>
      </c>
      <c r="F4">
        <v>1</v>
      </c>
      <c r="G4">
        <f t="shared" si="2"/>
        <v>20</v>
      </c>
      <c r="I4">
        <v>2014</v>
      </c>
      <c r="J4">
        <f t="shared" si="3"/>
        <v>22.5</v>
      </c>
      <c r="K4" cm="1">
        <f t="array" ref="K4">STOWA2024_NDJF_T(A4*60,J4,I4,"","")</f>
        <v>0.58549858245387498</v>
      </c>
      <c r="L4">
        <f t="shared" si="4"/>
        <v>1.7079460650594813</v>
      </c>
      <c r="AE4" t="s">
        <v>7</v>
      </c>
    </row>
    <row r="5" spans="1:31" x14ac:dyDescent="0.3">
      <c r="A5">
        <v>24</v>
      </c>
      <c r="B5">
        <f t="shared" si="0"/>
        <v>0.97041447928830316</v>
      </c>
      <c r="C5">
        <f t="shared" si="1"/>
        <v>0.97041447928830316</v>
      </c>
      <c r="D5" t="s">
        <v>24</v>
      </c>
      <c r="E5" t="s">
        <v>19</v>
      </c>
      <c r="F5">
        <v>1</v>
      </c>
      <c r="G5">
        <f t="shared" si="2"/>
        <v>25</v>
      </c>
      <c r="I5">
        <v>2014</v>
      </c>
      <c r="J5">
        <f t="shared" si="3"/>
        <v>27.5</v>
      </c>
      <c r="K5" cm="1">
        <f t="array" ref="K5">STOWA2024_NDJF_T(A5*60,J5,I5,"","")</f>
        <v>1.3558741337896458</v>
      </c>
      <c r="L5">
        <f t="shared" si="4"/>
        <v>0.73753158577117817</v>
      </c>
      <c r="AE5" t="s">
        <v>8</v>
      </c>
    </row>
    <row r="6" spans="1:31" x14ac:dyDescent="0.3">
      <c r="A6">
        <v>24</v>
      </c>
      <c r="B6">
        <f t="shared" si="0"/>
        <v>0.40326775743080634</v>
      </c>
      <c r="C6">
        <f t="shared" si="1"/>
        <v>0.40326775743080634</v>
      </c>
      <c r="D6" t="s">
        <v>24</v>
      </c>
      <c r="E6" t="s">
        <v>19</v>
      </c>
      <c r="F6">
        <v>1</v>
      </c>
      <c r="G6">
        <f t="shared" si="2"/>
        <v>30</v>
      </c>
      <c r="I6">
        <v>2014</v>
      </c>
      <c r="J6">
        <f t="shared" si="3"/>
        <v>32.5</v>
      </c>
      <c r="K6" cm="1">
        <f t="array" ref="K6">STOWA2024_NDJF_T(A6*60,J6,I6,"","")</f>
        <v>2.9916488570271715</v>
      </c>
      <c r="L6">
        <f t="shared" si="4"/>
        <v>0.33426382834037183</v>
      </c>
    </row>
    <row r="7" spans="1:31" x14ac:dyDescent="0.3">
      <c r="A7">
        <v>24</v>
      </c>
      <c r="B7">
        <f t="shared" si="0"/>
        <v>0.17607559381910937</v>
      </c>
      <c r="C7">
        <f t="shared" si="1"/>
        <v>0.17607559381910937</v>
      </c>
      <c r="D7" t="s">
        <v>24</v>
      </c>
      <c r="E7" t="s">
        <v>19</v>
      </c>
      <c r="F7">
        <v>1</v>
      </c>
      <c r="G7">
        <f t="shared" si="2"/>
        <v>35</v>
      </c>
      <c r="I7">
        <v>2014</v>
      </c>
      <c r="J7">
        <f t="shared" si="3"/>
        <v>37.5</v>
      </c>
      <c r="K7" cm="1">
        <f t="array" ref="K7">STOWA2024_NDJF_T(A7*60,J7,I7,"","")</f>
        <v>6.3215826576886638</v>
      </c>
      <c r="L7">
        <f t="shared" si="4"/>
        <v>0.15818823452126246</v>
      </c>
      <c r="AD7" t="s">
        <v>4</v>
      </c>
      <c r="AE7">
        <v>2014</v>
      </c>
    </row>
    <row r="8" spans="1:31" x14ac:dyDescent="0.3">
      <c r="A8">
        <v>24</v>
      </c>
      <c r="B8">
        <f>L7-L8</f>
        <v>8.0367428613816433E-2</v>
      </c>
      <c r="C8">
        <f t="shared" si="1"/>
        <v>8.0367428613816433E-2</v>
      </c>
      <c r="D8" t="s">
        <v>24</v>
      </c>
      <c r="E8" t="s">
        <v>19</v>
      </c>
      <c r="F8">
        <v>1</v>
      </c>
      <c r="G8">
        <f>G7+5</f>
        <v>40</v>
      </c>
      <c r="I8">
        <v>2014</v>
      </c>
      <c r="J8">
        <f>AVERAGE(G8:G9)</f>
        <v>42.5</v>
      </c>
      <c r="K8" cm="1">
        <f t="array" ref="K8">STOWA2024_NDJF_T(A8*60,J8,I8,"","")</f>
        <v>12.850033976637581</v>
      </c>
      <c r="L8">
        <f>1/K8</f>
        <v>7.7820805907446028E-2</v>
      </c>
      <c r="AE8">
        <v>2030</v>
      </c>
    </row>
    <row r="9" spans="1:31" x14ac:dyDescent="0.3">
      <c r="A9">
        <v>24</v>
      </c>
      <c r="B9">
        <f t="shared" ref="B9:B31" si="5">L8-L9</f>
        <v>3.8176197763458403E-2</v>
      </c>
      <c r="C9">
        <f t="shared" si="1"/>
        <v>3.8176197763458403E-2</v>
      </c>
      <c r="D9" t="s">
        <v>24</v>
      </c>
      <c r="E9" t="s">
        <v>19</v>
      </c>
      <c r="F9">
        <v>1</v>
      </c>
      <c r="G9">
        <f t="shared" ref="G9:G32" si="6">G8+5</f>
        <v>45</v>
      </c>
      <c r="I9">
        <v>2014</v>
      </c>
      <c r="J9">
        <f t="shared" ref="J9:J31" si="7">AVERAGE(G9:G10)</f>
        <v>47.5</v>
      </c>
      <c r="K9" cm="1">
        <f t="array" ref="K9">STOWA2024_NDJF_T(A9*60,J9,I9,"","")</f>
        <v>25.224111091426106</v>
      </c>
      <c r="L9">
        <f t="shared" ref="L9:L31" si="8">1/K9</f>
        <v>3.9644608143987625E-2</v>
      </c>
      <c r="AE9">
        <v>2050</v>
      </c>
    </row>
    <row r="10" spans="1:31" x14ac:dyDescent="0.3">
      <c r="A10">
        <v>24</v>
      </c>
      <c r="B10">
        <f t="shared" si="5"/>
        <v>1.8798895139053945E-2</v>
      </c>
      <c r="C10">
        <f t="shared" si="1"/>
        <v>1.8798895139053945E-2</v>
      </c>
      <c r="D10" t="s">
        <v>24</v>
      </c>
      <c r="E10" t="s">
        <v>19</v>
      </c>
      <c r="F10">
        <v>1</v>
      </c>
      <c r="G10">
        <f t="shared" si="6"/>
        <v>50</v>
      </c>
      <c r="I10">
        <v>2014</v>
      </c>
      <c r="J10">
        <f t="shared" si="7"/>
        <v>52.5</v>
      </c>
      <c r="K10" cm="1">
        <f t="array" ref="K10">STOWA2024_NDJF_T(A10*60,J10,I10,"","")</f>
        <v>47.971494175484615</v>
      </c>
      <c r="L10">
        <f t="shared" si="8"/>
        <v>2.084571300493368E-2</v>
      </c>
      <c r="AE10">
        <v>2085</v>
      </c>
    </row>
    <row r="11" spans="1:31" x14ac:dyDescent="0.3">
      <c r="A11">
        <v>24</v>
      </c>
      <c r="B11">
        <f t="shared" si="5"/>
        <v>9.5641877751681814E-3</v>
      </c>
      <c r="C11">
        <f t="shared" si="1"/>
        <v>9.5641877751681814E-3</v>
      </c>
      <c r="D11" t="s">
        <v>24</v>
      </c>
      <c r="E11" t="s">
        <v>19</v>
      </c>
      <c r="F11">
        <v>1</v>
      </c>
      <c r="G11">
        <f t="shared" si="6"/>
        <v>55</v>
      </c>
      <c r="I11">
        <v>2014</v>
      </c>
      <c r="J11">
        <f t="shared" si="7"/>
        <v>57.5</v>
      </c>
      <c r="K11" cm="1">
        <f t="array" ref="K11">STOWA2024_NDJF_T(A11*60,J11,I11,"","")</f>
        <v>88.640496708864447</v>
      </c>
      <c r="L11">
        <f t="shared" si="8"/>
        <v>1.1281525229765499E-2</v>
      </c>
    </row>
    <row r="12" spans="1:31" x14ac:dyDescent="0.3">
      <c r="A12">
        <v>24</v>
      </c>
      <c r="B12">
        <f t="shared" si="5"/>
        <v>5.0131148177039548E-3</v>
      </c>
      <c r="C12">
        <f t="shared" si="1"/>
        <v>5.0131148177039548E-3</v>
      </c>
      <c r="D12" t="s">
        <v>24</v>
      </c>
      <c r="E12" t="s">
        <v>19</v>
      </c>
      <c r="F12">
        <v>1</v>
      </c>
      <c r="G12">
        <f t="shared" si="6"/>
        <v>60</v>
      </c>
      <c r="I12">
        <v>2014</v>
      </c>
      <c r="J12">
        <f t="shared" si="7"/>
        <v>62.5</v>
      </c>
      <c r="K12" cm="1">
        <f t="array" ref="K12">STOWA2024_NDJF_T(A12*60,J12,I12,"","")</f>
        <v>159.53007768537634</v>
      </c>
      <c r="L12">
        <f t="shared" si="8"/>
        <v>6.268410412061544E-3</v>
      </c>
      <c r="AD12" t="s">
        <v>0</v>
      </c>
      <c r="AE12" t="s">
        <v>9</v>
      </c>
    </row>
    <row r="13" spans="1:31" x14ac:dyDescent="0.3">
      <c r="A13">
        <v>24</v>
      </c>
      <c r="B13">
        <f t="shared" si="5"/>
        <v>2.7002470387582429E-3</v>
      </c>
      <c r="C13">
        <f t="shared" si="1"/>
        <v>2.7002470387582429E-3</v>
      </c>
      <c r="D13" t="s">
        <v>24</v>
      </c>
      <c r="E13" t="s">
        <v>19</v>
      </c>
      <c r="F13">
        <v>1</v>
      </c>
      <c r="G13">
        <f t="shared" si="6"/>
        <v>65</v>
      </c>
      <c r="I13">
        <v>2014</v>
      </c>
      <c r="J13">
        <f t="shared" si="7"/>
        <v>67.5</v>
      </c>
      <c r="K13" cm="1">
        <f t="array" ref="K13">STOWA2024_NDJF_T(A13*60,J13,I13,"","")</f>
        <v>280.25622578885151</v>
      </c>
      <c r="L13">
        <f t="shared" si="8"/>
        <v>3.5681633733033011E-3</v>
      </c>
      <c r="AE13" t="s">
        <v>10</v>
      </c>
    </row>
    <row r="14" spans="1:31" x14ac:dyDescent="0.3">
      <c r="A14">
        <v>24</v>
      </c>
      <c r="B14">
        <f t="shared" si="5"/>
        <v>1.4913356167340292E-3</v>
      </c>
      <c r="C14">
        <f t="shared" si="1"/>
        <v>1.4913356167340292E-3</v>
      </c>
      <c r="D14" t="s">
        <v>24</v>
      </c>
      <c r="E14" t="s">
        <v>19</v>
      </c>
      <c r="F14">
        <v>1</v>
      </c>
      <c r="G14">
        <f t="shared" si="6"/>
        <v>70</v>
      </c>
      <c r="I14">
        <v>2014</v>
      </c>
      <c r="J14">
        <f t="shared" si="7"/>
        <v>72.5</v>
      </c>
      <c r="K14" cm="1">
        <f t="array" ref="K14">STOWA2024_NDJF_T(A14*60,J14,I14,"","")</f>
        <v>481.50358008114637</v>
      </c>
      <c r="L14">
        <f t="shared" si="8"/>
        <v>2.0768277565692719E-3</v>
      </c>
      <c r="AE14" t="s">
        <v>11</v>
      </c>
    </row>
    <row r="15" spans="1:31" x14ac:dyDescent="0.3">
      <c r="A15">
        <v>24</v>
      </c>
      <c r="B15">
        <f t="shared" si="5"/>
        <v>8.4288821047384709E-4</v>
      </c>
      <c r="C15">
        <f t="shared" si="1"/>
        <v>8.4288821047384709E-4</v>
      </c>
      <c r="D15" t="s">
        <v>24</v>
      </c>
      <c r="E15" t="s">
        <v>19</v>
      </c>
      <c r="F15">
        <v>1</v>
      </c>
      <c r="G15">
        <f t="shared" si="6"/>
        <v>75</v>
      </c>
      <c r="I15">
        <v>2014</v>
      </c>
      <c r="J15">
        <f t="shared" si="7"/>
        <v>77.5</v>
      </c>
      <c r="K15" cm="1">
        <f t="array" ref="K15">STOWA2024_NDJF_T(A15*60,J15,I15,"","")</f>
        <v>810.41247374258842</v>
      </c>
      <c r="L15">
        <f t="shared" si="8"/>
        <v>1.2339395460954248E-3</v>
      </c>
      <c r="AE15" t="s">
        <v>12</v>
      </c>
    </row>
    <row r="16" spans="1:31" x14ac:dyDescent="0.3">
      <c r="A16">
        <v>24</v>
      </c>
      <c r="B16">
        <f t="shared" si="5"/>
        <v>4.866891840795989E-4</v>
      </c>
      <c r="C16">
        <f t="shared" si="1"/>
        <v>4.866891840795989E-4</v>
      </c>
      <c r="D16" t="s">
        <v>24</v>
      </c>
      <c r="E16" t="s">
        <v>19</v>
      </c>
      <c r="F16">
        <v>1</v>
      </c>
      <c r="G16">
        <f t="shared" si="6"/>
        <v>80</v>
      </c>
      <c r="I16">
        <v>2014</v>
      </c>
      <c r="J16">
        <f t="shared" si="7"/>
        <v>82.5</v>
      </c>
      <c r="K16" cm="1">
        <f t="array" ref="K16">STOWA2024_NDJF_T(A16*60,J16,I16,"","")</f>
        <v>1338.2395657893587</v>
      </c>
      <c r="L16">
        <f t="shared" si="8"/>
        <v>7.4725036201582593E-4</v>
      </c>
    </row>
    <row r="17" spans="1:12" x14ac:dyDescent="0.3">
      <c r="A17">
        <v>24</v>
      </c>
      <c r="B17">
        <f t="shared" si="5"/>
        <v>2.8664138175732288E-4</v>
      </c>
      <c r="C17">
        <f t="shared" si="1"/>
        <v>2.8664138175732288E-4</v>
      </c>
      <c r="D17" t="s">
        <v>24</v>
      </c>
      <c r="E17" t="s">
        <v>19</v>
      </c>
      <c r="F17">
        <v>1</v>
      </c>
      <c r="G17">
        <f t="shared" si="6"/>
        <v>85</v>
      </c>
      <c r="I17">
        <v>2014</v>
      </c>
      <c r="J17">
        <f t="shared" si="7"/>
        <v>87.5</v>
      </c>
      <c r="K17" cm="1">
        <f t="array" ref="K17">STOWA2024_NDJF_T(A17*60,J17,I17,"","")</f>
        <v>2171.0388699733553</v>
      </c>
      <c r="L17">
        <f t="shared" si="8"/>
        <v>4.6060898025850305E-4</v>
      </c>
    </row>
    <row r="18" spans="1:12" x14ac:dyDescent="0.3">
      <c r="A18">
        <v>24</v>
      </c>
      <c r="B18">
        <f t="shared" si="5"/>
        <v>1.7196151919499211E-4</v>
      </c>
      <c r="C18">
        <f t="shared" si="1"/>
        <v>1.7196151919499211E-4</v>
      </c>
      <c r="D18" t="s">
        <v>24</v>
      </c>
      <c r="E18" t="s">
        <v>19</v>
      </c>
      <c r="F18">
        <v>1</v>
      </c>
      <c r="G18">
        <f t="shared" si="6"/>
        <v>90</v>
      </c>
      <c r="I18">
        <v>2014</v>
      </c>
      <c r="J18">
        <f t="shared" si="7"/>
        <v>92.5</v>
      </c>
      <c r="K18" cm="1">
        <f t="array" ref="K18">STOWA2024_NDJF_T(A18*60,J18,I18,"","")</f>
        <v>3464.4337293511499</v>
      </c>
      <c r="L18">
        <f t="shared" si="8"/>
        <v>2.8864746106351094E-4</v>
      </c>
    </row>
    <row r="19" spans="1:12" x14ac:dyDescent="0.3">
      <c r="A19">
        <v>24</v>
      </c>
      <c r="B19">
        <f t="shared" si="5"/>
        <v>1.0495026995059893E-4</v>
      </c>
      <c r="C19">
        <f t="shared" si="1"/>
        <v>1.0495026995059893E-4</v>
      </c>
      <c r="D19" t="s">
        <v>24</v>
      </c>
      <c r="E19" t="s">
        <v>19</v>
      </c>
      <c r="F19">
        <v>1</v>
      </c>
      <c r="G19">
        <f t="shared" si="6"/>
        <v>95</v>
      </c>
      <c r="I19">
        <v>2014</v>
      </c>
      <c r="J19">
        <f t="shared" si="7"/>
        <v>97.5</v>
      </c>
      <c r="K19" cm="1">
        <f t="array" ref="K19">STOWA2024_NDJF_T(A19*60,J19,I19,"","")</f>
        <v>5443.7413764554312</v>
      </c>
      <c r="L19">
        <f t="shared" si="8"/>
        <v>1.8369719111291201E-4</v>
      </c>
    </row>
    <row r="20" spans="1:12" x14ac:dyDescent="0.3">
      <c r="A20">
        <v>24</v>
      </c>
      <c r="B20">
        <f t="shared" si="5"/>
        <v>6.5092449343789641E-5</v>
      </c>
      <c r="C20">
        <f t="shared" si="1"/>
        <v>6.5092449343789641E-5</v>
      </c>
      <c r="D20" t="s">
        <v>24</v>
      </c>
      <c r="E20" t="s">
        <v>19</v>
      </c>
      <c r="F20">
        <v>1</v>
      </c>
      <c r="G20">
        <f t="shared" si="6"/>
        <v>100</v>
      </c>
      <c r="I20">
        <v>2014</v>
      </c>
      <c r="J20">
        <f t="shared" si="7"/>
        <v>102.5</v>
      </c>
      <c r="K20" cm="1">
        <f t="array" ref="K20">STOWA2024_NDJF_T(A20*60,J20,I20,"","")</f>
        <v>8431.366107997721</v>
      </c>
      <c r="L20">
        <f t="shared" si="8"/>
        <v>1.1860474176912237E-4</v>
      </c>
    </row>
    <row r="21" spans="1:12" x14ac:dyDescent="0.3">
      <c r="A21">
        <v>24</v>
      </c>
      <c r="B21">
        <f t="shared" si="5"/>
        <v>4.0982700185383423E-5</v>
      </c>
      <c r="C21">
        <f t="shared" si="1"/>
        <v>4.0982700185383423E-5</v>
      </c>
      <c r="D21" t="s">
        <v>24</v>
      </c>
      <c r="E21" t="s">
        <v>19</v>
      </c>
      <c r="F21">
        <v>1</v>
      </c>
      <c r="G21">
        <f t="shared" si="6"/>
        <v>105</v>
      </c>
      <c r="I21">
        <v>2014</v>
      </c>
      <c r="J21">
        <f t="shared" si="7"/>
        <v>107.5</v>
      </c>
      <c r="K21" cm="1">
        <f t="array" ref="K21">STOWA2024_NDJF_T(A21*60,J21,I21,"","")</f>
        <v>12882.938655010719</v>
      </c>
      <c r="L21">
        <f t="shared" si="8"/>
        <v>7.7622041583738944E-5</v>
      </c>
    </row>
    <row r="22" spans="1:12" x14ac:dyDescent="0.3">
      <c r="A22">
        <v>24</v>
      </c>
      <c r="B22">
        <f t="shared" si="5"/>
        <v>2.6170885361536385E-5</v>
      </c>
      <c r="C22">
        <f t="shared" si="1"/>
        <v>2.6170885361536385E-5</v>
      </c>
      <c r="D22" t="s">
        <v>24</v>
      </c>
      <c r="E22" t="s">
        <v>19</v>
      </c>
      <c r="F22">
        <v>1</v>
      </c>
      <c r="G22">
        <f t="shared" si="6"/>
        <v>110</v>
      </c>
      <c r="I22">
        <v>2014</v>
      </c>
      <c r="J22">
        <f t="shared" si="7"/>
        <v>112.5</v>
      </c>
      <c r="K22" cm="1">
        <f t="array" ref="K22">STOWA2024_NDJF_T(A22*60,J22,I22,"","")</f>
        <v>19435.909188926507</v>
      </c>
      <c r="L22">
        <f t="shared" si="8"/>
        <v>5.1451156222202559E-5</v>
      </c>
    </row>
    <row r="23" spans="1:12" x14ac:dyDescent="0.3">
      <c r="A23">
        <v>24</v>
      </c>
      <c r="B23">
        <f t="shared" si="5"/>
        <v>1.693597954505191E-5</v>
      </c>
      <c r="C23">
        <f t="shared" si="1"/>
        <v>1.693597954505191E-5</v>
      </c>
      <c r="D23" t="s">
        <v>24</v>
      </c>
      <c r="E23" t="s">
        <v>19</v>
      </c>
      <c r="F23">
        <v>1</v>
      </c>
      <c r="G23">
        <f t="shared" si="6"/>
        <v>115</v>
      </c>
      <c r="I23">
        <v>2014</v>
      </c>
      <c r="J23">
        <f t="shared" si="7"/>
        <v>117.5</v>
      </c>
      <c r="K23" cm="1">
        <f t="array" ref="K23">STOWA2024_NDJF_T(A23*60,J23,I23,"","")</f>
        <v>28972.762021583647</v>
      </c>
      <c r="L23">
        <f t="shared" si="8"/>
        <v>3.4515176677150649E-5</v>
      </c>
    </row>
    <row r="24" spans="1:12" x14ac:dyDescent="0.3">
      <c r="A24">
        <v>24</v>
      </c>
      <c r="B24">
        <f t="shared" si="5"/>
        <v>1.109796685585294E-5</v>
      </c>
      <c r="C24">
        <f t="shared" si="1"/>
        <v>1.109796685585294E-5</v>
      </c>
      <c r="D24" t="s">
        <v>24</v>
      </c>
      <c r="E24" t="s">
        <v>19</v>
      </c>
      <c r="F24">
        <v>1</v>
      </c>
      <c r="G24">
        <f t="shared" si="6"/>
        <v>120</v>
      </c>
      <c r="I24">
        <v>2014</v>
      </c>
      <c r="J24">
        <f t="shared" si="7"/>
        <v>122.5</v>
      </c>
      <c r="K24" cm="1">
        <f t="array" ref="K24">STOWA2024_NDJF_T(A24*60,J24,I24,"","")</f>
        <v>42703.63581448164</v>
      </c>
      <c r="L24">
        <f t="shared" si="8"/>
        <v>2.3417209821297709E-5</v>
      </c>
    </row>
    <row r="25" spans="1:12" x14ac:dyDescent="0.3">
      <c r="A25">
        <v>24</v>
      </c>
      <c r="B25">
        <f t="shared" si="5"/>
        <v>7.3588996425134122E-6</v>
      </c>
      <c r="C25">
        <f t="shared" si="1"/>
        <v>7.3588996425134122E-6</v>
      </c>
      <c r="D25" t="s">
        <v>24</v>
      </c>
      <c r="E25" t="s">
        <v>19</v>
      </c>
      <c r="F25">
        <v>1</v>
      </c>
      <c r="G25">
        <f t="shared" si="6"/>
        <v>125</v>
      </c>
      <c r="I25">
        <v>2014</v>
      </c>
      <c r="J25">
        <f t="shared" si="7"/>
        <v>127.5</v>
      </c>
      <c r="K25" cm="1">
        <f t="array" ref="K25">STOWA2024_NDJF_T(A25*60,J25,I25,"","")</f>
        <v>62273.052946826654</v>
      </c>
      <c r="L25">
        <f t="shared" si="8"/>
        <v>1.6058310178784297E-5</v>
      </c>
    </row>
    <row r="26" spans="1:12" x14ac:dyDescent="0.3">
      <c r="A26">
        <v>24</v>
      </c>
      <c r="B26">
        <f t="shared" si="5"/>
        <v>4.9344505553029551E-6</v>
      </c>
      <c r="C26">
        <f t="shared" si="1"/>
        <v>4.9344505553029551E-6</v>
      </c>
      <c r="D26" t="s">
        <v>24</v>
      </c>
      <c r="E26" t="s">
        <v>19</v>
      </c>
      <c r="F26">
        <v>1</v>
      </c>
      <c r="G26">
        <f t="shared" si="6"/>
        <v>130</v>
      </c>
      <c r="I26">
        <v>2014</v>
      </c>
      <c r="J26">
        <f t="shared" si="7"/>
        <v>132.5</v>
      </c>
      <c r="K26" cm="1">
        <f t="array" ref="K26">STOWA2024_NDJF_T(A26*60,J26,I26,"","")</f>
        <v>89896.85539442634</v>
      </c>
      <c r="L26">
        <f t="shared" si="8"/>
        <v>1.1123859623481342E-5</v>
      </c>
    </row>
    <row r="27" spans="1:12" x14ac:dyDescent="0.3">
      <c r="A27">
        <v>24</v>
      </c>
      <c r="B27">
        <f t="shared" si="5"/>
        <v>3.343979428361761E-6</v>
      </c>
      <c r="C27">
        <f t="shared" si="1"/>
        <v>3.343979428361761E-6</v>
      </c>
      <c r="D27" t="s">
        <v>24</v>
      </c>
      <c r="E27" t="s">
        <v>19</v>
      </c>
      <c r="F27">
        <v>1</v>
      </c>
      <c r="G27">
        <f t="shared" si="6"/>
        <v>135</v>
      </c>
      <c r="I27">
        <v>2014</v>
      </c>
      <c r="J27">
        <f t="shared" si="7"/>
        <v>137.5</v>
      </c>
      <c r="K27" cm="1">
        <f t="array" ref="K27">STOWA2024_NDJF_T(A27*60,J27,I27,"","")</f>
        <v>128536.68371748358</v>
      </c>
      <c r="L27">
        <f t="shared" si="8"/>
        <v>7.7798801951195808E-6</v>
      </c>
    </row>
    <row r="28" spans="1:12" x14ac:dyDescent="0.3">
      <c r="A28">
        <v>24</v>
      </c>
      <c r="B28">
        <f t="shared" si="5"/>
        <v>2.2889894544223981E-6</v>
      </c>
      <c r="C28">
        <f t="shared" si="1"/>
        <v>2.2889894544223981E-6</v>
      </c>
      <c r="D28" t="s">
        <v>24</v>
      </c>
      <c r="E28" t="s">
        <v>19</v>
      </c>
      <c r="F28">
        <v>1</v>
      </c>
      <c r="G28">
        <f t="shared" si="6"/>
        <v>140</v>
      </c>
      <c r="I28">
        <v>2014</v>
      </c>
      <c r="J28">
        <f t="shared" si="7"/>
        <v>142.5</v>
      </c>
      <c r="K28" cm="1">
        <f t="array" ref="K28">STOWA2024_NDJF_T(A28*60,J28,I28,"","")</f>
        <v>182119.81392895631</v>
      </c>
      <c r="L28">
        <f t="shared" si="8"/>
        <v>5.4908907406971828E-6</v>
      </c>
    </row>
    <row r="29" spans="1:12" x14ac:dyDescent="0.3">
      <c r="A29">
        <v>24</v>
      </c>
      <c r="B29">
        <f t="shared" si="5"/>
        <v>1.581904411408336E-6</v>
      </c>
      <c r="C29">
        <f t="shared" si="1"/>
        <v>1.581904411408336E-6</v>
      </c>
      <c r="D29" t="s">
        <v>24</v>
      </c>
      <c r="E29" t="s">
        <v>19</v>
      </c>
      <c r="F29">
        <v>1</v>
      </c>
      <c r="G29">
        <f t="shared" si="6"/>
        <v>145</v>
      </c>
      <c r="I29">
        <v>2014</v>
      </c>
      <c r="J29">
        <f t="shared" si="7"/>
        <v>147.5</v>
      </c>
      <c r="K29" cm="1">
        <f t="array" ref="K29">STOWA2024_NDJF_T(A29*60,J29,I29,"","")</f>
        <v>255820.79745516222</v>
      </c>
      <c r="L29">
        <f t="shared" si="8"/>
        <v>3.9089863292888467E-6</v>
      </c>
    </row>
    <row r="30" spans="1:12" x14ac:dyDescent="0.3">
      <c r="A30">
        <v>24</v>
      </c>
      <c r="B30">
        <f t="shared" si="5"/>
        <v>1.1031789940768904E-6</v>
      </c>
      <c r="C30">
        <f t="shared" si="1"/>
        <v>1.1031789940768904E-6</v>
      </c>
      <c r="D30" t="s">
        <v>24</v>
      </c>
      <c r="E30" t="s">
        <v>19</v>
      </c>
      <c r="F30">
        <v>1</v>
      </c>
      <c r="G30">
        <f t="shared" si="6"/>
        <v>150</v>
      </c>
      <c r="I30">
        <v>2014</v>
      </c>
      <c r="J30">
        <f t="shared" si="7"/>
        <v>152.5</v>
      </c>
      <c r="K30" cm="1">
        <f t="array" ref="K30">STOWA2024_NDJF_T(A30*60,J30,I30,"","")</f>
        <v>356403.65874389518</v>
      </c>
      <c r="L30">
        <f t="shared" si="8"/>
        <v>2.8058073352119564E-6</v>
      </c>
    </row>
    <row r="31" spans="1:12" x14ac:dyDescent="0.3">
      <c r="A31">
        <v>24</v>
      </c>
      <c r="B31">
        <f t="shared" si="5"/>
        <v>7.7598886095585518E-7</v>
      </c>
      <c r="C31">
        <f t="shared" si="1"/>
        <v>7.7598886095585518E-7</v>
      </c>
      <c r="D31" t="s">
        <v>24</v>
      </c>
      <c r="E31" t="s">
        <v>19</v>
      </c>
      <c r="F31">
        <v>1</v>
      </c>
      <c r="G31">
        <f t="shared" si="6"/>
        <v>155</v>
      </c>
      <c r="I31">
        <v>2014</v>
      </c>
      <c r="J31">
        <f t="shared" si="7"/>
        <v>157.5</v>
      </c>
      <c r="K31" cm="1">
        <f t="array" ref="K31">STOWA2024_NDJF_T(A31*60,J31,I31,"","")</f>
        <v>492654.8914017966</v>
      </c>
      <c r="L31">
        <f t="shared" si="8"/>
        <v>2.0298184742561012E-6</v>
      </c>
    </row>
    <row r="32" spans="1:12" x14ac:dyDescent="0.3">
      <c r="A32">
        <v>24</v>
      </c>
      <c r="B32" s="1">
        <f>L31</f>
        <v>2.0298184742561012E-6</v>
      </c>
      <c r="C32">
        <f t="shared" si="1"/>
        <v>2.0298184742561012E-6</v>
      </c>
      <c r="D32" t="s">
        <v>24</v>
      </c>
      <c r="E32" t="s">
        <v>19</v>
      </c>
      <c r="F32">
        <v>1</v>
      </c>
      <c r="G32">
        <f t="shared" si="6"/>
        <v>160</v>
      </c>
      <c r="I32">
        <v>2014</v>
      </c>
      <c r="J32">
        <f>AVERAGE(G32:G33)</f>
        <v>85</v>
      </c>
      <c r="K32" cm="1">
        <f t="array" ref="K32">STOWA2024_NDJF_T(A32*60,J32,I32,"","")</f>
        <v>1708.1513984634648</v>
      </c>
      <c r="L32">
        <f>1/K32</f>
        <v>5.8542820086060932E-4</v>
      </c>
    </row>
    <row r="33" spans="1:12" x14ac:dyDescent="0.3">
      <c r="A33">
        <v>48</v>
      </c>
      <c r="B33" s="1">
        <f>365.25*24/A33 - L33</f>
        <v>169.28225319153083</v>
      </c>
      <c r="C33">
        <f>B33</f>
        <v>169.28225319153083</v>
      </c>
      <c r="D33" t="s">
        <v>24</v>
      </c>
      <c r="E33" t="s">
        <v>19</v>
      </c>
      <c r="F33">
        <v>1</v>
      </c>
      <c r="G33">
        <v>10</v>
      </c>
      <c r="I33">
        <v>2014</v>
      </c>
      <c r="J33">
        <f>AVERAGE(G33:G35)</f>
        <v>15</v>
      </c>
      <c r="K33" cm="1">
        <f t="array" ref="K33">STOWA2024_NDJF_T(A33*60,J33,I33,"","")</f>
        <v>7.4947086559812415E-2</v>
      </c>
      <c r="L33">
        <f>1/K33</f>
        <v>13.342746808469174</v>
      </c>
    </row>
    <row r="34" spans="1:12" x14ac:dyDescent="0.3">
      <c r="A34">
        <v>48</v>
      </c>
      <c r="B34">
        <f t="shared" ref="B34:B38" si="9">L33-L34</f>
        <v>3.9890351642570714</v>
      </c>
      <c r="C34">
        <f t="shared" ref="C34:C63" si="10">B34</f>
        <v>3.9890351642570714</v>
      </c>
      <c r="D34" t="s">
        <v>24</v>
      </c>
      <c r="E34" t="s">
        <v>19</v>
      </c>
      <c r="F34">
        <v>1</v>
      </c>
      <c r="G34">
        <f t="shared" ref="G34:G38" si="11">G33+5</f>
        <v>15</v>
      </c>
      <c r="I34">
        <v>2014</v>
      </c>
      <c r="J34">
        <f t="shared" ref="J34:J38" si="12">AVERAGE(G34:G35)</f>
        <v>17.5</v>
      </c>
      <c r="K34" cm="1">
        <f t="array" ref="K34">STOWA2024_NDJF_T(A34*60,J34,I34,"","")</f>
        <v>0.10690943210963541</v>
      </c>
      <c r="L34">
        <f t="shared" ref="L34:L38" si="13">1/K34</f>
        <v>9.3537116442121029</v>
      </c>
    </row>
    <row r="35" spans="1:12" x14ac:dyDescent="0.3">
      <c r="A35">
        <v>48</v>
      </c>
      <c r="B35">
        <f t="shared" si="9"/>
        <v>4.6613966714198378</v>
      </c>
      <c r="C35">
        <f t="shared" si="10"/>
        <v>4.6613966714198378</v>
      </c>
      <c r="D35" t="s">
        <v>24</v>
      </c>
      <c r="E35" t="s">
        <v>19</v>
      </c>
      <c r="F35">
        <v>1</v>
      </c>
      <c r="G35">
        <f t="shared" si="11"/>
        <v>20</v>
      </c>
      <c r="I35">
        <v>2014</v>
      </c>
      <c r="J35">
        <f t="shared" si="12"/>
        <v>22.5</v>
      </c>
      <c r="K35" cm="1">
        <f t="array" ref="K35">STOWA2024_NDJF_T(A35*60,J35,I35,"","")</f>
        <v>0.21311442343456496</v>
      </c>
      <c r="L35">
        <f t="shared" si="13"/>
        <v>4.6923149727922651</v>
      </c>
    </row>
    <row r="36" spans="1:12" x14ac:dyDescent="0.3">
      <c r="A36">
        <v>48</v>
      </c>
      <c r="B36">
        <f t="shared" si="9"/>
        <v>2.2772356499097075</v>
      </c>
      <c r="C36">
        <f t="shared" si="10"/>
        <v>2.2772356499097075</v>
      </c>
      <c r="D36" t="s">
        <v>24</v>
      </c>
      <c r="E36" t="s">
        <v>19</v>
      </c>
      <c r="F36">
        <v>1</v>
      </c>
      <c r="G36">
        <f t="shared" si="11"/>
        <v>25</v>
      </c>
      <c r="I36">
        <v>2014</v>
      </c>
      <c r="J36">
        <f t="shared" si="12"/>
        <v>27.5</v>
      </c>
      <c r="K36" cm="1">
        <f t="array" ref="K36">STOWA2024_NDJF_T(A36*60,J36,I36,"","")</f>
        <v>0.41406507460236691</v>
      </c>
      <c r="L36">
        <f t="shared" si="13"/>
        <v>2.4150793228825576</v>
      </c>
    </row>
    <row r="37" spans="1:12" x14ac:dyDescent="0.3">
      <c r="A37">
        <v>48</v>
      </c>
      <c r="B37">
        <f t="shared" si="9"/>
        <v>1.142087699341191</v>
      </c>
      <c r="C37">
        <f t="shared" si="10"/>
        <v>1.142087699341191</v>
      </c>
      <c r="D37" t="s">
        <v>24</v>
      </c>
      <c r="E37" t="s">
        <v>19</v>
      </c>
      <c r="F37">
        <v>1</v>
      </c>
      <c r="G37">
        <f t="shared" si="11"/>
        <v>30</v>
      </c>
      <c r="I37">
        <v>2014</v>
      </c>
      <c r="J37">
        <f t="shared" si="12"/>
        <v>32.5</v>
      </c>
      <c r="K37" cm="1">
        <f t="array" ref="K37">STOWA2024_NDJF_T(A37*60,J37,I37,"","")</f>
        <v>0.78555112343793398</v>
      </c>
      <c r="L37">
        <f t="shared" si="13"/>
        <v>1.2729916235413665</v>
      </c>
    </row>
    <row r="38" spans="1:12" x14ac:dyDescent="0.3">
      <c r="A38">
        <v>48</v>
      </c>
      <c r="B38">
        <f t="shared" si="9"/>
        <v>0.5868730294715292</v>
      </c>
      <c r="C38">
        <f t="shared" si="10"/>
        <v>0.5868730294715292</v>
      </c>
      <c r="D38" t="s">
        <v>24</v>
      </c>
      <c r="E38" t="s">
        <v>19</v>
      </c>
      <c r="F38">
        <v>1</v>
      </c>
      <c r="G38">
        <f t="shared" si="11"/>
        <v>35</v>
      </c>
      <c r="I38">
        <v>2014</v>
      </c>
      <c r="J38">
        <f t="shared" si="12"/>
        <v>37.5</v>
      </c>
      <c r="K38" cm="1">
        <f t="array" ref="K38">STOWA2024_NDJF_T(A38*60,J38,I38,"","")</f>
        <v>1.4574739828406602</v>
      </c>
      <c r="L38">
        <f t="shared" si="13"/>
        <v>0.68611859406983733</v>
      </c>
    </row>
    <row r="39" spans="1:12" x14ac:dyDescent="0.3">
      <c r="A39">
        <v>48</v>
      </c>
      <c r="B39">
        <f>L38-L39</f>
        <v>0.3086231856653327</v>
      </c>
      <c r="C39">
        <f t="shared" si="10"/>
        <v>0.3086231856653327</v>
      </c>
      <c r="D39" t="s">
        <v>24</v>
      </c>
      <c r="E39" t="s">
        <v>19</v>
      </c>
      <c r="F39">
        <v>1</v>
      </c>
      <c r="G39">
        <f>G38+5</f>
        <v>40</v>
      </c>
      <c r="I39">
        <v>2014</v>
      </c>
      <c r="J39">
        <f>AVERAGE(G39:G40)</f>
        <v>42.5</v>
      </c>
      <c r="K39" cm="1">
        <f t="array" ref="K39">STOWA2024_NDJF_T(A39*60,J39,I39,"","")</f>
        <v>2.6490388432180652</v>
      </c>
      <c r="L39">
        <f>1/K39</f>
        <v>0.37749540840450463</v>
      </c>
    </row>
    <row r="40" spans="1:12" x14ac:dyDescent="0.3">
      <c r="A40">
        <v>48</v>
      </c>
      <c r="B40">
        <f t="shared" ref="B40:B62" si="14">L39-L40</f>
        <v>0.16574678319590205</v>
      </c>
      <c r="C40">
        <f t="shared" si="10"/>
        <v>0.16574678319590205</v>
      </c>
      <c r="D40" t="s">
        <v>24</v>
      </c>
      <c r="E40" t="s">
        <v>19</v>
      </c>
      <c r="F40">
        <v>1</v>
      </c>
      <c r="G40">
        <f t="shared" ref="G40:G63" si="15">G39+5</f>
        <v>45</v>
      </c>
      <c r="I40">
        <v>2014</v>
      </c>
      <c r="J40">
        <f t="shared" ref="J40:J62" si="16">AVERAGE(G40:G41)</f>
        <v>47.5</v>
      </c>
      <c r="K40" cm="1">
        <f t="array" ref="K40">STOWA2024_NDJF_T(A40*60,J40,I40,"","")</f>
        <v>4.722580838552588</v>
      </c>
      <c r="L40">
        <f t="shared" ref="L40:L62" si="17">1/K40</f>
        <v>0.21174862520860258</v>
      </c>
    </row>
    <row r="41" spans="1:12" x14ac:dyDescent="0.3">
      <c r="A41">
        <v>48</v>
      </c>
      <c r="B41">
        <f t="shared" si="14"/>
        <v>9.0800027315253287E-2</v>
      </c>
      <c r="C41">
        <f t="shared" si="10"/>
        <v>9.0800027315253287E-2</v>
      </c>
      <c r="D41" t="s">
        <v>24</v>
      </c>
      <c r="E41" t="s">
        <v>19</v>
      </c>
      <c r="F41">
        <v>1</v>
      </c>
      <c r="G41">
        <f t="shared" si="15"/>
        <v>50</v>
      </c>
      <c r="I41">
        <v>2014</v>
      </c>
      <c r="J41">
        <f t="shared" si="16"/>
        <v>52.5</v>
      </c>
      <c r="K41" cm="1">
        <f t="array" ref="K41">STOWA2024_NDJF_T(A41*60,J41,I41,"","")</f>
        <v>8.2679751350386503</v>
      </c>
      <c r="L41">
        <f t="shared" si="17"/>
        <v>0.12094859789334929</v>
      </c>
    </row>
    <row r="42" spans="1:12" x14ac:dyDescent="0.3">
      <c r="A42">
        <v>48</v>
      </c>
      <c r="B42">
        <f t="shared" si="14"/>
        <v>5.0676830925935848E-2</v>
      </c>
      <c r="C42">
        <f t="shared" si="10"/>
        <v>5.0676830925935848E-2</v>
      </c>
      <c r="D42" t="s">
        <v>24</v>
      </c>
      <c r="E42" t="s">
        <v>19</v>
      </c>
      <c r="F42">
        <v>1</v>
      </c>
      <c r="G42">
        <f t="shared" si="15"/>
        <v>55</v>
      </c>
      <c r="I42">
        <v>2014</v>
      </c>
      <c r="J42">
        <f t="shared" si="16"/>
        <v>57.5</v>
      </c>
      <c r="K42" cm="1">
        <f t="array" ref="K42">STOWA2024_NDJF_T(A42*60,J42,I42,"","")</f>
        <v>14.230466133912953</v>
      </c>
      <c r="L42">
        <f t="shared" si="17"/>
        <v>7.027176696741344E-2</v>
      </c>
    </row>
    <row r="43" spans="1:12" x14ac:dyDescent="0.3">
      <c r="A43">
        <v>48</v>
      </c>
      <c r="B43">
        <f t="shared" si="14"/>
        <v>2.8783646701402543E-2</v>
      </c>
      <c r="C43">
        <f t="shared" si="10"/>
        <v>2.8783646701402543E-2</v>
      </c>
      <c r="D43" t="s">
        <v>24</v>
      </c>
      <c r="E43" t="s">
        <v>19</v>
      </c>
      <c r="F43">
        <v>1</v>
      </c>
      <c r="G43">
        <f t="shared" si="15"/>
        <v>60</v>
      </c>
      <c r="I43">
        <v>2014</v>
      </c>
      <c r="J43">
        <f t="shared" si="16"/>
        <v>62.5</v>
      </c>
      <c r="K43" cm="1">
        <f t="array" ref="K43">STOWA2024_NDJF_T(A43*60,J43,I43,"","")</f>
        <v>24.103285316092016</v>
      </c>
      <c r="L43">
        <f t="shared" si="17"/>
        <v>4.1488120266010897E-2</v>
      </c>
    </row>
    <row r="44" spans="1:12" x14ac:dyDescent="0.3">
      <c r="A44">
        <v>48</v>
      </c>
      <c r="B44">
        <f t="shared" si="14"/>
        <v>1.6620984948325059E-2</v>
      </c>
      <c r="C44">
        <f t="shared" si="10"/>
        <v>1.6620984948325059E-2</v>
      </c>
      <c r="D44" t="s">
        <v>24</v>
      </c>
      <c r="E44" t="s">
        <v>19</v>
      </c>
      <c r="F44">
        <v>1</v>
      </c>
      <c r="G44">
        <f t="shared" si="15"/>
        <v>65</v>
      </c>
      <c r="I44">
        <v>2014</v>
      </c>
      <c r="J44">
        <f t="shared" si="16"/>
        <v>67.5</v>
      </c>
      <c r="K44" cm="1">
        <f t="array" ref="K44">STOWA2024_NDJF_T(A44*60,J44,I44,"","")</f>
        <v>40.213719321693908</v>
      </c>
      <c r="L44">
        <f t="shared" si="17"/>
        <v>2.4867135317685838E-2</v>
      </c>
    </row>
    <row r="45" spans="1:12" x14ac:dyDescent="0.3">
      <c r="A45">
        <v>48</v>
      </c>
      <c r="B45">
        <f t="shared" si="14"/>
        <v>9.7481919126788785E-3</v>
      </c>
      <c r="C45">
        <f t="shared" si="10"/>
        <v>9.7481919126788785E-3</v>
      </c>
      <c r="D45" t="s">
        <v>24</v>
      </c>
      <c r="E45" t="s">
        <v>19</v>
      </c>
      <c r="F45">
        <v>1</v>
      </c>
      <c r="G45">
        <f t="shared" si="15"/>
        <v>70</v>
      </c>
      <c r="I45">
        <v>2014</v>
      </c>
      <c r="J45">
        <f t="shared" si="16"/>
        <v>72.5</v>
      </c>
      <c r="K45" cm="1">
        <f t="array" ref="K45">STOWA2024_NDJF_T(A45*60,J45,I45,"","")</f>
        <v>66.142188194766888</v>
      </c>
      <c r="L45">
        <f t="shared" si="17"/>
        <v>1.511894340500696E-2</v>
      </c>
    </row>
    <row r="46" spans="1:12" x14ac:dyDescent="0.3">
      <c r="A46">
        <v>48</v>
      </c>
      <c r="B46">
        <f t="shared" si="14"/>
        <v>5.8019635166868463E-3</v>
      </c>
      <c r="C46">
        <f t="shared" si="10"/>
        <v>5.8019635166868463E-3</v>
      </c>
      <c r="D46" t="s">
        <v>24</v>
      </c>
      <c r="E46" t="s">
        <v>19</v>
      </c>
      <c r="F46">
        <v>1</v>
      </c>
      <c r="G46">
        <f t="shared" si="15"/>
        <v>75</v>
      </c>
      <c r="I46">
        <v>2014</v>
      </c>
      <c r="J46">
        <f t="shared" si="16"/>
        <v>77.5</v>
      </c>
      <c r="K46" cm="1">
        <f t="array" ref="K46">STOWA2024_NDJF_T(A46*60,J46,I46,"","")</f>
        <v>107.33091752764358</v>
      </c>
      <c r="L46">
        <f t="shared" si="17"/>
        <v>9.3169798883201132E-3</v>
      </c>
    </row>
    <row r="47" spans="1:12" x14ac:dyDescent="0.3">
      <c r="A47">
        <v>48</v>
      </c>
      <c r="B47">
        <f t="shared" si="14"/>
        <v>3.501603218895569E-3</v>
      </c>
      <c r="C47">
        <f t="shared" si="10"/>
        <v>3.501603218895569E-3</v>
      </c>
      <c r="D47" t="s">
        <v>24</v>
      </c>
      <c r="E47" t="s">
        <v>19</v>
      </c>
      <c r="F47">
        <v>1</v>
      </c>
      <c r="G47">
        <f t="shared" si="15"/>
        <v>80</v>
      </c>
      <c r="I47">
        <v>2014</v>
      </c>
      <c r="J47">
        <f t="shared" si="16"/>
        <v>82.5</v>
      </c>
      <c r="K47" cm="1">
        <f t="array" ref="K47">STOWA2024_NDJF_T(A47*60,J47,I47,"","")</f>
        <v>171.95790691559009</v>
      </c>
      <c r="L47">
        <f t="shared" si="17"/>
        <v>5.8153766694245441E-3</v>
      </c>
    </row>
    <row r="48" spans="1:12" x14ac:dyDescent="0.3">
      <c r="A48">
        <v>48</v>
      </c>
      <c r="B48">
        <f t="shared" si="14"/>
        <v>2.1413331816019709E-3</v>
      </c>
      <c r="C48">
        <f t="shared" si="10"/>
        <v>2.1413331816019709E-3</v>
      </c>
      <c r="D48" t="s">
        <v>24</v>
      </c>
      <c r="E48" t="s">
        <v>19</v>
      </c>
      <c r="F48">
        <v>1</v>
      </c>
      <c r="G48">
        <f t="shared" si="15"/>
        <v>85</v>
      </c>
      <c r="I48">
        <v>2014</v>
      </c>
      <c r="J48">
        <f t="shared" si="16"/>
        <v>87.5</v>
      </c>
      <c r="K48" cm="1">
        <f t="array" ref="K48">STOWA2024_NDJF_T(A48*60,J48,I48,"","")</f>
        <v>272.17968521996221</v>
      </c>
      <c r="L48">
        <f t="shared" si="17"/>
        <v>3.6740434878225732E-3</v>
      </c>
    </row>
    <row r="49" spans="1:12" x14ac:dyDescent="0.3">
      <c r="A49">
        <v>48</v>
      </c>
      <c r="B49">
        <f t="shared" si="14"/>
        <v>1.3259572944429292E-3</v>
      </c>
      <c r="C49">
        <f t="shared" si="10"/>
        <v>1.3259572944429292E-3</v>
      </c>
      <c r="D49" t="s">
        <v>24</v>
      </c>
      <c r="E49" t="s">
        <v>19</v>
      </c>
      <c r="F49">
        <v>1</v>
      </c>
      <c r="G49">
        <f t="shared" si="15"/>
        <v>90</v>
      </c>
      <c r="I49">
        <v>2014</v>
      </c>
      <c r="J49">
        <f t="shared" si="16"/>
        <v>92.5</v>
      </c>
      <c r="K49" cm="1">
        <f t="array" ref="K49">STOWA2024_NDJF_T(A49*60,J49,I49,"","")</f>
        <v>425.87874449390699</v>
      </c>
      <c r="L49">
        <f t="shared" si="17"/>
        <v>2.348086193379644E-3</v>
      </c>
    </row>
    <row r="50" spans="1:12" x14ac:dyDescent="0.3">
      <c r="A50">
        <v>48</v>
      </c>
      <c r="B50">
        <f t="shared" si="14"/>
        <v>8.3090026633561836E-4</v>
      </c>
      <c r="C50">
        <f t="shared" si="10"/>
        <v>8.3090026633561836E-4</v>
      </c>
      <c r="D50" t="s">
        <v>24</v>
      </c>
      <c r="E50" t="s">
        <v>19</v>
      </c>
      <c r="F50">
        <v>1</v>
      </c>
      <c r="G50">
        <f t="shared" si="15"/>
        <v>95</v>
      </c>
      <c r="I50">
        <v>2014</v>
      </c>
      <c r="J50">
        <f t="shared" si="16"/>
        <v>97.5</v>
      </c>
      <c r="K50" cm="1">
        <f t="array" ref="K50">STOWA2024_NDJF_T(A50*60,J50,I50,"","")</f>
        <v>659.1149984816476</v>
      </c>
      <c r="L50">
        <f t="shared" si="17"/>
        <v>1.5171859270440256E-3</v>
      </c>
    </row>
    <row r="51" spans="1:12" x14ac:dyDescent="0.3">
      <c r="A51">
        <v>48</v>
      </c>
      <c r="B51">
        <f t="shared" si="14"/>
        <v>5.2660131977971575E-4</v>
      </c>
      <c r="C51">
        <f t="shared" si="10"/>
        <v>5.2660131977971575E-4</v>
      </c>
      <c r="D51" t="s">
        <v>24</v>
      </c>
      <c r="E51" t="s">
        <v>19</v>
      </c>
      <c r="F51">
        <v>1</v>
      </c>
      <c r="G51">
        <f t="shared" si="15"/>
        <v>100</v>
      </c>
      <c r="I51">
        <v>2014</v>
      </c>
      <c r="J51">
        <f t="shared" si="16"/>
        <v>102.5</v>
      </c>
      <c r="K51" cm="1">
        <f t="array" ref="K51">STOWA2024_NDJF_T(A51*60,J51,I51,"","")</f>
        <v>1009.5048849605008</v>
      </c>
      <c r="L51">
        <f t="shared" si="17"/>
        <v>9.9058460726430988E-4</v>
      </c>
    </row>
    <row r="52" spans="1:12" x14ac:dyDescent="0.3">
      <c r="A52">
        <v>48</v>
      </c>
      <c r="B52">
        <f t="shared" si="14"/>
        <v>3.3736199058296168E-4</v>
      </c>
      <c r="C52">
        <f t="shared" si="10"/>
        <v>3.3736199058296168E-4</v>
      </c>
      <c r="D52" t="s">
        <v>24</v>
      </c>
      <c r="E52" t="s">
        <v>19</v>
      </c>
      <c r="F52">
        <v>1</v>
      </c>
      <c r="G52">
        <f t="shared" si="15"/>
        <v>105</v>
      </c>
      <c r="I52">
        <v>2014</v>
      </c>
      <c r="J52">
        <f t="shared" si="16"/>
        <v>107.5</v>
      </c>
      <c r="K52" cm="1">
        <f t="array" ref="K52">STOWA2024_NDJF_T(A52*60,J52,I52,"","")</f>
        <v>1530.8716729381326</v>
      </c>
      <c r="L52">
        <f t="shared" si="17"/>
        <v>6.532226166813482E-4</v>
      </c>
    </row>
    <row r="53" spans="1:12" x14ac:dyDescent="0.3">
      <c r="A53">
        <v>48</v>
      </c>
      <c r="B53">
        <f t="shared" si="14"/>
        <v>2.1836104426540149E-4</v>
      </c>
      <c r="C53">
        <f t="shared" si="10"/>
        <v>2.1836104426540149E-4</v>
      </c>
      <c r="D53" t="s">
        <v>24</v>
      </c>
      <c r="E53" t="s">
        <v>19</v>
      </c>
      <c r="F53">
        <v>1</v>
      </c>
      <c r="G53">
        <f t="shared" si="15"/>
        <v>110</v>
      </c>
      <c r="I53">
        <v>2014</v>
      </c>
      <c r="J53">
        <f t="shared" si="16"/>
        <v>112.5</v>
      </c>
      <c r="K53" cm="1">
        <f t="array" ref="K53">STOWA2024_NDJF_T(A53*60,J53,I53,"","")</f>
        <v>2299.5823577703854</v>
      </c>
      <c r="L53">
        <f t="shared" si="17"/>
        <v>4.3486157241594671E-4</v>
      </c>
    </row>
    <row r="54" spans="1:12" x14ac:dyDescent="0.3">
      <c r="A54">
        <v>48</v>
      </c>
      <c r="B54">
        <f t="shared" si="14"/>
        <v>1.4273067329872806E-4</v>
      </c>
      <c r="C54">
        <f t="shared" si="10"/>
        <v>1.4273067329872806E-4</v>
      </c>
      <c r="D54" t="s">
        <v>24</v>
      </c>
      <c r="E54" t="s">
        <v>19</v>
      </c>
      <c r="F54">
        <v>1</v>
      </c>
      <c r="G54">
        <f t="shared" si="15"/>
        <v>115</v>
      </c>
      <c r="I54">
        <v>2014</v>
      </c>
      <c r="J54">
        <f t="shared" si="16"/>
        <v>117.5</v>
      </c>
      <c r="K54" cm="1">
        <f t="array" ref="K54">STOWA2024_NDJF_T(A54*60,J54,I54,"","")</f>
        <v>3423.1230007570889</v>
      </c>
      <c r="L54">
        <f t="shared" si="17"/>
        <v>2.9213089911721865E-4</v>
      </c>
    </row>
    <row r="55" spans="1:12" x14ac:dyDescent="0.3">
      <c r="A55">
        <v>48</v>
      </c>
      <c r="B55">
        <f t="shared" si="14"/>
        <v>9.4174717769188632E-5</v>
      </c>
      <c r="C55">
        <f t="shared" si="10"/>
        <v>9.4174717769188632E-5</v>
      </c>
      <c r="D55" t="s">
        <v>24</v>
      </c>
      <c r="E55" t="s">
        <v>19</v>
      </c>
      <c r="F55">
        <v>1</v>
      </c>
      <c r="G55">
        <f t="shared" si="15"/>
        <v>120</v>
      </c>
      <c r="I55">
        <v>2014</v>
      </c>
      <c r="J55">
        <f t="shared" si="16"/>
        <v>122.5</v>
      </c>
      <c r="K55" cm="1">
        <f t="array" ref="K55">STOWA2024_NDJF_T(A55*60,J55,I55,"","")</f>
        <v>5051.6230066182352</v>
      </c>
      <c r="L55">
        <f t="shared" si="17"/>
        <v>1.9795618134803002E-4</v>
      </c>
    </row>
    <row r="56" spans="1:12" x14ac:dyDescent="0.3">
      <c r="A56">
        <v>48</v>
      </c>
      <c r="B56">
        <f t="shared" si="14"/>
        <v>6.2696663127919923E-5</v>
      </c>
      <c r="C56">
        <f t="shared" si="10"/>
        <v>6.2696663127919923E-5</v>
      </c>
      <c r="D56" t="s">
        <v>24</v>
      </c>
      <c r="E56" t="s">
        <v>19</v>
      </c>
      <c r="F56">
        <v>1</v>
      </c>
      <c r="G56">
        <f t="shared" si="15"/>
        <v>125</v>
      </c>
      <c r="I56">
        <v>2014</v>
      </c>
      <c r="J56">
        <f t="shared" si="16"/>
        <v>127.5</v>
      </c>
      <c r="K56" cm="1">
        <f t="array" ref="K56">STOWA2024_NDJF_T(A56*60,J56,I56,"","")</f>
        <v>7393.195045783641</v>
      </c>
      <c r="L56">
        <f t="shared" si="17"/>
        <v>1.3525951822011009E-4</v>
      </c>
    </row>
    <row r="57" spans="1:12" x14ac:dyDescent="0.3">
      <c r="A57">
        <v>48</v>
      </c>
      <c r="B57">
        <f t="shared" si="14"/>
        <v>4.2102029280189124E-5</v>
      </c>
      <c r="C57">
        <f t="shared" si="10"/>
        <v>4.2102029280189124E-5</v>
      </c>
      <c r="D57" t="s">
        <v>24</v>
      </c>
      <c r="E57" t="s">
        <v>19</v>
      </c>
      <c r="F57">
        <v>1</v>
      </c>
      <c r="G57">
        <f t="shared" si="15"/>
        <v>130</v>
      </c>
      <c r="I57">
        <v>2014</v>
      </c>
      <c r="J57">
        <f t="shared" si="16"/>
        <v>132.5</v>
      </c>
      <c r="K57" cm="1">
        <f t="array" ref="K57">STOWA2024_NDJF_T(A57*60,J57,I57,"","")</f>
        <v>10734.510036492278</v>
      </c>
      <c r="L57">
        <f t="shared" si="17"/>
        <v>9.315748893992097E-5</v>
      </c>
    </row>
    <row r="58" spans="1:12" x14ac:dyDescent="0.3">
      <c r="A58">
        <v>48</v>
      </c>
      <c r="B58">
        <f t="shared" si="14"/>
        <v>2.850534347084008E-5</v>
      </c>
      <c r="C58">
        <f t="shared" si="10"/>
        <v>2.850534347084008E-5</v>
      </c>
      <c r="D58" t="s">
        <v>24</v>
      </c>
      <c r="E58" t="s">
        <v>19</v>
      </c>
      <c r="F58">
        <v>1</v>
      </c>
      <c r="G58">
        <f t="shared" si="15"/>
        <v>135</v>
      </c>
      <c r="I58">
        <v>2014</v>
      </c>
      <c r="J58">
        <f t="shared" si="16"/>
        <v>137.5</v>
      </c>
      <c r="K58" cm="1">
        <f t="array" ref="K58">STOWA2024_NDJF_T(A58*60,J58,I58,"","")</f>
        <v>15467.390799555722</v>
      </c>
      <c r="L58">
        <f t="shared" si="17"/>
        <v>6.465214546908089E-5</v>
      </c>
    </row>
    <row r="59" spans="1:12" x14ac:dyDescent="0.3">
      <c r="A59">
        <v>48</v>
      </c>
      <c r="B59">
        <f t="shared" si="14"/>
        <v>1.9453244464995432E-5</v>
      </c>
      <c r="C59">
        <f t="shared" si="10"/>
        <v>1.9453244464995432E-5</v>
      </c>
      <c r="D59" t="s">
        <v>24</v>
      </c>
      <c r="E59" t="s">
        <v>19</v>
      </c>
      <c r="F59">
        <v>1</v>
      </c>
      <c r="G59">
        <f t="shared" si="15"/>
        <v>140</v>
      </c>
      <c r="I59">
        <v>2014</v>
      </c>
      <c r="J59">
        <f t="shared" si="16"/>
        <v>142.5</v>
      </c>
      <c r="K59" cm="1">
        <f t="array" ref="K59">STOWA2024_NDJF_T(A59*60,J59,I59,"","")</f>
        <v>22124.43174026757</v>
      </c>
      <c r="L59">
        <f t="shared" si="17"/>
        <v>4.5198901004085458E-5</v>
      </c>
    </row>
    <row r="60" spans="1:12" x14ac:dyDescent="0.3">
      <c r="A60">
        <v>48</v>
      </c>
      <c r="B60">
        <f t="shared" si="14"/>
        <v>1.3377072102285152E-5</v>
      </c>
      <c r="C60">
        <f t="shared" si="10"/>
        <v>1.3377072102285152E-5</v>
      </c>
      <c r="D60" t="s">
        <v>24</v>
      </c>
      <c r="E60" t="s">
        <v>19</v>
      </c>
      <c r="F60">
        <v>1</v>
      </c>
      <c r="G60">
        <f t="shared" si="15"/>
        <v>145</v>
      </c>
      <c r="I60">
        <v>2014</v>
      </c>
      <c r="J60">
        <f t="shared" si="16"/>
        <v>147.5</v>
      </c>
      <c r="K60" cm="1">
        <f t="array" ref="K60">STOWA2024_NDJF_T(A60*60,J60,I60,"","")</f>
        <v>31424.969415991844</v>
      </c>
      <c r="L60">
        <f t="shared" si="17"/>
        <v>3.1821828901800306E-5</v>
      </c>
    </row>
    <row r="61" spans="1:12" x14ac:dyDescent="0.3">
      <c r="A61">
        <v>48</v>
      </c>
      <c r="B61">
        <f t="shared" si="14"/>
        <v>9.2658373747445434E-6</v>
      </c>
      <c r="C61">
        <f t="shared" si="10"/>
        <v>9.2658373747445434E-6</v>
      </c>
      <c r="D61" t="s">
        <v>24</v>
      </c>
      <c r="E61" t="s">
        <v>19</v>
      </c>
      <c r="F61">
        <v>1</v>
      </c>
      <c r="G61">
        <f t="shared" si="15"/>
        <v>150</v>
      </c>
      <c r="I61">
        <v>2014</v>
      </c>
      <c r="J61">
        <f t="shared" si="16"/>
        <v>152.5</v>
      </c>
      <c r="K61" cm="1">
        <f t="array" ref="K61">STOWA2024_NDJF_T(A61*60,J61,I61,"","")</f>
        <v>44334.118444782471</v>
      </c>
      <c r="L61">
        <f t="shared" si="17"/>
        <v>2.2555991527055763E-5</v>
      </c>
    </row>
    <row r="62" spans="1:12" x14ac:dyDescent="0.3">
      <c r="A62">
        <v>48</v>
      </c>
      <c r="B62">
        <f t="shared" si="14"/>
        <v>6.4634477899491015E-6</v>
      </c>
      <c r="C62">
        <f t="shared" si="10"/>
        <v>6.4634477899491015E-6</v>
      </c>
      <c r="D62" t="s">
        <v>24</v>
      </c>
      <c r="E62" t="s">
        <v>19</v>
      </c>
      <c r="F62">
        <v>1</v>
      </c>
      <c r="G62">
        <f t="shared" si="15"/>
        <v>155</v>
      </c>
      <c r="I62">
        <v>2014</v>
      </c>
      <c r="J62">
        <f t="shared" si="16"/>
        <v>157.5</v>
      </c>
      <c r="K62" cm="1">
        <f t="array" ref="K62">STOWA2024_NDJF_T(A62*60,J62,I62,"","")</f>
        <v>62140.579906840365</v>
      </c>
      <c r="L62">
        <f t="shared" si="17"/>
        <v>1.6092543737106661E-5</v>
      </c>
    </row>
    <row r="63" spans="1:12" x14ac:dyDescent="0.3">
      <c r="A63">
        <v>48</v>
      </c>
      <c r="B63" s="1">
        <f>L62</f>
        <v>1.6092543737106661E-5</v>
      </c>
      <c r="C63">
        <f t="shared" si="10"/>
        <v>1.6092543737106661E-5</v>
      </c>
      <c r="D63" t="s">
        <v>24</v>
      </c>
      <c r="E63" t="s">
        <v>19</v>
      </c>
      <c r="F63">
        <v>1</v>
      </c>
      <c r="G63">
        <f t="shared" si="15"/>
        <v>160</v>
      </c>
      <c r="I63">
        <v>2014</v>
      </c>
      <c r="J63">
        <f>AVERAGE(G63:G64)</f>
        <v>85</v>
      </c>
      <c r="K63" cm="1">
        <f t="array" ref="K63">STOWA2024_NDJF_T(A63*60,J63,I63,"","")</f>
        <v>216.66059642254302</v>
      </c>
      <c r="L63">
        <f>1/K63</f>
        <v>4.6155139259828623E-3</v>
      </c>
    </row>
    <row r="64" spans="1:12" x14ac:dyDescent="0.3">
      <c r="A64">
        <v>96</v>
      </c>
      <c r="B64" s="1">
        <f>365.25*24/A64 - L64</f>
        <v>71.059174647586985</v>
      </c>
      <c r="C64">
        <f>B64</f>
        <v>71.059174647586985</v>
      </c>
      <c r="D64" t="s">
        <v>24</v>
      </c>
      <c r="E64" t="s">
        <v>19</v>
      </c>
      <c r="F64">
        <v>1</v>
      </c>
      <c r="G64">
        <v>10</v>
      </c>
      <c r="I64">
        <v>2014</v>
      </c>
      <c r="J64">
        <f>AVERAGE(G64:G66)</f>
        <v>15</v>
      </c>
      <c r="K64" cm="1">
        <f t="array" ref="K64">STOWA2024_NDJF_T(A64*60,J64,I64,"","")</f>
        <v>4.9374608001389687E-2</v>
      </c>
      <c r="L64">
        <f>1/K64</f>
        <v>20.253325352413011</v>
      </c>
    </row>
    <row r="65" spans="1:12" x14ac:dyDescent="0.3">
      <c r="A65">
        <v>96</v>
      </c>
      <c r="B65">
        <f t="shared" ref="B65:B69" si="18">L64-L65</f>
        <v>4.3531327915600784</v>
      </c>
      <c r="C65">
        <f t="shared" ref="C65:C94" si="19">B65</f>
        <v>4.3531327915600784</v>
      </c>
      <c r="D65" t="s">
        <v>24</v>
      </c>
      <c r="E65" t="s">
        <v>19</v>
      </c>
      <c r="F65">
        <v>1</v>
      </c>
      <c r="G65">
        <f t="shared" ref="G65:G69" si="20">G64+5</f>
        <v>15</v>
      </c>
      <c r="I65">
        <v>2014</v>
      </c>
      <c r="J65">
        <f t="shared" ref="J65:J69" si="21">AVERAGE(G65:G66)</f>
        <v>17.5</v>
      </c>
      <c r="K65" cm="1">
        <f t="array" ref="K65">STOWA2024_NDJF_T(A65*60,J65,I65,"","")</f>
        <v>6.2892320088125842E-2</v>
      </c>
      <c r="L65">
        <f t="shared" ref="L65:L69" si="22">1/K65</f>
        <v>15.900192560852933</v>
      </c>
    </row>
    <row r="66" spans="1:12" x14ac:dyDescent="0.3">
      <c r="A66">
        <v>96</v>
      </c>
      <c r="B66">
        <f t="shared" si="18"/>
        <v>6.0629557491944119</v>
      </c>
      <c r="C66">
        <f t="shared" si="19"/>
        <v>6.0629557491944119</v>
      </c>
      <c r="D66" t="s">
        <v>24</v>
      </c>
      <c r="E66" t="s">
        <v>19</v>
      </c>
      <c r="F66">
        <v>1</v>
      </c>
      <c r="G66">
        <f t="shared" si="20"/>
        <v>20</v>
      </c>
      <c r="I66">
        <v>2014</v>
      </c>
      <c r="J66">
        <f t="shared" si="21"/>
        <v>22.5</v>
      </c>
      <c r="K66" cm="1">
        <f t="array" ref="K66">STOWA2024_NDJF_T(A66*60,J66,I66,"","")</f>
        <v>0.10165456206308444</v>
      </c>
      <c r="L66">
        <f t="shared" si="22"/>
        <v>9.8372368116585207</v>
      </c>
    </row>
    <row r="67" spans="1:12" x14ac:dyDescent="0.3">
      <c r="A67">
        <v>96</v>
      </c>
      <c r="B67">
        <f t="shared" si="18"/>
        <v>3.7204175034472646</v>
      </c>
      <c r="C67">
        <f t="shared" si="19"/>
        <v>3.7204175034472646</v>
      </c>
      <c r="D67" t="s">
        <v>24</v>
      </c>
      <c r="E67" t="s">
        <v>19</v>
      </c>
      <c r="F67">
        <v>1</v>
      </c>
      <c r="G67">
        <f t="shared" si="20"/>
        <v>25</v>
      </c>
      <c r="I67">
        <v>2014</v>
      </c>
      <c r="J67">
        <f t="shared" si="21"/>
        <v>27.5</v>
      </c>
      <c r="K67" cm="1">
        <f t="array" ref="K67">STOWA2024_NDJF_T(A67*60,J67,I67,"","")</f>
        <v>0.16348365868149706</v>
      </c>
      <c r="L67">
        <f t="shared" si="22"/>
        <v>6.1168193082112561</v>
      </c>
    </row>
    <row r="68" spans="1:12" x14ac:dyDescent="0.3">
      <c r="A68">
        <v>96</v>
      </c>
      <c r="B68">
        <f t="shared" si="18"/>
        <v>2.2946457861278149</v>
      </c>
      <c r="C68">
        <f t="shared" si="19"/>
        <v>2.2946457861278149</v>
      </c>
      <c r="D68" t="s">
        <v>24</v>
      </c>
      <c r="E68" t="s">
        <v>19</v>
      </c>
      <c r="F68">
        <v>1</v>
      </c>
      <c r="G68">
        <f t="shared" si="20"/>
        <v>30</v>
      </c>
      <c r="I68">
        <v>2014</v>
      </c>
      <c r="J68">
        <f t="shared" si="21"/>
        <v>32.5</v>
      </c>
      <c r="K68" cm="1">
        <f t="array" ref="K68">STOWA2024_NDJF_T(A68*60,J68,I68,"","")</f>
        <v>0.26163124050289238</v>
      </c>
      <c r="L68">
        <f t="shared" si="22"/>
        <v>3.8221735220834412</v>
      </c>
    </row>
    <row r="69" spans="1:12" x14ac:dyDescent="0.3">
      <c r="A69">
        <v>96</v>
      </c>
      <c r="B69">
        <f t="shared" si="18"/>
        <v>1.4222856787563054</v>
      </c>
      <c r="C69">
        <f t="shared" si="19"/>
        <v>1.4222856787563054</v>
      </c>
      <c r="D69" t="s">
        <v>24</v>
      </c>
      <c r="E69" t="s">
        <v>19</v>
      </c>
      <c r="F69">
        <v>1</v>
      </c>
      <c r="G69">
        <f t="shared" si="20"/>
        <v>35</v>
      </c>
      <c r="I69">
        <v>2014</v>
      </c>
      <c r="J69">
        <f t="shared" si="21"/>
        <v>37.5</v>
      </c>
      <c r="K69" cm="1">
        <f t="array" ref="K69">STOWA2024_NDJF_T(A69*60,J69,I69,"","")</f>
        <v>0.41668613922125153</v>
      </c>
      <c r="L69">
        <f t="shared" si="22"/>
        <v>2.3998878433271358</v>
      </c>
    </row>
    <row r="70" spans="1:12" x14ac:dyDescent="0.3">
      <c r="A70">
        <v>96</v>
      </c>
      <c r="B70">
        <f>L69-L70</f>
        <v>0.88591675408712844</v>
      </c>
      <c r="C70">
        <f t="shared" si="19"/>
        <v>0.88591675408712844</v>
      </c>
      <c r="D70" t="s">
        <v>24</v>
      </c>
      <c r="E70" t="s">
        <v>19</v>
      </c>
      <c r="F70">
        <v>1</v>
      </c>
      <c r="G70">
        <f>G69+5</f>
        <v>40</v>
      </c>
      <c r="I70">
        <v>2014</v>
      </c>
      <c r="J70">
        <f>AVERAGE(G70:G71)</f>
        <v>42.5</v>
      </c>
      <c r="K70" cm="1">
        <f t="array" ref="K70">STOWA2024_NDJF_T(A70*60,J70,I70,"","")</f>
        <v>0.66051459443785432</v>
      </c>
      <c r="L70">
        <f>1/K70</f>
        <v>1.5139710892400073</v>
      </c>
    </row>
    <row r="71" spans="1:12" x14ac:dyDescent="0.3">
      <c r="A71">
        <v>96</v>
      </c>
      <c r="B71">
        <f t="shared" ref="B71:B93" si="23">L70-L71</f>
        <v>0.55436602125595535</v>
      </c>
      <c r="C71">
        <f t="shared" si="19"/>
        <v>0.55436602125595535</v>
      </c>
      <c r="D71" t="s">
        <v>24</v>
      </c>
      <c r="E71" t="s">
        <v>19</v>
      </c>
      <c r="F71">
        <v>1</v>
      </c>
      <c r="G71">
        <f t="shared" ref="G71:G94" si="24">G70+5</f>
        <v>45</v>
      </c>
      <c r="I71">
        <v>2014</v>
      </c>
      <c r="J71">
        <f t="shared" ref="J71:J93" si="25">AVERAGE(G71:G72)</f>
        <v>47.5</v>
      </c>
      <c r="K71" cm="1">
        <f t="array" ref="K71">STOWA2024_NDJF_T(A71*60,J71,I71,"","")</f>
        <v>1.0420953716937011</v>
      </c>
      <c r="L71">
        <f t="shared" ref="L71:L93" si="26">1/K71</f>
        <v>0.95960506798405198</v>
      </c>
    </row>
    <row r="72" spans="1:12" x14ac:dyDescent="0.3">
      <c r="A72">
        <v>96</v>
      </c>
      <c r="B72">
        <f t="shared" si="23"/>
        <v>0.34866057566328668</v>
      </c>
      <c r="C72">
        <f t="shared" si="19"/>
        <v>0.34866057566328668</v>
      </c>
      <c r="D72" t="s">
        <v>24</v>
      </c>
      <c r="E72" t="s">
        <v>19</v>
      </c>
      <c r="F72">
        <v>1</v>
      </c>
      <c r="G72">
        <f t="shared" si="24"/>
        <v>50</v>
      </c>
      <c r="I72">
        <v>2014</v>
      </c>
      <c r="J72">
        <f t="shared" si="25"/>
        <v>52.5</v>
      </c>
      <c r="K72" cm="1">
        <f t="array" ref="K72">STOWA2024_NDJF_T(A72*60,J72,I72,"","")</f>
        <v>1.6368099108338769</v>
      </c>
      <c r="L72">
        <f t="shared" si="26"/>
        <v>0.61094449232076531</v>
      </c>
    </row>
    <row r="73" spans="1:12" x14ac:dyDescent="0.3">
      <c r="A73">
        <v>96</v>
      </c>
      <c r="B73">
        <f t="shared" si="23"/>
        <v>0.22025483883905211</v>
      </c>
      <c r="C73">
        <f t="shared" si="19"/>
        <v>0.22025483883905211</v>
      </c>
      <c r="D73" t="s">
        <v>24</v>
      </c>
      <c r="E73" t="s">
        <v>19</v>
      </c>
      <c r="F73">
        <v>1</v>
      </c>
      <c r="G73">
        <f t="shared" si="24"/>
        <v>55</v>
      </c>
      <c r="I73">
        <v>2014</v>
      </c>
      <c r="J73">
        <f t="shared" si="25"/>
        <v>57.5</v>
      </c>
      <c r="K73" cm="1">
        <f t="array" ref="K73">STOWA2024_NDJF_T(A73*60,J73,I73,"","")</f>
        <v>2.5595763570606214</v>
      </c>
      <c r="L73">
        <f t="shared" si="26"/>
        <v>0.39068965348171319</v>
      </c>
    </row>
    <row r="74" spans="1:12" x14ac:dyDescent="0.3">
      <c r="A74">
        <v>96</v>
      </c>
      <c r="B74">
        <f t="shared" si="23"/>
        <v>0.1397560695353593</v>
      </c>
      <c r="C74">
        <f t="shared" si="19"/>
        <v>0.1397560695353593</v>
      </c>
      <c r="D74" t="s">
        <v>24</v>
      </c>
      <c r="E74" t="s">
        <v>19</v>
      </c>
      <c r="F74">
        <v>1</v>
      </c>
      <c r="G74">
        <f t="shared" si="24"/>
        <v>60</v>
      </c>
      <c r="I74">
        <v>2014</v>
      </c>
      <c r="J74">
        <f t="shared" si="25"/>
        <v>62.5</v>
      </c>
      <c r="K74" cm="1">
        <f t="array" ref="K74">STOWA2024_NDJF_T(A74*60,J74,I74,"","")</f>
        <v>3.985118230383168</v>
      </c>
      <c r="L74">
        <f t="shared" si="26"/>
        <v>0.2509335839463539</v>
      </c>
    </row>
    <row r="75" spans="1:12" x14ac:dyDescent="0.3">
      <c r="A75">
        <v>96</v>
      </c>
      <c r="B75">
        <f t="shared" si="23"/>
        <v>8.9073939082579212E-2</v>
      </c>
      <c r="C75">
        <f t="shared" si="19"/>
        <v>8.9073939082579212E-2</v>
      </c>
      <c r="D75" t="s">
        <v>24</v>
      </c>
      <c r="E75" t="s">
        <v>19</v>
      </c>
      <c r="F75">
        <v>1</v>
      </c>
      <c r="G75">
        <f t="shared" si="24"/>
        <v>65</v>
      </c>
      <c r="I75">
        <v>2014</v>
      </c>
      <c r="J75">
        <f t="shared" si="25"/>
        <v>67.5</v>
      </c>
      <c r="K75" cm="1">
        <f t="array" ref="K75">STOWA2024_NDJF_T(A75*60,J75,I75,"","")</f>
        <v>6.1781922284682276</v>
      </c>
      <c r="L75">
        <f t="shared" si="26"/>
        <v>0.16185964486377469</v>
      </c>
    </row>
    <row r="76" spans="1:12" x14ac:dyDescent="0.3">
      <c r="A76">
        <v>96</v>
      </c>
      <c r="B76">
        <f t="shared" si="23"/>
        <v>5.7017312784661267E-2</v>
      </c>
      <c r="C76">
        <f t="shared" si="19"/>
        <v>5.7017312784661267E-2</v>
      </c>
      <c r="D76" t="s">
        <v>24</v>
      </c>
      <c r="E76" t="s">
        <v>19</v>
      </c>
      <c r="F76">
        <v>1</v>
      </c>
      <c r="G76">
        <f t="shared" si="24"/>
        <v>70</v>
      </c>
      <c r="I76">
        <v>2014</v>
      </c>
      <c r="J76">
        <f t="shared" si="25"/>
        <v>72.5</v>
      </c>
      <c r="K76" cm="1">
        <f t="array" ref="K76">STOWA2024_NDJF_T(A76*60,J76,I76,"","")</f>
        <v>9.5381319755974694</v>
      </c>
      <c r="L76">
        <f t="shared" si="26"/>
        <v>0.10484233207911342</v>
      </c>
    </row>
    <row r="77" spans="1:12" x14ac:dyDescent="0.3">
      <c r="A77">
        <v>96</v>
      </c>
      <c r="B77">
        <f t="shared" si="23"/>
        <v>3.6652586987892366E-2</v>
      </c>
      <c r="C77">
        <f t="shared" si="19"/>
        <v>3.6652586987892366E-2</v>
      </c>
      <c r="D77" t="s">
        <v>24</v>
      </c>
      <c r="E77" t="s">
        <v>19</v>
      </c>
      <c r="F77">
        <v>1</v>
      </c>
      <c r="G77">
        <f t="shared" si="24"/>
        <v>75</v>
      </c>
      <c r="I77">
        <v>2014</v>
      </c>
      <c r="J77">
        <f t="shared" si="25"/>
        <v>77.5</v>
      </c>
      <c r="K77" cm="1">
        <f t="array" ref="K77">STOWA2024_NDJF_T(A77*60,J77,I77,"","")</f>
        <v>14.664961698599205</v>
      </c>
      <c r="L77">
        <f t="shared" si="26"/>
        <v>6.8189745091221055E-2</v>
      </c>
    </row>
    <row r="78" spans="1:12" x14ac:dyDescent="0.3">
      <c r="A78">
        <v>96</v>
      </c>
      <c r="B78">
        <f t="shared" si="23"/>
        <v>2.3659384560978831E-2</v>
      </c>
      <c r="C78">
        <f t="shared" si="19"/>
        <v>2.3659384560978831E-2</v>
      </c>
      <c r="D78" t="s">
        <v>24</v>
      </c>
      <c r="E78" t="s">
        <v>19</v>
      </c>
      <c r="F78">
        <v>1</v>
      </c>
      <c r="G78">
        <f t="shared" si="24"/>
        <v>80</v>
      </c>
      <c r="I78">
        <v>2014</v>
      </c>
      <c r="J78">
        <f t="shared" si="25"/>
        <v>82.5</v>
      </c>
      <c r="K78" cm="1">
        <f t="array" ref="K78">STOWA2024_NDJF_T(A78*60,J78,I78,"","")</f>
        <v>22.456588900080042</v>
      </c>
      <c r="L78">
        <f t="shared" si="26"/>
        <v>4.4530360530242223E-2</v>
      </c>
    </row>
    <row r="79" spans="1:12" x14ac:dyDescent="0.3">
      <c r="A79">
        <v>96</v>
      </c>
      <c r="B79">
        <f t="shared" si="23"/>
        <v>1.5335392740592278E-2</v>
      </c>
      <c r="C79">
        <f t="shared" si="19"/>
        <v>1.5335392740592278E-2</v>
      </c>
      <c r="D79" t="s">
        <v>24</v>
      </c>
      <c r="E79" t="s">
        <v>19</v>
      </c>
      <c r="F79">
        <v>1</v>
      </c>
      <c r="G79">
        <f t="shared" si="24"/>
        <v>85</v>
      </c>
      <c r="I79">
        <v>2014</v>
      </c>
      <c r="J79">
        <f t="shared" si="25"/>
        <v>87.5</v>
      </c>
      <c r="K79" cm="1">
        <f t="array" ref="K79">STOWA2024_NDJF_T(A79*60,J79,I79,"","")</f>
        <v>34.252478276565014</v>
      </c>
      <c r="L79">
        <f t="shared" si="26"/>
        <v>2.9194967789649945E-2</v>
      </c>
    </row>
    <row r="80" spans="1:12" x14ac:dyDescent="0.3">
      <c r="A80">
        <v>96</v>
      </c>
      <c r="B80">
        <f t="shared" si="23"/>
        <v>9.97952866700293E-3</v>
      </c>
      <c r="C80">
        <f t="shared" si="19"/>
        <v>9.97952866700293E-3</v>
      </c>
      <c r="D80" t="s">
        <v>24</v>
      </c>
      <c r="E80" t="s">
        <v>19</v>
      </c>
      <c r="F80">
        <v>1</v>
      </c>
      <c r="G80">
        <f t="shared" si="24"/>
        <v>90</v>
      </c>
      <c r="I80">
        <v>2014</v>
      </c>
      <c r="J80">
        <f t="shared" si="25"/>
        <v>92.5</v>
      </c>
      <c r="K80" cm="1">
        <f t="array" ref="K80">STOWA2024_NDJF_T(A80*60,J80,I80,"","")</f>
        <v>52.041485683323039</v>
      </c>
      <c r="L80">
        <f t="shared" si="26"/>
        <v>1.9215439122647015E-2</v>
      </c>
    </row>
    <row r="81" spans="1:12" x14ac:dyDescent="0.3">
      <c r="A81">
        <v>96</v>
      </c>
      <c r="B81">
        <f t="shared" si="23"/>
        <v>6.5199705274776327E-3</v>
      </c>
      <c r="C81">
        <f t="shared" si="19"/>
        <v>6.5199705274776327E-3</v>
      </c>
      <c r="D81" t="s">
        <v>24</v>
      </c>
      <c r="E81" t="s">
        <v>19</v>
      </c>
      <c r="F81">
        <v>1</v>
      </c>
      <c r="G81">
        <f t="shared" si="24"/>
        <v>95</v>
      </c>
      <c r="I81">
        <v>2014</v>
      </c>
      <c r="J81">
        <f t="shared" si="25"/>
        <v>97.5</v>
      </c>
      <c r="K81" cm="1">
        <f t="array" ref="K81">STOWA2024_NDJF_T(A81*60,J81,I81,"","")</f>
        <v>78.768262274344039</v>
      </c>
      <c r="L81">
        <f t="shared" si="26"/>
        <v>1.2695468595169382E-2</v>
      </c>
    </row>
    <row r="82" spans="1:12" x14ac:dyDescent="0.3">
      <c r="A82">
        <v>96</v>
      </c>
      <c r="B82">
        <f t="shared" si="23"/>
        <v>4.2762844108314435E-3</v>
      </c>
      <c r="C82">
        <f t="shared" si="19"/>
        <v>4.2762844108314435E-3</v>
      </c>
      <c r="D82" t="s">
        <v>24</v>
      </c>
      <c r="E82" t="s">
        <v>19</v>
      </c>
      <c r="F82">
        <v>1</v>
      </c>
      <c r="G82">
        <f t="shared" si="24"/>
        <v>100</v>
      </c>
      <c r="I82">
        <v>2014</v>
      </c>
      <c r="J82">
        <f t="shared" si="25"/>
        <v>102.5</v>
      </c>
      <c r="K82" cm="1">
        <f t="array" ref="K82">STOWA2024_NDJF_T(A82*60,J82,I82,"","")</f>
        <v>118.77635387289453</v>
      </c>
      <c r="L82">
        <f t="shared" si="26"/>
        <v>8.4191841843379387E-3</v>
      </c>
    </row>
    <row r="83" spans="1:12" x14ac:dyDescent="0.3">
      <c r="A83">
        <v>96</v>
      </c>
      <c r="B83">
        <f t="shared" si="23"/>
        <v>2.8152663360763198E-3</v>
      </c>
      <c r="C83">
        <f t="shared" si="19"/>
        <v>2.8152663360763198E-3</v>
      </c>
      <c r="D83" t="s">
        <v>24</v>
      </c>
      <c r="E83" t="s">
        <v>19</v>
      </c>
      <c r="F83">
        <v>1</v>
      </c>
      <c r="G83">
        <f t="shared" si="24"/>
        <v>105</v>
      </c>
      <c r="I83">
        <v>2014</v>
      </c>
      <c r="J83">
        <f t="shared" si="25"/>
        <v>107.5</v>
      </c>
      <c r="K83" cm="1">
        <f t="array" ref="K83">STOWA2024_NDJF_T(A83*60,J83,I83,"","")</f>
        <v>178.44658452839528</v>
      </c>
      <c r="L83">
        <f t="shared" si="26"/>
        <v>5.6039178482616189E-3</v>
      </c>
    </row>
    <row r="84" spans="1:12" x14ac:dyDescent="0.3">
      <c r="A84">
        <v>96</v>
      </c>
      <c r="B84">
        <f t="shared" si="23"/>
        <v>1.8603794323136208E-3</v>
      </c>
      <c r="C84">
        <f t="shared" si="19"/>
        <v>1.8603794323136208E-3</v>
      </c>
      <c r="D84" t="s">
        <v>24</v>
      </c>
      <c r="E84" t="s">
        <v>19</v>
      </c>
      <c r="F84">
        <v>1</v>
      </c>
      <c r="G84">
        <f t="shared" si="24"/>
        <v>110</v>
      </c>
      <c r="I84">
        <v>2014</v>
      </c>
      <c r="J84">
        <f t="shared" si="25"/>
        <v>112.5</v>
      </c>
      <c r="K84" cm="1">
        <f t="array" ref="K84">STOWA2024_NDJF_T(A84*60,J84,I84,"","")</f>
        <v>267.12695019766858</v>
      </c>
      <c r="L84">
        <f t="shared" si="26"/>
        <v>3.7435384159479981E-3</v>
      </c>
    </row>
    <row r="85" spans="1:12" x14ac:dyDescent="0.3">
      <c r="A85">
        <v>96</v>
      </c>
      <c r="B85">
        <f t="shared" si="23"/>
        <v>1.2338833867033949E-3</v>
      </c>
      <c r="C85">
        <f t="shared" si="19"/>
        <v>1.2338833867033949E-3</v>
      </c>
      <c r="D85" t="s">
        <v>24</v>
      </c>
      <c r="E85" t="s">
        <v>19</v>
      </c>
      <c r="F85">
        <v>1</v>
      </c>
      <c r="G85">
        <f t="shared" si="24"/>
        <v>115</v>
      </c>
      <c r="I85">
        <v>2014</v>
      </c>
      <c r="J85">
        <f t="shared" si="25"/>
        <v>117.5</v>
      </c>
      <c r="K85" cm="1">
        <f t="array" ref="K85">STOWA2024_NDJF_T(A85*60,J85,I85,"","")</f>
        <v>398.461138422278</v>
      </c>
      <c r="L85">
        <f t="shared" si="26"/>
        <v>2.5096550292446032E-3</v>
      </c>
    </row>
    <row r="86" spans="1:12" x14ac:dyDescent="0.3">
      <c r="A86">
        <v>96</v>
      </c>
      <c r="B86">
        <f t="shared" si="23"/>
        <v>8.2131428430224436E-4</v>
      </c>
      <c r="C86">
        <f t="shared" si="19"/>
        <v>8.2131428430224436E-4</v>
      </c>
      <c r="D86" t="s">
        <v>24</v>
      </c>
      <c r="E86" t="s">
        <v>19</v>
      </c>
      <c r="F86">
        <v>1</v>
      </c>
      <c r="G86">
        <f t="shared" si="24"/>
        <v>120</v>
      </c>
      <c r="I86">
        <v>2014</v>
      </c>
      <c r="J86">
        <f t="shared" si="25"/>
        <v>122.5</v>
      </c>
      <c r="K86" cm="1">
        <f t="array" ref="K86">STOWA2024_NDJF_T(A86*60,J86,I86,"","")</f>
        <v>592.29749859181459</v>
      </c>
      <c r="L86">
        <f t="shared" si="26"/>
        <v>1.6883407449423589E-3</v>
      </c>
    </row>
    <row r="87" spans="1:12" x14ac:dyDescent="0.3">
      <c r="A87">
        <v>96</v>
      </c>
      <c r="B87">
        <f t="shared" si="23"/>
        <v>5.4863077297748241E-4</v>
      </c>
      <c r="C87">
        <f t="shared" si="19"/>
        <v>5.4863077297748241E-4</v>
      </c>
      <c r="D87" t="s">
        <v>24</v>
      </c>
      <c r="E87" t="s">
        <v>19</v>
      </c>
      <c r="F87">
        <v>1</v>
      </c>
      <c r="G87">
        <f t="shared" si="24"/>
        <v>125</v>
      </c>
      <c r="I87">
        <v>2014</v>
      </c>
      <c r="J87">
        <f t="shared" si="25"/>
        <v>127.5</v>
      </c>
      <c r="K87" cm="1">
        <f t="array" ref="K87">STOWA2024_NDJF_T(A87*60,J87,I87,"","")</f>
        <v>877.41620640204246</v>
      </c>
      <c r="L87">
        <f t="shared" si="26"/>
        <v>1.1397099719648765E-3</v>
      </c>
    </row>
    <row r="88" spans="1:12" x14ac:dyDescent="0.3">
      <c r="A88">
        <v>96</v>
      </c>
      <c r="B88">
        <f t="shared" si="23"/>
        <v>3.6775623044459126E-4</v>
      </c>
      <c r="C88">
        <f t="shared" si="19"/>
        <v>3.6775623044459126E-4</v>
      </c>
      <c r="D88" t="s">
        <v>24</v>
      </c>
      <c r="E88" t="s">
        <v>19</v>
      </c>
      <c r="F88">
        <v>1</v>
      </c>
      <c r="G88">
        <f t="shared" si="24"/>
        <v>130</v>
      </c>
      <c r="I88">
        <v>2014</v>
      </c>
      <c r="J88">
        <f t="shared" si="25"/>
        <v>132.5</v>
      </c>
      <c r="K88" cm="1">
        <f t="array" ref="K88">STOWA2024_NDJF_T(A88*60,J88,I88,"","")</f>
        <v>1295.4144091984069</v>
      </c>
      <c r="L88">
        <f t="shared" si="26"/>
        <v>7.719537415202852E-4</v>
      </c>
    </row>
    <row r="89" spans="1:12" x14ac:dyDescent="0.3">
      <c r="A89">
        <v>96</v>
      </c>
      <c r="B89">
        <f t="shared" si="23"/>
        <v>2.4735645053981456E-4</v>
      </c>
      <c r="C89">
        <f t="shared" si="19"/>
        <v>2.4735645053981456E-4</v>
      </c>
      <c r="D89" t="s">
        <v>24</v>
      </c>
      <c r="E89" t="s">
        <v>19</v>
      </c>
      <c r="F89">
        <v>1</v>
      </c>
      <c r="G89">
        <f t="shared" si="24"/>
        <v>135</v>
      </c>
      <c r="I89">
        <v>2014</v>
      </c>
      <c r="J89">
        <f t="shared" si="25"/>
        <v>137.5</v>
      </c>
      <c r="K89" cm="1">
        <f t="array" ref="K89">STOWA2024_NDJF_T(A89*60,J89,I89,"","")</f>
        <v>1906.2241021698821</v>
      </c>
      <c r="L89">
        <f t="shared" si="26"/>
        <v>5.2459729098047064E-4</v>
      </c>
    </row>
    <row r="90" spans="1:12" x14ac:dyDescent="0.3">
      <c r="A90">
        <v>96</v>
      </c>
      <c r="B90">
        <f t="shared" si="23"/>
        <v>1.6693394618088925E-4</v>
      </c>
      <c r="C90">
        <f t="shared" si="19"/>
        <v>1.6693394618088925E-4</v>
      </c>
      <c r="D90" t="s">
        <v>24</v>
      </c>
      <c r="E90" t="s">
        <v>19</v>
      </c>
      <c r="F90">
        <v>1</v>
      </c>
      <c r="G90">
        <f t="shared" si="24"/>
        <v>140</v>
      </c>
      <c r="I90">
        <v>2014</v>
      </c>
      <c r="J90">
        <f t="shared" si="25"/>
        <v>142.5</v>
      </c>
      <c r="K90" cm="1">
        <f t="array" ref="K90">STOWA2024_NDJF_T(A90*60,J90,I90,"","")</f>
        <v>2795.9253150762638</v>
      </c>
      <c r="L90">
        <f t="shared" si="26"/>
        <v>3.5766334479958139E-4</v>
      </c>
    </row>
    <row r="91" spans="1:12" x14ac:dyDescent="0.3">
      <c r="A91">
        <v>96</v>
      </c>
      <c r="B91">
        <f t="shared" si="23"/>
        <v>1.1303022019470385E-4</v>
      </c>
      <c r="C91">
        <f t="shared" si="19"/>
        <v>1.1303022019470385E-4</v>
      </c>
      <c r="D91" t="s">
        <v>24</v>
      </c>
      <c r="E91" t="s">
        <v>19</v>
      </c>
      <c r="F91">
        <v>1</v>
      </c>
      <c r="G91">
        <f t="shared" si="24"/>
        <v>145</v>
      </c>
      <c r="I91">
        <v>2014</v>
      </c>
      <c r="J91">
        <f t="shared" si="25"/>
        <v>147.5</v>
      </c>
      <c r="K91" cm="1">
        <f t="array" ref="K91">STOWA2024_NDJF_T(A91*60,J91,I91,"","")</f>
        <v>4087.7538625039574</v>
      </c>
      <c r="L91">
        <f t="shared" si="26"/>
        <v>2.4463312460487754E-4</v>
      </c>
    </row>
    <row r="92" spans="1:12" x14ac:dyDescent="0.3">
      <c r="A92">
        <v>96</v>
      </c>
      <c r="B92">
        <f t="shared" si="23"/>
        <v>7.678344044370359E-5</v>
      </c>
      <c r="C92">
        <f t="shared" si="19"/>
        <v>7.678344044370359E-5</v>
      </c>
      <c r="D92" t="s">
        <v>24</v>
      </c>
      <c r="E92" t="s">
        <v>19</v>
      </c>
      <c r="F92">
        <v>1</v>
      </c>
      <c r="G92">
        <f t="shared" si="24"/>
        <v>150</v>
      </c>
      <c r="I92">
        <v>2014</v>
      </c>
      <c r="J92">
        <f t="shared" si="25"/>
        <v>152.5</v>
      </c>
      <c r="K92" cm="1">
        <f t="array" ref="K92">STOWA2024_NDJF_T(A92*60,J92,I92,"","")</f>
        <v>5957.7115381389231</v>
      </c>
      <c r="L92">
        <f t="shared" si="26"/>
        <v>1.6784968416117395E-4</v>
      </c>
    </row>
    <row r="93" spans="1:12" x14ac:dyDescent="0.3">
      <c r="A93">
        <v>96</v>
      </c>
      <c r="B93">
        <f t="shared" si="23"/>
        <v>5.2326186757842603E-5</v>
      </c>
      <c r="C93">
        <f t="shared" si="19"/>
        <v>5.2326186757842603E-5</v>
      </c>
      <c r="D93" t="s">
        <v>24</v>
      </c>
      <c r="E93" t="s">
        <v>19</v>
      </c>
      <c r="F93">
        <v>1</v>
      </c>
      <c r="G93">
        <f t="shared" si="24"/>
        <v>155</v>
      </c>
      <c r="I93">
        <v>2014</v>
      </c>
      <c r="J93">
        <f t="shared" si="25"/>
        <v>157.5</v>
      </c>
      <c r="K93" cm="1">
        <f t="array" ref="K93">STOWA2024_NDJF_T(A93*60,J93,I93,"","")</f>
        <v>8656.2476247465402</v>
      </c>
      <c r="L93">
        <f t="shared" si="26"/>
        <v>1.1552349740333134E-4</v>
      </c>
    </row>
    <row r="94" spans="1:12" x14ac:dyDescent="0.3">
      <c r="A94">
        <v>96</v>
      </c>
      <c r="B94" s="1">
        <f>L93</f>
        <v>1.1552349740333134E-4</v>
      </c>
      <c r="C94">
        <f t="shared" si="19"/>
        <v>1.1552349740333134E-4</v>
      </c>
      <c r="D94" t="s">
        <v>24</v>
      </c>
      <c r="E94" t="s">
        <v>19</v>
      </c>
      <c r="F94">
        <v>1</v>
      </c>
      <c r="G94">
        <f t="shared" si="24"/>
        <v>160</v>
      </c>
      <c r="I94">
        <v>2014</v>
      </c>
      <c r="J94">
        <f>AVERAGE(G94:G95)</f>
        <v>85</v>
      </c>
      <c r="K94" cm="1">
        <f t="array" ref="K94">STOWA2024_NDJF_T(A94*60,J94,I94,"","")</f>
        <v>27.747816376342072</v>
      </c>
      <c r="L94">
        <f>1/K94</f>
        <v>3.6038871903902502E-2</v>
      </c>
    </row>
    <row r="95" spans="1:12" x14ac:dyDescent="0.3">
      <c r="A95">
        <v>192</v>
      </c>
      <c r="B95" s="1">
        <f>365.25*24/A95 - L95</f>
        <v>24.139310093969804</v>
      </c>
      <c r="C95">
        <f>B95</f>
        <v>24.139310093969804</v>
      </c>
      <c r="D95" t="s">
        <v>24</v>
      </c>
      <c r="E95" t="s">
        <v>19</v>
      </c>
      <c r="F95">
        <v>1</v>
      </c>
      <c r="G95">
        <v>10</v>
      </c>
      <c r="I95">
        <v>2014</v>
      </c>
      <c r="J95">
        <f>AVERAGE(G95:G97)</f>
        <v>15</v>
      </c>
      <c r="K95" cm="1">
        <f t="array" ref="K95">STOWA2024_NDJF_T(A95*60,J95,I95,"","")</f>
        <v>4.6475010125382493E-2</v>
      </c>
      <c r="L95">
        <f>1/K95</f>
        <v>21.516939906030196</v>
      </c>
    </row>
    <row r="96" spans="1:12" x14ac:dyDescent="0.3">
      <c r="A96">
        <v>192</v>
      </c>
      <c r="B96">
        <f t="shared" ref="B96:B100" si="27">L95-L96</f>
        <v>2.8470263496742909</v>
      </c>
      <c r="C96">
        <f t="shared" ref="C96:C125" si="28">B96</f>
        <v>2.8470263496742909</v>
      </c>
      <c r="D96" t="s">
        <v>24</v>
      </c>
      <c r="E96" t="s">
        <v>19</v>
      </c>
      <c r="F96">
        <v>1</v>
      </c>
      <c r="G96">
        <f t="shared" ref="G96:G100" si="29">G95+5</f>
        <v>15</v>
      </c>
      <c r="I96">
        <v>2014</v>
      </c>
      <c r="J96">
        <f t="shared" ref="J96:J100" si="30">AVERAGE(G96:G97)</f>
        <v>17.5</v>
      </c>
      <c r="K96" cm="1">
        <f t="array" ref="K96">STOWA2024_NDJF_T(A96*60,J96,I96,"","")</f>
        <v>5.3562111949873724E-2</v>
      </c>
      <c r="L96">
        <f t="shared" ref="L96:L100" si="31">1/K96</f>
        <v>18.669913556355905</v>
      </c>
    </row>
    <row r="97" spans="1:12" x14ac:dyDescent="0.3">
      <c r="A97">
        <v>192</v>
      </c>
      <c r="B97">
        <f t="shared" si="27"/>
        <v>4.6532827269646599</v>
      </c>
      <c r="C97">
        <f t="shared" si="28"/>
        <v>4.6532827269646599</v>
      </c>
      <c r="D97" t="s">
        <v>24</v>
      </c>
      <c r="E97" t="s">
        <v>19</v>
      </c>
      <c r="F97">
        <v>1</v>
      </c>
      <c r="G97">
        <f t="shared" si="29"/>
        <v>20</v>
      </c>
      <c r="I97">
        <v>2014</v>
      </c>
      <c r="J97">
        <f t="shared" si="30"/>
        <v>22.5</v>
      </c>
      <c r="K97" cm="1">
        <f t="array" ref="K97">STOWA2024_NDJF_T(A97*60,J97,I97,"","")</f>
        <v>7.1343820934708244E-2</v>
      </c>
      <c r="L97">
        <f t="shared" si="31"/>
        <v>14.016630829391245</v>
      </c>
    </row>
    <row r="98" spans="1:12" x14ac:dyDescent="0.3">
      <c r="A98">
        <v>192</v>
      </c>
      <c r="B98">
        <f t="shared" si="27"/>
        <v>3.5337693179326077</v>
      </c>
      <c r="C98">
        <f t="shared" si="28"/>
        <v>3.5337693179326077</v>
      </c>
      <c r="D98" t="s">
        <v>24</v>
      </c>
      <c r="E98" t="s">
        <v>19</v>
      </c>
      <c r="F98">
        <v>1</v>
      </c>
      <c r="G98">
        <f t="shared" si="29"/>
        <v>25</v>
      </c>
      <c r="I98">
        <v>2014</v>
      </c>
      <c r="J98">
        <f t="shared" si="30"/>
        <v>27.5</v>
      </c>
      <c r="K98" cm="1">
        <f t="array" ref="K98">STOWA2024_NDJF_T(A98*60,J98,I98,"","")</f>
        <v>9.5393800529265507E-2</v>
      </c>
      <c r="L98">
        <f t="shared" si="31"/>
        <v>10.482861511458637</v>
      </c>
    </row>
    <row r="99" spans="1:12" x14ac:dyDescent="0.3">
      <c r="A99">
        <v>192</v>
      </c>
      <c r="B99">
        <f t="shared" si="27"/>
        <v>2.6736574304814562</v>
      </c>
      <c r="C99">
        <f t="shared" si="28"/>
        <v>2.6736574304814562</v>
      </c>
      <c r="D99" t="s">
        <v>24</v>
      </c>
      <c r="E99" t="s">
        <v>19</v>
      </c>
      <c r="F99">
        <v>1</v>
      </c>
      <c r="G99">
        <f t="shared" si="29"/>
        <v>30</v>
      </c>
      <c r="I99">
        <v>2014</v>
      </c>
      <c r="J99">
        <f t="shared" si="30"/>
        <v>32.5</v>
      </c>
      <c r="K99" cm="1">
        <f t="array" ref="K99">STOWA2024_NDJF_T(A99*60,J99,I99,"","")</f>
        <v>0.12805402312841951</v>
      </c>
      <c r="L99">
        <f t="shared" si="31"/>
        <v>7.8092040809771808</v>
      </c>
    </row>
    <row r="100" spans="1:12" x14ac:dyDescent="0.3">
      <c r="A100">
        <v>192</v>
      </c>
      <c r="B100">
        <f t="shared" si="27"/>
        <v>2.0152072934508141</v>
      </c>
      <c r="C100">
        <f t="shared" si="28"/>
        <v>2.0152072934508141</v>
      </c>
      <c r="D100" t="s">
        <v>24</v>
      </c>
      <c r="E100" t="s">
        <v>19</v>
      </c>
      <c r="F100">
        <v>1</v>
      </c>
      <c r="G100">
        <f t="shared" si="29"/>
        <v>35</v>
      </c>
      <c r="I100">
        <v>2014</v>
      </c>
      <c r="J100">
        <f t="shared" si="30"/>
        <v>37.5</v>
      </c>
      <c r="K100" cm="1">
        <f t="array" ref="K100">STOWA2024_NDJF_T(A100*60,J100,I100,"","")</f>
        <v>0.17259243259382792</v>
      </c>
      <c r="L100">
        <f t="shared" si="31"/>
        <v>5.7939967875263667</v>
      </c>
    </row>
    <row r="101" spans="1:12" x14ac:dyDescent="0.3">
      <c r="A101">
        <v>192</v>
      </c>
      <c r="B101">
        <f>L100-L101</f>
        <v>1.5129912877654865</v>
      </c>
      <c r="C101">
        <f t="shared" si="28"/>
        <v>1.5129912877654865</v>
      </c>
      <c r="D101" t="s">
        <v>24</v>
      </c>
      <c r="E101" t="s">
        <v>19</v>
      </c>
      <c r="F101">
        <v>1</v>
      </c>
      <c r="G101">
        <f>G100+5</f>
        <v>40</v>
      </c>
      <c r="I101">
        <v>2014</v>
      </c>
      <c r="J101">
        <f>AVERAGE(G101:G102)</f>
        <v>42.5</v>
      </c>
      <c r="K101" cm="1">
        <f t="array" ref="K101">STOWA2024_NDJF_T(A101*60,J101,I101,"","")</f>
        <v>0.23358998255336413</v>
      </c>
      <c r="L101">
        <f>1/K101</f>
        <v>4.2810054997608802</v>
      </c>
    </row>
    <row r="102" spans="1:12" x14ac:dyDescent="0.3">
      <c r="A102">
        <v>192</v>
      </c>
      <c r="B102">
        <f t="shared" ref="B102:B124" si="32">L101-L102</f>
        <v>1.1313817312532555</v>
      </c>
      <c r="C102">
        <f t="shared" si="28"/>
        <v>1.1313817312532555</v>
      </c>
      <c r="D102" t="s">
        <v>24</v>
      </c>
      <c r="E102" t="s">
        <v>19</v>
      </c>
      <c r="F102">
        <v>1</v>
      </c>
      <c r="G102">
        <f t="shared" ref="G102:G125" si="33">G101+5</f>
        <v>45</v>
      </c>
      <c r="I102">
        <v>2014</v>
      </c>
      <c r="J102">
        <f t="shared" ref="J102:J124" si="34">AVERAGE(G102:G103)</f>
        <v>47.5</v>
      </c>
      <c r="K102" cm="1">
        <f t="array" ref="K102">STOWA2024_NDJF_T(A102*60,J102,I102,"","")</f>
        <v>0.31749823899564567</v>
      </c>
      <c r="L102">
        <f t="shared" ref="L102:L124" si="35">1/K102</f>
        <v>3.1496237685076247</v>
      </c>
    </row>
    <row r="103" spans="1:12" x14ac:dyDescent="0.3">
      <c r="A103">
        <v>192</v>
      </c>
      <c r="B103">
        <f t="shared" si="32"/>
        <v>0.84255626785013371</v>
      </c>
      <c r="C103">
        <f t="shared" si="28"/>
        <v>0.84255626785013371</v>
      </c>
      <c r="D103" t="s">
        <v>24</v>
      </c>
      <c r="E103" t="s">
        <v>19</v>
      </c>
      <c r="F103">
        <v>1</v>
      </c>
      <c r="G103">
        <f t="shared" si="33"/>
        <v>50</v>
      </c>
      <c r="I103">
        <v>2014</v>
      </c>
      <c r="J103">
        <f t="shared" si="34"/>
        <v>52.5</v>
      </c>
      <c r="K103" cm="1">
        <f t="array" ref="K103">STOWA2024_NDJF_T(A103*60,J103,I103,"","")</f>
        <v>0.43345068998415093</v>
      </c>
      <c r="L103">
        <f t="shared" si="35"/>
        <v>2.307067500657491</v>
      </c>
    </row>
    <row r="104" spans="1:12" x14ac:dyDescent="0.3">
      <c r="A104">
        <v>192</v>
      </c>
      <c r="B104">
        <f t="shared" si="32"/>
        <v>0.62477840494389381</v>
      </c>
      <c r="C104">
        <f t="shared" si="28"/>
        <v>0.62477840494389381</v>
      </c>
      <c r="D104" t="s">
        <v>24</v>
      </c>
      <c r="E104" t="s">
        <v>19</v>
      </c>
      <c r="F104">
        <v>1</v>
      </c>
      <c r="G104">
        <f t="shared" si="33"/>
        <v>55</v>
      </c>
      <c r="I104">
        <v>2014</v>
      </c>
      <c r="J104">
        <f t="shared" si="34"/>
        <v>57.5</v>
      </c>
      <c r="K104" cm="1">
        <f t="array" ref="K104">STOWA2024_NDJF_T(A104*60,J104,I104,"","")</f>
        <v>0.59442815301362795</v>
      </c>
      <c r="L104">
        <f t="shared" si="35"/>
        <v>1.6822890957135972</v>
      </c>
    </row>
    <row r="105" spans="1:12" x14ac:dyDescent="0.3">
      <c r="A105">
        <v>192</v>
      </c>
      <c r="B105">
        <f t="shared" si="32"/>
        <v>0.46128011281517667</v>
      </c>
      <c r="C105">
        <f t="shared" si="28"/>
        <v>0.46128011281517667</v>
      </c>
      <c r="D105" t="s">
        <v>24</v>
      </c>
      <c r="E105" t="s">
        <v>19</v>
      </c>
      <c r="F105">
        <v>1</v>
      </c>
      <c r="G105">
        <f t="shared" si="33"/>
        <v>60</v>
      </c>
      <c r="I105">
        <v>2014</v>
      </c>
      <c r="J105">
        <f t="shared" si="34"/>
        <v>62.5</v>
      </c>
      <c r="K105" cm="1">
        <f t="array" ref="K105">STOWA2024_NDJF_T(A105*60,J105,I105,"","")</f>
        <v>0.81899479365516925</v>
      </c>
      <c r="L105">
        <f t="shared" si="35"/>
        <v>1.2210089828984205</v>
      </c>
    </row>
    <row r="106" spans="1:12" x14ac:dyDescent="0.3">
      <c r="A106">
        <v>192</v>
      </c>
      <c r="B106">
        <f t="shared" si="32"/>
        <v>0.33897978278709762</v>
      </c>
      <c r="C106">
        <f t="shared" si="28"/>
        <v>0.33897978278709762</v>
      </c>
      <c r="D106" t="s">
        <v>24</v>
      </c>
      <c r="E106" t="s">
        <v>19</v>
      </c>
      <c r="F106">
        <v>1</v>
      </c>
      <c r="G106">
        <f t="shared" si="33"/>
        <v>65</v>
      </c>
      <c r="I106">
        <v>2014</v>
      </c>
      <c r="J106">
        <f t="shared" si="34"/>
        <v>67.5</v>
      </c>
      <c r="K106" cm="1">
        <f t="array" ref="K106">STOWA2024_NDJF_T(A106*60,J106,I106,"","")</f>
        <v>1.1337493133716976</v>
      </c>
      <c r="L106">
        <f t="shared" si="35"/>
        <v>0.88202920011132291</v>
      </c>
    </row>
    <row r="107" spans="1:12" x14ac:dyDescent="0.3">
      <c r="A107">
        <v>192</v>
      </c>
      <c r="B107">
        <f t="shared" si="32"/>
        <v>0.24804903158809855</v>
      </c>
      <c r="C107">
        <f t="shared" si="28"/>
        <v>0.24804903158809855</v>
      </c>
      <c r="D107" t="s">
        <v>24</v>
      </c>
      <c r="E107" t="s">
        <v>19</v>
      </c>
      <c r="F107">
        <v>1</v>
      </c>
      <c r="G107">
        <f t="shared" si="33"/>
        <v>70</v>
      </c>
      <c r="I107">
        <v>2014</v>
      </c>
      <c r="J107">
        <f t="shared" si="34"/>
        <v>72.5</v>
      </c>
      <c r="K107" cm="1">
        <f t="array" ref="K107">STOWA2024_NDJF_T(A107*60,J107,I107,"","")</f>
        <v>1.5773364052212737</v>
      </c>
      <c r="L107">
        <f t="shared" si="35"/>
        <v>0.63398016852322436</v>
      </c>
    </row>
    <row r="108" spans="1:12" x14ac:dyDescent="0.3">
      <c r="A108">
        <v>192</v>
      </c>
      <c r="B108">
        <f t="shared" si="32"/>
        <v>0.18060787025941044</v>
      </c>
      <c r="C108">
        <f t="shared" si="28"/>
        <v>0.18060787025941044</v>
      </c>
      <c r="D108" t="s">
        <v>24</v>
      </c>
      <c r="E108" t="s">
        <v>19</v>
      </c>
      <c r="F108">
        <v>1</v>
      </c>
      <c r="G108">
        <f t="shared" si="33"/>
        <v>75</v>
      </c>
      <c r="I108">
        <v>2014</v>
      </c>
      <c r="J108">
        <f t="shared" si="34"/>
        <v>77.5</v>
      </c>
      <c r="K108" cm="1">
        <f t="array" ref="K108">STOWA2024_NDJF_T(A108*60,J108,I108,"","")</f>
        <v>2.2056927691204185</v>
      </c>
      <c r="L108">
        <f t="shared" si="35"/>
        <v>0.45337229826381392</v>
      </c>
    </row>
    <row r="109" spans="1:12" x14ac:dyDescent="0.3">
      <c r="A109">
        <v>192</v>
      </c>
      <c r="B109">
        <f t="shared" si="32"/>
        <v>0.13085618254612247</v>
      </c>
      <c r="C109">
        <f t="shared" si="28"/>
        <v>0.13085618254612247</v>
      </c>
      <c r="D109" t="s">
        <v>24</v>
      </c>
      <c r="E109" t="s">
        <v>19</v>
      </c>
      <c r="F109">
        <v>1</v>
      </c>
      <c r="G109">
        <f t="shared" si="33"/>
        <v>80</v>
      </c>
      <c r="I109">
        <v>2014</v>
      </c>
      <c r="J109">
        <f t="shared" si="34"/>
        <v>82.5</v>
      </c>
      <c r="K109" cm="1">
        <f t="array" ref="K109">STOWA2024_NDJF_T(A109*60,J109,I109,"","")</f>
        <v>3.1006202520289921</v>
      </c>
      <c r="L109">
        <f t="shared" si="35"/>
        <v>0.32251611571769145</v>
      </c>
    </row>
    <row r="110" spans="1:12" x14ac:dyDescent="0.3">
      <c r="A110">
        <v>192</v>
      </c>
      <c r="B110">
        <f t="shared" si="32"/>
        <v>9.4325873953039957E-2</v>
      </c>
      <c r="C110">
        <f t="shared" si="28"/>
        <v>9.4325873953039957E-2</v>
      </c>
      <c r="D110" t="s">
        <v>24</v>
      </c>
      <c r="E110" t="s">
        <v>19</v>
      </c>
      <c r="F110">
        <v>1</v>
      </c>
      <c r="G110">
        <f t="shared" si="33"/>
        <v>85</v>
      </c>
      <c r="I110">
        <v>2014</v>
      </c>
      <c r="J110">
        <f t="shared" si="34"/>
        <v>87.5</v>
      </c>
      <c r="K110" cm="1">
        <f t="array" ref="K110">STOWA2024_NDJF_T(A110*60,J110,I110,"","")</f>
        <v>4.3823083417886455</v>
      </c>
      <c r="L110">
        <f t="shared" si="35"/>
        <v>0.2281902417646515</v>
      </c>
    </row>
    <row r="111" spans="1:12" x14ac:dyDescent="0.3">
      <c r="A111">
        <v>192</v>
      </c>
      <c r="B111">
        <f t="shared" si="32"/>
        <v>6.7640595965675149E-2</v>
      </c>
      <c r="C111">
        <f t="shared" si="28"/>
        <v>6.7640595965675149E-2</v>
      </c>
      <c r="D111" t="s">
        <v>24</v>
      </c>
      <c r="E111" t="s">
        <v>19</v>
      </c>
      <c r="F111">
        <v>1</v>
      </c>
      <c r="G111">
        <f t="shared" si="33"/>
        <v>90</v>
      </c>
      <c r="I111">
        <v>2014</v>
      </c>
      <c r="J111">
        <f t="shared" si="34"/>
        <v>92.5</v>
      </c>
      <c r="K111" cm="1">
        <f t="array" ref="K111">STOWA2024_NDJF_T(A111*60,J111,I111,"","")</f>
        <v>6.2286029659143347</v>
      </c>
      <c r="L111">
        <f t="shared" si="35"/>
        <v>0.16054964579897635</v>
      </c>
    </row>
    <row r="112" spans="1:12" x14ac:dyDescent="0.3">
      <c r="A112">
        <v>192</v>
      </c>
      <c r="B112">
        <f t="shared" si="32"/>
        <v>4.8240475183023906E-2</v>
      </c>
      <c r="C112">
        <f t="shared" si="28"/>
        <v>4.8240475183023906E-2</v>
      </c>
      <c r="D112" t="s">
        <v>24</v>
      </c>
      <c r="E112" t="s">
        <v>19</v>
      </c>
      <c r="F112">
        <v>1</v>
      </c>
      <c r="G112">
        <f t="shared" si="33"/>
        <v>95</v>
      </c>
      <c r="I112">
        <v>2014</v>
      </c>
      <c r="J112">
        <f t="shared" si="34"/>
        <v>97.5</v>
      </c>
      <c r="K112" cm="1">
        <f t="array" ref="K112">STOWA2024_NDJF_T(A112*60,J112,I112,"","")</f>
        <v>8.9039923856223329</v>
      </c>
      <c r="L112">
        <f t="shared" si="35"/>
        <v>0.11230917061595244</v>
      </c>
    </row>
    <row r="113" spans="1:12" x14ac:dyDescent="0.3">
      <c r="A113">
        <v>192</v>
      </c>
      <c r="B113">
        <f t="shared" si="32"/>
        <v>3.4213962079270396E-2</v>
      </c>
      <c r="C113">
        <f t="shared" si="28"/>
        <v>3.4213962079270396E-2</v>
      </c>
      <c r="D113" t="s">
        <v>24</v>
      </c>
      <c r="E113" t="s">
        <v>19</v>
      </c>
      <c r="F113">
        <v>1</v>
      </c>
      <c r="G113">
        <f t="shared" si="33"/>
        <v>100</v>
      </c>
      <c r="I113">
        <v>2014</v>
      </c>
      <c r="J113">
        <f t="shared" si="34"/>
        <v>102.5</v>
      </c>
      <c r="K113" cm="1">
        <f t="array" ref="K113">STOWA2024_NDJF_T(A113*60,J113,I113,"","")</f>
        <v>12.804882895348063</v>
      </c>
      <c r="L113">
        <f t="shared" si="35"/>
        <v>7.8095208536682045E-2</v>
      </c>
    </row>
    <row r="114" spans="1:12" x14ac:dyDescent="0.3">
      <c r="A114">
        <v>192</v>
      </c>
      <c r="B114">
        <f t="shared" si="32"/>
        <v>2.4125255300220264E-2</v>
      </c>
      <c r="C114">
        <f t="shared" si="28"/>
        <v>2.4125255300220264E-2</v>
      </c>
      <c r="D114" t="s">
        <v>24</v>
      </c>
      <c r="E114" t="s">
        <v>19</v>
      </c>
      <c r="F114">
        <v>1</v>
      </c>
      <c r="G114">
        <f t="shared" si="33"/>
        <v>105</v>
      </c>
      <c r="I114">
        <v>2014</v>
      </c>
      <c r="J114">
        <f t="shared" si="34"/>
        <v>107.5</v>
      </c>
      <c r="K114" cm="1">
        <f t="array" ref="K114">STOWA2024_NDJF_T(A114*60,J114,I114,"","")</f>
        <v>18.52882835785757</v>
      </c>
      <c r="L114">
        <f t="shared" si="35"/>
        <v>5.3969953236461782E-2</v>
      </c>
    </row>
    <row r="115" spans="1:12" x14ac:dyDescent="0.3">
      <c r="A115">
        <v>192</v>
      </c>
      <c r="B115">
        <f t="shared" si="32"/>
        <v>1.6909953688418203E-2</v>
      </c>
      <c r="C115">
        <f t="shared" si="28"/>
        <v>1.6909953688418203E-2</v>
      </c>
      <c r="D115" t="s">
        <v>24</v>
      </c>
      <c r="E115" t="s">
        <v>19</v>
      </c>
      <c r="F115">
        <v>1</v>
      </c>
      <c r="G115">
        <f t="shared" si="33"/>
        <v>110</v>
      </c>
      <c r="I115">
        <v>2014</v>
      </c>
      <c r="J115">
        <f t="shared" si="34"/>
        <v>112.5</v>
      </c>
      <c r="K115" cm="1">
        <f t="array" ref="K115">STOWA2024_NDJF_T(A115*60,J115,I115,"","")</f>
        <v>26.983270701437196</v>
      </c>
      <c r="L115">
        <f t="shared" si="35"/>
        <v>3.7059999548043579E-2</v>
      </c>
    </row>
    <row r="116" spans="1:12" x14ac:dyDescent="0.3">
      <c r="A116">
        <v>192</v>
      </c>
      <c r="B116">
        <f t="shared" si="32"/>
        <v>1.177942991161977E-2</v>
      </c>
      <c r="C116">
        <f t="shared" si="28"/>
        <v>1.177942991161977E-2</v>
      </c>
      <c r="D116" t="s">
        <v>24</v>
      </c>
      <c r="E116" t="s">
        <v>19</v>
      </c>
      <c r="F116">
        <v>1</v>
      </c>
      <c r="G116">
        <f t="shared" si="33"/>
        <v>115</v>
      </c>
      <c r="I116">
        <v>2014</v>
      </c>
      <c r="J116">
        <f t="shared" si="34"/>
        <v>117.5</v>
      </c>
      <c r="K116" cm="1">
        <f t="array" ref="K116">STOWA2024_NDJF_T(A116*60,J116,I116,"","")</f>
        <v>39.556070704958216</v>
      </c>
      <c r="L116">
        <f t="shared" si="35"/>
        <v>2.5280569636423809E-2</v>
      </c>
    </row>
    <row r="117" spans="1:12" x14ac:dyDescent="0.3">
      <c r="A117">
        <v>192</v>
      </c>
      <c r="B117">
        <f t="shared" si="32"/>
        <v>8.1530874978280564E-3</v>
      </c>
      <c r="C117">
        <f t="shared" si="28"/>
        <v>8.1530874978280564E-3</v>
      </c>
      <c r="D117" t="s">
        <v>24</v>
      </c>
      <c r="E117" t="s">
        <v>19</v>
      </c>
      <c r="F117">
        <v>1</v>
      </c>
      <c r="G117">
        <f t="shared" si="33"/>
        <v>120</v>
      </c>
      <c r="I117">
        <v>2014</v>
      </c>
      <c r="J117">
        <f t="shared" si="34"/>
        <v>122.5</v>
      </c>
      <c r="K117" cm="1">
        <f t="array" ref="K117">STOWA2024_NDJF_T(A117*60,J117,I117,"","")</f>
        <v>58.385698020759285</v>
      </c>
      <c r="L117">
        <f t="shared" si="35"/>
        <v>1.7127482138595752E-2</v>
      </c>
    </row>
    <row r="118" spans="1:12" x14ac:dyDescent="0.3">
      <c r="A118">
        <v>192</v>
      </c>
      <c r="B118">
        <f t="shared" si="32"/>
        <v>5.6058478505288719E-3</v>
      </c>
      <c r="C118">
        <f t="shared" si="28"/>
        <v>5.6058478505288719E-3</v>
      </c>
      <c r="D118" t="s">
        <v>24</v>
      </c>
      <c r="E118" t="s">
        <v>19</v>
      </c>
      <c r="F118">
        <v>1</v>
      </c>
      <c r="G118">
        <f t="shared" si="33"/>
        <v>125</v>
      </c>
      <c r="I118">
        <v>2014</v>
      </c>
      <c r="J118">
        <f t="shared" si="34"/>
        <v>127.5</v>
      </c>
      <c r="K118" cm="1">
        <f t="array" ref="K118">STOWA2024_NDJF_T(A118*60,J118,I118,"","")</f>
        <v>86.793242607579913</v>
      </c>
      <c r="L118">
        <f t="shared" si="35"/>
        <v>1.152163428806688E-2</v>
      </c>
    </row>
    <row r="119" spans="1:12" x14ac:dyDescent="0.3">
      <c r="A119">
        <v>192</v>
      </c>
      <c r="B119">
        <f t="shared" si="32"/>
        <v>3.8279050942456256E-3</v>
      </c>
      <c r="C119">
        <f t="shared" si="28"/>
        <v>3.8279050942456256E-3</v>
      </c>
      <c r="D119" t="s">
        <v>24</v>
      </c>
      <c r="E119" t="s">
        <v>19</v>
      </c>
      <c r="F119">
        <v>1</v>
      </c>
      <c r="G119">
        <f t="shared" si="33"/>
        <v>130</v>
      </c>
      <c r="I119">
        <v>2014</v>
      </c>
      <c r="J119">
        <f t="shared" si="34"/>
        <v>132.5</v>
      </c>
      <c r="K119" cm="1">
        <f t="array" ref="K119">STOWA2024_NDJF_T(A119*60,J119,I119,"","")</f>
        <v>129.97598106300498</v>
      </c>
      <c r="L119">
        <f t="shared" si="35"/>
        <v>7.6937291938212549E-3</v>
      </c>
    </row>
    <row r="120" spans="1:12" x14ac:dyDescent="0.3">
      <c r="A120">
        <v>192</v>
      </c>
      <c r="B120">
        <f t="shared" si="32"/>
        <v>2.5952478802876199E-3</v>
      </c>
      <c r="C120">
        <f t="shared" si="28"/>
        <v>2.5952478802876199E-3</v>
      </c>
      <c r="D120" t="s">
        <v>24</v>
      </c>
      <c r="E120" t="s">
        <v>19</v>
      </c>
      <c r="F120">
        <v>1</v>
      </c>
      <c r="G120">
        <f t="shared" si="33"/>
        <v>135</v>
      </c>
      <c r="I120">
        <v>2014</v>
      </c>
      <c r="J120">
        <f t="shared" si="34"/>
        <v>137.5</v>
      </c>
      <c r="K120" cm="1">
        <f t="array" ref="K120">STOWA2024_NDJF_T(A120*60,J120,I120,"","")</f>
        <v>196.13683732556902</v>
      </c>
      <c r="L120">
        <f t="shared" si="35"/>
        <v>5.098481313533635E-3</v>
      </c>
    </row>
    <row r="121" spans="1:12" x14ac:dyDescent="0.3">
      <c r="A121">
        <v>192</v>
      </c>
      <c r="B121">
        <f t="shared" si="32"/>
        <v>1.7465291153031313E-3</v>
      </c>
      <c r="C121">
        <f t="shared" si="28"/>
        <v>1.7465291153031313E-3</v>
      </c>
      <c r="D121" t="s">
        <v>24</v>
      </c>
      <c r="E121" t="s">
        <v>19</v>
      </c>
      <c r="F121">
        <v>1</v>
      </c>
      <c r="G121">
        <f t="shared" si="33"/>
        <v>140</v>
      </c>
      <c r="I121">
        <v>2014</v>
      </c>
      <c r="J121">
        <f t="shared" si="34"/>
        <v>142.5</v>
      </c>
      <c r="K121" cm="1">
        <f t="array" ref="K121">STOWA2024_NDJF_T(A121*60,J121,I121,"","")</f>
        <v>298.33361004608008</v>
      </c>
      <c r="L121">
        <f t="shared" si="35"/>
        <v>3.3519521982305037E-3</v>
      </c>
    </row>
    <row r="122" spans="1:12" x14ac:dyDescent="0.3">
      <c r="A122">
        <v>192</v>
      </c>
      <c r="B122">
        <f t="shared" si="32"/>
        <v>1.1663572411326137E-3</v>
      </c>
      <c r="C122">
        <f t="shared" si="28"/>
        <v>1.1663572411326137E-3</v>
      </c>
      <c r="D122" t="s">
        <v>24</v>
      </c>
      <c r="E122" t="s">
        <v>19</v>
      </c>
      <c r="F122">
        <v>1</v>
      </c>
      <c r="G122">
        <f t="shared" si="33"/>
        <v>145</v>
      </c>
      <c r="I122">
        <v>2014</v>
      </c>
      <c r="J122">
        <f t="shared" si="34"/>
        <v>147.5</v>
      </c>
      <c r="K122" cm="1">
        <f t="array" ref="K122">STOWA2024_NDJF_T(A122*60,J122,I122,"","")</f>
        <v>457.5413192423519</v>
      </c>
      <c r="L122">
        <f t="shared" si="35"/>
        <v>2.18559495709789E-3</v>
      </c>
    </row>
    <row r="123" spans="1:12" x14ac:dyDescent="0.3">
      <c r="A123">
        <v>192</v>
      </c>
      <c r="B123">
        <f t="shared" si="32"/>
        <v>7.7268259167178753E-4</v>
      </c>
      <c r="C123">
        <f t="shared" si="28"/>
        <v>7.7268259167178753E-4</v>
      </c>
      <c r="D123" t="s">
        <v>24</v>
      </c>
      <c r="E123" t="s">
        <v>19</v>
      </c>
      <c r="F123">
        <v>1</v>
      </c>
      <c r="G123">
        <f t="shared" si="33"/>
        <v>150</v>
      </c>
      <c r="I123">
        <v>2014</v>
      </c>
      <c r="J123">
        <f t="shared" si="34"/>
        <v>152.5</v>
      </c>
      <c r="K123" cm="1">
        <f t="array" ref="K123">STOWA2024_NDJF_T(A123*60,J123,I123,"","")</f>
        <v>707.75797881733638</v>
      </c>
      <c r="L123">
        <f t="shared" si="35"/>
        <v>1.4129123654261025E-3</v>
      </c>
    </row>
    <row r="124" spans="1:12" x14ac:dyDescent="0.3">
      <c r="A124">
        <v>192</v>
      </c>
      <c r="B124">
        <f t="shared" si="32"/>
        <v>5.0763474399121713E-4</v>
      </c>
      <c r="C124">
        <f t="shared" si="28"/>
        <v>5.0763474399121713E-4</v>
      </c>
      <c r="D124" t="s">
        <v>24</v>
      </c>
      <c r="E124" t="s">
        <v>19</v>
      </c>
      <c r="F124">
        <v>1</v>
      </c>
      <c r="G124">
        <f t="shared" si="33"/>
        <v>155</v>
      </c>
      <c r="I124">
        <v>2014</v>
      </c>
      <c r="J124">
        <f t="shared" si="34"/>
        <v>157.5</v>
      </c>
      <c r="K124" cm="1">
        <f t="array" ref="K124">STOWA2024_NDJF_T(A124*60,J124,I124,"","")</f>
        <v>1104.6335138771879</v>
      </c>
      <c r="L124">
        <f t="shared" si="35"/>
        <v>9.0527762143488533E-4</v>
      </c>
    </row>
    <row r="125" spans="1:12" x14ac:dyDescent="0.3">
      <c r="A125">
        <v>192</v>
      </c>
      <c r="B125" s="1">
        <f>L124</f>
        <v>9.0527762143488533E-4</v>
      </c>
      <c r="C125">
        <f t="shared" si="28"/>
        <v>9.0527762143488533E-4</v>
      </c>
      <c r="D125" t="s">
        <v>24</v>
      </c>
      <c r="E125" t="s">
        <v>19</v>
      </c>
      <c r="F125">
        <v>1</v>
      </c>
      <c r="G125">
        <f t="shared" si="33"/>
        <v>160</v>
      </c>
      <c r="I125">
        <v>2014</v>
      </c>
      <c r="J125">
        <f>AVERAGE(G125:G126)</f>
        <v>85</v>
      </c>
      <c r="K125" cm="1">
        <f t="array" ref="K125">STOWA2024_NDJF_T(A125*60,J125,I125,"","")</f>
        <v>3.6836217751362388</v>
      </c>
      <c r="L125">
        <f>1/K125</f>
        <v>0.27147195370323135</v>
      </c>
    </row>
    <row r="126" spans="1:12" x14ac:dyDescent="0.3">
      <c r="A126">
        <v>216</v>
      </c>
      <c r="B126" s="1">
        <f>365.25*24/A126 - L126</f>
        <v>19.660112385104288</v>
      </c>
      <c r="C126">
        <f>B126</f>
        <v>19.660112385104288</v>
      </c>
      <c r="D126" t="s">
        <v>24</v>
      </c>
      <c r="E126" t="s">
        <v>19</v>
      </c>
      <c r="F126">
        <v>1</v>
      </c>
      <c r="G126">
        <v>10</v>
      </c>
      <c r="I126">
        <v>2014</v>
      </c>
      <c r="J126">
        <f>AVERAGE(G126:G128)</f>
        <v>15</v>
      </c>
      <c r="K126" cm="1">
        <f t="array" ref="K126">STOWA2024_NDJF_T(A126*60,J126,I126,"","")</f>
        <v>4.7793788655882859E-2</v>
      </c>
      <c r="L126">
        <f>1/K126</f>
        <v>20.923220948229048</v>
      </c>
    </row>
    <row r="127" spans="1:12" x14ac:dyDescent="0.3">
      <c r="A127">
        <v>216</v>
      </c>
      <c r="B127">
        <f t="shared" ref="B127:B131" si="36">L126-L127</f>
        <v>2.5020821700001541</v>
      </c>
      <c r="C127">
        <f t="shared" ref="C127:C156" si="37">B127</f>
        <v>2.5020821700001541</v>
      </c>
      <c r="D127" t="s">
        <v>24</v>
      </c>
      <c r="E127" t="s">
        <v>19</v>
      </c>
      <c r="F127">
        <v>1</v>
      </c>
      <c r="G127">
        <f t="shared" ref="G127:G131" si="38">G126+5</f>
        <v>15</v>
      </c>
      <c r="I127">
        <v>2014</v>
      </c>
      <c r="J127">
        <f t="shared" ref="J127:J131" si="39">AVERAGE(G127:G128)</f>
        <v>17.5</v>
      </c>
      <c r="K127" cm="1">
        <f t="array" ref="K127">STOWA2024_NDJF_T(A127*60,J127,I127,"","")</f>
        <v>5.42854604179984E-2</v>
      </c>
      <c r="L127">
        <f t="shared" ref="L127:L131" si="40">1/K127</f>
        <v>18.421138778228894</v>
      </c>
    </row>
    <row r="128" spans="1:12" x14ac:dyDescent="0.3">
      <c r="A128">
        <v>216</v>
      </c>
      <c r="B128">
        <f t="shared" si="36"/>
        <v>4.1867114818759994</v>
      </c>
      <c r="C128">
        <f t="shared" si="37"/>
        <v>4.1867114818759994</v>
      </c>
      <c r="D128" t="s">
        <v>24</v>
      </c>
      <c r="E128" t="s">
        <v>19</v>
      </c>
      <c r="F128">
        <v>1</v>
      </c>
      <c r="G128">
        <f t="shared" si="38"/>
        <v>20</v>
      </c>
      <c r="I128">
        <v>2014</v>
      </c>
      <c r="J128">
        <f t="shared" si="39"/>
        <v>22.5</v>
      </c>
      <c r="K128" cm="1">
        <f t="array" ref="K128">STOWA2024_NDJF_T(A128*60,J128,I128,"","")</f>
        <v>7.0252211710422466E-2</v>
      </c>
      <c r="L128">
        <f t="shared" si="40"/>
        <v>14.234427296352894</v>
      </c>
    </row>
    <row r="129" spans="1:12" x14ac:dyDescent="0.3">
      <c r="A129">
        <v>216</v>
      </c>
      <c r="B129">
        <f t="shared" si="36"/>
        <v>3.2819341464601806</v>
      </c>
      <c r="C129">
        <f t="shared" si="37"/>
        <v>3.2819341464601806</v>
      </c>
      <c r="D129" t="s">
        <v>24</v>
      </c>
      <c r="E129" t="s">
        <v>19</v>
      </c>
      <c r="F129">
        <v>1</v>
      </c>
      <c r="G129">
        <f t="shared" si="38"/>
        <v>25</v>
      </c>
      <c r="I129">
        <v>2014</v>
      </c>
      <c r="J129">
        <f t="shared" si="39"/>
        <v>27.5</v>
      </c>
      <c r="K129" cm="1">
        <f t="array" ref="K129">STOWA2024_NDJF_T(A129*60,J129,I129,"","")</f>
        <v>9.1303412502914516E-2</v>
      </c>
      <c r="L129">
        <f t="shared" si="40"/>
        <v>10.952493149892714</v>
      </c>
    </row>
    <row r="130" spans="1:12" x14ac:dyDescent="0.3">
      <c r="A130">
        <v>216</v>
      </c>
      <c r="B130">
        <f t="shared" si="36"/>
        <v>2.5622472751952596</v>
      </c>
      <c r="C130">
        <f t="shared" si="37"/>
        <v>2.5622472751952596</v>
      </c>
      <c r="D130" t="s">
        <v>24</v>
      </c>
      <c r="E130" t="s">
        <v>19</v>
      </c>
      <c r="F130">
        <v>1</v>
      </c>
      <c r="G130">
        <f t="shared" si="38"/>
        <v>30</v>
      </c>
      <c r="I130">
        <v>2014</v>
      </c>
      <c r="J130">
        <f t="shared" si="39"/>
        <v>32.5</v>
      </c>
      <c r="K130" cm="1">
        <f t="array" ref="K130">STOWA2024_NDJF_T(A130*60,J130,I130,"","")</f>
        <v>0.11918601849508483</v>
      </c>
      <c r="L130">
        <f t="shared" si="40"/>
        <v>8.3902458746974542</v>
      </c>
    </row>
    <row r="131" spans="1:12" x14ac:dyDescent="0.3">
      <c r="A131">
        <v>216</v>
      </c>
      <c r="B131">
        <f t="shared" si="36"/>
        <v>1.9920078461823136</v>
      </c>
      <c r="C131">
        <f t="shared" si="37"/>
        <v>1.9920078461823136</v>
      </c>
      <c r="D131" t="s">
        <v>24</v>
      </c>
      <c r="E131" t="s">
        <v>19</v>
      </c>
      <c r="F131">
        <v>1</v>
      </c>
      <c r="G131">
        <f t="shared" si="38"/>
        <v>35</v>
      </c>
      <c r="I131">
        <v>2014</v>
      </c>
      <c r="J131">
        <f t="shared" si="39"/>
        <v>37.5</v>
      </c>
      <c r="K131" cm="1">
        <f t="array" ref="K131">STOWA2024_NDJF_T(A131*60,J131,I131,"","")</f>
        <v>0.15629302872810957</v>
      </c>
      <c r="L131">
        <f t="shared" si="40"/>
        <v>6.3982380285151406</v>
      </c>
    </row>
    <row r="132" spans="1:12" x14ac:dyDescent="0.3">
      <c r="A132">
        <v>216</v>
      </c>
      <c r="B132">
        <f>L131-L132</f>
        <v>1.541982342701492</v>
      </c>
      <c r="C132">
        <f t="shared" si="37"/>
        <v>1.541982342701492</v>
      </c>
      <c r="D132" t="s">
        <v>24</v>
      </c>
      <c r="E132" t="s">
        <v>19</v>
      </c>
      <c r="F132">
        <v>1</v>
      </c>
      <c r="G132">
        <f>G131+5</f>
        <v>40</v>
      </c>
      <c r="I132">
        <v>2014</v>
      </c>
      <c r="J132">
        <f>AVERAGE(G132:G133)</f>
        <v>42.5</v>
      </c>
      <c r="K132" cm="1">
        <f t="array" ref="K132">STOWA2024_NDJF_T(A132*60,J132,I132,"","")</f>
        <v>0.20591996482418604</v>
      </c>
      <c r="L132">
        <f>1/K132</f>
        <v>4.8562556858136485</v>
      </c>
    </row>
    <row r="133" spans="1:12" x14ac:dyDescent="0.3">
      <c r="A133">
        <v>216</v>
      </c>
      <c r="B133">
        <f t="shared" ref="B133:B155" si="41">L132-L133</f>
        <v>1.1882845963556661</v>
      </c>
      <c r="C133">
        <f t="shared" si="37"/>
        <v>1.1882845963556661</v>
      </c>
      <c r="D133" t="s">
        <v>24</v>
      </c>
      <c r="E133" t="s">
        <v>19</v>
      </c>
      <c r="F133">
        <v>1</v>
      </c>
      <c r="G133">
        <f t="shared" ref="G133:G156" si="42">G132+5</f>
        <v>45</v>
      </c>
      <c r="I133">
        <v>2014</v>
      </c>
      <c r="J133">
        <f t="shared" ref="J133:J155" si="43">AVERAGE(G133:G134)</f>
        <v>47.5</v>
      </c>
      <c r="K133" cm="1">
        <f t="array" ref="K133">STOWA2024_NDJF_T(A133*60,J133,I133,"","")</f>
        <v>0.27263028404833212</v>
      </c>
      <c r="L133">
        <f t="shared" ref="L133:L155" si="44">1/K133</f>
        <v>3.6679710894579824</v>
      </c>
    </row>
    <row r="134" spans="1:12" x14ac:dyDescent="0.3">
      <c r="A134">
        <v>216</v>
      </c>
      <c r="B134">
        <f t="shared" si="41"/>
        <v>0.91147505017600672</v>
      </c>
      <c r="C134">
        <f t="shared" si="37"/>
        <v>0.91147505017600672</v>
      </c>
      <c r="D134" t="s">
        <v>24</v>
      </c>
      <c r="E134" t="s">
        <v>19</v>
      </c>
      <c r="F134">
        <v>1</v>
      </c>
      <c r="G134">
        <f t="shared" si="42"/>
        <v>50</v>
      </c>
      <c r="I134">
        <v>2014</v>
      </c>
      <c r="J134">
        <f t="shared" si="43"/>
        <v>52.5</v>
      </c>
      <c r="K134" cm="1">
        <f t="array" ref="K134">STOWA2024_NDJF_T(A134*60,J134,I134,"","")</f>
        <v>0.36277940753380672</v>
      </c>
      <c r="L134">
        <f t="shared" si="44"/>
        <v>2.7564960392819757</v>
      </c>
    </row>
    <row r="135" spans="1:12" x14ac:dyDescent="0.3">
      <c r="A135">
        <v>216</v>
      </c>
      <c r="B135">
        <f t="shared" si="41"/>
        <v>0.69580550462946089</v>
      </c>
      <c r="C135">
        <f t="shared" si="37"/>
        <v>0.69580550462946089</v>
      </c>
      <c r="D135" t="s">
        <v>24</v>
      </c>
      <c r="E135" t="s">
        <v>19</v>
      </c>
      <c r="F135">
        <v>1</v>
      </c>
      <c r="G135">
        <f t="shared" si="42"/>
        <v>55</v>
      </c>
      <c r="I135">
        <v>2014</v>
      </c>
      <c r="J135">
        <f t="shared" si="43"/>
        <v>57.5</v>
      </c>
      <c r="K135" cm="1">
        <f t="array" ref="K135">STOWA2024_NDJF_T(A135*60,J135,I135,"","")</f>
        <v>0.48527422394776304</v>
      </c>
      <c r="L135">
        <f t="shared" si="44"/>
        <v>2.0606905346525148</v>
      </c>
    </row>
    <row r="136" spans="1:12" x14ac:dyDescent="0.3">
      <c r="A136">
        <v>216</v>
      </c>
      <c r="B136">
        <f t="shared" si="41"/>
        <v>0.52851563743963603</v>
      </c>
      <c r="C136">
        <f t="shared" si="37"/>
        <v>0.52851563743963603</v>
      </c>
      <c r="D136" t="s">
        <v>24</v>
      </c>
      <c r="E136" t="s">
        <v>19</v>
      </c>
      <c r="F136">
        <v>1</v>
      </c>
      <c r="G136">
        <f t="shared" si="42"/>
        <v>60</v>
      </c>
      <c r="I136">
        <v>2014</v>
      </c>
      <c r="J136">
        <f t="shared" si="43"/>
        <v>62.5</v>
      </c>
      <c r="K136" cm="1">
        <f t="array" ref="K136">STOWA2024_NDJF_T(A136*60,J136,I136,"","")</f>
        <v>0.65266700415145951</v>
      </c>
      <c r="L136">
        <f t="shared" si="44"/>
        <v>1.5321748972128788</v>
      </c>
    </row>
    <row r="137" spans="1:12" x14ac:dyDescent="0.3">
      <c r="A137">
        <v>216</v>
      </c>
      <c r="B137">
        <f t="shared" si="41"/>
        <v>0.39936113062178547</v>
      </c>
      <c r="C137">
        <f t="shared" si="37"/>
        <v>0.39936113062178547</v>
      </c>
      <c r="D137" t="s">
        <v>24</v>
      </c>
      <c r="E137" t="s">
        <v>19</v>
      </c>
      <c r="F137">
        <v>1</v>
      </c>
      <c r="G137">
        <f t="shared" si="42"/>
        <v>65</v>
      </c>
      <c r="I137">
        <v>2014</v>
      </c>
      <c r="J137">
        <f t="shared" si="43"/>
        <v>67.5</v>
      </c>
      <c r="K137" cm="1">
        <f t="array" ref="K137">STOWA2024_NDJF_T(A137*60,J137,I137,"","")</f>
        <v>0.88275763368345916</v>
      </c>
      <c r="L137">
        <f t="shared" si="44"/>
        <v>1.1328137665910933</v>
      </c>
    </row>
    <row r="138" spans="1:12" x14ac:dyDescent="0.3">
      <c r="A138">
        <v>216</v>
      </c>
      <c r="B138">
        <f t="shared" si="41"/>
        <v>0.30010451098110313</v>
      </c>
      <c r="C138">
        <f t="shared" si="37"/>
        <v>0.30010451098110313</v>
      </c>
      <c r="D138" t="s">
        <v>24</v>
      </c>
      <c r="E138" t="s">
        <v>19</v>
      </c>
      <c r="F138">
        <v>1</v>
      </c>
      <c r="G138">
        <f t="shared" si="42"/>
        <v>70</v>
      </c>
      <c r="I138">
        <v>2014</v>
      </c>
      <c r="J138">
        <f t="shared" si="43"/>
        <v>72.5</v>
      </c>
      <c r="K138" cm="1">
        <f t="array" ref="K138">STOWA2024_NDJF_T(A138*60,J138,I138,"","")</f>
        <v>1.2008993454353563</v>
      </c>
      <c r="L138">
        <f t="shared" si="44"/>
        <v>0.83270925560999021</v>
      </c>
    </row>
    <row r="139" spans="1:12" x14ac:dyDescent="0.3">
      <c r="A139">
        <v>216</v>
      </c>
      <c r="B139">
        <f t="shared" si="41"/>
        <v>0.22435774852919044</v>
      </c>
      <c r="C139">
        <f t="shared" si="37"/>
        <v>0.22435774852919044</v>
      </c>
      <c r="D139" t="s">
        <v>24</v>
      </c>
      <c r="E139" t="s">
        <v>19</v>
      </c>
      <c r="F139">
        <v>1</v>
      </c>
      <c r="G139">
        <f t="shared" si="42"/>
        <v>75</v>
      </c>
      <c r="I139">
        <v>2014</v>
      </c>
      <c r="J139">
        <f t="shared" si="43"/>
        <v>77.5</v>
      </c>
      <c r="K139" cm="1">
        <f t="array" ref="K139">STOWA2024_NDJF_T(A139*60,J139,I139,"","")</f>
        <v>1.6437865088861898</v>
      </c>
      <c r="L139">
        <f t="shared" si="44"/>
        <v>0.60835150708079977</v>
      </c>
    </row>
    <row r="140" spans="1:12" x14ac:dyDescent="0.3">
      <c r="A140">
        <v>216</v>
      </c>
      <c r="B140">
        <f t="shared" si="41"/>
        <v>0.16670971025570869</v>
      </c>
      <c r="C140">
        <f t="shared" si="37"/>
        <v>0.16670971025570869</v>
      </c>
      <c r="D140" t="s">
        <v>24</v>
      </c>
      <c r="E140" t="s">
        <v>19</v>
      </c>
      <c r="F140">
        <v>1</v>
      </c>
      <c r="G140">
        <f t="shared" si="42"/>
        <v>80</v>
      </c>
      <c r="I140">
        <v>2014</v>
      </c>
      <c r="J140">
        <f t="shared" si="43"/>
        <v>82.5</v>
      </c>
      <c r="K140" cm="1">
        <f t="array" ref="K140">STOWA2024_NDJF_T(A140*60,J140,I140,"","")</f>
        <v>2.2642784428214853</v>
      </c>
      <c r="L140">
        <f t="shared" si="44"/>
        <v>0.44164179682509108</v>
      </c>
    </row>
    <row r="141" spans="1:12" x14ac:dyDescent="0.3">
      <c r="A141">
        <v>216</v>
      </c>
      <c r="B141">
        <f t="shared" si="41"/>
        <v>0.12313627483582923</v>
      </c>
      <c r="C141">
        <f t="shared" si="37"/>
        <v>0.12313627483582923</v>
      </c>
      <c r="D141" t="s">
        <v>24</v>
      </c>
      <c r="E141" t="s">
        <v>19</v>
      </c>
      <c r="F141">
        <v>1</v>
      </c>
      <c r="G141">
        <f t="shared" si="42"/>
        <v>85</v>
      </c>
      <c r="I141">
        <v>2014</v>
      </c>
      <c r="J141">
        <f t="shared" si="43"/>
        <v>87.5</v>
      </c>
      <c r="K141" cm="1">
        <f t="array" ref="K141">STOWA2024_NDJF_T(A141*60,J141,I141,"","")</f>
        <v>3.1396629915688372</v>
      </c>
      <c r="L141">
        <f t="shared" si="44"/>
        <v>0.31850552198926185</v>
      </c>
    </row>
    <row r="142" spans="1:12" x14ac:dyDescent="0.3">
      <c r="A142">
        <v>216</v>
      </c>
      <c r="B142">
        <f t="shared" si="41"/>
        <v>9.0377191964545939E-2</v>
      </c>
      <c r="C142">
        <f t="shared" si="37"/>
        <v>9.0377191964545939E-2</v>
      </c>
      <c r="D142" t="s">
        <v>24</v>
      </c>
      <c r="E142" t="s">
        <v>19</v>
      </c>
      <c r="F142">
        <v>1</v>
      </c>
      <c r="G142">
        <f t="shared" si="42"/>
        <v>90</v>
      </c>
      <c r="I142">
        <v>2014</v>
      </c>
      <c r="J142">
        <f t="shared" si="43"/>
        <v>92.5</v>
      </c>
      <c r="K142" cm="1">
        <f t="array" ref="K142">STOWA2024_NDJF_T(A142*60,J142,I142,"","")</f>
        <v>4.3834976563044927</v>
      </c>
      <c r="L142">
        <f t="shared" si="44"/>
        <v>0.22812833002471591</v>
      </c>
    </row>
    <row r="143" spans="1:12" x14ac:dyDescent="0.3">
      <c r="A143">
        <v>216</v>
      </c>
      <c r="B143">
        <f t="shared" si="41"/>
        <v>6.5897978720925093E-2</v>
      </c>
      <c r="C143">
        <f t="shared" si="37"/>
        <v>6.5897978720925093E-2</v>
      </c>
      <c r="D143" t="s">
        <v>24</v>
      </c>
      <c r="E143" t="s">
        <v>19</v>
      </c>
      <c r="F143">
        <v>1</v>
      </c>
      <c r="G143">
        <f t="shared" si="42"/>
        <v>95</v>
      </c>
      <c r="I143">
        <v>2014</v>
      </c>
      <c r="J143">
        <f t="shared" si="43"/>
        <v>97.5</v>
      </c>
      <c r="K143" cm="1">
        <f t="array" ref="K143">STOWA2024_NDJF_T(A143*60,J143,I143,"","")</f>
        <v>6.1640746750736595</v>
      </c>
      <c r="L143">
        <f t="shared" si="44"/>
        <v>0.16223035130379082</v>
      </c>
    </row>
    <row r="144" spans="1:12" x14ac:dyDescent="0.3">
      <c r="A144">
        <v>216</v>
      </c>
      <c r="B144">
        <f t="shared" si="41"/>
        <v>4.7723167257510107E-2</v>
      </c>
      <c r="C144">
        <f t="shared" si="37"/>
        <v>4.7723167257510107E-2</v>
      </c>
      <c r="D144" t="s">
        <v>24</v>
      </c>
      <c r="E144" t="s">
        <v>19</v>
      </c>
      <c r="F144">
        <v>1</v>
      </c>
      <c r="G144">
        <f t="shared" si="42"/>
        <v>100</v>
      </c>
      <c r="I144">
        <v>2014</v>
      </c>
      <c r="J144">
        <f t="shared" si="43"/>
        <v>102.5</v>
      </c>
      <c r="K144" cm="1">
        <f t="array" ref="K144">STOWA2024_NDJF_T(A144*60,J144,I144,"","")</f>
        <v>8.7330765168046316</v>
      </c>
      <c r="L144">
        <f t="shared" si="44"/>
        <v>0.11450718404628071</v>
      </c>
    </row>
    <row r="145" spans="1:12" x14ac:dyDescent="0.3">
      <c r="A145">
        <v>216</v>
      </c>
      <c r="B145">
        <f t="shared" si="41"/>
        <v>3.4313783126073097E-2</v>
      </c>
      <c r="C145">
        <f t="shared" si="37"/>
        <v>3.4313783126073097E-2</v>
      </c>
      <c r="D145" t="s">
        <v>24</v>
      </c>
      <c r="E145" t="s">
        <v>19</v>
      </c>
      <c r="F145">
        <v>1</v>
      </c>
      <c r="G145">
        <f t="shared" si="42"/>
        <v>105</v>
      </c>
      <c r="I145">
        <v>2014</v>
      </c>
      <c r="J145">
        <f t="shared" si="43"/>
        <v>107.5</v>
      </c>
      <c r="K145" cm="1">
        <f t="array" ref="K145">STOWA2024_NDJF_T(A145*60,J145,I145,"","")</f>
        <v>12.469853984556652</v>
      </c>
      <c r="L145">
        <f t="shared" si="44"/>
        <v>8.0193400920207616E-2</v>
      </c>
    </row>
    <row r="146" spans="1:12" x14ac:dyDescent="0.3">
      <c r="A146">
        <v>216</v>
      </c>
      <c r="B146">
        <f t="shared" si="41"/>
        <v>2.4488428721334471E-2</v>
      </c>
      <c r="C146">
        <f t="shared" si="37"/>
        <v>2.4488428721334471E-2</v>
      </c>
      <c r="D146" t="s">
        <v>24</v>
      </c>
      <c r="E146" t="s">
        <v>19</v>
      </c>
      <c r="F146">
        <v>1</v>
      </c>
      <c r="G146">
        <f t="shared" si="42"/>
        <v>110</v>
      </c>
      <c r="I146">
        <v>2014</v>
      </c>
      <c r="J146">
        <f t="shared" si="43"/>
        <v>112.5</v>
      </c>
      <c r="K146" cm="1">
        <f t="array" ref="K146">STOWA2024_NDJF_T(A146*60,J146,I146,"","")</f>
        <v>17.951718859671722</v>
      </c>
      <c r="L146">
        <f t="shared" si="44"/>
        <v>5.5704972198873146E-2</v>
      </c>
    </row>
    <row r="147" spans="1:12" x14ac:dyDescent="0.3">
      <c r="A147">
        <v>216</v>
      </c>
      <c r="B147">
        <f t="shared" si="41"/>
        <v>1.7340530539874693E-2</v>
      </c>
      <c r="C147">
        <f t="shared" si="37"/>
        <v>1.7340530539874693E-2</v>
      </c>
      <c r="D147" t="s">
        <v>24</v>
      </c>
      <c r="E147" t="s">
        <v>19</v>
      </c>
      <c r="F147">
        <v>1</v>
      </c>
      <c r="G147">
        <f t="shared" si="42"/>
        <v>115</v>
      </c>
      <c r="I147">
        <v>2014</v>
      </c>
      <c r="J147">
        <f t="shared" si="43"/>
        <v>117.5</v>
      </c>
      <c r="K147" cm="1">
        <f t="array" ref="K147">STOWA2024_NDJF_T(A147*60,J147,I147,"","")</f>
        <v>26.065803560715921</v>
      </c>
      <c r="L147">
        <f t="shared" si="44"/>
        <v>3.8364441658998452E-2</v>
      </c>
    </row>
    <row r="148" spans="1:12" x14ac:dyDescent="0.3">
      <c r="A148">
        <v>216</v>
      </c>
      <c r="B148">
        <f t="shared" si="41"/>
        <v>1.2178534591775408E-2</v>
      </c>
      <c r="C148">
        <f t="shared" si="37"/>
        <v>1.2178534591775408E-2</v>
      </c>
      <c r="D148" t="s">
        <v>24</v>
      </c>
      <c r="E148" t="s">
        <v>19</v>
      </c>
      <c r="F148">
        <v>1</v>
      </c>
      <c r="G148">
        <f t="shared" si="42"/>
        <v>120</v>
      </c>
      <c r="I148">
        <v>2014</v>
      </c>
      <c r="J148">
        <f t="shared" si="43"/>
        <v>122.5</v>
      </c>
      <c r="K148" cm="1">
        <f t="array" ref="K148">STOWA2024_NDJF_T(A148*60,J148,I148,"","")</f>
        <v>38.188480446098509</v>
      </c>
      <c r="L148">
        <f t="shared" si="44"/>
        <v>2.6185907067223044E-2</v>
      </c>
    </row>
    <row r="149" spans="1:12" x14ac:dyDescent="0.3">
      <c r="A149">
        <v>216</v>
      </c>
      <c r="B149">
        <f t="shared" si="41"/>
        <v>8.4800087168318168E-3</v>
      </c>
      <c r="C149">
        <f t="shared" si="37"/>
        <v>8.4800087168318168E-3</v>
      </c>
      <c r="D149" t="s">
        <v>24</v>
      </c>
      <c r="E149" t="s">
        <v>19</v>
      </c>
      <c r="F149">
        <v>1</v>
      </c>
      <c r="G149">
        <f t="shared" si="42"/>
        <v>125</v>
      </c>
      <c r="I149">
        <v>2014</v>
      </c>
      <c r="J149">
        <f t="shared" si="43"/>
        <v>127.5</v>
      </c>
      <c r="K149" cm="1">
        <f t="array" ref="K149">STOWA2024_NDJF_T(A149*60,J149,I149,"","")</f>
        <v>56.478354286830303</v>
      </c>
      <c r="L149">
        <f t="shared" si="44"/>
        <v>1.7705898350391228E-2</v>
      </c>
    </row>
    <row r="150" spans="1:12" x14ac:dyDescent="0.3">
      <c r="A150">
        <v>216</v>
      </c>
      <c r="B150">
        <f t="shared" si="41"/>
        <v>5.8516718742080941E-3</v>
      </c>
      <c r="C150">
        <f t="shared" si="37"/>
        <v>5.8516718742080941E-3</v>
      </c>
      <c r="D150" t="s">
        <v>24</v>
      </c>
      <c r="E150" t="s">
        <v>19</v>
      </c>
      <c r="F150">
        <v>1</v>
      </c>
      <c r="G150">
        <f t="shared" si="42"/>
        <v>130</v>
      </c>
      <c r="I150">
        <v>2014</v>
      </c>
      <c r="J150">
        <f t="shared" si="43"/>
        <v>132.5</v>
      </c>
      <c r="K150" cm="1">
        <f t="array" ref="K150">STOWA2024_NDJF_T(A150*60,J150,I150,"","")</f>
        <v>84.358098101900239</v>
      </c>
      <c r="L150">
        <f t="shared" si="44"/>
        <v>1.1854226476183134E-2</v>
      </c>
    </row>
    <row r="151" spans="1:12" x14ac:dyDescent="0.3">
      <c r="A151">
        <v>216</v>
      </c>
      <c r="B151">
        <f t="shared" si="41"/>
        <v>3.9999193614811482E-3</v>
      </c>
      <c r="C151">
        <f t="shared" si="37"/>
        <v>3.9999193614811482E-3</v>
      </c>
      <c r="D151" t="s">
        <v>24</v>
      </c>
      <c r="E151" t="s">
        <v>19</v>
      </c>
      <c r="F151">
        <v>1</v>
      </c>
      <c r="G151">
        <f t="shared" si="42"/>
        <v>135</v>
      </c>
      <c r="I151">
        <v>2014</v>
      </c>
      <c r="J151">
        <f t="shared" si="43"/>
        <v>137.5</v>
      </c>
      <c r="K151" cm="1">
        <f t="array" ref="K151">STOWA2024_NDJF_T(A151*60,J151,I151,"","")</f>
        <v>127.31867819736291</v>
      </c>
      <c r="L151">
        <f t="shared" si="44"/>
        <v>7.8543071147019854E-3</v>
      </c>
    </row>
    <row r="152" spans="1:12" x14ac:dyDescent="0.3">
      <c r="A152">
        <v>216</v>
      </c>
      <c r="B152">
        <f t="shared" si="41"/>
        <v>2.706951902730066E-3</v>
      </c>
      <c r="C152">
        <f t="shared" si="37"/>
        <v>2.706951902730066E-3</v>
      </c>
      <c r="D152" t="s">
        <v>24</v>
      </c>
      <c r="E152" t="s">
        <v>19</v>
      </c>
      <c r="F152">
        <v>1</v>
      </c>
      <c r="G152">
        <f t="shared" si="42"/>
        <v>140</v>
      </c>
      <c r="I152">
        <v>2014</v>
      </c>
      <c r="J152">
        <f t="shared" si="43"/>
        <v>142.5</v>
      </c>
      <c r="K152" cm="1">
        <f t="array" ref="K152">STOWA2024_NDJF_T(A152*60,J152,I152,"","")</f>
        <v>194.27452717352031</v>
      </c>
      <c r="L152">
        <f t="shared" si="44"/>
        <v>5.1473552119719193E-3</v>
      </c>
    </row>
    <row r="153" spans="1:12" x14ac:dyDescent="0.3">
      <c r="A153">
        <v>216</v>
      </c>
      <c r="B153">
        <f t="shared" si="41"/>
        <v>1.8127912583518592E-3</v>
      </c>
      <c r="C153">
        <f t="shared" si="37"/>
        <v>1.8127912583518592E-3</v>
      </c>
      <c r="D153" t="s">
        <v>24</v>
      </c>
      <c r="E153" t="s">
        <v>19</v>
      </c>
      <c r="F153">
        <v>1</v>
      </c>
      <c r="G153">
        <f t="shared" si="42"/>
        <v>145</v>
      </c>
      <c r="I153">
        <v>2014</v>
      </c>
      <c r="J153">
        <f t="shared" si="43"/>
        <v>147.5</v>
      </c>
      <c r="K153" cm="1">
        <f t="array" ref="K153">STOWA2024_NDJF_T(A153*60,J153,I153,"","")</f>
        <v>299.88928504861417</v>
      </c>
      <c r="L153">
        <f t="shared" si="44"/>
        <v>3.3345639536200601E-3</v>
      </c>
    </row>
    <row r="154" spans="1:12" x14ac:dyDescent="0.3">
      <c r="A154">
        <v>216</v>
      </c>
      <c r="B154">
        <f t="shared" si="41"/>
        <v>1.2005710200078288E-3</v>
      </c>
      <c r="C154">
        <f t="shared" si="37"/>
        <v>1.2005710200078288E-3</v>
      </c>
      <c r="D154" t="s">
        <v>24</v>
      </c>
      <c r="E154" t="s">
        <v>19</v>
      </c>
      <c r="F154">
        <v>1</v>
      </c>
      <c r="G154">
        <f t="shared" si="42"/>
        <v>150</v>
      </c>
      <c r="I154">
        <v>2014</v>
      </c>
      <c r="J154">
        <f t="shared" si="43"/>
        <v>152.5</v>
      </c>
      <c r="K154" cm="1">
        <f t="array" ref="K154">STOWA2024_NDJF_T(A154*60,J154,I154,"","")</f>
        <v>468.60511309533246</v>
      </c>
      <c r="L154">
        <f t="shared" si="44"/>
        <v>2.1339929336122313E-3</v>
      </c>
    </row>
    <row r="155" spans="1:12" x14ac:dyDescent="0.3">
      <c r="A155">
        <v>216</v>
      </c>
      <c r="B155">
        <f t="shared" si="41"/>
        <v>7.8584786688331611E-4</v>
      </c>
      <c r="C155">
        <f t="shared" si="37"/>
        <v>7.8584786688331611E-4</v>
      </c>
      <c r="D155" t="s">
        <v>24</v>
      </c>
      <c r="E155" t="s">
        <v>19</v>
      </c>
      <c r="F155">
        <v>1</v>
      </c>
      <c r="G155">
        <f t="shared" si="42"/>
        <v>155</v>
      </c>
      <c r="I155">
        <v>2014</v>
      </c>
      <c r="J155">
        <f t="shared" si="43"/>
        <v>157.5</v>
      </c>
      <c r="K155" cm="1">
        <f t="array" ref="K155">STOWA2024_NDJF_T(A155*60,J155,I155,"","")</f>
        <v>741.75993717527717</v>
      </c>
      <c r="L155">
        <f t="shared" si="44"/>
        <v>1.3481450667289152E-3</v>
      </c>
    </row>
    <row r="156" spans="1:12" x14ac:dyDescent="0.3">
      <c r="A156">
        <v>216</v>
      </c>
      <c r="B156" s="1">
        <f>L155</f>
        <v>1.3481450667289152E-3</v>
      </c>
      <c r="C156">
        <f t="shared" si="37"/>
        <v>1.3481450667289152E-3</v>
      </c>
      <c r="D156" t="s">
        <v>24</v>
      </c>
      <c r="E156" t="s">
        <v>19</v>
      </c>
      <c r="F156">
        <v>1</v>
      </c>
      <c r="G156">
        <f t="shared" si="42"/>
        <v>160</v>
      </c>
      <c r="I156">
        <v>2014</v>
      </c>
      <c r="J156">
        <f>AVERAGE(G156:G157)</f>
        <v>160</v>
      </c>
      <c r="K156" cm="1">
        <f t="array" ref="K156">STOWA2024_NDJF_T(A156*60,J156,I156,"","")</f>
        <v>937.98901205523805</v>
      </c>
      <c r="L156">
        <f>1/K156</f>
        <v>1.0661105696844881E-3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56"/>
  <sheetViews>
    <sheetView workbookViewId="0">
      <selection activeCell="J23" sqref="J23"/>
    </sheetView>
  </sheetViews>
  <sheetFormatPr defaultRowHeight="14.4" x14ac:dyDescent="0.3"/>
  <cols>
    <col min="2" max="2" width="12" bestFit="1" customWidth="1"/>
    <col min="4" max="4" width="17.21875" bestFit="1" customWidth="1"/>
    <col min="8" max="8" width="12"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349.26781224140956</v>
      </c>
      <c r="C2">
        <f>B2</f>
        <v>349.26781224140956</v>
      </c>
      <c r="D2" t="s">
        <v>26</v>
      </c>
      <c r="E2" t="s">
        <v>21</v>
      </c>
      <c r="F2">
        <v>1</v>
      </c>
      <c r="G2">
        <v>10</v>
      </c>
      <c r="I2">
        <v>2033</v>
      </c>
      <c r="J2" t="s">
        <v>25</v>
      </c>
      <c r="K2">
        <f>AVERAGE(G2:G4)</f>
        <v>15</v>
      </c>
      <c r="L2" cm="1">
        <f t="array" ref="L2">STOWA2024_JAARROND_T(A2*60,K2,I2,J2,"")</f>
        <v>6.2569656614282876E-2</v>
      </c>
      <c r="M2">
        <f>1/L2</f>
        <v>15.982187758590454</v>
      </c>
    </row>
    <row r="3" spans="1:13" x14ac:dyDescent="0.3">
      <c r="A3">
        <v>24</v>
      </c>
      <c r="B3">
        <f t="shared" ref="B3:B7" si="0">M2-M3</f>
        <v>4.7975555987939504</v>
      </c>
      <c r="C3">
        <f t="shared" ref="C3:C32" si="1">B3</f>
        <v>4.7975555987939504</v>
      </c>
      <c r="D3" t="s">
        <v>26</v>
      </c>
      <c r="E3" t="s">
        <v>21</v>
      </c>
      <c r="F3">
        <v>1</v>
      </c>
      <c r="G3">
        <f t="shared" ref="G3:G7" si="2">G2+5</f>
        <v>15</v>
      </c>
      <c r="I3">
        <v>2033</v>
      </c>
      <c r="J3" t="s">
        <v>25</v>
      </c>
      <c r="K3">
        <f t="shared" ref="K3:K7" si="3">AVERAGE(G3:G4)</f>
        <v>17.5</v>
      </c>
      <c r="L3" cm="1">
        <f t="array" ref="L3">STOWA2024_JAARROND_T(A3*60,K3,I3,"L","")</f>
        <v>8.9408394099408123E-2</v>
      </c>
      <c r="M3">
        <f t="shared" ref="M3:M7" si="4">1/L3</f>
        <v>11.184632159796504</v>
      </c>
    </row>
    <row r="4" spans="1:13" x14ac:dyDescent="0.3">
      <c r="A4">
        <v>24</v>
      </c>
      <c r="B4">
        <f t="shared" si="0"/>
        <v>5.4340191980664523</v>
      </c>
      <c r="C4">
        <f t="shared" si="1"/>
        <v>5.4340191980664523</v>
      </c>
      <c r="D4" t="s">
        <v>26</v>
      </c>
      <c r="E4" t="s">
        <v>21</v>
      </c>
      <c r="F4">
        <v>1</v>
      </c>
      <c r="G4">
        <f t="shared" si="2"/>
        <v>20</v>
      </c>
      <c r="I4">
        <v>2033</v>
      </c>
      <c r="J4" t="s">
        <v>25</v>
      </c>
      <c r="K4">
        <f t="shared" si="3"/>
        <v>22.5</v>
      </c>
      <c r="L4" cm="1">
        <f t="array" ref="L4">STOWA2024_JAARROND_T(A4*60,K4,I4,"L","")</f>
        <v>0.17389450596917821</v>
      </c>
      <c r="M4">
        <f t="shared" si="4"/>
        <v>5.7506129617300514</v>
      </c>
    </row>
    <row r="5" spans="1:13" x14ac:dyDescent="0.3">
      <c r="A5">
        <v>24</v>
      </c>
      <c r="B5">
        <f t="shared" si="0"/>
        <v>2.6241955236155747</v>
      </c>
      <c r="C5">
        <f t="shared" si="1"/>
        <v>2.6241955236155747</v>
      </c>
      <c r="D5" t="s">
        <v>26</v>
      </c>
      <c r="E5" t="s">
        <v>21</v>
      </c>
      <c r="F5">
        <v>1</v>
      </c>
      <c r="G5">
        <f t="shared" si="2"/>
        <v>25</v>
      </c>
      <c r="I5">
        <v>2033</v>
      </c>
      <c r="J5" t="s">
        <v>25</v>
      </c>
      <c r="K5">
        <f t="shared" si="3"/>
        <v>27.5</v>
      </c>
      <c r="L5" cm="1">
        <f t="array" ref="L5">STOWA2024_JAARROND_T(A5*60,K5,I5,"L","")</f>
        <v>0.31985492014242789</v>
      </c>
      <c r="M5">
        <f t="shared" si="4"/>
        <v>3.1264174381144767</v>
      </c>
    </row>
    <row r="6" spans="1:13" x14ac:dyDescent="0.3">
      <c r="A6">
        <v>24</v>
      </c>
      <c r="B6">
        <f t="shared" si="0"/>
        <v>1.3445751459813928</v>
      </c>
      <c r="C6">
        <f t="shared" si="1"/>
        <v>1.3445751459813928</v>
      </c>
      <c r="D6" t="s">
        <v>26</v>
      </c>
      <c r="E6" t="s">
        <v>21</v>
      </c>
      <c r="F6">
        <v>1</v>
      </c>
      <c r="G6">
        <f t="shared" si="2"/>
        <v>30</v>
      </c>
      <c r="I6">
        <v>2033</v>
      </c>
      <c r="J6" t="s">
        <v>25</v>
      </c>
      <c r="K6">
        <f t="shared" si="3"/>
        <v>32.5</v>
      </c>
      <c r="L6" cm="1">
        <f t="array" ref="L6">STOWA2024_JAARROND_T(A6*60,K6,I6,"L","")</f>
        <v>0.56121689580219658</v>
      </c>
      <c r="M6">
        <f t="shared" si="4"/>
        <v>1.7818422921330839</v>
      </c>
    </row>
    <row r="7" spans="1:13" x14ac:dyDescent="0.3">
      <c r="A7">
        <v>24</v>
      </c>
      <c r="B7">
        <f t="shared" si="0"/>
        <v>0.72446285739643668</v>
      </c>
      <c r="C7">
        <f t="shared" si="1"/>
        <v>0.72446285739643668</v>
      </c>
      <c r="D7" t="s">
        <v>26</v>
      </c>
      <c r="E7" t="s">
        <v>21</v>
      </c>
      <c r="F7">
        <v>1</v>
      </c>
      <c r="G7">
        <f t="shared" si="2"/>
        <v>35</v>
      </c>
      <c r="I7">
        <v>2033</v>
      </c>
      <c r="J7" t="s">
        <v>25</v>
      </c>
      <c r="K7">
        <f t="shared" si="3"/>
        <v>37.5</v>
      </c>
      <c r="L7" cm="1">
        <f t="array" ref="L7">STOWA2024_JAARROND_T(A7*60,K7,I7,"L","")</f>
        <v>0.94573430043025353</v>
      </c>
      <c r="M7">
        <f t="shared" si="4"/>
        <v>1.0573794347366472</v>
      </c>
    </row>
    <row r="8" spans="1:13" x14ac:dyDescent="0.3">
      <c r="A8">
        <v>24</v>
      </c>
      <c r="B8">
        <f>M7-M8</f>
        <v>0.40750600519244373</v>
      </c>
      <c r="C8">
        <f t="shared" si="1"/>
        <v>0.40750600519244373</v>
      </c>
      <c r="D8" t="s">
        <v>26</v>
      </c>
      <c r="E8" t="s">
        <v>21</v>
      </c>
      <c r="F8">
        <v>1</v>
      </c>
      <c r="G8">
        <f>G7+5</f>
        <v>40</v>
      </c>
      <c r="I8">
        <v>2033</v>
      </c>
      <c r="J8" t="s">
        <v>25</v>
      </c>
      <c r="K8">
        <f>AVERAGE(G8:G9)</f>
        <v>42.5</v>
      </c>
      <c r="L8" cm="1">
        <f t="array" ref="L8">STOWA2024_JAARROND_T(A8*60,K8,I8,"L","")</f>
        <v>1.5387611718505896</v>
      </c>
      <c r="M8">
        <f>1/L8</f>
        <v>0.64987342954420346</v>
      </c>
    </row>
    <row r="9" spans="1:13" x14ac:dyDescent="0.3">
      <c r="A9">
        <v>24</v>
      </c>
      <c r="B9">
        <f t="shared" ref="B9:B31" si="5">M8-M9</f>
        <v>0.23810243475178816</v>
      </c>
      <c r="C9">
        <f t="shared" si="1"/>
        <v>0.23810243475178816</v>
      </c>
      <c r="D9" t="s">
        <v>26</v>
      </c>
      <c r="E9" t="s">
        <v>21</v>
      </c>
      <c r="F9">
        <v>1</v>
      </c>
      <c r="G9">
        <f t="shared" ref="G9:G32" si="6">G8+5</f>
        <v>45</v>
      </c>
      <c r="I9">
        <v>2033</v>
      </c>
      <c r="J9" t="s">
        <v>25</v>
      </c>
      <c r="K9">
        <f t="shared" ref="K9:K31" si="7">AVERAGE(G9:G10)</f>
        <v>47.5</v>
      </c>
      <c r="L9" cm="1">
        <f t="array" ref="L9">STOWA2024_JAARROND_T(A9*60,K9,I9,"L","")</f>
        <v>2.4285343374030668</v>
      </c>
      <c r="M9">
        <f t="shared" ref="M9:M31" si="8">1/L9</f>
        <v>0.4117709947924153</v>
      </c>
    </row>
    <row r="10" spans="1:13" x14ac:dyDescent="0.3">
      <c r="A10">
        <v>24</v>
      </c>
      <c r="B10">
        <f t="shared" si="5"/>
        <v>0.14373647948893126</v>
      </c>
      <c r="C10">
        <f t="shared" si="1"/>
        <v>0.14373647948893126</v>
      </c>
      <c r="D10" t="s">
        <v>26</v>
      </c>
      <c r="E10" t="s">
        <v>21</v>
      </c>
      <c r="F10">
        <v>1</v>
      </c>
      <c r="G10">
        <f t="shared" si="6"/>
        <v>50</v>
      </c>
      <c r="I10">
        <v>2033</v>
      </c>
      <c r="J10" t="s">
        <v>25</v>
      </c>
      <c r="K10">
        <f t="shared" si="7"/>
        <v>52.5</v>
      </c>
      <c r="L10" cm="1">
        <f t="array" ref="L10">STOWA2024_JAARROND_T(A10*60,K10,I10,"L","")</f>
        <v>3.7308627915615369</v>
      </c>
      <c r="M10">
        <f t="shared" si="8"/>
        <v>0.26803451530348404</v>
      </c>
    </row>
    <row r="11" spans="1:13" x14ac:dyDescent="0.3">
      <c r="A11">
        <v>24</v>
      </c>
      <c r="B11">
        <f t="shared" si="5"/>
        <v>8.9334508716866989E-2</v>
      </c>
      <c r="C11">
        <f t="shared" si="1"/>
        <v>8.9334508716866989E-2</v>
      </c>
      <c r="D11" t="s">
        <v>26</v>
      </c>
      <c r="E11" t="s">
        <v>21</v>
      </c>
      <c r="F11">
        <v>1</v>
      </c>
      <c r="G11">
        <f t="shared" si="6"/>
        <v>55</v>
      </c>
      <c r="I11">
        <v>2033</v>
      </c>
      <c r="J11" t="s">
        <v>25</v>
      </c>
      <c r="K11">
        <f t="shared" si="7"/>
        <v>57.5</v>
      </c>
      <c r="L11" cm="1">
        <f t="array" ref="L11">STOWA2024_JAARROND_T(A11*60,K11,I11,"L","")</f>
        <v>5.5959706946921317</v>
      </c>
      <c r="M11">
        <f t="shared" si="8"/>
        <v>0.17870000658661706</v>
      </c>
    </row>
    <row r="12" spans="1:13" x14ac:dyDescent="0.3">
      <c r="A12">
        <v>24</v>
      </c>
      <c r="B12">
        <f t="shared" si="5"/>
        <v>5.6978973971340177E-2</v>
      </c>
      <c r="C12">
        <f t="shared" si="1"/>
        <v>5.6978973971340177E-2</v>
      </c>
      <c r="D12" t="s">
        <v>26</v>
      </c>
      <c r="E12" t="s">
        <v>21</v>
      </c>
      <c r="F12">
        <v>1</v>
      </c>
      <c r="G12">
        <f t="shared" si="6"/>
        <v>60</v>
      </c>
      <c r="I12">
        <v>2033</v>
      </c>
      <c r="J12" t="s">
        <v>25</v>
      </c>
      <c r="K12">
        <f t="shared" si="7"/>
        <v>62.5</v>
      </c>
      <c r="L12" cm="1">
        <f t="array" ref="L12">STOWA2024_JAARROND_T(A12*60,K12,I12,"L","")</f>
        <v>8.2155070369859207</v>
      </c>
      <c r="M12">
        <f t="shared" si="8"/>
        <v>0.12172103261527688</v>
      </c>
    </row>
    <row r="13" spans="1:13" x14ac:dyDescent="0.3">
      <c r="A13">
        <v>24</v>
      </c>
      <c r="B13">
        <f t="shared" si="5"/>
        <v>3.7199250900581238E-2</v>
      </c>
      <c r="C13">
        <f t="shared" si="1"/>
        <v>3.7199250900581238E-2</v>
      </c>
      <c r="D13" t="s">
        <v>26</v>
      </c>
      <c r="E13" t="s">
        <v>21</v>
      </c>
      <c r="F13">
        <v>1</v>
      </c>
      <c r="G13">
        <f t="shared" si="6"/>
        <v>65</v>
      </c>
      <c r="I13">
        <v>2033</v>
      </c>
      <c r="J13" t="s">
        <v>25</v>
      </c>
      <c r="K13">
        <f t="shared" si="7"/>
        <v>67.5</v>
      </c>
      <c r="L13" cm="1">
        <f t="array" ref="L13">STOWA2024_JAARROND_T(A13*60,K13,I13,"L","")</f>
        <v>11.831269759261735</v>
      </c>
      <c r="M13">
        <f t="shared" si="8"/>
        <v>8.452178171469564E-2</v>
      </c>
    </row>
    <row r="14" spans="1:13" x14ac:dyDescent="0.3">
      <c r="A14">
        <v>24</v>
      </c>
      <c r="B14">
        <f t="shared" si="5"/>
        <v>2.4798273297569368E-2</v>
      </c>
      <c r="C14">
        <f t="shared" si="1"/>
        <v>2.4798273297569368E-2</v>
      </c>
      <c r="D14" t="s">
        <v>26</v>
      </c>
      <c r="E14" t="s">
        <v>21</v>
      </c>
      <c r="F14">
        <v>1</v>
      </c>
      <c r="G14">
        <f t="shared" si="6"/>
        <v>70</v>
      </c>
      <c r="I14">
        <v>2033</v>
      </c>
      <c r="J14" t="s">
        <v>25</v>
      </c>
      <c r="K14">
        <f t="shared" si="7"/>
        <v>72.5</v>
      </c>
      <c r="L14" cm="1">
        <f t="array" ref="L14">STOWA2024_JAARROND_T(A14*60,K14,I14,"L","")</f>
        <v>16.743825446685257</v>
      </c>
      <c r="M14">
        <f t="shared" si="8"/>
        <v>5.9723508417126273E-2</v>
      </c>
    </row>
    <row r="15" spans="1:13" x14ac:dyDescent="0.3">
      <c r="A15">
        <v>24</v>
      </c>
      <c r="B15">
        <f t="shared" si="5"/>
        <v>1.6848489953662463E-2</v>
      </c>
      <c r="C15">
        <f t="shared" si="1"/>
        <v>1.6848489953662463E-2</v>
      </c>
      <c r="D15" t="s">
        <v>26</v>
      </c>
      <c r="E15" t="s">
        <v>21</v>
      </c>
      <c r="F15">
        <v>1</v>
      </c>
      <c r="G15">
        <f t="shared" si="6"/>
        <v>75</v>
      </c>
      <c r="I15">
        <v>2033</v>
      </c>
      <c r="J15" t="s">
        <v>25</v>
      </c>
      <c r="K15">
        <f t="shared" si="7"/>
        <v>77.5</v>
      </c>
      <c r="L15" cm="1">
        <f t="array" ref="L15">STOWA2024_JAARROND_T(A15*60,K15,I15,"L","")</f>
        <v>23.323605116395591</v>
      </c>
      <c r="M15">
        <f t="shared" si="8"/>
        <v>4.287501846346381E-2</v>
      </c>
    </row>
    <row r="16" spans="1:13" x14ac:dyDescent="0.3">
      <c r="A16">
        <v>24</v>
      </c>
      <c r="B16">
        <f t="shared" si="5"/>
        <v>1.1647584491278909E-2</v>
      </c>
      <c r="C16">
        <f t="shared" si="1"/>
        <v>1.1647584491278909E-2</v>
      </c>
      <c r="D16" t="s">
        <v>26</v>
      </c>
      <c r="E16" t="s">
        <v>21</v>
      </c>
      <c r="F16">
        <v>1</v>
      </c>
      <c r="G16">
        <f t="shared" si="6"/>
        <v>80</v>
      </c>
      <c r="I16">
        <v>2033</v>
      </c>
      <c r="J16" t="s">
        <v>25</v>
      </c>
      <c r="K16">
        <f t="shared" si="7"/>
        <v>82.5</v>
      </c>
      <c r="L16" cm="1">
        <f t="array" ref="L16">STOWA2024_JAARROND_T(A16*60,K16,I16,"L","")</f>
        <v>32.023124310845596</v>
      </c>
      <c r="M16">
        <f t="shared" si="8"/>
        <v>3.1227433972184901E-2</v>
      </c>
    </row>
    <row r="17" spans="1:13" x14ac:dyDescent="0.3">
      <c r="A17">
        <v>24</v>
      </c>
      <c r="B17">
        <f t="shared" si="5"/>
        <v>8.179830173321731E-3</v>
      </c>
      <c r="C17">
        <f t="shared" si="1"/>
        <v>8.179830173321731E-3</v>
      </c>
      <c r="D17" t="s">
        <v>26</v>
      </c>
      <c r="E17" t="s">
        <v>21</v>
      </c>
      <c r="F17">
        <v>1</v>
      </c>
      <c r="G17">
        <f t="shared" si="6"/>
        <v>85</v>
      </c>
      <c r="I17">
        <v>2033</v>
      </c>
      <c r="J17" t="s">
        <v>25</v>
      </c>
      <c r="K17">
        <f t="shared" si="7"/>
        <v>87.5</v>
      </c>
      <c r="L17" cm="1">
        <f t="array" ref="L17">STOWA2024_JAARROND_T(A17*60,K17,I17,"L","")</f>
        <v>43.388458458719484</v>
      </c>
      <c r="M17">
        <f t="shared" si="8"/>
        <v>2.304760379886317E-2</v>
      </c>
    </row>
    <row r="18" spans="1:13" x14ac:dyDescent="0.3">
      <c r="A18">
        <v>24</v>
      </c>
      <c r="B18">
        <f t="shared" si="5"/>
        <v>5.8288262996159836E-3</v>
      </c>
      <c r="C18">
        <f t="shared" si="1"/>
        <v>5.8288262996159836E-3</v>
      </c>
      <c r="D18" t="s">
        <v>26</v>
      </c>
      <c r="E18" t="s">
        <v>21</v>
      </c>
      <c r="F18">
        <v>1</v>
      </c>
      <c r="G18">
        <f t="shared" si="6"/>
        <v>90</v>
      </c>
      <c r="I18">
        <v>2033</v>
      </c>
      <c r="J18" t="s">
        <v>25</v>
      </c>
      <c r="K18">
        <f t="shared" si="7"/>
        <v>92.5</v>
      </c>
      <c r="L18" cm="1">
        <f t="array" ref="L18">STOWA2024_JAARROND_T(A18*60,K18,I18,"L","")</f>
        <v>58.076132294741633</v>
      </c>
      <c r="M18">
        <f t="shared" si="8"/>
        <v>1.7218777499247186E-2</v>
      </c>
    </row>
    <row r="19" spans="1:13" x14ac:dyDescent="0.3">
      <c r="A19">
        <v>24</v>
      </c>
      <c r="B19">
        <f t="shared" si="5"/>
        <v>4.2091104887825911E-3</v>
      </c>
      <c r="C19">
        <f t="shared" si="1"/>
        <v>4.2091104887825911E-3</v>
      </c>
      <c r="D19" t="s">
        <v>26</v>
      </c>
      <c r="E19" t="s">
        <v>21</v>
      </c>
      <c r="F19">
        <v>1</v>
      </c>
      <c r="G19">
        <f t="shared" si="6"/>
        <v>95</v>
      </c>
      <c r="I19">
        <v>2033</v>
      </c>
      <c r="J19" t="s">
        <v>25</v>
      </c>
      <c r="K19">
        <f t="shared" si="7"/>
        <v>97.5</v>
      </c>
      <c r="L19" cm="1">
        <f t="array" ref="L19">STOWA2024_JAARROND_T(A19*60,K19,I19,"L","")</f>
        <v>76.865918181889612</v>
      </c>
      <c r="M19">
        <f t="shared" si="8"/>
        <v>1.3009667010464595E-2</v>
      </c>
    </row>
    <row r="20" spans="1:13" x14ac:dyDescent="0.3">
      <c r="A20">
        <v>24</v>
      </c>
      <c r="B20">
        <f t="shared" si="5"/>
        <v>3.0773513890996404E-3</v>
      </c>
      <c r="C20">
        <f t="shared" si="1"/>
        <v>3.0773513890996404E-3</v>
      </c>
      <c r="D20" t="s">
        <v>26</v>
      </c>
      <c r="E20" t="s">
        <v>21</v>
      </c>
      <c r="F20">
        <v>1</v>
      </c>
      <c r="G20">
        <f t="shared" si="6"/>
        <v>100</v>
      </c>
      <c r="I20">
        <v>2033</v>
      </c>
      <c r="J20" t="s">
        <v>25</v>
      </c>
      <c r="K20">
        <f t="shared" si="7"/>
        <v>102.5</v>
      </c>
      <c r="L20" cm="1">
        <f t="array" ref="L20">STOWA2024_JAARROND_T(A20*60,K20,I20,"L","")</f>
        <v>100.68145618016258</v>
      </c>
      <c r="M20">
        <f t="shared" si="8"/>
        <v>9.9323156213649549E-3</v>
      </c>
    </row>
    <row r="21" spans="1:13" x14ac:dyDescent="0.3">
      <c r="A21">
        <v>24</v>
      </c>
      <c r="B21">
        <f t="shared" si="5"/>
        <v>2.2758550137294605E-3</v>
      </c>
      <c r="C21">
        <f t="shared" si="1"/>
        <v>2.2758550137294605E-3</v>
      </c>
      <c r="D21" t="s">
        <v>26</v>
      </c>
      <c r="E21" t="s">
        <v>21</v>
      </c>
      <c r="F21">
        <v>1</v>
      </c>
      <c r="G21">
        <f t="shared" si="6"/>
        <v>105</v>
      </c>
      <c r="I21">
        <v>2033</v>
      </c>
      <c r="J21" t="s">
        <v>25</v>
      </c>
      <c r="K21">
        <f t="shared" si="7"/>
        <v>107.5</v>
      </c>
      <c r="L21" cm="1">
        <f t="array" ref="L21">STOWA2024_JAARROND_T(A21*60,K21,I21,"L","")</f>
        <v>130.60865212350708</v>
      </c>
      <c r="M21">
        <f t="shared" si="8"/>
        <v>7.6564606076354944E-3</v>
      </c>
    </row>
    <row r="22" spans="1:13" x14ac:dyDescent="0.3">
      <c r="A22">
        <v>24</v>
      </c>
      <c r="B22">
        <f t="shared" si="5"/>
        <v>1.7009945461721847E-3</v>
      </c>
      <c r="C22">
        <f t="shared" si="1"/>
        <v>1.7009945461721847E-3</v>
      </c>
      <c r="D22" t="s">
        <v>26</v>
      </c>
      <c r="E22" t="s">
        <v>21</v>
      </c>
      <c r="F22">
        <v>1</v>
      </c>
      <c r="G22">
        <f t="shared" si="6"/>
        <v>110</v>
      </c>
      <c r="I22">
        <v>2033</v>
      </c>
      <c r="J22" t="s">
        <v>25</v>
      </c>
      <c r="K22">
        <f t="shared" si="7"/>
        <v>112.5</v>
      </c>
      <c r="L22" cm="1">
        <f t="array" ref="L22">STOWA2024_JAARROND_T(A22*60,K22,I22,"L","")</f>
        <v>167.91297098825063</v>
      </c>
      <c r="M22">
        <f t="shared" si="8"/>
        <v>5.9554660614633097E-3</v>
      </c>
    </row>
    <row r="23" spans="1:13" x14ac:dyDescent="0.3">
      <c r="A23">
        <v>24</v>
      </c>
      <c r="B23">
        <f t="shared" si="5"/>
        <v>1.2840451786697493E-3</v>
      </c>
      <c r="C23">
        <f t="shared" si="1"/>
        <v>1.2840451786697493E-3</v>
      </c>
      <c r="D23" t="s">
        <v>26</v>
      </c>
      <c r="E23" t="s">
        <v>21</v>
      </c>
      <c r="F23">
        <v>1</v>
      </c>
      <c r="G23">
        <f t="shared" si="6"/>
        <v>115</v>
      </c>
      <c r="I23">
        <v>2033</v>
      </c>
      <c r="J23" t="s">
        <v>25</v>
      </c>
      <c r="K23">
        <f t="shared" si="7"/>
        <v>117.5</v>
      </c>
      <c r="L23" cm="1">
        <f t="array" ref="L23">STOWA2024_JAARROND_T(A23*60,K23,I23,"L","")</f>
        <v>214.0676306182005</v>
      </c>
      <c r="M23">
        <f t="shared" si="8"/>
        <v>4.6714208827935604E-3</v>
      </c>
    </row>
    <row r="24" spans="1:13" x14ac:dyDescent="0.3">
      <c r="A24">
        <v>24</v>
      </c>
      <c r="B24">
        <f t="shared" si="5"/>
        <v>9.7831254944820856E-4</v>
      </c>
      <c r="C24">
        <f t="shared" si="1"/>
        <v>9.7831254944820856E-4</v>
      </c>
      <c r="D24" t="s">
        <v>26</v>
      </c>
      <c r="E24" t="s">
        <v>21</v>
      </c>
      <c r="F24">
        <v>1</v>
      </c>
      <c r="G24">
        <f t="shared" si="6"/>
        <v>120</v>
      </c>
      <c r="I24">
        <v>2033</v>
      </c>
      <c r="J24" t="s">
        <v>25</v>
      </c>
      <c r="K24">
        <f t="shared" si="7"/>
        <v>122.5</v>
      </c>
      <c r="L24" cm="1">
        <f t="array" ref="L24">STOWA2024_JAARROND_T(A24*60,K24,I24,"L","")</f>
        <v>270.77461848896365</v>
      </c>
      <c r="M24">
        <f t="shared" si="8"/>
        <v>3.6931083333453518E-3</v>
      </c>
    </row>
    <row r="25" spans="1:13" x14ac:dyDescent="0.3">
      <c r="A25">
        <v>24</v>
      </c>
      <c r="B25">
        <f t="shared" si="5"/>
        <v>7.5186252794592944E-4</v>
      </c>
      <c r="C25">
        <f t="shared" si="1"/>
        <v>7.5186252794592944E-4</v>
      </c>
      <c r="D25" t="s">
        <v>26</v>
      </c>
      <c r="E25" t="s">
        <v>21</v>
      </c>
      <c r="F25">
        <v>1</v>
      </c>
      <c r="G25">
        <f t="shared" si="6"/>
        <v>125</v>
      </c>
      <c r="I25">
        <v>2033</v>
      </c>
      <c r="J25" t="s">
        <v>25</v>
      </c>
      <c r="K25">
        <f t="shared" si="7"/>
        <v>127.5</v>
      </c>
      <c r="L25" cm="1">
        <f t="array" ref="L25">STOWA2024_JAARROND_T(A25*60,K25,I25,"L","")</f>
        <v>339.99198508476906</v>
      </c>
      <c r="M25">
        <f t="shared" si="8"/>
        <v>2.9412458053994224E-3</v>
      </c>
    </row>
    <row r="26" spans="1:13" x14ac:dyDescent="0.3">
      <c r="A26">
        <v>24</v>
      </c>
      <c r="B26">
        <f t="shared" si="5"/>
        <v>5.8254585574200272E-4</v>
      </c>
      <c r="C26">
        <f t="shared" si="1"/>
        <v>5.8254585574200272E-4</v>
      </c>
      <c r="D26" t="s">
        <v>26</v>
      </c>
      <c r="E26" t="s">
        <v>21</v>
      </c>
      <c r="F26">
        <v>1</v>
      </c>
      <c r="G26">
        <f t="shared" si="6"/>
        <v>130</v>
      </c>
      <c r="I26">
        <v>2033</v>
      </c>
      <c r="J26" t="s">
        <v>25</v>
      </c>
      <c r="K26">
        <f t="shared" si="7"/>
        <v>132.5</v>
      </c>
      <c r="L26" cm="1">
        <f t="array" ref="L26">STOWA2024_JAARROND_T(A26*60,K26,I26,"L","")</f>
        <v>423.96236119191047</v>
      </c>
      <c r="M26">
        <f t="shared" si="8"/>
        <v>2.3586999496574197E-3</v>
      </c>
    </row>
    <row r="27" spans="1:13" x14ac:dyDescent="0.3">
      <c r="A27">
        <v>24</v>
      </c>
      <c r="B27">
        <f t="shared" si="5"/>
        <v>4.548097622576225E-4</v>
      </c>
      <c r="C27">
        <f t="shared" si="1"/>
        <v>4.548097622576225E-4</v>
      </c>
      <c r="D27" t="s">
        <v>26</v>
      </c>
      <c r="E27" t="s">
        <v>21</v>
      </c>
      <c r="F27">
        <v>1</v>
      </c>
      <c r="G27">
        <f t="shared" si="6"/>
        <v>135</v>
      </c>
      <c r="I27">
        <v>2033</v>
      </c>
      <c r="J27" t="s">
        <v>25</v>
      </c>
      <c r="K27">
        <f t="shared" si="7"/>
        <v>137.5</v>
      </c>
      <c r="L27" cm="1">
        <f t="array" ref="L27">STOWA2024_JAARROND_T(A27*60,K27,I27,"L","")</f>
        <v>525.24037710690209</v>
      </c>
      <c r="M27">
        <f t="shared" si="8"/>
        <v>1.9038901873997972E-3</v>
      </c>
    </row>
    <row r="28" spans="1:13" x14ac:dyDescent="0.3">
      <c r="A28">
        <v>24</v>
      </c>
      <c r="B28">
        <f t="shared" si="5"/>
        <v>3.5766894651190271E-4</v>
      </c>
      <c r="C28">
        <f t="shared" si="1"/>
        <v>3.5766894651190271E-4</v>
      </c>
      <c r="D28" t="s">
        <v>26</v>
      </c>
      <c r="E28" t="s">
        <v>21</v>
      </c>
      <c r="F28">
        <v>1</v>
      </c>
      <c r="G28">
        <f t="shared" si="6"/>
        <v>140</v>
      </c>
      <c r="I28">
        <v>2033</v>
      </c>
      <c r="J28" t="s">
        <v>25</v>
      </c>
      <c r="K28">
        <f t="shared" si="7"/>
        <v>142.5</v>
      </c>
      <c r="L28" cm="1">
        <f t="array" ref="L28">STOWA2024_JAARROND_T(A28*60,K28,I28,"L","")</f>
        <v>646.737978729205</v>
      </c>
      <c r="M28">
        <f t="shared" si="8"/>
        <v>1.5462212408878945E-3</v>
      </c>
    </row>
    <row r="29" spans="1:13" x14ac:dyDescent="0.3">
      <c r="A29">
        <v>24</v>
      </c>
      <c r="B29">
        <f t="shared" si="5"/>
        <v>2.831829426585197E-4</v>
      </c>
      <c r="C29">
        <f t="shared" si="1"/>
        <v>2.831829426585197E-4</v>
      </c>
      <c r="D29" t="s">
        <v>26</v>
      </c>
      <c r="E29" t="s">
        <v>21</v>
      </c>
      <c r="F29">
        <v>1</v>
      </c>
      <c r="G29">
        <f t="shared" si="6"/>
        <v>145</v>
      </c>
      <c r="I29">
        <v>2033</v>
      </c>
      <c r="J29" t="s">
        <v>25</v>
      </c>
      <c r="K29">
        <f t="shared" si="7"/>
        <v>147.5</v>
      </c>
      <c r="L29" cm="1">
        <f t="array" ref="L29">STOWA2024_JAARROND_T(A29*60,K29,I29,"L","")</f>
        <v>791.74162921415586</v>
      </c>
      <c r="M29">
        <f t="shared" si="8"/>
        <v>1.2630382982293748E-3</v>
      </c>
    </row>
    <row r="30" spans="1:13" x14ac:dyDescent="0.3">
      <c r="A30">
        <v>24</v>
      </c>
      <c r="B30">
        <f t="shared" si="5"/>
        <v>2.2565238639321171E-4</v>
      </c>
      <c r="C30">
        <f t="shared" si="1"/>
        <v>2.2565238639321171E-4</v>
      </c>
      <c r="D30" t="s">
        <v>26</v>
      </c>
      <c r="E30" t="s">
        <v>21</v>
      </c>
      <c r="F30">
        <v>1</v>
      </c>
      <c r="G30">
        <f t="shared" si="6"/>
        <v>150</v>
      </c>
      <c r="I30">
        <v>2033</v>
      </c>
      <c r="J30" t="s">
        <v>25</v>
      </c>
      <c r="K30">
        <f t="shared" si="7"/>
        <v>152.5</v>
      </c>
      <c r="L30" cm="1">
        <f t="array" ref="L30">STOWA2024_JAARROND_T(A30*60,K30,I30,"L","")</f>
        <v>963.96142321810567</v>
      </c>
      <c r="M30">
        <f t="shared" si="8"/>
        <v>1.037385911836163E-3</v>
      </c>
    </row>
    <row r="31" spans="1:13" x14ac:dyDescent="0.3">
      <c r="A31">
        <v>24</v>
      </c>
      <c r="B31">
        <f t="shared" si="5"/>
        <v>1.8090035561853278E-4</v>
      </c>
      <c r="C31">
        <f t="shared" si="1"/>
        <v>1.8090035561853278E-4</v>
      </c>
      <c r="D31" t="s">
        <v>26</v>
      </c>
      <c r="E31" t="s">
        <v>21</v>
      </c>
      <c r="F31">
        <v>1</v>
      </c>
      <c r="G31">
        <f t="shared" si="6"/>
        <v>155</v>
      </c>
      <c r="I31">
        <v>2033</v>
      </c>
      <c r="J31" t="s">
        <v>25</v>
      </c>
      <c r="K31">
        <f t="shared" si="7"/>
        <v>157.5</v>
      </c>
      <c r="L31" cm="1">
        <f t="array" ref="L31">STOWA2024_JAARROND_T(A31*60,K31,I31,"L","")</f>
        <v>1167.5620128565288</v>
      </c>
      <c r="M31">
        <f t="shared" si="8"/>
        <v>8.5648555621763026E-4</v>
      </c>
    </row>
    <row r="32" spans="1:13" x14ac:dyDescent="0.3">
      <c r="A32">
        <v>24</v>
      </c>
      <c r="B32" s="1">
        <f>M31</f>
        <v>8.5648555621763026E-4</v>
      </c>
      <c r="C32">
        <f t="shared" si="1"/>
        <v>8.5648555621763026E-4</v>
      </c>
      <c r="D32" t="s">
        <v>26</v>
      </c>
      <c r="E32" t="s">
        <v>21</v>
      </c>
      <c r="F32">
        <v>1</v>
      </c>
      <c r="G32">
        <f t="shared" si="6"/>
        <v>160</v>
      </c>
      <c r="I32">
        <v>2033</v>
      </c>
      <c r="J32" t="s">
        <v>25</v>
      </c>
      <c r="K32">
        <f>AVERAGE(G32:G33)</f>
        <v>85</v>
      </c>
      <c r="L32" cm="1">
        <f t="array" ref="L32">STOWA2024_JAARROND_T(A32*60,K32,I32,"L","")</f>
        <v>37.334471006829574</v>
      </c>
      <c r="M32">
        <f>1/L32</f>
        <v>2.6784898058876221E-2</v>
      </c>
    </row>
    <row r="33" spans="1:13" x14ac:dyDescent="0.3">
      <c r="A33">
        <v>48</v>
      </c>
      <c r="B33" s="1">
        <f>365.25*24/A33 - M33</f>
        <v>155.20408712165568</v>
      </c>
      <c r="C33">
        <f>B33</f>
        <v>155.20408712165568</v>
      </c>
      <c r="D33" t="s">
        <v>26</v>
      </c>
      <c r="E33" t="s">
        <v>21</v>
      </c>
      <c r="F33">
        <v>1</v>
      </c>
      <c r="G33">
        <v>10</v>
      </c>
      <c r="I33">
        <v>2033</v>
      </c>
      <c r="J33" t="s">
        <v>25</v>
      </c>
      <c r="K33">
        <f>AVERAGE(G33:G35)</f>
        <v>15</v>
      </c>
      <c r="L33" cm="1">
        <f t="array" ref="L33">STOWA2024_JAARROND_T(A33*60,K33,I33,"L","")</f>
        <v>3.6468515998595762E-2</v>
      </c>
      <c r="M33">
        <f>1/L33</f>
        <v>27.420912878344311</v>
      </c>
    </row>
    <row r="34" spans="1:13" x14ac:dyDescent="0.3">
      <c r="A34">
        <v>48</v>
      </c>
      <c r="B34">
        <f t="shared" ref="B34:B38" si="9">M33-M34</f>
        <v>7.1156976939700627</v>
      </c>
      <c r="C34">
        <f t="shared" ref="C34:C63" si="10">B34</f>
        <v>7.1156976939700627</v>
      </c>
      <c r="D34" t="s">
        <v>26</v>
      </c>
      <c r="E34" t="s">
        <v>21</v>
      </c>
      <c r="F34">
        <v>1</v>
      </c>
      <c r="G34">
        <f t="shared" ref="G34:G38" si="11">G33+5</f>
        <v>15</v>
      </c>
      <c r="I34">
        <v>2033</v>
      </c>
      <c r="J34" t="s">
        <v>25</v>
      </c>
      <c r="K34">
        <f t="shared" ref="K34:K38" si="12">AVERAGE(G34:G35)</f>
        <v>17.5</v>
      </c>
      <c r="L34" cm="1">
        <f t="array" ref="L34">STOWA2024_JAARROND_T(A34*60,K34,I34,"L","")</f>
        <v>4.9248431544303146E-2</v>
      </c>
      <c r="M34">
        <f t="shared" ref="M34:M38" si="13">1/L34</f>
        <v>20.305215184374248</v>
      </c>
    </row>
    <row r="35" spans="1:13" x14ac:dyDescent="0.3">
      <c r="A35">
        <v>48</v>
      </c>
      <c r="B35">
        <f t="shared" si="9"/>
        <v>8.8773061149079222</v>
      </c>
      <c r="C35">
        <f t="shared" si="10"/>
        <v>8.8773061149079222</v>
      </c>
      <c r="D35" t="s">
        <v>26</v>
      </c>
      <c r="E35" t="s">
        <v>21</v>
      </c>
      <c r="F35">
        <v>1</v>
      </c>
      <c r="G35">
        <f t="shared" si="11"/>
        <v>20</v>
      </c>
      <c r="I35">
        <v>2033</v>
      </c>
      <c r="J35" t="s">
        <v>25</v>
      </c>
      <c r="K35">
        <f t="shared" si="12"/>
        <v>22.5</v>
      </c>
      <c r="L35" cm="1">
        <f t="array" ref="L35">STOWA2024_JAARROND_T(A35*60,K35,I35,"L","")</f>
        <v>8.7505071480823329E-2</v>
      </c>
      <c r="M35">
        <f t="shared" si="13"/>
        <v>11.427909069466326</v>
      </c>
    </row>
    <row r="36" spans="1:13" x14ac:dyDescent="0.3">
      <c r="A36">
        <v>48</v>
      </c>
      <c r="B36">
        <f t="shared" si="9"/>
        <v>4.7902692203665902</v>
      </c>
      <c r="C36">
        <f t="shared" si="10"/>
        <v>4.7902692203665902</v>
      </c>
      <c r="D36" t="s">
        <v>26</v>
      </c>
      <c r="E36" t="s">
        <v>21</v>
      </c>
      <c r="F36">
        <v>1</v>
      </c>
      <c r="G36">
        <f t="shared" si="11"/>
        <v>25</v>
      </c>
      <c r="I36">
        <v>2033</v>
      </c>
      <c r="J36" t="s">
        <v>25</v>
      </c>
      <c r="K36">
        <f t="shared" si="12"/>
        <v>27.5</v>
      </c>
      <c r="L36" cm="1">
        <f t="array" ref="L36">STOWA2024_JAARROND_T(A36*60,K36,I36,"L","")</f>
        <v>0.15065595945758192</v>
      </c>
      <c r="M36">
        <f t="shared" si="13"/>
        <v>6.6376398490997355</v>
      </c>
    </row>
    <row r="37" spans="1:13" x14ac:dyDescent="0.3">
      <c r="A37">
        <v>48</v>
      </c>
      <c r="B37">
        <f t="shared" si="9"/>
        <v>2.6717969462082856</v>
      </c>
      <c r="C37">
        <f t="shared" si="10"/>
        <v>2.6717969462082856</v>
      </c>
      <c r="D37" t="s">
        <v>26</v>
      </c>
      <c r="E37" t="s">
        <v>21</v>
      </c>
      <c r="F37">
        <v>1</v>
      </c>
      <c r="G37">
        <f t="shared" si="11"/>
        <v>30</v>
      </c>
      <c r="I37">
        <v>2033</v>
      </c>
      <c r="J37" t="s">
        <v>25</v>
      </c>
      <c r="K37">
        <f t="shared" si="12"/>
        <v>32.5</v>
      </c>
      <c r="L37" cm="1">
        <f t="array" ref="L37">STOWA2024_JAARROND_T(A37*60,K37,I37,"L","")</f>
        <v>0.25215320538060437</v>
      </c>
      <c r="M37">
        <f t="shared" si="13"/>
        <v>3.9658429028914499</v>
      </c>
    </row>
    <row r="38" spans="1:13" x14ac:dyDescent="0.3">
      <c r="A38">
        <v>48</v>
      </c>
      <c r="B38">
        <f t="shared" si="9"/>
        <v>1.5352701872437904</v>
      </c>
      <c r="C38">
        <f t="shared" si="10"/>
        <v>1.5352701872437904</v>
      </c>
      <c r="D38" t="s">
        <v>26</v>
      </c>
      <c r="E38" t="s">
        <v>21</v>
      </c>
      <c r="F38">
        <v>1</v>
      </c>
      <c r="G38">
        <f t="shared" si="11"/>
        <v>35</v>
      </c>
      <c r="I38">
        <v>2033</v>
      </c>
      <c r="J38" t="s">
        <v>25</v>
      </c>
      <c r="K38">
        <f t="shared" si="12"/>
        <v>37.5</v>
      </c>
      <c r="L38" cm="1">
        <f t="array" ref="L38">STOWA2024_JAARROND_T(A38*60,K38,I38,"L","")</f>
        <v>0.41142566670075381</v>
      </c>
      <c r="M38">
        <f t="shared" si="13"/>
        <v>2.4305727156476595</v>
      </c>
    </row>
    <row r="39" spans="1:13" x14ac:dyDescent="0.3">
      <c r="A39">
        <v>48</v>
      </c>
      <c r="B39">
        <f>M38-M39</f>
        <v>0.90620292815879888</v>
      </c>
      <c r="C39">
        <f t="shared" si="10"/>
        <v>0.90620292815879888</v>
      </c>
      <c r="D39" t="s">
        <v>26</v>
      </c>
      <c r="E39" t="s">
        <v>21</v>
      </c>
      <c r="F39">
        <v>1</v>
      </c>
      <c r="G39">
        <f>G38+5</f>
        <v>40</v>
      </c>
      <c r="I39">
        <v>2033</v>
      </c>
      <c r="J39" t="s">
        <v>25</v>
      </c>
      <c r="K39">
        <f>AVERAGE(G39:G40)</f>
        <v>42.5</v>
      </c>
      <c r="L39" cm="1">
        <f t="array" ref="L39">STOWA2024_JAARROND_T(A39*60,K39,I39,"L","")</f>
        <v>0.65600880324932809</v>
      </c>
      <c r="M39">
        <f>1/L39</f>
        <v>1.5243697874888607</v>
      </c>
    </row>
    <row r="40" spans="1:13" x14ac:dyDescent="0.3">
      <c r="A40">
        <v>48</v>
      </c>
      <c r="B40">
        <f t="shared" ref="B40:B62" si="14">M39-M40</f>
        <v>0.54795779952655632</v>
      </c>
      <c r="C40">
        <f t="shared" si="10"/>
        <v>0.54795779952655632</v>
      </c>
      <c r="D40" t="s">
        <v>26</v>
      </c>
      <c r="E40" t="s">
        <v>21</v>
      </c>
      <c r="F40">
        <v>1</v>
      </c>
      <c r="G40">
        <f t="shared" ref="G40:G63" si="15">G39+5</f>
        <v>45</v>
      </c>
      <c r="I40">
        <v>2033</v>
      </c>
      <c r="J40" t="s">
        <v>25</v>
      </c>
      <c r="K40">
        <f t="shared" ref="K40:K62" si="16">AVERAGE(G40:G41)</f>
        <v>47.5</v>
      </c>
      <c r="L40" cm="1">
        <f t="array" ref="L40">STOWA2024_JAARROND_T(A40*60,K40,I40,"L","")</f>
        <v>1.0241578476385997</v>
      </c>
      <c r="M40">
        <f t="shared" ref="M40:M62" si="17">1/L40</f>
        <v>0.97641198796230433</v>
      </c>
    </row>
    <row r="41" spans="1:13" x14ac:dyDescent="0.3">
      <c r="A41">
        <v>48</v>
      </c>
      <c r="B41">
        <f t="shared" si="14"/>
        <v>0.33894253370518368</v>
      </c>
      <c r="C41">
        <f t="shared" si="10"/>
        <v>0.33894253370518368</v>
      </c>
      <c r="D41" t="s">
        <v>26</v>
      </c>
      <c r="E41" t="s">
        <v>21</v>
      </c>
      <c r="F41">
        <v>1</v>
      </c>
      <c r="G41">
        <f t="shared" si="15"/>
        <v>50</v>
      </c>
      <c r="I41">
        <v>2033</v>
      </c>
      <c r="J41" t="s">
        <v>25</v>
      </c>
      <c r="K41">
        <f t="shared" si="16"/>
        <v>52.5</v>
      </c>
      <c r="L41" cm="1">
        <f t="array" ref="L41">STOWA2024_JAARROND_T(A41*60,K41,I41,"L","")</f>
        <v>1.5687026151948831</v>
      </c>
      <c r="M41">
        <f t="shared" si="17"/>
        <v>0.63746945425712065</v>
      </c>
    </row>
    <row r="42" spans="1:13" x14ac:dyDescent="0.3">
      <c r="A42">
        <v>48</v>
      </c>
      <c r="B42">
        <f t="shared" si="14"/>
        <v>0.21390662910261127</v>
      </c>
      <c r="C42">
        <f t="shared" si="10"/>
        <v>0.21390662910261127</v>
      </c>
      <c r="D42" t="s">
        <v>26</v>
      </c>
      <c r="E42" t="s">
        <v>21</v>
      </c>
      <c r="F42">
        <v>1</v>
      </c>
      <c r="G42">
        <f t="shared" si="15"/>
        <v>55</v>
      </c>
      <c r="I42">
        <v>2033</v>
      </c>
      <c r="J42" t="s">
        <v>25</v>
      </c>
      <c r="K42">
        <f t="shared" si="16"/>
        <v>57.5</v>
      </c>
      <c r="L42" cm="1">
        <f t="array" ref="L42">STOWA2024_JAARROND_T(A42*60,K42,I42,"L","")</f>
        <v>2.3609248513138872</v>
      </c>
      <c r="M42">
        <f t="shared" si="17"/>
        <v>0.42356282515450938</v>
      </c>
    </row>
    <row r="43" spans="1:13" x14ac:dyDescent="0.3">
      <c r="A43">
        <v>48</v>
      </c>
      <c r="B43">
        <f t="shared" si="14"/>
        <v>0.13753306569233698</v>
      </c>
      <c r="C43">
        <f t="shared" si="10"/>
        <v>0.13753306569233698</v>
      </c>
      <c r="D43" t="s">
        <v>26</v>
      </c>
      <c r="E43" t="s">
        <v>21</v>
      </c>
      <c r="F43">
        <v>1</v>
      </c>
      <c r="G43">
        <f t="shared" si="15"/>
        <v>60</v>
      </c>
      <c r="I43">
        <v>2033</v>
      </c>
      <c r="J43" t="s">
        <v>25</v>
      </c>
      <c r="K43">
        <f t="shared" si="16"/>
        <v>62.5</v>
      </c>
      <c r="L43" cm="1">
        <f t="array" ref="L43">STOWA2024_JAARROND_T(A43*60,K43,I43,"L","")</f>
        <v>3.4961397089600763</v>
      </c>
      <c r="M43">
        <f t="shared" si="17"/>
        <v>0.28602975946217241</v>
      </c>
    </row>
    <row r="44" spans="1:13" x14ac:dyDescent="0.3">
      <c r="A44">
        <v>48</v>
      </c>
      <c r="B44">
        <f t="shared" si="14"/>
        <v>8.9962235549275182E-2</v>
      </c>
      <c r="C44">
        <f t="shared" si="10"/>
        <v>8.9962235549275182E-2</v>
      </c>
      <c r="D44" t="s">
        <v>26</v>
      </c>
      <c r="E44" t="s">
        <v>21</v>
      </c>
      <c r="F44">
        <v>1</v>
      </c>
      <c r="G44">
        <f t="shared" si="15"/>
        <v>65</v>
      </c>
      <c r="I44">
        <v>2033</v>
      </c>
      <c r="J44" t="s">
        <v>25</v>
      </c>
      <c r="K44">
        <f t="shared" si="16"/>
        <v>67.5</v>
      </c>
      <c r="L44" cm="1">
        <f t="array" ref="L44">STOWA2024_JAARROND_T(A44*60,K44,I44,"L","")</f>
        <v>5.1002837188082655</v>
      </c>
      <c r="M44">
        <f t="shared" si="17"/>
        <v>0.19606752391289722</v>
      </c>
    </row>
    <row r="45" spans="1:13" x14ac:dyDescent="0.3">
      <c r="A45">
        <v>48</v>
      </c>
      <c r="B45">
        <f t="shared" si="14"/>
        <v>5.9791452722318811E-2</v>
      </c>
      <c r="C45">
        <f t="shared" si="10"/>
        <v>5.9791452722318811E-2</v>
      </c>
      <c r="D45" t="s">
        <v>26</v>
      </c>
      <c r="E45" t="s">
        <v>21</v>
      </c>
      <c r="F45">
        <v>1</v>
      </c>
      <c r="G45">
        <f t="shared" si="15"/>
        <v>70</v>
      </c>
      <c r="I45">
        <v>2033</v>
      </c>
      <c r="J45" t="s">
        <v>25</v>
      </c>
      <c r="K45">
        <f t="shared" si="16"/>
        <v>72.5</v>
      </c>
      <c r="L45" cm="1">
        <f t="array" ref="L45">STOWA2024_JAARROND_T(A45*60,K45,I45,"L","")</f>
        <v>7.3380454195918734</v>
      </c>
      <c r="M45">
        <f t="shared" si="17"/>
        <v>0.13627607119057841</v>
      </c>
    </row>
    <row r="46" spans="1:13" x14ac:dyDescent="0.3">
      <c r="A46">
        <v>48</v>
      </c>
      <c r="B46">
        <f t="shared" si="14"/>
        <v>4.0329029739231789E-2</v>
      </c>
      <c r="C46">
        <f t="shared" si="10"/>
        <v>4.0329029739231789E-2</v>
      </c>
      <c r="D46" t="s">
        <v>26</v>
      </c>
      <c r="E46" t="s">
        <v>21</v>
      </c>
      <c r="F46">
        <v>1</v>
      </c>
      <c r="G46">
        <f t="shared" si="15"/>
        <v>75</v>
      </c>
      <c r="I46">
        <v>2033</v>
      </c>
      <c r="J46" t="s">
        <v>25</v>
      </c>
      <c r="K46">
        <f t="shared" si="16"/>
        <v>77.5</v>
      </c>
      <c r="L46" cm="1">
        <f t="array" ref="L46">STOWA2024_JAARROND_T(A46*60,K46,I46,"L","")</f>
        <v>10.422416208707027</v>
      </c>
      <c r="M46">
        <f t="shared" si="17"/>
        <v>9.5947041451346624E-2</v>
      </c>
    </row>
    <row r="47" spans="1:13" x14ac:dyDescent="0.3">
      <c r="A47">
        <v>48</v>
      </c>
      <c r="B47">
        <f t="shared" si="14"/>
        <v>2.7578787821372089E-2</v>
      </c>
      <c r="C47">
        <f t="shared" si="10"/>
        <v>2.7578787821372089E-2</v>
      </c>
      <c r="D47" t="s">
        <v>26</v>
      </c>
      <c r="E47" t="s">
        <v>21</v>
      </c>
      <c r="F47">
        <v>1</v>
      </c>
      <c r="G47">
        <f t="shared" si="15"/>
        <v>80</v>
      </c>
      <c r="I47">
        <v>2033</v>
      </c>
      <c r="J47" t="s">
        <v>25</v>
      </c>
      <c r="K47">
        <f t="shared" si="16"/>
        <v>82.5</v>
      </c>
      <c r="L47" cm="1">
        <f t="array" ref="L47">STOWA2024_JAARROND_T(A47*60,K47,I47,"L","")</f>
        <v>14.62667169198501</v>
      </c>
      <c r="M47">
        <f t="shared" si="17"/>
        <v>6.8368253629974535E-2</v>
      </c>
    </row>
    <row r="48" spans="1:13" x14ac:dyDescent="0.3">
      <c r="A48">
        <v>48</v>
      </c>
      <c r="B48">
        <f t="shared" si="14"/>
        <v>1.9103157772280076E-2</v>
      </c>
      <c r="C48">
        <f t="shared" si="10"/>
        <v>1.9103157772280076E-2</v>
      </c>
      <c r="D48" t="s">
        <v>26</v>
      </c>
      <c r="E48" t="s">
        <v>21</v>
      </c>
      <c r="F48">
        <v>1</v>
      </c>
      <c r="G48">
        <f t="shared" si="15"/>
        <v>85</v>
      </c>
      <c r="I48">
        <v>2033</v>
      </c>
      <c r="J48" t="s">
        <v>25</v>
      </c>
      <c r="K48">
        <f t="shared" si="16"/>
        <v>87.5</v>
      </c>
      <c r="L48" cm="1">
        <f t="array" ref="L48">STOWA2024_JAARROND_T(A48*60,K48,I48,"L","")</f>
        <v>20.298346782650484</v>
      </c>
      <c r="M48">
        <f t="shared" si="17"/>
        <v>4.9265095857694459E-2</v>
      </c>
    </row>
    <row r="49" spans="1:13" x14ac:dyDescent="0.3">
      <c r="A49">
        <v>48</v>
      </c>
      <c r="B49">
        <f t="shared" si="14"/>
        <v>1.339079359645165E-2</v>
      </c>
      <c r="C49">
        <f t="shared" si="10"/>
        <v>1.339079359645165E-2</v>
      </c>
      <c r="D49" t="s">
        <v>26</v>
      </c>
      <c r="E49" t="s">
        <v>21</v>
      </c>
      <c r="F49">
        <v>1</v>
      </c>
      <c r="G49">
        <f t="shared" si="15"/>
        <v>90</v>
      </c>
      <c r="I49">
        <v>2033</v>
      </c>
      <c r="J49" t="s">
        <v>25</v>
      </c>
      <c r="K49">
        <f t="shared" si="16"/>
        <v>92.5</v>
      </c>
      <c r="L49" cm="1">
        <f t="array" ref="L49">STOWA2024_JAARROND_T(A49*60,K49,I49,"L","")</f>
        <v>27.875106607449222</v>
      </c>
      <c r="M49">
        <f t="shared" si="17"/>
        <v>3.5874302261242809E-2</v>
      </c>
    </row>
    <row r="50" spans="1:13" x14ac:dyDescent="0.3">
      <c r="A50">
        <v>48</v>
      </c>
      <c r="B50">
        <f t="shared" si="14"/>
        <v>9.4927716954763333E-3</v>
      </c>
      <c r="C50">
        <f t="shared" si="10"/>
        <v>9.4927716954763333E-3</v>
      </c>
      <c r="D50" t="s">
        <v>26</v>
      </c>
      <c r="E50" t="s">
        <v>21</v>
      </c>
      <c r="F50">
        <v>1</v>
      </c>
      <c r="G50">
        <f t="shared" si="15"/>
        <v>95</v>
      </c>
      <c r="I50">
        <v>2033</v>
      </c>
      <c r="J50" t="s">
        <v>25</v>
      </c>
      <c r="K50">
        <f t="shared" si="16"/>
        <v>97.5</v>
      </c>
      <c r="L50" cm="1">
        <f t="array" ref="L50">STOWA2024_JAARROND_T(A50*60,K50,I50,"L","")</f>
        <v>37.905306422881779</v>
      </c>
      <c r="M50">
        <f t="shared" si="17"/>
        <v>2.6381530565766476E-2</v>
      </c>
    </row>
    <row r="51" spans="1:13" x14ac:dyDescent="0.3">
      <c r="A51">
        <v>48</v>
      </c>
      <c r="B51">
        <f t="shared" si="14"/>
        <v>6.8006639275043426E-3</v>
      </c>
      <c r="C51">
        <f t="shared" si="10"/>
        <v>6.8006639275043426E-3</v>
      </c>
      <c r="D51" t="s">
        <v>26</v>
      </c>
      <c r="E51" t="s">
        <v>21</v>
      </c>
      <c r="F51">
        <v>1</v>
      </c>
      <c r="G51">
        <f t="shared" si="15"/>
        <v>100</v>
      </c>
      <c r="I51">
        <v>2033</v>
      </c>
      <c r="J51" t="s">
        <v>25</v>
      </c>
      <c r="K51">
        <f t="shared" si="16"/>
        <v>102.5</v>
      </c>
      <c r="L51" cm="1">
        <f t="array" ref="L51">STOWA2024_JAARROND_T(A51*60,K51,I51,"L","")</f>
        <v>51.070262541186139</v>
      </c>
      <c r="M51">
        <f t="shared" si="17"/>
        <v>1.9580866638262133E-2</v>
      </c>
    </row>
    <row r="52" spans="1:13" x14ac:dyDescent="0.3">
      <c r="A52">
        <v>48</v>
      </c>
      <c r="B52">
        <f t="shared" si="14"/>
        <v>4.920388997278969E-3</v>
      </c>
      <c r="C52">
        <f t="shared" si="10"/>
        <v>4.920388997278969E-3</v>
      </c>
      <c r="D52" t="s">
        <v>26</v>
      </c>
      <c r="E52" t="s">
        <v>21</v>
      </c>
      <c r="F52">
        <v>1</v>
      </c>
      <c r="G52">
        <f t="shared" si="15"/>
        <v>105</v>
      </c>
      <c r="I52">
        <v>2033</v>
      </c>
      <c r="J52" t="s">
        <v>25</v>
      </c>
      <c r="K52">
        <f t="shared" si="16"/>
        <v>107.5</v>
      </c>
      <c r="L52" cm="1">
        <f t="array" ref="L52">STOWA2024_JAARROND_T(A52*60,K52,I52,"L","")</f>
        <v>68.210601624909799</v>
      </c>
      <c r="M52">
        <f t="shared" si="17"/>
        <v>1.4660477640983164E-2</v>
      </c>
    </row>
    <row r="53" spans="1:13" x14ac:dyDescent="0.3">
      <c r="A53">
        <v>48</v>
      </c>
      <c r="B53">
        <f t="shared" si="14"/>
        <v>3.5935507520242927E-3</v>
      </c>
      <c r="C53">
        <f t="shared" si="10"/>
        <v>3.5935507520242927E-3</v>
      </c>
      <c r="D53" t="s">
        <v>26</v>
      </c>
      <c r="E53" t="s">
        <v>21</v>
      </c>
      <c r="F53">
        <v>1</v>
      </c>
      <c r="G53">
        <f t="shared" si="15"/>
        <v>110</v>
      </c>
      <c r="I53">
        <v>2033</v>
      </c>
      <c r="J53" t="s">
        <v>25</v>
      </c>
      <c r="K53">
        <f t="shared" si="16"/>
        <v>112.5</v>
      </c>
      <c r="L53" cm="1">
        <f t="array" ref="L53">STOWA2024_JAARROND_T(A53*60,K53,I53,"L","")</f>
        <v>90.35932106840508</v>
      </c>
      <c r="M53">
        <f t="shared" si="17"/>
        <v>1.1066926888958871E-2</v>
      </c>
    </row>
    <row r="54" spans="1:13" x14ac:dyDescent="0.3">
      <c r="A54">
        <v>48</v>
      </c>
      <c r="B54">
        <f t="shared" si="14"/>
        <v>2.6476344641054236E-3</v>
      </c>
      <c r="C54">
        <f t="shared" si="10"/>
        <v>2.6476344641054236E-3</v>
      </c>
      <c r="D54" t="s">
        <v>26</v>
      </c>
      <c r="E54" t="s">
        <v>21</v>
      </c>
      <c r="F54">
        <v>1</v>
      </c>
      <c r="G54">
        <f t="shared" si="15"/>
        <v>115</v>
      </c>
      <c r="I54">
        <v>2033</v>
      </c>
      <c r="J54" t="s">
        <v>25</v>
      </c>
      <c r="K54">
        <f t="shared" si="16"/>
        <v>117.5</v>
      </c>
      <c r="L54" cm="1">
        <f t="array" ref="L54">STOWA2024_JAARROND_T(A54*60,K54,I54,"L","")</f>
        <v>118.77482685457463</v>
      </c>
      <c r="M54">
        <f t="shared" si="17"/>
        <v>8.4192924248534477E-3</v>
      </c>
    </row>
    <row r="55" spans="1:13" x14ac:dyDescent="0.3">
      <c r="A55">
        <v>48</v>
      </c>
      <c r="B55">
        <f t="shared" si="14"/>
        <v>1.966974619103847E-3</v>
      </c>
      <c r="C55">
        <f t="shared" si="10"/>
        <v>1.966974619103847E-3</v>
      </c>
      <c r="D55" t="s">
        <v>26</v>
      </c>
      <c r="E55" t="s">
        <v>21</v>
      </c>
      <c r="F55">
        <v>1</v>
      </c>
      <c r="G55">
        <f t="shared" si="15"/>
        <v>120</v>
      </c>
      <c r="I55">
        <v>2033</v>
      </c>
      <c r="J55" t="s">
        <v>25</v>
      </c>
      <c r="K55">
        <f t="shared" si="16"/>
        <v>122.5</v>
      </c>
      <c r="L55" cm="1">
        <f t="array" ref="L55">STOWA2024_JAARROND_T(A55*60,K55,I55,"L","")</f>
        <v>154.98306656701089</v>
      </c>
      <c r="M55">
        <f t="shared" si="17"/>
        <v>6.4523178057496007E-3</v>
      </c>
    </row>
    <row r="56" spans="1:13" x14ac:dyDescent="0.3">
      <c r="A56">
        <v>48</v>
      </c>
      <c r="B56">
        <f t="shared" si="14"/>
        <v>1.4729448079557443E-3</v>
      </c>
      <c r="C56">
        <f t="shared" si="10"/>
        <v>1.4729448079557443E-3</v>
      </c>
      <c r="D56" t="s">
        <v>26</v>
      </c>
      <c r="E56" t="s">
        <v>21</v>
      </c>
      <c r="F56">
        <v>1</v>
      </c>
      <c r="G56">
        <f t="shared" si="15"/>
        <v>125</v>
      </c>
      <c r="I56">
        <v>2033</v>
      </c>
      <c r="J56" t="s">
        <v>25</v>
      </c>
      <c r="K56">
        <f t="shared" si="16"/>
        <v>127.5</v>
      </c>
      <c r="L56" cm="1">
        <f t="array" ref="L56">STOWA2024_JAARROND_T(A56*60,K56,I56,"L","")</f>
        <v>200.82849797415389</v>
      </c>
      <c r="M56">
        <f t="shared" si="17"/>
        <v>4.9793729977938564E-3</v>
      </c>
    </row>
    <row r="57" spans="1:13" x14ac:dyDescent="0.3">
      <c r="A57">
        <v>48</v>
      </c>
      <c r="B57">
        <f t="shared" si="14"/>
        <v>1.111214986702106E-3</v>
      </c>
      <c r="C57">
        <f t="shared" si="10"/>
        <v>1.111214986702106E-3</v>
      </c>
      <c r="D57" t="s">
        <v>26</v>
      </c>
      <c r="E57" t="s">
        <v>21</v>
      </c>
      <c r="F57">
        <v>1</v>
      </c>
      <c r="G57">
        <f t="shared" si="15"/>
        <v>130</v>
      </c>
      <c r="I57">
        <v>2033</v>
      </c>
      <c r="J57" t="s">
        <v>25</v>
      </c>
      <c r="K57">
        <f t="shared" si="16"/>
        <v>132.5</v>
      </c>
      <c r="L57" cm="1">
        <f t="array" ref="L57">STOWA2024_JAARROND_T(A57*60,K57,I57,"L","")</f>
        <v>258.52098004594171</v>
      </c>
      <c r="M57">
        <f t="shared" si="17"/>
        <v>3.8681580110917504E-3</v>
      </c>
    </row>
    <row r="58" spans="1:13" x14ac:dyDescent="0.3">
      <c r="A58">
        <v>48</v>
      </c>
      <c r="B58">
        <f t="shared" si="14"/>
        <v>8.4431696384447202E-4</v>
      </c>
      <c r="C58">
        <f t="shared" si="10"/>
        <v>8.4431696384447202E-4</v>
      </c>
      <c r="D58" t="s">
        <v>26</v>
      </c>
      <c r="E58" t="s">
        <v>21</v>
      </c>
      <c r="F58">
        <v>1</v>
      </c>
      <c r="G58">
        <f t="shared" si="15"/>
        <v>135</v>
      </c>
      <c r="I58">
        <v>2033</v>
      </c>
      <c r="J58" t="s">
        <v>25</v>
      </c>
      <c r="K58">
        <f t="shared" si="16"/>
        <v>137.5</v>
      </c>
      <c r="L58" cm="1">
        <f t="array" ref="L58">STOWA2024_JAARROND_T(A58*60,K58,I58,"L","")</f>
        <v>330.70521379102894</v>
      </c>
      <c r="M58">
        <f t="shared" si="17"/>
        <v>3.0238410472472783E-3</v>
      </c>
    </row>
    <row r="59" spans="1:13" x14ac:dyDescent="0.3">
      <c r="A59">
        <v>48</v>
      </c>
      <c r="B59">
        <f t="shared" si="14"/>
        <v>6.4588382176822149E-4</v>
      </c>
      <c r="C59">
        <f t="shared" si="10"/>
        <v>6.4588382176822149E-4</v>
      </c>
      <c r="D59" t="s">
        <v>26</v>
      </c>
      <c r="E59" t="s">
        <v>21</v>
      </c>
      <c r="F59">
        <v>1</v>
      </c>
      <c r="G59">
        <f t="shared" si="15"/>
        <v>140</v>
      </c>
      <c r="I59">
        <v>2033</v>
      </c>
      <c r="J59" t="s">
        <v>25</v>
      </c>
      <c r="K59">
        <f t="shared" si="16"/>
        <v>142.5</v>
      </c>
      <c r="L59" cm="1">
        <f t="array" ref="L59">STOWA2024_JAARROND_T(A59*60,K59,I59,"L","")</f>
        <v>420.52901090285286</v>
      </c>
      <c r="M59">
        <f t="shared" si="17"/>
        <v>2.3779572254790569E-3</v>
      </c>
    </row>
    <row r="60" spans="1:13" x14ac:dyDescent="0.3">
      <c r="A60">
        <v>48</v>
      </c>
      <c r="B60">
        <f t="shared" si="14"/>
        <v>4.9724620724876092E-4</v>
      </c>
      <c r="C60">
        <f t="shared" si="10"/>
        <v>4.9724620724876092E-4</v>
      </c>
      <c r="D60" t="s">
        <v>26</v>
      </c>
      <c r="E60" t="s">
        <v>21</v>
      </c>
      <c r="F60">
        <v>1</v>
      </c>
      <c r="G60">
        <f t="shared" si="15"/>
        <v>145</v>
      </c>
      <c r="I60">
        <v>2033</v>
      </c>
      <c r="J60" t="s">
        <v>25</v>
      </c>
      <c r="K60">
        <f t="shared" si="16"/>
        <v>147.5</v>
      </c>
      <c r="L60" cm="1">
        <f t="array" ref="L60">STOWA2024_JAARROND_T(A60*60,K60,I60,"L","")</f>
        <v>531.71379882751796</v>
      </c>
      <c r="M60">
        <f t="shared" si="17"/>
        <v>1.8807110182302959E-3</v>
      </c>
    </row>
    <row r="61" spans="1:13" x14ac:dyDescent="0.3">
      <c r="A61">
        <v>48</v>
      </c>
      <c r="B61">
        <f t="shared" si="14"/>
        <v>3.8517762070942657E-4</v>
      </c>
      <c r="C61">
        <f t="shared" si="10"/>
        <v>3.8517762070942657E-4</v>
      </c>
      <c r="D61" t="s">
        <v>26</v>
      </c>
      <c r="E61" t="s">
        <v>21</v>
      </c>
      <c r="F61">
        <v>1</v>
      </c>
      <c r="G61">
        <f t="shared" si="15"/>
        <v>150</v>
      </c>
      <c r="I61">
        <v>2033</v>
      </c>
      <c r="J61" t="s">
        <v>25</v>
      </c>
      <c r="K61">
        <f t="shared" si="16"/>
        <v>152.5</v>
      </c>
      <c r="L61" cm="1">
        <f t="array" ref="L61">STOWA2024_JAARROND_T(A61*60,K61,I61,"L","")</f>
        <v>668.65775224925767</v>
      </c>
      <c r="M61">
        <f t="shared" si="17"/>
        <v>1.4955333975208694E-3</v>
      </c>
    </row>
    <row r="62" spans="1:13" x14ac:dyDescent="0.3">
      <c r="A62">
        <v>48</v>
      </c>
      <c r="B62">
        <f t="shared" si="14"/>
        <v>3.001157288495147E-4</v>
      </c>
      <c r="C62">
        <f t="shared" si="10"/>
        <v>3.001157288495147E-4</v>
      </c>
      <c r="D62" t="s">
        <v>26</v>
      </c>
      <c r="E62" t="s">
        <v>21</v>
      </c>
      <c r="F62">
        <v>1</v>
      </c>
      <c r="G62">
        <f t="shared" si="15"/>
        <v>155</v>
      </c>
      <c r="I62">
        <v>2033</v>
      </c>
      <c r="J62" t="s">
        <v>25</v>
      </c>
      <c r="K62">
        <f t="shared" si="16"/>
        <v>157.5</v>
      </c>
      <c r="L62" cm="1">
        <f t="array" ref="L62">STOWA2024_JAARROND_T(A62*60,K62,I62,"L","")</f>
        <v>836.52770592846321</v>
      </c>
      <c r="M62">
        <f t="shared" si="17"/>
        <v>1.1954176686713547E-3</v>
      </c>
    </row>
    <row r="63" spans="1:13" x14ac:dyDescent="0.3">
      <c r="A63">
        <v>48</v>
      </c>
      <c r="B63" s="1">
        <f>M62</f>
        <v>1.1954176686713547E-3</v>
      </c>
      <c r="C63">
        <f t="shared" si="10"/>
        <v>1.1954176686713547E-3</v>
      </c>
      <c r="D63" t="s">
        <v>26</v>
      </c>
      <c r="E63" t="s">
        <v>21</v>
      </c>
      <c r="F63">
        <v>1</v>
      </c>
      <c r="G63">
        <f t="shared" si="15"/>
        <v>160</v>
      </c>
      <c r="I63">
        <v>2033</v>
      </c>
      <c r="J63" t="s">
        <v>25</v>
      </c>
      <c r="K63">
        <f>AVERAGE(G63:G64)</f>
        <v>85</v>
      </c>
      <c r="L63" cm="1">
        <f t="array" ref="L63">STOWA2024_JAARROND_T(A63*60,K63,I63,"L","")</f>
        <v>17.254142880471608</v>
      </c>
      <c r="M63">
        <f>1/L63</f>
        <v>5.79570951120272E-2</v>
      </c>
    </row>
    <row r="64" spans="1:13" x14ac:dyDescent="0.3">
      <c r="A64">
        <v>96</v>
      </c>
      <c r="B64" s="1">
        <f>365.25*24/A64 - M64</f>
        <v>49.289315817553565</v>
      </c>
      <c r="C64">
        <f>B64</f>
        <v>49.289315817553565</v>
      </c>
      <c r="D64" t="s">
        <v>26</v>
      </c>
      <c r="E64" t="s">
        <v>21</v>
      </c>
      <c r="F64">
        <v>1</v>
      </c>
      <c r="G64">
        <v>10</v>
      </c>
      <c r="I64">
        <v>2033</v>
      </c>
      <c r="J64" t="s">
        <v>25</v>
      </c>
      <c r="K64">
        <f>AVERAGE(G64:G66)</f>
        <v>15</v>
      </c>
      <c r="L64" cm="1">
        <f t="array" ref="L64">STOWA2024_JAARROND_T(A64*60,K64,I64,"L","")</f>
        <v>2.3796388099922027E-2</v>
      </c>
      <c r="M64">
        <f>1/L64</f>
        <v>42.023184182446435</v>
      </c>
    </row>
    <row r="65" spans="1:13" x14ac:dyDescent="0.3">
      <c r="A65">
        <v>96</v>
      </c>
      <c r="B65">
        <f t="shared" ref="B65:B69" si="18">M64-M65</f>
        <v>8.5169818942926128</v>
      </c>
      <c r="C65">
        <f t="shared" ref="C65:C94" si="19">B65</f>
        <v>8.5169818942926128</v>
      </c>
      <c r="D65" t="s">
        <v>26</v>
      </c>
      <c r="E65" t="s">
        <v>21</v>
      </c>
      <c r="F65">
        <v>1</v>
      </c>
      <c r="G65">
        <f t="shared" ref="G65:G69" si="20">G64+5</f>
        <v>15</v>
      </c>
      <c r="I65">
        <v>2033</v>
      </c>
      <c r="J65" t="s">
        <v>25</v>
      </c>
      <c r="K65">
        <f t="shared" ref="K65:K69" si="21">AVERAGE(G65:G66)</f>
        <v>17.5</v>
      </c>
      <c r="L65" cm="1">
        <f t="array" ref="L65">STOWA2024_JAARROND_T(A65*60,K65,I65,"L","")</f>
        <v>2.9845220637062523E-2</v>
      </c>
      <c r="M65">
        <f t="shared" ref="M65:M69" si="22">1/L65</f>
        <v>33.506202288153823</v>
      </c>
    </row>
    <row r="66" spans="1:13" x14ac:dyDescent="0.3">
      <c r="A66">
        <v>96</v>
      </c>
      <c r="B66">
        <f t="shared" si="18"/>
        <v>12.032160963641171</v>
      </c>
      <c r="C66">
        <f t="shared" si="19"/>
        <v>12.032160963641171</v>
      </c>
      <c r="D66" t="s">
        <v>26</v>
      </c>
      <c r="E66" t="s">
        <v>21</v>
      </c>
      <c r="F66">
        <v>1</v>
      </c>
      <c r="G66">
        <f t="shared" si="20"/>
        <v>20</v>
      </c>
      <c r="I66">
        <v>2033</v>
      </c>
      <c r="J66" t="s">
        <v>25</v>
      </c>
      <c r="K66">
        <f t="shared" si="21"/>
        <v>22.5</v>
      </c>
      <c r="L66" cm="1">
        <f t="array" ref="L66">STOWA2024_JAARROND_T(A66*60,K66,I66,"L","")</f>
        <v>4.6567853013233164E-2</v>
      </c>
      <c r="M66">
        <f t="shared" si="22"/>
        <v>21.474041324512651</v>
      </c>
    </row>
    <row r="67" spans="1:13" x14ac:dyDescent="0.3">
      <c r="A67">
        <v>96</v>
      </c>
      <c r="B67">
        <f t="shared" si="18"/>
        <v>7.5678336981922829</v>
      </c>
      <c r="C67">
        <f t="shared" si="19"/>
        <v>7.5678336981922829</v>
      </c>
      <c r="D67" t="s">
        <v>26</v>
      </c>
      <c r="E67" t="s">
        <v>21</v>
      </c>
      <c r="F67">
        <v>1</v>
      </c>
      <c r="G67">
        <f t="shared" si="20"/>
        <v>25</v>
      </c>
      <c r="I67">
        <v>2033</v>
      </c>
      <c r="J67" t="s">
        <v>25</v>
      </c>
      <c r="K67">
        <f t="shared" si="21"/>
        <v>27.5</v>
      </c>
      <c r="L67" cm="1">
        <f t="array" ref="L67">STOWA2024_JAARROND_T(A67*60,K67,I67,"L","")</f>
        <v>7.191033147723852E-2</v>
      </c>
      <c r="M67">
        <f t="shared" si="22"/>
        <v>13.906207626320368</v>
      </c>
    </row>
    <row r="68" spans="1:13" x14ac:dyDescent="0.3">
      <c r="A68">
        <v>96</v>
      </c>
      <c r="B68">
        <f t="shared" si="18"/>
        <v>4.8113403890527664</v>
      </c>
      <c r="C68">
        <f t="shared" si="19"/>
        <v>4.8113403890527664</v>
      </c>
      <c r="D68" t="s">
        <v>26</v>
      </c>
      <c r="E68" t="s">
        <v>21</v>
      </c>
      <c r="F68">
        <v>1</v>
      </c>
      <c r="G68">
        <f t="shared" si="20"/>
        <v>30</v>
      </c>
      <c r="I68">
        <v>2033</v>
      </c>
      <c r="J68" t="s">
        <v>25</v>
      </c>
      <c r="K68">
        <f t="shared" si="21"/>
        <v>32.5</v>
      </c>
      <c r="L68" cm="1">
        <f t="array" ref="L68">STOWA2024_JAARROND_T(A68*60,K68,I68,"L","")</f>
        <v>0.10995212727266077</v>
      </c>
      <c r="M68">
        <f t="shared" si="22"/>
        <v>9.0948672372676018</v>
      </c>
    </row>
    <row r="69" spans="1:13" x14ac:dyDescent="0.3">
      <c r="A69">
        <v>96</v>
      </c>
      <c r="B69">
        <f t="shared" si="18"/>
        <v>3.0901448335848762</v>
      </c>
      <c r="C69">
        <f t="shared" si="19"/>
        <v>3.0901448335848762</v>
      </c>
      <c r="D69" t="s">
        <v>26</v>
      </c>
      <c r="E69" t="s">
        <v>21</v>
      </c>
      <c r="F69">
        <v>1</v>
      </c>
      <c r="G69">
        <f t="shared" si="20"/>
        <v>35</v>
      </c>
      <c r="I69">
        <v>2033</v>
      </c>
      <c r="J69" t="s">
        <v>25</v>
      </c>
      <c r="K69">
        <f t="shared" si="21"/>
        <v>37.5</v>
      </c>
      <c r="L69" cm="1">
        <f t="array" ref="L69">STOWA2024_JAARROND_T(A69*60,K69,I69,"L","")</f>
        <v>0.16653559195121079</v>
      </c>
      <c r="M69">
        <f t="shared" si="22"/>
        <v>6.0047224036827256</v>
      </c>
    </row>
    <row r="70" spans="1:13" x14ac:dyDescent="0.3">
      <c r="A70">
        <v>96</v>
      </c>
      <c r="B70">
        <f>M69-M70</f>
        <v>2.0042401017313818</v>
      </c>
      <c r="C70">
        <f t="shared" si="19"/>
        <v>2.0042401017313818</v>
      </c>
      <c r="D70" t="s">
        <v>26</v>
      </c>
      <c r="E70" t="s">
        <v>21</v>
      </c>
      <c r="F70">
        <v>1</v>
      </c>
      <c r="G70">
        <f>G69+5</f>
        <v>40</v>
      </c>
      <c r="I70">
        <v>2033</v>
      </c>
      <c r="J70" t="s">
        <v>25</v>
      </c>
      <c r="K70">
        <f>AVERAGE(G70:G71)</f>
        <v>42.5</v>
      </c>
      <c r="L70" cm="1">
        <f t="array" ref="L70">STOWA2024_JAARROND_T(A70*60,K70,I70,"L","")</f>
        <v>0.24996985976221489</v>
      </c>
      <c r="M70">
        <f>1/L70</f>
        <v>4.0004823019513438</v>
      </c>
    </row>
    <row r="71" spans="1:13" x14ac:dyDescent="0.3">
      <c r="A71">
        <v>96</v>
      </c>
      <c r="B71">
        <f t="shared" ref="B71:B93" si="23">M70-M71</f>
        <v>1.3120713610277033</v>
      </c>
      <c r="C71">
        <f t="shared" si="19"/>
        <v>1.3120713610277033</v>
      </c>
      <c r="D71" t="s">
        <v>26</v>
      </c>
      <c r="E71" t="s">
        <v>21</v>
      </c>
      <c r="F71">
        <v>1</v>
      </c>
      <c r="G71">
        <f t="shared" ref="G71:G94" si="24">G70+5</f>
        <v>45</v>
      </c>
      <c r="I71">
        <v>2033</v>
      </c>
      <c r="J71" t="s">
        <v>25</v>
      </c>
      <c r="K71">
        <f t="shared" ref="K71:K93" si="25">AVERAGE(G71:G72)</f>
        <v>47.5</v>
      </c>
      <c r="L71" cm="1">
        <f t="array" ref="L71">STOWA2024_JAARROND_T(A71*60,K71,I71,"L","")</f>
        <v>0.37196694328897362</v>
      </c>
      <c r="M71">
        <f t="shared" ref="M71:M93" si="26">1/L71</f>
        <v>2.6884109409236405</v>
      </c>
    </row>
    <row r="72" spans="1:13" x14ac:dyDescent="0.3">
      <c r="A72">
        <v>96</v>
      </c>
      <c r="B72">
        <f t="shared" si="23"/>
        <v>0.86669463771840083</v>
      </c>
      <c r="C72">
        <f t="shared" si="19"/>
        <v>0.86669463771840083</v>
      </c>
      <c r="D72" t="s">
        <v>26</v>
      </c>
      <c r="E72" t="s">
        <v>21</v>
      </c>
      <c r="F72">
        <v>1</v>
      </c>
      <c r="G72">
        <f t="shared" si="24"/>
        <v>50</v>
      </c>
      <c r="I72">
        <v>2033</v>
      </c>
      <c r="J72" t="s">
        <v>25</v>
      </c>
      <c r="K72">
        <f t="shared" si="25"/>
        <v>52.5</v>
      </c>
      <c r="L72" cm="1">
        <f t="array" ref="L72">STOWA2024_JAARROND_T(A72*60,K72,I72,"L","")</f>
        <v>0.54893289270153567</v>
      </c>
      <c r="M72">
        <f t="shared" si="26"/>
        <v>1.8217163032052397</v>
      </c>
    </row>
    <row r="73" spans="1:13" x14ac:dyDescent="0.3">
      <c r="A73">
        <v>96</v>
      </c>
      <c r="B73">
        <f t="shared" si="23"/>
        <v>0.57742176005798873</v>
      </c>
      <c r="C73">
        <f t="shared" si="19"/>
        <v>0.57742176005798873</v>
      </c>
      <c r="D73" t="s">
        <v>26</v>
      </c>
      <c r="E73" t="s">
        <v>21</v>
      </c>
      <c r="F73">
        <v>1</v>
      </c>
      <c r="G73">
        <f t="shared" si="24"/>
        <v>55</v>
      </c>
      <c r="I73">
        <v>2033</v>
      </c>
      <c r="J73" t="s">
        <v>25</v>
      </c>
      <c r="K73">
        <f t="shared" si="25"/>
        <v>57.5</v>
      </c>
      <c r="L73" cm="1">
        <f t="array" ref="L73">STOWA2024_JAARROND_T(A73*60,K73,I73,"L","")</f>
        <v>0.80366823555350031</v>
      </c>
      <c r="M73">
        <f t="shared" si="26"/>
        <v>1.244294543147251</v>
      </c>
    </row>
    <row r="74" spans="1:13" x14ac:dyDescent="0.3">
      <c r="A74">
        <v>96</v>
      </c>
      <c r="B74">
        <f t="shared" si="23"/>
        <v>0.38780062230906731</v>
      </c>
      <c r="C74">
        <f t="shared" si="19"/>
        <v>0.38780062230906731</v>
      </c>
      <c r="D74" t="s">
        <v>26</v>
      </c>
      <c r="E74" t="s">
        <v>21</v>
      </c>
      <c r="F74">
        <v>1</v>
      </c>
      <c r="G74">
        <f t="shared" si="24"/>
        <v>60</v>
      </c>
      <c r="I74">
        <v>2033</v>
      </c>
      <c r="J74" t="s">
        <v>25</v>
      </c>
      <c r="K74">
        <f t="shared" si="25"/>
        <v>62.5</v>
      </c>
      <c r="L74" cm="1">
        <f t="array" ref="L74">STOWA2024_JAARROND_T(A74*60,K74,I74,"L","")</f>
        <v>1.1675506103083348</v>
      </c>
      <c r="M74">
        <f t="shared" si="26"/>
        <v>0.85649392083818365</v>
      </c>
    </row>
    <row r="75" spans="1:13" x14ac:dyDescent="0.3">
      <c r="A75">
        <v>96</v>
      </c>
      <c r="B75">
        <f t="shared" si="23"/>
        <v>0.26265314309747456</v>
      </c>
      <c r="C75">
        <f t="shared" si="19"/>
        <v>0.26265314309747456</v>
      </c>
      <c r="D75" t="s">
        <v>26</v>
      </c>
      <c r="E75" t="s">
        <v>21</v>
      </c>
      <c r="F75">
        <v>1</v>
      </c>
      <c r="G75">
        <f t="shared" si="24"/>
        <v>65</v>
      </c>
      <c r="I75">
        <v>2033</v>
      </c>
      <c r="J75" t="s">
        <v>25</v>
      </c>
      <c r="K75">
        <f t="shared" si="25"/>
        <v>67.5</v>
      </c>
      <c r="L75" cm="1">
        <f t="array" ref="L75">STOWA2024_JAARROND_T(A75*60,K75,I75,"L","")</f>
        <v>1.6839530687073054</v>
      </c>
      <c r="M75">
        <f t="shared" si="26"/>
        <v>0.59384077774070909</v>
      </c>
    </row>
    <row r="76" spans="1:13" x14ac:dyDescent="0.3">
      <c r="A76">
        <v>96</v>
      </c>
      <c r="B76">
        <f t="shared" si="23"/>
        <v>0.17919609776607565</v>
      </c>
      <c r="C76">
        <f t="shared" si="19"/>
        <v>0.17919609776607565</v>
      </c>
      <c r="D76" t="s">
        <v>26</v>
      </c>
      <c r="E76" t="s">
        <v>21</v>
      </c>
      <c r="F76">
        <v>1</v>
      </c>
      <c r="G76">
        <f t="shared" si="24"/>
        <v>70</v>
      </c>
      <c r="I76">
        <v>2033</v>
      </c>
      <c r="J76" t="s">
        <v>25</v>
      </c>
      <c r="K76">
        <f t="shared" si="25"/>
        <v>72.5</v>
      </c>
      <c r="L76" cm="1">
        <f t="array" ref="L76">STOWA2024_JAARROND_T(A76*60,K76,I76,"L","")</f>
        <v>2.4117034374133937</v>
      </c>
      <c r="M76">
        <f t="shared" si="26"/>
        <v>0.41464467997463345</v>
      </c>
    </row>
    <row r="77" spans="1:13" x14ac:dyDescent="0.3">
      <c r="A77">
        <v>96</v>
      </c>
      <c r="B77">
        <f t="shared" si="23"/>
        <v>0.1231495176795282</v>
      </c>
      <c r="C77">
        <f t="shared" si="19"/>
        <v>0.1231495176795282</v>
      </c>
      <c r="D77" t="s">
        <v>26</v>
      </c>
      <c r="E77" t="s">
        <v>21</v>
      </c>
      <c r="F77">
        <v>1</v>
      </c>
      <c r="G77">
        <f t="shared" si="24"/>
        <v>75</v>
      </c>
      <c r="I77">
        <v>2033</v>
      </c>
      <c r="J77" t="s">
        <v>25</v>
      </c>
      <c r="K77">
        <f t="shared" si="25"/>
        <v>77.5</v>
      </c>
      <c r="L77" cm="1">
        <f t="array" ref="L77">STOWA2024_JAARROND_T(A77*60,K77,I77,"L","")</f>
        <v>3.4305886661254958</v>
      </c>
      <c r="M77">
        <f t="shared" si="26"/>
        <v>0.29149516229510525</v>
      </c>
    </row>
    <row r="78" spans="1:13" x14ac:dyDescent="0.3">
      <c r="A78">
        <v>96</v>
      </c>
      <c r="B78">
        <f t="shared" si="23"/>
        <v>8.5229064400034305E-2</v>
      </c>
      <c r="C78">
        <f t="shared" si="19"/>
        <v>8.5229064400034305E-2</v>
      </c>
      <c r="D78" t="s">
        <v>26</v>
      </c>
      <c r="E78" t="s">
        <v>21</v>
      </c>
      <c r="F78">
        <v>1</v>
      </c>
      <c r="G78">
        <f t="shared" si="24"/>
        <v>80</v>
      </c>
      <c r="I78">
        <v>2033</v>
      </c>
      <c r="J78" t="s">
        <v>25</v>
      </c>
      <c r="K78">
        <f t="shared" si="25"/>
        <v>82.5</v>
      </c>
      <c r="L78" cm="1">
        <f t="array" ref="L78">STOWA2024_JAARROND_T(A78*60,K78,I78,"L","")</f>
        <v>4.8481064518353723</v>
      </c>
      <c r="M78">
        <f t="shared" si="26"/>
        <v>0.20626609789507094</v>
      </c>
    </row>
    <row r="79" spans="1:13" x14ac:dyDescent="0.3">
      <c r="A79">
        <v>96</v>
      </c>
      <c r="B79">
        <f t="shared" si="23"/>
        <v>5.9389070422615431E-2</v>
      </c>
      <c r="C79">
        <f t="shared" si="19"/>
        <v>5.9389070422615431E-2</v>
      </c>
      <c r="D79" t="s">
        <v>26</v>
      </c>
      <c r="E79" t="s">
        <v>21</v>
      </c>
      <c r="F79">
        <v>1</v>
      </c>
      <c r="G79">
        <f t="shared" si="24"/>
        <v>85</v>
      </c>
      <c r="I79">
        <v>2033</v>
      </c>
      <c r="J79" t="s">
        <v>25</v>
      </c>
      <c r="K79">
        <f t="shared" si="25"/>
        <v>87.5</v>
      </c>
      <c r="L79" cm="1">
        <f t="array" ref="L79">STOWA2024_JAARROND_T(A79*60,K79,I79,"L","")</f>
        <v>6.8084166544528841</v>
      </c>
      <c r="M79">
        <f t="shared" si="26"/>
        <v>0.14687702747245551</v>
      </c>
    </row>
    <row r="80" spans="1:13" x14ac:dyDescent="0.3">
      <c r="A80">
        <v>96</v>
      </c>
      <c r="B80">
        <f t="shared" si="23"/>
        <v>4.1651599766569763E-2</v>
      </c>
      <c r="C80">
        <f t="shared" si="19"/>
        <v>4.1651599766569763E-2</v>
      </c>
      <c r="D80" t="s">
        <v>26</v>
      </c>
      <c r="E80" t="s">
        <v>21</v>
      </c>
      <c r="F80">
        <v>1</v>
      </c>
      <c r="G80">
        <f t="shared" si="24"/>
        <v>90</v>
      </c>
      <c r="I80">
        <v>2033</v>
      </c>
      <c r="J80" t="s">
        <v>25</v>
      </c>
      <c r="K80">
        <f t="shared" si="25"/>
        <v>92.5</v>
      </c>
      <c r="L80" cm="1">
        <f t="array" ref="L80">STOWA2024_JAARROND_T(A80*60,K80,I80,"L","")</f>
        <v>9.5034063705123373</v>
      </c>
      <c r="M80">
        <f t="shared" si="26"/>
        <v>0.10522542770588575</v>
      </c>
    </row>
    <row r="81" spans="1:13" x14ac:dyDescent="0.3">
      <c r="A81">
        <v>96</v>
      </c>
      <c r="B81">
        <f t="shared" si="23"/>
        <v>2.9397095105948748E-2</v>
      </c>
      <c r="C81">
        <f t="shared" si="19"/>
        <v>2.9397095105948748E-2</v>
      </c>
      <c r="D81" t="s">
        <v>26</v>
      </c>
      <c r="E81" t="s">
        <v>21</v>
      </c>
      <c r="F81">
        <v>1</v>
      </c>
      <c r="G81">
        <f t="shared" si="24"/>
        <v>95</v>
      </c>
      <c r="I81">
        <v>2033</v>
      </c>
      <c r="J81" t="s">
        <v>25</v>
      </c>
      <c r="K81">
        <f t="shared" si="25"/>
        <v>97.5</v>
      </c>
      <c r="L81" cm="1">
        <f t="array" ref="L81">STOWA2024_JAARROND_T(A81*60,K81,I81,"L","")</f>
        <v>13.187682831902739</v>
      </c>
      <c r="M81">
        <f t="shared" si="26"/>
        <v>7.5828332599937001E-2</v>
      </c>
    </row>
    <row r="82" spans="1:13" x14ac:dyDescent="0.3">
      <c r="A82">
        <v>96</v>
      </c>
      <c r="B82">
        <f t="shared" si="23"/>
        <v>2.0874426569096279E-2</v>
      </c>
      <c r="C82">
        <f t="shared" si="19"/>
        <v>2.0874426569096279E-2</v>
      </c>
      <c r="D82" t="s">
        <v>26</v>
      </c>
      <c r="E82" t="s">
        <v>21</v>
      </c>
      <c r="F82">
        <v>1</v>
      </c>
      <c r="G82">
        <f t="shared" si="24"/>
        <v>100</v>
      </c>
      <c r="I82">
        <v>2033</v>
      </c>
      <c r="J82" t="s">
        <v>25</v>
      </c>
      <c r="K82">
        <f t="shared" si="25"/>
        <v>102.5</v>
      </c>
      <c r="L82" cm="1">
        <f t="array" ref="L82">STOWA2024_JAARROND_T(A82*60,K82,I82,"L","")</f>
        <v>18.197068638556633</v>
      </c>
      <c r="M82">
        <f t="shared" si="26"/>
        <v>5.4953906030840723E-2</v>
      </c>
    </row>
    <row r="83" spans="1:13" x14ac:dyDescent="0.3">
      <c r="A83">
        <v>96</v>
      </c>
      <c r="B83">
        <f t="shared" si="23"/>
        <v>1.4909799599074611E-2</v>
      </c>
      <c r="C83">
        <f t="shared" si="19"/>
        <v>1.4909799599074611E-2</v>
      </c>
      <c r="D83" t="s">
        <v>26</v>
      </c>
      <c r="E83" t="s">
        <v>21</v>
      </c>
      <c r="F83">
        <v>1</v>
      </c>
      <c r="G83">
        <f t="shared" si="24"/>
        <v>105</v>
      </c>
      <c r="I83">
        <v>2033</v>
      </c>
      <c r="J83" t="s">
        <v>25</v>
      </c>
      <c r="K83">
        <f t="shared" si="25"/>
        <v>107.5</v>
      </c>
      <c r="L83" cm="1">
        <f t="array" ref="L83">STOWA2024_JAARROND_T(A83*60,K83,I83,"L","")</f>
        <v>24.97246384318672</v>
      </c>
      <c r="M83">
        <f t="shared" si="26"/>
        <v>4.0044106431766112E-2</v>
      </c>
    </row>
    <row r="84" spans="1:13" x14ac:dyDescent="0.3">
      <c r="A84">
        <v>96</v>
      </c>
      <c r="B84">
        <f t="shared" si="23"/>
        <v>1.0710023977354936E-2</v>
      </c>
      <c r="C84">
        <f t="shared" si="19"/>
        <v>1.0710023977354936E-2</v>
      </c>
      <c r="D84" t="s">
        <v>26</v>
      </c>
      <c r="E84" t="s">
        <v>21</v>
      </c>
      <c r="F84">
        <v>1</v>
      </c>
      <c r="G84">
        <f t="shared" si="24"/>
        <v>110</v>
      </c>
      <c r="I84">
        <v>2033</v>
      </c>
      <c r="J84" t="s">
        <v>25</v>
      </c>
      <c r="K84">
        <f t="shared" si="25"/>
        <v>112.5</v>
      </c>
      <c r="L84" cm="1">
        <f t="array" ref="L84">STOWA2024_JAARROND_T(A84*60,K84,I84,"L","")</f>
        <v>34.090038492055264</v>
      </c>
      <c r="M84">
        <f t="shared" si="26"/>
        <v>2.9334082454411176E-2</v>
      </c>
    </row>
    <row r="85" spans="1:13" x14ac:dyDescent="0.3">
      <c r="A85">
        <v>96</v>
      </c>
      <c r="B85">
        <f t="shared" si="23"/>
        <v>7.7353570903519707E-3</v>
      </c>
      <c r="C85">
        <f t="shared" si="19"/>
        <v>7.7353570903519707E-3</v>
      </c>
      <c r="D85" t="s">
        <v>26</v>
      </c>
      <c r="E85" t="s">
        <v>21</v>
      </c>
      <c r="F85">
        <v>1</v>
      </c>
      <c r="G85">
        <f t="shared" si="24"/>
        <v>115</v>
      </c>
      <c r="I85">
        <v>2033</v>
      </c>
      <c r="J85" t="s">
        <v>25</v>
      </c>
      <c r="K85">
        <f t="shared" si="25"/>
        <v>117.5</v>
      </c>
      <c r="L85" cm="1">
        <f t="array" ref="L85">STOWA2024_JAARROND_T(A85*60,K85,I85,"L","")</f>
        <v>46.299028444707382</v>
      </c>
      <c r="M85">
        <f t="shared" si="26"/>
        <v>2.1598725364059206E-2</v>
      </c>
    </row>
    <row r="86" spans="1:13" x14ac:dyDescent="0.3">
      <c r="A86">
        <v>96</v>
      </c>
      <c r="B86">
        <f t="shared" si="23"/>
        <v>5.6168632045022933E-3</v>
      </c>
      <c r="C86">
        <f t="shared" si="19"/>
        <v>5.6168632045022933E-3</v>
      </c>
      <c r="D86" t="s">
        <v>26</v>
      </c>
      <c r="E86" t="s">
        <v>21</v>
      </c>
      <c r="F86">
        <v>1</v>
      </c>
      <c r="G86">
        <f t="shared" si="24"/>
        <v>120</v>
      </c>
      <c r="I86">
        <v>2033</v>
      </c>
      <c r="J86" t="s">
        <v>25</v>
      </c>
      <c r="K86">
        <f t="shared" si="25"/>
        <v>122.5</v>
      </c>
      <c r="L86" cm="1">
        <f t="array" ref="L86">STOWA2024_JAARROND_T(A86*60,K86,I86,"L","")</f>
        <v>62.570931348072925</v>
      </c>
      <c r="M86">
        <f t="shared" si="26"/>
        <v>1.5981862159556912E-2</v>
      </c>
    </row>
    <row r="87" spans="1:13" x14ac:dyDescent="0.3">
      <c r="A87">
        <v>96</v>
      </c>
      <c r="B87">
        <f t="shared" si="23"/>
        <v>4.0993469728419808E-3</v>
      </c>
      <c r="C87">
        <f t="shared" si="19"/>
        <v>4.0993469728419808E-3</v>
      </c>
      <c r="D87" t="s">
        <v>26</v>
      </c>
      <c r="E87" t="s">
        <v>21</v>
      </c>
      <c r="F87">
        <v>1</v>
      </c>
      <c r="G87">
        <f t="shared" si="24"/>
        <v>125</v>
      </c>
      <c r="I87">
        <v>2033</v>
      </c>
      <c r="J87" t="s">
        <v>25</v>
      </c>
      <c r="K87">
        <f t="shared" si="25"/>
        <v>127.5</v>
      </c>
      <c r="L87" cm="1">
        <f t="array" ref="L87">STOWA2024_JAARROND_T(A87*60,K87,I87,"L","")</f>
        <v>84.157266730703199</v>
      </c>
      <c r="M87">
        <f t="shared" si="26"/>
        <v>1.1882515186714931E-2</v>
      </c>
    </row>
    <row r="88" spans="1:13" x14ac:dyDescent="0.3">
      <c r="A88">
        <v>96</v>
      </c>
      <c r="B88">
        <f t="shared" si="23"/>
        <v>3.0068688779028192E-3</v>
      </c>
      <c r="C88">
        <f t="shared" si="19"/>
        <v>3.0068688779028192E-3</v>
      </c>
      <c r="D88" t="s">
        <v>26</v>
      </c>
      <c r="E88" t="s">
        <v>21</v>
      </c>
      <c r="F88">
        <v>1</v>
      </c>
      <c r="G88">
        <f t="shared" si="24"/>
        <v>130</v>
      </c>
      <c r="I88">
        <v>2033</v>
      </c>
      <c r="J88" t="s">
        <v>25</v>
      </c>
      <c r="K88">
        <f t="shared" si="25"/>
        <v>132.5</v>
      </c>
      <c r="L88" cm="1">
        <f t="array" ref="L88">STOWA2024_JAARROND_T(A88*60,K88,I88,"L","")</f>
        <v>112.66785146757799</v>
      </c>
      <c r="M88">
        <f t="shared" si="26"/>
        <v>8.8756463088121122E-3</v>
      </c>
    </row>
    <row r="89" spans="1:13" x14ac:dyDescent="0.3">
      <c r="A89">
        <v>96</v>
      </c>
      <c r="B89">
        <f t="shared" si="23"/>
        <v>2.2160779523849273E-3</v>
      </c>
      <c r="C89">
        <f t="shared" si="19"/>
        <v>2.2160779523849273E-3</v>
      </c>
      <c r="D89" t="s">
        <v>26</v>
      </c>
      <c r="E89" t="s">
        <v>21</v>
      </c>
      <c r="F89">
        <v>1</v>
      </c>
      <c r="G89">
        <f t="shared" si="24"/>
        <v>135</v>
      </c>
      <c r="I89">
        <v>2033</v>
      </c>
      <c r="J89" t="s">
        <v>25</v>
      </c>
      <c r="K89">
        <f t="shared" si="25"/>
        <v>137.5</v>
      </c>
      <c r="L89" cm="1">
        <f t="array" ref="L89">STOWA2024_JAARROND_T(A89*60,K89,I89,"L","")</f>
        <v>150.15988221442231</v>
      </c>
      <c r="M89">
        <f t="shared" si="26"/>
        <v>6.6595683564271849E-3</v>
      </c>
    </row>
    <row r="90" spans="1:13" x14ac:dyDescent="0.3">
      <c r="A90">
        <v>96</v>
      </c>
      <c r="B90">
        <f t="shared" si="23"/>
        <v>1.6409457702076784E-3</v>
      </c>
      <c r="C90">
        <f t="shared" si="19"/>
        <v>1.6409457702076784E-3</v>
      </c>
      <c r="D90" t="s">
        <v>26</v>
      </c>
      <c r="E90" t="s">
        <v>21</v>
      </c>
      <c r="F90">
        <v>1</v>
      </c>
      <c r="G90">
        <f t="shared" si="24"/>
        <v>140</v>
      </c>
      <c r="I90">
        <v>2033</v>
      </c>
      <c r="J90" t="s">
        <v>25</v>
      </c>
      <c r="K90">
        <f t="shared" si="25"/>
        <v>142.5</v>
      </c>
      <c r="L90" cm="1">
        <f t="array" ref="L90">STOWA2024_JAARROND_T(A90*60,K90,I90,"L","")</f>
        <v>199.25786066198157</v>
      </c>
      <c r="M90">
        <f t="shared" si="26"/>
        <v>5.0186225862195065E-3</v>
      </c>
    </row>
    <row r="91" spans="1:13" x14ac:dyDescent="0.3">
      <c r="A91">
        <v>96</v>
      </c>
      <c r="B91">
        <f t="shared" si="23"/>
        <v>1.2206123460942638E-3</v>
      </c>
      <c r="C91">
        <f t="shared" si="19"/>
        <v>1.2206123460942638E-3</v>
      </c>
      <c r="D91" t="s">
        <v>26</v>
      </c>
      <c r="E91" t="s">
        <v>21</v>
      </c>
      <c r="F91">
        <v>1</v>
      </c>
      <c r="G91">
        <f t="shared" si="24"/>
        <v>145</v>
      </c>
      <c r="I91">
        <v>2033</v>
      </c>
      <c r="J91" t="s">
        <v>25</v>
      </c>
      <c r="K91">
        <f t="shared" si="25"/>
        <v>147.5</v>
      </c>
      <c r="L91" cm="1">
        <f t="array" ref="L91">STOWA2024_JAARROND_T(A91*60,K91,I91,"L","")</f>
        <v>263.2957619321806</v>
      </c>
      <c r="M91">
        <f t="shared" si="26"/>
        <v>3.7980102401252427E-3</v>
      </c>
    </row>
    <row r="92" spans="1:13" x14ac:dyDescent="0.3">
      <c r="A92">
        <v>96</v>
      </c>
      <c r="B92">
        <f t="shared" si="23"/>
        <v>9.1190502146119281E-4</v>
      </c>
      <c r="C92">
        <f t="shared" si="19"/>
        <v>9.1190502146119281E-4</v>
      </c>
      <c r="D92" t="s">
        <v>26</v>
      </c>
      <c r="E92" t="s">
        <v>21</v>
      </c>
      <c r="F92">
        <v>1</v>
      </c>
      <c r="G92">
        <f t="shared" si="24"/>
        <v>150</v>
      </c>
      <c r="I92">
        <v>2033</v>
      </c>
      <c r="J92" t="s">
        <v>25</v>
      </c>
      <c r="K92">
        <f t="shared" si="25"/>
        <v>152.5</v>
      </c>
      <c r="L92" cm="1">
        <f t="array" ref="L92">STOWA2024_JAARROND_T(A92*60,K92,I92,"L","")</f>
        <v>346.48771414608728</v>
      </c>
      <c r="M92">
        <f t="shared" si="26"/>
        <v>2.8861052186640499E-3</v>
      </c>
    </row>
    <row r="93" spans="1:13" x14ac:dyDescent="0.3">
      <c r="A93">
        <v>96</v>
      </c>
      <c r="B93">
        <f t="shared" si="23"/>
        <v>6.8420184612495672E-4</v>
      </c>
      <c r="C93">
        <f t="shared" si="19"/>
        <v>6.8420184612495672E-4</v>
      </c>
      <c r="D93" t="s">
        <v>26</v>
      </c>
      <c r="E93" t="s">
        <v>21</v>
      </c>
      <c r="F93">
        <v>1</v>
      </c>
      <c r="G93">
        <f t="shared" si="24"/>
        <v>155</v>
      </c>
      <c r="I93">
        <v>2033</v>
      </c>
      <c r="J93" t="s">
        <v>25</v>
      </c>
      <c r="K93">
        <f t="shared" si="25"/>
        <v>157.5</v>
      </c>
      <c r="L93" cm="1">
        <f t="array" ref="L93">STOWA2024_JAARROND_T(A93*60,K93,I93,"L","")</f>
        <v>454.15253569772426</v>
      </c>
      <c r="M93">
        <f t="shared" si="26"/>
        <v>2.2019033725390932E-3</v>
      </c>
    </row>
    <row r="94" spans="1:13" x14ac:dyDescent="0.3">
      <c r="A94">
        <v>96</v>
      </c>
      <c r="B94" s="1">
        <f>M93</f>
        <v>2.2019033725390932E-3</v>
      </c>
      <c r="C94">
        <f t="shared" si="19"/>
        <v>2.2019033725390932E-3</v>
      </c>
      <c r="D94" t="s">
        <v>26</v>
      </c>
      <c r="E94" t="s">
        <v>21</v>
      </c>
      <c r="F94">
        <v>1</v>
      </c>
      <c r="G94">
        <f t="shared" si="24"/>
        <v>160</v>
      </c>
      <c r="I94">
        <v>2033</v>
      </c>
      <c r="J94" t="s">
        <v>25</v>
      </c>
      <c r="K94">
        <f>AVERAGE(G94:G95)</f>
        <v>85</v>
      </c>
      <c r="L94" cm="1">
        <f t="array" ref="L94">STOWA2024_JAARROND_T(A94*60,K94,I94,"L","")</f>
        <v>5.7496941803619137</v>
      </c>
      <c r="M94">
        <f>1/L94</f>
        <v>0.17392229371355106</v>
      </c>
    </row>
    <row r="95" spans="1:13" x14ac:dyDescent="0.3">
      <c r="A95">
        <v>192</v>
      </c>
      <c r="B95" s="1">
        <f>365.25*24/A95 - M95</f>
        <v>-9.3558500197193624</v>
      </c>
      <c r="C95">
        <f>B95</f>
        <v>-9.3558500197193624</v>
      </c>
      <c r="D95" t="s">
        <v>26</v>
      </c>
      <c r="E95" t="s">
        <v>21</v>
      </c>
      <c r="F95">
        <v>1</v>
      </c>
      <c r="G95">
        <v>10</v>
      </c>
      <c r="I95">
        <v>2033</v>
      </c>
      <c r="J95" t="s">
        <v>25</v>
      </c>
      <c r="K95">
        <f>AVERAGE(G95:G97)</f>
        <v>15</v>
      </c>
      <c r="L95" cm="1">
        <f t="array" ref="L95">STOWA2024_JAARROND_T(A95*60,K95,I95,"L","")</f>
        <v>1.8177819055108693E-2</v>
      </c>
      <c r="M95">
        <f>1/L95</f>
        <v>55.012100019719362</v>
      </c>
    </row>
    <row r="96" spans="1:13" x14ac:dyDescent="0.3">
      <c r="A96">
        <v>192</v>
      </c>
      <c r="B96">
        <f t="shared" ref="B96:B100" si="27">M95-M96</f>
        <v>7.7203860560128135</v>
      </c>
      <c r="C96">
        <f t="shared" ref="C96:C125" si="28">B96</f>
        <v>7.7203860560128135</v>
      </c>
      <c r="D96" t="s">
        <v>26</v>
      </c>
      <c r="E96" t="s">
        <v>21</v>
      </c>
      <c r="F96">
        <v>1</v>
      </c>
      <c r="G96">
        <f t="shared" ref="G96:G100" si="29">G95+5</f>
        <v>15</v>
      </c>
      <c r="I96">
        <v>2033</v>
      </c>
      <c r="J96" t="s">
        <v>25</v>
      </c>
      <c r="K96">
        <f t="shared" ref="K96:K100" si="30">AVERAGE(G96:G97)</f>
        <v>17.5</v>
      </c>
      <c r="L96" cm="1">
        <f t="array" ref="L96">STOWA2024_JAARROND_T(A96*60,K96,I96,"L","")</f>
        <v>2.1145353301583399E-2</v>
      </c>
      <c r="M96">
        <f t="shared" ref="M96:M100" si="31">1/L96</f>
        <v>47.291713963706549</v>
      </c>
    </row>
    <row r="97" spans="1:13" x14ac:dyDescent="0.3">
      <c r="A97">
        <v>192</v>
      </c>
      <c r="B97">
        <f t="shared" si="27"/>
        <v>12.352908352917055</v>
      </c>
      <c r="C97">
        <f t="shared" si="28"/>
        <v>12.352908352917055</v>
      </c>
      <c r="D97" t="s">
        <v>26</v>
      </c>
      <c r="E97" t="s">
        <v>21</v>
      </c>
      <c r="F97">
        <v>1</v>
      </c>
      <c r="G97">
        <f t="shared" si="29"/>
        <v>20</v>
      </c>
      <c r="I97">
        <v>2033</v>
      </c>
      <c r="J97" t="s">
        <v>25</v>
      </c>
      <c r="K97">
        <f t="shared" si="30"/>
        <v>22.5</v>
      </c>
      <c r="L97" cm="1">
        <f t="array" ref="L97">STOWA2024_JAARROND_T(A97*60,K97,I97,"L","")</f>
        <v>2.862147066902564E-2</v>
      </c>
      <c r="M97">
        <f t="shared" si="31"/>
        <v>34.938805610789494</v>
      </c>
    </row>
    <row r="98" spans="1:13" x14ac:dyDescent="0.3">
      <c r="A98">
        <v>192</v>
      </c>
      <c r="B98">
        <f t="shared" si="27"/>
        <v>9.1365292078579863</v>
      </c>
      <c r="C98">
        <f t="shared" si="28"/>
        <v>9.1365292078579863</v>
      </c>
      <c r="D98" t="s">
        <v>26</v>
      </c>
      <c r="E98" t="s">
        <v>21</v>
      </c>
      <c r="F98">
        <v>1</v>
      </c>
      <c r="G98">
        <f t="shared" si="29"/>
        <v>25</v>
      </c>
      <c r="I98">
        <v>2033</v>
      </c>
      <c r="J98" t="s">
        <v>25</v>
      </c>
      <c r="K98">
        <f t="shared" si="30"/>
        <v>27.5</v>
      </c>
      <c r="L98" cm="1">
        <f t="array" ref="L98">STOWA2024_JAARROND_T(A98*60,K98,I98,"L","")</f>
        <v>3.8756270353199757E-2</v>
      </c>
      <c r="M98">
        <f t="shared" si="31"/>
        <v>25.802276402931508</v>
      </c>
    </row>
    <row r="99" spans="1:13" x14ac:dyDescent="0.3">
      <c r="A99">
        <v>192</v>
      </c>
      <c r="B99">
        <f t="shared" si="27"/>
        <v>6.7547579754282232</v>
      </c>
      <c r="C99">
        <f t="shared" si="28"/>
        <v>6.7547579754282232</v>
      </c>
      <c r="D99" t="s">
        <v>26</v>
      </c>
      <c r="E99" t="s">
        <v>21</v>
      </c>
      <c r="F99">
        <v>1</v>
      </c>
      <c r="G99">
        <f t="shared" si="29"/>
        <v>30</v>
      </c>
      <c r="I99">
        <v>2033</v>
      </c>
      <c r="J99" t="s">
        <v>25</v>
      </c>
      <c r="K99">
        <f t="shared" si="30"/>
        <v>32.5</v>
      </c>
      <c r="L99" cm="1">
        <f t="array" ref="L99">STOWA2024_JAARROND_T(A99*60,K99,I99,"L","")</f>
        <v>5.2500277335659117E-2</v>
      </c>
      <c r="M99">
        <f t="shared" si="31"/>
        <v>19.047518427503284</v>
      </c>
    </row>
    <row r="100" spans="1:13" x14ac:dyDescent="0.3">
      <c r="A100">
        <v>192</v>
      </c>
      <c r="B100">
        <f t="shared" si="27"/>
        <v>4.9917188590276123</v>
      </c>
      <c r="C100">
        <f t="shared" si="28"/>
        <v>4.9917188590276123</v>
      </c>
      <c r="D100" t="s">
        <v>26</v>
      </c>
      <c r="E100" t="s">
        <v>21</v>
      </c>
      <c r="F100">
        <v>1</v>
      </c>
      <c r="G100">
        <f t="shared" si="29"/>
        <v>35</v>
      </c>
      <c r="I100">
        <v>2033</v>
      </c>
      <c r="J100" t="s">
        <v>25</v>
      </c>
      <c r="K100">
        <f t="shared" si="30"/>
        <v>37.5</v>
      </c>
      <c r="L100" cm="1">
        <f t="array" ref="L100">STOWA2024_JAARROND_T(A100*60,K100,I100,"L","")</f>
        <v>7.1145009939014681E-2</v>
      </c>
      <c r="M100">
        <f t="shared" si="31"/>
        <v>14.055799568475672</v>
      </c>
    </row>
    <row r="101" spans="1:13" x14ac:dyDescent="0.3">
      <c r="A101">
        <v>192</v>
      </c>
      <c r="B101">
        <f>M100-M101</f>
        <v>3.6879497536607406</v>
      </c>
      <c r="C101">
        <f t="shared" si="28"/>
        <v>3.6879497536607406</v>
      </c>
      <c r="D101" t="s">
        <v>26</v>
      </c>
      <c r="E101" t="s">
        <v>21</v>
      </c>
      <c r="F101">
        <v>1</v>
      </c>
      <c r="G101">
        <f>G100+5</f>
        <v>40</v>
      </c>
      <c r="I101">
        <v>2033</v>
      </c>
      <c r="J101" t="s">
        <v>25</v>
      </c>
      <c r="K101">
        <f>AVERAGE(G101:G102)</f>
        <v>42.5</v>
      </c>
      <c r="L101" cm="1">
        <f t="array" ref="L101">STOWA2024_JAARROND_T(A101*60,K101,I101,"L","")</f>
        <v>9.645201443515028E-2</v>
      </c>
      <c r="M101">
        <f>1/L101</f>
        <v>10.367849814814932</v>
      </c>
    </row>
    <row r="102" spans="1:13" x14ac:dyDescent="0.3">
      <c r="A102">
        <v>192</v>
      </c>
      <c r="B102">
        <f t="shared" ref="B102:B124" si="32">M101-M102</f>
        <v>2.7232102101873892</v>
      </c>
      <c r="C102">
        <f t="shared" si="28"/>
        <v>2.7232102101873892</v>
      </c>
      <c r="D102" t="s">
        <v>26</v>
      </c>
      <c r="E102" t="s">
        <v>21</v>
      </c>
      <c r="F102">
        <v>1</v>
      </c>
      <c r="G102">
        <f t="shared" ref="G102:G125" si="33">G101+5</f>
        <v>45</v>
      </c>
      <c r="I102">
        <v>2033</v>
      </c>
      <c r="J102" t="s">
        <v>25</v>
      </c>
      <c r="K102">
        <f t="shared" ref="K102:K124" si="34">AVERAGE(G102:G103)</f>
        <v>47.5</v>
      </c>
      <c r="L102" cm="1">
        <f t="array" ref="L102">STOWA2024_JAARROND_T(A102*60,K102,I102,"L","")</f>
        <v>0.13081061393589677</v>
      </c>
      <c r="M102">
        <f t="shared" ref="M102:M124" si="35">1/L102</f>
        <v>7.6446396046275424</v>
      </c>
    </row>
    <row r="103" spans="1:13" x14ac:dyDescent="0.3">
      <c r="A103">
        <v>192</v>
      </c>
      <c r="B103">
        <f t="shared" si="32"/>
        <v>2.010168504924442</v>
      </c>
      <c r="C103">
        <f t="shared" si="28"/>
        <v>2.010168504924442</v>
      </c>
      <c r="D103" t="s">
        <v>26</v>
      </c>
      <c r="E103" t="s">
        <v>21</v>
      </c>
      <c r="F103">
        <v>1</v>
      </c>
      <c r="G103">
        <f t="shared" si="33"/>
        <v>50</v>
      </c>
      <c r="I103">
        <v>2033</v>
      </c>
      <c r="J103" t="s">
        <v>25</v>
      </c>
      <c r="K103">
        <f t="shared" si="34"/>
        <v>52.5</v>
      </c>
      <c r="L103" cm="1">
        <f t="array" ref="L103">STOWA2024_JAARROND_T(A103*60,K103,I103,"L","")</f>
        <v>0.17747894741224129</v>
      </c>
      <c r="M103">
        <f t="shared" si="35"/>
        <v>5.6344710997031004</v>
      </c>
    </row>
    <row r="104" spans="1:13" x14ac:dyDescent="0.3">
      <c r="A104">
        <v>192</v>
      </c>
      <c r="B104">
        <f t="shared" si="32"/>
        <v>1.4832932676547506</v>
      </c>
      <c r="C104">
        <f t="shared" si="28"/>
        <v>1.4832932676547506</v>
      </c>
      <c r="D104" t="s">
        <v>26</v>
      </c>
      <c r="E104" t="s">
        <v>21</v>
      </c>
      <c r="F104">
        <v>1</v>
      </c>
      <c r="G104">
        <f t="shared" si="33"/>
        <v>55</v>
      </c>
      <c r="I104">
        <v>2033</v>
      </c>
      <c r="J104" t="s">
        <v>25</v>
      </c>
      <c r="K104">
        <f t="shared" si="34"/>
        <v>57.5</v>
      </c>
      <c r="L104" cm="1">
        <f t="array" ref="L104">STOWA2024_JAARROND_T(A104*60,K104,I104,"L","")</f>
        <v>0.24089548568112334</v>
      </c>
      <c r="M104">
        <f t="shared" si="35"/>
        <v>4.1511778320483499</v>
      </c>
    </row>
    <row r="105" spans="1:13" x14ac:dyDescent="0.3">
      <c r="A105">
        <v>192</v>
      </c>
      <c r="B105">
        <f t="shared" si="32"/>
        <v>1.0940229561275499</v>
      </c>
      <c r="C105">
        <f t="shared" si="28"/>
        <v>1.0940229561275499</v>
      </c>
      <c r="D105" t="s">
        <v>26</v>
      </c>
      <c r="E105" t="s">
        <v>21</v>
      </c>
      <c r="F105">
        <v>1</v>
      </c>
      <c r="G105">
        <f t="shared" si="33"/>
        <v>60</v>
      </c>
      <c r="I105">
        <v>2033</v>
      </c>
      <c r="J105" t="s">
        <v>25</v>
      </c>
      <c r="K105">
        <f t="shared" si="34"/>
        <v>62.5</v>
      </c>
      <c r="L105" cm="1">
        <f t="array" ref="L105">STOWA2024_JAARROND_T(A105*60,K105,I105,"L","")</f>
        <v>0.32710151777927343</v>
      </c>
      <c r="M105">
        <f t="shared" si="35"/>
        <v>3.0571548759208</v>
      </c>
    </row>
    <row r="106" spans="1:13" x14ac:dyDescent="0.3">
      <c r="A106">
        <v>192</v>
      </c>
      <c r="B106">
        <f t="shared" si="32"/>
        <v>0.80658866635958315</v>
      </c>
      <c r="C106">
        <f t="shared" si="28"/>
        <v>0.80658866635958315</v>
      </c>
      <c r="D106" t="s">
        <v>26</v>
      </c>
      <c r="E106" t="s">
        <v>21</v>
      </c>
      <c r="F106">
        <v>1</v>
      </c>
      <c r="G106">
        <f t="shared" si="33"/>
        <v>65</v>
      </c>
      <c r="I106">
        <v>2033</v>
      </c>
      <c r="J106" t="s">
        <v>25</v>
      </c>
      <c r="K106">
        <f t="shared" si="34"/>
        <v>67.5</v>
      </c>
      <c r="L106" cm="1">
        <f t="array" ref="L106">STOWA2024_JAARROND_T(A106*60,K106,I106,"L","")</f>
        <v>0.44433262871878171</v>
      </c>
      <c r="M106">
        <f t="shared" si="35"/>
        <v>2.2505662095612169</v>
      </c>
    </row>
    <row r="107" spans="1:13" x14ac:dyDescent="0.3">
      <c r="A107">
        <v>192</v>
      </c>
      <c r="B107">
        <f t="shared" si="32"/>
        <v>0.59445207736859262</v>
      </c>
      <c r="C107">
        <f t="shared" si="28"/>
        <v>0.59445207736859262</v>
      </c>
      <c r="D107" t="s">
        <v>26</v>
      </c>
      <c r="E107" t="s">
        <v>21</v>
      </c>
      <c r="F107">
        <v>1</v>
      </c>
      <c r="G107">
        <f t="shared" si="33"/>
        <v>70</v>
      </c>
      <c r="I107">
        <v>2033</v>
      </c>
      <c r="J107" t="s">
        <v>25</v>
      </c>
      <c r="K107">
        <f t="shared" si="34"/>
        <v>72.5</v>
      </c>
      <c r="L107" cm="1">
        <f t="array" ref="L107">STOWA2024_JAARROND_T(A107*60,K107,I107,"L","")</f>
        <v>0.6038231185649281</v>
      </c>
      <c r="M107">
        <f t="shared" si="35"/>
        <v>1.6561141321926243</v>
      </c>
    </row>
    <row r="108" spans="1:13" x14ac:dyDescent="0.3">
      <c r="A108">
        <v>192</v>
      </c>
      <c r="B108">
        <f t="shared" si="32"/>
        <v>0.43792512868820044</v>
      </c>
      <c r="C108">
        <f t="shared" si="28"/>
        <v>0.43792512868820044</v>
      </c>
      <c r="D108" t="s">
        <v>26</v>
      </c>
      <c r="E108" t="s">
        <v>21</v>
      </c>
      <c r="F108">
        <v>1</v>
      </c>
      <c r="G108">
        <f t="shared" si="33"/>
        <v>75</v>
      </c>
      <c r="I108">
        <v>2033</v>
      </c>
      <c r="J108" t="s">
        <v>25</v>
      </c>
      <c r="K108">
        <f t="shared" si="34"/>
        <v>77.5</v>
      </c>
      <c r="L108" cm="1">
        <f t="array" ref="L108">STOWA2024_JAARROND_T(A108*60,K108,I108,"L","")</f>
        <v>0.82089068044716473</v>
      </c>
      <c r="M108">
        <f t="shared" si="35"/>
        <v>1.2181890035044238</v>
      </c>
    </row>
    <row r="109" spans="1:13" x14ac:dyDescent="0.3">
      <c r="A109">
        <v>192</v>
      </c>
      <c r="B109">
        <f t="shared" si="32"/>
        <v>0.3224155309012956</v>
      </c>
      <c r="C109">
        <f t="shared" si="28"/>
        <v>0.3224155309012956</v>
      </c>
      <c r="D109" t="s">
        <v>26</v>
      </c>
      <c r="E109" t="s">
        <v>21</v>
      </c>
      <c r="F109">
        <v>1</v>
      </c>
      <c r="G109">
        <f t="shared" si="33"/>
        <v>80</v>
      </c>
      <c r="I109">
        <v>2033</v>
      </c>
      <c r="J109" t="s">
        <v>25</v>
      </c>
      <c r="K109">
        <f t="shared" si="34"/>
        <v>82.5</v>
      </c>
      <c r="L109" cm="1">
        <f t="array" ref="L109">STOWA2024_JAARROND_T(A109*60,K109,I109,"L","")</f>
        <v>1.1163536659485889</v>
      </c>
      <c r="M109">
        <f t="shared" si="35"/>
        <v>0.89577347260312823</v>
      </c>
    </row>
    <row r="110" spans="1:13" x14ac:dyDescent="0.3">
      <c r="A110">
        <v>192</v>
      </c>
      <c r="B110">
        <f t="shared" si="32"/>
        <v>0.23739893505503773</v>
      </c>
      <c r="C110">
        <f t="shared" si="28"/>
        <v>0.23739893505503773</v>
      </c>
      <c r="D110" t="s">
        <v>26</v>
      </c>
      <c r="E110" t="s">
        <v>21</v>
      </c>
      <c r="F110">
        <v>1</v>
      </c>
      <c r="G110">
        <f t="shared" si="33"/>
        <v>85</v>
      </c>
      <c r="I110">
        <v>2033</v>
      </c>
      <c r="J110" t="s">
        <v>25</v>
      </c>
      <c r="K110">
        <f t="shared" si="34"/>
        <v>87.5</v>
      </c>
      <c r="L110" cm="1">
        <f t="array" ref="L110">STOWA2024_JAARROND_T(A110*60,K110,I110,"L","")</f>
        <v>1.5188922763085377</v>
      </c>
      <c r="M110">
        <f t="shared" si="35"/>
        <v>0.6583745375480905</v>
      </c>
    </row>
    <row r="111" spans="1:13" x14ac:dyDescent="0.3">
      <c r="A111">
        <v>192</v>
      </c>
      <c r="B111">
        <f t="shared" si="32"/>
        <v>0.17468542959404315</v>
      </c>
      <c r="C111">
        <f t="shared" si="28"/>
        <v>0.17468542959404315</v>
      </c>
      <c r="D111" t="s">
        <v>26</v>
      </c>
      <c r="E111" t="s">
        <v>21</v>
      </c>
      <c r="F111">
        <v>1</v>
      </c>
      <c r="G111">
        <f t="shared" si="33"/>
        <v>90</v>
      </c>
      <c r="I111">
        <v>2033</v>
      </c>
      <c r="J111" t="s">
        <v>25</v>
      </c>
      <c r="K111">
        <f t="shared" si="34"/>
        <v>92.5</v>
      </c>
      <c r="L111" cm="1">
        <f t="array" ref="L111">STOWA2024_JAARROND_T(A111*60,K111,I111,"L","")</f>
        <v>2.067443702071134</v>
      </c>
      <c r="M111">
        <f t="shared" si="35"/>
        <v>0.48368910795404735</v>
      </c>
    </row>
    <row r="112" spans="1:13" x14ac:dyDescent="0.3">
      <c r="A112">
        <v>192</v>
      </c>
      <c r="B112">
        <f t="shared" si="32"/>
        <v>0.12847731659155487</v>
      </c>
      <c r="C112">
        <f t="shared" si="28"/>
        <v>0.12847731659155487</v>
      </c>
      <c r="D112" t="s">
        <v>26</v>
      </c>
      <c r="E112" t="s">
        <v>21</v>
      </c>
      <c r="F112">
        <v>1</v>
      </c>
      <c r="G112">
        <f t="shared" si="33"/>
        <v>95</v>
      </c>
      <c r="I112">
        <v>2033</v>
      </c>
      <c r="J112" t="s">
        <v>25</v>
      </c>
      <c r="K112">
        <f t="shared" si="34"/>
        <v>97.5</v>
      </c>
      <c r="L112" cm="1">
        <f t="array" ref="L112">STOWA2024_JAARROND_T(A112*60,K112,I112,"L","")</f>
        <v>2.8152218600747498</v>
      </c>
      <c r="M112">
        <f t="shared" si="35"/>
        <v>0.35521179136249248</v>
      </c>
    </row>
    <row r="113" spans="1:13" x14ac:dyDescent="0.3">
      <c r="A113">
        <v>192</v>
      </c>
      <c r="B113">
        <f t="shared" si="32"/>
        <v>9.4460894961954922E-2</v>
      </c>
      <c r="C113">
        <f t="shared" si="28"/>
        <v>9.4460894961954922E-2</v>
      </c>
      <c r="D113" t="s">
        <v>26</v>
      </c>
      <c r="E113" t="s">
        <v>21</v>
      </c>
      <c r="F113">
        <v>1</v>
      </c>
      <c r="G113">
        <f t="shared" si="33"/>
        <v>100</v>
      </c>
      <c r="I113">
        <v>2033</v>
      </c>
      <c r="J113" t="s">
        <v>25</v>
      </c>
      <c r="K113">
        <f t="shared" si="34"/>
        <v>102.5</v>
      </c>
      <c r="L113" cm="1">
        <f t="array" ref="L113">STOWA2024_JAARROND_T(A113*60,K113,I113,"L","")</f>
        <v>3.8350778992679175</v>
      </c>
      <c r="M113">
        <f t="shared" si="35"/>
        <v>0.26075089640053756</v>
      </c>
    </row>
    <row r="114" spans="1:13" x14ac:dyDescent="0.3">
      <c r="A114">
        <v>192</v>
      </c>
      <c r="B114">
        <f t="shared" si="32"/>
        <v>6.9418148480268671E-2</v>
      </c>
      <c r="C114">
        <f t="shared" si="28"/>
        <v>6.9418148480268671E-2</v>
      </c>
      <c r="D114" t="s">
        <v>26</v>
      </c>
      <c r="E114" t="s">
        <v>21</v>
      </c>
      <c r="F114">
        <v>1</v>
      </c>
      <c r="G114">
        <f t="shared" si="33"/>
        <v>105</v>
      </c>
      <c r="I114">
        <v>2033</v>
      </c>
      <c r="J114" t="s">
        <v>25</v>
      </c>
      <c r="K114">
        <f t="shared" si="34"/>
        <v>107.5</v>
      </c>
      <c r="L114" cm="1">
        <f t="array" ref="L114">STOWA2024_JAARROND_T(A114*60,K114,I114,"L","")</f>
        <v>5.226496827488802</v>
      </c>
      <c r="M114">
        <f t="shared" si="35"/>
        <v>0.19133274792026889</v>
      </c>
    </row>
    <row r="115" spans="1:13" x14ac:dyDescent="0.3">
      <c r="A115">
        <v>192</v>
      </c>
      <c r="B115">
        <f t="shared" si="32"/>
        <v>5.0995188112142265E-2</v>
      </c>
      <c r="C115">
        <f t="shared" si="28"/>
        <v>5.0995188112142265E-2</v>
      </c>
      <c r="D115" t="s">
        <v>26</v>
      </c>
      <c r="E115" t="s">
        <v>21</v>
      </c>
      <c r="F115">
        <v>1</v>
      </c>
      <c r="G115">
        <f t="shared" si="33"/>
        <v>110</v>
      </c>
      <c r="I115">
        <v>2033</v>
      </c>
      <c r="J115" t="s">
        <v>25</v>
      </c>
      <c r="K115">
        <f t="shared" si="34"/>
        <v>112.5</v>
      </c>
      <c r="L115" cm="1">
        <f t="array" ref="L115">STOWA2024_JAARROND_T(A115*60,K115,I115,"L","")</f>
        <v>7.1256761295210458</v>
      </c>
      <c r="M115">
        <f t="shared" si="35"/>
        <v>0.14033755980812662</v>
      </c>
    </row>
    <row r="116" spans="1:13" x14ac:dyDescent="0.3">
      <c r="A116">
        <v>192</v>
      </c>
      <c r="B116">
        <f t="shared" si="32"/>
        <v>3.7446104061173907E-2</v>
      </c>
      <c r="C116">
        <f t="shared" si="28"/>
        <v>3.7446104061173907E-2</v>
      </c>
      <c r="D116" t="s">
        <v>26</v>
      </c>
      <c r="E116" t="s">
        <v>21</v>
      </c>
      <c r="F116">
        <v>1</v>
      </c>
      <c r="G116">
        <f t="shared" si="33"/>
        <v>115</v>
      </c>
      <c r="I116">
        <v>2033</v>
      </c>
      <c r="J116" t="s">
        <v>25</v>
      </c>
      <c r="K116">
        <f t="shared" si="34"/>
        <v>117.5</v>
      </c>
      <c r="L116" cm="1">
        <f t="array" ref="L116">STOWA2024_JAARROND_T(A116*60,K116,I116,"L","")</f>
        <v>9.7189799944065474</v>
      </c>
      <c r="M116">
        <f t="shared" si="35"/>
        <v>0.10289145574695271</v>
      </c>
    </row>
    <row r="117" spans="1:13" x14ac:dyDescent="0.3">
      <c r="A117">
        <v>192</v>
      </c>
      <c r="B117">
        <f t="shared" si="32"/>
        <v>2.748559640940125E-2</v>
      </c>
      <c r="C117">
        <f t="shared" si="28"/>
        <v>2.748559640940125E-2</v>
      </c>
      <c r="D117" t="s">
        <v>26</v>
      </c>
      <c r="E117" t="s">
        <v>21</v>
      </c>
      <c r="F117">
        <v>1</v>
      </c>
      <c r="G117">
        <f t="shared" si="33"/>
        <v>120</v>
      </c>
      <c r="I117">
        <v>2033</v>
      </c>
      <c r="J117" t="s">
        <v>25</v>
      </c>
      <c r="K117">
        <f t="shared" si="34"/>
        <v>122.5</v>
      </c>
      <c r="L117" cm="1">
        <f t="array" ref="L117">STOWA2024_JAARROND_T(A117*60,K117,I117,"L","")</f>
        <v>13.2615689123512</v>
      </c>
      <c r="M117">
        <f t="shared" si="35"/>
        <v>7.5405859337551465E-2</v>
      </c>
    </row>
    <row r="118" spans="1:13" x14ac:dyDescent="0.3">
      <c r="A118">
        <v>192</v>
      </c>
      <c r="B118">
        <f t="shared" si="32"/>
        <v>2.0166606369346446E-2</v>
      </c>
      <c r="C118">
        <f t="shared" si="28"/>
        <v>2.0166606369346446E-2</v>
      </c>
      <c r="D118" t="s">
        <v>26</v>
      </c>
      <c r="E118" t="s">
        <v>21</v>
      </c>
      <c r="F118">
        <v>1</v>
      </c>
      <c r="G118">
        <f t="shared" si="33"/>
        <v>125</v>
      </c>
      <c r="I118">
        <v>2033</v>
      </c>
      <c r="J118" t="s">
        <v>25</v>
      </c>
      <c r="K118">
        <f t="shared" si="34"/>
        <v>127.5</v>
      </c>
      <c r="L118" cm="1">
        <f t="array" ref="L118">STOWA2024_JAARROND_T(A118*60,K118,I118,"L","")</f>
        <v>18.103068855322622</v>
      </c>
      <c r="M118">
        <f t="shared" si="35"/>
        <v>5.5239252968205019E-2</v>
      </c>
    </row>
    <row r="119" spans="1:13" x14ac:dyDescent="0.3">
      <c r="A119">
        <v>192</v>
      </c>
      <c r="B119">
        <f t="shared" si="32"/>
        <v>1.4789754017887735E-2</v>
      </c>
      <c r="C119">
        <f t="shared" si="28"/>
        <v>1.4789754017887735E-2</v>
      </c>
      <c r="D119" t="s">
        <v>26</v>
      </c>
      <c r="E119" t="s">
        <v>21</v>
      </c>
      <c r="F119">
        <v>1</v>
      </c>
      <c r="G119">
        <f t="shared" si="33"/>
        <v>130</v>
      </c>
      <c r="I119">
        <v>2033</v>
      </c>
      <c r="J119" t="s">
        <v>25</v>
      </c>
      <c r="K119">
        <f t="shared" si="34"/>
        <v>132.5</v>
      </c>
      <c r="L119" cm="1">
        <f t="array" ref="L119">STOWA2024_JAARROND_T(A119*60,K119,I119,"L","")</f>
        <v>24.722185093770019</v>
      </c>
      <c r="M119">
        <f t="shared" si="35"/>
        <v>4.0449498950317284E-2</v>
      </c>
    </row>
    <row r="120" spans="1:13" x14ac:dyDescent="0.3">
      <c r="A120">
        <v>192</v>
      </c>
      <c r="B120">
        <f t="shared" si="32"/>
        <v>1.0842283765471125E-2</v>
      </c>
      <c r="C120">
        <f t="shared" si="28"/>
        <v>1.0842283765471125E-2</v>
      </c>
      <c r="D120" t="s">
        <v>26</v>
      </c>
      <c r="E120" t="s">
        <v>21</v>
      </c>
      <c r="F120">
        <v>1</v>
      </c>
      <c r="G120">
        <f t="shared" si="33"/>
        <v>135</v>
      </c>
      <c r="I120">
        <v>2033</v>
      </c>
      <c r="J120" t="s">
        <v>25</v>
      </c>
      <c r="K120">
        <f t="shared" si="34"/>
        <v>137.5</v>
      </c>
      <c r="L120" cm="1">
        <f t="array" ref="L120">STOWA2024_JAARROND_T(A120*60,K120,I120,"L","")</f>
        <v>33.775550782358934</v>
      </c>
      <c r="M120">
        <f t="shared" si="35"/>
        <v>2.9607215184846158E-2</v>
      </c>
    </row>
    <row r="121" spans="1:13" x14ac:dyDescent="0.3">
      <c r="A121">
        <v>192</v>
      </c>
      <c r="B121">
        <f t="shared" si="32"/>
        <v>7.9451145890122518E-3</v>
      </c>
      <c r="C121">
        <f t="shared" si="28"/>
        <v>7.9451145890122518E-3</v>
      </c>
      <c r="D121" t="s">
        <v>26</v>
      </c>
      <c r="E121" t="s">
        <v>21</v>
      </c>
      <c r="F121">
        <v>1</v>
      </c>
      <c r="G121">
        <f t="shared" si="33"/>
        <v>140</v>
      </c>
      <c r="I121">
        <v>2033</v>
      </c>
      <c r="J121" t="s">
        <v>25</v>
      </c>
      <c r="K121">
        <f t="shared" si="34"/>
        <v>142.5</v>
      </c>
      <c r="L121" cm="1">
        <f t="array" ref="L121">STOWA2024_JAARROND_T(A121*60,K121,I121,"L","")</f>
        <v>46.163574745485292</v>
      </c>
      <c r="M121">
        <f t="shared" si="35"/>
        <v>2.1662100595833907E-2</v>
      </c>
    </row>
    <row r="122" spans="1:13" x14ac:dyDescent="0.3">
      <c r="A122">
        <v>192</v>
      </c>
      <c r="B122">
        <f t="shared" si="32"/>
        <v>5.8196743255817668E-3</v>
      </c>
      <c r="C122">
        <f t="shared" si="28"/>
        <v>5.8196743255817668E-3</v>
      </c>
      <c r="D122" t="s">
        <v>26</v>
      </c>
      <c r="E122" t="s">
        <v>21</v>
      </c>
      <c r="F122">
        <v>1</v>
      </c>
      <c r="G122">
        <f t="shared" si="33"/>
        <v>145</v>
      </c>
      <c r="I122">
        <v>2033</v>
      </c>
      <c r="J122" t="s">
        <v>25</v>
      </c>
      <c r="K122">
        <f t="shared" si="34"/>
        <v>147.5</v>
      </c>
      <c r="L122" cm="1">
        <f t="array" ref="L122">STOWA2024_JAARROND_T(A122*60,K122,I122,"L","")</f>
        <v>63.121644560071822</v>
      </c>
      <c r="M122">
        <f t="shared" si="35"/>
        <v>1.584242627025214E-2</v>
      </c>
    </row>
    <row r="123" spans="1:13" x14ac:dyDescent="0.3">
      <c r="A123">
        <v>192</v>
      </c>
      <c r="B123">
        <f t="shared" si="32"/>
        <v>4.2610423685086694E-3</v>
      </c>
      <c r="C123">
        <f t="shared" si="28"/>
        <v>4.2610423685086694E-3</v>
      </c>
      <c r="D123" t="s">
        <v>26</v>
      </c>
      <c r="E123" t="s">
        <v>21</v>
      </c>
      <c r="F123">
        <v>1</v>
      </c>
      <c r="G123">
        <f t="shared" si="33"/>
        <v>150</v>
      </c>
      <c r="I123">
        <v>2033</v>
      </c>
      <c r="J123" t="s">
        <v>25</v>
      </c>
      <c r="K123">
        <f t="shared" si="34"/>
        <v>152.5</v>
      </c>
      <c r="L123" cm="1">
        <f t="array" ref="L123">STOWA2024_JAARROND_T(A123*60,K123,I123,"L","")</f>
        <v>86.3454668702813</v>
      </c>
      <c r="M123">
        <f t="shared" si="35"/>
        <v>1.158138390174347E-2</v>
      </c>
    </row>
    <row r="124" spans="1:13" x14ac:dyDescent="0.3">
      <c r="A124">
        <v>192</v>
      </c>
      <c r="B124">
        <f t="shared" si="32"/>
        <v>3.1185391681597154E-3</v>
      </c>
      <c r="C124">
        <f t="shared" si="28"/>
        <v>3.1185391681597154E-3</v>
      </c>
      <c r="D124" t="s">
        <v>26</v>
      </c>
      <c r="E124" t="s">
        <v>21</v>
      </c>
      <c r="F124">
        <v>1</v>
      </c>
      <c r="G124">
        <f t="shared" si="33"/>
        <v>155</v>
      </c>
      <c r="I124">
        <v>2033</v>
      </c>
      <c r="J124" t="s">
        <v>25</v>
      </c>
      <c r="K124">
        <f t="shared" si="34"/>
        <v>157.5</v>
      </c>
      <c r="L124" cm="1">
        <f t="array" ref="L124">STOWA2024_JAARROND_T(A124*60,K124,I124,"L","")</f>
        <v>118.16357637185797</v>
      </c>
      <c r="M124">
        <f t="shared" si="35"/>
        <v>8.4628447335837551E-3</v>
      </c>
    </row>
    <row r="125" spans="1:13" x14ac:dyDescent="0.3">
      <c r="A125">
        <v>192</v>
      </c>
      <c r="B125" s="1">
        <f>M124</f>
        <v>8.4628447335837551E-3</v>
      </c>
      <c r="C125">
        <f t="shared" si="28"/>
        <v>8.4628447335837551E-3</v>
      </c>
      <c r="D125" t="s">
        <v>26</v>
      </c>
      <c r="E125" t="s">
        <v>21</v>
      </c>
      <c r="F125">
        <v>1</v>
      </c>
      <c r="G125">
        <f t="shared" si="33"/>
        <v>160</v>
      </c>
      <c r="I125">
        <v>2033</v>
      </c>
      <c r="J125" t="s">
        <v>25</v>
      </c>
      <c r="K125">
        <f>AVERAGE(G125:G126)</f>
        <v>85</v>
      </c>
      <c r="L125" cm="1">
        <f t="array" ref="L125">STOWA2024_JAARROND_T(A125*60,K125,I125,"L","")</f>
        <v>1.302095573272116</v>
      </c>
      <c r="M125">
        <f>1/L125</f>
        <v>0.76799278065821119</v>
      </c>
    </row>
    <row r="126" spans="1:13" x14ac:dyDescent="0.3">
      <c r="A126">
        <v>216</v>
      </c>
      <c r="B126" s="1">
        <f>365.25*24/A126 - M126</f>
        <v>-16.05037066957339</v>
      </c>
      <c r="C126">
        <f>B126</f>
        <v>-16.05037066957339</v>
      </c>
      <c r="D126" t="s">
        <v>26</v>
      </c>
      <c r="E126" t="s">
        <v>21</v>
      </c>
      <c r="F126">
        <v>1</v>
      </c>
      <c r="G126">
        <v>10</v>
      </c>
      <c r="I126">
        <v>2033</v>
      </c>
      <c r="J126" t="s">
        <v>25</v>
      </c>
      <c r="K126">
        <f>AVERAGE(G126:G128)</f>
        <v>15</v>
      </c>
      <c r="L126" cm="1">
        <f t="array" ref="L126">STOWA2024_JAARROND_T(A126*60,K126,I126,"L","")</f>
        <v>1.7657329987610822E-2</v>
      </c>
      <c r="M126">
        <f>1/L126</f>
        <v>56.633704002906725</v>
      </c>
    </row>
    <row r="127" spans="1:13" x14ac:dyDescent="0.3">
      <c r="A127">
        <v>216</v>
      </c>
      <c r="B127">
        <f t="shared" ref="B127:B131" si="36">M126-M127</f>
        <v>7.377480838895508</v>
      </c>
      <c r="C127">
        <f t="shared" ref="C127:C156" si="37">B127</f>
        <v>7.377480838895508</v>
      </c>
      <c r="D127" t="s">
        <v>26</v>
      </c>
      <c r="E127" t="s">
        <v>21</v>
      </c>
      <c r="F127">
        <v>1</v>
      </c>
      <c r="G127">
        <f t="shared" ref="G127:G131" si="38">G126+5</f>
        <v>15</v>
      </c>
      <c r="I127">
        <v>2033</v>
      </c>
      <c r="J127" t="s">
        <v>25</v>
      </c>
      <c r="K127">
        <f t="shared" ref="K127:K131" si="39">AVERAGE(G127:G128)</f>
        <v>17.5</v>
      </c>
      <c r="L127" cm="1">
        <f t="array" ref="L127">STOWA2024_JAARROND_T(A127*60,K127,I127,"L","")</f>
        <v>2.030200319399731E-2</v>
      </c>
      <c r="M127">
        <f t="shared" ref="M127:M131" si="40">1/L127</f>
        <v>49.256223164011217</v>
      </c>
    </row>
    <row r="128" spans="1:13" x14ac:dyDescent="0.3">
      <c r="A128">
        <v>216</v>
      </c>
      <c r="B128">
        <f t="shared" si="36"/>
        <v>12.030662345281222</v>
      </c>
      <c r="C128">
        <f t="shared" si="37"/>
        <v>12.030662345281222</v>
      </c>
      <c r="D128" t="s">
        <v>26</v>
      </c>
      <c r="E128" t="s">
        <v>21</v>
      </c>
      <c r="F128">
        <v>1</v>
      </c>
      <c r="G128">
        <f t="shared" si="38"/>
        <v>20</v>
      </c>
      <c r="I128">
        <v>2033</v>
      </c>
      <c r="J128" t="s">
        <v>25</v>
      </c>
      <c r="K128">
        <f t="shared" si="39"/>
        <v>22.5</v>
      </c>
      <c r="L128" cm="1">
        <f t="array" ref="L128">STOWA2024_JAARROND_T(A128*60,K128,I128,"L","")</f>
        <v>2.6863262178090579E-2</v>
      </c>
      <c r="M128">
        <f t="shared" si="40"/>
        <v>37.225560818729996</v>
      </c>
    </row>
    <row r="129" spans="1:13" x14ac:dyDescent="0.3">
      <c r="A129">
        <v>216</v>
      </c>
      <c r="B129">
        <f t="shared" si="36"/>
        <v>9.1259580894614452</v>
      </c>
      <c r="C129">
        <f t="shared" si="37"/>
        <v>9.1259580894614452</v>
      </c>
      <c r="D129" t="s">
        <v>26</v>
      </c>
      <c r="E129" t="s">
        <v>21</v>
      </c>
      <c r="F129">
        <v>1</v>
      </c>
      <c r="G129">
        <f t="shared" si="38"/>
        <v>25</v>
      </c>
      <c r="I129">
        <v>2033</v>
      </c>
      <c r="J129" t="s">
        <v>25</v>
      </c>
      <c r="K129">
        <f t="shared" si="39"/>
        <v>27.5</v>
      </c>
      <c r="L129" cm="1">
        <f t="array" ref="L129">STOWA2024_JAARROND_T(A129*60,K129,I129,"L","")</f>
        <v>3.5587691741933415E-2</v>
      </c>
      <c r="M129">
        <f t="shared" si="40"/>
        <v>28.09960272926855</v>
      </c>
    </row>
    <row r="130" spans="1:13" x14ac:dyDescent="0.3">
      <c r="A130">
        <v>216</v>
      </c>
      <c r="B130">
        <f t="shared" si="36"/>
        <v>6.9142039842669476</v>
      </c>
      <c r="C130">
        <f t="shared" si="37"/>
        <v>6.9142039842669476</v>
      </c>
      <c r="D130" t="s">
        <v>26</v>
      </c>
      <c r="E130" t="s">
        <v>21</v>
      </c>
      <c r="F130">
        <v>1</v>
      </c>
      <c r="G130">
        <f t="shared" si="38"/>
        <v>30</v>
      </c>
      <c r="I130">
        <v>2033</v>
      </c>
      <c r="J130" t="s">
        <v>25</v>
      </c>
      <c r="K130">
        <f t="shared" si="39"/>
        <v>32.5</v>
      </c>
      <c r="L130" cm="1">
        <f t="array" ref="L130">STOWA2024_JAARROND_T(A130*60,K130,I130,"L","")</f>
        <v>4.7202321374099035E-2</v>
      </c>
      <c r="M130">
        <f t="shared" si="40"/>
        <v>21.185398745001603</v>
      </c>
    </row>
    <row r="131" spans="1:13" x14ac:dyDescent="0.3">
      <c r="A131">
        <v>216</v>
      </c>
      <c r="B131">
        <f t="shared" si="36"/>
        <v>5.2322581445306913</v>
      </c>
      <c r="C131">
        <f t="shared" si="37"/>
        <v>5.2322581445306913</v>
      </c>
      <c r="D131" t="s">
        <v>26</v>
      </c>
      <c r="E131" t="s">
        <v>21</v>
      </c>
      <c r="F131">
        <v>1</v>
      </c>
      <c r="G131">
        <f t="shared" si="38"/>
        <v>35</v>
      </c>
      <c r="I131">
        <v>2033</v>
      </c>
      <c r="J131" t="s">
        <v>25</v>
      </c>
      <c r="K131">
        <f t="shared" si="39"/>
        <v>37.5</v>
      </c>
      <c r="L131" cm="1">
        <f t="array" ref="L131">STOWA2024_JAARROND_T(A131*60,K131,I131,"L","")</f>
        <v>6.2683582188856377E-2</v>
      </c>
      <c r="M131">
        <f t="shared" si="40"/>
        <v>15.953140600470912</v>
      </c>
    </row>
    <row r="132" spans="1:13" x14ac:dyDescent="0.3">
      <c r="A132">
        <v>216</v>
      </c>
      <c r="B132">
        <f>M131-M132</f>
        <v>3.9547236760017377</v>
      </c>
      <c r="C132">
        <f t="shared" si="37"/>
        <v>3.9547236760017377</v>
      </c>
      <c r="D132" t="s">
        <v>26</v>
      </c>
      <c r="E132" t="s">
        <v>21</v>
      </c>
      <c r="F132">
        <v>1</v>
      </c>
      <c r="G132">
        <f>G131+5</f>
        <v>40</v>
      </c>
      <c r="I132">
        <v>2033</v>
      </c>
      <c r="J132" t="s">
        <v>25</v>
      </c>
      <c r="K132">
        <f>AVERAGE(G132:G133)</f>
        <v>42.5</v>
      </c>
      <c r="L132" cm="1">
        <f t="array" ref="L132">STOWA2024_JAARROND_T(A132*60,K132,I132,"L","")</f>
        <v>8.3344328363905498E-2</v>
      </c>
      <c r="M132">
        <f>1/L132</f>
        <v>11.998416924469174</v>
      </c>
    </row>
    <row r="133" spans="1:13" x14ac:dyDescent="0.3">
      <c r="A133">
        <v>216</v>
      </c>
      <c r="B133">
        <f t="shared" ref="B133:B155" si="41">M132-M133</f>
        <v>2.9855066915127271</v>
      </c>
      <c r="C133">
        <f t="shared" si="37"/>
        <v>2.9855066915127271</v>
      </c>
      <c r="D133" t="s">
        <v>26</v>
      </c>
      <c r="E133" t="s">
        <v>21</v>
      </c>
      <c r="F133">
        <v>1</v>
      </c>
      <c r="G133">
        <f t="shared" ref="G133:G156" si="42">G132+5</f>
        <v>45</v>
      </c>
      <c r="I133">
        <v>2033</v>
      </c>
      <c r="J133" t="s">
        <v>25</v>
      </c>
      <c r="K133">
        <f t="shared" ref="K133:K155" si="43">AVERAGE(G133:G134)</f>
        <v>47.5</v>
      </c>
      <c r="L133" cm="1">
        <f t="array" ref="L133">STOWA2024_JAARROND_T(A133*60,K133,I133,"L","")</f>
        <v>0.11095195382546005</v>
      </c>
      <c r="M133">
        <f t="shared" ref="M133:M155" si="44">1/L133</f>
        <v>9.0129102329564468</v>
      </c>
    </row>
    <row r="134" spans="1:13" x14ac:dyDescent="0.3">
      <c r="A134">
        <v>216</v>
      </c>
      <c r="B134">
        <f t="shared" si="41"/>
        <v>2.2510740519378807</v>
      </c>
      <c r="C134">
        <f t="shared" si="37"/>
        <v>2.2510740519378807</v>
      </c>
      <c r="D134" t="s">
        <v>26</v>
      </c>
      <c r="E134" t="s">
        <v>21</v>
      </c>
      <c r="F134">
        <v>1</v>
      </c>
      <c r="G134">
        <f t="shared" si="42"/>
        <v>50</v>
      </c>
      <c r="I134">
        <v>2033</v>
      </c>
      <c r="J134" t="s">
        <v>25</v>
      </c>
      <c r="K134">
        <f t="shared" si="43"/>
        <v>52.5</v>
      </c>
      <c r="L134" cm="1">
        <f t="array" ref="L134">STOWA2024_JAARROND_T(A134*60,K134,I134,"L","")</f>
        <v>0.14788882386815905</v>
      </c>
      <c r="M134">
        <f t="shared" si="44"/>
        <v>6.7618361810185661</v>
      </c>
    </row>
    <row r="135" spans="1:13" x14ac:dyDescent="0.3">
      <c r="A135">
        <v>216</v>
      </c>
      <c r="B135">
        <f t="shared" si="41"/>
        <v>1.6952746841347341</v>
      </c>
      <c r="C135">
        <f t="shared" si="37"/>
        <v>1.6952746841347341</v>
      </c>
      <c r="D135" t="s">
        <v>26</v>
      </c>
      <c r="E135" t="s">
        <v>21</v>
      </c>
      <c r="F135">
        <v>1</v>
      </c>
      <c r="G135">
        <f t="shared" si="42"/>
        <v>55</v>
      </c>
      <c r="I135">
        <v>2033</v>
      </c>
      <c r="J135" t="s">
        <v>25</v>
      </c>
      <c r="K135">
        <f t="shared" si="43"/>
        <v>57.5</v>
      </c>
      <c r="L135" cm="1">
        <f t="array" ref="L135">STOWA2024_JAARROND_T(A135*60,K135,I135,"L","")</f>
        <v>0.19737251795227315</v>
      </c>
      <c r="M135">
        <f t="shared" si="44"/>
        <v>5.0665614968838319</v>
      </c>
    </row>
    <row r="136" spans="1:13" x14ac:dyDescent="0.3">
      <c r="A136">
        <v>216</v>
      </c>
      <c r="B136">
        <f t="shared" si="41"/>
        <v>1.2750587772046842</v>
      </c>
      <c r="C136">
        <f t="shared" si="37"/>
        <v>1.2750587772046842</v>
      </c>
      <c r="D136" t="s">
        <v>26</v>
      </c>
      <c r="E136" t="s">
        <v>21</v>
      </c>
      <c r="F136">
        <v>1</v>
      </c>
      <c r="G136">
        <f t="shared" si="42"/>
        <v>60</v>
      </c>
      <c r="I136">
        <v>2033</v>
      </c>
      <c r="J136" t="s">
        <v>25</v>
      </c>
      <c r="K136">
        <f t="shared" si="43"/>
        <v>62.5</v>
      </c>
      <c r="L136" cm="1">
        <f t="array" ref="L136">STOWA2024_JAARROND_T(A136*60,K136,I136,"L","")</f>
        <v>0.2637476678599413</v>
      </c>
      <c r="M136">
        <f t="shared" si="44"/>
        <v>3.7915027196791478</v>
      </c>
    </row>
    <row r="137" spans="1:13" x14ac:dyDescent="0.3">
      <c r="A137">
        <v>216</v>
      </c>
      <c r="B137">
        <f t="shared" si="41"/>
        <v>0.95779746677527022</v>
      </c>
      <c r="C137">
        <f t="shared" si="37"/>
        <v>0.95779746677527022</v>
      </c>
      <c r="D137" t="s">
        <v>26</v>
      </c>
      <c r="E137" t="s">
        <v>21</v>
      </c>
      <c r="F137">
        <v>1</v>
      </c>
      <c r="G137">
        <f t="shared" si="42"/>
        <v>65</v>
      </c>
      <c r="I137">
        <v>2033</v>
      </c>
      <c r="J137" t="s">
        <v>25</v>
      </c>
      <c r="K137">
        <f t="shared" si="43"/>
        <v>67.5</v>
      </c>
      <c r="L137" cm="1">
        <f t="array" ref="L137">STOWA2024_JAARROND_T(A137*60,K137,I137,"L","")</f>
        <v>0.35289485346975891</v>
      </c>
      <c r="M137">
        <f t="shared" si="44"/>
        <v>2.8337052529038775</v>
      </c>
    </row>
    <row r="138" spans="1:13" x14ac:dyDescent="0.3">
      <c r="A138">
        <v>216</v>
      </c>
      <c r="B138">
        <f t="shared" si="41"/>
        <v>0.71856596580696541</v>
      </c>
      <c r="C138">
        <f t="shared" si="37"/>
        <v>0.71856596580696541</v>
      </c>
      <c r="D138" t="s">
        <v>26</v>
      </c>
      <c r="E138" t="s">
        <v>21</v>
      </c>
      <c r="F138">
        <v>1</v>
      </c>
      <c r="G138">
        <f t="shared" si="42"/>
        <v>70</v>
      </c>
      <c r="I138">
        <v>2033</v>
      </c>
      <c r="J138" t="s">
        <v>25</v>
      </c>
      <c r="K138">
        <f t="shared" si="43"/>
        <v>72.5</v>
      </c>
      <c r="L138" cm="1">
        <f t="array" ref="L138">STOWA2024_JAARROND_T(A138*60,K138,I138,"L","")</f>
        <v>0.47278210286213729</v>
      </c>
      <c r="M138">
        <f t="shared" si="44"/>
        <v>2.1151392870969121</v>
      </c>
    </row>
    <row r="139" spans="1:13" x14ac:dyDescent="0.3">
      <c r="A139">
        <v>216</v>
      </c>
      <c r="B139">
        <f t="shared" si="41"/>
        <v>0.53841402028019858</v>
      </c>
      <c r="C139">
        <f t="shared" si="37"/>
        <v>0.53841402028019858</v>
      </c>
      <c r="D139" t="s">
        <v>26</v>
      </c>
      <c r="E139" t="s">
        <v>21</v>
      </c>
      <c r="F139">
        <v>1</v>
      </c>
      <c r="G139">
        <f t="shared" si="42"/>
        <v>75</v>
      </c>
      <c r="I139">
        <v>2033</v>
      </c>
      <c r="J139" t="s">
        <v>25</v>
      </c>
      <c r="K139">
        <f t="shared" si="43"/>
        <v>77.5</v>
      </c>
      <c r="L139" cm="1">
        <f t="array" ref="L139">STOWA2024_JAARROND_T(A139*60,K139,I139,"L","")</f>
        <v>0.63422589911235627</v>
      </c>
      <c r="M139">
        <f t="shared" si="44"/>
        <v>1.5767252668167135</v>
      </c>
    </row>
    <row r="140" spans="1:13" x14ac:dyDescent="0.3">
      <c r="A140">
        <v>216</v>
      </c>
      <c r="B140">
        <f t="shared" si="41"/>
        <v>0.40290877061264796</v>
      </c>
      <c r="C140">
        <f t="shared" si="37"/>
        <v>0.40290877061264796</v>
      </c>
      <c r="D140" t="s">
        <v>26</v>
      </c>
      <c r="E140" t="s">
        <v>21</v>
      </c>
      <c r="F140">
        <v>1</v>
      </c>
      <c r="G140">
        <f t="shared" si="42"/>
        <v>80</v>
      </c>
      <c r="I140">
        <v>2033</v>
      </c>
      <c r="J140" t="s">
        <v>25</v>
      </c>
      <c r="K140">
        <f t="shared" si="43"/>
        <v>82.5</v>
      </c>
      <c r="L140" cm="1">
        <f t="array" ref="L140">STOWA2024_JAARROND_T(A140*60,K140,I140,"L","")</f>
        <v>0.85192191729613587</v>
      </c>
      <c r="M140">
        <f t="shared" si="44"/>
        <v>1.1738164962040656</v>
      </c>
    </row>
    <row r="141" spans="1:13" x14ac:dyDescent="0.3">
      <c r="A141">
        <v>216</v>
      </c>
      <c r="B141">
        <f t="shared" si="41"/>
        <v>0.30103694995377117</v>
      </c>
      <c r="C141">
        <f t="shared" si="37"/>
        <v>0.30103694995377117</v>
      </c>
      <c r="D141" t="s">
        <v>26</v>
      </c>
      <c r="E141" t="s">
        <v>21</v>
      </c>
      <c r="F141">
        <v>1</v>
      </c>
      <c r="G141">
        <f t="shared" si="42"/>
        <v>85</v>
      </c>
      <c r="I141">
        <v>2033</v>
      </c>
      <c r="J141" t="s">
        <v>25</v>
      </c>
      <c r="K141">
        <f t="shared" si="43"/>
        <v>87.5</v>
      </c>
      <c r="L141" cm="1">
        <f t="array" ref="L141">STOWA2024_JAARROND_T(A141*60,K141,I141,"L","")</f>
        <v>1.1457647057567748</v>
      </c>
      <c r="M141">
        <f t="shared" si="44"/>
        <v>0.87277954625029441</v>
      </c>
    </row>
    <row r="142" spans="1:13" x14ac:dyDescent="0.3">
      <c r="A142">
        <v>216</v>
      </c>
      <c r="B142">
        <f t="shared" si="41"/>
        <v>0.22475396860548091</v>
      </c>
      <c r="C142">
        <f t="shared" si="37"/>
        <v>0.22475396860548091</v>
      </c>
      <c r="D142" t="s">
        <v>26</v>
      </c>
      <c r="E142" t="s">
        <v>21</v>
      </c>
      <c r="F142">
        <v>1</v>
      </c>
      <c r="G142">
        <f t="shared" si="42"/>
        <v>90</v>
      </c>
      <c r="I142">
        <v>2033</v>
      </c>
      <c r="J142" t="s">
        <v>25</v>
      </c>
      <c r="K142">
        <f t="shared" si="43"/>
        <v>92.5</v>
      </c>
      <c r="L142" cm="1">
        <f t="array" ref="L142">STOWA2024_JAARROND_T(A142*60,K142,I142,"L","")</f>
        <v>1.5431489658701492</v>
      </c>
      <c r="M142">
        <f t="shared" si="44"/>
        <v>0.6480255776448135</v>
      </c>
    </row>
    <row r="143" spans="1:13" x14ac:dyDescent="0.3">
      <c r="A143">
        <v>216</v>
      </c>
      <c r="B143">
        <f t="shared" si="41"/>
        <v>0.16752490244391305</v>
      </c>
      <c r="C143">
        <f t="shared" si="37"/>
        <v>0.16752490244391305</v>
      </c>
      <c r="D143" t="s">
        <v>26</v>
      </c>
      <c r="E143" t="s">
        <v>21</v>
      </c>
      <c r="F143">
        <v>1</v>
      </c>
      <c r="G143">
        <f t="shared" si="42"/>
        <v>95</v>
      </c>
      <c r="I143">
        <v>2033</v>
      </c>
      <c r="J143" t="s">
        <v>25</v>
      </c>
      <c r="K143">
        <f t="shared" si="43"/>
        <v>97.5</v>
      </c>
      <c r="L143" cm="1">
        <f t="array" ref="L143">STOWA2024_JAARROND_T(A143*60,K143,I143,"L","")</f>
        <v>2.0811625281939374</v>
      </c>
      <c r="M143">
        <f t="shared" si="44"/>
        <v>0.48050067520090045</v>
      </c>
    </row>
    <row r="144" spans="1:13" x14ac:dyDescent="0.3">
      <c r="A144">
        <v>216</v>
      </c>
      <c r="B144">
        <f t="shared" si="41"/>
        <v>0.12470482620180268</v>
      </c>
      <c r="C144">
        <f t="shared" si="37"/>
        <v>0.12470482620180268</v>
      </c>
      <c r="D144" t="s">
        <v>26</v>
      </c>
      <c r="E144" t="s">
        <v>21</v>
      </c>
      <c r="F144">
        <v>1</v>
      </c>
      <c r="G144">
        <f t="shared" si="42"/>
        <v>100</v>
      </c>
      <c r="I144">
        <v>2033</v>
      </c>
      <c r="J144" t="s">
        <v>25</v>
      </c>
      <c r="K144">
        <f t="shared" si="43"/>
        <v>102.5</v>
      </c>
      <c r="L144" cm="1">
        <f t="array" ref="L144">STOWA2024_JAARROND_T(A144*60,K144,I144,"L","")</f>
        <v>2.8106005250289914</v>
      </c>
      <c r="M144">
        <f t="shared" si="44"/>
        <v>0.35579584899909777</v>
      </c>
    </row>
    <row r="145" spans="1:13" x14ac:dyDescent="0.3">
      <c r="A145">
        <v>216</v>
      </c>
      <c r="B145">
        <f t="shared" si="41"/>
        <v>9.2703025423107599E-2</v>
      </c>
      <c r="C145">
        <f t="shared" si="37"/>
        <v>9.2703025423107599E-2</v>
      </c>
      <c r="D145" t="s">
        <v>26</v>
      </c>
      <c r="E145" t="s">
        <v>21</v>
      </c>
      <c r="F145">
        <v>1</v>
      </c>
      <c r="G145">
        <f t="shared" si="42"/>
        <v>105</v>
      </c>
      <c r="I145">
        <v>2033</v>
      </c>
      <c r="J145" t="s">
        <v>25</v>
      </c>
      <c r="K145">
        <f t="shared" si="43"/>
        <v>107.5</v>
      </c>
      <c r="L145" cm="1">
        <f t="array" ref="L145">STOWA2024_JAARROND_T(A145*60,K145,I145,"L","")</f>
        <v>3.800939859962261</v>
      </c>
      <c r="M145">
        <f t="shared" si="44"/>
        <v>0.26309282357599018</v>
      </c>
    </row>
    <row r="146" spans="1:13" x14ac:dyDescent="0.3">
      <c r="A146">
        <v>216</v>
      </c>
      <c r="B146">
        <f t="shared" si="41"/>
        <v>6.8817973646688291E-2</v>
      </c>
      <c r="C146">
        <f t="shared" si="37"/>
        <v>6.8817973646688291E-2</v>
      </c>
      <c r="D146" t="s">
        <v>26</v>
      </c>
      <c r="E146" t="s">
        <v>21</v>
      </c>
      <c r="F146">
        <v>1</v>
      </c>
      <c r="G146">
        <f t="shared" si="42"/>
        <v>110</v>
      </c>
      <c r="I146">
        <v>2033</v>
      </c>
      <c r="J146" t="s">
        <v>25</v>
      </c>
      <c r="K146">
        <f t="shared" si="43"/>
        <v>112.5</v>
      </c>
      <c r="L146" cm="1">
        <f t="array" ref="L146">STOWA2024_JAARROND_T(A146*60,K146,I146,"L","")</f>
        <v>5.1473466604859439</v>
      </c>
      <c r="M146">
        <f t="shared" si="44"/>
        <v>0.19427484992930188</v>
      </c>
    </row>
    <row r="147" spans="1:13" x14ac:dyDescent="0.3">
      <c r="A147">
        <v>216</v>
      </c>
      <c r="B147">
        <f t="shared" si="41"/>
        <v>5.1018152973893449E-2</v>
      </c>
      <c r="C147">
        <f t="shared" si="37"/>
        <v>5.1018152973893449E-2</v>
      </c>
      <c r="D147" t="s">
        <v>26</v>
      </c>
      <c r="E147" t="s">
        <v>21</v>
      </c>
      <c r="F147">
        <v>1</v>
      </c>
      <c r="G147">
        <f t="shared" si="42"/>
        <v>115</v>
      </c>
      <c r="I147">
        <v>2033</v>
      </c>
      <c r="J147" t="s">
        <v>25</v>
      </c>
      <c r="K147">
        <f t="shared" si="43"/>
        <v>117.5</v>
      </c>
      <c r="L147" cm="1">
        <f t="array" ref="L147">STOWA2024_JAARROND_T(A147*60,K147,I147,"L","")</f>
        <v>6.9804764541742186</v>
      </c>
      <c r="M147">
        <f t="shared" si="44"/>
        <v>0.14325669695540844</v>
      </c>
    </row>
    <row r="148" spans="1:13" x14ac:dyDescent="0.3">
      <c r="A148">
        <v>216</v>
      </c>
      <c r="B148">
        <f t="shared" si="41"/>
        <v>3.7770571863155925E-2</v>
      </c>
      <c r="C148">
        <f t="shared" si="37"/>
        <v>3.7770571863155925E-2</v>
      </c>
      <c r="D148" t="s">
        <v>26</v>
      </c>
      <c r="E148" t="s">
        <v>21</v>
      </c>
      <c r="F148">
        <v>1</v>
      </c>
      <c r="G148">
        <f t="shared" si="42"/>
        <v>120</v>
      </c>
      <c r="I148">
        <v>2033</v>
      </c>
      <c r="J148" t="s">
        <v>25</v>
      </c>
      <c r="K148">
        <f t="shared" si="43"/>
        <v>122.5</v>
      </c>
      <c r="L148" cm="1">
        <f t="array" ref="L148">STOWA2024_JAARROND_T(A148*60,K148,I148,"L","")</f>
        <v>9.4799197441886651</v>
      </c>
      <c r="M148">
        <f t="shared" si="44"/>
        <v>0.10548612509225251</v>
      </c>
    </row>
    <row r="149" spans="1:13" x14ac:dyDescent="0.3">
      <c r="A149">
        <v>216</v>
      </c>
      <c r="B149">
        <f t="shared" si="41"/>
        <v>2.7922439072336713E-2</v>
      </c>
      <c r="C149">
        <f t="shared" si="37"/>
        <v>2.7922439072336713E-2</v>
      </c>
      <c r="D149" t="s">
        <v>26</v>
      </c>
      <c r="E149" t="s">
        <v>21</v>
      </c>
      <c r="F149">
        <v>1</v>
      </c>
      <c r="G149">
        <f t="shared" si="42"/>
        <v>125</v>
      </c>
      <c r="I149">
        <v>2033</v>
      </c>
      <c r="J149" t="s">
        <v>25</v>
      </c>
      <c r="K149">
        <f t="shared" si="43"/>
        <v>127.5</v>
      </c>
      <c r="L149" cm="1">
        <f t="array" ref="L149">STOWA2024_JAARROND_T(A149*60,K149,I149,"L","")</f>
        <v>12.892631221048894</v>
      </c>
      <c r="M149">
        <f t="shared" si="44"/>
        <v>7.7563686019915798E-2</v>
      </c>
    </row>
    <row r="150" spans="1:13" x14ac:dyDescent="0.3">
      <c r="A150">
        <v>216</v>
      </c>
      <c r="B150">
        <f t="shared" si="41"/>
        <v>2.0613475686790159E-2</v>
      </c>
      <c r="C150">
        <f t="shared" si="37"/>
        <v>2.0613475686790159E-2</v>
      </c>
      <c r="D150" t="s">
        <v>26</v>
      </c>
      <c r="E150" t="s">
        <v>21</v>
      </c>
      <c r="F150">
        <v>1</v>
      </c>
      <c r="G150">
        <f t="shared" si="42"/>
        <v>130</v>
      </c>
      <c r="I150">
        <v>2033</v>
      </c>
      <c r="J150" t="s">
        <v>25</v>
      </c>
      <c r="K150">
        <f t="shared" si="43"/>
        <v>132.5</v>
      </c>
      <c r="L150" cm="1">
        <f t="array" ref="L150">STOWA2024_JAARROND_T(A150*60,K150,I150,"L","")</f>
        <v>17.559197659685207</v>
      </c>
      <c r="M150">
        <f t="shared" si="44"/>
        <v>5.6950210333125639E-2</v>
      </c>
    </row>
    <row r="151" spans="1:13" x14ac:dyDescent="0.3">
      <c r="A151">
        <v>216</v>
      </c>
      <c r="B151">
        <f t="shared" si="41"/>
        <v>1.5196287851727185E-2</v>
      </c>
      <c r="C151">
        <f t="shared" si="37"/>
        <v>1.5196287851727185E-2</v>
      </c>
      <c r="D151" t="s">
        <v>26</v>
      </c>
      <c r="E151" t="s">
        <v>21</v>
      </c>
      <c r="F151">
        <v>1</v>
      </c>
      <c r="G151">
        <f t="shared" si="42"/>
        <v>135</v>
      </c>
      <c r="I151">
        <v>2033</v>
      </c>
      <c r="J151" t="s">
        <v>25</v>
      </c>
      <c r="K151">
        <f t="shared" si="43"/>
        <v>137.5</v>
      </c>
      <c r="L151" cm="1">
        <f t="array" ref="L151">STOWA2024_JAARROND_T(A151*60,K151,I151,"L","")</f>
        <v>23.949845680857987</v>
      </c>
      <c r="M151">
        <f t="shared" si="44"/>
        <v>4.1753922481398455E-2</v>
      </c>
    </row>
    <row r="152" spans="1:13" x14ac:dyDescent="0.3">
      <c r="A152">
        <v>216</v>
      </c>
      <c r="B152">
        <f t="shared" si="41"/>
        <v>1.1186134197091555E-2</v>
      </c>
      <c r="C152">
        <f t="shared" si="37"/>
        <v>1.1186134197091555E-2</v>
      </c>
      <c r="D152" t="s">
        <v>26</v>
      </c>
      <c r="E152" t="s">
        <v>21</v>
      </c>
      <c r="F152">
        <v>1</v>
      </c>
      <c r="G152">
        <f t="shared" si="42"/>
        <v>140</v>
      </c>
      <c r="I152">
        <v>2033</v>
      </c>
      <c r="J152" t="s">
        <v>25</v>
      </c>
      <c r="K152">
        <f t="shared" si="43"/>
        <v>142.5</v>
      </c>
      <c r="L152" cm="1">
        <f t="array" ref="L152">STOWA2024_JAARROND_T(A152*60,K152,I152,"L","")</f>
        <v>32.714175808178666</v>
      </c>
      <c r="M152">
        <f t="shared" si="44"/>
        <v>3.0567788284306899E-2</v>
      </c>
    </row>
    <row r="153" spans="1:13" x14ac:dyDescent="0.3">
      <c r="A153">
        <v>216</v>
      </c>
      <c r="B153">
        <f t="shared" si="41"/>
        <v>8.2224642155608978E-3</v>
      </c>
      <c r="C153">
        <f t="shared" si="37"/>
        <v>8.2224642155608978E-3</v>
      </c>
      <c r="D153" t="s">
        <v>26</v>
      </c>
      <c r="E153" t="s">
        <v>21</v>
      </c>
      <c r="F153">
        <v>1</v>
      </c>
      <c r="G153">
        <f t="shared" si="42"/>
        <v>145</v>
      </c>
      <c r="I153">
        <v>2033</v>
      </c>
      <c r="J153" t="s">
        <v>25</v>
      </c>
      <c r="K153">
        <f t="shared" si="43"/>
        <v>147.5</v>
      </c>
      <c r="L153" cm="1">
        <f t="array" ref="L153">STOWA2024_JAARROND_T(A153*60,K153,I153,"L","")</f>
        <v>44.752092067381639</v>
      </c>
      <c r="M153">
        <f t="shared" si="44"/>
        <v>2.2345324068746002E-2</v>
      </c>
    </row>
    <row r="154" spans="1:13" x14ac:dyDescent="0.3">
      <c r="A154">
        <v>216</v>
      </c>
      <c r="B154">
        <f t="shared" si="41"/>
        <v>6.0352331354975829E-3</v>
      </c>
      <c r="C154">
        <f t="shared" si="37"/>
        <v>6.0352331354975829E-3</v>
      </c>
      <c r="D154" t="s">
        <v>26</v>
      </c>
      <c r="E154" t="s">
        <v>21</v>
      </c>
      <c r="F154">
        <v>1</v>
      </c>
      <c r="G154">
        <f t="shared" si="42"/>
        <v>150</v>
      </c>
      <c r="I154">
        <v>2033</v>
      </c>
      <c r="J154" t="s">
        <v>25</v>
      </c>
      <c r="K154">
        <f t="shared" si="43"/>
        <v>152.5</v>
      </c>
      <c r="L154" cm="1">
        <f t="array" ref="L154">STOWA2024_JAARROND_T(A154*60,K154,I154,"L","")</f>
        <v>61.311736647738833</v>
      </c>
      <c r="M154">
        <f t="shared" si="44"/>
        <v>1.6310090933248419E-2</v>
      </c>
    </row>
    <row r="155" spans="1:13" x14ac:dyDescent="0.3">
      <c r="A155">
        <v>216</v>
      </c>
      <c r="B155">
        <f t="shared" si="41"/>
        <v>4.4230910897253752E-3</v>
      </c>
      <c r="C155">
        <f t="shared" si="37"/>
        <v>4.4230910897253752E-3</v>
      </c>
      <c r="D155" t="s">
        <v>26</v>
      </c>
      <c r="E155" t="s">
        <v>21</v>
      </c>
      <c r="F155">
        <v>1</v>
      </c>
      <c r="G155">
        <f t="shared" si="42"/>
        <v>155</v>
      </c>
      <c r="I155">
        <v>2033</v>
      </c>
      <c r="J155" t="s">
        <v>25</v>
      </c>
      <c r="K155">
        <f t="shared" si="43"/>
        <v>157.5</v>
      </c>
      <c r="L155" cm="1">
        <f t="array" ref="L155">STOWA2024_JAARROND_T(A155*60,K155,I155,"L","")</f>
        <v>84.125516376184464</v>
      </c>
      <c r="M155">
        <f t="shared" si="44"/>
        <v>1.1886999843523044E-2</v>
      </c>
    </row>
    <row r="156" spans="1:13" x14ac:dyDescent="0.3">
      <c r="A156">
        <v>216</v>
      </c>
      <c r="B156" s="1">
        <f>M155</f>
        <v>1.1886999843523044E-2</v>
      </c>
      <c r="C156">
        <f t="shared" si="37"/>
        <v>1.1886999843523044E-2</v>
      </c>
      <c r="D156" t="s">
        <v>26</v>
      </c>
      <c r="E156" t="s">
        <v>21</v>
      </c>
      <c r="F156">
        <v>1</v>
      </c>
      <c r="G156">
        <f t="shared" si="42"/>
        <v>160</v>
      </c>
      <c r="I156">
        <v>2033</v>
      </c>
      <c r="J156" t="s">
        <v>25</v>
      </c>
      <c r="K156">
        <f>AVERAGE(G156:G157)</f>
        <v>160</v>
      </c>
      <c r="L156" cm="1">
        <f t="array" ref="L156">STOWA2024_JAARROND_T(A156*60,K156,I156,"L","")</f>
        <v>98.598531538674322</v>
      </c>
      <c r="M156">
        <f>1/L156</f>
        <v>1.0142138877674458E-2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56"/>
  <sheetViews>
    <sheetView workbookViewId="0">
      <selection activeCell="J23" sqref="J23"/>
    </sheetView>
  </sheetViews>
  <sheetFormatPr defaultRowHeight="14.4" x14ac:dyDescent="0.3"/>
  <cols>
    <col min="3" max="3" width="12" bestFit="1" customWidth="1"/>
    <col min="4" max="4" width="17.21875" bestFit="1" customWidth="1"/>
    <col min="8" max="8" width="11.2187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357.84511700571841</v>
      </c>
      <c r="C2">
        <f>B2</f>
        <v>357.84511700571841</v>
      </c>
      <c r="D2" t="s">
        <v>26</v>
      </c>
      <c r="E2" t="s">
        <v>19</v>
      </c>
      <c r="F2">
        <v>1</v>
      </c>
      <c r="G2">
        <v>10</v>
      </c>
      <c r="I2">
        <v>2033</v>
      </c>
      <c r="J2" t="s">
        <v>25</v>
      </c>
      <c r="K2">
        <f>AVERAGE(G2:G4)</f>
        <v>15</v>
      </c>
      <c r="L2" cm="1">
        <f t="array" ref="L2">STOWA2024_NDJF_T(A2*60,K2,I2,J2,"")</f>
        <v>0.13504602311370031</v>
      </c>
      <c r="M2">
        <f>1/L2</f>
        <v>7.4048829942816052</v>
      </c>
    </row>
    <row r="3" spans="1:13" x14ac:dyDescent="0.3">
      <c r="A3">
        <v>24</v>
      </c>
      <c r="B3">
        <f t="shared" ref="B3:B7" si="0">M2-M3</f>
        <v>2.7176696516870686</v>
      </c>
      <c r="C3">
        <f t="shared" ref="C3:C32" si="1">B3</f>
        <v>2.7176696516870686</v>
      </c>
      <c r="D3" t="s">
        <v>26</v>
      </c>
      <c r="E3" t="s">
        <v>19</v>
      </c>
      <c r="F3">
        <v>1</v>
      </c>
      <c r="G3">
        <f t="shared" ref="G3:G7" si="2">G2+5</f>
        <v>15</v>
      </c>
      <c r="I3">
        <v>2033</v>
      </c>
      <c r="J3" t="s">
        <v>25</v>
      </c>
      <c r="K3">
        <f t="shared" ref="K3:K7" si="3">AVERAGE(G3:G4)</f>
        <v>17.5</v>
      </c>
      <c r="L3" cm="1">
        <f t="array" ref="L3">STOWA2024_NDJF_T(A3*60,K3,I3,J3,"")</f>
        <v>0.21334638022822852</v>
      </c>
      <c r="M3">
        <f t="shared" ref="M3:M7" si="4">1/L3</f>
        <v>4.6872133425945366</v>
      </c>
    </row>
    <row r="4" spans="1:13" x14ac:dyDescent="0.3">
      <c r="A4">
        <v>24</v>
      </c>
      <c r="B4">
        <f t="shared" si="0"/>
        <v>2.7259009616850238</v>
      </c>
      <c r="C4">
        <f t="shared" si="1"/>
        <v>2.7259009616850238</v>
      </c>
      <c r="D4" t="s">
        <v>26</v>
      </c>
      <c r="E4" t="s">
        <v>19</v>
      </c>
      <c r="F4">
        <v>1</v>
      </c>
      <c r="G4">
        <f t="shared" si="2"/>
        <v>20</v>
      </c>
      <c r="I4">
        <v>2033</v>
      </c>
      <c r="J4" t="s">
        <v>25</v>
      </c>
      <c r="K4">
        <f t="shared" si="3"/>
        <v>22.5</v>
      </c>
      <c r="L4" cm="1">
        <f t="array" ref="L4">STOWA2024_NDJF_T(A4*60,K4,I4,J4,"")</f>
        <v>0.50986268670586443</v>
      </c>
      <c r="M4">
        <f t="shared" si="4"/>
        <v>1.9613123809095128</v>
      </c>
    </row>
    <row r="5" spans="1:13" x14ac:dyDescent="0.3">
      <c r="A5">
        <v>24</v>
      </c>
      <c r="B5">
        <f t="shared" si="0"/>
        <v>1.0965806511023062</v>
      </c>
      <c r="C5">
        <f t="shared" si="1"/>
        <v>1.0965806511023062</v>
      </c>
      <c r="D5" t="s">
        <v>26</v>
      </c>
      <c r="E5" t="s">
        <v>19</v>
      </c>
      <c r="F5">
        <v>1</v>
      </c>
      <c r="G5">
        <f t="shared" si="2"/>
        <v>25</v>
      </c>
      <c r="I5">
        <v>2033</v>
      </c>
      <c r="J5" t="s">
        <v>25</v>
      </c>
      <c r="K5">
        <f t="shared" si="3"/>
        <v>27.5</v>
      </c>
      <c r="L5" cm="1">
        <f t="array" ref="L5">STOWA2024_NDJF_T(A5*60,K5,I5,J5,"")</f>
        <v>1.1564280175343533</v>
      </c>
      <c r="M5">
        <f t="shared" si="4"/>
        <v>0.86473172980720658</v>
      </c>
    </row>
    <row r="6" spans="1:13" x14ac:dyDescent="0.3">
      <c r="A6">
        <v>24</v>
      </c>
      <c r="B6">
        <f t="shared" si="0"/>
        <v>0.46549486969850407</v>
      </c>
      <c r="C6">
        <f t="shared" si="1"/>
        <v>0.46549486969850407</v>
      </c>
      <c r="D6" t="s">
        <v>26</v>
      </c>
      <c r="E6" t="s">
        <v>19</v>
      </c>
      <c r="F6">
        <v>1</v>
      </c>
      <c r="G6">
        <f t="shared" si="2"/>
        <v>30</v>
      </c>
      <c r="I6">
        <v>2033</v>
      </c>
      <c r="J6" t="s">
        <v>25</v>
      </c>
      <c r="K6">
        <f t="shared" si="3"/>
        <v>32.5</v>
      </c>
      <c r="L6" cm="1">
        <f t="array" ref="L6">STOWA2024_NDJF_T(A6*60,K6,I6,J6,"")</f>
        <v>2.5047787414411693</v>
      </c>
      <c r="M6">
        <f t="shared" si="4"/>
        <v>0.39923686010870252</v>
      </c>
    </row>
    <row r="7" spans="1:13" x14ac:dyDescent="0.3">
      <c r="A7">
        <v>24</v>
      </c>
      <c r="B7">
        <f t="shared" si="0"/>
        <v>0.20714725354474972</v>
      </c>
      <c r="C7">
        <f t="shared" si="1"/>
        <v>0.20714725354474972</v>
      </c>
      <c r="D7" t="s">
        <v>26</v>
      </c>
      <c r="E7" t="s">
        <v>19</v>
      </c>
      <c r="F7">
        <v>1</v>
      </c>
      <c r="G7">
        <f t="shared" si="2"/>
        <v>35</v>
      </c>
      <c r="I7">
        <v>2033</v>
      </c>
      <c r="J7" t="s">
        <v>25</v>
      </c>
      <c r="K7">
        <f t="shared" si="3"/>
        <v>37.5</v>
      </c>
      <c r="L7" cm="1">
        <f t="array" ref="L7">STOWA2024_NDJF_T(A7*60,K7,I7,J7,"")</f>
        <v>5.2059037336154255</v>
      </c>
      <c r="M7">
        <f t="shared" si="4"/>
        <v>0.1920896065639528</v>
      </c>
    </row>
    <row r="8" spans="1:13" x14ac:dyDescent="0.3">
      <c r="A8">
        <v>24</v>
      </c>
      <c r="B8">
        <f>M7-M8</f>
        <v>9.6174267453584317E-2</v>
      </c>
      <c r="C8">
        <f t="shared" si="1"/>
        <v>9.6174267453584317E-2</v>
      </c>
      <c r="D8" t="s">
        <v>26</v>
      </c>
      <c r="E8" t="s">
        <v>19</v>
      </c>
      <c r="F8">
        <v>1</v>
      </c>
      <c r="G8">
        <f>G7+5</f>
        <v>40</v>
      </c>
      <c r="I8">
        <v>2033</v>
      </c>
      <c r="J8" t="s">
        <v>25</v>
      </c>
      <c r="K8">
        <f>AVERAGE(G8:G9)</f>
        <v>42.5</v>
      </c>
      <c r="L8" cm="1">
        <f t="array" ref="L8">STOWA2024_NDJF_T(A8*60,K8,I8,J8,"")</f>
        <v>10.425861069513747</v>
      </c>
      <c r="M8">
        <f>1/L8</f>
        <v>9.591533911036848E-2</v>
      </c>
    </row>
    <row r="9" spans="1:13" x14ac:dyDescent="0.3">
      <c r="A9">
        <v>24</v>
      </c>
      <c r="B9">
        <f t="shared" ref="B9:B31" si="5">M8-M9</f>
        <v>4.6389617162244837E-2</v>
      </c>
      <c r="C9">
        <f t="shared" si="1"/>
        <v>4.6389617162244837E-2</v>
      </c>
      <c r="D9" t="s">
        <v>26</v>
      </c>
      <c r="E9" t="s">
        <v>19</v>
      </c>
      <c r="F9">
        <v>1</v>
      </c>
      <c r="G9">
        <f t="shared" ref="G9:G32" si="6">G8+5</f>
        <v>45</v>
      </c>
      <c r="I9">
        <v>2033</v>
      </c>
      <c r="J9" t="s">
        <v>25</v>
      </c>
      <c r="K9">
        <f t="shared" ref="K9:K31" si="7">AVERAGE(G9:G10)</f>
        <v>47.5</v>
      </c>
      <c r="L9" cm="1">
        <f t="array" ref="L9">STOWA2024_NDJF_T(A9*60,K9,I9,J9,"")</f>
        <v>20.19152797100995</v>
      </c>
      <c r="M9">
        <f t="shared" ref="M9:M31" si="8">1/L9</f>
        <v>4.9525721948123644E-2</v>
      </c>
    </row>
    <row r="10" spans="1:13" x14ac:dyDescent="0.3">
      <c r="A10">
        <v>24</v>
      </c>
      <c r="B10">
        <f t="shared" si="5"/>
        <v>2.3162874194270214E-2</v>
      </c>
      <c r="C10">
        <f t="shared" si="1"/>
        <v>2.3162874194270214E-2</v>
      </c>
      <c r="D10" t="s">
        <v>26</v>
      </c>
      <c r="E10" t="s">
        <v>19</v>
      </c>
      <c r="F10">
        <v>1</v>
      </c>
      <c r="G10">
        <f t="shared" si="6"/>
        <v>50</v>
      </c>
      <c r="I10">
        <v>2033</v>
      </c>
      <c r="J10" t="s">
        <v>25</v>
      </c>
      <c r="K10">
        <f t="shared" si="7"/>
        <v>52.5</v>
      </c>
      <c r="L10" cm="1">
        <f t="array" ref="L10">STOWA2024_NDJF_T(A10*60,K10,I10,J10,"")</f>
        <v>37.932169139573745</v>
      </c>
      <c r="M10">
        <f t="shared" si="8"/>
        <v>2.6362847753853429E-2</v>
      </c>
    </row>
    <row r="11" spans="1:13" x14ac:dyDescent="0.3">
      <c r="A11">
        <v>24</v>
      </c>
      <c r="B11">
        <f t="shared" si="5"/>
        <v>1.193513945089095E-2</v>
      </c>
      <c r="C11">
        <f t="shared" si="1"/>
        <v>1.193513945089095E-2</v>
      </c>
      <c r="D11" t="s">
        <v>26</v>
      </c>
      <c r="E11" t="s">
        <v>19</v>
      </c>
      <c r="F11">
        <v>1</v>
      </c>
      <c r="G11">
        <f t="shared" si="6"/>
        <v>55</v>
      </c>
      <c r="I11">
        <v>2033</v>
      </c>
      <c r="J11" t="s">
        <v>25</v>
      </c>
      <c r="K11">
        <f t="shared" si="7"/>
        <v>57.5</v>
      </c>
      <c r="L11" cm="1">
        <f t="array" ref="L11">STOWA2024_NDJF_T(A11*60,K11,I11,J11,"")</f>
        <v>69.311076922359689</v>
      </c>
      <c r="M11">
        <f t="shared" si="8"/>
        <v>1.4427708302962479E-2</v>
      </c>
    </row>
    <row r="12" spans="1:13" x14ac:dyDescent="0.3">
      <c r="A12">
        <v>24</v>
      </c>
      <c r="B12">
        <f t="shared" si="5"/>
        <v>6.3285016616774492E-3</v>
      </c>
      <c r="C12">
        <f t="shared" si="1"/>
        <v>6.3285016616774492E-3</v>
      </c>
      <c r="D12" t="s">
        <v>26</v>
      </c>
      <c r="E12" t="s">
        <v>19</v>
      </c>
      <c r="F12">
        <v>1</v>
      </c>
      <c r="G12">
        <f t="shared" si="6"/>
        <v>60</v>
      </c>
      <c r="I12">
        <v>2033</v>
      </c>
      <c r="J12" t="s">
        <v>25</v>
      </c>
      <c r="K12">
        <f t="shared" si="7"/>
        <v>62.5</v>
      </c>
      <c r="L12" cm="1">
        <f t="array" ref="L12">STOWA2024_NDJF_T(A12*60,K12,I12,J12,"")</f>
        <v>123.46888334748535</v>
      </c>
      <c r="M12">
        <f t="shared" si="8"/>
        <v>8.0992066412850297E-3</v>
      </c>
    </row>
    <row r="13" spans="1:13" x14ac:dyDescent="0.3">
      <c r="A13">
        <v>24</v>
      </c>
      <c r="B13">
        <f t="shared" si="5"/>
        <v>3.4451231172939476E-3</v>
      </c>
      <c r="C13">
        <f t="shared" si="1"/>
        <v>3.4451231172939476E-3</v>
      </c>
      <c r="D13" t="s">
        <v>26</v>
      </c>
      <c r="E13" t="s">
        <v>19</v>
      </c>
      <c r="F13">
        <v>1</v>
      </c>
      <c r="G13">
        <f t="shared" si="6"/>
        <v>65</v>
      </c>
      <c r="I13">
        <v>2033</v>
      </c>
      <c r="J13" t="s">
        <v>25</v>
      </c>
      <c r="K13">
        <f t="shared" si="7"/>
        <v>67.5</v>
      </c>
      <c r="L13" cm="1">
        <f t="array" ref="L13">STOWA2024_NDJF_T(A13*60,K13,I13,J13,"")</f>
        <v>214.86507383143305</v>
      </c>
      <c r="M13">
        <f t="shared" si="8"/>
        <v>4.6540835239910821E-3</v>
      </c>
    </row>
    <row r="14" spans="1:13" x14ac:dyDescent="0.3">
      <c r="A14">
        <v>24</v>
      </c>
      <c r="B14">
        <f t="shared" si="5"/>
        <v>1.9214982048374428E-3</v>
      </c>
      <c r="C14">
        <f t="shared" si="1"/>
        <v>1.9214982048374428E-3</v>
      </c>
      <c r="D14" t="s">
        <v>26</v>
      </c>
      <c r="E14" t="s">
        <v>19</v>
      </c>
      <c r="F14">
        <v>1</v>
      </c>
      <c r="G14">
        <f t="shared" si="6"/>
        <v>70</v>
      </c>
      <c r="I14">
        <v>2033</v>
      </c>
      <c r="J14" t="s">
        <v>25</v>
      </c>
      <c r="K14">
        <f t="shared" si="7"/>
        <v>72.5</v>
      </c>
      <c r="L14" cm="1">
        <f t="array" ref="L14">STOWA2024_NDJF_T(A14*60,K14,I14,J14,"")</f>
        <v>365.95380681827305</v>
      </c>
      <c r="M14">
        <f t="shared" si="8"/>
        <v>2.7325853191536393E-3</v>
      </c>
    </row>
    <row r="15" spans="1:13" x14ac:dyDescent="0.3">
      <c r="A15">
        <v>24</v>
      </c>
      <c r="B15">
        <f t="shared" si="5"/>
        <v>1.0958776418325683E-3</v>
      </c>
      <c r="C15">
        <f t="shared" si="1"/>
        <v>1.0958776418325683E-3</v>
      </c>
      <c r="D15" t="s">
        <v>26</v>
      </c>
      <c r="E15" t="s">
        <v>19</v>
      </c>
      <c r="F15">
        <v>1</v>
      </c>
      <c r="G15">
        <f t="shared" si="6"/>
        <v>75</v>
      </c>
      <c r="I15">
        <v>2033</v>
      </c>
      <c r="J15" t="s">
        <v>25</v>
      </c>
      <c r="K15">
        <f t="shared" si="7"/>
        <v>77.5</v>
      </c>
      <c r="L15" cm="1">
        <f t="array" ref="L15">STOWA2024_NDJF_T(A15*60,K15,I15,J15,"")</f>
        <v>610.98265368729687</v>
      </c>
      <c r="M15">
        <f t="shared" si="8"/>
        <v>1.636707677321071E-3</v>
      </c>
    </row>
    <row r="16" spans="1:13" x14ac:dyDescent="0.3">
      <c r="A16">
        <v>24</v>
      </c>
      <c r="B16">
        <f t="shared" si="5"/>
        <v>6.380946928859336E-4</v>
      </c>
      <c r="C16">
        <f t="shared" si="1"/>
        <v>6.380946928859336E-4</v>
      </c>
      <c r="D16" t="s">
        <v>26</v>
      </c>
      <c r="E16" t="s">
        <v>19</v>
      </c>
      <c r="F16">
        <v>1</v>
      </c>
      <c r="G16">
        <f t="shared" si="6"/>
        <v>80</v>
      </c>
      <c r="I16">
        <v>2033</v>
      </c>
      <c r="J16" t="s">
        <v>25</v>
      </c>
      <c r="K16">
        <f t="shared" si="7"/>
        <v>82.5</v>
      </c>
      <c r="L16" cm="1">
        <f t="array" ref="L16">STOWA2024_NDJF_T(A16*60,K16,I16,J16,"")</f>
        <v>1001.3889420491034</v>
      </c>
      <c r="M16">
        <f t="shared" si="8"/>
        <v>9.9861298443513742E-4</v>
      </c>
    </row>
    <row r="17" spans="1:13" x14ac:dyDescent="0.3">
      <c r="A17">
        <v>24</v>
      </c>
      <c r="B17">
        <f t="shared" si="5"/>
        <v>3.7875381089072545E-4</v>
      </c>
      <c r="C17">
        <f t="shared" si="1"/>
        <v>3.7875381089072545E-4</v>
      </c>
      <c r="D17" t="s">
        <v>26</v>
      </c>
      <c r="E17" t="s">
        <v>19</v>
      </c>
      <c r="F17">
        <v>1</v>
      </c>
      <c r="G17">
        <f t="shared" si="6"/>
        <v>85</v>
      </c>
      <c r="I17">
        <v>2033</v>
      </c>
      <c r="J17" t="s">
        <v>25</v>
      </c>
      <c r="K17">
        <f t="shared" si="7"/>
        <v>87.5</v>
      </c>
      <c r="L17" cm="1">
        <f t="array" ref="L17">STOWA2024_NDJF_T(A17*60,K17,I17,J17,"")</f>
        <v>1613.2696629815248</v>
      </c>
      <c r="M17">
        <f t="shared" si="8"/>
        <v>6.1985917354441197E-4</v>
      </c>
    </row>
    <row r="18" spans="1:13" x14ac:dyDescent="0.3">
      <c r="A18">
        <v>24</v>
      </c>
      <c r="B18">
        <f t="shared" si="5"/>
        <v>2.2887779716160452E-4</v>
      </c>
      <c r="C18">
        <f t="shared" si="1"/>
        <v>2.2887779716160452E-4</v>
      </c>
      <c r="D18" t="s">
        <v>26</v>
      </c>
      <c r="E18" t="s">
        <v>19</v>
      </c>
      <c r="F18">
        <v>1</v>
      </c>
      <c r="G18">
        <f t="shared" si="6"/>
        <v>90</v>
      </c>
      <c r="I18">
        <v>2033</v>
      </c>
      <c r="J18" t="s">
        <v>25</v>
      </c>
      <c r="K18">
        <f t="shared" si="7"/>
        <v>92.5</v>
      </c>
      <c r="L18" cm="1">
        <f t="array" ref="L18">STOWA2024_NDJF_T(A18*60,K18,I18,J18,"")</f>
        <v>2557.6665805711068</v>
      </c>
      <c r="M18">
        <f t="shared" si="8"/>
        <v>3.9098137638280745E-4</v>
      </c>
    </row>
    <row r="19" spans="1:13" x14ac:dyDescent="0.3">
      <c r="A19">
        <v>24</v>
      </c>
      <c r="B19">
        <f t="shared" si="5"/>
        <v>1.4063781690706986E-4</v>
      </c>
      <c r="C19">
        <f t="shared" si="1"/>
        <v>1.4063781690706986E-4</v>
      </c>
      <c r="D19" t="s">
        <v>26</v>
      </c>
      <c r="E19" t="s">
        <v>19</v>
      </c>
      <c r="F19">
        <v>1</v>
      </c>
      <c r="G19">
        <f t="shared" si="6"/>
        <v>95</v>
      </c>
      <c r="I19">
        <v>2033</v>
      </c>
      <c r="J19" t="s">
        <v>25</v>
      </c>
      <c r="K19">
        <f t="shared" si="7"/>
        <v>97.5</v>
      </c>
      <c r="L19" cm="1">
        <f t="array" ref="L19">STOWA2024_NDJF_T(A19*60,K19,I19,J19,"")</f>
        <v>3994.5105921405434</v>
      </c>
      <c r="M19">
        <f t="shared" si="8"/>
        <v>2.5034355947573759E-4</v>
      </c>
    </row>
    <row r="20" spans="1:13" x14ac:dyDescent="0.3">
      <c r="A20">
        <v>24</v>
      </c>
      <c r="B20">
        <f t="shared" si="5"/>
        <v>8.7782673098930252E-5</v>
      </c>
      <c r="C20">
        <f t="shared" si="1"/>
        <v>8.7782673098930252E-5</v>
      </c>
      <c r="D20" t="s">
        <v>26</v>
      </c>
      <c r="E20" t="s">
        <v>19</v>
      </c>
      <c r="F20">
        <v>1</v>
      </c>
      <c r="G20">
        <f t="shared" si="6"/>
        <v>100</v>
      </c>
      <c r="I20">
        <v>2033</v>
      </c>
      <c r="J20" t="s">
        <v>25</v>
      </c>
      <c r="K20">
        <f t="shared" si="7"/>
        <v>102.5</v>
      </c>
      <c r="L20" cm="1">
        <f t="array" ref="L20">STOWA2024_NDJF_T(A20*60,K20,I20,J20,"")</f>
        <v>6151.5412611743159</v>
      </c>
      <c r="M20">
        <f t="shared" si="8"/>
        <v>1.6256088637680734E-4</v>
      </c>
    </row>
    <row r="21" spans="1:13" x14ac:dyDescent="0.3">
      <c r="A21">
        <v>24</v>
      </c>
      <c r="B21">
        <f t="shared" si="5"/>
        <v>5.5598980757344795E-5</v>
      </c>
      <c r="C21">
        <f t="shared" si="1"/>
        <v>5.5598980757344795E-5</v>
      </c>
      <c r="D21" t="s">
        <v>26</v>
      </c>
      <c r="E21" t="s">
        <v>19</v>
      </c>
      <c r="F21">
        <v>1</v>
      </c>
      <c r="G21">
        <f t="shared" si="6"/>
        <v>105</v>
      </c>
      <c r="I21">
        <v>2033</v>
      </c>
      <c r="J21" t="s">
        <v>25</v>
      </c>
      <c r="K21">
        <f t="shared" si="7"/>
        <v>107.5</v>
      </c>
      <c r="L21" cm="1">
        <f t="array" ref="L21">STOWA2024_NDJF_T(A21*60,K21,I21,J21,"")</f>
        <v>9349.122888271002</v>
      </c>
      <c r="M21">
        <f t="shared" si="8"/>
        <v>1.0696190561946254E-4</v>
      </c>
    </row>
    <row r="22" spans="1:13" x14ac:dyDescent="0.3">
      <c r="A22">
        <v>24</v>
      </c>
      <c r="B22">
        <f t="shared" si="5"/>
        <v>3.5704127713243947E-5</v>
      </c>
      <c r="C22">
        <f t="shared" si="1"/>
        <v>3.5704127713243947E-5</v>
      </c>
      <c r="D22" t="s">
        <v>26</v>
      </c>
      <c r="E22" t="s">
        <v>19</v>
      </c>
      <c r="F22">
        <v>1</v>
      </c>
      <c r="G22">
        <f t="shared" si="6"/>
        <v>110</v>
      </c>
      <c r="I22">
        <v>2033</v>
      </c>
      <c r="J22" t="s">
        <v>25</v>
      </c>
      <c r="K22">
        <f t="shared" si="7"/>
        <v>112.5</v>
      </c>
      <c r="L22" cm="1">
        <f t="array" ref="L22">STOWA2024_NDJF_T(A22*60,K22,I22,J22,"")</f>
        <v>14033.555765885467</v>
      </c>
      <c r="M22">
        <f t="shared" si="8"/>
        <v>7.1257777906218593E-5</v>
      </c>
    </row>
    <row r="23" spans="1:13" x14ac:dyDescent="0.3">
      <c r="A23">
        <v>24</v>
      </c>
      <c r="B23">
        <f t="shared" si="5"/>
        <v>2.3227506461504455E-5</v>
      </c>
      <c r="C23">
        <f t="shared" si="1"/>
        <v>2.3227506461504455E-5</v>
      </c>
      <c r="D23" t="s">
        <v>26</v>
      </c>
      <c r="E23" t="s">
        <v>19</v>
      </c>
      <c r="F23">
        <v>1</v>
      </c>
      <c r="G23">
        <f t="shared" si="6"/>
        <v>115</v>
      </c>
      <c r="I23">
        <v>2033</v>
      </c>
      <c r="J23" t="s">
        <v>25</v>
      </c>
      <c r="K23">
        <f t="shared" si="7"/>
        <v>117.5</v>
      </c>
      <c r="L23" cm="1">
        <f t="array" ref="L23">STOWA2024_NDJF_T(A23*60,K23,I23,J23,"")</f>
        <v>20820.202966186916</v>
      </c>
      <c r="M23">
        <f t="shared" si="8"/>
        <v>4.8030271444714138E-5</v>
      </c>
    </row>
    <row r="24" spans="1:13" x14ac:dyDescent="0.3">
      <c r="A24">
        <v>24</v>
      </c>
      <c r="B24">
        <f t="shared" si="5"/>
        <v>1.5296945289249157E-5</v>
      </c>
      <c r="C24">
        <f t="shared" si="1"/>
        <v>1.5296945289249157E-5</v>
      </c>
      <c r="D24" t="s">
        <v>26</v>
      </c>
      <c r="E24" t="s">
        <v>19</v>
      </c>
      <c r="F24">
        <v>1</v>
      </c>
      <c r="G24">
        <f t="shared" si="6"/>
        <v>120</v>
      </c>
      <c r="I24">
        <v>2033</v>
      </c>
      <c r="J24" t="s">
        <v>25</v>
      </c>
      <c r="K24">
        <f t="shared" si="7"/>
        <v>122.5</v>
      </c>
      <c r="L24" cm="1">
        <f t="array" ref="L24">STOWA2024_NDJF_T(A24*60,K24,I24,J24,"")</f>
        <v>30549.904866085395</v>
      </c>
      <c r="M24">
        <f t="shared" si="8"/>
        <v>3.2733326155464981E-5</v>
      </c>
    </row>
    <row r="25" spans="1:13" x14ac:dyDescent="0.3">
      <c r="A25">
        <v>24</v>
      </c>
      <c r="B25">
        <f t="shared" si="5"/>
        <v>1.0190663611389085E-5</v>
      </c>
      <c r="C25">
        <f t="shared" si="1"/>
        <v>1.0190663611389085E-5</v>
      </c>
      <c r="D25" t="s">
        <v>26</v>
      </c>
      <c r="E25" t="s">
        <v>19</v>
      </c>
      <c r="F25">
        <v>1</v>
      </c>
      <c r="G25">
        <f t="shared" si="6"/>
        <v>125</v>
      </c>
      <c r="I25">
        <v>2033</v>
      </c>
      <c r="J25" t="s">
        <v>25</v>
      </c>
      <c r="K25">
        <f t="shared" si="7"/>
        <v>127.5</v>
      </c>
      <c r="L25" cm="1">
        <f t="array" ref="L25">STOWA2024_NDJF_T(A25*60,K25,I25,J25,"")</f>
        <v>44360.332238695344</v>
      </c>
      <c r="M25">
        <f t="shared" si="8"/>
        <v>2.2542662544075896E-5</v>
      </c>
    </row>
    <row r="26" spans="1:13" x14ac:dyDescent="0.3">
      <c r="A26">
        <v>24</v>
      </c>
      <c r="B26">
        <f t="shared" si="5"/>
        <v>6.8639237637706487E-6</v>
      </c>
      <c r="C26">
        <f t="shared" si="1"/>
        <v>6.8639237637706487E-6</v>
      </c>
      <c r="D26" t="s">
        <v>26</v>
      </c>
      <c r="E26" t="s">
        <v>19</v>
      </c>
      <c r="F26">
        <v>1</v>
      </c>
      <c r="G26">
        <f t="shared" si="6"/>
        <v>130</v>
      </c>
      <c r="I26">
        <v>2033</v>
      </c>
      <c r="J26" t="s">
        <v>25</v>
      </c>
      <c r="K26">
        <f t="shared" si="7"/>
        <v>132.5</v>
      </c>
      <c r="L26" cm="1">
        <f t="array" ref="L26">STOWA2024_NDJF_T(A26*60,K26,I26,J26,"")</f>
        <v>63780.640395396091</v>
      </c>
      <c r="M26">
        <f t="shared" si="8"/>
        <v>1.5678738780305247E-5</v>
      </c>
    </row>
    <row r="27" spans="1:13" x14ac:dyDescent="0.3">
      <c r="A27">
        <v>24</v>
      </c>
      <c r="B27">
        <f t="shared" si="5"/>
        <v>4.671229240431972E-6</v>
      </c>
      <c r="C27">
        <f t="shared" si="1"/>
        <v>4.671229240431972E-6</v>
      </c>
      <c r="D27" t="s">
        <v>26</v>
      </c>
      <c r="E27" t="s">
        <v>19</v>
      </c>
      <c r="F27">
        <v>1</v>
      </c>
      <c r="G27">
        <f t="shared" si="6"/>
        <v>135</v>
      </c>
      <c r="I27">
        <v>2033</v>
      </c>
      <c r="J27" t="s">
        <v>25</v>
      </c>
      <c r="K27">
        <f t="shared" si="7"/>
        <v>137.5</v>
      </c>
      <c r="L27" cm="1">
        <f t="array" ref="L27">STOWA2024_NDJF_T(A27*60,K27,I27,J27,"")</f>
        <v>90847.070936221295</v>
      </c>
      <c r="M27">
        <f t="shared" si="8"/>
        <v>1.1007509539873275E-5</v>
      </c>
    </row>
    <row r="28" spans="1:13" x14ac:dyDescent="0.3">
      <c r="A28">
        <v>24</v>
      </c>
      <c r="B28">
        <f t="shared" si="5"/>
        <v>3.2103924125667792E-6</v>
      </c>
      <c r="C28">
        <f t="shared" si="1"/>
        <v>3.2103924125667792E-6</v>
      </c>
      <c r="D28" t="s">
        <v>26</v>
      </c>
      <c r="E28" t="s">
        <v>19</v>
      </c>
      <c r="F28">
        <v>1</v>
      </c>
      <c r="G28">
        <f t="shared" si="6"/>
        <v>140</v>
      </c>
      <c r="I28">
        <v>2033</v>
      </c>
      <c r="J28" t="s">
        <v>25</v>
      </c>
      <c r="K28">
        <f t="shared" si="7"/>
        <v>142.5</v>
      </c>
      <c r="L28" cm="1">
        <f t="array" ref="L28">STOWA2024_NDJF_T(A28*60,K28,I28,J28,"")</f>
        <v>128252.53022015956</v>
      </c>
      <c r="M28">
        <f t="shared" si="8"/>
        <v>7.7971171273064957E-6</v>
      </c>
    </row>
    <row r="29" spans="1:13" x14ac:dyDescent="0.3">
      <c r="A29">
        <v>24</v>
      </c>
      <c r="B29">
        <f t="shared" si="5"/>
        <v>2.2270730595594365E-6</v>
      </c>
      <c r="C29">
        <f t="shared" si="1"/>
        <v>2.2270730595594365E-6</v>
      </c>
      <c r="D29" t="s">
        <v>26</v>
      </c>
      <c r="E29" t="s">
        <v>19</v>
      </c>
      <c r="F29">
        <v>1</v>
      </c>
      <c r="G29">
        <f t="shared" si="6"/>
        <v>145</v>
      </c>
      <c r="I29">
        <v>2033</v>
      </c>
      <c r="J29" t="s">
        <v>25</v>
      </c>
      <c r="K29">
        <f t="shared" si="7"/>
        <v>147.5</v>
      </c>
      <c r="L29" cm="1">
        <f t="array" ref="L29">STOWA2024_NDJF_T(A29*60,K29,I29,J29,"")</f>
        <v>179531.79325643549</v>
      </c>
      <c r="M29">
        <f t="shared" si="8"/>
        <v>5.5700440677470592E-6</v>
      </c>
    </row>
    <row r="30" spans="1:13" x14ac:dyDescent="0.3">
      <c r="A30">
        <v>24</v>
      </c>
      <c r="B30">
        <f t="shared" si="5"/>
        <v>1.5587776667314836E-6</v>
      </c>
      <c r="C30">
        <f t="shared" si="1"/>
        <v>1.5587776667314836E-6</v>
      </c>
      <c r="D30" t="s">
        <v>26</v>
      </c>
      <c r="E30" t="s">
        <v>19</v>
      </c>
      <c r="F30">
        <v>1</v>
      </c>
      <c r="G30">
        <f t="shared" si="6"/>
        <v>150</v>
      </c>
      <c r="I30">
        <v>2033</v>
      </c>
      <c r="J30" t="s">
        <v>25</v>
      </c>
      <c r="K30">
        <f t="shared" si="7"/>
        <v>152.5</v>
      </c>
      <c r="L30" cm="1">
        <f t="array" ref="L30">STOWA2024_NDJF_T(A30*60,K30,I30,J30,"")</f>
        <v>249297.82767527463</v>
      </c>
      <c r="M30">
        <f t="shared" si="8"/>
        <v>4.0112664010155757E-6</v>
      </c>
    </row>
    <row r="31" spans="1:13" x14ac:dyDescent="0.3">
      <c r="A31">
        <v>24</v>
      </c>
      <c r="B31">
        <f t="shared" si="5"/>
        <v>1.1002560868876482E-6</v>
      </c>
      <c r="C31">
        <f t="shared" si="1"/>
        <v>1.1002560868876482E-6</v>
      </c>
      <c r="D31" t="s">
        <v>26</v>
      </c>
      <c r="E31" t="s">
        <v>19</v>
      </c>
      <c r="F31">
        <v>1</v>
      </c>
      <c r="G31">
        <f t="shared" si="6"/>
        <v>155</v>
      </c>
      <c r="I31">
        <v>2033</v>
      </c>
      <c r="J31" t="s">
        <v>25</v>
      </c>
      <c r="K31">
        <f t="shared" si="7"/>
        <v>157.5</v>
      </c>
      <c r="L31" cm="1">
        <f t="array" ref="L31">STOWA2024_NDJF_T(A31*60,K31,I31,J31,"")</f>
        <v>343523.34484928724</v>
      </c>
      <c r="M31">
        <f t="shared" si="8"/>
        <v>2.9110103141279275E-6</v>
      </c>
    </row>
    <row r="32" spans="1:13" x14ac:dyDescent="0.3">
      <c r="A32">
        <v>24</v>
      </c>
      <c r="B32" s="1">
        <f>M31</f>
        <v>2.9110103141279275E-6</v>
      </c>
      <c r="C32">
        <f t="shared" si="1"/>
        <v>2.9110103141279275E-6</v>
      </c>
      <c r="D32" t="s">
        <v>26</v>
      </c>
      <c r="E32" t="s">
        <v>19</v>
      </c>
      <c r="F32">
        <v>1</v>
      </c>
      <c r="G32">
        <f t="shared" si="6"/>
        <v>160</v>
      </c>
      <c r="I32">
        <v>2033</v>
      </c>
      <c r="J32" t="s">
        <v>25</v>
      </c>
      <c r="K32">
        <f>AVERAGE(G32:G33)</f>
        <v>85</v>
      </c>
      <c r="L32" cm="1">
        <f t="array" ref="L32">STOWA2024_NDJF_T(A32*60,K32,I32,J32,"")</f>
        <v>1273.6730647129839</v>
      </c>
      <c r="M32">
        <f>1/L32</f>
        <v>7.8513083750055218E-4</v>
      </c>
    </row>
    <row r="33" spans="1:13" x14ac:dyDescent="0.3">
      <c r="A33">
        <v>48</v>
      </c>
      <c r="B33" s="1">
        <f>365.25*24/A33 - M33</f>
        <v>168.33941640366172</v>
      </c>
      <c r="C33">
        <f>B33</f>
        <v>168.33941640366172</v>
      </c>
      <c r="D33" t="s">
        <v>26</v>
      </c>
      <c r="E33" t="s">
        <v>19</v>
      </c>
      <c r="F33">
        <v>1</v>
      </c>
      <c r="G33">
        <v>10</v>
      </c>
      <c r="I33">
        <v>2033</v>
      </c>
      <c r="J33" t="s">
        <v>25</v>
      </c>
      <c r="K33">
        <f>AVERAGE(G33:G35)</f>
        <v>15</v>
      </c>
      <c r="L33" cm="1">
        <f t="array" ref="L33">STOWA2024_NDJF_T(A33*60,K33,I33,J33,"")</f>
        <v>7.0000640383800813E-2</v>
      </c>
      <c r="M33">
        <f>1/L33</f>
        <v>14.285583596338283</v>
      </c>
    </row>
    <row r="34" spans="1:13" x14ac:dyDescent="0.3">
      <c r="A34">
        <v>48</v>
      </c>
      <c r="B34">
        <f t="shared" ref="B34:B38" si="9">M33-M34</f>
        <v>4.1717675591272023</v>
      </c>
      <c r="C34">
        <f t="shared" ref="C34:C63" si="10">B34</f>
        <v>4.1717675591272023</v>
      </c>
      <c r="D34" t="s">
        <v>26</v>
      </c>
      <c r="E34" t="s">
        <v>19</v>
      </c>
      <c r="F34">
        <v>1</v>
      </c>
      <c r="G34">
        <f t="shared" ref="G34:G38" si="11">G33+5</f>
        <v>15</v>
      </c>
      <c r="I34">
        <v>2033</v>
      </c>
      <c r="J34" t="s">
        <v>25</v>
      </c>
      <c r="K34">
        <f t="shared" ref="K34:K38" si="12">AVERAGE(G34:G35)</f>
        <v>17.5</v>
      </c>
      <c r="L34" cm="1">
        <f t="array" ref="L34">STOWA2024_NDJF_T(A34*60,K34,I34,J34,"")</f>
        <v>9.8874647939093174E-2</v>
      </c>
      <c r="M34">
        <f t="shared" ref="M34:M38" si="13">1/L34</f>
        <v>10.11381603721108</v>
      </c>
    </row>
    <row r="35" spans="1:13" x14ac:dyDescent="0.3">
      <c r="A35">
        <v>48</v>
      </c>
      <c r="B35">
        <f t="shared" si="9"/>
        <v>4.9452278681016786</v>
      </c>
      <c r="C35">
        <f t="shared" si="10"/>
        <v>4.9452278681016786</v>
      </c>
      <c r="D35" t="s">
        <v>26</v>
      </c>
      <c r="E35" t="s">
        <v>19</v>
      </c>
      <c r="F35">
        <v>1</v>
      </c>
      <c r="G35">
        <f t="shared" si="11"/>
        <v>20</v>
      </c>
      <c r="I35">
        <v>2033</v>
      </c>
      <c r="J35" t="s">
        <v>25</v>
      </c>
      <c r="K35">
        <f t="shared" si="12"/>
        <v>22.5</v>
      </c>
      <c r="L35" cm="1">
        <f t="array" ref="L35">STOWA2024_NDJF_T(A35*60,K35,I35,J35,"")</f>
        <v>0.19347643249593821</v>
      </c>
      <c r="M35">
        <f t="shared" si="13"/>
        <v>5.1685881691094018</v>
      </c>
    </row>
    <row r="36" spans="1:13" x14ac:dyDescent="0.3">
      <c r="A36">
        <v>48</v>
      </c>
      <c r="B36">
        <f t="shared" si="9"/>
        <v>2.4621679472734672</v>
      </c>
      <c r="C36">
        <f t="shared" si="10"/>
        <v>2.4621679472734672</v>
      </c>
      <c r="D36" t="s">
        <v>26</v>
      </c>
      <c r="E36" t="s">
        <v>19</v>
      </c>
      <c r="F36">
        <v>1</v>
      </c>
      <c r="G36">
        <f t="shared" si="11"/>
        <v>25</v>
      </c>
      <c r="I36">
        <v>2033</v>
      </c>
      <c r="J36" t="s">
        <v>25</v>
      </c>
      <c r="K36">
        <f t="shared" si="12"/>
        <v>27.5</v>
      </c>
      <c r="L36" cm="1">
        <f t="array" ref="L36">STOWA2024_NDJF_T(A36*60,K36,I36,J36,"")</f>
        <v>0.36949177069096734</v>
      </c>
      <c r="M36">
        <f t="shared" si="13"/>
        <v>2.7064202218359346</v>
      </c>
    </row>
    <row r="37" spans="1:13" x14ac:dyDescent="0.3">
      <c r="A37">
        <v>48</v>
      </c>
      <c r="B37">
        <f t="shared" si="9"/>
        <v>1.2568180043370485</v>
      </c>
      <c r="C37">
        <f t="shared" si="10"/>
        <v>1.2568180043370485</v>
      </c>
      <c r="D37" t="s">
        <v>26</v>
      </c>
      <c r="E37" t="s">
        <v>19</v>
      </c>
      <c r="F37">
        <v>1</v>
      </c>
      <c r="G37">
        <f t="shared" si="11"/>
        <v>30</v>
      </c>
      <c r="I37">
        <v>2033</v>
      </c>
      <c r="J37" t="s">
        <v>25</v>
      </c>
      <c r="K37">
        <f t="shared" si="12"/>
        <v>32.5</v>
      </c>
      <c r="L37" cm="1">
        <f t="array" ref="L37">STOWA2024_NDJF_T(A37*60,K37,I37,J37,"")</f>
        <v>0.68984441933689888</v>
      </c>
      <c r="M37">
        <f t="shared" si="13"/>
        <v>1.4496022174988861</v>
      </c>
    </row>
    <row r="38" spans="1:13" x14ac:dyDescent="0.3">
      <c r="A38">
        <v>48</v>
      </c>
      <c r="B38">
        <f t="shared" si="9"/>
        <v>0.65651401865176584</v>
      </c>
      <c r="C38">
        <f t="shared" si="10"/>
        <v>0.65651401865176584</v>
      </c>
      <c r="D38" t="s">
        <v>26</v>
      </c>
      <c r="E38" t="s">
        <v>19</v>
      </c>
      <c r="F38">
        <v>1</v>
      </c>
      <c r="G38">
        <f t="shared" si="11"/>
        <v>35</v>
      </c>
      <c r="I38">
        <v>2033</v>
      </c>
      <c r="J38" t="s">
        <v>25</v>
      </c>
      <c r="K38">
        <f t="shared" si="12"/>
        <v>37.5</v>
      </c>
      <c r="L38" cm="1">
        <f t="array" ref="L38">STOWA2024_NDJF_T(A38*60,K38,I38,J38,"")</f>
        <v>1.2608938091042825</v>
      </c>
      <c r="M38">
        <f t="shared" si="13"/>
        <v>0.79308819884712023</v>
      </c>
    </row>
    <row r="39" spans="1:13" x14ac:dyDescent="0.3">
      <c r="A39">
        <v>48</v>
      </c>
      <c r="B39">
        <f>M38-M39</f>
        <v>0.350604937658541</v>
      </c>
      <c r="C39">
        <f t="shared" si="10"/>
        <v>0.350604937658541</v>
      </c>
      <c r="D39" t="s">
        <v>26</v>
      </c>
      <c r="E39" t="s">
        <v>19</v>
      </c>
      <c r="F39">
        <v>1</v>
      </c>
      <c r="G39">
        <f>G38+5</f>
        <v>40</v>
      </c>
      <c r="I39">
        <v>2033</v>
      </c>
      <c r="J39" t="s">
        <v>25</v>
      </c>
      <c r="K39">
        <f>AVERAGE(G39:G40)</f>
        <v>42.5</v>
      </c>
      <c r="L39" cm="1">
        <f t="array" ref="L39">STOWA2024_NDJF_T(A39*60,K39,I39,J39,"")</f>
        <v>2.2599724954879505</v>
      </c>
      <c r="M39">
        <f>1/L39</f>
        <v>0.44248326118857922</v>
      </c>
    </row>
    <row r="40" spans="1:13" x14ac:dyDescent="0.3">
      <c r="A40">
        <v>48</v>
      </c>
      <c r="B40">
        <f t="shared" ref="B40:B62" si="14">M39-M40</f>
        <v>0.1910085860586398</v>
      </c>
      <c r="C40">
        <f t="shared" si="10"/>
        <v>0.1910085860586398</v>
      </c>
      <c r="D40" t="s">
        <v>26</v>
      </c>
      <c r="E40" t="s">
        <v>19</v>
      </c>
      <c r="F40">
        <v>1</v>
      </c>
      <c r="G40">
        <f t="shared" ref="G40:G63" si="15">G39+5</f>
        <v>45</v>
      </c>
      <c r="I40">
        <v>2033</v>
      </c>
      <c r="J40" t="s">
        <v>25</v>
      </c>
      <c r="K40">
        <f t="shared" ref="K40:K62" si="16">AVERAGE(G40:G41)</f>
        <v>47.5</v>
      </c>
      <c r="L40" cm="1">
        <f t="array" ref="L40">STOWA2024_NDJF_T(A40*60,K40,I40,J40,"")</f>
        <v>3.9765435604332335</v>
      </c>
      <c r="M40">
        <f t="shared" ref="M40:M62" si="17">1/L40</f>
        <v>0.25147467512993943</v>
      </c>
    </row>
    <row r="41" spans="1:13" x14ac:dyDescent="0.3">
      <c r="A41">
        <v>48</v>
      </c>
      <c r="B41">
        <f t="shared" si="14"/>
        <v>0.10605589928311407</v>
      </c>
      <c r="C41">
        <f t="shared" si="10"/>
        <v>0.10605589928311407</v>
      </c>
      <c r="D41" t="s">
        <v>26</v>
      </c>
      <c r="E41" t="s">
        <v>19</v>
      </c>
      <c r="F41">
        <v>1</v>
      </c>
      <c r="G41">
        <f t="shared" si="15"/>
        <v>50</v>
      </c>
      <c r="I41">
        <v>2033</v>
      </c>
      <c r="J41" t="s">
        <v>25</v>
      </c>
      <c r="K41">
        <f t="shared" si="16"/>
        <v>52.5</v>
      </c>
      <c r="L41" cm="1">
        <f t="array" ref="L41">STOWA2024_NDJF_T(A41*60,K41,I41,J41,"")</f>
        <v>6.8766910887307615</v>
      </c>
      <c r="M41">
        <f t="shared" si="17"/>
        <v>0.14541877584682536</v>
      </c>
    </row>
    <row r="42" spans="1:13" x14ac:dyDescent="0.3">
      <c r="A42">
        <v>48</v>
      </c>
      <c r="B42">
        <f t="shared" si="14"/>
        <v>5.9946804407614726E-2</v>
      </c>
      <c r="C42">
        <f t="shared" si="10"/>
        <v>5.9946804407614726E-2</v>
      </c>
      <c r="D42" t="s">
        <v>26</v>
      </c>
      <c r="E42" t="s">
        <v>19</v>
      </c>
      <c r="F42">
        <v>1</v>
      </c>
      <c r="G42">
        <f t="shared" si="15"/>
        <v>55</v>
      </c>
      <c r="I42">
        <v>2033</v>
      </c>
      <c r="J42" t="s">
        <v>25</v>
      </c>
      <c r="K42">
        <f t="shared" si="16"/>
        <v>57.5</v>
      </c>
      <c r="L42" cm="1">
        <f t="array" ref="L42">STOWA2024_NDJF_T(A42*60,K42,I42,J42,"")</f>
        <v>11.699741835383074</v>
      </c>
      <c r="M42">
        <f t="shared" si="17"/>
        <v>8.5471971439210634E-2</v>
      </c>
    </row>
    <row r="43" spans="1:13" x14ac:dyDescent="0.3">
      <c r="A43">
        <v>48</v>
      </c>
      <c r="B43">
        <f t="shared" si="14"/>
        <v>3.4456623947574753E-2</v>
      </c>
      <c r="C43">
        <f t="shared" si="10"/>
        <v>3.4456623947574753E-2</v>
      </c>
      <c r="D43" t="s">
        <v>26</v>
      </c>
      <c r="E43" t="s">
        <v>19</v>
      </c>
      <c r="F43">
        <v>1</v>
      </c>
      <c r="G43">
        <f t="shared" si="15"/>
        <v>60</v>
      </c>
      <c r="I43">
        <v>2033</v>
      </c>
      <c r="J43" t="s">
        <v>25</v>
      </c>
      <c r="K43">
        <f t="shared" si="16"/>
        <v>62.5</v>
      </c>
      <c r="L43" cm="1">
        <f t="array" ref="L43">STOWA2024_NDJF_T(A43*60,K43,I43,J43,"")</f>
        <v>19.601944300466698</v>
      </c>
      <c r="M43">
        <f t="shared" si="17"/>
        <v>5.101534749163588E-2</v>
      </c>
    </row>
    <row r="44" spans="1:13" x14ac:dyDescent="0.3">
      <c r="A44">
        <v>48</v>
      </c>
      <c r="B44">
        <f t="shared" si="14"/>
        <v>2.0121837281207547E-2</v>
      </c>
      <c r="C44">
        <f t="shared" si="10"/>
        <v>2.0121837281207547E-2</v>
      </c>
      <c r="D44" t="s">
        <v>26</v>
      </c>
      <c r="E44" t="s">
        <v>19</v>
      </c>
      <c r="F44">
        <v>1</v>
      </c>
      <c r="G44">
        <f t="shared" si="15"/>
        <v>65</v>
      </c>
      <c r="I44">
        <v>2033</v>
      </c>
      <c r="J44" t="s">
        <v>25</v>
      </c>
      <c r="K44">
        <f t="shared" si="16"/>
        <v>67.5</v>
      </c>
      <c r="L44" cm="1">
        <f t="array" ref="L44">STOWA2024_NDJF_T(A44*60,K44,I44,J44,"")</f>
        <v>32.369257918203239</v>
      </c>
      <c r="M44">
        <f t="shared" si="17"/>
        <v>3.0893510210428334E-2</v>
      </c>
    </row>
    <row r="45" spans="1:13" x14ac:dyDescent="0.3">
      <c r="A45">
        <v>48</v>
      </c>
      <c r="B45">
        <f t="shared" si="14"/>
        <v>1.1926927072399413E-2</v>
      </c>
      <c r="C45">
        <f t="shared" si="10"/>
        <v>1.1926927072399413E-2</v>
      </c>
      <c r="D45" t="s">
        <v>26</v>
      </c>
      <c r="E45" t="s">
        <v>19</v>
      </c>
      <c r="F45">
        <v>1</v>
      </c>
      <c r="G45">
        <f t="shared" si="15"/>
        <v>70</v>
      </c>
      <c r="I45">
        <v>2033</v>
      </c>
      <c r="J45" t="s">
        <v>25</v>
      </c>
      <c r="K45">
        <f t="shared" si="16"/>
        <v>72.5</v>
      </c>
      <c r="L45" cm="1">
        <f t="array" ref="L45">STOWA2024_NDJF_T(A45*60,K45,I45,J45,"")</f>
        <v>52.724309524942917</v>
      </c>
      <c r="M45">
        <f t="shared" si="17"/>
        <v>1.896658313802892E-2</v>
      </c>
    </row>
    <row r="46" spans="1:13" x14ac:dyDescent="0.3">
      <c r="A46">
        <v>48</v>
      </c>
      <c r="B46">
        <f t="shared" si="14"/>
        <v>7.1701866172658481E-3</v>
      </c>
      <c r="C46">
        <f t="shared" si="10"/>
        <v>7.1701866172658481E-3</v>
      </c>
      <c r="D46" t="s">
        <v>26</v>
      </c>
      <c r="E46" t="s">
        <v>19</v>
      </c>
      <c r="F46">
        <v>1</v>
      </c>
      <c r="G46">
        <f t="shared" si="15"/>
        <v>75</v>
      </c>
      <c r="I46">
        <v>2033</v>
      </c>
      <c r="J46" t="s">
        <v>25</v>
      </c>
      <c r="K46">
        <f t="shared" si="16"/>
        <v>77.5</v>
      </c>
      <c r="L46" cm="1">
        <f t="array" ref="L46">STOWA2024_NDJF_T(A46*60,K46,I46,J46,"")</f>
        <v>84.771650244197886</v>
      </c>
      <c r="M46">
        <f t="shared" si="17"/>
        <v>1.1796396520763072E-2</v>
      </c>
    </row>
    <row r="47" spans="1:13" x14ac:dyDescent="0.3">
      <c r="A47">
        <v>48</v>
      </c>
      <c r="B47">
        <f t="shared" si="14"/>
        <v>4.3688149177444451E-3</v>
      </c>
      <c r="C47">
        <f t="shared" si="10"/>
        <v>4.3688149177444451E-3</v>
      </c>
      <c r="D47" t="s">
        <v>26</v>
      </c>
      <c r="E47" t="s">
        <v>19</v>
      </c>
      <c r="F47">
        <v>1</v>
      </c>
      <c r="G47">
        <f t="shared" si="15"/>
        <v>80</v>
      </c>
      <c r="I47">
        <v>2033</v>
      </c>
      <c r="J47" t="s">
        <v>25</v>
      </c>
      <c r="K47">
        <f t="shared" si="16"/>
        <v>82.5</v>
      </c>
      <c r="L47" cm="1">
        <f t="array" ref="L47">STOWA2024_NDJF_T(A47*60,K47,I47,J47,"")</f>
        <v>134.63332393326951</v>
      </c>
      <c r="M47">
        <f t="shared" si="17"/>
        <v>7.4275816030186272E-3</v>
      </c>
    </row>
    <row r="48" spans="1:13" x14ac:dyDescent="0.3">
      <c r="A48">
        <v>48</v>
      </c>
      <c r="B48">
        <f t="shared" si="14"/>
        <v>2.6958699278944896E-3</v>
      </c>
      <c r="C48">
        <f t="shared" si="10"/>
        <v>2.6958699278944896E-3</v>
      </c>
      <c r="D48" t="s">
        <v>26</v>
      </c>
      <c r="E48" t="s">
        <v>19</v>
      </c>
      <c r="F48">
        <v>1</v>
      </c>
      <c r="G48">
        <f t="shared" si="15"/>
        <v>85</v>
      </c>
      <c r="I48">
        <v>2033</v>
      </c>
      <c r="J48" t="s">
        <v>25</v>
      </c>
      <c r="K48">
        <f t="shared" si="16"/>
        <v>87.5</v>
      </c>
      <c r="L48" cm="1">
        <f t="array" ref="L48">STOWA2024_NDJF_T(A48*60,K48,I48,J48,"")</f>
        <v>211.34001153478246</v>
      </c>
      <c r="M48">
        <f t="shared" si="17"/>
        <v>4.7317116751241376E-3</v>
      </c>
    </row>
    <row r="49" spans="1:13" x14ac:dyDescent="0.3">
      <c r="A49">
        <v>48</v>
      </c>
      <c r="B49">
        <f t="shared" si="14"/>
        <v>1.683707158218532E-3</v>
      </c>
      <c r="C49">
        <f t="shared" si="10"/>
        <v>1.683707158218532E-3</v>
      </c>
      <c r="D49" t="s">
        <v>26</v>
      </c>
      <c r="E49" t="s">
        <v>19</v>
      </c>
      <c r="F49">
        <v>1</v>
      </c>
      <c r="G49">
        <f t="shared" si="15"/>
        <v>90</v>
      </c>
      <c r="I49">
        <v>2033</v>
      </c>
      <c r="J49" t="s">
        <v>25</v>
      </c>
      <c r="K49">
        <f t="shared" si="16"/>
        <v>92.5</v>
      </c>
      <c r="L49" cm="1">
        <f t="array" ref="L49">STOWA2024_NDJF_T(A49*60,K49,I49,J49,"")</f>
        <v>328.08350330635983</v>
      </c>
      <c r="M49">
        <f t="shared" si="17"/>
        <v>3.0480045169056055E-3</v>
      </c>
    </row>
    <row r="50" spans="1:13" x14ac:dyDescent="0.3">
      <c r="A50">
        <v>48</v>
      </c>
      <c r="B50">
        <f t="shared" si="14"/>
        <v>1.0637209390236212E-3</v>
      </c>
      <c r="C50">
        <f t="shared" si="10"/>
        <v>1.0637209390236212E-3</v>
      </c>
      <c r="D50" t="s">
        <v>26</v>
      </c>
      <c r="E50" t="s">
        <v>19</v>
      </c>
      <c r="F50">
        <v>1</v>
      </c>
      <c r="G50">
        <f t="shared" si="15"/>
        <v>95</v>
      </c>
      <c r="I50">
        <v>2033</v>
      </c>
      <c r="J50" t="s">
        <v>25</v>
      </c>
      <c r="K50">
        <f t="shared" si="16"/>
        <v>97.5</v>
      </c>
      <c r="L50" cm="1">
        <f t="array" ref="L50">STOWA2024_NDJF_T(A50*60,K50,I50,J50,"")</f>
        <v>503.96022581983755</v>
      </c>
      <c r="M50">
        <f t="shared" si="17"/>
        <v>1.9842835778819843E-3</v>
      </c>
    </row>
    <row r="51" spans="1:13" x14ac:dyDescent="0.3">
      <c r="A51">
        <v>48</v>
      </c>
      <c r="B51">
        <f t="shared" si="14"/>
        <v>6.7941380877582953E-4</v>
      </c>
      <c r="C51">
        <f t="shared" si="10"/>
        <v>6.7941380877582953E-4</v>
      </c>
      <c r="D51" t="s">
        <v>26</v>
      </c>
      <c r="E51" t="s">
        <v>19</v>
      </c>
      <c r="F51">
        <v>1</v>
      </c>
      <c r="G51">
        <f t="shared" si="15"/>
        <v>100</v>
      </c>
      <c r="I51">
        <v>2033</v>
      </c>
      <c r="J51" t="s">
        <v>25</v>
      </c>
      <c r="K51">
        <f t="shared" si="16"/>
        <v>102.5</v>
      </c>
      <c r="L51" cm="1">
        <f t="array" ref="L51">STOWA2024_NDJF_T(A51*60,K51,I51,J51,"")</f>
        <v>766.3600028721695</v>
      </c>
      <c r="M51">
        <f t="shared" si="17"/>
        <v>1.3048697691061548E-3</v>
      </c>
    </row>
    <row r="52" spans="1:13" x14ac:dyDescent="0.3">
      <c r="A52">
        <v>48</v>
      </c>
      <c r="B52">
        <f t="shared" si="14"/>
        <v>4.3849609802594622E-4</v>
      </c>
      <c r="C52">
        <f t="shared" si="10"/>
        <v>4.3849609802594622E-4</v>
      </c>
      <c r="D52" t="s">
        <v>26</v>
      </c>
      <c r="E52" t="s">
        <v>19</v>
      </c>
      <c r="F52">
        <v>1</v>
      </c>
      <c r="G52">
        <f t="shared" si="15"/>
        <v>105</v>
      </c>
      <c r="I52">
        <v>2033</v>
      </c>
      <c r="J52" t="s">
        <v>25</v>
      </c>
      <c r="K52">
        <f t="shared" si="16"/>
        <v>107.5</v>
      </c>
      <c r="L52" cm="1">
        <f t="array" ref="L52">STOWA2024_NDJF_T(A52*60,K52,I52,J52,"")</f>
        <v>1154.2363686481654</v>
      </c>
      <c r="M52">
        <f t="shared" si="17"/>
        <v>8.6637367108020858E-4</v>
      </c>
    </row>
    <row r="53" spans="1:13" x14ac:dyDescent="0.3">
      <c r="A53">
        <v>48</v>
      </c>
      <c r="B53">
        <f t="shared" si="14"/>
        <v>2.8583545048727684E-4</v>
      </c>
      <c r="C53">
        <f t="shared" si="10"/>
        <v>2.8583545048727684E-4</v>
      </c>
      <c r="D53" t="s">
        <v>26</v>
      </c>
      <c r="E53" t="s">
        <v>19</v>
      </c>
      <c r="F53">
        <v>1</v>
      </c>
      <c r="G53">
        <f t="shared" si="15"/>
        <v>110</v>
      </c>
      <c r="I53">
        <v>2033</v>
      </c>
      <c r="J53" t="s">
        <v>25</v>
      </c>
      <c r="K53">
        <f t="shared" si="16"/>
        <v>112.5</v>
      </c>
      <c r="L53" cm="1">
        <f t="array" ref="L53">STOWA2024_NDJF_T(A53*60,K53,I53,J53,"")</f>
        <v>1722.5394720413958</v>
      </c>
      <c r="M53">
        <f t="shared" si="17"/>
        <v>5.8053822059293174E-4</v>
      </c>
    </row>
    <row r="54" spans="1:13" x14ac:dyDescent="0.3">
      <c r="A54">
        <v>48</v>
      </c>
      <c r="B54">
        <f t="shared" si="14"/>
        <v>1.88102029353457E-4</v>
      </c>
      <c r="C54">
        <f t="shared" si="10"/>
        <v>1.88102029353457E-4</v>
      </c>
      <c r="D54" t="s">
        <v>26</v>
      </c>
      <c r="E54" t="s">
        <v>19</v>
      </c>
      <c r="F54">
        <v>1</v>
      </c>
      <c r="G54">
        <f t="shared" si="15"/>
        <v>115</v>
      </c>
      <c r="I54">
        <v>2033</v>
      </c>
      <c r="J54" t="s">
        <v>25</v>
      </c>
      <c r="K54">
        <f t="shared" si="16"/>
        <v>117.5</v>
      </c>
      <c r="L54" cm="1">
        <f t="array" ref="L54">STOWA2024_NDJF_T(A54*60,K54,I54,J54,"")</f>
        <v>2548.1849592964122</v>
      </c>
      <c r="M54">
        <f t="shared" si="17"/>
        <v>3.9243619123947474E-4</v>
      </c>
    </row>
    <row r="55" spans="1:13" x14ac:dyDescent="0.3">
      <c r="A55">
        <v>48</v>
      </c>
      <c r="B55">
        <f t="shared" si="14"/>
        <v>1.2491611967616479E-4</v>
      </c>
      <c r="C55">
        <f t="shared" si="10"/>
        <v>1.2491611967616479E-4</v>
      </c>
      <c r="D55" t="s">
        <v>26</v>
      </c>
      <c r="E55" t="s">
        <v>19</v>
      </c>
      <c r="F55">
        <v>1</v>
      </c>
      <c r="G55">
        <f t="shared" si="15"/>
        <v>120</v>
      </c>
      <c r="I55">
        <v>2033</v>
      </c>
      <c r="J55" t="s">
        <v>25</v>
      </c>
      <c r="K55">
        <f t="shared" si="16"/>
        <v>122.5</v>
      </c>
      <c r="L55" cm="1">
        <f t="array" ref="L55">STOWA2024_NDJF_T(A55*60,K55,I55,J55,"")</f>
        <v>3738.0372775630967</v>
      </c>
      <c r="M55">
        <f t="shared" si="17"/>
        <v>2.6752007156330995E-4</v>
      </c>
    </row>
    <row r="56" spans="1:13" x14ac:dyDescent="0.3">
      <c r="A56">
        <v>48</v>
      </c>
      <c r="B56">
        <f t="shared" si="14"/>
        <v>8.367914259703113E-5</v>
      </c>
      <c r="C56">
        <f t="shared" si="10"/>
        <v>8.367914259703113E-5</v>
      </c>
      <c r="D56" t="s">
        <v>26</v>
      </c>
      <c r="E56" t="s">
        <v>19</v>
      </c>
      <c r="F56">
        <v>1</v>
      </c>
      <c r="G56">
        <f t="shared" si="15"/>
        <v>125</v>
      </c>
      <c r="I56">
        <v>2033</v>
      </c>
      <c r="J56" t="s">
        <v>25</v>
      </c>
      <c r="K56">
        <f t="shared" si="16"/>
        <v>127.5</v>
      </c>
      <c r="L56" cm="1">
        <f t="array" ref="L56">STOWA2024_NDJF_T(A56*60,K56,I56,J56,"")</f>
        <v>5439.4851332775079</v>
      </c>
      <c r="M56">
        <f t="shared" si="17"/>
        <v>1.8384092896627882E-4</v>
      </c>
    </row>
    <row r="57" spans="1:13" x14ac:dyDescent="0.3">
      <c r="A57">
        <v>48</v>
      </c>
      <c r="B57">
        <f t="shared" si="14"/>
        <v>5.6526651066383308E-5</v>
      </c>
      <c r="C57">
        <f t="shared" si="10"/>
        <v>5.6526651066383308E-5</v>
      </c>
      <c r="D57" t="s">
        <v>26</v>
      </c>
      <c r="E57" t="s">
        <v>19</v>
      </c>
      <c r="F57">
        <v>1</v>
      </c>
      <c r="G57">
        <f t="shared" si="15"/>
        <v>130</v>
      </c>
      <c r="I57">
        <v>2033</v>
      </c>
      <c r="J57" t="s">
        <v>25</v>
      </c>
      <c r="K57">
        <f t="shared" si="16"/>
        <v>132.5</v>
      </c>
      <c r="L57" cm="1">
        <f t="array" ref="L57">STOWA2024_NDJF_T(A57*60,K57,I57,J57,"")</f>
        <v>7854.5785790520567</v>
      </c>
      <c r="M57">
        <f t="shared" si="17"/>
        <v>1.2731427789989551E-4</v>
      </c>
    </row>
    <row r="58" spans="1:13" x14ac:dyDescent="0.3">
      <c r="A58">
        <v>48</v>
      </c>
      <c r="B58">
        <f t="shared" si="14"/>
        <v>3.8490057393876617E-5</v>
      </c>
      <c r="C58">
        <f t="shared" si="10"/>
        <v>3.8490057393876617E-5</v>
      </c>
      <c r="D58" t="s">
        <v>26</v>
      </c>
      <c r="E58" t="s">
        <v>19</v>
      </c>
      <c r="F58">
        <v>1</v>
      </c>
      <c r="G58">
        <f t="shared" si="15"/>
        <v>135</v>
      </c>
      <c r="I58">
        <v>2033</v>
      </c>
      <c r="J58" t="s">
        <v>25</v>
      </c>
      <c r="K58">
        <f t="shared" si="16"/>
        <v>137.5</v>
      </c>
      <c r="L58" cm="1">
        <f t="array" ref="L58">STOWA2024_NDJF_T(A58*60,K58,I58,J58,"")</f>
        <v>11258.190550990967</v>
      </c>
      <c r="M58">
        <f t="shared" si="17"/>
        <v>8.8824220506018896E-5</v>
      </c>
    </row>
    <row r="59" spans="1:13" x14ac:dyDescent="0.3">
      <c r="A59">
        <v>48</v>
      </c>
      <c r="B59">
        <f t="shared" si="14"/>
        <v>2.6411194103309409E-5</v>
      </c>
      <c r="C59">
        <f t="shared" si="10"/>
        <v>2.6411194103309409E-5</v>
      </c>
      <c r="D59" t="s">
        <v>26</v>
      </c>
      <c r="E59" t="s">
        <v>19</v>
      </c>
      <c r="F59">
        <v>1</v>
      </c>
      <c r="G59">
        <f t="shared" si="15"/>
        <v>140</v>
      </c>
      <c r="I59">
        <v>2033</v>
      </c>
      <c r="J59" t="s">
        <v>25</v>
      </c>
      <c r="K59">
        <f t="shared" si="16"/>
        <v>142.5</v>
      </c>
      <c r="L59" cm="1">
        <f t="array" ref="L59">STOWA2024_NDJF_T(A59*60,K59,I59,J59,"")</f>
        <v>16022.296267892367</v>
      </c>
      <c r="M59">
        <f t="shared" si="17"/>
        <v>6.2413026402709487E-5</v>
      </c>
    </row>
    <row r="60" spans="1:13" x14ac:dyDescent="0.3">
      <c r="A60">
        <v>48</v>
      </c>
      <c r="B60">
        <f t="shared" si="14"/>
        <v>1.825736738515514E-5</v>
      </c>
      <c r="C60">
        <f t="shared" si="10"/>
        <v>1.825736738515514E-5</v>
      </c>
      <c r="D60" t="s">
        <v>26</v>
      </c>
      <c r="E60" t="s">
        <v>19</v>
      </c>
      <c r="F60">
        <v>1</v>
      </c>
      <c r="G60">
        <f t="shared" si="15"/>
        <v>145</v>
      </c>
      <c r="I60">
        <v>2033</v>
      </c>
      <c r="J60" t="s">
        <v>25</v>
      </c>
      <c r="K60">
        <f t="shared" si="16"/>
        <v>147.5</v>
      </c>
      <c r="L60" cm="1">
        <f t="array" ref="L60">STOWA2024_NDJF_T(A60*60,K60,I60,J60,"")</f>
        <v>22647.153779370477</v>
      </c>
      <c r="M60">
        <f t="shared" si="17"/>
        <v>4.4155659017554347E-5</v>
      </c>
    </row>
    <row r="61" spans="1:13" x14ac:dyDescent="0.3">
      <c r="A61">
        <v>48</v>
      </c>
      <c r="B61">
        <f t="shared" si="14"/>
        <v>1.271027439811763E-5</v>
      </c>
      <c r="C61">
        <f t="shared" si="10"/>
        <v>1.271027439811763E-5</v>
      </c>
      <c r="D61" t="s">
        <v>26</v>
      </c>
      <c r="E61" t="s">
        <v>19</v>
      </c>
      <c r="F61">
        <v>1</v>
      </c>
      <c r="G61">
        <f t="shared" si="15"/>
        <v>150</v>
      </c>
      <c r="I61">
        <v>2033</v>
      </c>
      <c r="J61" t="s">
        <v>25</v>
      </c>
      <c r="K61">
        <f t="shared" si="16"/>
        <v>152.5</v>
      </c>
      <c r="L61" cm="1">
        <f t="array" ref="L61">STOWA2024_NDJF_T(A61*60,K61,I61,J61,"")</f>
        <v>31801.169300434944</v>
      </c>
      <c r="M61">
        <f t="shared" si="17"/>
        <v>3.1445384619436717E-5</v>
      </c>
    </row>
    <row r="62" spans="1:13" x14ac:dyDescent="0.3">
      <c r="A62">
        <v>48</v>
      </c>
      <c r="B62">
        <f t="shared" si="14"/>
        <v>8.9093367231235888E-6</v>
      </c>
      <c r="C62">
        <f t="shared" si="10"/>
        <v>8.9093367231235888E-6</v>
      </c>
      <c r="D62" t="s">
        <v>26</v>
      </c>
      <c r="E62" t="s">
        <v>19</v>
      </c>
      <c r="F62">
        <v>1</v>
      </c>
      <c r="G62">
        <f t="shared" si="15"/>
        <v>155</v>
      </c>
      <c r="I62">
        <v>2033</v>
      </c>
      <c r="J62" t="s">
        <v>25</v>
      </c>
      <c r="K62">
        <f t="shared" si="16"/>
        <v>157.5</v>
      </c>
      <c r="L62" cm="1">
        <f t="array" ref="L62">STOWA2024_NDJF_T(A62*60,K62,I62,J62,"")</f>
        <v>44373.35262158361</v>
      </c>
      <c r="M62">
        <f t="shared" si="17"/>
        <v>2.2536047896313129E-5</v>
      </c>
    </row>
    <row r="63" spans="1:13" x14ac:dyDescent="0.3">
      <c r="A63">
        <v>48</v>
      </c>
      <c r="B63" s="1">
        <f>M62</f>
        <v>2.2536047896313129E-5</v>
      </c>
      <c r="C63">
        <f t="shared" si="10"/>
        <v>2.2536047896313129E-5</v>
      </c>
      <c r="D63" t="s">
        <v>26</v>
      </c>
      <c r="E63" t="s">
        <v>19</v>
      </c>
      <c r="F63">
        <v>1</v>
      </c>
      <c r="G63">
        <f t="shared" si="15"/>
        <v>160</v>
      </c>
      <c r="I63">
        <v>2033</v>
      </c>
      <c r="J63" t="s">
        <v>25</v>
      </c>
      <c r="K63">
        <f>AVERAGE(G63:G64)</f>
        <v>85</v>
      </c>
      <c r="L63" cm="1">
        <f t="array" ref="L63">STOWA2024_NDJF_T(A63*60,K63,I63,J63,"")</f>
        <v>168.92160282052552</v>
      </c>
      <c r="M63">
        <f>1/L63</f>
        <v>5.9199059404052186E-3</v>
      </c>
    </row>
    <row r="64" spans="1:13" x14ac:dyDescent="0.3">
      <c r="A64">
        <v>96</v>
      </c>
      <c r="B64" s="1">
        <f>365.25*24/A64 - M64</f>
        <v>70.240623217151722</v>
      </c>
      <c r="C64">
        <f>B64</f>
        <v>70.240623217151722</v>
      </c>
      <c r="D64" t="s">
        <v>26</v>
      </c>
      <c r="E64" t="s">
        <v>19</v>
      </c>
      <c r="F64">
        <v>1</v>
      </c>
      <c r="G64">
        <v>10</v>
      </c>
      <c r="I64">
        <v>2033</v>
      </c>
      <c r="J64" t="s">
        <v>25</v>
      </c>
      <c r="K64">
        <f>AVERAGE(G64:G66)</f>
        <v>15</v>
      </c>
      <c r="L64" cm="1">
        <f t="array" ref="L64">STOWA2024_NDJF_T(A64*60,K64,I64,J64,"")</f>
        <v>4.7456617666536582E-2</v>
      </c>
      <c r="M64">
        <f>1/L64</f>
        <v>21.071876782848285</v>
      </c>
    </row>
    <row r="65" spans="1:13" x14ac:dyDescent="0.3">
      <c r="A65">
        <v>96</v>
      </c>
      <c r="B65">
        <f t="shared" ref="B65:B69" si="18">M64-M65</f>
        <v>4.4236224558472088</v>
      </c>
      <c r="C65">
        <f t="shared" ref="C65:C94" si="19">B65</f>
        <v>4.4236224558472088</v>
      </c>
      <c r="D65" t="s">
        <v>26</v>
      </c>
      <c r="E65" t="s">
        <v>19</v>
      </c>
      <c r="F65">
        <v>1</v>
      </c>
      <c r="G65">
        <f t="shared" ref="G65:G69" si="20">G64+5</f>
        <v>15</v>
      </c>
      <c r="I65">
        <v>2033</v>
      </c>
      <c r="J65" t="s">
        <v>25</v>
      </c>
      <c r="K65">
        <f t="shared" ref="K65:K69" si="21">AVERAGE(G65:G66)</f>
        <v>17.5</v>
      </c>
      <c r="L65" cm="1">
        <f t="array" ref="L65">STOWA2024_NDJF_T(A65*60,K65,I65,J65,"")</f>
        <v>6.0066357730860928E-2</v>
      </c>
      <c r="M65">
        <f t="shared" ref="M65:M69" si="22">1/L65</f>
        <v>16.648254327001077</v>
      </c>
    </row>
    <row r="66" spans="1:13" x14ac:dyDescent="0.3">
      <c r="A66">
        <v>96</v>
      </c>
      <c r="B66">
        <f t="shared" si="18"/>
        <v>6.2184193762690239</v>
      </c>
      <c r="C66">
        <f t="shared" si="19"/>
        <v>6.2184193762690239</v>
      </c>
      <c r="D66" t="s">
        <v>26</v>
      </c>
      <c r="E66" t="s">
        <v>19</v>
      </c>
      <c r="F66">
        <v>1</v>
      </c>
      <c r="G66">
        <f t="shared" si="20"/>
        <v>20</v>
      </c>
      <c r="I66">
        <v>2033</v>
      </c>
      <c r="J66" t="s">
        <v>25</v>
      </c>
      <c r="K66">
        <f t="shared" si="21"/>
        <v>22.5</v>
      </c>
      <c r="L66" cm="1">
        <f t="array" ref="L66">STOWA2024_NDJF_T(A66*60,K66,I66,J66,"")</f>
        <v>9.587879431685653E-2</v>
      </c>
      <c r="M66">
        <f t="shared" si="22"/>
        <v>10.429834950732053</v>
      </c>
    </row>
    <row r="67" spans="1:13" x14ac:dyDescent="0.3">
      <c r="A67">
        <v>96</v>
      </c>
      <c r="B67">
        <f t="shared" si="18"/>
        <v>3.8644924791470388</v>
      </c>
      <c r="C67">
        <f t="shared" si="19"/>
        <v>3.8644924791470388</v>
      </c>
      <c r="D67" t="s">
        <v>26</v>
      </c>
      <c r="E67" t="s">
        <v>19</v>
      </c>
      <c r="F67">
        <v>1</v>
      </c>
      <c r="G67">
        <f t="shared" si="20"/>
        <v>25</v>
      </c>
      <c r="I67">
        <v>2033</v>
      </c>
      <c r="J67" t="s">
        <v>25</v>
      </c>
      <c r="K67">
        <f t="shared" si="21"/>
        <v>27.5</v>
      </c>
      <c r="L67" cm="1">
        <f t="array" ref="L67">STOWA2024_NDJF_T(A67*60,K67,I67,J67,"")</f>
        <v>0.15231497889531703</v>
      </c>
      <c r="M67">
        <f t="shared" si="22"/>
        <v>6.5653424715850139</v>
      </c>
    </row>
    <row r="68" spans="1:13" x14ac:dyDescent="0.3">
      <c r="A68">
        <v>96</v>
      </c>
      <c r="B68">
        <f t="shared" si="18"/>
        <v>2.413250482934389</v>
      </c>
      <c r="C68">
        <f t="shared" si="19"/>
        <v>2.413250482934389</v>
      </c>
      <c r="D68" t="s">
        <v>26</v>
      </c>
      <c r="E68" t="s">
        <v>19</v>
      </c>
      <c r="F68">
        <v>1</v>
      </c>
      <c r="G68">
        <f t="shared" si="20"/>
        <v>30</v>
      </c>
      <c r="I68">
        <v>2033</v>
      </c>
      <c r="J68" t="s">
        <v>25</v>
      </c>
      <c r="K68">
        <f t="shared" si="21"/>
        <v>32.5</v>
      </c>
      <c r="L68" cm="1">
        <f t="array" ref="L68">STOWA2024_NDJF_T(A68*60,K68,I68,J68,"")</f>
        <v>0.2408424482726807</v>
      </c>
      <c r="M68">
        <f t="shared" si="22"/>
        <v>4.1520919886506249</v>
      </c>
    </row>
    <row r="69" spans="1:13" x14ac:dyDescent="0.3">
      <c r="A69">
        <v>96</v>
      </c>
      <c r="B69">
        <f t="shared" si="18"/>
        <v>1.5142133508143303</v>
      </c>
      <c r="C69">
        <f t="shared" si="19"/>
        <v>1.5142133508143303</v>
      </c>
      <c r="D69" t="s">
        <v>26</v>
      </c>
      <c r="E69" t="s">
        <v>19</v>
      </c>
      <c r="F69">
        <v>1</v>
      </c>
      <c r="G69">
        <f t="shared" si="20"/>
        <v>35</v>
      </c>
      <c r="I69">
        <v>2033</v>
      </c>
      <c r="J69" t="s">
        <v>25</v>
      </c>
      <c r="K69">
        <f t="shared" si="21"/>
        <v>37.5</v>
      </c>
      <c r="L69" cm="1">
        <f t="array" ref="L69">STOWA2024_NDJF_T(A69*60,K69,I69,J69,"")</f>
        <v>0.37909249715151583</v>
      </c>
      <c r="M69">
        <f t="shared" si="22"/>
        <v>2.6378786378362946</v>
      </c>
    </row>
    <row r="70" spans="1:13" x14ac:dyDescent="0.3">
      <c r="A70">
        <v>96</v>
      </c>
      <c r="B70">
        <f>M69-M70</f>
        <v>0.95444114169132854</v>
      </c>
      <c r="C70">
        <f t="shared" si="19"/>
        <v>0.95444114169132854</v>
      </c>
      <c r="D70" t="s">
        <v>26</v>
      </c>
      <c r="E70" t="s">
        <v>19</v>
      </c>
      <c r="F70">
        <v>1</v>
      </c>
      <c r="G70">
        <f>G69+5</f>
        <v>40</v>
      </c>
      <c r="I70">
        <v>2033</v>
      </c>
      <c r="J70" t="s">
        <v>25</v>
      </c>
      <c r="K70">
        <f>AVERAGE(G70:G71)</f>
        <v>42.5</v>
      </c>
      <c r="L70" cm="1">
        <f t="array" ref="L70">STOWA2024_NDJF_T(A70*60,K70,I70,J70,"")</f>
        <v>0.59402264847371966</v>
      </c>
      <c r="M70">
        <f>1/L70</f>
        <v>1.6834374961449661</v>
      </c>
    </row>
    <row r="71" spans="1:13" x14ac:dyDescent="0.3">
      <c r="A71">
        <v>96</v>
      </c>
      <c r="B71">
        <f t="shared" ref="B71:B93" si="23">M70-M71</f>
        <v>0.60438103494800344</v>
      </c>
      <c r="C71">
        <f t="shared" si="19"/>
        <v>0.60438103494800344</v>
      </c>
      <c r="D71" t="s">
        <v>26</v>
      </c>
      <c r="E71" t="s">
        <v>19</v>
      </c>
      <c r="F71">
        <v>1</v>
      </c>
      <c r="G71">
        <f t="shared" ref="G71:G94" si="24">G70+5</f>
        <v>45</v>
      </c>
      <c r="I71">
        <v>2033</v>
      </c>
      <c r="J71" t="s">
        <v>25</v>
      </c>
      <c r="K71">
        <f t="shared" ref="K71:K93" si="25">AVERAGE(G71:G72)</f>
        <v>47.5</v>
      </c>
      <c r="L71" cm="1">
        <f t="array" ref="L71">STOWA2024_NDJF_T(A71*60,K71,I71,J71,"")</f>
        <v>0.92673556570963123</v>
      </c>
      <c r="M71">
        <f t="shared" ref="M71:M93" si="26">1/L71</f>
        <v>1.0790564611969626</v>
      </c>
    </row>
    <row r="72" spans="1:13" x14ac:dyDescent="0.3">
      <c r="A72">
        <v>96</v>
      </c>
      <c r="B72">
        <f t="shared" si="23"/>
        <v>0.38433623221110635</v>
      </c>
      <c r="C72">
        <f t="shared" si="19"/>
        <v>0.38433623221110635</v>
      </c>
      <c r="D72" t="s">
        <v>26</v>
      </c>
      <c r="E72" t="s">
        <v>19</v>
      </c>
      <c r="F72">
        <v>1</v>
      </c>
      <c r="G72">
        <f t="shared" si="24"/>
        <v>50</v>
      </c>
      <c r="I72">
        <v>2033</v>
      </c>
      <c r="J72" t="s">
        <v>25</v>
      </c>
      <c r="K72">
        <f t="shared" si="25"/>
        <v>52.5</v>
      </c>
      <c r="L72" cm="1">
        <f t="array" ref="L72">STOWA2024_NDJF_T(A72*60,K72,I72,J72,"")</f>
        <v>1.4394283601900972</v>
      </c>
      <c r="M72">
        <f t="shared" si="26"/>
        <v>0.69472022898585628</v>
      </c>
    </row>
    <row r="73" spans="1:13" x14ac:dyDescent="0.3">
      <c r="A73">
        <v>96</v>
      </c>
      <c r="B73">
        <f t="shared" si="23"/>
        <v>0.24559641219279271</v>
      </c>
      <c r="C73">
        <f t="shared" si="19"/>
        <v>0.24559641219279271</v>
      </c>
      <c r="D73" t="s">
        <v>26</v>
      </c>
      <c r="E73" t="s">
        <v>19</v>
      </c>
      <c r="F73">
        <v>1</v>
      </c>
      <c r="G73">
        <f t="shared" si="24"/>
        <v>55</v>
      </c>
      <c r="I73">
        <v>2033</v>
      </c>
      <c r="J73" t="s">
        <v>25</v>
      </c>
      <c r="K73">
        <f t="shared" si="25"/>
        <v>57.5</v>
      </c>
      <c r="L73" cm="1">
        <f t="array" ref="L73">STOWA2024_NDJF_T(A73*60,K73,I73,J73,"")</f>
        <v>2.2265574939677624</v>
      </c>
      <c r="M73">
        <f t="shared" si="26"/>
        <v>0.44912381679306357</v>
      </c>
    </row>
    <row r="74" spans="1:13" x14ac:dyDescent="0.3">
      <c r="A74">
        <v>96</v>
      </c>
      <c r="B74">
        <f t="shared" si="23"/>
        <v>0.15756451877288291</v>
      </c>
      <c r="C74">
        <f t="shared" si="19"/>
        <v>0.15756451877288291</v>
      </c>
      <c r="D74" t="s">
        <v>26</v>
      </c>
      <c r="E74" t="s">
        <v>19</v>
      </c>
      <c r="F74">
        <v>1</v>
      </c>
      <c r="G74">
        <f t="shared" si="24"/>
        <v>60</v>
      </c>
      <c r="I74">
        <v>2033</v>
      </c>
      <c r="J74" t="s">
        <v>25</v>
      </c>
      <c r="K74">
        <f t="shared" si="25"/>
        <v>62.5</v>
      </c>
      <c r="L74" cm="1">
        <f t="array" ref="L74">STOWA2024_NDJF_T(A74*60,K74,I74,J74,"")</f>
        <v>3.4298340227543824</v>
      </c>
      <c r="M74">
        <f t="shared" si="26"/>
        <v>0.29155929802018066</v>
      </c>
    </row>
    <row r="75" spans="1:13" x14ac:dyDescent="0.3">
      <c r="A75">
        <v>96</v>
      </c>
      <c r="B75">
        <f t="shared" si="23"/>
        <v>0.10151613191643441</v>
      </c>
      <c r="C75">
        <f t="shared" si="19"/>
        <v>0.10151613191643441</v>
      </c>
      <c r="D75" t="s">
        <v>26</v>
      </c>
      <c r="E75" t="s">
        <v>19</v>
      </c>
      <c r="F75">
        <v>1</v>
      </c>
      <c r="G75">
        <f t="shared" si="24"/>
        <v>65</v>
      </c>
      <c r="I75">
        <v>2033</v>
      </c>
      <c r="J75" t="s">
        <v>25</v>
      </c>
      <c r="K75">
        <f t="shared" si="25"/>
        <v>67.5</v>
      </c>
      <c r="L75" cm="1">
        <f t="array" ref="L75">STOWA2024_NDJF_T(A75*60,K75,I75,J75,"")</f>
        <v>5.2619624293887588</v>
      </c>
      <c r="M75">
        <f t="shared" si="26"/>
        <v>0.19004316610374625</v>
      </c>
    </row>
    <row r="76" spans="1:13" x14ac:dyDescent="0.3">
      <c r="A76">
        <v>96</v>
      </c>
      <c r="B76">
        <f t="shared" si="23"/>
        <v>6.5674678858844052E-2</v>
      </c>
      <c r="C76">
        <f t="shared" si="19"/>
        <v>6.5674678858844052E-2</v>
      </c>
      <c r="D76" t="s">
        <v>26</v>
      </c>
      <c r="E76" t="s">
        <v>19</v>
      </c>
      <c r="F76">
        <v>1</v>
      </c>
      <c r="G76">
        <f t="shared" si="24"/>
        <v>70</v>
      </c>
      <c r="I76">
        <v>2033</v>
      </c>
      <c r="J76" t="s">
        <v>25</v>
      </c>
      <c r="K76">
        <f t="shared" si="25"/>
        <v>72.5</v>
      </c>
      <c r="L76" cm="1">
        <f t="array" ref="L76">STOWA2024_NDJF_T(A76*60,K76,I76,J76,"")</f>
        <v>8.0406220430327657</v>
      </c>
      <c r="M76">
        <f t="shared" si="26"/>
        <v>0.1243684872449022</v>
      </c>
    </row>
    <row r="77" spans="1:13" x14ac:dyDescent="0.3">
      <c r="A77">
        <v>96</v>
      </c>
      <c r="B77">
        <f t="shared" si="23"/>
        <v>4.2659523605270686E-2</v>
      </c>
      <c r="C77">
        <f t="shared" si="19"/>
        <v>4.2659523605270686E-2</v>
      </c>
      <c r="D77" t="s">
        <v>26</v>
      </c>
      <c r="E77" t="s">
        <v>19</v>
      </c>
      <c r="F77">
        <v>1</v>
      </c>
      <c r="G77">
        <f t="shared" si="24"/>
        <v>75</v>
      </c>
      <c r="I77">
        <v>2033</v>
      </c>
      <c r="J77" t="s">
        <v>25</v>
      </c>
      <c r="K77">
        <f t="shared" si="25"/>
        <v>77.5</v>
      </c>
      <c r="L77" cm="1">
        <f t="array" ref="L77">STOWA2024_NDJF_T(A77*60,K77,I77,J77,"")</f>
        <v>12.238559338610525</v>
      </c>
      <c r="M77">
        <f t="shared" si="26"/>
        <v>8.170896363963151E-2</v>
      </c>
    </row>
    <row r="78" spans="1:13" x14ac:dyDescent="0.3">
      <c r="A78">
        <v>96</v>
      </c>
      <c r="B78">
        <f t="shared" si="23"/>
        <v>2.7819589296834861E-2</v>
      </c>
      <c r="C78">
        <f t="shared" si="19"/>
        <v>2.7819589296834861E-2</v>
      </c>
      <c r="D78" t="s">
        <v>26</v>
      </c>
      <c r="E78" t="s">
        <v>19</v>
      </c>
      <c r="F78">
        <v>1</v>
      </c>
      <c r="G78">
        <f t="shared" si="24"/>
        <v>80</v>
      </c>
      <c r="I78">
        <v>2033</v>
      </c>
      <c r="J78" t="s">
        <v>25</v>
      </c>
      <c r="K78">
        <f t="shared" si="25"/>
        <v>82.5</v>
      </c>
      <c r="L78" cm="1">
        <f t="array" ref="L78">STOWA2024_NDJF_T(A78*60,K78,I78,J78,"")</f>
        <v>18.556533865820789</v>
      </c>
      <c r="M78">
        <f t="shared" si="26"/>
        <v>5.3889374342796649E-2</v>
      </c>
    </row>
    <row r="79" spans="1:13" x14ac:dyDescent="0.3">
      <c r="A79">
        <v>96</v>
      </c>
      <c r="B79">
        <f t="shared" si="23"/>
        <v>1.8213661640697959E-2</v>
      </c>
      <c r="C79">
        <f t="shared" si="19"/>
        <v>1.8213661640697959E-2</v>
      </c>
      <c r="D79" t="s">
        <v>26</v>
      </c>
      <c r="E79" t="s">
        <v>19</v>
      </c>
      <c r="F79">
        <v>1</v>
      </c>
      <c r="G79">
        <f t="shared" si="24"/>
        <v>85</v>
      </c>
      <c r="I79">
        <v>2033</v>
      </c>
      <c r="J79" t="s">
        <v>25</v>
      </c>
      <c r="K79">
        <f t="shared" si="25"/>
        <v>87.5</v>
      </c>
      <c r="L79" cm="1">
        <f t="array" ref="L79">STOWA2024_NDJF_T(A79*60,K79,I79,J79,"")</f>
        <v>28.030273938750859</v>
      </c>
      <c r="M79">
        <f t="shared" si="26"/>
        <v>3.567571270209869E-2</v>
      </c>
    </row>
    <row r="80" spans="1:13" x14ac:dyDescent="0.3">
      <c r="A80">
        <v>96</v>
      </c>
      <c r="B80">
        <f t="shared" si="23"/>
        <v>1.1969818920541664E-2</v>
      </c>
      <c r="C80">
        <f t="shared" si="19"/>
        <v>1.1969818920541664E-2</v>
      </c>
      <c r="D80" t="s">
        <v>26</v>
      </c>
      <c r="E80" t="s">
        <v>19</v>
      </c>
      <c r="F80">
        <v>1</v>
      </c>
      <c r="G80">
        <f t="shared" si="24"/>
        <v>90</v>
      </c>
      <c r="I80">
        <v>2033</v>
      </c>
      <c r="J80" t="s">
        <v>25</v>
      </c>
      <c r="K80">
        <f t="shared" si="25"/>
        <v>92.5</v>
      </c>
      <c r="L80" cm="1">
        <f t="array" ref="L80">STOWA2024_NDJF_T(A80*60,K80,I80,J80,"")</f>
        <v>42.183602492051619</v>
      </c>
      <c r="M80">
        <f t="shared" si="26"/>
        <v>2.3705893781557026E-2</v>
      </c>
    </row>
    <row r="81" spans="1:13" x14ac:dyDescent="0.3">
      <c r="A81">
        <v>96</v>
      </c>
      <c r="B81">
        <f t="shared" si="23"/>
        <v>7.8962610353777128E-3</v>
      </c>
      <c r="C81">
        <f t="shared" si="19"/>
        <v>7.8962610353777128E-3</v>
      </c>
      <c r="D81" t="s">
        <v>26</v>
      </c>
      <c r="E81" t="s">
        <v>19</v>
      </c>
      <c r="F81">
        <v>1</v>
      </c>
      <c r="G81">
        <f t="shared" si="24"/>
        <v>95</v>
      </c>
      <c r="I81">
        <v>2033</v>
      </c>
      <c r="J81" t="s">
        <v>25</v>
      </c>
      <c r="K81">
        <f t="shared" si="25"/>
        <v>97.5</v>
      </c>
      <c r="L81" cm="1">
        <f t="array" ref="L81">STOWA2024_NDJF_T(A81*60,K81,I81,J81,"")</f>
        <v>63.252576201788642</v>
      </c>
      <c r="M81">
        <f t="shared" si="26"/>
        <v>1.5809632746179313E-2</v>
      </c>
    </row>
    <row r="82" spans="1:13" x14ac:dyDescent="0.3">
      <c r="A82">
        <v>96</v>
      </c>
      <c r="B82">
        <f t="shared" si="23"/>
        <v>5.228282773591296E-3</v>
      </c>
      <c r="C82">
        <f t="shared" si="19"/>
        <v>5.228282773591296E-3</v>
      </c>
      <c r="D82" t="s">
        <v>26</v>
      </c>
      <c r="E82" t="s">
        <v>19</v>
      </c>
      <c r="F82">
        <v>1</v>
      </c>
      <c r="G82">
        <f t="shared" si="24"/>
        <v>100</v>
      </c>
      <c r="I82">
        <v>2033</v>
      </c>
      <c r="J82" t="s">
        <v>25</v>
      </c>
      <c r="K82">
        <f t="shared" si="25"/>
        <v>102.5</v>
      </c>
      <c r="L82" cm="1">
        <f t="array" ref="L82">STOWA2024_NDJF_T(A82*60,K82,I82,J82,"")</f>
        <v>94.505899775604632</v>
      </c>
      <c r="M82">
        <f t="shared" si="26"/>
        <v>1.0581349972588017E-2</v>
      </c>
    </row>
    <row r="83" spans="1:13" x14ac:dyDescent="0.3">
      <c r="A83">
        <v>96</v>
      </c>
      <c r="B83">
        <f t="shared" si="23"/>
        <v>3.4743381171135623E-3</v>
      </c>
      <c r="C83">
        <f t="shared" si="19"/>
        <v>3.4743381171135623E-3</v>
      </c>
      <c r="D83" t="s">
        <v>26</v>
      </c>
      <c r="E83" t="s">
        <v>19</v>
      </c>
      <c r="F83">
        <v>1</v>
      </c>
      <c r="G83">
        <f t="shared" si="24"/>
        <v>105</v>
      </c>
      <c r="I83">
        <v>2033</v>
      </c>
      <c r="J83" t="s">
        <v>25</v>
      </c>
      <c r="K83">
        <f t="shared" si="25"/>
        <v>107.5</v>
      </c>
      <c r="L83" cm="1">
        <f t="array" ref="L83">STOWA2024_NDJF_T(A83*60,K83,I83,J83,"")</f>
        <v>140.70611113863708</v>
      </c>
      <c r="M83">
        <f t="shared" si="26"/>
        <v>7.107011855474455E-3</v>
      </c>
    </row>
    <row r="84" spans="1:13" x14ac:dyDescent="0.3">
      <c r="A84">
        <v>96</v>
      </c>
      <c r="B84">
        <f t="shared" si="23"/>
        <v>2.3170375037853599E-3</v>
      </c>
      <c r="C84">
        <f t="shared" si="19"/>
        <v>2.3170375037853599E-3</v>
      </c>
      <c r="D84" t="s">
        <v>26</v>
      </c>
      <c r="E84" t="s">
        <v>19</v>
      </c>
      <c r="F84">
        <v>1</v>
      </c>
      <c r="G84">
        <f t="shared" si="24"/>
        <v>110</v>
      </c>
      <c r="I84">
        <v>2033</v>
      </c>
      <c r="J84" t="s">
        <v>25</v>
      </c>
      <c r="K84">
        <f t="shared" si="25"/>
        <v>112.5</v>
      </c>
      <c r="L84" cm="1">
        <f t="array" ref="L84">STOWA2024_NDJF_T(A84*60,K84,I84,J84,"")</f>
        <v>208.76938509020798</v>
      </c>
      <c r="M84">
        <f t="shared" si="26"/>
        <v>4.7899743516890952E-3</v>
      </c>
    </row>
    <row r="85" spans="1:13" x14ac:dyDescent="0.3">
      <c r="A85">
        <v>96</v>
      </c>
      <c r="B85">
        <f t="shared" si="23"/>
        <v>1.5506552728112716E-3</v>
      </c>
      <c r="C85">
        <f t="shared" si="19"/>
        <v>1.5506552728112716E-3</v>
      </c>
      <c r="D85" t="s">
        <v>26</v>
      </c>
      <c r="E85" t="s">
        <v>19</v>
      </c>
      <c r="F85">
        <v>1</v>
      </c>
      <c r="G85">
        <f t="shared" si="24"/>
        <v>115</v>
      </c>
      <c r="I85">
        <v>2033</v>
      </c>
      <c r="J85" t="s">
        <v>25</v>
      </c>
      <c r="K85">
        <f t="shared" si="25"/>
        <v>117.5</v>
      </c>
      <c r="L85" cm="1">
        <f t="array" ref="L85">STOWA2024_NDJF_T(A85*60,K85,I85,J85,"")</f>
        <v>308.70685340032128</v>
      </c>
      <c r="M85">
        <f t="shared" si="26"/>
        <v>3.2393190788778236E-3</v>
      </c>
    </row>
    <row r="86" spans="1:13" x14ac:dyDescent="0.3">
      <c r="A86">
        <v>96</v>
      </c>
      <c r="B86">
        <f t="shared" si="23"/>
        <v>1.0413401320919068E-3</v>
      </c>
      <c r="C86">
        <f t="shared" si="19"/>
        <v>1.0413401320919068E-3</v>
      </c>
      <c r="D86" t="s">
        <v>26</v>
      </c>
      <c r="E86" t="s">
        <v>19</v>
      </c>
      <c r="F86">
        <v>1</v>
      </c>
      <c r="G86">
        <f t="shared" si="24"/>
        <v>120</v>
      </c>
      <c r="I86">
        <v>2033</v>
      </c>
      <c r="J86" t="s">
        <v>25</v>
      </c>
      <c r="K86">
        <f t="shared" si="25"/>
        <v>122.5</v>
      </c>
      <c r="L86" cm="1">
        <f t="array" ref="L86">STOWA2024_NDJF_T(A86*60,K86,I86,J86,"")</f>
        <v>454.96341148412284</v>
      </c>
      <c r="M86">
        <f t="shared" si="26"/>
        <v>2.1979789467859168E-3</v>
      </c>
    </row>
    <row r="87" spans="1:13" x14ac:dyDescent="0.3">
      <c r="A87">
        <v>96</v>
      </c>
      <c r="B87">
        <f t="shared" si="23"/>
        <v>7.0168097243011505E-4</v>
      </c>
      <c r="C87">
        <f t="shared" si="19"/>
        <v>7.0168097243011505E-4</v>
      </c>
      <c r="D87" t="s">
        <v>26</v>
      </c>
      <c r="E87" t="s">
        <v>19</v>
      </c>
      <c r="F87">
        <v>1</v>
      </c>
      <c r="G87">
        <f t="shared" si="24"/>
        <v>125</v>
      </c>
      <c r="I87">
        <v>2033</v>
      </c>
      <c r="J87" t="s">
        <v>25</v>
      </c>
      <c r="K87">
        <f t="shared" si="25"/>
        <v>127.5</v>
      </c>
      <c r="L87" cm="1">
        <f t="array" ref="L87">STOWA2024_NDJF_T(A87*60,K87,I87,J87,"")</f>
        <v>668.31608218311464</v>
      </c>
      <c r="M87">
        <f t="shared" si="26"/>
        <v>1.4962979743558017E-3</v>
      </c>
    </row>
    <row r="88" spans="1:13" x14ac:dyDescent="0.3">
      <c r="A88">
        <v>96</v>
      </c>
      <c r="B88">
        <f t="shared" si="23"/>
        <v>4.7438591235490226E-4</v>
      </c>
      <c r="C88">
        <f t="shared" si="19"/>
        <v>4.7438591235490226E-4</v>
      </c>
      <c r="D88" t="s">
        <v>26</v>
      </c>
      <c r="E88" t="s">
        <v>19</v>
      </c>
      <c r="F88">
        <v>1</v>
      </c>
      <c r="G88">
        <f t="shared" si="24"/>
        <v>130</v>
      </c>
      <c r="I88">
        <v>2033</v>
      </c>
      <c r="J88" t="s">
        <v>25</v>
      </c>
      <c r="K88">
        <f t="shared" si="25"/>
        <v>132.5</v>
      </c>
      <c r="L88" cm="1">
        <f t="array" ref="L88">STOWA2024_NDJF_T(A88*60,K88,I88,J88,"")</f>
        <v>978.55778122630659</v>
      </c>
      <c r="M88">
        <f t="shared" si="26"/>
        <v>1.0219120620008995E-3</v>
      </c>
    </row>
    <row r="89" spans="1:13" x14ac:dyDescent="0.3">
      <c r="A89">
        <v>96</v>
      </c>
      <c r="B89">
        <f t="shared" si="23"/>
        <v>3.2176938339306162E-4</v>
      </c>
      <c r="C89">
        <f t="shared" si="19"/>
        <v>3.2176938339306162E-4</v>
      </c>
      <c r="D89" t="s">
        <v>26</v>
      </c>
      <c r="E89" t="s">
        <v>19</v>
      </c>
      <c r="F89">
        <v>1</v>
      </c>
      <c r="G89">
        <f t="shared" si="24"/>
        <v>135</v>
      </c>
      <c r="I89">
        <v>2033</v>
      </c>
      <c r="J89" t="s">
        <v>25</v>
      </c>
      <c r="K89">
        <f t="shared" si="25"/>
        <v>137.5</v>
      </c>
      <c r="L89" cm="1">
        <f t="array" ref="L89">STOWA2024_NDJF_T(A89*60,K89,I89,J89,"")</f>
        <v>1428.2803070774057</v>
      </c>
      <c r="M89">
        <f t="shared" si="26"/>
        <v>7.0014267860783784E-4</v>
      </c>
    </row>
    <row r="90" spans="1:13" x14ac:dyDescent="0.3">
      <c r="A90">
        <v>96</v>
      </c>
      <c r="B90">
        <f t="shared" si="23"/>
        <v>2.1895504933827729E-4</v>
      </c>
      <c r="C90">
        <f t="shared" si="19"/>
        <v>2.1895504933827729E-4</v>
      </c>
      <c r="D90" t="s">
        <v>26</v>
      </c>
      <c r="E90" t="s">
        <v>19</v>
      </c>
      <c r="F90">
        <v>1</v>
      </c>
      <c r="G90">
        <f t="shared" si="24"/>
        <v>140</v>
      </c>
      <c r="I90">
        <v>2033</v>
      </c>
      <c r="J90" t="s">
        <v>25</v>
      </c>
      <c r="K90">
        <f t="shared" si="25"/>
        <v>142.5</v>
      </c>
      <c r="L90" cm="1">
        <f t="array" ref="L90">STOWA2024_NDJF_T(A90*60,K90,I90,J90,"")</f>
        <v>2078.1914146836921</v>
      </c>
      <c r="M90">
        <f t="shared" si="26"/>
        <v>4.8118762926956056E-4</v>
      </c>
    </row>
    <row r="91" spans="1:13" x14ac:dyDescent="0.3">
      <c r="A91">
        <v>96</v>
      </c>
      <c r="B91">
        <f t="shared" si="23"/>
        <v>1.4946312730669927E-4</v>
      </c>
      <c r="C91">
        <f t="shared" si="19"/>
        <v>1.4946312730669927E-4</v>
      </c>
      <c r="D91" t="s">
        <v>26</v>
      </c>
      <c r="E91" t="s">
        <v>19</v>
      </c>
      <c r="F91">
        <v>1</v>
      </c>
      <c r="G91">
        <f t="shared" si="24"/>
        <v>145</v>
      </c>
      <c r="I91">
        <v>2033</v>
      </c>
      <c r="J91" t="s">
        <v>25</v>
      </c>
      <c r="K91">
        <f t="shared" si="25"/>
        <v>147.5</v>
      </c>
      <c r="L91" cm="1">
        <f t="array" ref="L91">STOWA2024_NDJF_T(A91*60,K91,I91,J91,"")</f>
        <v>3014.5497064065426</v>
      </c>
      <c r="M91">
        <f t="shared" si="26"/>
        <v>3.3172450196286129E-4</v>
      </c>
    </row>
    <row r="92" spans="1:13" x14ac:dyDescent="0.3">
      <c r="A92">
        <v>96</v>
      </c>
      <c r="B92">
        <f t="shared" si="23"/>
        <v>1.0234789509517501E-4</v>
      </c>
      <c r="C92">
        <f t="shared" si="19"/>
        <v>1.0234789509517501E-4</v>
      </c>
      <c r="D92" t="s">
        <v>26</v>
      </c>
      <c r="E92" t="s">
        <v>19</v>
      </c>
      <c r="F92">
        <v>1</v>
      </c>
      <c r="G92">
        <f t="shared" si="24"/>
        <v>150</v>
      </c>
      <c r="I92">
        <v>2033</v>
      </c>
      <c r="J92" t="s">
        <v>25</v>
      </c>
      <c r="K92">
        <f t="shared" si="25"/>
        <v>152.5</v>
      </c>
      <c r="L92" cm="1">
        <f t="array" ref="L92">STOWA2024_NDJF_T(A92*60,K92,I92,J92,"")</f>
        <v>4359.6424834065165</v>
      </c>
      <c r="M92">
        <f t="shared" si="26"/>
        <v>2.2937660686768628E-4</v>
      </c>
    </row>
    <row r="93" spans="1:13" x14ac:dyDescent="0.3">
      <c r="A93">
        <v>96</v>
      </c>
      <c r="B93">
        <f t="shared" si="23"/>
        <v>7.0298394973411206E-5</v>
      </c>
      <c r="C93">
        <f t="shared" si="19"/>
        <v>7.0298394973411206E-5</v>
      </c>
      <c r="D93" t="s">
        <v>26</v>
      </c>
      <c r="E93" t="s">
        <v>19</v>
      </c>
      <c r="F93">
        <v>1</v>
      </c>
      <c r="G93">
        <f t="shared" si="24"/>
        <v>155</v>
      </c>
      <c r="I93">
        <v>2033</v>
      </c>
      <c r="J93" t="s">
        <v>25</v>
      </c>
      <c r="K93">
        <f t="shared" si="25"/>
        <v>157.5</v>
      </c>
      <c r="L93" cm="1">
        <f t="array" ref="L93">STOWA2024_NDJF_T(A93*60,K93,I93,J93,"")</f>
        <v>6286.2159945864223</v>
      </c>
      <c r="M93">
        <f t="shared" si="26"/>
        <v>1.5907821189427507E-4</v>
      </c>
    </row>
    <row r="94" spans="1:13" x14ac:dyDescent="0.3">
      <c r="A94">
        <v>96</v>
      </c>
      <c r="B94" s="1">
        <f>M93</f>
        <v>1.5907821189427507E-4</v>
      </c>
      <c r="C94">
        <f t="shared" si="19"/>
        <v>1.5907821189427507E-4</v>
      </c>
      <c r="D94" t="s">
        <v>26</v>
      </c>
      <c r="E94" t="s">
        <v>19</v>
      </c>
      <c r="F94">
        <v>1</v>
      </c>
      <c r="G94">
        <f t="shared" si="24"/>
        <v>160</v>
      </c>
      <c r="I94">
        <v>2033</v>
      </c>
      <c r="J94" t="s">
        <v>25</v>
      </c>
      <c r="K94">
        <f>AVERAGE(G94:G95)</f>
        <v>85</v>
      </c>
      <c r="L94" cm="1">
        <f t="array" ref="L94">STOWA2024_NDJF_T(A94*60,K94,I94,J94,"")</f>
        <v>22.817251575306841</v>
      </c>
      <c r="M94">
        <f>1/L94</f>
        <v>4.3826487896649849E-2</v>
      </c>
    </row>
    <row r="95" spans="1:13" x14ac:dyDescent="0.3">
      <c r="A95">
        <v>192</v>
      </c>
      <c r="B95" s="1">
        <f>365.25*24/A95 - M95</f>
        <v>23.651312218822948</v>
      </c>
      <c r="C95">
        <f>B95</f>
        <v>23.651312218822948</v>
      </c>
      <c r="D95" t="s">
        <v>26</v>
      </c>
      <c r="E95" t="s">
        <v>19</v>
      </c>
      <c r="F95">
        <v>1</v>
      </c>
      <c r="G95">
        <v>10</v>
      </c>
      <c r="I95">
        <v>2033</v>
      </c>
      <c r="J95" t="s">
        <v>25</v>
      </c>
      <c r="K95">
        <f>AVERAGE(G95:G97)</f>
        <v>15</v>
      </c>
      <c r="L95" cm="1">
        <f t="array" ref="L95">STOWA2024_NDJF_T(A95*60,K95,I95,J95,"")</f>
        <v>4.5444345716596231E-2</v>
      </c>
      <c r="M95">
        <f>1/L95</f>
        <v>22.004937781177052</v>
      </c>
    </row>
    <row r="96" spans="1:13" x14ac:dyDescent="0.3">
      <c r="A96">
        <v>192</v>
      </c>
      <c r="B96">
        <f t="shared" ref="B96:B100" si="27">M95-M96</f>
        <v>2.8369065106358065</v>
      </c>
      <c r="C96">
        <f t="shared" ref="C96:C125" si="28">B96</f>
        <v>2.8369065106358065</v>
      </c>
      <c r="D96" t="s">
        <v>26</v>
      </c>
      <c r="E96" t="s">
        <v>19</v>
      </c>
      <c r="F96">
        <v>1</v>
      </c>
      <c r="G96">
        <f t="shared" ref="G96:G100" si="29">G95+5</f>
        <v>15</v>
      </c>
      <c r="I96">
        <v>2033</v>
      </c>
      <c r="J96" t="s">
        <v>25</v>
      </c>
      <c r="K96">
        <f t="shared" ref="K96:K100" si="30">AVERAGE(G96:G97)</f>
        <v>17.5</v>
      </c>
      <c r="L96" cm="1">
        <f t="array" ref="L96">STOWA2024_NDJF_T(A96*60,K96,I96,J96,"")</f>
        <v>5.2170198696246346E-2</v>
      </c>
      <c r="M96">
        <f t="shared" ref="M96:M100" si="31">1/L96</f>
        <v>19.168031270541245</v>
      </c>
    </row>
    <row r="97" spans="1:13" x14ac:dyDescent="0.3">
      <c r="A97">
        <v>192</v>
      </c>
      <c r="B97">
        <f t="shared" si="27"/>
        <v>4.6623510982626204</v>
      </c>
      <c r="C97">
        <f t="shared" si="28"/>
        <v>4.6623510982626204</v>
      </c>
      <c r="D97" t="s">
        <v>26</v>
      </c>
      <c r="E97" t="s">
        <v>19</v>
      </c>
      <c r="F97">
        <v>1</v>
      </c>
      <c r="G97">
        <f t="shared" si="29"/>
        <v>20</v>
      </c>
      <c r="I97">
        <v>2033</v>
      </c>
      <c r="J97" t="s">
        <v>25</v>
      </c>
      <c r="K97">
        <f t="shared" si="30"/>
        <v>22.5</v>
      </c>
      <c r="L97" cm="1">
        <f t="array" ref="L97">STOWA2024_NDJF_T(A97*60,K97,I97,J97,"")</f>
        <v>6.8938511543296693E-2</v>
      </c>
      <c r="M97">
        <f t="shared" si="31"/>
        <v>14.505680172278625</v>
      </c>
    </row>
    <row r="98" spans="1:13" x14ac:dyDescent="0.3">
      <c r="A98">
        <v>192</v>
      </c>
      <c r="B98">
        <f t="shared" si="27"/>
        <v>3.56795262531063</v>
      </c>
      <c r="C98">
        <f t="shared" si="28"/>
        <v>3.56795262531063</v>
      </c>
      <c r="D98" t="s">
        <v>26</v>
      </c>
      <c r="E98" t="s">
        <v>19</v>
      </c>
      <c r="F98">
        <v>1</v>
      </c>
      <c r="G98">
        <f t="shared" si="29"/>
        <v>25</v>
      </c>
      <c r="I98">
        <v>2033</v>
      </c>
      <c r="J98" t="s">
        <v>25</v>
      </c>
      <c r="K98">
        <f t="shared" si="30"/>
        <v>27.5</v>
      </c>
      <c r="L98" cm="1">
        <f t="array" ref="L98">STOWA2024_NDJF_T(A98*60,K98,I98,J98,"")</f>
        <v>9.1426669361242788E-2</v>
      </c>
      <c r="M98">
        <f t="shared" si="31"/>
        <v>10.937727546967995</v>
      </c>
    </row>
    <row r="99" spans="1:13" x14ac:dyDescent="0.3">
      <c r="A99">
        <v>192</v>
      </c>
      <c r="B99">
        <f t="shared" si="27"/>
        <v>2.720947765986427</v>
      </c>
      <c r="C99">
        <f t="shared" si="28"/>
        <v>2.720947765986427</v>
      </c>
      <c r="D99" t="s">
        <v>26</v>
      </c>
      <c r="E99" t="s">
        <v>19</v>
      </c>
      <c r="F99">
        <v>1</v>
      </c>
      <c r="G99">
        <f t="shared" si="29"/>
        <v>30</v>
      </c>
      <c r="I99">
        <v>2033</v>
      </c>
      <c r="J99" t="s">
        <v>25</v>
      </c>
      <c r="K99">
        <f t="shared" si="30"/>
        <v>32.5</v>
      </c>
      <c r="L99" cm="1">
        <f t="array" ref="L99">STOWA2024_NDJF_T(A99*60,K99,I99,J99,"")</f>
        <v>0.12170217854865535</v>
      </c>
      <c r="M99">
        <f t="shared" si="31"/>
        <v>8.2167797809815681</v>
      </c>
    </row>
    <row r="100" spans="1:13" x14ac:dyDescent="0.3">
      <c r="A100">
        <v>192</v>
      </c>
      <c r="B100">
        <f t="shared" si="27"/>
        <v>2.0675616423912313</v>
      </c>
      <c r="C100">
        <f t="shared" si="28"/>
        <v>2.0675616423912313</v>
      </c>
      <c r="D100" t="s">
        <v>26</v>
      </c>
      <c r="E100" t="s">
        <v>19</v>
      </c>
      <c r="F100">
        <v>1</v>
      </c>
      <c r="G100">
        <f t="shared" si="29"/>
        <v>35</v>
      </c>
      <c r="I100">
        <v>2033</v>
      </c>
      <c r="J100" t="s">
        <v>25</v>
      </c>
      <c r="K100">
        <f t="shared" si="30"/>
        <v>37.5</v>
      </c>
      <c r="L100" cm="1">
        <f t="array" ref="L100">STOWA2024_NDJF_T(A100*60,K100,I100,J100,"")</f>
        <v>0.16262230050424634</v>
      </c>
      <c r="M100">
        <f t="shared" si="31"/>
        <v>6.1492181385903368</v>
      </c>
    </row>
    <row r="101" spans="1:13" x14ac:dyDescent="0.3">
      <c r="A101">
        <v>192</v>
      </c>
      <c r="B101">
        <f>M100-M101</f>
        <v>1.5653339474958008</v>
      </c>
      <c r="C101">
        <f t="shared" si="28"/>
        <v>1.5653339474958008</v>
      </c>
      <c r="D101" t="s">
        <v>26</v>
      </c>
      <c r="E101" t="s">
        <v>19</v>
      </c>
      <c r="F101">
        <v>1</v>
      </c>
      <c r="G101">
        <f>G100+5</f>
        <v>40</v>
      </c>
      <c r="I101">
        <v>2033</v>
      </c>
      <c r="J101" t="s">
        <v>25</v>
      </c>
      <c r="K101">
        <f>AVERAGE(G101:G102)</f>
        <v>42.5</v>
      </c>
      <c r="L101" cm="1">
        <f t="array" ref="L101">STOWA2024_NDJF_T(A101*60,K101,I101,J101,"")</f>
        <v>0.21815559868261439</v>
      </c>
      <c r="M101">
        <f>1/L101</f>
        <v>4.583884191094536</v>
      </c>
    </row>
    <row r="102" spans="1:13" x14ac:dyDescent="0.3">
      <c r="A102">
        <v>192</v>
      </c>
      <c r="B102">
        <f t="shared" ref="B102:B124" si="32">M101-M102</f>
        <v>1.1805522755226079</v>
      </c>
      <c r="C102">
        <f t="shared" si="28"/>
        <v>1.1805522755226079</v>
      </c>
      <c r="D102" t="s">
        <v>26</v>
      </c>
      <c r="E102" t="s">
        <v>19</v>
      </c>
      <c r="F102">
        <v>1</v>
      </c>
      <c r="G102">
        <f t="shared" ref="G102:G125" si="33">G101+5</f>
        <v>45</v>
      </c>
      <c r="I102">
        <v>2033</v>
      </c>
      <c r="J102" t="s">
        <v>25</v>
      </c>
      <c r="K102">
        <f t="shared" ref="K102:K124" si="34">AVERAGE(G102:G103)</f>
        <v>47.5</v>
      </c>
      <c r="L102" cm="1">
        <f t="array" ref="L102">STOWA2024_NDJF_T(A102*60,K102,I102,J102,"")</f>
        <v>0.2938297012479168</v>
      </c>
      <c r="M102">
        <f t="shared" ref="M102:M124" si="35">1/L102</f>
        <v>3.4033319155719282</v>
      </c>
    </row>
    <row r="103" spans="1:13" x14ac:dyDescent="0.3">
      <c r="A103">
        <v>192</v>
      </c>
      <c r="B103">
        <f t="shared" si="32"/>
        <v>0.88693162460769415</v>
      </c>
      <c r="C103">
        <f t="shared" si="28"/>
        <v>0.88693162460769415</v>
      </c>
      <c r="D103" t="s">
        <v>26</v>
      </c>
      <c r="E103" t="s">
        <v>19</v>
      </c>
      <c r="F103">
        <v>1</v>
      </c>
      <c r="G103">
        <f t="shared" si="33"/>
        <v>50</v>
      </c>
      <c r="I103">
        <v>2033</v>
      </c>
      <c r="J103" t="s">
        <v>25</v>
      </c>
      <c r="K103">
        <f t="shared" si="34"/>
        <v>52.5</v>
      </c>
      <c r="L103" cm="1">
        <f t="array" ref="L103">STOWA2024_NDJF_T(A103*60,K103,I103,J103,"")</f>
        <v>0.39739305530632413</v>
      </c>
      <c r="M103">
        <f t="shared" si="35"/>
        <v>2.516400290964234</v>
      </c>
    </row>
    <row r="104" spans="1:13" x14ac:dyDescent="0.3">
      <c r="A104">
        <v>192</v>
      </c>
      <c r="B104">
        <f t="shared" si="32"/>
        <v>0.6636944951910495</v>
      </c>
      <c r="C104">
        <f t="shared" si="28"/>
        <v>0.6636944951910495</v>
      </c>
      <c r="D104" t="s">
        <v>26</v>
      </c>
      <c r="E104" t="s">
        <v>19</v>
      </c>
      <c r="F104">
        <v>1</v>
      </c>
      <c r="G104">
        <f t="shared" si="33"/>
        <v>55</v>
      </c>
      <c r="I104">
        <v>2033</v>
      </c>
      <c r="J104" t="s">
        <v>25</v>
      </c>
      <c r="K104">
        <f t="shared" si="34"/>
        <v>57.5</v>
      </c>
      <c r="L104" cm="1">
        <f t="array" ref="L104">STOWA2024_NDJF_T(A104*60,K104,I104,J104,"")</f>
        <v>0.53975110472554699</v>
      </c>
      <c r="M104">
        <f t="shared" si="35"/>
        <v>1.8527057957731845</v>
      </c>
    </row>
    <row r="105" spans="1:13" x14ac:dyDescent="0.3">
      <c r="A105">
        <v>192</v>
      </c>
      <c r="B105">
        <f t="shared" si="32"/>
        <v>0.49460926462610355</v>
      </c>
      <c r="C105">
        <f t="shared" si="28"/>
        <v>0.49460926462610355</v>
      </c>
      <c r="D105" t="s">
        <v>26</v>
      </c>
      <c r="E105" t="s">
        <v>19</v>
      </c>
      <c r="F105">
        <v>1</v>
      </c>
      <c r="G105">
        <f t="shared" si="33"/>
        <v>60</v>
      </c>
      <c r="I105">
        <v>2033</v>
      </c>
      <c r="J105" t="s">
        <v>25</v>
      </c>
      <c r="K105">
        <f t="shared" si="34"/>
        <v>62.5</v>
      </c>
      <c r="L105" cm="1">
        <f t="array" ref="L105">STOWA2024_NDJF_T(A105*60,K105,I105,J105,"")</f>
        <v>0.73632468463443901</v>
      </c>
      <c r="M105">
        <f t="shared" si="35"/>
        <v>1.358096531147081</v>
      </c>
    </row>
    <row r="106" spans="1:13" x14ac:dyDescent="0.3">
      <c r="A106">
        <v>192</v>
      </c>
      <c r="B106">
        <f t="shared" si="32"/>
        <v>0.36695903244545491</v>
      </c>
      <c r="C106">
        <f t="shared" si="28"/>
        <v>0.36695903244545491</v>
      </c>
      <c r="D106" t="s">
        <v>26</v>
      </c>
      <c r="E106" t="s">
        <v>19</v>
      </c>
      <c r="F106">
        <v>1</v>
      </c>
      <c r="G106">
        <f t="shared" si="33"/>
        <v>65</v>
      </c>
      <c r="I106">
        <v>2033</v>
      </c>
      <c r="J106" t="s">
        <v>25</v>
      </c>
      <c r="K106">
        <f t="shared" si="34"/>
        <v>67.5</v>
      </c>
      <c r="L106" cm="1">
        <f t="array" ref="L106">STOWA2024_NDJF_T(A106*60,K106,I106,J106,"")</f>
        <v>1.0089417475476246</v>
      </c>
      <c r="M106">
        <f t="shared" si="35"/>
        <v>0.99113749870162604</v>
      </c>
    </row>
    <row r="107" spans="1:13" x14ac:dyDescent="0.3">
      <c r="A107">
        <v>192</v>
      </c>
      <c r="B107">
        <f t="shared" si="32"/>
        <v>0.27119933840719002</v>
      </c>
      <c r="C107">
        <f t="shared" si="28"/>
        <v>0.27119933840719002</v>
      </c>
      <c r="D107" t="s">
        <v>26</v>
      </c>
      <c r="E107" t="s">
        <v>19</v>
      </c>
      <c r="F107">
        <v>1</v>
      </c>
      <c r="G107">
        <f t="shared" si="33"/>
        <v>70</v>
      </c>
      <c r="I107">
        <v>2033</v>
      </c>
      <c r="J107" t="s">
        <v>25</v>
      </c>
      <c r="K107">
        <f t="shared" si="34"/>
        <v>72.5</v>
      </c>
      <c r="L107" cm="1">
        <f t="array" ref="L107">STOWA2024_NDJF_T(A107*60,K107,I107,J107,"")</f>
        <v>1.3890081886908536</v>
      </c>
      <c r="M107">
        <f t="shared" si="35"/>
        <v>0.71993816029443602</v>
      </c>
    </row>
    <row r="108" spans="1:13" x14ac:dyDescent="0.3">
      <c r="A108">
        <v>192</v>
      </c>
      <c r="B108">
        <f t="shared" si="32"/>
        <v>0.19947918147135024</v>
      </c>
      <c r="C108">
        <f t="shared" si="28"/>
        <v>0.19947918147135024</v>
      </c>
      <c r="D108" t="s">
        <v>26</v>
      </c>
      <c r="E108" t="s">
        <v>19</v>
      </c>
      <c r="F108">
        <v>1</v>
      </c>
      <c r="G108">
        <f t="shared" si="33"/>
        <v>75</v>
      </c>
      <c r="I108">
        <v>2033</v>
      </c>
      <c r="J108" t="s">
        <v>25</v>
      </c>
      <c r="K108">
        <f t="shared" si="34"/>
        <v>77.5</v>
      </c>
      <c r="L108" cm="1">
        <f t="array" ref="L108">STOWA2024_NDJF_T(A108*60,K108,I108,J108,"")</f>
        <v>1.921381013084452</v>
      </c>
      <c r="M108">
        <f t="shared" si="35"/>
        <v>0.52045897882308578</v>
      </c>
    </row>
    <row r="109" spans="1:13" x14ac:dyDescent="0.3">
      <c r="A109">
        <v>192</v>
      </c>
      <c r="B109">
        <f t="shared" si="32"/>
        <v>0.14605216786040282</v>
      </c>
      <c r="C109">
        <f t="shared" si="28"/>
        <v>0.14605216786040282</v>
      </c>
      <c r="D109" t="s">
        <v>26</v>
      </c>
      <c r="E109" t="s">
        <v>19</v>
      </c>
      <c r="F109">
        <v>1</v>
      </c>
      <c r="G109">
        <f t="shared" si="33"/>
        <v>80</v>
      </c>
      <c r="I109">
        <v>2033</v>
      </c>
      <c r="J109" t="s">
        <v>25</v>
      </c>
      <c r="K109">
        <f t="shared" si="34"/>
        <v>82.5</v>
      </c>
      <c r="L109" cm="1">
        <f t="array" ref="L109">STOWA2024_NDJF_T(A109*60,K109,I109,J109,"")</f>
        <v>2.6708915829516515</v>
      </c>
      <c r="M109">
        <f t="shared" si="35"/>
        <v>0.37440681096268297</v>
      </c>
    </row>
    <row r="110" spans="1:13" x14ac:dyDescent="0.3">
      <c r="A110">
        <v>192</v>
      </c>
      <c r="B110">
        <f t="shared" si="32"/>
        <v>0.10643075812959657</v>
      </c>
      <c r="C110">
        <f t="shared" si="28"/>
        <v>0.10643075812959657</v>
      </c>
      <c r="D110" t="s">
        <v>26</v>
      </c>
      <c r="E110" t="s">
        <v>19</v>
      </c>
      <c r="F110">
        <v>1</v>
      </c>
      <c r="G110">
        <f t="shared" si="33"/>
        <v>85</v>
      </c>
      <c r="I110">
        <v>2033</v>
      </c>
      <c r="J110" t="s">
        <v>25</v>
      </c>
      <c r="K110">
        <f t="shared" si="34"/>
        <v>87.5</v>
      </c>
      <c r="L110" cm="1">
        <f t="array" ref="L110">STOWA2024_NDJF_T(A110*60,K110,I110,J110,"")</f>
        <v>3.7316767279308634</v>
      </c>
      <c r="M110">
        <f t="shared" si="35"/>
        <v>0.2679760528330864</v>
      </c>
    </row>
    <row r="111" spans="1:13" x14ac:dyDescent="0.3">
      <c r="A111">
        <v>192</v>
      </c>
      <c r="B111">
        <f t="shared" si="32"/>
        <v>7.7174390184665487E-2</v>
      </c>
      <c r="C111">
        <f t="shared" si="28"/>
        <v>7.7174390184665487E-2</v>
      </c>
      <c r="D111" t="s">
        <v>26</v>
      </c>
      <c r="E111" t="s">
        <v>19</v>
      </c>
      <c r="F111">
        <v>1</v>
      </c>
      <c r="G111">
        <f t="shared" si="33"/>
        <v>90</v>
      </c>
      <c r="I111">
        <v>2033</v>
      </c>
      <c r="J111" t="s">
        <v>25</v>
      </c>
      <c r="K111">
        <f t="shared" si="34"/>
        <v>92.5</v>
      </c>
      <c r="L111" cm="1">
        <f t="array" ref="L111">STOWA2024_NDJF_T(A111*60,K111,I111,J111,"")</f>
        <v>5.241044475815924</v>
      </c>
      <c r="M111">
        <f t="shared" si="35"/>
        <v>0.19080166264842091</v>
      </c>
    </row>
    <row r="112" spans="1:13" x14ac:dyDescent="0.3">
      <c r="A112">
        <v>192</v>
      </c>
      <c r="B112">
        <f t="shared" si="32"/>
        <v>5.5679375776184065E-2</v>
      </c>
      <c r="C112">
        <f t="shared" si="28"/>
        <v>5.5679375776184065E-2</v>
      </c>
      <c r="D112" t="s">
        <v>26</v>
      </c>
      <c r="E112" t="s">
        <v>19</v>
      </c>
      <c r="F112">
        <v>1</v>
      </c>
      <c r="G112">
        <f t="shared" si="33"/>
        <v>95</v>
      </c>
      <c r="I112">
        <v>2033</v>
      </c>
      <c r="J112" t="s">
        <v>25</v>
      </c>
      <c r="K112">
        <f t="shared" si="34"/>
        <v>97.5</v>
      </c>
      <c r="L112" cm="1">
        <f t="array" ref="L112">STOWA2024_NDJF_T(A112*60,K112,I112,J112,"")</f>
        <v>7.4007036377761821</v>
      </c>
      <c r="M112">
        <f t="shared" si="35"/>
        <v>0.13512228687223685</v>
      </c>
    </row>
    <row r="113" spans="1:13" x14ac:dyDescent="0.3">
      <c r="A113">
        <v>192</v>
      </c>
      <c r="B113">
        <f t="shared" si="32"/>
        <v>3.9962866631479257E-2</v>
      </c>
      <c r="C113">
        <f t="shared" si="28"/>
        <v>3.9962866631479257E-2</v>
      </c>
      <c r="D113" t="s">
        <v>26</v>
      </c>
      <c r="E113" t="s">
        <v>19</v>
      </c>
      <c r="F113">
        <v>1</v>
      </c>
      <c r="G113">
        <f t="shared" si="33"/>
        <v>100</v>
      </c>
      <c r="I113">
        <v>2033</v>
      </c>
      <c r="J113" t="s">
        <v>25</v>
      </c>
      <c r="K113">
        <f t="shared" si="34"/>
        <v>102.5</v>
      </c>
      <c r="L113" cm="1">
        <f t="array" ref="L113">STOWA2024_NDJF_T(A113*60,K113,I113,J113,"")</f>
        <v>10.508681089795999</v>
      </c>
      <c r="M113">
        <f t="shared" si="35"/>
        <v>9.5159420240757589E-2</v>
      </c>
    </row>
    <row r="114" spans="1:13" x14ac:dyDescent="0.3">
      <c r="A114">
        <v>192</v>
      </c>
      <c r="B114">
        <f t="shared" si="32"/>
        <v>2.8527258053345883E-2</v>
      </c>
      <c r="C114">
        <f t="shared" si="28"/>
        <v>2.8527258053345883E-2</v>
      </c>
      <c r="D114" t="s">
        <v>26</v>
      </c>
      <c r="E114" t="s">
        <v>19</v>
      </c>
      <c r="F114">
        <v>1</v>
      </c>
      <c r="G114">
        <f t="shared" si="33"/>
        <v>105</v>
      </c>
      <c r="I114">
        <v>2033</v>
      </c>
      <c r="J114" t="s">
        <v>25</v>
      </c>
      <c r="K114">
        <f t="shared" si="34"/>
        <v>107.5</v>
      </c>
      <c r="L114" cm="1">
        <f t="array" ref="L114">STOWA2024_NDJF_T(A114*60,K114,I114,J114,"")</f>
        <v>15.007767528050024</v>
      </c>
      <c r="M114">
        <f t="shared" si="35"/>
        <v>6.6632162187411706E-2</v>
      </c>
    </row>
    <row r="115" spans="1:13" x14ac:dyDescent="0.3">
      <c r="A115">
        <v>192</v>
      </c>
      <c r="B115">
        <f t="shared" si="32"/>
        <v>2.0251836144876571E-2</v>
      </c>
      <c r="C115">
        <f t="shared" si="28"/>
        <v>2.0251836144876571E-2</v>
      </c>
      <c r="D115" t="s">
        <v>26</v>
      </c>
      <c r="E115" t="s">
        <v>19</v>
      </c>
      <c r="F115">
        <v>1</v>
      </c>
      <c r="G115">
        <f t="shared" si="33"/>
        <v>110</v>
      </c>
      <c r="I115">
        <v>2033</v>
      </c>
      <c r="J115" t="s">
        <v>25</v>
      </c>
      <c r="K115">
        <f t="shared" si="34"/>
        <v>112.5</v>
      </c>
      <c r="L115" cm="1">
        <f t="array" ref="L115">STOWA2024_NDJF_T(A115*60,K115,I115,J115,"")</f>
        <v>21.560866111266783</v>
      </c>
      <c r="M115">
        <f t="shared" si="35"/>
        <v>4.6380326042535135E-2</v>
      </c>
    </row>
    <row r="116" spans="1:13" x14ac:dyDescent="0.3">
      <c r="A116">
        <v>192</v>
      </c>
      <c r="B116">
        <f t="shared" si="32"/>
        <v>1.4294199945341354E-2</v>
      </c>
      <c r="C116">
        <f t="shared" si="28"/>
        <v>1.4294199945341354E-2</v>
      </c>
      <c r="D116" t="s">
        <v>26</v>
      </c>
      <c r="E116" t="s">
        <v>19</v>
      </c>
      <c r="F116">
        <v>1</v>
      </c>
      <c r="G116">
        <f t="shared" si="33"/>
        <v>115</v>
      </c>
      <c r="I116">
        <v>2033</v>
      </c>
      <c r="J116" t="s">
        <v>25</v>
      </c>
      <c r="K116">
        <f t="shared" si="34"/>
        <v>117.5</v>
      </c>
      <c r="L116" cm="1">
        <f t="array" ref="L116">STOWA2024_NDJF_T(A116*60,K116,I116,J116,"")</f>
        <v>31.166118245962359</v>
      </c>
      <c r="M116">
        <f t="shared" si="35"/>
        <v>3.208612609719378E-2</v>
      </c>
    </row>
    <row r="117" spans="1:13" x14ac:dyDescent="0.3">
      <c r="A117">
        <v>192</v>
      </c>
      <c r="B117">
        <f t="shared" si="32"/>
        <v>1.002933191664488E-2</v>
      </c>
      <c r="C117">
        <f t="shared" si="28"/>
        <v>1.002933191664488E-2</v>
      </c>
      <c r="D117" t="s">
        <v>26</v>
      </c>
      <c r="E117" t="s">
        <v>19</v>
      </c>
      <c r="F117">
        <v>1</v>
      </c>
      <c r="G117">
        <f t="shared" si="33"/>
        <v>120</v>
      </c>
      <c r="I117">
        <v>2033</v>
      </c>
      <c r="J117" t="s">
        <v>25</v>
      </c>
      <c r="K117">
        <f t="shared" si="34"/>
        <v>122.5</v>
      </c>
      <c r="L117" cm="1">
        <f t="array" ref="L117">STOWA2024_NDJF_T(A117*60,K117,I117,J117,"")</f>
        <v>45.337504254442578</v>
      </c>
      <c r="M117">
        <f t="shared" si="35"/>
        <v>2.20567941805489E-2</v>
      </c>
    </row>
    <row r="118" spans="1:13" x14ac:dyDescent="0.3">
      <c r="A118">
        <v>192</v>
      </c>
      <c r="B118">
        <f t="shared" si="32"/>
        <v>6.9937647996357061E-3</v>
      </c>
      <c r="C118">
        <f t="shared" si="28"/>
        <v>6.9937647996357061E-3</v>
      </c>
      <c r="D118" t="s">
        <v>26</v>
      </c>
      <c r="E118" t="s">
        <v>19</v>
      </c>
      <c r="F118">
        <v>1</v>
      </c>
      <c r="G118">
        <f t="shared" si="33"/>
        <v>125</v>
      </c>
      <c r="I118">
        <v>2033</v>
      </c>
      <c r="J118" t="s">
        <v>25</v>
      </c>
      <c r="K118">
        <f t="shared" si="34"/>
        <v>127.5</v>
      </c>
      <c r="L118" cm="1">
        <f t="array" ref="L118">STOWA2024_NDJF_T(A118*60,K118,I118,J118,"")</f>
        <v>66.387708256556238</v>
      </c>
      <c r="M118">
        <f t="shared" si="35"/>
        <v>1.5063029380913194E-2</v>
      </c>
    </row>
    <row r="119" spans="1:13" x14ac:dyDescent="0.3">
      <c r="A119">
        <v>192</v>
      </c>
      <c r="B119">
        <f t="shared" si="32"/>
        <v>4.8460554500931608E-3</v>
      </c>
      <c r="C119">
        <f t="shared" si="28"/>
        <v>4.8460554500931608E-3</v>
      </c>
      <c r="D119" t="s">
        <v>26</v>
      </c>
      <c r="E119" t="s">
        <v>19</v>
      </c>
      <c r="F119">
        <v>1</v>
      </c>
      <c r="G119">
        <f t="shared" si="33"/>
        <v>130</v>
      </c>
      <c r="I119">
        <v>2033</v>
      </c>
      <c r="J119" t="s">
        <v>25</v>
      </c>
      <c r="K119">
        <f t="shared" si="34"/>
        <v>132.5</v>
      </c>
      <c r="L119" cm="1">
        <f t="array" ref="L119">STOWA2024_NDJF_T(A119*60,K119,I119,J119,"")</f>
        <v>97.876338607799326</v>
      </c>
      <c r="M119">
        <f t="shared" si="35"/>
        <v>1.0216973930820033E-2</v>
      </c>
    </row>
    <row r="120" spans="1:13" x14ac:dyDescent="0.3">
      <c r="A120">
        <v>192</v>
      </c>
      <c r="B120">
        <f t="shared" si="32"/>
        <v>3.3357186294488963E-3</v>
      </c>
      <c r="C120">
        <f t="shared" si="28"/>
        <v>3.3357186294488963E-3</v>
      </c>
      <c r="D120" t="s">
        <v>26</v>
      </c>
      <c r="E120" t="s">
        <v>19</v>
      </c>
      <c r="F120">
        <v>1</v>
      </c>
      <c r="G120">
        <f t="shared" si="33"/>
        <v>135</v>
      </c>
      <c r="I120">
        <v>2033</v>
      </c>
      <c r="J120" t="s">
        <v>25</v>
      </c>
      <c r="K120">
        <f t="shared" si="34"/>
        <v>137.5</v>
      </c>
      <c r="L120" cm="1">
        <f t="array" ref="L120">STOWA2024_NDJF_T(A120*60,K120,I120,J120,"")</f>
        <v>145.32232219326949</v>
      </c>
      <c r="M120">
        <f t="shared" si="35"/>
        <v>6.8812553013711366E-3</v>
      </c>
    </row>
    <row r="121" spans="1:13" x14ac:dyDescent="0.3">
      <c r="A121">
        <v>192</v>
      </c>
      <c r="B121">
        <f t="shared" si="32"/>
        <v>2.2804390646608179E-3</v>
      </c>
      <c r="C121">
        <f t="shared" si="28"/>
        <v>2.2804390646608179E-3</v>
      </c>
      <c r="D121" t="s">
        <v>26</v>
      </c>
      <c r="E121" t="s">
        <v>19</v>
      </c>
      <c r="F121">
        <v>1</v>
      </c>
      <c r="G121">
        <f t="shared" si="33"/>
        <v>140</v>
      </c>
      <c r="I121">
        <v>2033</v>
      </c>
      <c r="J121" t="s">
        <v>25</v>
      </c>
      <c r="K121">
        <f t="shared" si="34"/>
        <v>142.5</v>
      </c>
      <c r="L121" cm="1">
        <f t="array" ref="L121">STOWA2024_NDJF_T(A121*60,K121,I121,J121,"")</f>
        <v>217.35273667765989</v>
      </c>
      <c r="M121">
        <f t="shared" si="35"/>
        <v>4.6008162367103186E-3</v>
      </c>
    </row>
    <row r="122" spans="1:13" x14ac:dyDescent="0.3">
      <c r="A122">
        <v>192</v>
      </c>
      <c r="B122">
        <f t="shared" si="32"/>
        <v>1.5479767709567402E-3</v>
      </c>
      <c r="C122">
        <f t="shared" si="28"/>
        <v>1.5479767709567402E-3</v>
      </c>
      <c r="D122" t="s">
        <v>26</v>
      </c>
      <c r="E122" t="s">
        <v>19</v>
      </c>
      <c r="F122">
        <v>1</v>
      </c>
      <c r="G122">
        <f t="shared" si="33"/>
        <v>145</v>
      </c>
      <c r="I122">
        <v>2033</v>
      </c>
      <c r="J122" t="s">
        <v>25</v>
      </c>
      <c r="K122">
        <f t="shared" si="34"/>
        <v>147.5</v>
      </c>
      <c r="L122" cm="1">
        <f t="array" ref="L122">STOWA2024_NDJF_T(A122*60,K122,I122,J122,"")</f>
        <v>327.56389951646372</v>
      </c>
      <c r="M122">
        <f t="shared" si="35"/>
        <v>3.0528394657535784E-3</v>
      </c>
    </row>
    <row r="123" spans="1:13" x14ac:dyDescent="0.3">
      <c r="A123">
        <v>192</v>
      </c>
      <c r="B123">
        <f t="shared" si="32"/>
        <v>1.0430615642073805E-3</v>
      </c>
      <c r="C123">
        <f t="shared" si="28"/>
        <v>1.0430615642073805E-3</v>
      </c>
      <c r="D123" t="s">
        <v>26</v>
      </c>
      <c r="E123" t="s">
        <v>19</v>
      </c>
      <c r="F123">
        <v>1</v>
      </c>
      <c r="G123">
        <f t="shared" si="33"/>
        <v>150</v>
      </c>
      <c r="I123">
        <v>2033</v>
      </c>
      <c r="J123" t="s">
        <v>25</v>
      </c>
      <c r="K123">
        <f t="shared" si="34"/>
        <v>152.5</v>
      </c>
      <c r="L123" cm="1">
        <f t="array" ref="L123">STOWA2024_NDJF_T(A123*60,K123,I123,J123,"")</f>
        <v>497.56741739008191</v>
      </c>
      <c r="M123">
        <f t="shared" si="35"/>
        <v>2.0097779015461979E-3</v>
      </c>
    </row>
    <row r="124" spans="1:13" x14ac:dyDescent="0.3">
      <c r="A124">
        <v>192</v>
      </c>
      <c r="B124">
        <f t="shared" si="32"/>
        <v>6.9748629055939228E-4</v>
      </c>
      <c r="C124">
        <f t="shared" si="28"/>
        <v>6.9748629055939228E-4</v>
      </c>
      <c r="D124" t="s">
        <v>26</v>
      </c>
      <c r="E124" t="s">
        <v>19</v>
      </c>
      <c r="F124">
        <v>1</v>
      </c>
      <c r="G124">
        <f t="shared" si="33"/>
        <v>155</v>
      </c>
      <c r="I124">
        <v>2033</v>
      </c>
      <c r="J124" t="s">
        <v>25</v>
      </c>
      <c r="K124">
        <f t="shared" si="34"/>
        <v>157.5</v>
      </c>
      <c r="L124" cm="1">
        <f t="array" ref="L124">STOWA2024_NDJF_T(A124*60,K124,I124,J124,"")</f>
        <v>762.02575070035596</v>
      </c>
      <c r="M124">
        <f t="shared" si="35"/>
        <v>1.3122916109868056E-3</v>
      </c>
    </row>
    <row r="125" spans="1:13" x14ac:dyDescent="0.3">
      <c r="A125">
        <v>192</v>
      </c>
      <c r="B125" s="1">
        <f>M124</f>
        <v>1.3122916109868056E-3</v>
      </c>
      <c r="C125">
        <f t="shared" si="28"/>
        <v>1.3122916109868056E-3</v>
      </c>
      <c r="D125" t="s">
        <v>26</v>
      </c>
      <c r="E125" t="s">
        <v>19</v>
      </c>
      <c r="F125">
        <v>1</v>
      </c>
      <c r="G125">
        <f t="shared" si="33"/>
        <v>160</v>
      </c>
      <c r="I125">
        <v>2033</v>
      </c>
      <c r="J125" t="s">
        <v>25</v>
      </c>
      <c r="K125">
        <f>AVERAGE(G125:G126)</f>
        <v>85</v>
      </c>
      <c r="L125" cm="1">
        <f t="array" ref="L125">STOWA2024_NDJF_T(A125*60,K125,I125,J125,"")</f>
        <v>3.1550107778814938</v>
      </c>
      <c r="M125">
        <f>1/L125</f>
        <v>0.31695612801407719</v>
      </c>
    </row>
    <row r="126" spans="1:13" x14ac:dyDescent="0.3">
      <c r="A126">
        <v>216</v>
      </c>
      <c r="B126" s="1">
        <f>365.25*24/A126 - M126</f>
        <v>19.234991055476268</v>
      </c>
      <c r="C126">
        <f>B126</f>
        <v>19.234991055476268</v>
      </c>
      <c r="D126" t="s">
        <v>26</v>
      </c>
      <c r="E126" t="s">
        <v>19</v>
      </c>
      <c r="F126">
        <v>1</v>
      </c>
      <c r="G126">
        <v>10</v>
      </c>
      <c r="I126">
        <v>2033</v>
      </c>
      <c r="J126" t="s">
        <v>25</v>
      </c>
      <c r="K126">
        <f>AVERAGE(G126:G128)</f>
        <v>15</v>
      </c>
      <c r="L126" cm="1">
        <f t="array" ref="L126">STOWA2024_NDJF_T(A126*60,K126,I126,J126,"")</f>
        <v>4.6842044547750213E-2</v>
      </c>
      <c r="M126">
        <f>1/L126</f>
        <v>21.348342277857068</v>
      </c>
    </row>
    <row r="127" spans="1:13" x14ac:dyDescent="0.3">
      <c r="A127">
        <v>216</v>
      </c>
      <c r="B127">
        <f t="shared" ref="B127:B131" si="36">M126-M127</f>
        <v>2.4864936611563699</v>
      </c>
      <c r="C127">
        <f t="shared" ref="C127:C156" si="37">B127</f>
        <v>2.4864936611563699</v>
      </c>
      <c r="D127" t="s">
        <v>26</v>
      </c>
      <c r="E127" t="s">
        <v>19</v>
      </c>
      <c r="F127">
        <v>1</v>
      </c>
      <c r="G127">
        <f t="shared" ref="G127:G131" si="38">G126+5</f>
        <v>15</v>
      </c>
      <c r="I127">
        <v>2033</v>
      </c>
      <c r="J127" t="s">
        <v>25</v>
      </c>
      <c r="K127">
        <f t="shared" ref="K127:K131" si="39">AVERAGE(G127:G128)</f>
        <v>17.5</v>
      </c>
      <c r="L127" cm="1">
        <f t="array" ref="L127">STOWA2024_NDJF_T(A127*60,K127,I127,J127,"")</f>
        <v>5.3017072733505977E-2</v>
      </c>
      <c r="M127">
        <f t="shared" ref="M127:M131" si="40">1/L127</f>
        <v>18.861848616700698</v>
      </c>
    </row>
    <row r="128" spans="1:13" x14ac:dyDescent="0.3">
      <c r="A128">
        <v>216</v>
      </c>
      <c r="B128">
        <f t="shared" si="36"/>
        <v>4.1808706337739014</v>
      </c>
      <c r="C128">
        <f t="shared" si="37"/>
        <v>4.1808706337739014</v>
      </c>
      <c r="D128" t="s">
        <v>26</v>
      </c>
      <c r="E128" t="s">
        <v>19</v>
      </c>
      <c r="F128">
        <v>1</v>
      </c>
      <c r="G128">
        <f t="shared" si="38"/>
        <v>20</v>
      </c>
      <c r="I128">
        <v>2033</v>
      </c>
      <c r="J128" t="s">
        <v>25</v>
      </c>
      <c r="K128">
        <f t="shared" si="39"/>
        <v>22.5</v>
      </c>
      <c r="L128" cm="1">
        <f t="array" ref="L128">STOWA2024_NDJF_T(A128*60,K128,I128,J128,"")</f>
        <v>6.8115353157190708E-2</v>
      </c>
      <c r="M128">
        <f t="shared" si="40"/>
        <v>14.680977982926796</v>
      </c>
    </row>
    <row r="129" spans="1:13" x14ac:dyDescent="0.3">
      <c r="A129">
        <v>216</v>
      </c>
      <c r="B129">
        <f t="shared" si="36"/>
        <v>3.300017520101969</v>
      </c>
      <c r="C129">
        <f t="shared" si="37"/>
        <v>3.300017520101969</v>
      </c>
      <c r="D129" t="s">
        <v>26</v>
      </c>
      <c r="E129" t="s">
        <v>19</v>
      </c>
      <c r="F129">
        <v>1</v>
      </c>
      <c r="G129">
        <f t="shared" si="38"/>
        <v>25</v>
      </c>
      <c r="I129">
        <v>2033</v>
      </c>
      <c r="J129" t="s">
        <v>25</v>
      </c>
      <c r="K129">
        <f t="shared" si="39"/>
        <v>27.5</v>
      </c>
      <c r="L129" cm="1">
        <f t="array" ref="L129">STOWA2024_NDJF_T(A129*60,K129,I129,J129,"")</f>
        <v>8.7866046390938216E-2</v>
      </c>
      <c r="M129">
        <f t="shared" si="40"/>
        <v>11.380960462824827</v>
      </c>
    </row>
    <row r="130" spans="1:13" x14ac:dyDescent="0.3">
      <c r="A130">
        <v>216</v>
      </c>
      <c r="B130">
        <f t="shared" si="36"/>
        <v>2.5947857006153701</v>
      </c>
      <c r="C130">
        <f t="shared" si="37"/>
        <v>2.5947857006153701</v>
      </c>
      <c r="D130" t="s">
        <v>26</v>
      </c>
      <c r="E130" t="s">
        <v>19</v>
      </c>
      <c r="F130">
        <v>1</v>
      </c>
      <c r="G130">
        <f t="shared" si="38"/>
        <v>30</v>
      </c>
      <c r="I130">
        <v>2033</v>
      </c>
      <c r="J130" t="s">
        <v>25</v>
      </c>
      <c r="K130">
        <f t="shared" si="39"/>
        <v>32.5</v>
      </c>
      <c r="L130" cm="1">
        <f t="array" ref="L130">STOWA2024_NDJF_T(A130*60,K130,I130,J130,"")</f>
        <v>0.11381517293522742</v>
      </c>
      <c r="M130">
        <f t="shared" si="40"/>
        <v>8.7861747622094573</v>
      </c>
    </row>
    <row r="131" spans="1:13" x14ac:dyDescent="0.3">
      <c r="A131">
        <v>216</v>
      </c>
      <c r="B131">
        <f t="shared" si="36"/>
        <v>2.0322144974616165</v>
      </c>
      <c r="C131">
        <f t="shared" si="37"/>
        <v>2.0322144974616165</v>
      </c>
      <c r="D131" t="s">
        <v>26</v>
      </c>
      <c r="E131" t="s">
        <v>19</v>
      </c>
      <c r="F131">
        <v>1</v>
      </c>
      <c r="G131">
        <f t="shared" si="38"/>
        <v>35</v>
      </c>
      <c r="I131">
        <v>2033</v>
      </c>
      <c r="J131" t="s">
        <v>25</v>
      </c>
      <c r="K131">
        <f t="shared" si="39"/>
        <v>37.5</v>
      </c>
      <c r="L131" cm="1">
        <f t="array" ref="L131">STOWA2024_NDJF_T(A131*60,K131,I131,J131,"")</f>
        <v>0.14806127972346533</v>
      </c>
      <c r="M131">
        <f t="shared" si="40"/>
        <v>6.7539602647478407</v>
      </c>
    </row>
    <row r="132" spans="1:13" x14ac:dyDescent="0.3">
      <c r="A132">
        <v>216</v>
      </c>
      <c r="B132">
        <f>M131-M132</f>
        <v>1.5851299554957325</v>
      </c>
      <c r="C132">
        <f t="shared" si="37"/>
        <v>1.5851299554957325</v>
      </c>
      <c r="D132" t="s">
        <v>26</v>
      </c>
      <c r="E132" t="s">
        <v>19</v>
      </c>
      <c r="F132">
        <v>1</v>
      </c>
      <c r="G132">
        <f>G131+5</f>
        <v>40</v>
      </c>
      <c r="I132">
        <v>2033</v>
      </c>
      <c r="J132" t="s">
        <v>25</v>
      </c>
      <c r="K132">
        <f>AVERAGE(G132:G133)</f>
        <v>42.5</v>
      </c>
      <c r="L132" cm="1">
        <f t="array" ref="L132">STOWA2024_NDJF_T(A132*60,K132,I132,J132,"")</f>
        <v>0.19346736885713176</v>
      </c>
      <c r="M132">
        <f>1/L132</f>
        <v>5.1688303092521082</v>
      </c>
    </row>
    <row r="133" spans="1:13" x14ac:dyDescent="0.3">
      <c r="A133">
        <v>216</v>
      </c>
      <c r="B133">
        <f t="shared" ref="B133:B155" si="41">M132-M133</f>
        <v>1.2312270092117661</v>
      </c>
      <c r="C133">
        <f t="shared" si="37"/>
        <v>1.2312270092117661</v>
      </c>
      <c r="D133" t="s">
        <v>26</v>
      </c>
      <c r="E133" t="s">
        <v>19</v>
      </c>
      <c r="F133">
        <v>1</v>
      </c>
      <c r="G133">
        <f t="shared" ref="G133:G156" si="42">G132+5</f>
        <v>45</v>
      </c>
      <c r="I133">
        <v>2033</v>
      </c>
      <c r="J133" t="s">
        <v>25</v>
      </c>
      <c r="K133">
        <f t="shared" ref="K133:K155" si="43">AVERAGE(G133:G134)</f>
        <v>47.5</v>
      </c>
      <c r="L133" cm="1">
        <f t="array" ref="L133">STOWA2024_NDJF_T(A133*60,K133,I133,J133,"")</f>
        <v>0.2539615913034598</v>
      </c>
      <c r="M133">
        <f t="shared" ref="M133:M155" si="44">1/L133</f>
        <v>3.9376033000403421</v>
      </c>
    </row>
    <row r="134" spans="1:13" x14ac:dyDescent="0.3">
      <c r="A134">
        <v>216</v>
      </c>
      <c r="B134">
        <f t="shared" si="41"/>
        <v>0.95211653221981685</v>
      </c>
      <c r="C134">
        <f t="shared" si="37"/>
        <v>0.95211653221981685</v>
      </c>
      <c r="D134" t="s">
        <v>26</v>
      </c>
      <c r="E134" t="s">
        <v>19</v>
      </c>
      <c r="F134">
        <v>1</v>
      </c>
      <c r="G134">
        <f t="shared" si="42"/>
        <v>50</v>
      </c>
      <c r="I134">
        <v>2033</v>
      </c>
      <c r="J134" t="s">
        <v>25</v>
      </c>
      <c r="K134">
        <f t="shared" si="43"/>
        <v>52.5</v>
      </c>
      <c r="L134" cm="1">
        <f t="array" ref="L134">STOWA2024_NDJF_T(A134*60,K134,I134,J134,"")</f>
        <v>0.33495375386641663</v>
      </c>
      <c r="M134">
        <f t="shared" si="44"/>
        <v>2.9854867678205252</v>
      </c>
    </row>
    <row r="135" spans="1:13" x14ac:dyDescent="0.3">
      <c r="A135">
        <v>216</v>
      </c>
      <c r="B135">
        <f t="shared" si="41"/>
        <v>0.73300168371674879</v>
      </c>
      <c r="C135">
        <f t="shared" si="37"/>
        <v>0.73300168371674879</v>
      </c>
      <c r="D135" t="s">
        <v>26</v>
      </c>
      <c r="E135" t="s">
        <v>19</v>
      </c>
      <c r="F135">
        <v>1</v>
      </c>
      <c r="G135">
        <f t="shared" si="42"/>
        <v>55</v>
      </c>
      <c r="I135">
        <v>2033</v>
      </c>
      <c r="J135" t="s">
        <v>25</v>
      </c>
      <c r="K135">
        <f t="shared" si="43"/>
        <v>57.5</v>
      </c>
      <c r="L135" cm="1">
        <f t="array" ref="L135">STOWA2024_NDJF_T(A135*60,K135,I135,J135,"")</f>
        <v>0.44395410520459988</v>
      </c>
      <c r="M135">
        <f t="shared" si="44"/>
        <v>2.2524850841037765</v>
      </c>
    </row>
    <row r="136" spans="1:13" x14ac:dyDescent="0.3">
      <c r="A136">
        <v>216</v>
      </c>
      <c r="B136">
        <f t="shared" si="41"/>
        <v>0.56165493163140123</v>
      </c>
      <c r="C136">
        <f t="shared" si="37"/>
        <v>0.56165493163140123</v>
      </c>
      <c r="D136" t="s">
        <v>26</v>
      </c>
      <c r="E136" t="s">
        <v>19</v>
      </c>
      <c r="F136">
        <v>1</v>
      </c>
      <c r="G136">
        <f t="shared" si="42"/>
        <v>60</v>
      </c>
      <c r="I136">
        <v>2033</v>
      </c>
      <c r="J136" t="s">
        <v>25</v>
      </c>
      <c r="K136">
        <f t="shared" si="43"/>
        <v>62.5</v>
      </c>
      <c r="L136" cm="1">
        <f t="array" ref="L136">STOWA2024_NDJF_T(A136*60,K136,I136,J136,"")</f>
        <v>0.59142545958136261</v>
      </c>
      <c r="M136">
        <f t="shared" si="44"/>
        <v>1.6908301524723752</v>
      </c>
    </row>
    <row r="137" spans="1:13" x14ac:dyDescent="0.3">
      <c r="A137">
        <v>216</v>
      </c>
      <c r="B137">
        <f t="shared" si="41"/>
        <v>0.42829325162684162</v>
      </c>
      <c r="C137">
        <f t="shared" si="37"/>
        <v>0.42829325162684162</v>
      </c>
      <c r="D137" t="s">
        <v>26</v>
      </c>
      <c r="E137" t="s">
        <v>19</v>
      </c>
      <c r="F137">
        <v>1</v>
      </c>
      <c r="G137">
        <f t="shared" si="42"/>
        <v>65</v>
      </c>
      <c r="I137">
        <v>2033</v>
      </c>
      <c r="J137" t="s">
        <v>25</v>
      </c>
      <c r="K137">
        <f t="shared" si="43"/>
        <v>67.5</v>
      </c>
      <c r="L137" cm="1">
        <f t="array" ref="L137">STOWA2024_NDJF_T(A137*60,K137,I137,J137,"")</f>
        <v>0.79205605739546303</v>
      </c>
      <c r="M137">
        <f t="shared" si="44"/>
        <v>1.2625369008455336</v>
      </c>
    </row>
    <row r="138" spans="1:13" x14ac:dyDescent="0.3">
      <c r="A138">
        <v>216</v>
      </c>
      <c r="B138">
        <f t="shared" si="41"/>
        <v>0.32488851427928978</v>
      </c>
      <c r="C138">
        <f t="shared" si="37"/>
        <v>0.32488851427928978</v>
      </c>
      <c r="D138" t="s">
        <v>26</v>
      </c>
      <c r="E138" t="s">
        <v>19</v>
      </c>
      <c r="F138">
        <v>1</v>
      </c>
      <c r="G138">
        <f t="shared" si="42"/>
        <v>70</v>
      </c>
      <c r="I138">
        <v>2033</v>
      </c>
      <c r="J138" t="s">
        <v>25</v>
      </c>
      <c r="K138">
        <f t="shared" si="43"/>
        <v>72.5</v>
      </c>
      <c r="L138" cm="1">
        <f t="array" ref="L138">STOWA2024_NDJF_T(A138*60,K138,I138,J138,"")</f>
        <v>1.0664978624472374</v>
      </c>
      <c r="M138">
        <f t="shared" si="44"/>
        <v>0.93764838656624383</v>
      </c>
    </row>
    <row r="139" spans="1:13" x14ac:dyDescent="0.3">
      <c r="A139">
        <v>216</v>
      </c>
      <c r="B139">
        <f t="shared" si="41"/>
        <v>0.24527648394037349</v>
      </c>
      <c r="C139">
        <f t="shared" si="37"/>
        <v>0.24527648394037349</v>
      </c>
      <c r="D139" t="s">
        <v>26</v>
      </c>
      <c r="E139" t="s">
        <v>19</v>
      </c>
      <c r="F139">
        <v>1</v>
      </c>
      <c r="G139">
        <f t="shared" si="42"/>
        <v>75</v>
      </c>
      <c r="I139">
        <v>2033</v>
      </c>
      <c r="J139" t="s">
        <v>25</v>
      </c>
      <c r="K139">
        <f t="shared" si="43"/>
        <v>77.5</v>
      </c>
      <c r="L139" cm="1">
        <f t="array" ref="L139">STOWA2024_NDJF_T(A139*60,K139,I139,J139,"")</f>
        <v>1.4443104871925447</v>
      </c>
      <c r="M139">
        <f t="shared" si="44"/>
        <v>0.69237190262587034</v>
      </c>
    </row>
    <row r="140" spans="1:13" x14ac:dyDescent="0.3">
      <c r="A140">
        <v>216</v>
      </c>
      <c r="B140">
        <f t="shared" si="41"/>
        <v>0.18412527000580936</v>
      </c>
      <c r="C140">
        <f t="shared" si="37"/>
        <v>0.18412527000580936</v>
      </c>
      <c r="D140" t="s">
        <v>26</v>
      </c>
      <c r="E140" t="s">
        <v>19</v>
      </c>
      <c r="F140">
        <v>1</v>
      </c>
      <c r="G140">
        <f t="shared" si="42"/>
        <v>80</v>
      </c>
      <c r="I140">
        <v>2033</v>
      </c>
      <c r="J140" t="s">
        <v>25</v>
      </c>
      <c r="K140">
        <f t="shared" si="43"/>
        <v>82.5</v>
      </c>
      <c r="L140" cm="1">
        <f t="array" ref="L140">STOWA2024_NDJF_T(A140*60,K140,I140,J140,"")</f>
        <v>1.967548697459937</v>
      </c>
      <c r="M140">
        <f t="shared" si="44"/>
        <v>0.50824663262006098</v>
      </c>
    </row>
    <row r="141" spans="1:13" x14ac:dyDescent="0.3">
      <c r="A141">
        <v>216</v>
      </c>
      <c r="B141">
        <f t="shared" si="41"/>
        <v>0.13744290214402305</v>
      </c>
      <c r="C141">
        <f t="shared" si="37"/>
        <v>0.13744290214402305</v>
      </c>
      <c r="D141" t="s">
        <v>26</v>
      </c>
      <c r="E141" t="s">
        <v>19</v>
      </c>
      <c r="F141">
        <v>1</v>
      </c>
      <c r="G141">
        <f t="shared" si="42"/>
        <v>85</v>
      </c>
      <c r="I141">
        <v>2033</v>
      </c>
      <c r="J141" t="s">
        <v>25</v>
      </c>
      <c r="K141">
        <f t="shared" si="43"/>
        <v>87.5</v>
      </c>
      <c r="L141" cm="1">
        <f t="array" ref="L141">STOWA2024_NDJF_T(A141*60,K141,I141,J141,"")</f>
        <v>2.6968444969962944</v>
      </c>
      <c r="M141">
        <f t="shared" si="44"/>
        <v>0.37080373047603793</v>
      </c>
    </row>
    <row r="142" spans="1:13" x14ac:dyDescent="0.3">
      <c r="A142">
        <v>216</v>
      </c>
      <c r="B142">
        <f t="shared" si="41"/>
        <v>0.10200046508233968</v>
      </c>
      <c r="C142">
        <f t="shared" si="37"/>
        <v>0.10200046508233968</v>
      </c>
      <c r="D142" t="s">
        <v>26</v>
      </c>
      <c r="E142" t="s">
        <v>19</v>
      </c>
      <c r="F142">
        <v>1</v>
      </c>
      <c r="G142">
        <f t="shared" si="42"/>
        <v>90</v>
      </c>
      <c r="I142">
        <v>2033</v>
      </c>
      <c r="J142" t="s">
        <v>25</v>
      </c>
      <c r="K142">
        <f t="shared" si="43"/>
        <v>92.5</v>
      </c>
      <c r="L142" cm="1">
        <f t="array" ref="L142">STOWA2024_NDJF_T(A142*60,K142,I142,J142,"")</f>
        <v>3.720192902178352</v>
      </c>
      <c r="M142">
        <f t="shared" si="44"/>
        <v>0.26880326539369825</v>
      </c>
    </row>
    <row r="143" spans="1:13" x14ac:dyDescent="0.3">
      <c r="A143">
        <v>216</v>
      </c>
      <c r="B143">
        <f t="shared" si="41"/>
        <v>7.523306675010108E-2</v>
      </c>
      <c r="C143">
        <f t="shared" si="37"/>
        <v>7.523306675010108E-2</v>
      </c>
      <c r="D143" t="s">
        <v>26</v>
      </c>
      <c r="E143" t="s">
        <v>19</v>
      </c>
      <c r="F143">
        <v>1</v>
      </c>
      <c r="G143">
        <f t="shared" si="42"/>
        <v>95</v>
      </c>
      <c r="I143">
        <v>2033</v>
      </c>
      <c r="J143" t="s">
        <v>25</v>
      </c>
      <c r="K143">
        <f t="shared" si="43"/>
        <v>97.5</v>
      </c>
      <c r="L143" cm="1">
        <f t="array" ref="L143">STOWA2024_NDJF_T(A143*60,K143,I143,J143,"")</f>
        <v>5.16608448514953</v>
      </c>
      <c r="M143">
        <f t="shared" si="44"/>
        <v>0.19357019864359717</v>
      </c>
    </row>
    <row r="144" spans="1:13" x14ac:dyDescent="0.3">
      <c r="A144">
        <v>216</v>
      </c>
      <c r="B144">
        <f t="shared" si="41"/>
        <v>5.5141107216165192E-2</v>
      </c>
      <c r="C144">
        <f t="shared" si="37"/>
        <v>5.5141107216165192E-2</v>
      </c>
      <c r="D144" t="s">
        <v>26</v>
      </c>
      <c r="E144" t="s">
        <v>19</v>
      </c>
      <c r="F144">
        <v>1</v>
      </c>
      <c r="G144">
        <f t="shared" si="42"/>
        <v>100</v>
      </c>
      <c r="I144">
        <v>2033</v>
      </c>
      <c r="J144" t="s">
        <v>25</v>
      </c>
      <c r="K144">
        <f t="shared" si="43"/>
        <v>102.5</v>
      </c>
      <c r="L144" cm="1">
        <f t="array" ref="L144">STOWA2024_NDJF_T(A144*60,K144,I144,J144,"")</f>
        <v>7.2239150722463936</v>
      </c>
      <c r="M144">
        <f t="shared" si="44"/>
        <v>0.13842909142743198</v>
      </c>
    </row>
    <row r="145" spans="1:13" x14ac:dyDescent="0.3">
      <c r="A145">
        <v>216</v>
      </c>
      <c r="B145">
        <f t="shared" si="41"/>
        <v>4.0146930626745375E-2</v>
      </c>
      <c r="C145">
        <f t="shared" si="37"/>
        <v>4.0146930626745375E-2</v>
      </c>
      <c r="D145" t="s">
        <v>26</v>
      </c>
      <c r="E145" t="s">
        <v>19</v>
      </c>
      <c r="F145">
        <v>1</v>
      </c>
      <c r="G145">
        <f t="shared" si="42"/>
        <v>105</v>
      </c>
      <c r="I145">
        <v>2033</v>
      </c>
      <c r="J145" t="s">
        <v>25</v>
      </c>
      <c r="K145">
        <f t="shared" si="43"/>
        <v>107.5</v>
      </c>
      <c r="L145" cm="1">
        <f t="array" ref="L145">STOWA2024_NDJF_T(A145*60,K145,I145,J145,"")</f>
        <v>10.174786470435578</v>
      </c>
      <c r="M145">
        <f t="shared" si="44"/>
        <v>9.8282160800686608E-2</v>
      </c>
    </row>
    <row r="146" spans="1:13" x14ac:dyDescent="0.3">
      <c r="A146">
        <v>216</v>
      </c>
      <c r="B146">
        <f t="shared" si="41"/>
        <v>2.902863855685997E-2</v>
      </c>
      <c r="C146">
        <f t="shared" si="37"/>
        <v>2.902863855685997E-2</v>
      </c>
      <c r="D146" t="s">
        <v>26</v>
      </c>
      <c r="E146" t="s">
        <v>19</v>
      </c>
      <c r="F146">
        <v>1</v>
      </c>
      <c r="G146">
        <f t="shared" si="42"/>
        <v>110</v>
      </c>
      <c r="I146">
        <v>2033</v>
      </c>
      <c r="J146" t="s">
        <v>25</v>
      </c>
      <c r="K146">
        <f t="shared" si="43"/>
        <v>112.5</v>
      </c>
      <c r="L146" cm="1">
        <f t="array" ref="L146">STOWA2024_NDJF_T(A146*60,K146,I146,J146,"")</f>
        <v>14.439698770543638</v>
      </c>
      <c r="M146">
        <f t="shared" si="44"/>
        <v>6.9253522243826637E-2</v>
      </c>
    </row>
    <row r="147" spans="1:13" x14ac:dyDescent="0.3">
      <c r="A147">
        <v>216</v>
      </c>
      <c r="B147">
        <f t="shared" si="41"/>
        <v>2.0838411824689235E-2</v>
      </c>
      <c r="C147">
        <f t="shared" si="37"/>
        <v>2.0838411824689235E-2</v>
      </c>
      <c r="D147" t="s">
        <v>26</v>
      </c>
      <c r="E147" t="s">
        <v>19</v>
      </c>
      <c r="F147">
        <v>1</v>
      </c>
      <c r="G147">
        <f t="shared" si="42"/>
        <v>115</v>
      </c>
      <c r="I147">
        <v>2033</v>
      </c>
      <c r="J147" t="s">
        <v>25</v>
      </c>
      <c r="K147">
        <f t="shared" si="43"/>
        <v>117.5</v>
      </c>
      <c r="L147" cm="1">
        <f t="array" ref="L147">STOWA2024_NDJF_T(A147*60,K147,I147,J147,"")</f>
        <v>20.654708650725755</v>
      </c>
      <c r="M147">
        <f t="shared" si="44"/>
        <v>4.8415110419137403E-2</v>
      </c>
    </row>
    <row r="148" spans="1:13" x14ac:dyDescent="0.3">
      <c r="A148">
        <v>216</v>
      </c>
      <c r="B148">
        <f t="shared" si="41"/>
        <v>1.4846472035028119E-2</v>
      </c>
      <c r="C148">
        <f t="shared" si="37"/>
        <v>1.4846472035028119E-2</v>
      </c>
      <c r="D148" t="s">
        <v>26</v>
      </c>
      <c r="E148" t="s">
        <v>19</v>
      </c>
      <c r="F148">
        <v>1</v>
      </c>
      <c r="G148">
        <f t="shared" si="42"/>
        <v>120</v>
      </c>
      <c r="I148">
        <v>2033</v>
      </c>
      <c r="J148" t="s">
        <v>25</v>
      </c>
      <c r="K148">
        <f t="shared" si="43"/>
        <v>122.5</v>
      </c>
      <c r="L148" cm="1">
        <f t="array" ref="L148">STOWA2024_NDJF_T(A148*60,K148,I148,J148,"")</f>
        <v>29.789709923813287</v>
      </c>
      <c r="M148">
        <f t="shared" si="44"/>
        <v>3.3568638384109284E-2</v>
      </c>
    </row>
    <row r="149" spans="1:13" x14ac:dyDescent="0.3">
      <c r="A149">
        <v>216</v>
      </c>
      <c r="B149">
        <f t="shared" si="41"/>
        <v>1.0494368244875849E-2</v>
      </c>
      <c r="C149">
        <f t="shared" si="37"/>
        <v>1.0494368244875849E-2</v>
      </c>
      <c r="D149" t="s">
        <v>26</v>
      </c>
      <c r="E149" t="s">
        <v>19</v>
      </c>
      <c r="F149">
        <v>1</v>
      </c>
      <c r="G149">
        <f t="shared" si="42"/>
        <v>125</v>
      </c>
      <c r="I149">
        <v>2033</v>
      </c>
      <c r="J149" t="s">
        <v>25</v>
      </c>
      <c r="K149">
        <f t="shared" si="43"/>
        <v>127.5</v>
      </c>
      <c r="L149" cm="1">
        <f t="array" ref="L149">STOWA2024_NDJF_T(A149*60,K149,I149,J149,"")</f>
        <v>43.338315533529659</v>
      </c>
      <c r="M149">
        <f t="shared" si="44"/>
        <v>2.3074270139233435E-2</v>
      </c>
    </row>
    <row r="150" spans="1:13" x14ac:dyDescent="0.3">
      <c r="A150">
        <v>216</v>
      </c>
      <c r="B150">
        <f t="shared" si="41"/>
        <v>7.3567173604036397E-3</v>
      </c>
      <c r="C150">
        <f t="shared" si="37"/>
        <v>7.3567173604036397E-3</v>
      </c>
      <c r="D150" t="s">
        <v>26</v>
      </c>
      <c r="E150" t="s">
        <v>19</v>
      </c>
      <c r="F150">
        <v>1</v>
      </c>
      <c r="G150">
        <f t="shared" si="42"/>
        <v>130</v>
      </c>
      <c r="I150">
        <v>2033</v>
      </c>
      <c r="J150" t="s">
        <v>25</v>
      </c>
      <c r="K150">
        <f t="shared" si="43"/>
        <v>132.5</v>
      </c>
      <c r="L150" cm="1">
        <f t="array" ref="L150">STOWA2024_NDJF_T(A150*60,K150,I150,J150,"")</f>
        <v>63.623136125040716</v>
      </c>
      <c r="M150">
        <f t="shared" si="44"/>
        <v>1.5717552778829795E-2</v>
      </c>
    </row>
    <row r="151" spans="1:13" x14ac:dyDescent="0.3">
      <c r="A151">
        <v>216</v>
      </c>
      <c r="B151">
        <f t="shared" si="41"/>
        <v>5.1125850105095735E-3</v>
      </c>
      <c r="C151">
        <f t="shared" si="37"/>
        <v>5.1125850105095735E-3</v>
      </c>
      <c r="D151" t="s">
        <v>26</v>
      </c>
      <c r="E151" t="s">
        <v>19</v>
      </c>
      <c r="F151">
        <v>1</v>
      </c>
      <c r="G151">
        <f t="shared" si="42"/>
        <v>135</v>
      </c>
      <c r="I151">
        <v>2033</v>
      </c>
      <c r="J151" t="s">
        <v>25</v>
      </c>
      <c r="K151">
        <f t="shared" si="43"/>
        <v>137.5</v>
      </c>
      <c r="L151" cm="1">
        <f t="array" ref="L151">STOWA2024_NDJF_T(A151*60,K151,I151,J151,"")</f>
        <v>94.29543039133587</v>
      </c>
      <c r="M151">
        <f t="shared" si="44"/>
        <v>1.0604967768320222E-2</v>
      </c>
    </row>
    <row r="152" spans="1:13" x14ac:dyDescent="0.3">
      <c r="A152">
        <v>216</v>
      </c>
      <c r="B152">
        <f t="shared" si="41"/>
        <v>3.5208068508513473E-3</v>
      </c>
      <c r="C152">
        <f t="shared" si="37"/>
        <v>3.5208068508513473E-3</v>
      </c>
      <c r="D152" t="s">
        <v>26</v>
      </c>
      <c r="E152" t="s">
        <v>19</v>
      </c>
      <c r="F152">
        <v>1</v>
      </c>
      <c r="G152">
        <f t="shared" si="42"/>
        <v>140</v>
      </c>
      <c r="I152">
        <v>2033</v>
      </c>
      <c r="J152" t="s">
        <v>25</v>
      </c>
      <c r="K152">
        <f t="shared" si="43"/>
        <v>142.5</v>
      </c>
      <c r="L152" cm="1">
        <f t="array" ref="L152">STOWA2024_NDJF_T(A152*60,K152,I152,J152,"")</f>
        <v>141.15997810468903</v>
      </c>
      <c r="M152">
        <f t="shared" si="44"/>
        <v>7.0841609174688742E-3</v>
      </c>
    </row>
    <row r="153" spans="1:13" x14ac:dyDescent="0.3">
      <c r="A153">
        <v>216</v>
      </c>
      <c r="B153">
        <f t="shared" si="41"/>
        <v>2.4014390792576534E-3</v>
      </c>
      <c r="C153">
        <f t="shared" si="37"/>
        <v>2.4014390792576534E-3</v>
      </c>
      <c r="D153" t="s">
        <v>26</v>
      </c>
      <c r="E153" t="s">
        <v>19</v>
      </c>
      <c r="F153">
        <v>1</v>
      </c>
      <c r="G153">
        <f t="shared" si="42"/>
        <v>145</v>
      </c>
      <c r="I153">
        <v>2033</v>
      </c>
      <c r="J153" t="s">
        <v>25</v>
      </c>
      <c r="K153">
        <f t="shared" si="43"/>
        <v>147.5</v>
      </c>
      <c r="L153" cm="1">
        <f t="array" ref="L153">STOWA2024_NDJF_T(A153*60,K153,I153,J153,"")</f>
        <v>213.55101467696736</v>
      </c>
      <c r="M153">
        <f t="shared" si="44"/>
        <v>4.6827218382112209E-3</v>
      </c>
    </row>
    <row r="154" spans="1:13" x14ac:dyDescent="0.3">
      <c r="A154">
        <v>216</v>
      </c>
      <c r="B154">
        <f t="shared" si="41"/>
        <v>1.6215208599889303E-3</v>
      </c>
      <c r="C154">
        <f t="shared" si="37"/>
        <v>1.6215208599889303E-3</v>
      </c>
      <c r="D154" t="s">
        <v>26</v>
      </c>
      <c r="E154" t="s">
        <v>19</v>
      </c>
      <c r="F154">
        <v>1</v>
      </c>
      <c r="G154">
        <f t="shared" si="42"/>
        <v>150</v>
      </c>
      <c r="I154">
        <v>2033</v>
      </c>
      <c r="J154" t="s">
        <v>25</v>
      </c>
      <c r="K154">
        <f t="shared" si="43"/>
        <v>152.5</v>
      </c>
      <c r="L154" cm="1">
        <f t="array" ref="L154">STOWA2024_NDJF_T(A154*60,K154,I154,J154,"")</f>
        <v>326.66917563208244</v>
      </c>
      <c r="M154">
        <f t="shared" si="44"/>
        <v>3.0612009782222905E-3</v>
      </c>
    </row>
    <row r="155" spans="1:13" x14ac:dyDescent="0.3">
      <c r="A155">
        <v>216</v>
      </c>
      <c r="B155">
        <f t="shared" si="41"/>
        <v>1.0832910426584312E-3</v>
      </c>
      <c r="C155">
        <f t="shared" si="37"/>
        <v>1.0832910426584312E-3</v>
      </c>
      <c r="D155" t="s">
        <v>26</v>
      </c>
      <c r="E155" t="s">
        <v>19</v>
      </c>
      <c r="F155">
        <v>1</v>
      </c>
      <c r="G155">
        <f t="shared" si="42"/>
        <v>155</v>
      </c>
      <c r="I155">
        <v>2033</v>
      </c>
      <c r="J155" t="s">
        <v>25</v>
      </c>
      <c r="K155">
        <f t="shared" si="43"/>
        <v>157.5</v>
      </c>
      <c r="L155" cm="1">
        <f t="array" ref="L155">STOWA2024_NDJF_T(A155*60,K155,I155,J155,"")</f>
        <v>505.58419370845706</v>
      </c>
      <c r="M155">
        <f t="shared" si="44"/>
        <v>1.9779099355638594E-3</v>
      </c>
    </row>
    <row r="156" spans="1:13" x14ac:dyDescent="0.3">
      <c r="A156">
        <v>216</v>
      </c>
      <c r="B156" s="1">
        <f>M155</f>
        <v>1.9779099355638594E-3</v>
      </c>
      <c r="C156">
        <f t="shared" si="37"/>
        <v>1.9779099355638594E-3</v>
      </c>
      <c r="D156" t="s">
        <v>26</v>
      </c>
      <c r="E156" t="s">
        <v>19</v>
      </c>
      <c r="F156">
        <v>1</v>
      </c>
      <c r="G156">
        <f t="shared" si="42"/>
        <v>160</v>
      </c>
      <c r="I156">
        <v>2033</v>
      </c>
      <c r="J156" t="s">
        <v>25</v>
      </c>
      <c r="K156">
        <f>AVERAGE(G156:G157)</f>
        <v>160</v>
      </c>
      <c r="L156" cm="1">
        <f t="array" ref="L156">STOWA2024_NDJF_T(A156*60,K156,I156,J156,"")</f>
        <v>631.8744614332827</v>
      </c>
      <c r="M156">
        <f>1/L156</f>
        <v>1.582592842463829E-3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56"/>
  <sheetViews>
    <sheetView workbookViewId="0">
      <selection activeCell="G24" sqref="G24"/>
    </sheetView>
  </sheetViews>
  <sheetFormatPr defaultRowHeight="14.4" x14ac:dyDescent="0.3"/>
  <cols>
    <col min="2" max="3" width="12" bestFit="1" customWidth="1"/>
    <col min="4" max="4" width="17.21875" bestFit="1" customWidth="1"/>
    <col min="5" max="5" width="8" bestFit="1" customWidth="1"/>
    <col min="6" max="6" width="4.2187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348.87010373762945</v>
      </c>
      <c r="C2">
        <f>B2</f>
        <v>348.87010373762945</v>
      </c>
      <c r="D2" t="s">
        <v>27</v>
      </c>
      <c r="E2" t="s">
        <v>21</v>
      </c>
      <c r="F2">
        <v>1</v>
      </c>
      <c r="G2">
        <v>10</v>
      </c>
      <c r="I2">
        <v>2050</v>
      </c>
      <c r="J2" t="s">
        <v>25</v>
      </c>
      <c r="K2">
        <f>AVERAGE(G2:G4)</f>
        <v>15</v>
      </c>
      <c r="L2" cm="1">
        <f t="array" ref="L2">STOWA2024_JAARROND_T(A2*60,K2,I2,J2,"")</f>
        <v>6.1050447694061011E-2</v>
      </c>
      <c r="M2">
        <f>1/L2</f>
        <v>16.379896262370572</v>
      </c>
    </row>
    <row r="3" spans="1:13" x14ac:dyDescent="0.3">
      <c r="A3">
        <v>24</v>
      </c>
      <c r="B3">
        <f t="shared" ref="B3:B7" si="0">M2-M3</f>
        <v>4.8856373680426302</v>
      </c>
      <c r="C3">
        <f t="shared" ref="C3:C32" si="1">B3</f>
        <v>4.8856373680426302</v>
      </c>
      <c r="D3" t="s">
        <v>27</v>
      </c>
      <c r="E3" t="s">
        <v>21</v>
      </c>
      <c r="F3">
        <v>1</v>
      </c>
      <c r="G3">
        <f t="shared" ref="G3:G7" si="2">G2+5</f>
        <v>15</v>
      </c>
      <c r="I3">
        <v>2050</v>
      </c>
      <c r="J3" t="s">
        <v>25</v>
      </c>
      <c r="K3">
        <f t="shared" ref="K3:K7" si="3">AVERAGE(G3:G4)</f>
        <v>17.5</v>
      </c>
      <c r="L3" cm="1">
        <f t="array" ref="L3">STOWA2024_JAARROND_T(A3*60,K3,I3,J3,"")</f>
        <v>8.6999954428855678E-2</v>
      </c>
      <c r="M3">
        <f t="shared" ref="M3:M7" si="4">1/L3</f>
        <v>11.494258894327942</v>
      </c>
    </row>
    <row r="4" spans="1:13" x14ac:dyDescent="0.3">
      <c r="A4">
        <v>24</v>
      </c>
      <c r="B4">
        <f t="shared" si="0"/>
        <v>5.5563673429923339</v>
      </c>
      <c r="C4">
        <f t="shared" si="1"/>
        <v>5.5563673429923339</v>
      </c>
      <c r="D4" t="s">
        <v>27</v>
      </c>
      <c r="E4" t="s">
        <v>21</v>
      </c>
      <c r="F4">
        <v>1</v>
      </c>
      <c r="G4">
        <f t="shared" si="2"/>
        <v>20</v>
      </c>
      <c r="I4">
        <v>2050</v>
      </c>
      <c r="J4" t="s">
        <v>25</v>
      </c>
      <c r="K4">
        <f t="shared" si="3"/>
        <v>22.5</v>
      </c>
      <c r="L4" cm="1">
        <f t="array" ref="L4">STOWA2024_JAARROND_T(A4*60,K4,I4,J4,"")</f>
        <v>0.16840994675543886</v>
      </c>
      <c r="M4">
        <f t="shared" si="4"/>
        <v>5.9378915513356079</v>
      </c>
    </row>
    <row r="5" spans="1:13" x14ac:dyDescent="0.3">
      <c r="A5">
        <v>24</v>
      </c>
      <c r="B5">
        <f t="shared" si="0"/>
        <v>2.6967849400457227</v>
      </c>
      <c r="C5">
        <f t="shared" si="1"/>
        <v>2.6967849400457227</v>
      </c>
      <c r="D5" t="s">
        <v>27</v>
      </c>
      <c r="E5" t="s">
        <v>21</v>
      </c>
      <c r="F5">
        <v>1</v>
      </c>
      <c r="G5">
        <f t="shared" si="2"/>
        <v>25</v>
      </c>
      <c r="I5">
        <v>2050</v>
      </c>
      <c r="J5" t="s">
        <v>25</v>
      </c>
      <c r="K5">
        <f t="shared" si="3"/>
        <v>27.5</v>
      </c>
      <c r="L5" cm="1">
        <f t="array" ref="L5">STOWA2024_JAARROND_T(A5*60,K5,I5,J5,"")</f>
        <v>0.30853659565429203</v>
      </c>
      <c r="M5">
        <f t="shared" si="4"/>
        <v>3.2411066112898852</v>
      </c>
    </row>
    <row r="6" spans="1:13" x14ac:dyDescent="0.3">
      <c r="A6">
        <v>24</v>
      </c>
      <c r="B6">
        <f t="shared" si="0"/>
        <v>1.3876332439795469</v>
      </c>
      <c r="C6">
        <f t="shared" si="1"/>
        <v>1.3876332439795469</v>
      </c>
      <c r="D6" t="s">
        <v>27</v>
      </c>
      <c r="E6" t="s">
        <v>21</v>
      </c>
      <c r="F6">
        <v>1</v>
      </c>
      <c r="G6">
        <f t="shared" si="2"/>
        <v>30</v>
      </c>
      <c r="I6">
        <v>2050</v>
      </c>
      <c r="J6" t="s">
        <v>25</v>
      </c>
      <c r="K6">
        <f t="shared" si="3"/>
        <v>32.5</v>
      </c>
      <c r="L6" cm="1">
        <f t="array" ref="L6">STOWA2024_JAARROND_T(A6*60,K6,I6,J6,"")</f>
        <v>0.53952757975214216</v>
      </c>
      <c r="M6">
        <f t="shared" si="4"/>
        <v>1.8534733673103383</v>
      </c>
    </row>
    <row r="7" spans="1:13" x14ac:dyDescent="0.3">
      <c r="A7">
        <v>24</v>
      </c>
      <c r="B7">
        <f t="shared" si="0"/>
        <v>0.75036150990582762</v>
      </c>
      <c r="C7">
        <f t="shared" si="1"/>
        <v>0.75036150990582762</v>
      </c>
      <c r="D7" t="s">
        <v>27</v>
      </c>
      <c r="E7" t="s">
        <v>21</v>
      </c>
      <c r="F7">
        <v>1</v>
      </c>
      <c r="G7">
        <f t="shared" si="2"/>
        <v>35</v>
      </c>
      <c r="I7">
        <v>2050</v>
      </c>
      <c r="J7" t="s">
        <v>25</v>
      </c>
      <c r="K7">
        <f t="shared" si="3"/>
        <v>37.5</v>
      </c>
      <c r="L7" cm="1">
        <f t="array" ref="L7">STOWA2024_JAARROND_T(A7*60,K7,I7,J7,"")</f>
        <v>0.90652638106246053</v>
      </c>
      <c r="M7">
        <f t="shared" si="4"/>
        <v>1.1031118574045107</v>
      </c>
    </row>
    <row r="8" spans="1:13" x14ac:dyDescent="0.3">
      <c r="A8">
        <v>24</v>
      </c>
      <c r="B8">
        <f>M7-M8</f>
        <v>0.4234026283805371</v>
      </c>
      <c r="C8">
        <f t="shared" si="1"/>
        <v>0.4234026283805371</v>
      </c>
      <c r="D8" t="s">
        <v>27</v>
      </c>
      <c r="E8" t="s">
        <v>21</v>
      </c>
      <c r="F8">
        <v>1</v>
      </c>
      <c r="G8">
        <f>G7+5</f>
        <v>40</v>
      </c>
      <c r="I8">
        <v>2050</v>
      </c>
      <c r="J8" t="s">
        <v>25</v>
      </c>
      <c r="K8">
        <f>AVERAGE(G8:G9)</f>
        <v>42.5</v>
      </c>
      <c r="L8" cm="1">
        <f t="array" ref="L8">STOWA2024_JAARROND_T(A8*60,K8,I8,J8,"")</f>
        <v>1.4712173342650459</v>
      </c>
      <c r="M8">
        <f>1/L8</f>
        <v>0.67970922902397357</v>
      </c>
    </row>
    <row r="9" spans="1:13" x14ac:dyDescent="0.3">
      <c r="A9">
        <v>24</v>
      </c>
      <c r="B9">
        <f t="shared" ref="B9:B31" si="5">M8-M9</f>
        <v>0.24807607694455541</v>
      </c>
      <c r="C9">
        <f t="shared" si="1"/>
        <v>0.24807607694455541</v>
      </c>
      <c r="D9" t="s">
        <v>27</v>
      </c>
      <c r="E9" t="s">
        <v>21</v>
      </c>
      <c r="F9">
        <v>1</v>
      </c>
      <c r="G9">
        <f t="shared" ref="G9:G32" si="6">G8+5</f>
        <v>45</v>
      </c>
      <c r="I9">
        <v>2050</v>
      </c>
      <c r="J9" t="s">
        <v>25</v>
      </c>
      <c r="K9">
        <f t="shared" ref="K9:K31" si="7">AVERAGE(G9:G10)</f>
        <v>47.5</v>
      </c>
      <c r="L9" cm="1">
        <f t="array" ref="L9">STOWA2024_JAARROND_T(A9*60,K9,I9,J9,"")</f>
        <v>2.316782191503227</v>
      </c>
      <c r="M9">
        <f t="shared" ref="M9:M31" si="8">1/L9</f>
        <v>0.43163315207941816</v>
      </c>
    </row>
    <row r="10" spans="1:13" x14ac:dyDescent="0.3">
      <c r="A10">
        <v>24</v>
      </c>
      <c r="B10">
        <f t="shared" si="5"/>
        <v>0.15011285292824839</v>
      </c>
      <c r="C10">
        <f t="shared" si="1"/>
        <v>0.15011285292824839</v>
      </c>
      <c r="D10" t="s">
        <v>27</v>
      </c>
      <c r="E10" t="s">
        <v>21</v>
      </c>
      <c r="F10">
        <v>1</v>
      </c>
      <c r="G10">
        <f t="shared" si="6"/>
        <v>50</v>
      </c>
      <c r="I10">
        <v>2050</v>
      </c>
      <c r="J10" t="s">
        <v>25</v>
      </c>
      <c r="K10">
        <f t="shared" si="7"/>
        <v>52.5</v>
      </c>
      <c r="L10" cm="1">
        <f t="array" ref="L10">STOWA2024_JAARROND_T(A10*60,K10,I10,J10,"")</f>
        <v>3.5521417212725521</v>
      </c>
      <c r="M10">
        <f t="shared" si="8"/>
        <v>0.28152029915116977</v>
      </c>
    </row>
    <row r="11" spans="1:13" x14ac:dyDescent="0.3">
      <c r="A11">
        <v>24</v>
      </c>
      <c r="B11">
        <f t="shared" si="5"/>
        <v>9.3497492589092068E-2</v>
      </c>
      <c r="C11">
        <f t="shared" si="1"/>
        <v>9.3497492589092068E-2</v>
      </c>
      <c r="D11" t="s">
        <v>27</v>
      </c>
      <c r="E11" t="s">
        <v>21</v>
      </c>
      <c r="F11">
        <v>1</v>
      </c>
      <c r="G11">
        <f t="shared" si="6"/>
        <v>55</v>
      </c>
      <c r="I11">
        <v>2050</v>
      </c>
      <c r="J11" t="s">
        <v>25</v>
      </c>
      <c r="K11">
        <f t="shared" si="7"/>
        <v>57.5</v>
      </c>
      <c r="L11" cm="1">
        <f t="array" ref="L11">STOWA2024_JAARROND_T(A11*60,K11,I11,J11,"")</f>
        <v>5.318503740501499</v>
      </c>
      <c r="M11">
        <f t="shared" si="8"/>
        <v>0.1880228065620777</v>
      </c>
    </row>
    <row r="12" spans="1:13" x14ac:dyDescent="0.3">
      <c r="A12">
        <v>24</v>
      </c>
      <c r="B12">
        <f t="shared" si="5"/>
        <v>5.9748565755463057E-2</v>
      </c>
      <c r="C12">
        <f t="shared" si="1"/>
        <v>5.9748565755463057E-2</v>
      </c>
      <c r="D12" t="s">
        <v>27</v>
      </c>
      <c r="E12" t="s">
        <v>21</v>
      </c>
      <c r="F12">
        <v>1</v>
      </c>
      <c r="G12">
        <f t="shared" si="6"/>
        <v>60</v>
      </c>
      <c r="I12">
        <v>2050</v>
      </c>
      <c r="J12" t="s">
        <v>25</v>
      </c>
      <c r="K12">
        <f t="shared" si="7"/>
        <v>62.5</v>
      </c>
      <c r="L12" cm="1">
        <f t="array" ref="L12">STOWA2024_JAARROND_T(A12*60,K12,I12,J12,"")</f>
        <v>7.7957974548264373</v>
      </c>
      <c r="M12">
        <f t="shared" si="8"/>
        <v>0.12827424080661465</v>
      </c>
    </row>
    <row r="13" spans="1:13" x14ac:dyDescent="0.3">
      <c r="A13">
        <v>24</v>
      </c>
      <c r="B13">
        <f t="shared" si="5"/>
        <v>3.9073466321025027E-2</v>
      </c>
      <c r="C13">
        <f t="shared" si="1"/>
        <v>3.9073466321025027E-2</v>
      </c>
      <c r="D13" t="s">
        <v>27</v>
      </c>
      <c r="E13" t="s">
        <v>21</v>
      </c>
      <c r="F13">
        <v>1</v>
      </c>
      <c r="G13">
        <f t="shared" si="6"/>
        <v>65</v>
      </c>
      <c r="I13">
        <v>2050</v>
      </c>
      <c r="J13" t="s">
        <v>25</v>
      </c>
      <c r="K13">
        <f t="shared" si="7"/>
        <v>67.5</v>
      </c>
      <c r="L13" cm="1">
        <f t="array" ref="L13">STOWA2024_JAARROND_T(A13*60,K13,I13,J13,"")</f>
        <v>11.210664994411568</v>
      </c>
      <c r="M13">
        <f t="shared" si="8"/>
        <v>8.9200774485589621E-2</v>
      </c>
    </row>
    <row r="14" spans="1:13" x14ac:dyDescent="0.3">
      <c r="A14">
        <v>24</v>
      </c>
      <c r="B14">
        <f t="shared" si="5"/>
        <v>2.6089366594114677E-2</v>
      </c>
      <c r="C14">
        <f t="shared" si="1"/>
        <v>2.6089366594114677E-2</v>
      </c>
      <c r="D14" t="s">
        <v>27</v>
      </c>
      <c r="E14" t="s">
        <v>21</v>
      </c>
      <c r="F14">
        <v>1</v>
      </c>
      <c r="G14">
        <f t="shared" si="6"/>
        <v>70</v>
      </c>
      <c r="I14">
        <v>2050</v>
      </c>
      <c r="J14" t="s">
        <v>25</v>
      </c>
      <c r="K14">
        <f t="shared" si="7"/>
        <v>72.5</v>
      </c>
      <c r="L14" cm="1">
        <f t="array" ref="L14">STOWA2024_JAARROND_T(A14*60,K14,I14,J14,"")</f>
        <v>15.844995911350592</v>
      </c>
      <c r="M14">
        <f t="shared" si="8"/>
        <v>6.3111407891474944E-2</v>
      </c>
    </row>
    <row r="15" spans="1:13" x14ac:dyDescent="0.3">
      <c r="A15">
        <v>24</v>
      </c>
      <c r="B15">
        <f t="shared" si="5"/>
        <v>1.7751225408804569E-2</v>
      </c>
      <c r="C15">
        <f t="shared" si="1"/>
        <v>1.7751225408804569E-2</v>
      </c>
      <c r="D15" t="s">
        <v>27</v>
      </c>
      <c r="E15" t="s">
        <v>21</v>
      </c>
      <c r="F15">
        <v>1</v>
      </c>
      <c r="G15">
        <f t="shared" si="6"/>
        <v>75</v>
      </c>
      <c r="I15">
        <v>2050</v>
      </c>
      <c r="J15" t="s">
        <v>25</v>
      </c>
      <c r="K15">
        <f t="shared" si="7"/>
        <v>77.5</v>
      </c>
      <c r="L15" cm="1">
        <f t="array" ref="L15">STOWA2024_JAARROND_T(A15*60,K15,I15,J15,"")</f>
        <v>22.04576668936561</v>
      </c>
      <c r="M15">
        <f t="shared" si="8"/>
        <v>4.5360182482670375E-2</v>
      </c>
    </row>
    <row r="16" spans="1:13" x14ac:dyDescent="0.3">
      <c r="A16">
        <v>24</v>
      </c>
      <c r="B16">
        <f t="shared" si="5"/>
        <v>1.2286998992383981E-2</v>
      </c>
      <c r="C16">
        <f t="shared" si="1"/>
        <v>1.2286998992383981E-2</v>
      </c>
      <c r="D16" t="s">
        <v>27</v>
      </c>
      <c r="E16" t="s">
        <v>21</v>
      </c>
      <c r="F16">
        <v>1</v>
      </c>
      <c r="G16">
        <f t="shared" si="6"/>
        <v>80</v>
      </c>
      <c r="I16">
        <v>2050</v>
      </c>
      <c r="J16" t="s">
        <v>25</v>
      </c>
      <c r="K16">
        <f t="shared" si="7"/>
        <v>82.5</v>
      </c>
      <c r="L16" cm="1">
        <f t="array" ref="L16">STOWA2024_JAARROND_T(A16*60,K16,I16,J16,"")</f>
        <v>30.235976536510325</v>
      </c>
      <c r="M16">
        <f t="shared" si="8"/>
        <v>3.3073183490286394E-2</v>
      </c>
    </row>
    <row r="17" spans="1:13" x14ac:dyDescent="0.3">
      <c r="A17">
        <v>24</v>
      </c>
      <c r="B17">
        <f t="shared" si="5"/>
        <v>8.6390939539302963E-3</v>
      </c>
      <c r="C17">
        <f t="shared" si="1"/>
        <v>8.6390939539302963E-3</v>
      </c>
      <c r="D17" t="s">
        <v>27</v>
      </c>
      <c r="E17" t="s">
        <v>21</v>
      </c>
      <c r="F17">
        <v>1</v>
      </c>
      <c r="G17">
        <f t="shared" si="6"/>
        <v>85</v>
      </c>
      <c r="I17">
        <v>2050</v>
      </c>
      <c r="J17" t="s">
        <v>25</v>
      </c>
      <c r="K17">
        <f t="shared" si="7"/>
        <v>87.5</v>
      </c>
      <c r="L17" cm="1">
        <f t="array" ref="L17">STOWA2024_JAARROND_T(A17*60,K17,I17,J17,"")</f>
        <v>40.926427748088372</v>
      </c>
      <c r="M17">
        <f t="shared" si="8"/>
        <v>2.4434089536356098E-2</v>
      </c>
    </row>
    <row r="18" spans="1:13" x14ac:dyDescent="0.3">
      <c r="A18">
        <v>24</v>
      </c>
      <c r="B18">
        <f t="shared" si="5"/>
        <v>6.1627752938429523E-3</v>
      </c>
      <c r="C18">
        <f t="shared" si="1"/>
        <v>6.1627752938429523E-3</v>
      </c>
      <c r="D18" t="s">
        <v>27</v>
      </c>
      <c r="E18" t="s">
        <v>21</v>
      </c>
      <c r="F18">
        <v>1</v>
      </c>
      <c r="G18">
        <f t="shared" si="6"/>
        <v>90</v>
      </c>
      <c r="I18">
        <v>2050</v>
      </c>
      <c r="J18" t="s">
        <v>25</v>
      </c>
      <c r="K18">
        <f t="shared" si="7"/>
        <v>92.5</v>
      </c>
      <c r="L18" cm="1">
        <f t="array" ref="L18">STOWA2024_JAARROND_T(A18*60,K18,I18,J18,"")</f>
        <v>54.730600477180239</v>
      </c>
      <c r="M18">
        <f t="shared" si="8"/>
        <v>1.8271314242513145E-2</v>
      </c>
    </row>
    <row r="19" spans="1:13" x14ac:dyDescent="0.3">
      <c r="A19">
        <v>24</v>
      </c>
      <c r="B19">
        <f t="shared" si="5"/>
        <v>4.4547337938611563E-3</v>
      </c>
      <c r="C19">
        <f t="shared" si="1"/>
        <v>4.4547337938611563E-3</v>
      </c>
      <c r="D19" t="s">
        <v>27</v>
      </c>
      <c r="E19" t="s">
        <v>21</v>
      </c>
      <c r="F19">
        <v>1</v>
      </c>
      <c r="G19">
        <f t="shared" si="6"/>
        <v>95</v>
      </c>
      <c r="I19">
        <v>2050</v>
      </c>
      <c r="J19" t="s">
        <v>25</v>
      </c>
      <c r="K19">
        <f t="shared" si="7"/>
        <v>97.5</v>
      </c>
      <c r="L19" cm="1">
        <f t="array" ref="L19">STOWA2024_JAARROND_T(A19*60,K19,I19,J19,"")</f>
        <v>72.376808698534717</v>
      </c>
      <c r="M19">
        <f t="shared" si="8"/>
        <v>1.3816580448651989E-2</v>
      </c>
    </row>
    <row r="20" spans="1:13" x14ac:dyDescent="0.3">
      <c r="A20">
        <v>24</v>
      </c>
      <c r="B20">
        <f t="shared" si="5"/>
        <v>3.2599548023264577E-3</v>
      </c>
      <c r="C20">
        <f t="shared" si="1"/>
        <v>3.2599548023264577E-3</v>
      </c>
      <c r="D20" t="s">
        <v>27</v>
      </c>
      <c r="E20" t="s">
        <v>21</v>
      </c>
      <c r="F20">
        <v>1</v>
      </c>
      <c r="G20">
        <f t="shared" si="6"/>
        <v>100</v>
      </c>
      <c r="I20">
        <v>2050</v>
      </c>
      <c r="J20" t="s">
        <v>25</v>
      </c>
      <c r="K20">
        <f t="shared" si="7"/>
        <v>102.5</v>
      </c>
      <c r="L20" cm="1">
        <f t="array" ref="L20">STOWA2024_JAARROND_T(A20*60,K20,I20,J20,"")</f>
        <v>94.727238940036898</v>
      </c>
      <c r="M20">
        <f t="shared" si="8"/>
        <v>1.0556625646325531E-2</v>
      </c>
    </row>
    <row r="21" spans="1:13" x14ac:dyDescent="0.3">
      <c r="A21">
        <v>24</v>
      </c>
      <c r="B21">
        <f t="shared" si="5"/>
        <v>2.4129117365821306E-3</v>
      </c>
      <c r="C21">
        <f t="shared" si="1"/>
        <v>2.4129117365821306E-3</v>
      </c>
      <c r="D21" t="s">
        <v>27</v>
      </c>
      <c r="E21" t="s">
        <v>21</v>
      </c>
      <c r="F21">
        <v>1</v>
      </c>
      <c r="G21">
        <f t="shared" si="6"/>
        <v>105</v>
      </c>
      <c r="I21">
        <v>2050</v>
      </c>
      <c r="J21" t="s">
        <v>25</v>
      </c>
      <c r="K21">
        <f t="shared" si="7"/>
        <v>107.5</v>
      </c>
      <c r="L21" cm="1">
        <f t="array" ref="L21">STOWA2024_JAARROND_T(A21*60,K21,I21,J21,"")</f>
        <v>122.79409751901622</v>
      </c>
      <c r="M21">
        <f t="shared" si="8"/>
        <v>8.1437139097434007E-3</v>
      </c>
    </row>
    <row r="22" spans="1:13" x14ac:dyDescent="0.3">
      <c r="A22">
        <v>24</v>
      </c>
      <c r="B22">
        <f t="shared" si="5"/>
        <v>1.804943706109661E-3</v>
      </c>
      <c r="C22">
        <f t="shared" si="1"/>
        <v>1.804943706109661E-3</v>
      </c>
      <c r="D22" t="s">
        <v>27</v>
      </c>
      <c r="E22" t="s">
        <v>21</v>
      </c>
      <c r="F22">
        <v>1</v>
      </c>
      <c r="G22">
        <f t="shared" si="6"/>
        <v>110</v>
      </c>
      <c r="I22">
        <v>2050</v>
      </c>
      <c r="J22" t="s">
        <v>25</v>
      </c>
      <c r="K22">
        <f t="shared" si="7"/>
        <v>112.5</v>
      </c>
      <c r="L22" cm="1">
        <f t="array" ref="L22">STOWA2024_JAARROND_T(A22*60,K22,I22,J22,"")</f>
        <v>157.75930785860382</v>
      </c>
      <c r="M22">
        <f t="shared" si="8"/>
        <v>6.3387702036337397E-3</v>
      </c>
    </row>
    <row r="23" spans="1:13" x14ac:dyDescent="0.3">
      <c r="A23">
        <v>24</v>
      </c>
      <c r="B23">
        <f t="shared" si="5"/>
        <v>1.3635708028832154E-3</v>
      </c>
      <c r="C23">
        <f t="shared" si="1"/>
        <v>1.3635708028832154E-3</v>
      </c>
      <c r="D23" t="s">
        <v>27</v>
      </c>
      <c r="E23" t="s">
        <v>21</v>
      </c>
      <c r="F23">
        <v>1</v>
      </c>
      <c r="G23">
        <f t="shared" si="6"/>
        <v>115</v>
      </c>
      <c r="I23">
        <v>2050</v>
      </c>
      <c r="J23" t="s">
        <v>25</v>
      </c>
      <c r="K23">
        <f t="shared" si="7"/>
        <v>117.5</v>
      </c>
      <c r="L23" cm="1">
        <f t="array" ref="L23">STOWA2024_JAARROND_T(A23*60,K23,I23,J23,"")</f>
        <v>200.99696905598333</v>
      </c>
      <c r="M23">
        <f t="shared" si="8"/>
        <v>4.9751994007505244E-3</v>
      </c>
    </row>
    <row r="24" spans="1:13" x14ac:dyDescent="0.3">
      <c r="A24">
        <v>24</v>
      </c>
      <c r="B24">
        <f t="shared" si="5"/>
        <v>1.0395662147261132E-3</v>
      </c>
      <c r="C24">
        <f t="shared" si="1"/>
        <v>1.0395662147261132E-3</v>
      </c>
      <c r="D24" t="s">
        <v>27</v>
      </c>
      <c r="E24" t="s">
        <v>21</v>
      </c>
      <c r="F24">
        <v>1</v>
      </c>
      <c r="G24">
        <f t="shared" si="6"/>
        <v>120</v>
      </c>
      <c r="I24">
        <v>2050</v>
      </c>
      <c r="J24" t="s">
        <v>25</v>
      </c>
      <c r="K24">
        <f t="shared" si="7"/>
        <v>122.5</v>
      </c>
      <c r="L24" cm="1">
        <f t="array" ref="L24">STOWA2024_JAARROND_T(A24*60,K24,I24,J24,"")</f>
        <v>254.08872034899989</v>
      </c>
      <c r="M24">
        <f t="shared" si="8"/>
        <v>3.9356331860244112E-3</v>
      </c>
    </row>
    <row r="25" spans="1:13" x14ac:dyDescent="0.3">
      <c r="A25">
        <v>24</v>
      </c>
      <c r="B25">
        <f t="shared" si="5"/>
        <v>7.9949005647653691E-4</v>
      </c>
      <c r="C25">
        <f t="shared" si="1"/>
        <v>7.9949005647653691E-4</v>
      </c>
      <c r="D25" t="s">
        <v>27</v>
      </c>
      <c r="E25" t="s">
        <v>21</v>
      </c>
      <c r="F25">
        <v>1</v>
      </c>
      <c r="G25">
        <f t="shared" si="6"/>
        <v>125</v>
      </c>
      <c r="I25">
        <v>2050</v>
      </c>
      <c r="J25" t="s">
        <v>25</v>
      </c>
      <c r="K25">
        <f t="shared" si="7"/>
        <v>127.5</v>
      </c>
      <c r="L25" cm="1">
        <f t="array" ref="L25">STOWA2024_JAARROND_T(A25*60,K25,I25,J25,"")</f>
        <v>318.86299785818966</v>
      </c>
      <c r="M25">
        <f t="shared" si="8"/>
        <v>3.1361431295478743E-3</v>
      </c>
    </row>
    <row r="26" spans="1:13" x14ac:dyDescent="0.3">
      <c r="A26">
        <v>24</v>
      </c>
      <c r="B26">
        <f t="shared" si="5"/>
        <v>6.1982953779003442E-4</v>
      </c>
      <c r="C26">
        <f t="shared" si="1"/>
        <v>6.1982953779003442E-4</v>
      </c>
      <c r="D26" t="s">
        <v>27</v>
      </c>
      <c r="E26" t="s">
        <v>21</v>
      </c>
      <c r="F26">
        <v>1</v>
      </c>
      <c r="G26">
        <f t="shared" si="6"/>
        <v>130</v>
      </c>
      <c r="I26">
        <v>2050</v>
      </c>
      <c r="J26" t="s">
        <v>25</v>
      </c>
      <c r="K26">
        <f t="shared" si="7"/>
        <v>132.5</v>
      </c>
      <c r="L26" cm="1">
        <f t="array" ref="L26">STOWA2024_JAARROND_T(A26*60,K26,I26,J26,"")</f>
        <v>397.40674742428371</v>
      </c>
      <c r="M26">
        <f t="shared" si="8"/>
        <v>2.5163135917578398E-3</v>
      </c>
    </row>
    <row r="27" spans="1:13" x14ac:dyDescent="0.3">
      <c r="A27">
        <v>24</v>
      </c>
      <c r="B27">
        <f t="shared" si="5"/>
        <v>4.8421119879190917E-4</v>
      </c>
      <c r="C27">
        <f t="shared" si="1"/>
        <v>4.8421119879190917E-4</v>
      </c>
      <c r="D27" t="s">
        <v>27</v>
      </c>
      <c r="E27" t="s">
        <v>21</v>
      </c>
      <c r="F27">
        <v>1</v>
      </c>
      <c r="G27">
        <f t="shared" si="6"/>
        <v>135</v>
      </c>
      <c r="I27">
        <v>2050</v>
      </c>
      <c r="J27" t="s">
        <v>25</v>
      </c>
      <c r="K27">
        <f t="shared" si="7"/>
        <v>137.5</v>
      </c>
      <c r="L27" cm="1">
        <f t="array" ref="L27">STOWA2024_JAARROND_T(A27*60,K27,I27,J27,"")</f>
        <v>492.10118715546713</v>
      </c>
      <c r="M27">
        <f t="shared" si="8"/>
        <v>2.0321023929659307E-3</v>
      </c>
    </row>
    <row r="28" spans="1:13" x14ac:dyDescent="0.3">
      <c r="A28">
        <v>24</v>
      </c>
      <c r="B28">
        <f t="shared" si="5"/>
        <v>3.80985915703779E-4</v>
      </c>
      <c r="C28">
        <f t="shared" si="1"/>
        <v>3.80985915703779E-4</v>
      </c>
      <c r="D28" t="s">
        <v>27</v>
      </c>
      <c r="E28" t="s">
        <v>21</v>
      </c>
      <c r="F28">
        <v>1</v>
      </c>
      <c r="G28">
        <f t="shared" si="6"/>
        <v>140</v>
      </c>
      <c r="I28">
        <v>2050</v>
      </c>
      <c r="J28" t="s">
        <v>25</v>
      </c>
      <c r="K28">
        <f t="shared" si="7"/>
        <v>142.5</v>
      </c>
      <c r="L28" cm="1">
        <f t="array" ref="L28">STOWA2024_JAARROND_T(A28*60,K28,I28,J28,"")</f>
        <v>605.65079070507488</v>
      </c>
      <c r="M28">
        <f t="shared" si="8"/>
        <v>1.6511164772621517E-3</v>
      </c>
    </row>
    <row r="29" spans="1:13" x14ac:dyDescent="0.3">
      <c r="A29">
        <v>24</v>
      </c>
      <c r="B29">
        <f t="shared" si="5"/>
        <v>3.0179981266463692E-4</v>
      </c>
      <c r="C29">
        <f t="shared" si="1"/>
        <v>3.0179981266463692E-4</v>
      </c>
      <c r="D29" t="s">
        <v>27</v>
      </c>
      <c r="E29" t="s">
        <v>21</v>
      </c>
      <c r="F29">
        <v>1</v>
      </c>
      <c r="G29">
        <f t="shared" si="6"/>
        <v>145</v>
      </c>
      <c r="I29">
        <v>2050</v>
      </c>
      <c r="J29" t="s">
        <v>25</v>
      </c>
      <c r="K29">
        <f t="shared" si="7"/>
        <v>147.5</v>
      </c>
      <c r="L29" cm="1">
        <f t="array" ref="L29">STOWA2024_JAARROND_T(A29*60,K29,I29,J29,"")</f>
        <v>741.11587460330384</v>
      </c>
      <c r="M29">
        <f t="shared" si="8"/>
        <v>1.3493166645975148E-3</v>
      </c>
    </row>
    <row r="30" spans="1:13" x14ac:dyDescent="0.3">
      <c r="A30">
        <v>24</v>
      </c>
      <c r="B30">
        <f t="shared" si="5"/>
        <v>2.4060455870118509E-4</v>
      </c>
      <c r="C30">
        <f t="shared" si="1"/>
        <v>2.4060455870118509E-4</v>
      </c>
      <c r="D30" t="s">
        <v>27</v>
      </c>
      <c r="E30" t="s">
        <v>21</v>
      </c>
      <c r="F30">
        <v>1</v>
      </c>
      <c r="G30">
        <f t="shared" si="6"/>
        <v>150</v>
      </c>
      <c r="I30">
        <v>2050</v>
      </c>
      <c r="J30" t="s">
        <v>25</v>
      </c>
      <c r="K30">
        <f t="shared" si="7"/>
        <v>152.5</v>
      </c>
      <c r="L30" cm="1">
        <f t="array" ref="L30">STOWA2024_JAARROND_T(A30*60,K30,I30,J30,"")</f>
        <v>901.94739886199568</v>
      </c>
      <c r="M30">
        <f t="shared" si="8"/>
        <v>1.1087121058963297E-3</v>
      </c>
    </row>
    <row r="31" spans="1:13" x14ac:dyDescent="0.3">
      <c r="A31">
        <v>24</v>
      </c>
      <c r="B31">
        <f t="shared" si="5"/>
        <v>1.9297655924016555E-4</v>
      </c>
      <c r="C31">
        <f t="shared" si="1"/>
        <v>1.9297655924016555E-4</v>
      </c>
      <c r="D31" t="s">
        <v>27</v>
      </c>
      <c r="E31" t="s">
        <v>21</v>
      </c>
      <c r="F31">
        <v>1</v>
      </c>
      <c r="G31">
        <f t="shared" si="6"/>
        <v>155</v>
      </c>
      <c r="I31">
        <v>2050</v>
      </c>
      <c r="J31" t="s">
        <v>25</v>
      </c>
      <c r="K31">
        <f t="shared" si="7"/>
        <v>157.5</v>
      </c>
      <c r="L31" cm="1">
        <f t="array" ref="L31">STOWA2024_JAARROND_T(A31*60,K31,I31,J31,"")</f>
        <v>1092.0183273997936</v>
      </c>
      <c r="M31">
        <f t="shared" si="8"/>
        <v>9.1573554665616412E-4</v>
      </c>
    </row>
    <row r="32" spans="1:13" x14ac:dyDescent="0.3">
      <c r="A32">
        <v>24</v>
      </c>
      <c r="B32" s="1">
        <f>M31</f>
        <v>9.1573554665616412E-4</v>
      </c>
      <c r="C32">
        <f t="shared" si="1"/>
        <v>9.1573554665616412E-4</v>
      </c>
      <c r="D32" t="s">
        <v>27</v>
      </c>
      <c r="E32" t="s">
        <v>21</v>
      </c>
      <c r="F32">
        <v>1</v>
      </c>
      <c r="G32">
        <f t="shared" si="6"/>
        <v>160</v>
      </c>
      <c r="I32">
        <v>2050</v>
      </c>
      <c r="J32" t="s">
        <v>25</v>
      </c>
      <c r="K32">
        <f>AVERAGE(G32:G33)</f>
        <v>85</v>
      </c>
      <c r="L32" cm="1">
        <f t="array" ref="L32">STOWA2024_JAARROND_T(A32*60,K32,I32,J32,"")</f>
        <v>35.232714062269046</v>
      </c>
      <c r="M32">
        <f>1/L32</f>
        <v>2.8382712675289096E-2</v>
      </c>
    </row>
    <row r="33" spans="1:13" x14ac:dyDescent="0.3">
      <c r="A33">
        <v>48</v>
      </c>
      <c r="B33" s="1">
        <f>365.25*24/A33 - M33</f>
        <v>154.77790917648761</v>
      </c>
      <c r="C33">
        <f>B33</f>
        <v>154.77790917648761</v>
      </c>
      <c r="D33" t="s">
        <v>27</v>
      </c>
      <c r="E33" t="s">
        <v>21</v>
      </c>
      <c r="F33">
        <v>1</v>
      </c>
      <c r="G33">
        <v>10</v>
      </c>
      <c r="I33">
        <v>2050</v>
      </c>
      <c r="J33" t="s">
        <v>25</v>
      </c>
      <c r="K33">
        <f>AVERAGE(G33:G35)</f>
        <v>15</v>
      </c>
      <c r="L33" cm="1">
        <f t="array" ref="L33">STOWA2024_JAARROND_T(A33*60,K33,I33,J33,"")</f>
        <v>3.5910393884148954E-2</v>
      </c>
      <c r="M33">
        <f>1/L33</f>
        <v>27.847090823512396</v>
      </c>
    </row>
    <row r="34" spans="1:13" x14ac:dyDescent="0.3">
      <c r="A34">
        <v>48</v>
      </c>
      <c r="B34">
        <f t="shared" ref="B34:B38" si="9">M33-M34</f>
        <v>7.1842782744438836</v>
      </c>
      <c r="C34">
        <f t="shared" ref="C34:C63" si="10">B34</f>
        <v>7.1842782744438836</v>
      </c>
      <c r="D34" t="s">
        <v>27</v>
      </c>
      <c r="E34" t="s">
        <v>21</v>
      </c>
      <c r="F34">
        <v>1</v>
      </c>
      <c r="G34">
        <f t="shared" ref="G34:G38" si="11">G33+5</f>
        <v>15</v>
      </c>
      <c r="I34">
        <v>2050</v>
      </c>
      <c r="J34" t="s">
        <v>25</v>
      </c>
      <c r="K34">
        <f t="shared" ref="K34:K38" si="12">AVERAGE(G34:G35)</f>
        <v>17.5</v>
      </c>
      <c r="L34" cm="1">
        <f t="array" ref="L34">STOWA2024_JAARROND_T(A34*60,K34,I34,J34,"")</f>
        <v>4.8396122145776349E-2</v>
      </c>
      <c r="M34">
        <f t="shared" ref="M34:M38" si="13">1/L34</f>
        <v>20.662812549068512</v>
      </c>
    </row>
    <row r="35" spans="1:13" x14ac:dyDescent="0.3">
      <c r="A35">
        <v>48</v>
      </c>
      <c r="B35">
        <f t="shared" si="9"/>
        <v>8.9902377725080278</v>
      </c>
      <c r="C35">
        <f t="shared" si="10"/>
        <v>8.9902377725080278</v>
      </c>
      <c r="D35" t="s">
        <v>27</v>
      </c>
      <c r="E35" t="s">
        <v>21</v>
      </c>
      <c r="F35">
        <v>1</v>
      </c>
      <c r="G35">
        <f t="shared" si="11"/>
        <v>20</v>
      </c>
      <c r="I35">
        <v>2050</v>
      </c>
      <c r="J35" t="s">
        <v>25</v>
      </c>
      <c r="K35">
        <f t="shared" si="12"/>
        <v>22.5</v>
      </c>
      <c r="L35" cm="1">
        <f t="array" ref="L35">STOWA2024_JAARROND_T(A35*60,K35,I35,J35,"")</f>
        <v>8.5670901162962304E-2</v>
      </c>
      <c r="M35">
        <f t="shared" si="13"/>
        <v>11.672574776560484</v>
      </c>
    </row>
    <row r="36" spans="1:13" x14ac:dyDescent="0.3">
      <c r="A36">
        <v>48</v>
      </c>
      <c r="B36">
        <f t="shared" si="9"/>
        <v>4.8702156250445983</v>
      </c>
      <c r="C36">
        <f t="shared" si="10"/>
        <v>4.8702156250445983</v>
      </c>
      <c r="D36" t="s">
        <v>27</v>
      </c>
      <c r="E36" t="s">
        <v>21</v>
      </c>
      <c r="F36">
        <v>1</v>
      </c>
      <c r="G36">
        <f t="shared" si="11"/>
        <v>25</v>
      </c>
      <c r="I36">
        <v>2050</v>
      </c>
      <c r="J36" t="s">
        <v>25</v>
      </c>
      <c r="K36">
        <f t="shared" si="12"/>
        <v>27.5</v>
      </c>
      <c r="L36" cm="1">
        <f t="array" ref="L36">STOWA2024_JAARROND_T(A36*60,K36,I36,J36,"")</f>
        <v>0.14700782151103459</v>
      </c>
      <c r="M36">
        <f t="shared" si="13"/>
        <v>6.8023591515158861</v>
      </c>
    </row>
    <row r="37" spans="1:13" x14ac:dyDescent="0.3">
      <c r="A37">
        <v>48</v>
      </c>
      <c r="B37">
        <f t="shared" si="9"/>
        <v>2.7259213610423272</v>
      </c>
      <c r="C37">
        <f t="shared" si="10"/>
        <v>2.7259213610423272</v>
      </c>
      <c r="D37" t="s">
        <v>27</v>
      </c>
      <c r="E37" t="s">
        <v>21</v>
      </c>
      <c r="F37">
        <v>1</v>
      </c>
      <c r="G37">
        <f t="shared" si="11"/>
        <v>30</v>
      </c>
      <c r="I37">
        <v>2050</v>
      </c>
      <c r="J37" t="s">
        <v>25</v>
      </c>
      <c r="K37">
        <f t="shared" si="12"/>
        <v>32.5</v>
      </c>
      <c r="L37" cm="1">
        <f t="array" ref="L37">STOWA2024_JAARROND_T(A37*60,K37,I37,J37,"")</f>
        <v>0.24531221900085229</v>
      </c>
      <c r="M37">
        <f t="shared" si="13"/>
        <v>4.0764377904735589</v>
      </c>
    </row>
    <row r="38" spans="1:13" x14ac:dyDescent="0.3">
      <c r="A38">
        <v>48</v>
      </c>
      <c r="B38">
        <f t="shared" si="9"/>
        <v>1.5713185996661112</v>
      </c>
      <c r="C38">
        <f t="shared" si="10"/>
        <v>1.5713185996661112</v>
      </c>
      <c r="D38" t="s">
        <v>27</v>
      </c>
      <c r="E38" t="s">
        <v>21</v>
      </c>
      <c r="F38">
        <v>1</v>
      </c>
      <c r="G38">
        <f t="shared" si="11"/>
        <v>35</v>
      </c>
      <c r="I38">
        <v>2050</v>
      </c>
      <c r="J38" t="s">
        <v>25</v>
      </c>
      <c r="K38">
        <f t="shared" si="12"/>
        <v>37.5</v>
      </c>
      <c r="L38" cm="1">
        <f t="array" ref="L38">STOWA2024_JAARROND_T(A38*60,K38,I38,J38,"")</f>
        <v>0.39918260323481092</v>
      </c>
      <c r="M38">
        <f t="shared" si="13"/>
        <v>2.5051191908074477</v>
      </c>
    </row>
    <row r="39" spans="1:13" x14ac:dyDescent="0.3">
      <c r="A39">
        <v>48</v>
      </c>
      <c r="B39">
        <f>M38-M39</f>
        <v>0.93013518324040012</v>
      </c>
      <c r="C39">
        <f t="shared" si="10"/>
        <v>0.93013518324040012</v>
      </c>
      <c r="D39" t="s">
        <v>27</v>
      </c>
      <c r="E39" t="s">
        <v>21</v>
      </c>
      <c r="F39">
        <v>1</v>
      </c>
      <c r="G39">
        <f>G38+5</f>
        <v>40</v>
      </c>
      <c r="I39">
        <v>2050</v>
      </c>
      <c r="J39" t="s">
        <v>25</v>
      </c>
      <c r="K39">
        <f>AVERAGE(G39:G40)</f>
        <v>42.5</v>
      </c>
      <c r="L39" cm="1">
        <f t="array" ref="L39">STOWA2024_JAARROND_T(A39*60,K39,I39,J39,"")</f>
        <v>0.63492708192303959</v>
      </c>
      <c r="M39">
        <f>1/L39</f>
        <v>1.5749840075670476</v>
      </c>
    </row>
    <row r="40" spans="1:13" x14ac:dyDescent="0.3">
      <c r="A40">
        <v>48</v>
      </c>
      <c r="B40">
        <f t="shared" ref="B40:B62" si="14">M39-M40</f>
        <v>0.56399763805963921</v>
      </c>
      <c r="C40">
        <f t="shared" si="10"/>
        <v>0.56399763805963921</v>
      </c>
      <c r="D40" t="s">
        <v>27</v>
      </c>
      <c r="E40" t="s">
        <v>21</v>
      </c>
      <c r="F40">
        <v>1</v>
      </c>
      <c r="G40">
        <f t="shared" ref="G40:G63" si="15">G39+5</f>
        <v>45</v>
      </c>
      <c r="I40">
        <v>2050</v>
      </c>
      <c r="J40" t="s">
        <v>25</v>
      </c>
      <c r="K40">
        <f t="shared" ref="K40:K62" si="16">AVERAGE(G40:G41)</f>
        <v>47.5</v>
      </c>
      <c r="L40" cm="1">
        <f t="array" ref="L40">STOWA2024_JAARROND_T(A40*60,K40,I40,J40,"")</f>
        <v>0.98913301915953489</v>
      </c>
      <c r="M40">
        <f t="shared" ref="M40:M62" si="17">1/L40</f>
        <v>1.0109863695074084</v>
      </c>
    </row>
    <row r="41" spans="1:13" x14ac:dyDescent="0.3">
      <c r="A41">
        <v>48</v>
      </c>
      <c r="B41">
        <f t="shared" si="14"/>
        <v>0.34951999833270098</v>
      </c>
      <c r="C41">
        <f t="shared" si="10"/>
        <v>0.34951999833270098</v>
      </c>
      <c r="D41" t="s">
        <v>27</v>
      </c>
      <c r="E41" t="s">
        <v>21</v>
      </c>
      <c r="F41">
        <v>1</v>
      </c>
      <c r="G41">
        <f t="shared" si="15"/>
        <v>50</v>
      </c>
      <c r="I41">
        <v>2050</v>
      </c>
      <c r="J41" t="s">
        <v>25</v>
      </c>
      <c r="K41">
        <f t="shared" si="16"/>
        <v>52.5</v>
      </c>
      <c r="L41" cm="1">
        <f t="array" ref="L41">STOWA2024_JAARROND_T(A41*60,K41,I41,J41,"")</f>
        <v>1.5117926527755083</v>
      </c>
      <c r="M41">
        <f t="shared" si="17"/>
        <v>0.66146637117470741</v>
      </c>
    </row>
    <row r="42" spans="1:13" x14ac:dyDescent="0.3">
      <c r="A42">
        <v>48</v>
      </c>
      <c r="B42">
        <f t="shared" si="14"/>
        <v>0.22112717680391175</v>
      </c>
      <c r="C42">
        <f t="shared" si="10"/>
        <v>0.22112717680391175</v>
      </c>
      <c r="D42" t="s">
        <v>27</v>
      </c>
      <c r="E42" t="s">
        <v>21</v>
      </c>
      <c r="F42">
        <v>1</v>
      </c>
      <c r="G42">
        <f t="shared" si="15"/>
        <v>55</v>
      </c>
      <c r="I42">
        <v>2050</v>
      </c>
      <c r="J42" t="s">
        <v>25</v>
      </c>
      <c r="K42">
        <f t="shared" si="16"/>
        <v>57.5</v>
      </c>
      <c r="L42" cm="1">
        <f t="array" ref="L42">STOWA2024_JAARROND_T(A42*60,K42,I42,J42,"")</f>
        <v>2.2709765852865047</v>
      </c>
      <c r="M42">
        <f t="shared" si="17"/>
        <v>0.44033919437079566</v>
      </c>
    </row>
    <row r="43" spans="1:13" x14ac:dyDescent="0.3">
      <c r="A43">
        <v>48</v>
      </c>
      <c r="B43">
        <f t="shared" si="14"/>
        <v>0.14245808004368449</v>
      </c>
      <c r="C43">
        <f t="shared" si="10"/>
        <v>0.14245808004368449</v>
      </c>
      <c r="D43" t="s">
        <v>27</v>
      </c>
      <c r="E43" t="s">
        <v>21</v>
      </c>
      <c r="F43">
        <v>1</v>
      </c>
      <c r="G43">
        <f t="shared" si="15"/>
        <v>60</v>
      </c>
      <c r="I43">
        <v>2050</v>
      </c>
      <c r="J43" t="s">
        <v>25</v>
      </c>
      <c r="K43">
        <f t="shared" si="16"/>
        <v>62.5</v>
      </c>
      <c r="L43" cm="1">
        <f t="array" ref="L43">STOWA2024_JAARROND_T(A43*60,K43,I43,J43,"")</f>
        <v>3.3570439746034837</v>
      </c>
      <c r="M43">
        <f t="shared" si="17"/>
        <v>0.29788111432711117</v>
      </c>
    </row>
    <row r="44" spans="1:13" x14ac:dyDescent="0.3">
      <c r="A44">
        <v>48</v>
      </c>
      <c r="B44">
        <f t="shared" si="14"/>
        <v>9.3360423295983569E-2</v>
      </c>
      <c r="C44">
        <f t="shared" si="10"/>
        <v>9.3360423295983569E-2</v>
      </c>
      <c r="D44" t="s">
        <v>27</v>
      </c>
      <c r="E44" t="s">
        <v>21</v>
      </c>
      <c r="F44">
        <v>1</v>
      </c>
      <c r="G44">
        <f t="shared" si="15"/>
        <v>65</v>
      </c>
      <c r="I44">
        <v>2050</v>
      </c>
      <c r="J44" t="s">
        <v>25</v>
      </c>
      <c r="K44">
        <f t="shared" si="16"/>
        <v>67.5</v>
      </c>
      <c r="L44" cm="1">
        <f t="array" ref="L44">STOWA2024_JAARROND_T(A44*60,K44,I44,J44,"")</f>
        <v>4.8894808391186304</v>
      </c>
      <c r="M44">
        <f t="shared" si="17"/>
        <v>0.2045206910311276</v>
      </c>
    </row>
    <row r="45" spans="1:13" x14ac:dyDescent="0.3">
      <c r="A45">
        <v>48</v>
      </c>
      <c r="B45">
        <f t="shared" si="14"/>
        <v>6.2156617903042E-2</v>
      </c>
      <c r="C45">
        <f t="shared" si="10"/>
        <v>6.2156617903042E-2</v>
      </c>
      <c r="D45" t="s">
        <v>27</v>
      </c>
      <c r="E45" t="s">
        <v>21</v>
      </c>
      <c r="F45">
        <v>1</v>
      </c>
      <c r="G45">
        <f t="shared" si="15"/>
        <v>70</v>
      </c>
      <c r="I45">
        <v>2050</v>
      </c>
      <c r="J45" t="s">
        <v>25</v>
      </c>
      <c r="K45">
        <f t="shared" si="16"/>
        <v>72.5</v>
      </c>
      <c r="L45" cm="1">
        <f t="array" ref="L45">STOWA2024_JAARROND_T(A45*60,K45,I45,J45,"")</f>
        <v>7.0242440949290303</v>
      </c>
      <c r="M45">
        <f t="shared" si="17"/>
        <v>0.14236407312808561</v>
      </c>
    </row>
    <row r="46" spans="1:13" x14ac:dyDescent="0.3">
      <c r="A46">
        <v>48</v>
      </c>
      <c r="B46">
        <f t="shared" si="14"/>
        <v>4.1992185212605365E-2</v>
      </c>
      <c r="C46">
        <f t="shared" si="10"/>
        <v>4.1992185212605365E-2</v>
      </c>
      <c r="D46" t="s">
        <v>27</v>
      </c>
      <c r="E46" t="s">
        <v>21</v>
      </c>
      <c r="F46">
        <v>1</v>
      </c>
      <c r="G46">
        <f t="shared" si="15"/>
        <v>75</v>
      </c>
      <c r="I46">
        <v>2050</v>
      </c>
      <c r="J46" t="s">
        <v>25</v>
      </c>
      <c r="K46">
        <f t="shared" si="16"/>
        <v>77.5</v>
      </c>
      <c r="L46" cm="1">
        <f t="array" ref="L46">STOWA2024_JAARROND_T(A46*60,K46,I46,J46,"")</f>
        <v>9.9629489966559763</v>
      </c>
      <c r="M46">
        <f t="shared" si="17"/>
        <v>0.10037188791548024</v>
      </c>
    </row>
    <row r="47" spans="1:13" x14ac:dyDescent="0.3">
      <c r="A47">
        <v>48</v>
      </c>
      <c r="B47">
        <f t="shared" si="14"/>
        <v>2.8757734251030814E-2</v>
      </c>
      <c r="C47">
        <f t="shared" si="10"/>
        <v>2.8757734251030814E-2</v>
      </c>
      <c r="D47" t="s">
        <v>27</v>
      </c>
      <c r="E47" t="s">
        <v>21</v>
      </c>
      <c r="F47">
        <v>1</v>
      </c>
      <c r="G47">
        <f t="shared" si="15"/>
        <v>80</v>
      </c>
      <c r="I47">
        <v>2050</v>
      </c>
      <c r="J47" t="s">
        <v>25</v>
      </c>
      <c r="K47">
        <f t="shared" si="16"/>
        <v>82.5</v>
      </c>
      <c r="L47" cm="1">
        <f t="array" ref="L47">STOWA2024_JAARROND_T(A47*60,K47,I47,J47,"")</f>
        <v>13.963720142327372</v>
      </c>
      <c r="M47">
        <f t="shared" si="17"/>
        <v>7.1614153664449426E-2</v>
      </c>
    </row>
    <row r="48" spans="1:13" x14ac:dyDescent="0.3">
      <c r="A48">
        <v>48</v>
      </c>
      <c r="B48">
        <f t="shared" si="14"/>
        <v>1.9946904221220751E-2</v>
      </c>
      <c r="C48">
        <f t="shared" si="10"/>
        <v>1.9946904221220751E-2</v>
      </c>
      <c r="D48" t="s">
        <v>27</v>
      </c>
      <c r="E48" t="s">
        <v>21</v>
      </c>
      <c r="F48">
        <v>1</v>
      </c>
      <c r="G48">
        <f t="shared" si="15"/>
        <v>85</v>
      </c>
      <c r="I48">
        <v>2050</v>
      </c>
      <c r="J48" t="s">
        <v>25</v>
      </c>
      <c r="K48">
        <f t="shared" si="16"/>
        <v>87.5</v>
      </c>
      <c r="L48" cm="1">
        <f t="array" ref="L48">STOWA2024_JAARROND_T(A48*60,K48,I48,J48,"")</f>
        <v>19.354620398339328</v>
      </c>
      <c r="M48">
        <f t="shared" si="17"/>
        <v>5.1667249443228674E-2</v>
      </c>
    </row>
    <row r="49" spans="1:13" x14ac:dyDescent="0.3">
      <c r="A49">
        <v>48</v>
      </c>
      <c r="B49">
        <f t="shared" si="14"/>
        <v>1.4000904099453114E-2</v>
      </c>
      <c r="C49">
        <f t="shared" si="10"/>
        <v>1.4000904099453114E-2</v>
      </c>
      <c r="D49" t="s">
        <v>27</v>
      </c>
      <c r="E49" t="s">
        <v>21</v>
      </c>
      <c r="F49">
        <v>1</v>
      </c>
      <c r="G49">
        <f t="shared" si="15"/>
        <v>90</v>
      </c>
      <c r="I49">
        <v>2050</v>
      </c>
      <c r="J49" t="s">
        <v>25</v>
      </c>
      <c r="K49">
        <f t="shared" si="16"/>
        <v>92.5</v>
      </c>
      <c r="L49" cm="1">
        <f t="array" ref="L49">STOWA2024_JAARROND_T(A49*60,K49,I49,J49,"")</f>
        <v>26.548899046964532</v>
      </c>
      <c r="M49">
        <f t="shared" si="17"/>
        <v>3.766634534377556E-2</v>
      </c>
    </row>
    <row r="50" spans="1:13" x14ac:dyDescent="0.3">
      <c r="A50">
        <v>48</v>
      </c>
      <c r="B50">
        <f t="shared" si="14"/>
        <v>9.9373690497020634E-3</v>
      </c>
      <c r="C50">
        <f t="shared" si="10"/>
        <v>9.9373690497020634E-3</v>
      </c>
      <c r="D50" t="s">
        <v>27</v>
      </c>
      <c r="E50" t="s">
        <v>21</v>
      </c>
      <c r="F50">
        <v>1</v>
      </c>
      <c r="G50">
        <f t="shared" si="15"/>
        <v>95</v>
      </c>
      <c r="I50">
        <v>2050</v>
      </c>
      <c r="J50" t="s">
        <v>25</v>
      </c>
      <c r="K50">
        <f t="shared" si="16"/>
        <v>97.5</v>
      </c>
      <c r="L50" cm="1">
        <f t="array" ref="L50">STOWA2024_JAARROND_T(A50*60,K50,I50,J50,"")</f>
        <v>36.063358033658446</v>
      </c>
      <c r="M50">
        <f t="shared" si="17"/>
        <v>2.7728976294073497E-2</v>
      </c>
    </row>
    <row r="51" spans="1:13" x14ac:dyDescent="0.3">
      <c r="A51">
        <v>48</v>
      </c>
      <c r="B51">
        <f t="shared" si="14"/>
        <v>7.1273220409000942E-3</v>
      </c>
      <c r="C51">
        <f t="shared" si="10"/>
        <v>7.1273220409000942E-3</v>
      </c>
      <c r="D51" t="s">
        <v>27</v>
      </c>
      <c r="E51" t="s">
        <v>21</v>
      </c>
      <c r="F51">
        <v>1</v>
      </c>
      <c r="G51">
        <f t="shared" si="15"/>
        <v>100</v>
      </c>
      <c r="I51">
        <v>2050</v>
      </c>
      <c r="J51" t="s">
        <v>25</v>
      </c>
      <c r="K51">
        <f t="shared" si="16"/>
        <v>102.5</v>
      </c>
      <c r="L51" cm="1">
        <f t="array" ref="L51">STOWA2024_JAARROND_T(A51*60,K51,I51,J51,"")</f>
        <v>48.539791402720184</v>
      </c>
      <c r="M51">
        <f t="shared" si="17"/>
        <v>2.0601654253173403E-2</v>
      </c>
    </row>
    <row r="52" spans="1:13" x14ac:dyDescent="0.3">
      <c r="A52">
        <v>48</v>
      </c>
      <c r="B52">
        <f t="shared" si="14"/>
        <v>5.162405600128258E-3</v>
      </c>
      <c r="C52">
        <f t="shared" si="10"/>
        <v>5.162405600128258E-3</v>
      </c>
      <c r="D52" t="s">
        <v>27</v>
      </c>
      <c r="E52" t="s">
        <v>21</v>
      </c>
      <c r="F52">
        <v>1</v>
      </c>
      <c r="G52">
        <f t="shared" si="15"/>
        <v>105</v>
      </c>
      <c r="I52">
        <v>2050</v>
      </c>
      <c r="J52" t="s">
        <v>25</v>
      </c>
      <c r="K52">
        <f t="shared" si="16"/>
        <v>107.5</v>
      </c>
      <c r="L52" cm="1">
        <f t="array" ref="L52">STOWA2024_JAARROND_T(A52*60,K52,I52,J52,"")</f>
        <v>64.769991239357751</v>
      </c>
      <c r="M52">
        <f t="shared" si="17"/>
        <v>1.5439248653045145E-2</v>
      </c>
    </row>
    <row r="53" spans="1:13" x14ac:dyDescent="0.3">
      <c r="A53">
        <v>48</v>
      </c>
      <c r="B53">
        <f t="shared" si="14"/>
        <v>3.7740098706767044E-3</v>
      </c>
      <c r="C53">
        <f t="shared" si="10"/>
        <v>3.7740098706767044E-3</v>
      </c>
      <c r="D53" t="s">
        <v>27</v>
      </c>
      <c r="E53" t="s">
        <v>21</v>
      </c>
      <c r="F53">
        <v>1</v>
      </c>
      <c r="G53">
        <f t="shared" si="15"/>
        <v>110</v>
      </c>
      <c r="I53">
        <v>2050</v>
      </c>
      <c r="J53" t="s">
        <v>25</v>
      </c>
      <c r="K53">
        <f t="shared" si="16"/>
        <v>112.5</v>
      </c>
      <c r="L53" cm="1">
        <f t="array" ref="L53">STOWA2024_JAARROND_T(A53*60,K53,I53,J53,"")</f>
        <v>85.724777576903222</v>
      </c>
      <c r="M53">
        <f t="shared" si="17"/>
        <v>1.1665238782368441E-2</v>
      </c>
    </row>
    <row r="54" spans="1:13" x14ac:dyDescent="0.3">
      <c r="A54">
        <v>48</v>
      </c>
      <c r="B54">
        <f t="shared" si="14"/>
        <v>2.7831986113056092E-3</v>
      </c>
      <c r="C54">
        <f t="shared" si="10"/>
        <v>2.7831986113056092E-3</v>
      </c>
      <c r="D54" t="s">
        <v>27</v>
      </c>
      <c r="E54" t="s">
        <v>21</v>
      </c>
      <c r="F54">
        <v>1</v>
      </c>
      <c r="G54">
        <f t="shared" si="15"/>
        <v>115</v>
      </c>
      <c r="I54">
        <v>2050</v>
      </c>
      <c r="J54" t="s">
        <v>25</v>
      </c>
      <c r="K54">
        <f t="shared" si="16"/>
        <v>117.5</v>
      </c>
      <c r="L54" cm="1">
        <f t="array" ref="L54">STOWA2024_JAARROND_T(A54*60,K54,I54,J54,"")</f>
        <v>112.58674592104883</v>
      </c>
      <c r="M54">
        <f t="shared" si="17"/>
        <v>8.8820401710628313E-3</v>
      </c>
    </row>
    <row r="55" spans="1:13" x14ac:dyDescent="0.3">
      <c r="A55">
        <v>48</v>
      </c>
      <c r="B55">
        <f t="shared" si="14"/>
        <v>2.069679215556018E-3</v>
      </c>
      <c r="C55">
        <f t="shared" si="10"/>
        <v>2.069679215556018E-3</v>
      </c>
      <c r="D55" t="s">
        <v>27</v>
      </c>
      <c r="E55" t="s">
        <v>21</v>
      </c>
      <c r="F55">
        <v>1</v>
      </c>
      <c r="G55">
        <f t="shared" si="15"/>
        <v>120</v>
      </c>
      <c r="I55">
        <v>2050</v>
      </c>
      <c r="J55" t="s">
        <v>25</v>
      </c>
      <c r="K55">
        <f t="shared" si="16"/>
        <v>122.5</v>
      </c>
      <c r="L55" cm="1">
        <f t="array" ref="L55">STOWA2024_JAARROND_T(A55*60,K55,I55,J55,"")</f>
        <v>146.79198687962122</v>
      </c>
      <c r="M55">
        <f t="shared" si="17"/>
        <v>6.8123609555068134E-3</v>
      </c>
    </row>
    <row r="56" spans="1:13" x14ac:dyDescent="0.3">
      <c r="A56">
        <v>48</v>
      </c>
      <c r="B56">
        <f t="shared" si="14"/>
        <v>1.5511040283754975E-3</v>
      </c>
      <c r="C56">
        <f t="shared" si="10"/>
        <v>1.5511040283754975E-3</v>
      </c>
      <c r="D56" t="s">
        <v>27</v>
      </c>
      <c r="E56" t="s">
        <v>21</v>
      </c>
      <c r="F56">
        <v>1</v>
      </c>
      <c r="G56">
        <f t="shared" si="15"/>
        <v>125</v>
      </c>
      <c r="I56">
        <v>2050</v>
      </c>
      <c r="J56" t="s">
        <v>25</v>
      </c>
      <c r="K56">
        <f t="shared" si="16"/>
        <v>127.5</v>
      </c>
      <c r="L56" cm="1">
        <f t="array" ref="L56">STOWA2024_JAARROND_T(A56*60,K56,I56,J56,"")</f>
        <v>190.0686497257314</v>
      </c>
      <c r="M56">
        <f t="shared" si="17"/>
        <v>5.2612569271313159E-3</v>
      </c>
    </row>
    <row r="57" spans="1:13" x14ac:dyDescent="0.3">
      <c r="A57">
        <v>48</v>
      </c>
      <c r="B57">
        <f t="shared" si="14"/>
        <v>1.1711980607316879E-3</v>
      </c>
      <c r="C57">
        <f t="shared" si="10"/>
        <v>1.1711980607316879E-3</v>
      </c>
      <c r="D57" t="s">
        <v>27</v>
      </c>
      <c r="E57" t="s">
        <v>21</v>
      </c>
      <c r="F57">
        <v>1</v>
      </c>
      <c r="G57">
        <f t="shared" si="15"/>
        <v>130</v>
      </c>
      <c r="I57">
        <v>2050</v>
      </c>
      <c r="J57" t="s">
        <v>25</v>
      </c>
      <c r="K57">
        <f t="shared" si="16"/>
        <v>132.5</v>
      </c>
      <c r="L57" cm="1">
        <f t="array" ref="L57">STOWA2024_JAARROND_T(A57*60,K57,I57,J57,"")</f>
        <v>244.49525854386394</v>
      </c>
      <c r="M57">
        <f t="shared" si="17"/>
        <v>4.090058866399628E-3</v>
      </c>
    </row>
    <row r="58" spans="1:13" x14ac:dyDescent="0.3">
      <c r="A58">
        <v>48</v>
      </c>
      <c r="B58">
        <f t="shared" si="14"/>
        <v>8.9055726630758768E-4</v>
      </c>
      <c r="C58">
        <f t="shared" si="10"/>
        <v>8.9055726630758768E-4</v>
      </c>
      <c r="D58" t="s">
        <v>27</v>
      </c>
      <c r="E58" t="s">
        <v>21</v>
      </c>
      <c r="F58">
        <v>1</v>
      </c>
      <c r="G58">
        <f t="shared" si="15"/>
        <v>135</v>
      </c>
      <c r="I58">
        <v>2050</v>
      </c>
      <c r="J58" t="s">
        <v>25</v>
      </c>
      <c r="K58">
        <f t="shared" si="16"/>
        <v>137.5</v>
      </c>
      <c r="L58" cm="1">
        <f t="array" ref="L58">STOWA2024_JAARROND_T(A58*60,K58,I58,J58,"")</f>
        <v>312.54867944783427</v>
      </c>
      <c r="M58">
        <f t="shared" si="17"/>
        <v>3.1995016000920403E-3</v>
      </c>
    </row>
    <row r="59" spans="1:13" x14ac:dyDescent="0.3">
      <c r="A59">
        <v>48</v>
      </c>
      <c r="B59">
        <f t="shared" si="14"/>
        <v>6.8174417071044206E-4</v>
      </c>
      <c r="C59">
        <f t="shared" si="10"/>
        <v>6.8174417071044206E-4</v>
      </c>
      <c r="D59" t="s">
        <v>27</v>
      </c>
      <c r="E59" t="s">
        <v>21</v>
      </c>
      <c r="F59">
        <v>1</v>
      </c>
      <c r="G59">
        <f t="shared" si="15"/>
        <v>140</v>
      </c>
      <c r="I59">
        <v>2050</v>
      </c>
      <c r="J59" t="s">
        <v>25</v>
      </c>
      <c r="K59">
        <f t="shared" si="16"/>
        <v>142.5</v>
      </c>
      <c r="L59" cm="1">
        <f t="array" ref="L59">STOWA2024_JAARROND_T(A59*60,K59,I59,J59,"")</f>
        <v>397.17884984877838</v>
      </c>
      <c r="M59">
        <f t="shared" si="17"/>
        <v>2.5177574293815982E-3</v>
      </c>
    </row>
    <row r="60" spans="1:13" x14ac:dyDescent="0.3">
      <c r="A60">
        <v>48</v>
      </c>
      <c r="B60">
        <f t="shared" si="14"/>
        <v>5.2525054518041351E-4</v>
      </c>
      <c r="C60">
        <f t="shared" si="10"/>
        <v>5.2525054518041351E-4</v>
      </c>
      <c r="D60" t="s">
        <v>27</v>
      </c>
      <c r="E60" t="s">
        <v>21</v>
      </c>
      <c r="F60">
        <v>1</v>
      </c>
      <c r="G60">
        <f t="shared" si="15"/>
        <v>145</v>
      </c>
      <c r="I60">
        <v>2050</v>
      </c>
      <c r="J60" t="s">
        <v>25</v>
      </c>
      <c r="K60">
        <f t="shared" si="16"/>
        <v>147.5</v>
      </c>
      <c r="L60" cm="1">
        <f t="array" ref="L60">STOWA2024_JAARROND_T(A60*60,K60,I60,J60,"")</f>
        <v>501.8803236912828</v>
      </c>
      <c r="M60">
        <f t="shared" si="17"/>
        <v>1.9925068842011847E-3</v>
      </c>
    </row>
    <row r="61" spans="1:13" x14ac:dyDescent="0.3">
      <c r="A61">
        <v>48</v>
      </c>
      <c r="B61">
        <f t="shared" si="14"/>
        <v>4.0713174883495328E-4</v>
      </c>
      <c r="C61">
        <f t="shared" si="10"/>
        <v>4.0713174883495328E-4</v>
      </c>
      <c r="D61" t="s">
        <v>27</v>
      </c>
      <c r="E61" t="s">
        <v>21</v>
      </c>
      <c r="F61">
        <v>1</v>
      </c>
      <c r="G61">
        <f t="shared" si="15"/>
        <v>150</v>
      </c>
      <c r="I61">
        <v>2050</v>
      </c>
      <c r="J61" t="s">
        <v>25</v>
      </c>
      <c r="K61">
        <f t="shared" si="16"/>
        <v>152.5</v>
      </c>
      <c r="L61" cm="1">
        <f t="array" ref="L61">STOWA2024_JAARROND_T(A61*60,K61,I61,J61,"")</f>
        <v>630.76553787945829</v>
      </c>
      <c r="M61">
        <f t="shared" si="17"/>
        <v>1.5853751353662314E-3</v>
      </c>
    </row>
    <row r="62" spans="1:13" x14ac:dyDescent="0.3">
      <c r="A62">
        <v>48</v>
      </c>
      <c r="B62">
        <f t="shared" si="14"/>
        <v>3.1742480452217107E-4</v>
      </c>
      <c r="C62">
        <f t="shared" si="10"/>
        <v>3.1742480452217107E-4</v>
      </c>
      <c r="D62" t="s">
        <v>27</v>
      </c>
      <c r="E62" t="s">
        <v>21</v>
      </c>
      <c r="F62">
        <v>1</v>
      </c>
      <c r="G62">
        <f t="shared" si="15"/>
        <v>155</v>
      </c>
      <c r="I62">
        <v>2050</v>
      </c>
      <c r="J62" t="s">
        <v>25</v>
      </c>
      <c r="K62">
        <f t="shared" si="16"/>
        <v>157.5</v>
      </c>
      <c r="L62" cm="1">
        <f t="array" ref="L62">STOWA2024_JAARROND_T(A62*60,K62,I62,J62,"")</f>
        <v>788.6744264929614</v>
      </c>
      <c r="M62">
        <f t="shared" si="17"/>
        <v>1.2679503308440604E-3</v>
      </c>
    </row>
    <row r="63" spans="1:13" x14ac:dyDescent="0.3">
      <c r="A63">
        <v>48</v>
      </c>
      <c r="B63" s="1">
        <f>M62</f>
        <v>1.2679503308440604E-3</v>
      </c>
      <c r="C63">
        <f t="shared" si="10"/>
        <v>1.2679503308440604E-3</v>
      </c>
      <c r="D63" t="s">
        <v>27</v>
      </c>
      <c r="E63" t="s">
        <v>21</v>
      </c>
      <c r="F63">
        <v>1</v>
      </c>
      <c r="G63">
        <f t="shared" si="15"/>
        <v>160</v>
      </c>
      <c r="I63">
        <v>2050</v>
      </c>
      <c r="J63" t="s">
        <v>25</v>
      </c>
      <c r="K63">
        <f>AVERAGE(G63:G64)</f>
        <v>85</v>
      </c>
      <c r="L63" cm="1">
        <f t="array" ref="L63">STOWA2024_JAARROND_T(A63*60,K63,I63,J63,"")</f>
        <v>16.461774316200621</v>
      </c>
      <c r="M63">
        <f>1/L63</f>
        <v>6.0746793194453176E-2</v>
      </c>
    </row>
    <row r="64" spans="1:13" x14ac:dyDescent="0.3">
      <c r="A64">
        <v>96</v>
      </c>
      <c r="B64" s="1">
        <f>365.25*24/A64 - M64</f>
        <v>48.942438640219869</v>
      </c>
      <c r="C64">
        <f>B64</f>
        <v>48.942438640219869</v>
      </c>
      <c r="D64" t="s">
        <v>27</v>
      </c>
      <c r="E64" t="s">
        <v>21</v>
      </c>
      <c r="F64">
        <v>1</v>
      </c>
      <c r="G64">
        <v>10</v>
      </c>
      <c r="I64">
        <v>2050</v>
      </c>
      <c r="J64" t="s">
        <v>25</v>
      </c>
      <c r="K64">
        <f>AVERAGE(G64:G66)</f>
        <v>15</v>
      </c>
      <c r="L64" cm="1">
        <f t="array" ref="L64">STOWA2024_JAARROND_T(A64*60,K64,I64,J64,"")</f>
        <v>2.360157072959191E-2</v>
      </c>
      <c r="M64">
        <f>1/L64</f>
        <v>42.370061359780131</v>
      </c>
    </row>
    <row r="65" spans="1:13" x14ac:dyDescent="0.3">
      <c r="A65">
        <v>96</v>
      </c>
      <c r="B65">
        <f t="shared" ref="B65:B69" si="18">M64-M65</f>
        <v>8.5448544315285631</v>
      </c>
      <c r="C65">
        <f t="shared" ref="C65:C94" si="19">B65</f>
        <v>8.5448544315285631</v>
      </c>
      <c r="D65" t="s">
        <v>27</v>
      </c>
      <c r="E65" t="s">
        <v>21</v>
      </c>
      <c r="F65">
        <v>1</v>
      </c>
      <c r="G65">
        <f t="shared" ref="G65:G69" si="20">G64+5</f>
        <v>15</v>
      </c>
      <c r="I65">
        <v>2050</v>
      </c>
      <c r="J65" t="s">
        <v>25</v>
      </c>
      <c r="K65">
        <f t="shared" ref="K65:K69" si="21">AVERAGE(G65:G66)</f>
        <v>17.5</v>
      </c>
      <c r="L65" cm="1">
        <f t="array" ref="L65">STOWA2024_JAARROND_T(A65*60,K65,I65,J65,"")</f>
        <v>2.95637511433752E-2</v>
      </c>
      <c r="M65">
        <f t="shared" ref="M65:M69" si="22">1/L65</f>
        <v>33.825206928251568</v>
      </c>
    </row>
    <row r="66" spans="1:13" x14ac:dyDescent="0.3">
      <c r="A66">
        <v>96</v>
      </c>
      <c r="B66">
        <f t="shared" si="18"/>
        <v>12.094170630840392</v>
      </c>
      <c r="C66">
        <f t="shared" si="19"/>
        <v>12.094170630840392</v>
      </c>
      <c r="D66" t="s">
        <v>27</v>
      </c>
      <c r="E66" t="s">
        <v>21</v>
      </c>
      <c r="F66">
        <v>1</v>
      </c>
      <c r="G66">
        <f t="shared" si="20"/>
        <v>20</v>
      </c>
      <c r="I66">
        <v>2050</v>
      </c>
      <c r="J66" t="s">
        <v>25</v>
      </c>
      <c r="K66">
        <f t="shared" si="21"/>
        <v>22.5</v>
      </c>
      <c r="L66" cm="1">
        <f t="array" ref="L66">STOWA2024_JAARROND_T(A66*60,K66,I66,J66,"")</f>
        <v>4.6017133574027036E-2</v>
      </c>
      <c r="M66">
        <f t="shared" si="22"/>
        <v>21.731036297411176</v>
      </c>
    </row>
    <row r="67" spans="1:13" x14ac:dyDescent="0.3">
      <c r="A67">
        <v>96</v>
      </c>
      <c r="B67">
        <f t="shared" si="18"/>
        <v>7.6261606502166845</v>
      </c>
      <c r="C67">
        <f t="shared" si="19"/>
        <v>7.6261606502166845</v>
      </c>
      <c r="D67" t="s">
        <v>27</v>
      </c>
      <c r="E67" t="s">
        <v>21</v>
      </c>
      <c r="F67">
        <v>1</v>
      </c>
      <c r="G67">
        <f t="shared" si="20"/>
        <v>25</v>
      </c>
      <c r="I67">
        <v>2050</v>
      </c>
      <c r="J67" t="s">
        <v>25</v>
      </c>
      <c r="K67">
        <f t="shared" si="21"/>
        <v>27.5</v>
      </c>
      <c r="L67" cm="1">
        <f t="array" ref="L67">STOWA2024_JAARROND_T(A67*60,K67,I67,J67,"")</f>
        <v>7.0897470138200289E-2</v>
      </c>
      <c r="M67">
        <f t="shared" si="22"/>
        <v>14.104875647194492</v>
      </c>
    </row>
    <row r="68" spans="1:13" x14ac:dyDescent="0.3">
      <c r="A68">
        <v>96</v>
      </c>
      <c r="B68">
        <f t="shared" si="18"/>
        <v>4.8595161045469126</v>
      </c>
      <c r="C68">
        <f t="shared" si="19"/>
        <v>4.8595161045469126</v>
      </c>
      <c r="D68" t="s">
        <v>27</v>
      </c>
      <c r="E68" t="s">
        <v>21</v>
      </c>
      <c r="F68">
        <v>1</v>
      </c>
      <c r="G68">
        <f t="shared" si="20"/>
        <v>30</v>
      </c>
      <c r="I68">
        <v>2050</v>
      </c>
      <c r="J68" t="s">
        <v>25</v>
      </c>
      <c r="K68">
        <f t="shared" si="21"/>
        <v>32.5</v>
      </c>
      <c r="L68" cm="1">
        <f t="array" ref="L68">STOWA2024_JAARROND_T(A68*60,K68,I68,J68,"")</f>
        <v>0.10816237003949243</v>
      </c>
      <c r="M68">
        <f t="shared" si="22"/>
        <v>9.245359542647579</v>
      </c>
    </row>
    <row r="69" spans="1:13" x14ac:dyDescent="0.3">
      <c r="A69">
        <v>96</v>
      </c>
      <c r="B69">
        <f t="shared" si="18"/>
        <v>3.1283932617656918</v>
      </c>
      <c r="C69">
        <f t="shared" si="19"/>
        <v>3.1283932617656918</v>
      </c>
      <c r="D69" t="s">
        <v>27</v>
      </c>
      <c r="E69" t="s">
        <v>21</v>
      </c>
      <c r="F69">
        <v>1</v>
      </c>
      <c r="G69">
        <f t="shared" si="20"/>
        <v>35</v>
      </c>
      <c r="I69">
        <v>2050</v>
      </c>
      <c r="J69" t="s">
        <v>25</v>
      </c>
      <c r="K69">
        <f t="shared" si="21"/>
        <v>37.5</v>
      </c>
      <c r="L69" cm="1">
        <f t="array" ref="L69">STOWA2024_JAARROND_T(A69*60,K69,I69,J69,"")</f>
        <v>0.16347973065102941</v>
      </c>
      <c r="M69">
        <f t="shared" si="22"/>
        <v>6.1169662808818872</v>
      </c>
    </row>
    <row r="70" spans="1:13" x14ac:dyDescent="0.3">
      <c r="A70">
        <v>96</v>
      </c>
      <c r="B70">
        <f>M69-M70</f>
        <v>2.0334719109475961</v>
      </c>
      <c r="C70">
        <f t="shared" si="19"/>
        <v>2.0334719109475961</v>
      </c>
      <c r="D70" t="s">
        <v>27</v>
      </c>
      <c r="E70" t="s">
        <v>21</v>
      </c>
      <c r="F70">
        <v>1</v>
      </c>
      <c r="G70">
        <f>G69+5</f>
        <v>40</v>
      </c>
      <c r="I70">
        <v>2050</v>
      </c>
      <c r="J70" t="s">
        <v>25</v>
      </c>
      <c r="K70">
        <f>AVERAGE(G70:G71)</f>
        <v>42.5</v>
      </c>
      <c r="L70" cm="1">
        <f t="array" ref="L70">STOWA2024_JAARROND_T(A70*60,K70,I70,J70,"")</f>
        <v>0.24488830139273374</v>
      </c>
      <c r="M70">
        <f>1/L70</f>
        <v>4.0834943699342912</v>
      </c>
    </row>
    <row r="71" spans="1:13" x14ac:dyDescent="0.3">
      <c r="A71">
        <v>96</v>
      </c>
      <c r="B71">
        <f t="shared" ref="B71:B93" si="23">M70-M71</f>
        <v>1.3339890527484917</v>
      </c>
      <c r="C71">
        <f t="shared" si="19"/>
        <v>1.3339890527484917</v>
      </c>
      <c r="D71" t="s">
        <v>27</v>
      </c>
      <c r="E71" t="s">
        <v>21</v>
      </c>
      <c r="F71">
        <v>1</v>
      </c>
      <c r="G71">
        <f t="shared" ref="G71:G94" si="24">G70+5</f>
        <v>45</v>
      </c>
      <c r="I71">
        <v>2050</v>
      </c>
      <c r="J71" t="s">
        <v>25</v>
      </c>
      <c r="K71">
        <f t="shared" ref="K71:K93" si="25">AVERAGE(G71:G72)</f>
        <v>47.5</v>
      </c>
      <c r="L71" cm="1">
        <f t="array" ref="L71">STOWA2024_JAARROND_T(A71*60,K71,I71,J71,"")</f>
        <v>0.36370178800873526</v>
      </c>
      <c r="M71">
        <f t="shared" ref="M71:M93" si="26">1/L71</f>
        <v>2.7495053171857995</v>
      </c>
    </row>
    <row r="72" spans="1:13" x14ac:dyDescent="0.3">
      <c r="A72">
        <v>96</v>
      </c>
      <c r="B72">
        <f t="shared" si="23"/>
        <v>0.88293598134327733</v>
      </c>
      <c r="C72">
        <f t="shared" si="19"/>
        <v>0.88293598134327733</v>
      </c>
      <c r="D72" t="s">
        <v>27</v>
      </c>
      <c r="E72" t="s">
        <v>21</v>
      </c>
      <c r="F72">
        <v>1</v>
      </c>
      <c r="G72">
        <f t="shared" si="24"/>
        <v>50</v>
      </c>
      <c r="I72">
        <v>2050</v>
      </c>
      <c r="J72" t="s">
        <v>25</v>
      </c>
      <c r="K72">
        <f t="shared" si="25"/>
        <v>52.5</v>
      </c>
      <c r="L72" cm="1">
        <f t="array" ref="L72">STOWA2024_JAARROND_T(A72*60,K72,I72,J72,"")</f>
        <v>0.53574222012418593</v>
      </c>
      <c r="M72">
        <f t="shared" si="26"/>
        <v>1.8665693358425222</v>
      </c>
    </row>
    <row r="73" spans="1:13" x14ac:dyDescent="0.3">
      <c r="A73">
        <v>96</v>
      </c>
      <c r="B73">
        <f t="shared" si="23"/>
        <v>0.58937436109744645</v>
      </c>
      <c r="C73">
        <f t="shared" si="19"/>
        <v>0.58937436109744645</v>
      </c>
      <c r="D73" t="s">
        <v>27</v>
      </c>
      <c r="E73" t="s">
        <v>21</v>
      </c>
      <c r="F73">
        <v>1</v>
      </c>
      <c r="G73">
        <f t="shared" si="24"/>
        <v>55</v>
      </c>
      <c r="I73">
        <v>2050</v>
      </c>
      <c r="J73" t="s">
        <v>25</v>
      </c>
      <c r="K73">
        <f t="shared" si="25"/>
        <v>57.5</v>
      </c>
      <c r="L73" cm="1">
        <f t="array" ref="L73">STOWA2024_JAARROND_T(A73*60,K73,I73,J73,"")</f>
        <v>0.78296581162135959</v>
      </c>
      <c r="M73">
        <f t="shared" si="26"/>
        <v>1.2771949747450757</v>
      </c>
    </row>
    <row r="74" spans="1:13" x14ac:dyDescent="0.3">
      <c r="A74">
        <v>96</v>
      </c>
      <c r="B74">
        <f t="shared" si="23"/>
        <v>0.39654765894080723</v>
      </c>
      <c r="C74">
        <f t="shared" si="19"/>
        <v>0.39654765894080723</v>
      </c>
      <c r="D74" t="s">
        <v>27</v>
      </c>
      <c r="E74" t="s">
        <v>21</v>
      </c>
      <c r="F74">
        <v>1</v>
      </c>
      <c r="G74">
        <f t="shared" si="24"/>
        <v>60</v>
      </c>
      <c r="I74">
        <v>2050</v>
      </c>
      <c r="J74" t="s">
        <v>25</v>
      </c>
      <c r="K74">
        <f t="shared" si="25"/>
        <v>62.5</v>
      </c>
      <c r="L74" cm="1">
        <f t="array" ref="L74">STOWA2024_JAARROND_T(A74*60,K74,I74,J74,"")</f>
        <v>1.1355283574409472</v>
      </c>
      <c r="M74">
        <f t="shared" si="26"/>
        <v>0.88064731580426847</v>
      </c>
    </row>
    <row r="75" spans="1:13" x14ac:dyDescent="0.3">
      <c r="A75">
        <v>96</v>
      </c>
      <c r="B75">
        <f t="shared" si="23"/>
        <v>0.26906004881022805</v>
      </c>
      <c r="C75">
        <f t="shared" si="19"/>
        <v>0.26906004881022805</v>
      </c>
      <c r="D75" t="s">
        <v>27</v>
      </c>
      <c r="E75" t="s">
        <v>21</v>
      </c>
      <c r="F75">
        <v>1</v>
      </c>
      <c r="G75">
        <f t="shared" si="24"/>
        <v>65</v>
      </c>
      <c r="I75">
        <v>2050</v>
      </c>
      <c r="J75" t="s">
        <v>25</v>
      </c>
      <c r="K75">
        <f t="shared" si="25"/>
        <v>67.5</v>
      </c>
      <c r="L75" cm="1">
        <f t="array" ref="L75">STOWA2024_JAARROND_T(A75*60,K75,I75,J75,"")</f>
        <v>1.6350896331034055</v>
      </c>
      <c r="M75">
        <f t="shared" si="26"/>
        <v>0.61158726699404042</v>
      </c>
    </row>
    <row r="76" spans="1:13" x14ac:dyDescent="0.3">
      <c r="A76">
        <v>96</v>
      </c>
      <c r="B76">
        <f t="shared" si="23"/>
        <v>0.18387091356168583</v>
      </c>
      <c r="C76">
        <f t="shared" si="19"/>
        <v>0.18387091356168583</v>
      </c>
      <c r="D76" t="s">
        <v>27</v>
      </c>
      <c r="E76" t="s">
        <v>21</v>
      </c>
      <c r="F76">
        <v>1</v>
      </c>
      <c r="G76">
        <f t="shared" si="24"/>
        <v>70</v>
      </c>
      <c r="I76">
        <v>2050</v>
      </c>
      <c r="J76" t="s">
        <v>25</v>
      </c>
      <c r="K76">
        <f t="shared" si="25"/>
        <v>72.5</v>
      </c>
      <c r="L76" cm="1">
        <f t="array" ref="L76">STOWA2024_JAARROND_T(A76*60,K76,I76,J76,"")</f>
        <v>2.3379980493501398</v>
      </c>
      <c r="M76">
        <f t="shared" si="26"/>
        <v>0.42771635343235459</v>
      </c>
    </row>
    <row r="77" spans="1:13" x14ac:dyDescent="0.3">
      <c r="A77">
        <v>96</v>
      </c>
      <c r="B77">
        <f t="shared" si="23"/>
        <v>0.12657433050694977</v>
      </c>
      <c r="C77">
        <f t="shared" si="19"/>
        <v>0.12657433050694977</v>
      </c>
      <c r="D77" t="s">
        <v>27</v>
      </c>
      <c r="E77" t="s">
        <v>21</v>
      </c>
      <c r="F77">
        <v>1</v>
      </c>
      <c r="G77">
        <f t="shared" si="24"/>
        <v>75</v>
      </c>
      <c r="I77">
        <v>2050</v>
      </c>
      <c r="J77" t="s">
        <v>25</v>
      </c>
      <c r="K77">
        <f t="shared" si="25"/>
        <v>77.5</v>
      </c>
      <c r="L77" cm="1">
        <f t="array" ref="L77">STOWA2024_JAARROND_T(A77*60,K77,I77,J77,"")</f>
        <v>3.320692310842674</v>
      </c>
      <c r="M77">
        <f t="shared" si="26"/>
        <v>0.30114202292540482</v>
      </c>
    </row>
    <row r="78" spans="1:13" x14ac:dyDescent="0.3">
      <c r="A78">
        <v>96</v>
      </c>
      <c r="B78">
        <f t="shared" si="23"/>
        <v>8.7739614207104105E-2</v>
      </c>
      <c r="C78">
        <f t="shared" si="19"/>
        <v>8.7739614207104105E-2</v>
      </c>
      <c r="D78" t="s">
        <v>27</v>
      </c>
      <c r="E78" t="s">
        <v>21</v>
      </c>
      <c r="F78">
        <v>1</v>
      </c>
      <c r="G78">
        <f t="shared" si="24"/>
        <v>80</v>
      </c>
      <c r="I78">
        <v>2050</v>
      </c>
      <c r="J78" t="s">
        <v>25</v>
      </c>
      <c r="K78">
        <f t="shared" si="25"/>
        <v>82.5</v>
      </c>
      <c r="L78" cm="1">
        <f t="array" ref="L78">STOWA2024_JAARROND_T(A78*60,K78,I78,J78,"")</f>
        <v>4.6859827215916665</v>
      </c>
      <c r="M78">
        <f t="shared" si="26"/>
        <v>0.21340240871830071</v>
      </c>
    </row>
    <row r="79" spans="1:13" x14ac:dyDescent="0.3">
      <c r="A79">
        <v>96</v>
      </c>
      <c r="B79">
        <f t="shared" si="23"/>
        <v>6.1227541478019981E-2</v>
      </c>
      <c r="C79">
        <f t="shared" si="19"/>
        <v>6.1227541478019981E-2</v>
      </c>
      <c r="D79" t="s">
        <v>27</v>
      </c>
      <c r="E79" t="s">
        <v>21</v>
      </c>
      <c r="F79">
        <v>1</v>
      </c>
      <c r="G79">
        <f t="shared" si="24"/>
        <v>85</v>
      </c>
      <c r="I79">
        <v>2050</v>
      </c>
      <c r="J79" t="s">
        <v>25</v>
      </c>
      <c r="K79">
        <f t="shared" si="25"/>
        <v>87.5</v>
      </c>
      <c r="L79" cm="1">
        <f t="array" ref="L79">STOWA2024_JAARROND_T(A79*60,K79,I79,J79,"")</f>
        <v>6.5713873659638038</v>
      </c>
      <c r="M79">
        <f t="shared" si="26"/>
        <v>0.15217486724028073</v>
      </c>
    </row>
    <row r="80" spans="1:13" x14ac:dyDescent="0.3">
      <c r="A80">
        <v>96</v>
      </c>
      <c r="B80">
        <f t="shared" si="23"/>
        <v>4.3006421401279055E-2</v>
      </c>
      <c r="C80">
        <f t="shared" si="19"/>
        <v>4.3006421401279055E-2</v>
      </c>
      <c r="D80" t="s">
        <v>27</v>
      </c>
      <c r="E80" t="s">
        <v>21</v>
      </c>
      <c r="F80">
        <v>1</v>
      </c>
      <c r="G80">
        <f t="shared" si="24"/>
        <v>90</v>
      </c>
      <c r="I80">
        <v>2050</v>
      </c>
      <c r="J80" t="s">
        <v>25</v>
      </c>
      <c r="K80">
        <f t="shared" si="25"/>
        <v>92.5</v>
      </c>
      <c r="L80" cm="1">
        <f t="array" ref="L80">STOWA2024_JAARROND_T(A80*60,K80,I80,J80,"")</f>
        <v>9.1601560534696063</v>
      </c>
      <c r="M80">
        <f t="shared" si="26"/>
        <v>0.10916844583900168</v>
      </c>
    </row>
    <row r="81" spans="1:13" x14ac:dyDescent="0.3">
      <c r="A81">
        <v>96</v>
      </c>
      <c r="B81">
        <f t="shared" si="23"/>
        <v>3.0395167537473997E-2</v>
      </c>
      <c r="C81">
        <f t="shared" si="19"/>
        <v>3.0395167537473997E-2</v>
      </c>
      <c r="D81" t="s">
        <v>27</v>
      </c>
      <c r="E81" t="s">
        <v>21</v>
      </c>
      <c r="F81">
        <v>1</v>
      </c>
      <c r="G81">
        <f t="shared" si="24"/>
        <v>95</v>
      </c>
      <c r="I81">
        <v>2050</v>
      </c>
      <c r="J81" t="s">
        <v>25</v>
      </c>
      <c r="K81">
        <f t="shared" si="25"/>
        <v>97.5</v>
      </c>
      <c r="L81" cm="1">
        <f t="array" ref="L81">STOWA2024_JAARROND_T(A81*60,K81,I81,J81,"")</f>
        <v>12.694660188855014</v>
      </c>
      <c r="M81">
        <f t="shared" si="26"/>
        <v>7.877327830152768E-2</v>
      </c>
    </row>
    <row r="82" spans="1:13" x14ac:dyDescent="0.3">
      <c r="A82">
        <v>96</v>
      </c>
      <c r="B82">
        <f t="shared" si="23"/>
        <v>2.161258646013732E-2</v>
      </c>
      <c r="C82">
        <f t="shared" si="19"/>
        <v>2.161258646013732E-2</v>
      </c>
      <c r="D82" t="s">
        <v>27</v>
      </c>
      <c r="E82" t="s">
        <v>21</v>
      </c>
      <c r="F82">
        <v>1</v>
      </c>
      <c r="G82">
        <f t="shared" si="24"/>
        <v>100</v>
      </c>
      <c r="I82">
        <v>2050</v>
      </c>
      <c r="J82" t="s">
        <v>25</v>
      </c>
      <c r="K82">
        <f t="shared" si="25"/>
        <v>102.5</v>
      </c>
      <c r="L82" cm="1">
        <f t="array" ref="L82">STOWA2024_JAARROND_T(A82*60,K82,I82,J82,"")</f>
        <v>17.494539827733412</v>
      </c>
      <c r="M82">
        <f t="shared" si="26"/>
        <v>5.716069184139036E-2</v>
      </c>
    </row>
    <row r="83" spans="1:13" x14ac:dyDescent="0.3">
      <c r="A83">
        <v>96</v>
      </c>
      <c r="B83">
        <f t="shared" si="23"/>
        <v>1.5457049590273379E-2</v>
      </c>
      <c r="C83">
        <f t="shared" si="19"/>
        <v>1.5457049590273379E-2</v>
      </c>
      <c r="D83" t="s">
        <v>27</v>
      </c>
      <c r="E83" t="s">
        <v>21</v>
      </c>
      <c r="F83">
        <v>1</v>
      </c>
      <c r="G83">
        <f t="shared" si="24"/>
        <v>105</v>
      </c>
      <c r="I83">
        <v>2050</v>
      </c>
      <c r="J83" t="s">
        <v>25</v>
      </c>
      <c r="K83">
        <f t="shared" si="25"/>
        <v>107.5</v>
      </c>
      <c r="L83" cm="1">
        <f t="array" ref="L83">STOWA2024_JAARROND_T(A83*60,K83,I83,J83,"")</f>
        <v>23.978720946687005</v>
      </c>
      <c r="M83">
        <f t="shared" si="26"/>
        <v>4.170364225111698E-2</v>
      </c>
    </row>
    <row r="84" spans="1:13" x14ac:dyDescent="0.3">
      <c r="A84">
        <v>96</v>
      </c>
      <c r="B84">
        <f t="shared" si="23"/>
        <v>1.1117620003126896E-2</v>
      </c>
      <c r="C84">
        <f t="shared" si="19"/>
        <v>1.1117620003126896E-2</v>
      </c>
      <c r="D84" t="s">
        <v>27</v>
      </c>
      <c r="E84" t="s">
        <v>21</v>
      </c>
      <c r="F84">
        <v>1</v>
      </c>
      <c r="G84">
        <f t="shared" si="24"/>
        <v>110</v>
      </c>
      <c r="I84">
        <v>2050</v>
      </c>
      <c r="J84" t="s">
        <v>25</v>
      </c>
      <c r="K84">
        <f t="shared" si="25"/>
        <v>112.5</v>
      </c>
      <c r="L84" cm="1">
        <f t="array" ref="L84">STOWA2024_JAARROND_T(A84*60,K84,I84,J84,"")</f>
        <v>32.694673138338985</v>
      </c>
      <c r="M84">
        <f t="shared" si="26"/>
        <v>3.0586022247990084E-2</v>
      </c>
    </row>
    <row r="85" spans="1:13" x14ac:dyDescent="0.3">
      <c r="A85">
        <v>96</v>
      </c>
      <c r="B85">
        <f t="shared" si="23"/>
        <v>8.0397945232196129E-3</v>
      </c>
      <c r="C85">
        <f t="shared" si="19"/>
        <v>8.0397945232196129E-3</v>
      </c>
      <c r="D85" t="s">
        <v>27</v>
      </c>
      <c r="E85" t="s">
        <v>21</v>
      </c>
      <c r="F85">
        <v>1</v>
      </c>
      <c r="G85">
        <f t="shared" si="24"/>
        <v>115</v>
      </c>
      <c r="I85">
        <v>2050</v>
      </c>
      <c r="J85" t="s">
        <v>25</v>
      </c>
      <c r="K85">
        <f t="shared" si="25"/>
        <v>117.5</v>
      </c>
      <c r="L85" cm="1">
        <f t="array" ref="L85">STOWA2024_JAARROND_T(A85*60,K85,I85,J85,"")</f>
        <v>44.353317646186433</v>
      </c>
      <c r="M85">
        <f t="shared" si="26"/>
        <v>2.2546227724770471E-2</v>
      </c>
    </row>
    <row r="86" spans="1:13" x14ac:dyDescent="0.3">
      <c r="A86">
        <v>96</v>
      </c>
      <c r="B86">
        <f t="shared" si="23"/>
        <v>5.8445944554219205E-3</v>
      </c>
      <c r="C86">
        <f t="shared" si="19"/>
        <v>5.8445944554219205E-3</v>
      </c>
      <c r="D86" t="s">
        <v>27</v>
      </c>
      <c r="E86" t="s">
        <v>21</v>
      </c>
      <c r="F86">
        <v>1</v>
      </c>
      <c r="G86">
        <f t="shared" si="24"/>
        <v>120</v>
      </c>
      <c r="I86">
        <v>2050</v>
      </c>
      <c r="J86" t="s">
        <v>25</v>
      </c>
      <c r="K86">
        <f t="shared" si="25"/>
        <v>122.5</v>
      </c>
      <c r="L86" cm="1">
        <f t="array" ref="L86">STOWA2024_JAARROND_T(A86*60,K86,I86,J86,"")</f>
        <v>59.874383772707823</v>
      </c>
      <c r="M86">
        <f t="shared" si="26"/>
        <v>1.6701633269348551E-2</v>
      </c>
    </row>
    <row r="87" spans="1:13" x14ac:dyDescent="0.3">
      <c r="A87">
        <v>96</v>
      </c>
      <c r="B87">
        <f t="shared" si="23"/>
        <v>4.2706855866795658E-3</v>
      </c>
      <c r="C87">
        <f t="shared" si="19"/>
        <v>4.2706855866795658E-3</v>
      </c>
      <c r="D87" t="s">
        <v>27</v>
      </c>
      <c r="E87" t="s">
        <v>21</v>
      </c>
      <c r="F87">
        <v>1</v>
      </c>
      <c r="G87">
        <f t="shared" si="24"/>
        <v>125</v>
      </c>
      <c r="I87">
        <v>2050</v>
      </c>
      <c r="J87" t="s">
        <v>25</v>
      </c>
      <c r="K87">
        <f t="shared" si="25"/>
        <v>127.5</v>
      </c>
      <c r="L87" cm="1">
        <f t="array" ref="L87">STOWA2024_JAARROND_T(A87*60,K87,I87,J87,"")</f>
        <v>80.444389722127369</v>
      </c>
      <c r="M87">
        <f t="shared" si="26"/>
        <v>1.2430947682668985E-2</v>
      </c>
    </row>
    <row r="88" spans="1:13" x14ac:dyDescent="0.3">
      <c r="A88">
        <v>96</v>
      </c>
      <c r="B88">
        <f t="shared" si="23"/>
        <v>3.1358975686864819E-3</v>
      </c>
      <c r="C88">
        <f t="shared" si="19"/>
        <v>3.1358975686864819E-3</v>
      </c>
      <c r="D88" t="s">
        <v>27</v>
      </c>
      <c r="E88" t="s">
        <v>21</v>
      </c>
      <c r="F88">
        <v>1</v>
      </c>
      <c r="G88">
        <f t="shared" si="24"/>
        <v>130</v>
      </c>
      <c r="I88">
        <v>2050</v>
      </c>
      <c r="J88" t="s">
        <v>25</v>
      </c>
      <c r="K88">
        <f t="shared" si="25"/>
        <v>132.5</v>
      </c>
      <c r="L88" cm="1">
        <f t="array" ref="L88">STOWA2024_JAARROND_T(A88*60,K88,I88,J88,"")</f>
        <v>107.58414292954745</v>
      </c>
      <c r="M88">
        <f t="shared" si="26"/>
        <v>9.2950501139825031E-3</v>
      </c>
    </row>
    <row r="89" spans="1:13" x14ac:dyDescent="0.3">
      <c r="A89">
        <v>96</v>
      </c>
      <c r="B89">
        <f t="shared" si="23"/>
        <v>2.3137857845034497E-3</v>
      </c>
      <c r="C89">
        <f t="shared" si="19"/>
        <v>2.3137857845034497E-3</v>
      </c>
      <c r="D89" t="s">
        <v>27</v>
      </c>
      <c r="E89" t="s">
        <v>21</v>
      </c>
      <c r="F89">
        <v>1</v>
      </c>
      <c r="G89">
        <f t="shared" si="24"/>
        <v>135</v>
      </c>
      <c r="I89">
        <v>2050</v>
      </c>
      <c r="J89" t="s">
        <v>25</v>
      </c>
      <c r="K89">
        <f t="shared" si="25"/>
        <v>137.5</v>
      </c>
      <c r="L89" cm="1">
        <f t="array" ref="L89">STOWA2024_JAARROND_T(A89*60,K89,I89,J89,"")</f>
        <v>143.24052962404028</v>
      </c>
      <c r="M89">
        <f t="shared" si="26"/>
        <v>6.9812643294790535E-3</v>
      </c>
    </row>
    <row r="90" spans="1:13" x14ac:dyDescent="0.3">
      <c r="A90">
        <v>96</v>
      </c>
      <c r="B90">
        <f t="shared" si="23"/>
        <v>1.7150510768884544E-3</v>
      </c>
      <c r="C90">
        <f t="shared" si="19"/>
        <v>1.7150510768884544E-3</v>
      </c>
      <c r="D90" t="s">
        <v>27</v>
      </c>
      <c r="E90" t="s">
        <v>21</v>
      </c>
      <c r="F90">
        <v>1</v>
      </c>
      <c r="G90">
        <f t="shared" si="24"/>
        <v>140</v>
      </c>
      <c r="I90">
        <v>2050</v>
      </c>
      <c r="J90" t="s">
        <v>25</v>
      </c>
      <c r="K90">
        <f t="shared" si="25"/>
        <v>142.5</v>
      </c>
      <c r="L90" cm="1">
        <f t="array" ref="L90">STOWA2024_JAARROND_T(A90*60,K90,I90,J90,"")</f>
        <v>189.88976557454671</v>
      </c>
      <c r="M90">
        <f t="shared" si="26"/>
        <v>5.2662132525905991E-3</v>
      </c>
    </row>
    <row r="91" spans="1:13" x14ac:dyDescent="0.3">
      <c r="A91">
        <v>96</v>
      </c>
      <c r="B91">
        <f t="shared" si="23"/>
        <v>1.2770114956135109E-3</v>
      </c>
      <c r="C91">
        <f t="shared" si="19"/>
        <v>1.2770114956135109E-3</v>
      </c>
      <c r="D91" t="s">
        <v>27</v>
      </c>
      <c r="E91" t="s">
        <v>21</v>
      </c>
      <c r="F91">
        <v>1</v>
      </c>
      <c r="G91">
        <f t="shared" si="24"/>
        <v>145</v>
      </c>
      <c r="I91">
        <v>2050</v>
      </c>
      <c r="J91" t="s">
        <v>25</v>
      </c>
      <c r="K91">
        <f t="shared" si="25"/>
        <v>147.5</v>
      </c>
      <c r="L91" cm="1">
        <f t="array" ref="L91">STOWA2024_JAARROND_T(A91*60,K91,I91,J91,"")</f>
        <v>250.67671702766259</v>
      </c>
      <c r="M91">
        <f t="shared" si="26"/>
        <v>3.9892017569770882E-3</v>
      </c>
    </row>
    <row r="92" spans="1:13" x14ac:dyDescent="0.3">
      <c r="A92">
        <v>96</v>
      </c>
      <c r="B92">
        <f t="shared" si="23"/>
        <v>9.5500836740425137E-4</v>
      </c>
      <c r="C92">
        <f t="shared" si="19"/>
        <v>9.5500836740425137E-4</v>
      </c>
      <c r="D92" t="s">
        <v>27</v>
      </c>
      <c r="E92" t="s">
        <v>21</v>
      </c>
      <c r="F92">
        <v>1</v>
      </c>
      <c r="G92">
        <f t="shared" si="24"/>
        <v>150</v>
      </c>
      <c r="I92">
        <v>2050</v>
      </c>
      <c r="J92" t="s">
        <v>25</v>
      </c>
      <c r="K92">
        <f t="shared" si="25"/>
        <v>152.5</v>
      </c>
      <c r="L92" cm="1">
        <f t="array" ref="L92">STOWA2024_JAARROND_T(A92*60,K92,I92,J92,"")</f>
        <v>329.57688308087148</v>
      </c>
      <c r="M92">
        <f t="shared" si="26"/>
        <v>3.0341933895728368E-3</v>
      </c>
    </row>
    <row r="93" spans="1:13" x14ac:dyDescent="0.3">
      <c r="A93">
        <v>96</v>
      </c>
      <c r="B93">
        <f t="shared" si="23"/>
        <v>7.1724407199319582E-4</v>
      </c>
      <c r="C93">
        <f t="shared" si="19"/>
        <v>7.1724407199319582E-4</v>
      </c>
      <c r="D93" t="s">
        <v>27</v>
      </c>
      <c r="E93" t="s">
        <v>21</v>
      </c>
      <c r="F93">
        <v>1</v>
      </c>
      <c r="G93">
        <f t="shared" si="24"/>
        <v>155</v>
      </c>
      <c r="I93">
        <v>2050</v>
      </c>
      <c r="J93" t="s">
        <v>25</v>
      </c>
      <c r="K93">
        <f t="shared" si="25"/>
        <v>157.5</v>
      </c>
      <c r="L93" cm="1">
        <f t="array" ref="L93">STOWA2024_JAARROND_T(A93*60,K93,I93,J93,"")</f>
        <v>431.60201753771281</v>
      </c>
      <c r="M93">
        <f t="shared" si="26"/>
        <v>2.316949317579641E-3</v>
      </c>
    </row>
    <row r="94" spans="1:13" x14ac:dyDescent="0.3">
      <c r="A94">
        <v>96</v>
      </c>
      <c r="B94" s="1">
        <f>M93</f>
        <v>2.316949317579641E-3</v>
      </c>
      <c r="C94">
        <f t="shared" si="19"/>
        <v>2.316949317579641E-3</v>
      </c>
      <c r="D94" t="s">
        <v>27</v>
      </c>
      <c r="E94" t="s">
        <v>21</v>
      </c>
      <c r="F94">
        <v>1</v>
      </c>
      <c r="G94">
        <f t="shared" si="24"/>
        <v>160</v>
      </c>
      <c r="I94">
        <v>2050</v>
      </c>
      <c r="J94" t="s">
        <v>25</v>
      </c>
      <c r="K94">
        <f>AVERAGE(G94:G95)</f>
        <v>85</v>
      </c>
      <c r="L94" cm="1">
        <f t="array" ref="L94">STOWA2024_JAARROND_T(A94*60,K94,I94,J94,"")</f>
        <v>5.5534615869648585</v>
      </c>
      <c r="M94">
        <f>1/L94</f>
        <v>0.18006787016357692</v>
      </c>
    </row>
    <row r="95" spans="1:13" x14ac:dyDescent="0.3">
      <c r="A95">
        <v>192</v>
      </c>
      <c r="B95" s="1">
        <f>365.25*24/A95 - M95</f>
        <v>-9.6226235937308431</v>
      </c>
      <c r="C95">
        <f>B95</f>
        <v>-9.6226235937308431</v>
      </c>
      <c r="D95" t="s">
        <v>27</v>
      </c>
      <c r="E95" t="s">
        <v>21</v>
      </c>
      <c r="F95">
        <v>1</v>
      </c>
      <c r="G95">
        <v>10</v>
      </c>
      <c r="I95">
        <v>2050</v>
      </c>
      <c r="J95" t="s">
        <v>25</v>
      </c>
      <c r="K95">
        <f>AVERAGE(G95:G97)</f>
        <v>15</v>
      </c>
      <c r="L95" cm="1">
        <f t="array" ref="L95">STOWA2024_JAARROND_T(A95*60,K95,I95,J95,"")</f>
        <v>1.8090093646796191E-2</v>
      </c>
      <c r="M95">
        <f>1/L95</f>
        <v>55.278873593730843</v>
      </c>
    </row>
    <row r="96" spans="1:13" x14ac:dyDescent="0.3">
      <c r="A96">
        <v>192</v>
      </c>
      <c r="B96">
        <f t="shared" ref="B96:B100" si="27">M95-M96</f>
        <v>7.7192942959269431</v>
      </c>
      <c r="C96">
        <f t="shared" ref="C96:C125" si="28">B96</f>
        <v>7.7192942959269431</v>
      </c>
      <c r="D96" t="s">
        <v>27</v>
      </c>
      <c r="E96" t="s">
        <v>21</v>
      </c>
      <c r="F96">
        <v>1</v>
      </c>
      <c r="G96">
        <f t="shared" ref="G96:G100" si="29">G95+5</f>
        <v>15</v>
      </c>
      <c r="I96">
        <v>2050</v>
      </c>
      <c r="J96" t="s">
        <v>25</v>
      </c>
      <c r="K96">
        <f t="shared" ref="K96:K100" si="30">AVERAGE(G96:G97)</f>
        <v>17.5</v>
      </c>
      <c r="L96" cm="1">
        <f t="array" ref="L96">STOWA2024_JAARROND_T(A96*60,K96,I96,J96,"")</f>
        <v>2.1026258321973336E-2</v>
      </c>
      <c r="M96">
        <f t="shared" ref="M96:M100" si="31">1/L96</f>
        <v>47.5595792978039</v>
      </c>
    </row>
    <row r="97" spans="1:13" x14ac:dyDescent="0.3">
      <c r="A97">
        <v>192</v>
      </c>
      <c r="B97">
        <f t="shared" si="27"/>
        <v>12.365782137448811</v>
      </c>
      <c r="C97">
        <f t="shared" si="28"/>
        <v>12.365782137448811</v>
      </c>
      <c r="D97" t="s">
        <v>27</v>
      </c>
      <c r="E97" t="s">
        <v>21</v>
      </c>
      <c r="F97">
        <v>1</v>
      </c>
      <c r="G97">
        <f t="shared" si="29"/>
        <v>20</v>
      </c>
      <c r="I97">
        <v>2050</v>
      </c>
      <c r="J97" t="s">
        <v>25</v>
      </c>
      <c r="K97">
        <f t="shared" si="30"/>
        <v>22.5</v>
      </c>
      <c r="L97" cm="1">
        <f t="array" ref="L97">STOWA2024_JAARROND_T(A97*60,K97,I97,J97,"")</f>
        <v>2.8414097957195548E-2</v>
      </c>
      <c r="M97">
        <f t="shared" si="31"/>
        <v>35.193797160355089</v>
      </c>
    </row>
    <row r="98" spans="1:13" x14ac:dyDescent="0.3">
      <c r="A98">
        <v>192</v>
      </c>
      <c r="B98">
        <f t="shared" si="27"/>
        <v>9.1608603098716941</v>
      </c>
      <c r="C98">
        <f t="shared" si="28"/>
        <v>9.1608603098716941</v>
      </c>
      <c r="D98" t="s">
        <v>27</v>
      </c>
      <c r="E98" t="s">
        <v>21</v>
      </c>
      <c r="F98">
        <v>1</v>
      </c>
      <c r="G98">
        <f t="shared" si="29"/>
        <v>25</v>
      </c>
      <c r="I98">
        <v>2050</v>
      </c>
      <c r="J98" t="s">
        <v>25</v>
      </c>
      <c r="K98">
        <f t="shared" si="30"/>
        <v>27.5</v>
      </c>
      <c r="L98" cm="1">
        <f t="array" ref="L98">STOWA2024_JAARROND_T(A98*60,K98,I98,J98,"")</f>
        <v>3.8412876954427501E-2</v>
      </c>
      <c r="M98">
        <f t="shared" si="31"/>
        <v>26.032936850483395</v>
      </c>
    </row>
    <row r="99" spans="1:13" x14ac:dyDescent="0.3">
      <c r="A99">
        <v>192</v>
      </c>
      <c r="B99">
        <f t="shared" si="27"/>
        <v>6.7837562164476424</v>
      </c>
      <c r="C99">
        <f t="shared" si="28"/>
        <v>6.7837562164476424</v>
      </c>
      <c r="D99" t="s">
        <v>27</v>
      </c>
      <c r="E99" t="s">
        <v>21</v>
      </c>
      <c r="F99">
        <v>1</v>
      </c>
      <c r="G99">
        <f t="shared" si="29"/>
        <v>30</v>
      </c>
      <c r="I99">
        <v>2050</v>
      </c>
      <c r="J99" t="s">
        <v>25</v>
      </c>
      <c r="K99">
        <f t="shared" si="30"/>
        <v>32.5</v>
      </c>
      <c r="L99" cm="1">
        <f t="array" ref="L99">STOWA2024_JAARROND_T(A99*60,K99,I99,J99,"")</f>
        <v>5.1950263183246026E-2</v>
      </c>
      <c r="M99">
        <f t="shared" si="31"/>
        <v>19.249180634035753</v>
      </c>
    </row>
    <row r="100" spans="1:13" x14ac:dyDescent="0.3">
      <c r="A100">
        <v>192</v>
      </c>
      <c r="B100">
        <f t="shared" si="27"/>
        <v>5.0215311613241607</v>
      </c>
      <c r="C100">
        <f t="shared" si="28"/>
        <v>5.0215311613241607</v>
      </c>
      <c r="D100" t="s">
        <v>27</v>
      </c>
      <c r="E100" t="s">
        <v>21</v>
      </c>
      <c r="F100">
        <v>1</v>
      </c>
      <c r="G100">
        <f t="shared" si="29"/>
        <v>35</v>
      </c>
      <c r="I100">
        <v>2050</v>
      </c>
      <c r="J100" t="s">
        <v>25</v>
      </c>
      <c r="K100">
        <f t="shared" si="30"/>
        <v>37.5</v>
      </c>
      <c r="L100" cm="1">
        <f t="array" ref="L100">STOWA2024_JAARROND_T(A100*60,K100,I100,J100,"")</f>
        <v>7.0285678735478002E-2</v>
      </c>
      <c r="M100">
        <f t="shared" si="31"/>
        <v>14.227649472711592</v>
      </c>
    </row>
    <row r="101" spans="1:13" x14ac:dyDescent="0.3">
      <c r="A101">
        <v>192</v>
      </c>
      <c r="B101">
        <f>M100-M101</f>
        <v>3.7156547080908577</v>
      </c>
      <c r="C101">
        <f t="shared" si="28"/>
        <v>3.7156547080908577</v>
      </c>
      <c r="D101" t="s">
        <v>27</v>
      </c>
      <c r="E101" t="s">
        <v>21</v>
      </c>
      <c r="F101">
        <v>1</v>
      </c>
      <c r="G101">
        <f>G100+5</f>
        <v>40</v>
      </c>
      <c r="I101">
        <v>2050</v>
      </c>
      <c r="J101" t="s">
        <v>25</v>
      </c>
      <c r="K101">
        <f>AVERAGE(G101:G102)</f>
        <v>42.5</v>
      </c>
      <c r="L101" cm="1">
        <f t="array" ref="L101">STOWA2024_JAARROND_T(A101*60,K101,I101,J101,"")</f>
        <v>9.5129423329395973E-2</v>
      </c>
      <c r="M101">
        <f>1/L101</f>
        <v>10.511994764620734</v>
      </c>
    </row>
    <row r="102" spans="1:13" x14ac:dyDescent="0.3">
      <c r="A102">
        <v>192</v>
      </c>
      <c r="B102">
        <f t="shared" ref="B102:B124" si="32">M101-M102</f>
        <v>2.7483181935877603</v>
      </c>
      <c r="C102">
        <f t="shared" si="28"/>
        <v>2.7483181935877603</v>
      </c>
      <c r="D102" t="s">
        <v>27</v>
      </c>
      <c r="E102" t="s">
        <v>21</v>
      </c>
      <c r="F102">
        <v>1</v>
      </c>
      <c r="G102">
        <f t="shared" ref="G102:G125" si="33">G101+5</f>
        <v>45</v>
      </c>
      <c r="I102">
        <v>2050</v>
      </c>
      <c r="J102" t="s">
        <v>25</v>
      </c>
      <c r="K102">
        <f t="shared" ref="K102:K124" si="34">AVERAGE(G102:G103)</f>
        <v>47.5</v>
      </c>
      <c r="L102" cm="1">
        <f t="array" ref="L102">STOWA2024_JAARROND_T(A102*60,K102,I102,J102,"")</f>
        <v>0.12880495353594409</v>
      </c>
      <c r="M102">
        <f t="shared" ref="M102:M124" si="35">1/L102</f>
        <v>7.763676571032974</v>
      </c>
    </row>
    <row r="103" spans="1:13" x14ac:dyDescent="0.3">
      <c r="A103">
        <v>192</v>
      </c>
      <c r="B103">
        <f t="shared" si="32"/>
        <v>2.0320303082490021</v>
      </c>
      <c r="C103">
        <f t="shared" si="28"/>
        <v>2.0320303082490021</v>
      </c>
      <c r="D103" t="s">
        <v>27</v>
      </c>
      <c r="E103" t="s">
        <v>21</v>
      </c>
      <c r="F103">
        <v>1</v>
      </c>
      <c r="G103">
        <f t="shared" si="33"/>
        <v>50</v>
      </c>
      <c r="I103">
        <v>2050</v>
      </c>
      <c r="J103" t="s">
        <v>25</v>
      </c>
      <c r="K103">
        <f t="shared" si="34"/>
        <v>52.5</v>
      </c>
      <c r="L103" cm="1">
        <f t="array" ref="L103">STOWA2024_JAARROND_T(A103*60,K103,I103,J103,"")</f>
        <v>0.17446994356457032</v>
      </c>
      <c r="M103">
        <f t="shared" si="35"/>
        <v>5.7316462627839719</v>
      </c>
    </row>
    <row r="104" spans="1:13" x14ac:dyDescent="0.3">
      <c r="A104">
        <v>192</v>
      </c>
      <c r="B104">
        <f t="shared" si="32"/>
        <v>1.5018890641174174</v>
      </c>
      <c r="C104">
        <f t="shared" si="28"/>
        <v>1.5018890641174174</v>
      </c>
      <c r="D104" t="s">
        <v>27</v>
      </c>
      <c r="E104" t="s">
        <v>21</v>
      </c>
      <c r="F104">
        <v>1</v>
      </c>
      <c r="G104">
        <f t="shared" si="33"/>
        <v>55</v>
      </c>
      <c r="I104">
        <v>2050</v>
      </c>
      <c r="J104" t="s">
        <v>25</v>
      </c>
      <c r="K104">
        <f t="shared" si="34"/>
        <v>57.5</v>
      </c>
      <c r="L104" cm="1">
        <f t="array" ref="L104">STOWA2024_JAARROND_T(A104*60,K104,I104,J104,"")</f>
        <v>0.23642018986698654</v>
      </c>
      <c r="M104">
        <f t="shared" si="35"/>
        <v>4.2297571986665545</v>
      </c>
    </row>
    <row r="105" spans="1:13" x14ac:dyDescent="0.3">
      <c r="A105">
        <v>192</v>
      </c>
      <c r="B105">
        <f t="shared" si="32"/>
        <v>1.1095664016427076</v>
      </c>
      <c r="C105">
        <f t="shared" si="28"/>
        <v>1.1095664016427076</v>
      </c>
      <c r="D105" t="s">
        <v>27</v>
      </c>
      <c r="E105" t="s">
        <v>21</v>
      </c>
      <c r="F105">
        <v>1</v>
      </c>
      <c r="G105">
        <f t="shared" si="33"/>
        <v>60</v>
      </c>
      <c r="I105">
        <v>2050</v>
      </c>
      <c r="J105" t="s">
        <v>25</v>
      </c>
      <c r="K105">
        <f t="shared" si="34"/>
        <v>62.5</v>
      </c>
      <c r="L105" cm="1">
        <f t="array" ref="L105">STOWA2024_JAARROND_T(A105*60,K105,I105,J105,"")</f>
        <v>0.32049322142538106</v>
      </c>
      <c r="M105">
        <f t="shared" si="35"/>
        <v>3.1201907970238469</v>
      </c>
    </row>
    <row r="106" spans="1:13" x14ac:dyDescent="0.3">
      <c r="A106">
        <v>192</v>
      </c>
      <c r="B106">
        <f t="shared" si="32"/>
        <v>0.81940160825346009</v>
      </c>
      <c r="C106">
        <f t="shared" si="28"/>
        <v>0.81940160825346009</v>
      </c>
      <c r="D106" t="s">
        <v>27</v>
      </c>
      <c r="E106" t="s">
        <v>21</v>
      </c>
      <c r="F106">
        <v>1</v>
      </c>
      <c r="G106">
        <f t="shared" si="33"/>
        <v>65</v>
      </c>
      <c r="I106">
        <v>2050</v>
      </c>
      <c r="J106" t="s">
        <v>25</v>
      </c>
      <c r="K106">
        <f t="shared" si="34"/>
        <v>67.5</v>
      </c>
      <c r="L106" cm="1">
        <f t="array" ref="L106">STOWA2024_JAARROND_T(A106*60,K106,I106,J106,"")</f>
        <v>0.4346334748445298</v>
      </c>
      <c r="M106">
        <f t="shared" si="35"/>
        <v>2.3007891887703869</v>
      </c>
    </row>
    <row r="107" spans="1:13" x14ac:dyDescent="0.3">
      <c r="A107">
        <v>192</v>
      </c>
      <c r="B107">
        <f t="shared" si="32"/>
        <v>0.60489663474589372</v>
      </c>
      <c r="C107">
        <f t="shared" si="28"/>
        <v>0.60489663474589372</v>
      </c>
      <c r="D107" t="s">
        <v>27</v>
      </c>
      <c r="E107" t="s">
        <v>21</v>
      </c>
      <c r="F107">
        <v>1</v>
      </c>
      <c r="G107">
        <f t="shared" si="33"/>
        <v>70</v>
      </c>
      <c r="I107">
        <v>2050</v>
      </c>
      <c r="J107" t="s">
        <v>25</v>
      </c>
      <c r="K107">
        <f t="shared" si="34"/>
        <v>72.5</v>
      </c>
      <c r="L107" cm="1">
        <f t="array" ref="L107">STOWA2024_JAARROND_T(A107*60,K107,I107,J107,"")</f>
        <v>0.58965999799156932</v>
      </c>
      <c r="M107">
        <f t="shared" si="35"/>
        <v>1.6958925540244931</v>
      </c>
    </row>
    <row r="108" spans="1:13" x14ac:dyDescent="0.3">
      <c r="A108">
        <v>192</v>
      </c>
      <c r="B108">
        <f t="shared" si="32"/>
        <v>0.44636289611090274</v>
      </c>
      <c r="C108">
        <f t="shared" si="28"/>
        <v>0.44636289611090274</v>
      </c>
      <c r="D108" t="s">
        <v>27</v>
      </c>
      <c r="E108" t="s">
        <v>21</v>
      </c>
      <c r="F108">
        <v>1</v>
      </c>
      <c r="G108">
        <f t="shared" si="33"/>
        <v>75</v>
      </c>
      <c r="I108">
        <v>2050</v>
      </c>
      <c r="J108" t="s">
        <v>25</v>
      </c>
      <c r="K108">
        <f t="shared" si="34"/>
        <v>77.5</v>
      </c>
      <c r="L108" cm="1">
        <f t="array" ref="L108">STOWA2024_JAARROND_T(A108*60,K108,I108,J108,"")</f>
        <v>0.80030113224343635</v>
      </c>
      <c r="M108">
        <f t="shared" si="35"/>
        <v>1.2495296579135904</v>
      </c>
    </row>
    <row r="109" spans="1:13" x14ac:dyDescent="0.3">
      <c r="A109">
        <v>192</v>
      </c>
      <c r="B109">
        <f t="shared" si="32"/>
        <v>0.32916307829263147</v>
      </c>
      <c r="C109">
        <f t="shared" si="28"/>
        <v>0.32916307829263147</v>
      </c>
      <c r="D109" t="s">
        <v>27</v>
      </c>
      <c r="E109" t="s">
        <v>21</v>
      </c>
      <c r="F109">
        <v>1</v>
      </c>
      <c r="G109">
        <f t="shared" si="33"/>
        <v>80</v>
      </c>
      <c r="I109">
        <v>2050</v>
      </c>
      <c r="J109" t="s">
        <v>25</v>
      </c>
      <c r="K109">
        <f t="shared" si="34"/>
        <v>82.5</v>
      </c>
      <c r="L109" cm="1">
        <f t="array" ref="L109">STOWA2024_JAARROND_T(A109*60,K109,I109,J109,"")</f>
        <v>1.0865235897764096</v>
      </c>
      <c r="M109">
        <f t="shared" si="35"/>
        <v>0.92036657962095891</v>
      </c>
    </row>
    <row r="110" spans="1:13" x14ac:dyDescent="0.3">
      <c r="A110">
        <v>192</v>
      </c>
      <c r="B110">
        <f t="shared" si="32"/>
        <v>0.24278698544653687</v>
      </c>
      <c r="C110">
        <f t="shared" si="28"/>
        <v>0.24278698544653687</v>
      </c>
      <c r="D110" t="s">
        <v>27</v>
      </c>
      <c r="E110" t="s">
        <v>21</v>
      </c>
      <c r="F110">
        <v>1</v>
      </c>
      <c r="G110">
        <f t="shared" si="33"/>
        <v>85</v>
      </c>
      <c r="I110">
        <v>2050</v>
      </c>
      <c r="J110" t="s">
        <v>25</v>
      </c>
      <c r="K110">
        <f t="shared" si="34"/>
        <v>87.5</v>
      </c>
      <c r="L110" cm="1">
        <f t="array" ref="L110">STOWA2024_JAARROND_T(A110*60,K110,I110,J110,"")</f>
        <v>1.4758413750910284</v>
      </c>
      <c r="M110">
        <f t="shared" si="35"/>
        <v>0.67757959417442204</v>
      </c>
    </row>
    <row r="111" spans="1:13" x14ac:dyDescent="0.3">
      <c r="A111">
        <v>192</v>
      </c>
      <c r="B111">
        <f t="shared" si="32"/>
        <v>0.17893739854476931</v>
      </c>
      <c r="C111">
        <f t="shared" si="28"/>
        <v>0.17893739854476931</v>
      </c>
      <c r="D111" t="s">
        <v>27</v>
      </c>
      <c r="E111" t="s">
        <v>21</v>
      </c>
      <c r="F111">
        <v>1</v>
      </c>
      <c r="G111">
        <f t="shared" si="33"/>
        <v>90</v>
      </c>
      <c r="I111">
        <v>2050</v>
      </c>
      <c r="J111" t="s">
        <v>25</v>
      </c>
      <c r="K111">
        <f t="shared" si="34"/>
        <v>92.5</v>
      </c>
      <c r="L111" cm="1">
        <f t="array" ref="L111">STOWA2024_JAARROND_T(A111*60,K111,I111,J111,"")</f>
        <v>2.0054460067047986</v>
      </c>
      <c r="M111">
        <f t="shared" si="35"/>
        <v>0.49864219562965273</v>
      </c>
    </row>
    <row r="112" spans="1:13" x14ac:dyDescent="0.3">
      <c r="A112">
        <v>192</v>
      </c>
      <c r="B112">
        <f t="shared" si="32"/>
        <v>0.13183375055119606</v>
      </c>
      <c r="C112">
        <f t="shared" si="28"/>
        <v>0.13183375055119606</v>
      </c>
      <c r="D112" t="s">
        <v>27</v>
      </c>
      <c r="E112" t="s">
        <v>21</v>
      </c>
      <c r="F112">
        <v>1</v>
      </c>
      <c r="G112">
        <f t="shared" si="33"/>
        <v>95</v>
      </c>
      <c r="I112">
        <v>2050</v>
      </c>
      <c r="J112" t="s">
        <v>25</v>
      </c>
      <c r="K112">
        <f t="shared" si="34"/>
        <v>97.5</v>
      </c>
      <c r="L112" cm="1">
        <f t="array" ref="L112">STOWA2024_JAARROND_T(A112*60,K112,I112,J112,"")</f>
        <v>2.7262185847060034</v>
      </c>
      <c r="M112">
        <f t="shared" si="35"/>
        <v>0.36680844507845667</v>
      </c>
    </row>
    <row r="113" spans="1:13" x14ac:dyDescent="0.3">
      <c r="A113">
        <v>192</v>
      </c>
      <c r="B113">
        <f t="shared" si="32"/>
        <v>9.7086355895060761E-2</v>
      </c>
      <c r="C113">
        <f t="shared" si="28"/>
        <v>9.7086355895060761E-2</v>
      </c>
      <c r="D113" t="s">
        <v>27</v>
      </c>
      <c r="E113" t="s">
        <v>21</v>
      </c>
      <c r="F113">
        <v>1</v>
      </c>
      <c r="G113">
        <f t="shared" si="33"/>
        <v>100</v>
      </c>
      <c r="I113">
        <v>2050</v>
      </c>
      <c r="J113" t="s">
        <v>25</v>
      </c>
      <c r="K113">
        <f t="shared" si="34"/>
        <v>102.5</v>
      </c>
      <c r="L113" cm="1">
        <f t="array" ref="L113">STOWA2024_JAARROND_T(A113*60,K113,I113,J113,"")</f>
        <v>3.7075198513684064</v>
      </c>
      <c r="M113">
        <f t="shared" si="35"/>
        <v>0.26972208918339591</v>
      </c>
    </row>
    <row r="114" spans="1:13" x14ac:dyDescent="0.3">
      <c r="A114">
        <v>192</v>
      </c>
      <c r="B114">
        <f t="shared" si="32"/>
        <v>7.1472024840065873E-2</v>
      </c>
      <c r="C114">
        <f t="shared" si="28"/>
        <v>7.1472024840065873E-2</v>
      </c>
      <c r="D114" t="s">
        <v>27</v>
      </c>
      <c r="E114" t="s">
        <v>21</v>
      </c>
      <c r="F114">
        <v>1</v>
      </c>
      <c r="G114">
        <f t="shared" si="33"/>
        <v>105</v>
      </c>
      <c r="I114">
        <v>2050</v>
      </c>
      <c r="J114" t="s">
        <v>25</v>
      </c>
      <c r="K114">
        <f t="shared" si="34"/>
        <v>107.5</v>
      </c>
      <c r="L114" cm="1">
        <f t="array" ref="L114">STOWA2024_JAARROND_T(A114*60,K114,I114,J114,"")</f>
        <v>5.0441345545704195</v>
      </c>
      <c r="M114">
        <f t="shared" si="35"/>
        <v>0.19825006434333003</v>
      </c>
    </row>
    <row r="115" spans="1:13" x14ac:dyDescent="0.3">
      <c r="A115">
        <v>192</v>
      </c>
      <c r="B115">
        <f t="shared" si="32"/>
        <v>5.2591244313769853E-2</v>
      </c>
      <c r="C115">
        <f t="shared" si="28"/>
        <v>5.2591244313769853E-2</v>
      </c>
      <c r="D115" t="s">
        <v>27</v>
      </c>
      <c r="E115" t="s">
        <v>21</v>
      </c>
      <c r="F115">
        <v>1</v>
      </c>
      <c r="G115">
        <f t="shared" si="33"/>
        <v>110</v>
      </c>
      <c r="I115">
        <v>2050</v>
      </c>
      <c r="J115" t="s">
        <v>25</v>
      </c>
      <c r="K115">
        <f t="shared" si="34"/>
        <v>112.5</v>
      </c>
      <c r="L115" cm="1">
        <f t="array" ref="L115">STOWA2024_JAARROND_T(A115*60,K115,I115,J115,"")</f>
        <v>6.8653583751197402</v>
      </c>
      <c r="M115">
        <f t="shared" si="35"/>
        <v>0.14565882002956018</v>
      </c>
    </row>
    <row r="116" spans="1:13" x14ac:dyDescent="0.3">
      <c r="A116">
        <v>192</v>
      </c>
      <c r="B116">
        <f t="shared" si="32"/>
        <v>3.8683650224887053E-2</v>
      </c>
      <c r="C116">
        <f t="shared" si="28"/>
        <v>3.8683650224887053E-2</v>
      </c>
      <c r="D116" t="s">
        <v>27</v>
      </c>
      <c r="E116" t="s">
        <v>21</v>
      </c>
      <c r="F116">
        <v>1</v>
      </c>
      <c r="G116">
        <f t="shared" si="33"/>
        <v>115</v>
      </c>
      <c r="I116">
        <v>2050</v>
      </c>
      <c r="J116" t="s">
        <v>25</v>
      </c>
      <c r="K116">
        <f t="shared" si="34"/>
        <v>117.5</v>
      </c>
      <c r="L116" cm="1">
        <f t="array" ref="L116">STOWA2024_JAARROND_T(A116*60,K116,I116,J116,"")</f>
        <v>9.3479636613422397</v>
      </c>
      <c r="M116">
        <f t="shared" si="35"/>
        <v>0.10697516980467313</v>
      </c>
    </row>
    <row r="117" spans="1:13" x14ac:dyDescent="0.3">
      <c r="A117">
        <v>192</v>
      </c>
      <c r="B117">
        <f t="shared" si="32"/>
        <v>2.8442286213215456E-2</v>
      </c>
      <c r="C117">
        <f t="shared" si="28"/>
        <v>2.8442286213215456E-2</v>
      </c>
      <c r="D117" t="s">
        <v>27</v>
      </c>
      <c r="E117" t="s">
        <v>21</v>
      </c>
      <c r="F117">
        <v>1</v>
      </c>
      <c r="G117">
        <f t="shared" si="33"/>
        <v>120</v>
      </c>
      <c r="I117">
        <v>2050</v>
      </c>
      <c r="J117" t="s">
        <v>25</v>
      </c>
      <c r="K117">
        <f t="shared" si="34"/>
        <v>122.5</v>
      </c>
      <c r="L117" cm="1">
        <f t="array" ref="L117">STOWA2024_JAARROND_T(A117*60,K117,I117,J117,"")</f>
        <v>12.733519441386893</v>
      </c>
      <c r="M117">
        <f t="shared" si="35"/>
        <v>7.8532883591457672E-2</v>
      </c>
    </row>
    <row r="118" spans="1:13" x14ac:dyDescent="0.3">
      <c r="A118">
        <v>192</v>
      </c>
      <c r="B118">
        <f t="shared" si="32"/>
        <v>2.0903755311664163E-2</v>
      </c>
      <c r="C118">
        <f t="shared" si="28"/>
        <v>2.0903755311664163E-2</v>
      </c>
      <c r="D118" t="s">
        <v>27</v>
      </c>
      <c r="E118" t="s">
        <v>21</v>
      </c>
      <c r="F118">
        <v>1</v>
      </c>
      <c r="G118">
        <f t="shared" si="33"/>
        <v>125</v>
      </c>
      <c r="I118">
        <v>2050</v>
      </c>
      <c r="J118" t="s">
        <v>25</v>
      </c>
      <c r="K118">
        <f t="shared" si="34"/>
        <v>127.5</v>
      </c>
      <c r="L118" cm="1">
        <f t="array" ref="L118">STOWA2024_JAARROND_T(A118*60,K118,I118,J118,"")</f>
        <v>17.352336046884641</v>
      </c>
      <c r="M118">
        <f t="shared" si="35"/>
        <v>5.7629128279793509E-2</v>
      </c>
    </row>
    <row r="119" spans="1:13" x14ac:dyDescent="0.3">
      <c r="A119">
        <v>192</v>
      </c>
      <c r="B119">
        <f t="shared" si="32"/>
        <v>1.5357004715438251E-2</v>
      </c>
      <c r="C119">
        <f t="shared" si="28"/>
        <v>1.5357004715438251E-2</v>
      </c>
      <c r="D119" t="s">
        <v>27</v>
      </c>
      <c r="E119" t="s">
        <v>21</v>
      </c>
      <c r="F119">
        <v>1</v>
      </c>
      <c r="G119">
        <f t="shared" si="33"/>
        <v>130</v>
      </c>
      <c r="I119">
        <v>2050</v>
      </c>
      <c r="J119" t="s">
        <v>25</v>
      </c>
      <c r="K119">
        <f t="shared" si="34"/>
        <v>132.5</v>
      </c>
      <c r="L119" cm="1">
        <f t="array" ref="L119">STOWA2024_JAARROND_T(A119*60,K119,I119,J119,"")</f>
        <v>23.656251819892507</v>
      </c>
      <c r="M119">
        <f t="shared" si="35"/>
        <v>4.2272123564355259E-2</v>
      </c>
    </row>
    <row r="120" spans="1:13" x14ac:dyDescent="0.3">
      <c r="A120">
        <v>192</v>
      </c>
      <c r="B120">
        <f t="shared" si="32"/>
        <v>1.1277444882655717E-2</v>
      </c>
      <c r="C120">
        <f t="shared" si="28"/>
        <v>1.1277444882655717E-2</v>
      </c>
      <c r="D120" t="s">
        <v>27</v>
      </c>
      <c r="E120" t="s">
        <v>21</v>
      </c>
      <c r="F120">
        <v>1</v>
      </c>
      <c r="G120">
        <f t="shared" si="33"/>
        <v>135</v>
      </c>
      <c r="I120">
        <v>2050</v>
      </c>
      <c r="J120" t="s">
        <v>25</v>
      </c>
      <c r="K120">
        <f t="shared" si="34"/>
        <v>137.5</v>
      </c>
      <c r="L120" cm="1">
        <f t="array" ref="L120">STOWA2024_JAARROND_T(A120*60,K120,I120,J120,"")</f>
        <v>32.263602738699745</v>
      </c>
      <c r="M120">
        <f t="shared" si="35"/>
        <v>3.0994678681699542E-2</v>
      </c>
    </row>
    <row r="121" spans="1:13" x14ac:dyDescent="0.3">
      <c r="A121">
        <v>192</v>
      </c>
      <c r="B121">
        <f t="shared" si="32"/>
        <v>8.2782106127219576E-3</v>
      </c>
      <c r="C121">
        <f t="shared" si="28"/>
        <v>8.2782106127219576E-3</v>
      </c>
      <c r="D121" t="s">
        <v>27</v>
      </c>
      <c r="E121" t="s">
        <v>21</v>
      </c>
      <c r="F121">
        <v>1</v>
      </c>
      <c r="G121">
        <f t="shared" si="33"/>
        <v>140</v>
      </c>
      <c r="I121">
        <v>2050</v>
      </c>
      <c r="J121" t="s">
        <v>25</v>
      </c>
      <c r="K121">
        <f t="shared" si="34"/>
        <v>142.5</v>
      </c>
      <c r="L121" cm="1">
        <f t="array" ref="L121">STOWA2024_JAARROND_T(A121*60,K121,I121,J121,"")</f>
        <v>44.02092776762403</v>
      </c>
      <c r="M121">
        <f t="shared" si="35"/>
        <v>2.2716468068977584E-2</v>
      </c>
    </row>
    <row r="122" spans="1:13" x14ac:dyDescent="0.3">
      <c r="A122">
        <v>192</v>
      </c>
      <c r="B122">
        <f t="shared" si="32"/>
        <v>6.0741197105863495E-3</v>
      </c>
      <c r="C122">
        <f t="shared" si="28"/>
        <v>6.0741197105863495E-3</v>
      </c>
      <c r="D122" t="s">
        <v>27</v>
      </c>
      <c r="E122" t="s">
        <v>21</v>
      </c>
      <c r="F122">
        <v>1</v>
      </c>
      <c r="G122">
        <f t="shared" si="33"/>
        <v>145</v>
      </c>
      <c r="I122">
        <v>2050</v>
      </c>
      <c r="J122" t="s">
        <v>25</v>
      </c>
      <c r="K122">
        <f t="shared" si="34"/>
        <v>147.5</v>
      </c>
      <c r="L122" cm="1">
        <f t="array" ref="L122">STOWA2024_JAARROND_T(A122*60,K122,I122,J122,"")</f>
        <v>60.087673834551737</v>
      </c>
      <c r="M122">
        <f t="shared" si="35"/>
        <v>1.6642348358391235E-2</v>
      </c>
    </row>
    <row r="123" spans="1:13" x14ac:dyDescent="0.3">
      <c r="A123">
        <v>192</v>
      </c>
      <c r="B123">
        <f t="shared" si="32"/>
        <v>4.4550325586146782E-3</v>
      </c>
      <c r="C123">
        <f t="shared" si="28"/>
        <v>4.4550325586146782E-3</v>
      </c>
      <c r="D123" t="s">
        <v>27</v>
      </c>
      <c r="E123" t="s">
        <v>21</v>
      </c>
      <c r="F123">
        <v>1</v>
      </c>
      <c r="G123">
        <f t="shared" si="33"/>
        <v>150</v>
      </c>
      <c r="I123">
        <v>2050</v>
      </c>
      <c r="J123" t="s">
        <v>25</v>
      </c>
      <c r="K123">
        <f t="shared" si="34"/>
        <v>152.5</v>
      </c>
      <c r="L123" cm="1">
        <f t="array" ref="L123">STOWA2024_JAARROND_T(A123*60,K123,I123,J123,"")</f>
        <v>82.052522181983178</v>
      </c>
      <c r="M123">
        <f t="shared" si="35"/>
        <v>1.2187315799776556E-2</v>
      </c>
    </row>
    <row r="124" spans="1:13" x14ac:dyDescent="0.3">
      <c r="A124">
        <v>192</v>
      </c>
      <c r="B124">
        <f t="shared" si="32"/>
        <v>3.2661686978249765E-3</v>
      </c>
      <c r="C124">
        <f t="shared" si="28"/>
        <v>3.2661686978249765E-3</v>
      </c>
      <c r="D124" t="s">
        <v>27</v>
      </c>
      <c r="E124" t="s">
        <v>21</v>
      </c>
      <c r="F124">
        <v>1</v>
      </c>
      <c r="G124">
        <f t="shared" si="33"/>
        <v>155</v>
      </c>
      <c r="I124">
        <v>2050</v>
      </c>
      <c r="J124" t="s">
        <v>25</v>
      </c>
      <c r="K124">
        <f t="shared" si="34"/>
        <v>157.5</v>
      </c>
      <c r="L124" cm="1">
        <f t="array" ref="L124">STOWA2024_JAARROND_T(A124*60,K124,I124,J124,"")</f>
        <v>112.09320825807717</v>
      </c>
      <c r="M124">
        <f t="shared" si="35"/>
        <v>8.9211471019515799E-3</v>
      </c>
    </row>
    <row r="125" spans="1:13" x14ac:dyDescent="0.3">
      <c r="A125">
        <v>192</v>
      </c>
      <c r="B125" s="1">
        <f>M124</f>
        <v>8.9211471019515799E-3</v>
      </c>
      <c r="C125">
        <f t="shared" si="28"/>
        <v>8.9211471019515799E-3</v>
      </c>
      <c r="D125" t="s">
        <v>27</v>
      </c>
      <c r="E125" t="s">
        <v>21</v>
      </c>
      <c r="F125">
        <v>1</v>
      </c>
      <c r="G125">
        <f t="shared" si="33"/>
        <v>160</v>
      </c>
      <c r="I125">
        <v>2050</v>
      </c>
      <c r="J125" t="s">
        <v>25</v>
      </c>
      <c r="K125">
        <f>AVERAGE(G125:G126)</f>
        <v>85</v>
      </c>
      <c r="L125" cm="1">
        <f t="array" ref="L125">STOWA2024_JAARROND_T(A125*60,K125,I125,J125,"")</f>
        <v>1.2662428369891918</v>
      </c>
      <c r="M125">
        <f>1/L125</f>
        <v>0.78973793239987788</v>
      </c>
    </row>
    <row r="126" spans="1:13" x14ac:dyDescent="0.3">
      <c r="A126">
        <v>216</v>
      </c>
      <c r="B126" s="1">
        <f>365.25*24/A126 - M126</f>
        <v>-16.303554311407034</v>
      </c>
      <c r="C126">
        <f>B126</f>
        <v>-16.303554311407034</v>
      </c>
      <c r="D126" t="s">
        <v>27</v>
      </c>
      <c r="E126" t="s">
        <v>21</v>
      </c>
      <c r="F126">
        <v>1</v>
      </c>
      <c r="G126">
        <v>10</v>
      </c>
      <c r="I126">
        <v>2050</v>
      </c>
      <c r="J126" t="s">
        <v>25</v>
      </c>
      <c r="K126">
        <f>AVERAGE(G126:G128)</f>
        <v>15</v>
      </c>
      <c r="L126" cm="1">
        <f t="array" ref="L126">STOWA2024_JAARROND_T(A126*60,K126,I126,J126,"")</f>
        <v>1.7578743387140775E-2</v>
      </c>
      <c r="M126">
        <f>1/L126</f>
        <v>56.886887644740369</v>
      </c>
    </row>
    <row r="127" spans="1:13" x14ac:dyDescent="0.3">
      <c r="A127">
        <v>216</v>
      </c>
      <c r="B127">
        <f t="shared" ref="B127:B131" si="36">M126-M127</f>
        <v>7.3730420387908708</v>
      </c>
      <c r="C127">
        <f t="shared" ref="C127:C156" si="37">B127</f>
        <v>7.3730420387908708</v>
      </c>
      <c r="D127" t="s">
        <v>27</v>
      </c>
      <c r="E127" t="s">
        <v>21</v>
      </c>
      <c r="F127">
        <v>1</v>
      </c>
      <c r="G127">
        <f t="shared" ref="G127:G131" si="38">G126+5</f>
        <v>15</v>
      </c>
      <c r="I127">
        <v>2050</v>
      </c>
      <c r="J127" t="s">
        <v>25</v>
      </c>
      <c r="K127">
        <f t="shared" ref="K127:K131" si="39">AVERAGE(G127:G128)</f>
        <v>17.5</v>
      </c>
      <c r="L127" cm="1">
        <f t="array" ref="L127">STOWA2024_JAARROND_T(A127*60,K127,I127,J127,"")</f>
        <v>2.0196371090995237E-2</v>
      </c>
      <c r="M127">
        <f t="shared" ref="M127:M131" si="40">1/L127</f>
        <v>49.513845605949498</v>
      </c>
    </row>
    <row r="128" spans="1:13" x14ac:dyDescent="0.3">
      <c r="A128">
        <v>216</v>
      </c>
      <c r="B128">
        <f t="shared" si="36"/>
        <v>12.036686028373644</v>
      </c>
      <c r="C128">
        <f t="shared" si="37"/>
        <v>12.036686028373644</v>
      </c>
      <c r="D128" t="s">
        <v>27</v>
      </c>
      <c r="E128" t="s">
        <v>21</v>
      </c>
      <c r="F128">
        <v>1</v>
      </c>
      <c r="G128">
        <f t="shared" si="38"/>
        <v>20</v>
      </c>
      <c r="I128">
        <v>2050</v>
      </c>
      <c r="J128" t="s">
        <v>25</v>
      </c>
      <c r="K128">
        <f t="shared" si="39"/>
        <v>22.5</v>
      </c>
      <c r="L128" cm="1">
        <f t="array" ref="L128">STOWA2024_JAARROND_T(A128*60,K128,I128,J128,"")</f>
        <v>2.668291864355541E-2</v>
      </c>
      <c r="M128">
        <f t="shared" si="40"/>
        <v>37.477159577575854</v>
      </c>
    </row>
    <row r="129" spans="1:13" x14ac:dyDescent="0.3">
      <c r="A129">
        <v>216</v>
      </c>
      <c r="B129">
        <f t="shared" si="36"/>
        <v>9.1442481941304301</v>
      </c>
      <c r="C129">
        <f t="shared" si="37"/>
        <v>9.1442481941304301</v>
      </c>
      <c r="D129" t="s">
        <v>27</v>
      </c>
      <c r="E129" t="s">
        <v>21</v>
      </c>
      <c r="F129">
        <v>1</v>
      </c>
      <c r="G129">
        <f t="shared" si="38"/>
        <v>25</v>
      </c>
      <c r="I129">
        <v>2050</v>
      </c>
      <c r="J129" t="s">
        <v>25</v>
      </c>
      <c r="K129">
        <f t="shared" si="39"/>
        <v>27.5</v>
      </c>
      <c r="L129" cm="1">
        <f t="array" ref="L129">STOWA2024_JAARROND_T(A129*60,K129,I129,J129,"")</f>
        <v>3.5294643267203663E-2</v>
      </c>
      <c r="M129">
        <f t="shared" si="40"/>
        <v>28.332911383445424</v>
      </c>
    </row>
    <row r="130" spans="1:13" x14ac:dyDescent="0.3">
      <c r="A130">
        <v>216</v>
      </c>
      <c r="B130">
        <f t="shared" si="36"/>
        <v>6.9385761872512646</v>
      </c>
      <c r="C130">
        <f t="shared" si="37"/>
        <v>6.9385761872512646</v>
      </c>
      <c r="D130" t="s">
        <v>27</v>
      </c>
      <c r="E130" t="s">
        <v>21</v>
      </c>
      <c r="F130">
        <v>1</v>
      </c>
      <c r="G130">
        <f t="shared" si="38"/>
        <v>30</v>
      </c>
      <c r="I130">
        <v>2050</v>
      </c>
      <c r="J130" t="s">
        <v>25</v>
      </c>
      <c r="K130">
        <f t="shared" si="39"/>
        <v>32.5</v>
      </c>
      <c r="L130" cm="1">
        <f t="array" ref="L130">STOWA2024_JAARROND_T(A130*60,K130,I130,J130,"")</f>
        <v>4.6741344885439115E-2</v>
      </c>
      <c r="M130">
        <f t="shared" si="40"/>
        <v>21.394335196194159</v>
      </c>
    </row>
    <row r="131" spans="1:13" x14ac:dyDescent="0.3">
      <c r="A131">
        <v>216</v>
      </c>
      <c r="B131">
        <f t="shared" si="36"/>
        <v>5.2587340867071646</v>
      </c>
      <c r="C131">
        <f t="shared" si="37"/>
        <v>5.2587340867071646</v>
      </c>
      <c r="D131" t="s">
        <v>27</v>
      </c>
      <c r="E131" t="s">
        <v>21</v>
      </c>
      <c r="F131">
        <v>1</v>
      </c>
      <c r="G131">
        <f t="shared" si="38"/>
        <v>35</v>
      </c>
      <c r="I131">
        <v>2050</v>
      </c>
      <c r="J131" t="s">
        <v>25</v>
      </c>
      <c r="K131">
        <f t="shared" si="39"/>
        <v>37.5</v>
      </c>
      <c r="L131" cm="1">
        <f t="array" ref="L131">STOWA2024_JAARROND_T(A131*60,K131,I131,J131,"")</f>
        <v>6.1974759614753107E-2</v>
      </c>
      <c r="M131">
        <f t="shared" si="40"/>
        <v>16.135601109486995</v>
      </c>
    </row>
    <row r="132" spans="1:13" x14ac:dyDescent="0.3">
      <c r="A132">
        <v>216</v>
      </c>
      <c r="B132">
        <f>M131-M132</f>
        <v>3.9808659955785775</v>
      </c>
      <c r="C132">
        <f t="shared" si="37"/>
        <v>3.9808659955785775</v>
      </c>
      <c r="D132" t="s">
        <v>27</v>
      </c>
      <c r="E132" t="s">
        <v>21</v>
      </c>
      <c r="F132">
        <v>1</v>
      </c>
      <c r="G132">
        <f>G131+5</f>
        <v>40</v>
      </c>
      <c r="I132">
        <v>2050</v>
      </c>
      <c r="J132" t="s">
        <v>25</v>
      </c>
      <c r="K132">
        <f>AVERAGE(G132:G133)</f>
        <v>42.5</v>
      </c>
      <c r="L132" cm="1">
        <f t="array" ref="L132">STOWA2024_JAARROND_T(A132*60,K132,I132,J132,"")</f>
        <v>8.2272463416806205E-2</v>
      </c>
      <c r="M132">
        <f>1/L132</f>
        <v>12.154735113908417</v>
      </c>
    </row>
    <row r="133" spans="1:13" x14ac:dyDescent="0.3">
      <c r="A133">
        <v>216</v>
      </c>
      <c r="B133">
        <f t="shared" ref="B133:B155" si="41">M132-M133</f>
        <v>3.0099169008030522</v>
      </c>
      <c r="C133">
        <f t="shared" si="37"/>
        <v>3.0099169008030522</v>
      </c>
      <c r="D133" t="s">
        <v>27</v>
      </c>
      <c r="E133" t="s">
        <v>21</v>
      </c>
      <c r="F133">
        <v>1</v>
      </c>
      <c r="G133">
        <f t="shared" ref="G133:G156" si="42">G132+5</f>
        <v>45</v>
      </c>
      <c r="I133">
        <v>2050</v>
      </c>
      <c r="J133" t="s">
        <v>25</v>
      </c>
      <c r="K133">
        <f t="shared" ref="K133:K155" si="43">AVERAGE(G133:G134)</f>
        <v>47.5</v>
      </c>
      <c r="L133" cm="1">
        <f t="array" ref="L133">STOWA2024_JAARROND_T(A133*60,K133,I133,J133,"")</f>
        <v>0.10935154496203195</v>
      </c>
      <c r="M133">
        <f t="shared" ref="M133:M155" si="44">1/L133</f>
        <v>9.1448182131053652</v>
      </c>
    </row>
    <row r="134" spans="1:13" x14ac:dyDescent="0.3">
      <c r="A134">
        <v>216</v>
      </c>
      <c r="B134">
        <f t="shared" si="41"/>
        <v>2.2731247735150042</v>
      </c>
      <c r="C134">
        <f t="shared" si="37"/>
        <v>2.2731247735150042</v>
      </c>
      <c r="D134" t="s">
        <v>27</v>
      </c>
      <c r="E134" t="s">
        <v>21</v>
      </c>
      <c r="F134">
        <v>1</v>
      </c>
      <c r="G134">
        <f t="shared" si="42"/>
        <v>50</v>
      </c>
      <c r="I134">
        <v>2050</v>
      </c>
      <c r="J134" t="s">
        <v>25</v>
      </c>
      <c r="K134">
        <f t="shared" si="43"/>
        <v>52.5</v>
      </c>
      <c r="L134" cm="1">
        <f t="array" ref="L134">STOWA2024_JAARROND_T(A134*60,K134,I134,J134,"")</f>
        <v>0.14552453609740956</v>
      </c>
      <c r="M134">
        <f t="shared" si="44"/>
        <v>6.8716934395903611</v>
      </c>
    </row>
    <row r="135" spans="1:13" x14ac:dyDescent="0.3">
      <c r="A135">
        <v>216</v>
      </c>
      <c r="B135">
        <f t="shared" si="41"/>
        <v>1.7144390153918865</v>
      </c>
      <c r="C135">
        <f t="shared" si="37"/>
        <v>1.7144390153918865</v>
      </c>
      <c r="D135" t="s">
        <v>27</v>
      </c>
      <c r="E135" t="s">
        <v>21</v>
      </c>
      <c r="F135">
        <v>1</v>
      </c>
      <c r="G135">
        <f t="shared" si="42"/>
        <v>55</v>
      </c>
      <c r="I135">
        <v>2050</v>
      </c>
      <c r="J135" t="s">
        <v>25</v>
      </c>
      <c r="K135">
        <f t="shared" si="43"/>
        <v>57.5</v>
      </c>
      <c r="L135" cm="1">
        <f t="array" ref="L135">STOWA2024_JAARROND_T(A135*60,K135,I135,J135,"")</f>
        <v>0.19390162240355577</v>
      </c>
      <c r="M135">
        <f t="shared" si="44"/>
        <v>5.1572544241984746</v>
      </c>
    </row>
    <row r="136" spans="1:13" x14ac:dyDescent="0.3">
      <c r="A136">
        <v>216</v>
      </c>
      <c r="B136">
        <f t="shared" si="41"/>
        <v>1.2915964659045325</v>
      </c>
      <c r="C136">
        <f t="shared" si="37"/>
        <v>1.2915964659045325</v>
      </c>
      <c r="D136" t="s">
        <v>27</v>
      </c>
      <c r="E136" t="s">
        <v>21</v>
      </c>
      <c r="F136">
        <v>1</v>
      </c>
      <c r="G136">
        <f t="shared" si="42"/>
        <v>60</v>
      </c>
      <c r="I136">
        <v>2050</v>
      </c>
      <c r="J136" t="s">
        <v>25</v>
      </c>
      <c r="K136">
        <f t="shared" si="43"/>
        <v>62.5</v>
      </c>
      <c r="L136" cm="1">
        <f t="array" ref="L136">STOWA2024_JAARROND_T(A136*60,K136,I136,J136,"")</f>
        <v>0.25868817437778097</v>
      </c>
      <c r="M136">
        <f t="shared" si="44"/>
        <v>3.8656579582939421</v>
      </c>
    </row>
    <row r="137" spans="1:13" x14ac:dyDescent="0.3">
      <c r="A137">
        <v>216</v>
      </c>
      <c r="B137">
        <f t="shared" si="41"/>
        <v>0.97178375301038233</v>
      </c>
      <c r="C137">
        <f t="shared" si="37"/>
        <v>0.97178375301038233</v>
      </c>
      <c r="D137" t="s">
        <v>27</v>
      </c>
      <c r="E137" t="s">
        <v>21</v>
      </c>
      <c r="F137">
        <v>1</v>
      </c>
      <c r="G137">
        <f t="shared" si="42"/>
        <v>65</v>
      </c>
      <c r="I137">
        <v>2050</v>
      </c>
      <c r="J137" t="s">
        <v>25</v>
      </c>
      <c r="K137">
        <f t="shared" si="43"/>
        <v>67.5</v>
      </c>
      <c r="L137" cm="1">
        <f t="array" ref="L137">STOWA2024_JAARROND_T(A137*60,K137,I137,J137,"")</f>
        <v>0.34555752222201858</v>
      </c>
      <c r="M137">
        <f t="shared" si="44"/>
        <v>2.8938742052835598</v>
      </c>
    </row>
    <row r="138" spans="1:13" x14ac:dyDescent="0.3">
      <c r="A138">
        <v>216</v>
      </c>
      <c r="B138">
        <f t="shared" si="41"/>
        <v>0.73024404232558737</v>
      </c>
      <c r="C138">
        <f t="shared" si="37"/>
        <v>0.73024404232558737</v>
      </c>
      <c r="D138" t="s">
        <v>27</v>
      </c>
      <c r="E138" t="s">
        <v>21</v>
      </c>
      <c r="F138">
        <v>1</v>
      </c>
      <c r="G138">
        <f t="shared" si="42"/>
        <v>70</v>
      </c>
      <c r="I138">
        <v>2050</v>
      </c>
      <c r="J138" t="s">
        <v>25</v>
      </c>
      <c r="K138">
        <f t="shared" si="43"/>
        <v>72.5</v>
      </c>
      <c r="L138" cm="1">
        <f t="array" ref="L138">STOWA2024_JAARROND_T(A138*60,K138,I138,J138,"")</f>
        <v>0.4621861985104081</v>
      </c>
      <c r="M138">
        <f t="shared" si="44"/>
        <v>2.1636301629579724</v>
      </c>
    </row>
    <row r="139" spans="1:13" x14ac:dyDescent="0.3">
      <c r="A139">
        <v>216</v>
      </c>
      <c r="B139">
        <f t="shared" si="41"/>
        <v>0.54806164378406885</v>
      </c>
      <c r="C139">
        <f t="shared" si="37"/>
        <v>0.54806164378406885</v>
      </c>
      <c r="D139" t="s">
        <v>27</v>
      </c>
      <c r="E139" t="s">
        <v>21</v>
      </c>
      <c r="F139">
        <v>1</v>
      </c>
      <c r="G139">
        <f t="shared" si="42"/>
        <v>75</v>
      </c>
      <c r="I139">
        <v>2050</v>
      </c>
      <c r="J139" t="s">
        <v>25</v>
      </c>
      <c r="K139">
        <f t="shared" si="43"/>
        <v>77.5</v>
      </c>
      <c r="L139" cm="1">
        <f t="array" ref="L139">STOWA2024_JAARROND_T(A139*60,K139,I139,J139,"")</f>
        <v>0.61897715146822418</v>
      </c>
      <c r="M139">
        <f t="shared" si="44"/>
        <v>1.6155685191739035</v>
      </c>
    </row>
    <row r="140" spans="1:13" x14ac:dyDescent="0.3">
      <c r="A140">
        <v>216</v>
      </c>
      <c r="B140">
        <f t="shared" si="41"/>
        <v>0.4108106592258125</v>
      </c>
      <c r="C140">
        <f t="shared" si="37"/>
        <v>0.4108106592258125</v>
      </c>
      <c r="D140" t="s">
        <v>27</v>
      </c>
      <c r="E140" t="s">
        <v>21</v>
      </c>
      <c r="F140">
        <v>1</v>
      </c>
      <c r="G140">
        <f t="shared" si="42"/>
        <v>80</v>
      </c>
      <c r="I140">
        <v>2050</v>
      </c>
      <c r="J140" t="s">
        <v>25</v>
      </c>
      <c r="K140">
        <f t="shared" si="43"/>
        <v>82.5</v>
      </c>
      <c r="L140" cm="1">
        <f t="array" ref="L140">STOWA2024_JAARROND_T(A140*60,K140,I140,J140,"")</f>
        <v>0.8300423124386892</v>
      </c>
      <c r="M140">
        <f t="shared" si="44"/>
        <v>1.204757859948091</v>
      </c>
    </row>
    <row r="141" spans="1:13" x14ac:dyDescent="0.3">
      <c r="A141">
        <v>216</v>
      </c>
      <c r="B141">
        <f t="shared" si="41"/>
        <v>0.30743695023144935</v>
      </c>
      <c r="C141">
        <f t="shared" si="37"/>
        <v>0.30743695023144935</v>
      </c>
      <c r="D141" t="s">
        <v>27</v>
      </c>
      <c r="E141" t="s">
        <v>21</v>
      </c>
      <c r="F141">
        <v>1</v>
      </c>
      <c r="G141">
        <f t="shared" si="42"/>
        <v>85</v>
      </c>
      <c r="I141">
        <v>2050</v>
      </c>
      <c r="J141" t="s">
        <v>25</v>
      </c>
      <c r="K141">
        <f t="shared" si="43"/>
        <v>87.5</v>
      </c>
      <c r="L141" cm="1">
        <f t="array" ref="L141">STOWA2024_JAARROND_T(A141*60,K141,I141,J141,"")</f>
        <v>1.1144285050883107</v>
      </c>
      <c r="M141">
        <f t="shared" si="44"/>
        <v>0.89732090971664169</v>
      </c>
    </row>
    <row r="142" spans="1:13" x14ac:dyDescent="0.3">
      <c r="A142">
        <v>216</v>
      </c>
      <c r="B142">
        <f t="shared" si="41"/>
        <v>0.22993130941557172</v>
      </c>
      <c r="C142">
        <f t="shared" si="37"/>
        <v>0.22993130941557172</v>
      </c>
      <c r="D142" t="s">
        <v>27</v>
      </c>
      <c r="E142" t="s">
        <v>21</v>
      </c>
      <c r="F142">
        <v>1</v>
      </c>
      <c r="G142">
        <f t="shared" si="42"/>
        <v>90</v>
      </c>
      <c r="I142">
        <v>2050</v>
      </c>
      <c r="J142" t="s">
        <v>25</v>
      </c>
      <c r="K142">
        <f t="shared" si="43"/>
        <v>92.5</v>
      </c>
      <c r="L142" cm="1">
        <f t="array" ref="L142">STOWA2024_JAARROND_T(A142*60,K142,I142,J142,"")</f>
        <v>1.4983751612984144</v>
      </c>
      <c r="M142">
        <f t="shared" si="44"/>
        <v>0.66738960030106997</v>
      </c>
    </row>
    <row r="143" spans="1:13" x14ac:dyDescent="0.3">
      <c r="A143">
        <v>216</v>
      </c>
      <c r="B143">
        <f t="shared" si="41"/>
        <v>0.1716767610608097</v>
      </c>
      <c r="C143">
        <f t="shared" si="37"/>
        <v>0.1716767610608097</v>
      </c>
      <c r="D143" t="s">
        <v>27</v>
      </c>
      <c r="E143" t="s">
        <v>21</v>
      </c>
      <c r="F143">
        <v>1</v>
      </c>
      <c r="G143">
        <f t="shared" si="42"/>
        <v>95</v>
      </c>
      <c r="I143">
        <v>2050</v>
      </c>
      <c r="J143" t="s">
        <v>25</v>
      </c>
      <c r="K143">
        <f t="shared" si="43"/>
        <v>97.5</v>
      </c>
      <c r="L143" cm="1">
        <f t="array" ref="L143">STOWA2024_JAARROND_T(A143*60,K143,I143,J143,"")</f>
        <v>2.01729695267248</v>
      </c>
      <c r="M143">
        <f t="shared" si="44"/>
        <v>0.49571283924026027</v>
      </c>
    </row>
    <row r="144" spans="1:13" x14ac:dyDescent="0.3">
      <c r="A144">
        <v>216</v>
      </c>
      <c r="B144">
        <f t="shared" si="41"/>
        <v>0.12800748592716249</v>
      </c>
      <c r="C144">
        <f t="shared" si="37"/>
        <v>0.12800748592716249</v>
      </c>
      <c r="D144" t="s">
        <v>27</v>
      </c>
      <c r="E144" t="s">
        <v>21</v>
      </c>
      <c r="F144">
        <v>1</v>
      </c>
      <c r="G144">
        <f t="shared" si="42"/>
        <v>100</v>
      </c>
      <c r="I144">
        <v>2050</v>
      </c>
      <c r="J144" t="s">
        <v>25</v>
      </c>
      <c r="K144">
        <f t="shared" si="43"/>
        <v>102.5</v>
      </c>
      <c r="L144" cm="1">
        <f t="array" ref="L144">STOWA2024_JAARROND_T(A144*60,K144,I144,J144,"")</f>
        <v>2.7195687824226726</v>
      </c>
      <c r="M144">
        <f t="shared" si="44"/>
        <v>0.36770535331309778</v>
      </c>
    </row>
    <row r="145" spans="1:13" x14ac:dyDescent="0.3">
      <c r="A145">
        <v>216</v>
      </c>
      <c r="B145">
        <f t="shared" si="41"/>
        <v>9.5326147481523515E-2</v>
      </c>
      <c r="C145">
        <f t="shared" si="37"/>
        <v>9.5326147481523515E-2</v>
      </c>
      <c r="D145" t="s">
        <v>27</v>
      </c>
      <c r="E145" t="s">
        <v>21</v>
      </c>
      <c r="F145">
        <v>1</v>
      </c>
      <c r="G145">
        <f t="shared" si="42"/>
        <v>105</v>
      </c>
      <c r="I145">
        <v>2050</v>
      </c>
      <c r="J145" t="s">
        <v>25</v>
      </c>
      <c r="K145">
        <f t="shared" si="43"/>
        <v>107.5</v>
      </c>
      <c r="L145" cm="1">
        <f t="array" ref="L145">STOWA2024_JAARROND_T(A145*60,K145,I145,J145,"")</f>
        <v>3.6713522126147553</v>
      </c>
      <c r="M145">
        <f t="shared" si="44"/>
        <v>0.27237920583157427</v>
      </c>
    </row>
    <row r="146" spans="1:13" x14ac:dyDescent="0.3">
      <c r="A146">
        <v>216</v>
      </c>
      <c r="B146">
        <f t="shared" si="41"/>
        <v>7.0888657085864781E-2</v>
      </c>
      <c r="C146">
        <f t="shared" si="37"/>
        <v>7.0888657085864781E-2</v>
      </c>
      <c r="D146" t="s">
        <v>27</v>
      </c>
      <c r="E146" t="s">
        <v>21</v>
      </c>
      <c r="F146">
        <v>1</v>
      </c>
      <c r="G146">
        <f t="shared" si="42"/>
        <v>110</v>
      </c>
      <c r="I146">
        <v>2050</v>
      </c>
      <c r="J146" t="s">
        <v>25</v>
      </c>
      <c r="K146">
        <f t="shared" si="43"/>
        <v>112.5</v>
      </c>
      <c r="L146" cm="1">
        <f t="array" ref="L146">STOWA2024_JAARROND_T(A146*60,K146,I146,J146,"")</f>
        <v>4.9630119438606863</v>
      </c>
      <c r="M146">
        <f t="shared" si="44"/>
        <v>0.20149054874570949</v>
      </c>
    </row>
    <row r="147" spans="1:13" x14ac:dyDescent="0.3">
      <c r="A147">
        <v>216</v>
      </c>
      <c r="B147">
        <f t="shared" si="41"/>
        <v>5.2647033107982327E-2</v>
      </c>
      <c r="C147">
        <f t="shared" si="37"/>
        <v>5.2647033107982327E-2</v>
      </c>
      <c r="D147" t="s">
        <v>27</v>
      </c>
      <c r="E147" t="s">
        <v>21</v>
      </c>
      <c r="F147">
        <v>1</v>
      </c>
      <c r="G147">
        <f t="shared" si="42"/>
        <v>115</v>
      </c>
      <c r="I147">
        <v>2050</v>
      </c>
      <c r="J147" t="s">
        <v>25</v>
      </c>
      <c r="K147">
        <f t="shared" si="43"/>
        <v>117.5</v>
      </c>
      <c r="L147" cm="1">
        <f t="array" ref="L147">STOWA2024_JAARROND_T(A147*60,K147,I147,J147,"")</f>
        <v>6.7184653339814782</v>
      </c>
      <c r="M147">
        <f t="shared" si="44"/>
        <v>0.14884351563772716</v>
      </c>
    </row>
    <row r="148" spans="1:13" x14ac:dyDescent="0.3">
      <c r="A148">
        <v>216</v>
      </c>
      <c r="B148">
        <f t="shared" si="41"/>
        <v>3.9043870347734988E-2</v>
      </c>
      <c r="C148">
        <f t="shared" si="37"/>
        <v>3.9043870347734988E-2</v>
      </c>
      <c r="D148" t="s">
        <v>27</v>
      </c>
      <c r="E148" t="s">
        <v>21</v>
      </c>
      <c r="F148">
        <v>1</v>
      </c>
      <c r="G148">
        <f t="shared" si="42"/>
        <v>120</v>
      </c>
      <c r="I148">
        <v>2050</v>
      </c>
      <c r="J148" t="s">
        <v>25</v>
      </c>
      <c r="K148">
        <f t="shared" si="43"/>
        <v>122.5</v>
      </c>
      <c r="L148" cm="1">
        <f t="array" ref="L148">STOWA2024_JAARROND_T(A148*60,K148,I148,J148,"")</f>
        <v>9.1074975457242786</v>
      </c>
      <c r="M148">
        <f t="shared" si="44"/>
        <v>0.10979964528999217</v>
      </c>
    </row>
    <row r="149" spans="1:13" x14ac:dyDescent="0.3">
      <c r="A149">
        <v>216</v>
      </c>
      <c r="B149">
        <f t="shared" si="41"/>
        <v>2.8916346217634628E-2</v>
      </c>
      <c r="C149">
        <f t="shared" si="37"/>
        <v>2.8916346217634628E-2</v>
      </c>
      <c r="D149" t="s">
        <v>27</v>
      </c>
      <c r="E149" t="s">
        <v>21</v>
      </c>
      <c r="F149">
        <v>1</v>
      </c>
      <c r="G149">
        <f t="shared" si="42"/>
        <v>125</v>
      </c>
      <c r="I149">
        <v>2050</v>
      </c>
      <c r="J149" t="s">
        <v>25</v>
      </c>
      <c r="K149">
        <f t="shared" si="43"/>
        <v>127.5</v>
      </c>
      <c r="L149" cm="1">
        <f t="array" ref="L149">STOWA2024_JAARROND_T(A149*60,K149,I149,J149,"")</f>
        <v>12.363491740184932</v>
      </c>
      <c r="M149">
        <f t="shared" si="44"/>
        <v>8.0883299072357542E-2</v>
      </c>
    </row>
    <row r="150" spans="1:13" x14ac:dyDescent="0.3">
      <c r="A150">
        <v>216</v>
      </c>
      <c r="B150">
        <f t="shared" si="41"/>
        <v>2.1386305477147087E-2</v>
      </c>
      <c r="C150">
        <f t="shared" si="37"/>
        <v>2.1386305477147087E-2</v>
      </c>
      <c r="D150" t="s">
        <v>27</v>
      </c>
      <c r="E150" t="s">
        <v>21</v>
      </c>
      <c r="F150">
        <v>1</v>
      </c>
      <c r="G150">
        <f t="shared" si="42"/>
        <v>130</v>
      </c>
      <c r="I150">
        <v>2050</v>
      </c>
      <c r="J150" t="s">
        <v>25</v>
      </c>
      <c r="K150">
        <f t="shared" si="43"/>
        <v>132.5</v>
      </c>
      <c r="L150" cm="1">
        <f t="array" ref="L150">STOWA2024_JAARROND_T(A150*60,K150,I150,J150,"")</f>
        <v>16.807571938903827</v>
      </c>
      <c r="M150">
        <f t="shared" si="44"/>
        <v>5.9496993595210455E-2</v>
      </c>
    </row>
    <row r="151" spans="1:13" x14ac:dyDescent="0.3">
      <c r="A151">
        <v>216</v>
      </c>
      <c r="B151">
        <f t="shared" si="41"/>
        <v>1.5794157371691514E-2</v>
      </c>
      <c r="C151">
        <f t="shared" si="37"/>
        <v>1.5794157371691514E-2</v>
      </c>
      <c r="D151" t="s">
        <v>27</v>
      </c>
      <c r="E151" t="s">
        <v>21</v>
      </c>
      <c r="F151">
        <v>1</v>
      </c>
      <c r="G151">
        <f t="shared" si="42"/>
        <v>135</v>
      </c>
      <c r="I151">
        <v>2050</v>
      </c>
      <c r="J151" t="s">
        <v>25</v>
      </c>
      <c r="K151">
        <f t="shared" si="43"/>
        <v>137.5</v>
      </c>
      <c r="L151" cm="1">
        <f t="array" ref="L151">STOWA2024_JAARROND_T(A151*60,K151,I151,J151,"")</f>
        <v>22.88181011606391</v>
      </c>
      <c r="M151">
        <f t="shared" si="44"/>
        <v>4.3702836223518941E-2</v>
      </c>
    </row>
    <row r="152" spans="1:13" x14ac:dyDescent="0.3">
      <c r="A152">
        <v>216</v>
      </c>
      <c r="B152">
        <f t="shared" si="41"/>
        <v>1.1647979449776247E-2</v>
      </c>
      <c r="C152">
        <f t="shared" si="37"/>
        <v>1.1647979449776247E-2</v>
      </c>
      <c r="D152" t="s">
        <v>27</v>
      </c>
      <c r="E152" t="s">
        <v>21</v>
      </c>
      <c r="F152">
        <v>1</v>
      </c>
      <c r="G152">
        <f t="shared" si="42"/>
        <v>140</v>
      </c>
      <c r="I152">
        <v>2050</v>
      </c>
      <c r="J152" t="s">
        <v>25</v>
      </c>
      <c r="K152">
        <f t="shared" si="43"/>
        <v>142.5</v>
      </c>
      <c r="L152" cm="1">
        <f t="array" ref="L152">STOWA2024_JAARROND_T(A152*60,K152,I152,J152,"")</f>
        <v>31.196520610228916</v>
      </c>
      <c r="M152">
        <f t="shared" si="44"/>
        <v>3.2054856773742695E-2</v>
      </c>
    </row>
    <row r="153" spans="1:13" x14ac:dyDescent="0.3">
      <c r="A153">
        <v>216</v>
      </c>
      <c r="B153">
        <f t="shared" si="41"/>
        <v>8.5780514164266047E-3</v>
      </c>
      <c r="C153">
        <f t="shared" si="37"/>
        <v>8.5780514164266047E-3</v>
      </c>
      <c r="D153" t="s">
        <v>27</v>
      </c>
      <c r="E153" t="s">
        <v>21</v>
      </c>
      <c r="F153">
        <v>1</v>
      </c>
      <c r="G153">
        <f t="shared" si="42"/>
        <v>145</v>
      </c>
      <c r="I153">
        <v>2050</v>
      </c>
      <c r="J153" t="s">
        <v>25</v>
      </c>
      <c r="K153">
        <f t="shared" si="43"/>
        <v>147.5</v>
      </c>
      <c r="L153" cm="1">
        <f t="array" ref="L153">STOWA2024_JAARROND_T(A153*60,K153,I153,J153,"")</f>
        <v>42.595233243196333</v>
      </c>
      <c r="M153">
        <f t="shared" si="44"/>
        <v>2.347680535731609E-2</v>
      </c>
    </row>
    <row r="154" spans="1:13" x14ac:dyDescent="0.3">
      <c r="A154">
        <v>216</v>
      </c>
      <c r="B154">
        <f t="shared" si="41"/>
        <v>6.3078255583049886E-3</v>
      </c>
      <c r="C154">
        <f t="shared" si="37"/>
        <v>6.3078255583049886E-3</v>
      </c>
      <c r="D154" t="s">
        <v>27</v>
      </c>
      <c r="E154" t="s">
        <v>21</v>
      </c>
      <c r="F154">
        <v>1</v>
      </c>
      <c r="G154">
        <f t="shared" si="42"/>
        <v>150</v>
      </c>
      <c r="I154">
        <v>2050</v>
      </c>
      <c r="J154" t="s">
        <v>25</v>
      </c>
      <c r="K154">
        <f t="shared" si="43"/>
        <v>152.5</v>
      </c>
      <c r="L154" cm="1">
        <f t="array" ref="L154">STOWA2024_JAARROND_T(A154*60,K154,I154,J154,"")</f>
        <v>58.244578985269584</v>
      </c>
      <c r="M154">
        <f t="shared" si="44"/>
        <v>1.7168979799011101E-2</v>
      </c>
    </row>
    <row r="155" spans="1:13" x14ac:dyDescent="0.3">
      <c r="A155">
        <v>216</v>
      </c>
      <c r="B155">
        <f t="shared" si="41"/>
        <v>4.6318257652479648E-3</v>
      </c>
      <c r="C155">
        <f t="shared" si="37"/>
        <v>4.6318257652479648E-3</v>
      </c>
      <c r="D155" t="s">
        <v>27</v>
      </c>
      <c r="E155" t="s">
        <v>21</v>
      </c>
      <c r="F155">
        <v>1</v>
      </c>
      <c r="G155">
        <f t="shared" si="42"/>
        <v>155</v>
      </c>
      <c r="I155">
        <v>2050</v>
      </c>
      <c r="J155" t="s">
        <v>25</v>
      </c>
      <c r="K155">
        <f t="shared" si="43"/>
        <v>157.5</v>
      </c>
      <c r="L155" cm="1">
        <f t="array" ref="L155">STOWA2024_JAARROND_T(A155*60,K155,I155,J155,"")</f>
        <v>79.762918865553829</v>
      </c>
      <c r="M155">
        <f t="shared" si="44"/>
        <v>1.2537154033763136E-2</v>
      </c>
    </row>
    <row r="156" spans="1:13" x14ac:dyDescent="0.3">
      <c r="A156">
        <v>216</v>
      </c>
      <c r="B156" s="1">
        <f>M155</f>
        <v>1.2537154033763136E-2</v>
      </c>
      <c r="C156">
        <f t="shared" si="37"/>
        <v>1.2537154033763136E-2</v>
      </c>
      <c r="D156" t="s">
        <v>27</v>
      </c>
      <c r="E156" t="s">
        <v>21</v>
      </c>
      <c r="F156">
        <v>1</v>
      </c>
      <c r="G156">
        <f t="shared" si="42"/>
        <v>160</v>
      </c>
      <c r="I156">
        <v>2050</v>
      </c>
      <c r="J156" t="s">
        <v>25</v>
      </c>
      <c r="K156">
        <f>AVERAGE(G156:G157)</f>
        <v>160</v>
      </c>
      <c r="L156" cm="1">
        <f t="array" ref="L156">STOWA2024_JAARROND_T(A156*60,K156,I156,J156,"")</f>
        <v>93.393721281559436</v>
      </c>
      <c r="M156">
        <f>1/L156</f>
        <v>1.0707357906697414E-2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56"/>
  <sheetViews>
    <sheetView workbookViewId="0">
      <selection activeCell="G24" sqref="G24"/>
    </sheetView>
  </sheetViews>
  <sheetFormatPr defaultRowHeight="14.4" x14ac:dyDescent="0.3"/>
  <cols>
    <col min="4" max="4" width="23.5546875" bestFit="1" customWidth="1"/>
    <col min="6" max="6" width="4.21875" bestFit="1" customWidth="1"/>
    <col min="7" max="7" width="7.2187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357.60049671996666</v>
      </c>
      <c r="C2">
        <f>B2</f>
        <v>357.60049671996666</v>
      </c>
      <c r="D2" t="s">
        <v>23</v>
      </c>
      <c r="E2" t="s">
        <v>19</v>
      </c>
      <c r="F2">
        <v>1</v>
      </c>
      <c r="G2">
        <v>10</v>
      </c>
      <c r="I2">
        <v>2050</v>
      </c>
      <c r="J2" t="s">
        <v>25</v>
      </c>
      <c r="K2">
        <f>AVERAGE(G2:G4)</f>
        <v>15</v>
      </c>
      <c r="L2" cm="1">
        <f t="array" ref="L2">STOWA2024_NDJF_T(A2*60,K2,I2,J2,"")</f>
        <v>0.13072744247462362</v>
      </c>
      <c r="M2">
        <f>1/L2</f>
        <v>7.6495032800333158</v>
      </c>
    </row>
    <row r="3" spans="1:13" x14ac:dyDescent="0.3">
      <c r="A3">
        <v>24</v>
      </c>
      <c r="B3">
        <f t="shared" ref="B3:B7" si="0">M2-M3</f>
        <v>2.7871889893967587</v>
      </c>
      <c r="C3">
        <f t="shared" ref="C3:C32" si="1">B3</f>
        <v>2.7871889893967587</v>
      </c>
      <c r="D3" t="s">
        <v>23</v>
      </c>
      <c r="E3" t="s">
        <v>19</v>
      </c>
      <c r="F3">
        <v>1</v>
      </c>
      <c r="G3">
        <f t="shared" ref="G3:G7" si="2">G2+5</f>
        <v>15</v>
      </c>
      <c r="I3">
        <v>2050</v>
      </c>
      <c r="J3" t="s">
        <v>25</v>
      </c>
      <c r="K3">
        <f t="shared" ref="K3:K7" si="3">AVERAGE(G3:G4)</f>
        <v>17.5</v>
      </c>
      <c r="L3" cm="1">
        <f t="array" ref="L3">STOWA2024_NDJF_T(A3*60,K3,I3,J3,"")</f>
        <v>0.20566338172045301</v>
      </c>
      <c r="M3">
        <f t="shared" ref="M3:M7" si="4">1/L3</f>
        <v>4.8623142906365571</v>
      </c>
    </row>
    <row r="4" spans="1:13" x14ac:dyDescent="0.3">
      <c r="A4">
        <v>24</v>
      </c>
      <c r="B4">
        <f t="shared" si="0"/>
        <v>2.8122501856208979</v>
      </c>
      <c r="C4">
        <f t="shared" si="1"/>
        <v>2.8122501856208979</v>
      </c>
      <c r="D4" t="s">
        <v>23</v>
      </c>
      <c r="E4" t="s">
        <v>19</v>
      </c>
      <c r="F4">
        <v>1</v>
      </c>
      <c r="G4">
        <f t="shared" si="2"/>
        <v>20</v>
      </c>
      <c r="I4">
        <v>2050</v>
      </c>
      <c r="J4" t="s">
        <v>25</v>
      </c>
      <c r="K4">
        <f t="shared" si="3"/>
        <v>22.5</v>
      </c>
      <c r="L4" cm="1">
        <f t="array" ref="L4">STOWA2024_NDJF_T(A4*60,K4,I4,J4,"")</f>
        <v>0.48778962450657687</v>
      </c>
      <c r="M4">
        <f t="shared" si="4"/>
        <v>2.0500641050156592</v>
      </c>
    </row>
    <row r="5" spans="1:13" x14ac:dyDescent="0.3">
      <c r="A5">
        <v>24</v>
      </c>
      <c r="B5">
        <f t="shared" si="0"/>
        <v>1.1401185691782971</v>
      </c>
      <c r="C5">
        <f t="shared" si="1"/>
        <v>1.1401185691782971</v>
      </c>
      <c r="D5" t="s">
        <v>23</v>
      </c>
      <c r="E5" t="s">
        <v>19</v>
      </c>
      <c r="F5">
        <v>1</v>
      </c>
      <c r="G5">
        <f t="shared" si="2"/>
        <v>25</v>
      </c>
      <c r="I5">
        <v>2050</v>
      </c>
      <c r="J5" t="s">
        <v>25</v>
      </c>
      <c r="K5">
        <f t="shared" si="3"/>
        <v>27.5</v>
      </c>
      <c r="L5" cm="1">
        <f t="array" ref="L5">STOWA2024_NDJF_T(A5*60,K5,I5,J5,"")</f>
        <v>1.0989668728686786</v>
      </c>
      <c r="M5">
        <f t="shared" si="4"/>
        <v>0.90994553583736215</v>
      </c>
    </row>
    <row r="6" spans="1:13" x14ac:dyDescent="0.3">
      <c r="A6">
        <v>24</v>
      </c>
      <c r="B6">
        <f t="shared" si="0"/>
        <v>0.48731382736729706</v>
      </c>
      <c r="C6">
        <f t="shared" si="1"/>
        <v>0.48731382736729706</v>
      </c>
      <c r="D6" t="s">
        <v>23</v>
      </c>
      <c r="E6" t="s">
        <v>19</v>
      </c>
      <c r="F6">
        <v>1</v>
      </c>
      <c r="G6">
        <f t="shared" si="2"/>
        <v>30</v>
      </c>
      <c r="I6">
        <v>2050</v>
      </c>
      <c r="J6" t="s">
        <v>25</v>
      </c>
      <c r="K6">
        <f t="shared" si="3"/>
        <v>32.5</v>
      </c>
      <c r="L6" cm="1">
        <f t="array" ref="L6">STOWA2024_NDJF_T(A6*60,K6,I6,J6,"")</f>
        <v>2.3661262985212805</v>
      </c>
      <c r="M6">
        <f t="shared" si="4"/>
        <v>0.42263170847006509</v>
      </c>
    </row>
    <row r="7" spans="1:13" x14ac:dyDescent="0.3">
      <c r="A7">
        <v>24</v>
      </c>
      <c r="B7">
        <f t="shared" si="0"/>
        <v>0.21819398109318006</v>
      </c>
      <c r="C7">
        <f t="shared" si="1"/>
        <v>0.21819398109318006</v>
      </c>
      <c r="D7" t="s">
        <v>23</v>
      </c>
      <c r="E7" t="s">
        <v>19</v>
      </c>
      <c r="F7">
        <v>1</v>
      </c>
      <c r="G7">
        <f t="shared" si="2"/>
        <v>35</v>
      </c>
      <c r="I7">
        <v>2050</v>
      </c>
      <c r="J7" t="s">
        <v>25</v>
      </c>
      <c r="K7">
        <f t="shared" si="3"/>
        <v>37.5</v>
      </c>
      <c r="L7" cm="1">
        <f t="array" ref="L7">STOWA2024_NDJF_T(A7*60,K7,I7,J7,"")</f>
        <v>4.8914650579952887</v>
      </c>
      <c r="M7">
        <f t="shared" si="4"/>
        <v>0.20443772737688504</v>
      </c>
    </row>
    <row r="8" spans="1:13" x14ac:dyDescent="0.3">
      <c r="A8">
        <v>24</v>
      </c>
      <c r="B8">
        <f>M7-M8</f>
        <v>0.10186276077392298</v>
      </c>
      <c r="C8">
        <f t="shared" si="1"/>
        <v>0.10186276077392298</v>
      </c>
      <c r="D8" t="s">
        <v>23</v>
      </c>
      <c r="E8" t="s">
        <v>19</v>
      </c>
      <c r="F8">
        <v>1</v>
      </c>
      <c r="G8">
        <f>G7+5</f>
        <v>40</v>
      </c>
      <c r="I8">
        <v>2050</v>
      </c>
      <c r="J8" t="s">
        <v>25</v>
      </c>
      <c r="K8">
        <f>AVERAGE(G8:G9)</f>
        <v>42.5</v>
      </c>
      <c r="L8" cm="1">
        <f t="array" ref="L8">STOWA2024_NDJF_T(A8*60,K8,I8,J8,"")</f>
        <v>9.7489673466890796</v>
      </c>
      <c r="M8">
        <f>1/L8</f>
        <v>0.10257496660296206</v>
      </c>
    </row>
    <row r="9" spans="1:13" x14ac:dyDescent="0.3">
      <c r="A9">
        <v>24</v>
      </c>
      <c r="B9">
        <f t="shared" ref="B9:B31" si="5">M8-M9</f>
        <v>4.9378396261652496E-2</v>
      </c>
      <c r="C9">
        <f t="shared" si="1"/>
        <v>4.9378396261652496E-2</v>
      </c>
      <c r="D9" t="s">
        <v>23</v>
      </c>
      <c r="E9" t="s">
        <v>19</v>
      </c>
      <c r="F9">
        <v>1</v>
      </c>
      <c r="G9">
        <f t="shared" ref="G9:G32" si="6">G8+5</f>
        <v>45</v>
      </c>
      <c r="I9">
        <v>2050</v>
      </c>
      <c r="J9" t="s">
        <v>25</v>
      </c>
      <c r="K9">
        <f t="shared" ref="K9:K31" si="7">AVERAGE(G9:G10)</f>
        <v>47.5</v>
      </c>
      <c r="L9" cm="1">
        <f t="array" ref="L9">STOWA2024_NDJF_T(A9*60,K9,I9,J9,"")</f>
        <v>18.798204350092366</v>
      </c>
      <c r="M9">
        <f t="shared" ref="M9:M31" si="8">1/L9</f>
        <v>5.3196570341309563E-2</v>
      </c>
    </row>
    <row r="10" spans="1:13" x14ac:dyDescent="0.3">
      <c r="A10">
        <v>24</v>
      </c>
      <c r="B10">
        <f t="shared" si="5"/>
        <v>2.4767154109384477E-2</v>
      </c>
      <c r="C10">
        <f t="shared" si="1"/>
        <v>2.4767154109384477E-2</v>
      </c>
      <c r="D10" t="s">
        <v>23</v>
      </c>
      <c r="E10" t="s">
        <v>19</v>
      </c>
      <c r="F10">
        <v>1</v>
      </c>
      <c r="G10">
        <f t="shared" si="6"/>
        <v>50</v>
      </c>
      <c r="I10">
        <v>2050</v>
      </c>
      <c r="J10" t="s">
        <v>25</v>
      </c>
      <c r="K10">
        <f t="shared" si="7"/>
        <v>52.5</v>
      </c>
      <c r="L10" cm="1">
        <f t="array" ref="L10">STOWA2024_NDJF_T(A10*60,K10,I10,J10,"")</f>
        <v>35.174834116960881</v>
      </c>
      <c r="M10">
        <f t="shared" si="8"/>
        <v>2.8429416231925086E-2</v>
      </c>
    </row>
    <row r="11" spans="1:13" x14ac:dyDescent="0.3">
      <c r="A11">
        <v>24</v>
      </c>
      <c r="B11">
        <f t="shared" si="5"/>
        <v>1.2813774942871198E-2</v>
      </c>
      <c r="C11">
        <f t="shared" si="1"/>
        <v>1.2813774942871198E-2</v>
      </c>
      <c r="D11" t="s">
        <v>23</v>
      </c>
      <c r="E11" t="s">
        <v>19</v>
      </c>
      <c r="F11">
        <v>1</v>
      </c>
      <c r="G11">
        <f t="shared" si="6"/>
        <v>55</v>
      </c>
      <c r="I11">
        <v>2050</v>
      </c>
      <c r="J11" t="s">
        <v>25</v>
      </c>
      <c r="K11">
        <f t="shared" si="7"/>
        <v>57.5</v>
      </c>
      <c r="L11" cm="1">
        <f t="array" ref="L11">STOWA2024_NDJF_T(A11*60,K11,I11,J11,"")</f>
        <v>64.038356253801183</v>
      </c>
      <c r="M11">
        <f t="shared" si="8"/>
        <v>1.5615641289053888E-2</v>
      </c>
    </row>
    <row r="12" spans="1:13" x14ac:dyDescent="0.3">
      <c r="A12">
        <v>24</v>
      </c>
      <c r="B12">
        <f t="shared" si="5"/>
        <v>6.8202436277004976E-3</v>
      </c>
      <c r="C12">
        <f t="shared" si="1"/>
        <v>6.8202436277004976E-3</v>
      </c>
      <c r="D12" t="s">
        <v>23</v>
      </c>
      <c r="E12" t="s">
        <v>19</v>
      </c>
      <c r="F12">
        <v>1</v>
      </c>
      <c r="G12">
        <f t="shared" si="6"/>
        <v>60</v>
      </c>
      <c r="I12">
        <v>2050</v>
      </c>
      <c r="J12" t="s">
        <v>25</v>
      </c>
      <c r="K12">
        <f t="shared" si="7"/>
        <v>62.5</v>
      </c>
      <c r="L12" cm="1">
        <f t="array" ref="L12">STOWA2024_NDJF_T(A12*60,K12,I12,J12,"")</f>
        <v>113.69582576055181</v>
      </c>
      <c r="M12">
        <f t="shared" si="8"/>
        <v>8.7953976613533904E-3</v>
      </c>
    </row>
    <row r="13" spans="1:13" x14ac:dyDescent="0.3">
      <c r="A13">
        <v>24</v>
      </c>
      <c r="B13">
        <f t="shared" si="5"/>
        <v>3.7257470708145007E-3</v>
      </c>
      <c r="C13">
        <f t="shared" si="1"/>
        <v>3.7257470708145007E-3</v>
      </c>
      <c r="D13" t="s">
        <v>23</v>
      </c>
      <c r="E13" t="s">
        <v>19</v>
      </c>
      <c r="F13">
        <v>1</v>
      </c>
      <c r="G13">
        <f t="shared" si="6"/>
        <v>65</v>
      </c>
      <c r="I13">
        <v>2050</v>
      </c>
      <c r="J13" t="s">
        <v>25</v>
      </c>
      <c r="K13">
        <f t="shared" si="7"/>
        <v>67.5</v>
      </c>
      <c r="L13" cm="1">
        <f t="array" ref="L13">STOWA2024_NDJF_T(A13*60,K13,I13,J13,"")</f>
        <v>197.25225282117574</v>
      </c>
      <c r="M13">
        <f t="shared" si="8"/>
        <v>5.0696505905388897E-3</v>
      </c>
    </row>
    <row r="14" spans="1:13" x14ac:dyDescent="0.3">
      <c r="A14">
        <v>24</v>
      </c>
      <c r="B14">
        <f t="shared" si="5"/>
        <v>2.0845638847955036E-3</v>
      </c>
      <c r="C14">
        <f t="shared" si="1"/>
        <v>2.0845638847955036E-3</v>
      </c>
      <c r="D14" t="s">
        <v>23</v>
      </c>
      <c r="E14" t="s">
        <v>19</v>
      </c>
      <c r="F14">
        <v>1</v>
      </c>
      <c r="G14">
        <f t="shared" si="6"/>
        <v>70</v>
      </c>
      <c r="I14">
        <v>2050</v>
      </c>
      <c r="J14" t="s">
        <v>25</v>
      </c>
      <c r="K14">
        <f t="shared" si="7"/>
        <v>72.5</v>
      </c>
      <c r="L14" cm="1">
        <f t="array" ref="L14">STOWA2024_NDJF_T(A14*60,K14,I14,J14,"")</f>
        <v>334.9986444534336</v>
      </c>
      <c r="M14">
        <f t="shared" si="8"/>
        <v>2.9850867057433861E-3</v>
      </c>
    </row>
    <row r="15" spans="1:13" x14ac:dyDescent="0.3">
      <c r="A15">
        <v>24</v>
      </c>
      <c r="B15">
        <f t="shared" si="5"/>
        <v>1.1924438134650981E-3</v>
      </c>
      <c r="C15">
        <f t="shared" si="1"/>
        <v>1.1924438134650981E-3</v>
      </c>
      <c r="D15" t="s">
        <v>23</v>
      </c>
      <c r="E15" t="s">
        <v>19</v>
      </c>
      <c r="F15">
        <v>1</v>
      </c>
      <c r="G15">
        <f t="shared" si="6"/>
        <v>75</v>
      </c>
      <c r="I15">
        <v>2050</v>
      </c>
      <c r="J15" t="s">
        <v>25</v>
      </c>
      <c r="K15">
        <f t="shared" si="7"/>
        <v>77.5</v>
      </c>
      <c r="L15" cm="1">
        <f t="array" ref="L15">STOWA2024_NDJF_T(A15*60,K15,I15,J15,"")</f>
        <v>557.83558694676208</v>
      </c>
      <c r="M15">
        <f t="shared" si="8"/>
        <v>1.792642892278288E-3</v>
      </c>
    </row>
    <row r="16" spans="1:13" x14ac:dyDescent="0.3">
      <c r="A16">
        <v>24</v>
      </c>
      <c r="B16">
        <f t="shared" si="5"/>
        <v>6.9620732224589784E-4</v>
      </c>
      <c r="C16">
        <f t="shared" si="1"/>
        <v>6.9620732224589784E-4</v>
      </c>
      <c r="D16" t="s">
        <v>23</v>
      </c>
      <c r="E16" t="s">
        <v>19</v>
      </c>
      <c r="F16">
        <v>1</v>
      </c>
      <c r="G16">
        <f t="shared" si="6"/>
        <v>80</v>
      </c>
      <c r="I16">
        <v>2050</v>
      </c>
      <c r="J16" t="s">
        <v>25</v>
      </c>
      <c r="K16">
        <f t="shared" si="7"/>
        <v>82.5</v>
      </c>
      <c r="L16" cm="1">
        <f t="array" ref="L16">STOWA2024_NDJF_T(A16*60,K16,I16,J16,"")</f>
        <v>912.04629558894976</v>
      </c>
      <c r="M16">
        <f t="shared" si="8"/>
        <v>1.0964355700323902E-3</v>
      </c>
    </row>
    <row r="17" spans="1:13" x14ac:dyDescent="0.3">
      <c r="A17">
        <v>24</v>
      </c>
      <c r="B17">
        <f t="shared" si="5"/>
        <v>4.1429536073706128E-4</v>
      </c>
      <c r="C17">
        <f t="shared" si="1"/>
        <v>4.1429536073706128E-4</v>
      </c>
      <c r="D17" t="s">
        <v>23</v>
      </c>
      <c r="E17" t="s">
        <v>19</v>
      </c>
      <c r="F17">
        <v>1</v>
      </c>
      <c r="G17">
        <f t="shared" si="6"/>
        <v>85</v>
      </c>
      <c r="I17">
        <v>2050</v>
      </c>
      <c r="J17" t="s">
        <v>25</v>
      </c>
      <c r="K17">
        <f t="shared" si="7"/>
        <v>87.5</v>
      </c>
      <c r="L17" cm="1">
        <f t="array" ref="L17">STOWA2024_NDJF_T(A17*60,K17,I17,J17,"")</f>
        <v>1465.9742768030485</v>
      </c>
      <c r="M17">
        <f t="shared" si="8"/>
        <v>6.8214020929532892E-4</v>
      </c>
    </row>
    <row r="18" spans="1:13" x14ac:dyDescent="0.3">
      <c r="A18">
        <v>24</v>
      </c>
      <c r="B18">
        <f t="shared" si="5"/>
        <v>2.5095713812625393E-4</v>
      </c>
      <c r="C18">
        <f t="shared" si="1"/>
        <v>2.5095713812625393E-4</v>
      </c>
      <c r="D18" t="s">
        <v>23</v>
      </c>
      <c r="E18" t="s">
        <v>19</v>
      </c>
      <c r="F18">
        <v>1</v>
      </c>
      <c r="G18">
        <f t="shared" si="6"/>
        <v>90</v>
      </c>
      <c r="I18">
        <v>2050</v>
      </c>
      <c r="J18" t="s">
        <v>25</v>
      </c>
      <c r="K18">
        <f t="shared" si="7"/>
        <v>92.5</v>
      </c>
      <c r="L18" cm="1">
        <f t="array" ref="L18">STOWA2024_NDJF_T(A18*60,K18,I18,J18,"")</f>
        <v>2319.2005133426983</v>
      </c>
      <c r="M18">
        <f t="shared" si="8"/>
        <v>4.31183071169075E-4</v>
      </c>
    </row>
    <row r="19" spans="1:13" x14ac:dyDescent="0.3">
      <c r="A19">
        <v>24</v>
      </c>
      <c r="B19">
        <f t="shared" si="5"/>
        <v>1.5454981335697116E-4</v>
      </c>
      <c r="C19">
        <f t="shared" si="1"/>
        <v>1.5454981335697116E-4</v>
      </c>
      <c r="D19" t="s">
        <v>23</v>
      </c>
      <c r="E19" t="s">
        <v>19</v>
      </c>
      <c r="F19">
        <v>1</v>
      </c>
      <c r="G19">
        <f t="shared" si="6"/>
        <v>95</v>
      </c>
      <c r="I19">
        <v>2050</v>
      </c>
      <c r="J19" t="s">
        <v>25</v>
      </c>
      <c r="K19">
        <f t="shared" si="7"/>
        <v>97.5</v>
      </c>
      <c r="L19" cm="1">
        <f t="array" ref="L19">STOWA2024_NDJF_T(A19*60,K19,I19,J19,"")</f>
        <v>3614.8943475163233</v>
      </c>
      <c r="M19">
        <f t="shared" si="8"/>
        <v>2.7663325781210384E-4</v>
      </c>
    </row>
    <row r="20" spans="1:13" x14ac:dyDescent="0.3">
      <c r="A20">
        <v>24</v>
      </c>
      <c r="B20">
        <f t="shared" si="5"/>
        <v>9.6663295657539229E-5</v>
      </c>
      <c r="C20">
        <f t="shared" si="1"/>
        <v>9.6663295657539229E-5</v>
      </c>
      <c r="D20" t="s">
        <v>23</v>
      </c>
      <c r="E20" t="s">
        <v>19</v>
      </c>
      <c r="F20">
        <v>1</v>
      </c>
      <c r="G20">
        <f t="shared" si="6"/>
        <v>100</v>
      </c>
      <c r="I20">
        <v>2050</v>
      </c>
      <c r="J20" t="s">
        <v>25</v>
      </c>
      <c r="K20">
        <f t="shared" si="7"/>
        <v>102.5</v>
      </c>
      <c r="L20" cm="1">
        <f t="array" ref="L20">STOWA2024_NDJF_T(A20*60,K20,I20,J20,"")</f>
        <v>5556.4828042868867</v>
      </c>
      <c r="M20">
        <f t="shared" si="8"/>
        <v>1.7996996215456461E-4</v>
      </c>
    </row>
    <row r="21" spans="1:13" x14ac:dyDescent="0.3">
      <c r="A21">
        <v>24</v>
      </c>
      <c r="B21">
        <f t="shared" si="5"/>
        <v>6.134574259666831E-5</v>
      </c>
      <c r="C21">
        <f t="shared" si="1"/>
        <v>6.134574259666831E-5</v>
      </c>
      <c r="D21" t="s">
        <v>23</v>
      </c>
      <c r="E21" t="s">
        <v>19</v>
      </c>
      <c r="F21">
        <v>1</v>
      </c>
      <c r="G21">
        <f t="shared" si="6"/>
        <v>105</v>
      </c>
      <c r="I21">
        <v>2050</v>
      </c>
      <c r="J21" t="s">
        <v>25</v>
      </c>
      <c r="K21">
        <f t="shared" si="7"/>
        <v>107.5</v>
      </c>
      <c r="L21" cm="1">
        <f t="array" ref="L21">STOWA2024_NDJF_T(A21*60,K21,I21,J21,"")</f>
        <v>8429.9816995797828</v>
      </c>
      <c r="M21">
        <f t="shared" si="8"/>
        <v>1.186242195578963E-4</v>
      </c>
    </row>
    <row r="22" spans="1:13" x14ac:dyDescent="0.3">
      <c r="A22">
        <v>24</v>
      </c>
      <c r="B22">
        <f t="shared" si="5"/>
        <v>3.9466067834288945E-5</v>
      </c>
      <c r="C22">
        <f t="shared" si="1"/>
        <v>3.9466067834288945E-5</v>
      </c>
      <c r="D22" t="s">
        <v>23</v>
      </c>
      <c r="E22" t="s">
        <v>19</v>
      </c>
      <c r="F22">
        <v>1</v>
      </c>
      <c r="G22">
        <f t="shared" si="6"/>
        <v>110</v>
      </c>
      <c r="I22">
        <v>2050</v>
      </c>
      <c r="J22" t="s">
        <v>25</v>
      </c>
      <c r="K22">
        <f t="shared" si="7"/>
        <v>112.5</v>
      </c>
      <c r="L22" cm="1">
        <f t="array" ref="L22">STOWA2024_NDJF_T(A22*60,K22,I22,J22,"")</f>
        <v>12632.937710466651</v>
      </c>
      <c r="M22">
        <f t="shared" si="8"/>
        <v>7.9158151723607355E-5</v>
      </c>
    </row>
    <row r="23" spans="1:13" x14ac:dyDescent="0.3">
      <c r="A23">
        <v>24</v>
      </c>
      <c r="B23">
        <f t="shared" si="5"/>
        <v>2.5719337082877191E-5</v>
      </c>
      <c r="C23">
        <f t="shared" si="1"/>
        <v>2.5719337082877191E-5</v>
      </c>
      <c r="D23" t="s">
        <v>23</v>
      </c>
      <c r="E23" t="s">
        <v>19</v>
      </c>
      <c r="F23">
        <v>1</v>
      </c>
      <c r="G23">
        <f t="shared" si="6"/>
        <v>115</v>
      </c>
      <c r="I23">
        <v>2050</v>
      </c>
      <c r="J23" t="s">
        <v>25</v>
      </c>
      <c r="K23">
        <f t="shared" si="7"/>
        <v>117.5</v>
      </c>
      <c r="L23" cm="1">
        <f t="array" ref="L23">STOWA2024_NDJF_T(A23*60,K23,I23,J23,"")</f>
        <v>18712.989925450496</v>
      </c>
      <c r="M23">
        <f t="shared" si="8"/>
        <v>5.3438814640730164E-5</v>
      </c>
    </row>
    <row r="24" spans="1:13" x14ac:dyDescent="0.3">
      <c r="A24">
        <v>24</v>
      </c>
      <c r="B24">
        <f t="shared" si="5"/>
        <v>1.6965445832728392E-5</v>
      </c>
      <c r="C24">
        <f t="shared" si="1"/>
        <v>1.6965445832728392E-5</v>
      </c>
      <c r="D24" t="s">
        <v>23</v>
      </c>
      <c r="E24" t="s">
        <v>19</v>
      </c>
      <c r="F24">
        <v>1</v>
      </c>
      <c r="G24">
        <f t="shared" si="6"/>
        <v>120</v>
      </c>
      <c r="I24">
        <v>2050</v>
      </c>
      <c r="J24" t="s">
        <v>25</v>
      </c>
      <c r="K24">
        <f t="shared" si="7"/>
        <v>122.5</v>
      </c>
      <c r="L24" cm="1">
        <f t="array" ref="L24">STOWA2024_NDJF_T(A24*60,K24,I24,J24,"")</f>
        <v>27417.264505071253</v>
      </c>
      <c r="M24">
        <f t="shared" si="8"/>
        <v>3.6473368808001772E-5</v>
      </c>
    </row>
    <row r="25" spans="1:13" x14ac:dyDescent="0.3">
      <c r="A25">
        <v>24</v>
      </c>
      <c r="B25">
        <f t="shared" si="5"/>
        <v>1.1320084222018438E-5</v>
      </c>
      <c r="C25">
        <f t="shared" si="1"/>
        <v>1.1320084222018438E-5</v>
      </c>
      <c r="D25" t="s">
        <v>23</v>
      </c>
      <c r="E25" t="s">
        <v>19</v>
      </c>
      <c r="F25">
        <v>1</v>
      </c>
      <c r="G25">
        <f t="shared" si="6"/>
        <v>125</v>
      </c>
      <c r="I25">
        <v>2050</v>
      </c>
      <c r="J25" t="s">
        <v>25</v>
      </c>
      <c r="K25">
        <f t="shared" si="7"/>
        <v>127.5</v>
      </c>
      <c r="L25" cm="1">
        <f t="array" ref="L25">STOWA2024_NDJF_T(A25*60,K25,I25,J25,"")</f>
        <v>39756.239253033775</v>
      </c>
      <c r="M25">
        <f t="shared" si="8"/>
        <v>2.5153284585983334E-5</v>
      </c>
    </row>
    <row r="26" spans="1:13" x14ac:dyDescent="0.3">
      <c r="A26">
        <v>24</v>
      </c>
      <c r="B26">
        <f t="shared" si="5"/>
        <v>7.6356434242727109E-6</v>
      </c>
      <c r="C26">
        <f t="shared" si="1"/>
        <v>7.6356434242727109E-6</v>
      </c>
      <c r="D26" t="s">
        <v>23</v>
      </c>
      <c r="E26" t="s">
        <v>19</v>
      </c>
      <c r="F26">
        <v>1</v>
      </c>
      <c r="G26">
        <f t="shared" si="6"/>
        <v>130</v>
      </c>
      <c r="I26">
        <v>2050</v>
      </c>
      <c r="J26" t="s">
        <v>25</v>
      </c>
      <c r="K26">
        <f t="shared" si="7"/>
        <v>132.5</v>
      </c>
      <c r="L26" cm="1">
        <f t="array" ref="L26">STOWA2024_NDJF_T(A26*60,K26,I26,J26,"")</f>
        <v>57085.311359486055</v>
      </c>
      <c r="M26">
        <f t="shared" si="8"/>
        <v>1.7517641161710623E-5</v>
      </c>
    </row>
    <row r="27" spans="1:13" x14ac:dyDescent="0.3">
      <c r="A27">
        <v>24</v>
      </c>
      <c r="B27">
        <f t="shared" si="5"/>
        <v>5.2035609690456676E-6</v>
      </c>
      <c r="C27">
        <f t="shared" si="1"/>
        <v>5.2035609690456676E-6</v>
      </c>
      <c r="D27" t="s">
        <v>23</v>
      </c>
      <c r="E27" t="s">
        <v>19</v>
      </c>
      <c r="F27">
        <v>1</v>
      </c>
      <c r="G27">
        <f t="shared" si="6"/>
        <v>135</v>
      </c>
      <c r="I27">
        <v>2050</v>
      </c>
      <c r="J27" t="s">
        <v>25</v>
      </c>
      <c r="K27">
        <f t="shared" si="7"/>
        <v>137.5</v>
      </c>
      <c r="L27" cm="1">
        <f t="array" ref="L27">STOWA2024_NDJF_T(A27*60,K27,I27,J27,"")</f>
        <v>81207.851853657994</v>
      </c>
      <c r="M27">
        <f t="shared" si="8"/>
        <v>1.2314080192664955E-5</v>
      </c>
    </row>
    <row r="28" spans="1:13" x14ac:dyDescent="0.3">
      <c r="A28">
        <v>24</v>
      </c>
      <c r="B28">
        <f t="shared" si="5"/>
        <v>3.5810398395822643E-6</v>
      </c>
      <c r="C28">
        <f t="shared" si="1"/>
        <v>3.5810398395822643E-6</v>
      </c>
      <c r="D28" t="s">
        <v>23</v>
      </c>
      <c r="E28" t="s">
        <v>19</v>
      </c>
      <c r="F28">
        <v>1</v>
      </c>
      <c r="G28">
        <f t="shared" si="6"/>
        <v>140</v>
      </c>
      <c r="I28">
        <v>2050</v>
      </c>
      <c r="J28" t="s">
        <v>25</v>
      </c>
      <c r="K28">
        <f t="shared" si="7"/>
        <v>142.5</v>
      </c>
      <c r="L28" cm="1">
        <f t="array" ref="L28">STOWA2024_NDJF_T(A28*60,K28,I28,J28,"")</f>
        <v>114507.65822317635</v>
      </c>
      <c r="M28">
        <f t="shared" si="8"/>
        <v>8.733040353082691E-6</v>
      </c>
    </row>
    <row r="29" spans="1:13" x14ac:dyDescent="0.3">
      <c r="A29">
        <v>24</v>
      </c>
      <c r="B29">
        <f t="shared" si="5"/>
        <v>2.4873421967583122E-6</v>
      </c>
      <c r="C29">
        <f t="shared" si="1"/>
        <v>2.4873421967583122E-6</v>
      </c>
      <c r="D29" t="s">
        <v>23</v>
      </c>
      <c r="E29" t="s">
        <v>19</v>
      </c>
      <c r="F29">
        <v>1</v>
      </c>
      <c r="G29">
        <f t="shared" si="6"/>
        <v>145</v>
      </c>
      <c r="I29">
        <v>2050</v>
      </c>
      <c r="J29" t="s">
        <v>25</v>
      </c>
      <c r="K29">
        <f t="shared" si="7"/>
        <v>147.5</v>
      </c>
      <c r="L29" cm="1">
        <f t="array" ref="L29">STOWA2024_NDJF_T(A29*60,K29,I29,J29,"")</f>
        <v>160110.2030503031</v>
      </c>
      <c r="M29">
        <f t="shared" si="8"/>
        <v>6.2456981563243787E-6</v>
      </c>
    </row>
    <row r="30" spans="1:13" x14ac:dyDescent="0.3">
      <c r="A30">
        <v>24</v>
      </c>
      <c r="B30">
        <f t="shared" si="5"/>
        <v>1.7429621286297748E-6</v>
      </c>
      <c r="C30">
        <f t="shared" si="1"/>
        <v>1.7429621286297748E-6</v>
      </c>
      <c r="D30" t="s">
        <v>23</v>
      </c>
      <c r="E30" t="s">
        <v>19</v>
      </c>
      <c r="F30">
        <v>1</v>
      </c>
      <c r="G30">
        <f t="shared" si="6"/>
        <v>150</v>
      </c>
      <c r="I30">
        <v>2050</v>
      </c>
      <c r="J30" t="s">
        <v>25</v>
      </c>
      <c r="K30">
        <f t="shared" si="7"/>
        <v>152.5</v>
      </c>
      <c r="L30" cm="1">
        <f t="array" ref="L30">STOWA2024_NDJF_T(A30*60,K30,I30,J30,"")</f>
        <v>222087.19184277806</v>
      </c>
      <c r="M30">
        <f t="shared" si="8"/>
        <v>4.5027360276946039E-6</v>
      </c>
    </row>
    <row r="31" spans="1:13" x14ac:dyDescent="0.3">
      <c r="A31">
        <v>24</v>
      </c>
      <c r="B31">
        <f t="shared" si="5"/>
        <v>1.2317044256633355E-6</v>
      </c>
      <c r="C31">
        <f t="shared" si="1"/>
        <v>1.2317044256633355E-6</v>
      </c>
      <c r="D31" t="s">
        <v>23</v>
      </c>
      <c r="E31" t="s">
        <v>19</v>
      </c>
      <c r="F31">
        <v>1</v>
      </c>
      <c r="G31">
        <f t="shared" si="6"/>
        <v>155</v>
      </c>
      <c r="I31">
        <v>2050</v>
      </c>
      <c r="J31" t="s">
        <v>25</v>
      </c>
      <c r="K31">
        <f t="shared" si="7"/>
        <v>157.5</v>
      </c>
      <c r="L31" cm="1">
        <f t="array" ref="L31">STOWA2024_NDJF_T(A31*60,K31,I31,J31,"")</f>
        <v>305713.95255827333</v>
      </c>
      <c r="M31">
        <f t="shared" si="8"/>
        <v>3.2710316020312684E-6</v>
      </c>
    </row>
    <row r="32" spans="1:13" x14ac:dyDescent="0.3">
      <c r="A32">
        <v>24</v>
      </c>
      <c r="B32" s="1">
        <f>M31</f>
        <v>3.2710316020312684E-6</v>
      </c>
      <c r="C32">
        <f t="shared" si="1"/>
        <v>3.2710316020312684E-6</v>
      </c>
      <c r="D32" t="s">
        <v>23</v>
      </c>
      <c r="E32" t="s">
        <v>19</v>
      </c>
      <c r="F32">
        <v>1</v>
      </c>
      <c r="G32">
        <f t="shared" si="6"/>
        <v>160</v>
      </c>
      <c r="I32">
        <v>2050</v>
      </c>
      <c r="J32" t="s">
        <v>25</v>
      </c>
      <c r="K32">
        <f>AVERAGE(G32:G33)</f>
        <v>85</v>
      </c>
      <c r="L32" cm="1">
        <f t="array" ref="L32">STOWA2024_NDJF_T(A32*60,K32,I32,J32,"")</f>
        <v>1158.6815586136599</v>
      </c>
      <c r="M32">
        <f>1/L32</f>
        <v>8.6304989715766311E-4</v>
      </c>
    </row>
    <row r="33" spans="1:13" x14ac:dyDescent="0.3">
      <c r="A33">
        <v>48</v>
      </c>
      <c r="B33" s="1">
        <f>365.25*24/A33 - M33</f>
        <v>168.02356450074973</v>
      </c>
      <c r="C33">
        <f>B33</f>
        <v>168.02356450074973</v>
      </c>
      <c r="D33" t="s">
        <v>23</v>
      </c>
      <c r="E33" t="s">
        <v>19</v>
      </c>
      <c r="F33">
        <v>1</v>
      </c>
      <c r="G33">
        <v>10</v>
      </c>
      <c r="I33">
        <v>2050</v>
      </c>
      <c r="J33" t="s">
        <v>25</v>
      </c>
      <c r="K33">
        <f>AVERAGE(G33:G35)</f>
        <v>15</v>
      </c>
      <c r="L33" cm="1">
        <f t="array" ref="L33">STOWA2024_NDJF_T(A33*60,K33,I33,J33,"")</f>
        <v>6.8486416972587838E-2</v>
      </c>
      <c r="M33">
        <f>1/L33</f>
        <v>14.601435499250266</v>
      </c>
    </row>
    <row r="34" spans="1:13" x14ac:dyDescent="0.3">
      <c r="A34">
        <v>48</v>
      </c>
      <c r="B34">
        <f t="shared" ref="B34:B38" si="9">M33-M34</f>
        <v>4.23150819120786</v>
      </c>
      <c r="C34">
        <f t="shared" ref="C34:C63" si="10">B34</f>
        <v>4.23150819120786</v>
      </c>
      <c r="D34" t="s">
        <v>23</v>
      </c>
      <c r="E34" t="s">
        <v>19</v>
      </c>
      <c r="F34">
        <v>1</v>
      </c>
      <c r="G34">
        <f t="shared" ref="G34:G38" si="11">G33+5</f>
        <v>15</v>
      </c>
      <c r="I34">
        <v>2050</v>
      </c>
      <c r="J34" t="s">
        <v>25</v>
      </c>
      <c r="K34">
        <f t="shared" ref="K34:K38" si="12">AVERAGE(G34:G35)</f>
        <v>17.5</v>
      </c>
      <c r="L34" cm="1">
        <f t="array" ref="L34">STOWA2024_NDJF_T(A34*60,K34,I34,J34,"")</f>
        <v>9.6432691406086249E-2</v>
      </c>
      <c r="M34">
        <f t="shared" ref="M34:M38" si="13">1/L34</f>
        <v>10.369927308042406</v>
      </c>
    </row>
    <row r="35" spans="1:13" x14ac:dyDescent="0.3">
      <c r="A35">
        <v>48</v>
      </c>
      <c r="B35">
        <f t="shared" si="9"/>
        <v>5.0386283569288626</v>
      </c>
      <c r="C35">
        <f t="shared" si="10"/>
        <v>5.0386283569288626</v>
      </c>
      <c r="D35" t="s">
        <v>23</v>
      </c>
      <c r="E35" t="s">
        <v>19</v>
      </c>
      <c r="F35">
        <v>1</v>
      </c>
      <c r="G35">
        <f t="shared" si="11"/>
        <v>20</v>
      </c>
      <c r="I35">
        <v>2050</v>
      </c>
      <c r="J35" t="s">
        <v>25</v>
      </c>
      <c r="K35">
        <f t="shared" si="12"/>
        <v>22.5</v>
      </c>
      <c r="L35" cm="1">
        <f t="array" ref="L35">STOWA2024_NDJF_T(A35*60,K35,I35,J35,"")</f>
        <v>0.18757154854186725</v>
      </c>
      <c r="M35">
        <f t="shared" si="13"/>
        <v>5.3312989511135438</v>
      </c>
    </row>
    <row r="36" spans="1:13" x14ac:dyDescent="0.3">
      <c r="A36">
        <v>48</v>
      </c>
      <c r="B36">
        <f t="shared" si="9"/>
        <v>2.5241588096480476</v>
      </c>
      <c r="C36">
        <f t="shared" si="10"/>
        <v>2.5241588096480476</v>
      </c>
      <c r="D36" t="s">
        <v>23</v>
      </c>
      <c r="E36" t="s">
        <v>19</v>
      </c>
      <c r="F36">
        <v>1</v>
      </c>
      <c r="G36">
        <f t="shared" si="11"/>
        <v>25</v>
      </c>
      <c r="I36">
        <v>2050</v>
      </c>
      <c r="J36" t="s">
        <v>25</v>
      </c>
      <c r="K36">
        <f t="shared" si="12"/>
        <v>27.5</v>
      </c>
      <c r="L36" cm="1">
        <f t="array" ref="L36">STOWA2024_NDJF_T(A36*60,K36,I36,J36,"")</f>
        <v>0.35623444131932075</v>
      </c>
      <c r="M36">
        <f t="shared" si="13"/>
        <v>2.8071401414654962</v>
      </c>
    </row>
    <row r="37" spans="1:13" x14ac:dyDescent="0.3">
      <c r="A37">
        <v>48</v>
      </c>
      <c r="B37">
        <f t="shared" si="9"/>
        <v>1.2958127288802077</v>
      </c>
      <c r="C37">
        <f t="shared" si="10"/>
        <v>1.2958127288802077</v>
      </c>
      <c r="D37" t="s">
        <v>23</v>
      </c>
      <c r="E37" t="s">
        <v>19</v>
      </c>
      <c r="F37">
        <v>1</v>
      </c>
      <c r="G37">
        <f t="shared" si="11"/>
        <v>30</v>
      </c>
      <c r="I37">
        <v>2050</v>
      </c>
      <c r="J37" t="s">
        <v>25</v>
      </c>
      <c r="K37">
        <f t="shared" si="12"/>
        <v>32.5</v>
      </c>
      <c r="L37" cm="1">
        <f t="array" ref="L37">STOWA2024_NDJF_T(A37*60,K37,I37,J37,"")</f>
        <v>0.66166999398852444</v>
      </c>
      <c r="M37">
        <f t="shared" si="13"/>
        <v>1.5113274125852885</v>
      </c>
    </row>
    <row r="38" spans="1:13" x14ac:dyDescent="0.3">
      <c r="A38">
        <v>48</v>
      </c>
      <c r="B38">
        <f t="shared" si="9"/>
        <v>0.68047108432739178</v>
      </c>
      <c r="C38">
        <f t="shared" si="10"/>
        <v>0.68047108432739178</v>
      </c>
      <c r="D38" t="s">
        <v>23</v>
      </c>
      <c r="E38" t="s">
        <v>19</v>
      </c>
      <c r="F38">
        <v>1</v>
      </c>
      <c r="G38">
        <f t="shared" si="11"/>
        <v>35</v>
      </c>
      <c r="I38">
        <v>2050</v>
      </c>
      <c r="J38" t="s">
        <v>25</v>
      </c>
      <c r="K38">
        <f t="shared" si="12"/>
        <v>37.5</v>
      </c>
      <c r="L38" cm="1">
        <f t="array" ref="L38">STOWA2024_NDJF_T(A38*60,K38,I38,J38,"")</f>
        <v>1.2035775211542967</v>
      </c>
      <c r="M38">
        <f t="shared" si="13"/>
        <v>0.83085632825789668</v>
      </c>
    </row>
    <row r="39" spans="1:13" x14ac:dyDescent="0.3">
      <c r="A39">
        <v>48</v>
      </c>
      <c r="B39">
        <f>M38-M39</f>
        <v>0.36520003520040911</v>
      </c>
      <c r="C39">
        <f t="shared" si="10"/>
        <v>0.36520003520040911</v>
      </c>
      <c r="D39" t="s">
        <v>23</v>
      </c>
      <c r="E39" t="s">
        <v>19</v>
      </c>
      <c r="F39">
        <v>1</v>
      </c>
      <c r="G39">
        <f>G38+5</f>
        <v>40</v>
      </c>
      <c r="I39">
        <v>2050</v>
      </c>
      <c r="J39" t="s">
        <v>25</v>
      </c>
      <c r="K39">
        <f>AVERAGE(G39:G40)</f>
        <v>42.5</v>
      </c>
      <c r="L39" cm="1">
        <f t="array" ref="L39">STOWA2024_NDJF_T(A39*60,K39,I39,J39,"")</f>
        <v>2.1475066801610798</v>
      </c>
      <c r="M39">
        <f>1/L39</f>
        <v>0.46565629305748757</v>
      </c>
    </row>
    <row r="40" spans="1:13" x14ac:dyDescent="0.3">
      <c r="A40">
        <v>48</v>
      </c>
      <c r="B40">
        <f t="shared" ref="B40:B62" si="14">M39-M40</f>
        <v>0.19988870728549202</v>
      </c>
      <c r="C40">
        <f t="shared" si="10"/>
        <v>0.19988870728549202</v>
      </c>
      <c r="D40" t="s">
        <v>23</v>
      </c>
      <c r="E40" t="s">
        <v>19</v>
      </c>
      <c r="F40">
        <v>1</v>
      </c>
      <c r="G40">
        <f t="shared" ref="G40:G63" si="15">G39+5</f>
        <v>45</v>
      </c>
      <c r="I40">
        <v>2050</v>
      </c>
      <c r="J40" t="s">
        <v>25</v>
      </c>
      <c r="K40">
        <f t="shared" ref="K40:K62" si="16">AVERAGE(G40:G41)</f>
        <v>47.5</v>
      </c>
      <c r="L40" cm="1">
        <f t="array" ref="L40">STOWA2024_NDJF_T(A40*60,K40,I40,J40,"")</f>
        <v>3.7626860969339924</v>
      </c>
      <c r="M40">
        <f t="shared" ref="M40:M62" si="17">1/L40</f>
        <v>0.26576758577199555</v>
      </c>
    </row>
    <row r="41" spans="1:13" x14ac:dyDescent="0.3">
      <c r="A41">
        <v>48</v>
      </c>
      <c r="B41">
        <f t="shared" si="14"/>
        <v>0.11147093496962798</v>
      </c>
      <c r="C41">
        <f t="shared" si="10"/>
        <v>0.11147093496962798</v>
      </c>
      <c r="D41" t="s">
        <v>23</v>
      </c>
      <c r="E41" t="s">
        <v>19</v>
      </c>
      <c r="F41">
        <v>1</v>
      </c>
      <c r="G41">
        <f t="shared" si="15"/>
        <v>50</v>
      </c>
      <c r="I41">
        <v>2050</v>
      </c>
      <c r="J41" t="s">
        <v>25</v>
      </c>
      <c r="K41">
        <f t="shared" si="16"/>
        <v>52.5</v>
      </c>
      <c r="L41" cm="1">
        <f t="array" ref="L41">STOWA2024_NDJF_T(A41*60,K41,I41,J41,"")</f>
        <v>6.4810220753324073</v>
      </c>
      <c r="M41">
        <f t="shared" si="17"/>
        <v>0.15429665080236757</v>
      </c>
    </row>
    <row r="42" spans="1:13" x14ac:dyDescent="0.3">
      <c r="A42">
        <v>48</v>
      </c>
      <c r="B42">
        <f t="shared" si="14"/>
        <v>6.3266199038058898E-2</v>
      </c>
      <c r="C42">
        <f t="shared" si="10"/>
        <v>6.3266199038058898E-2</v>
      </c>
      <c r="D42" t="s">
        <v>23</v>
      </c>
      <c r="E42" t="s">
        <v>19</v>
      </c>
      <c r="F42">
        <v>1</v>
      </c>
      <c r="G42">
        <f t="shared" si="15"/>
        <v>55</v>
      </c>
      <c r="I42">
        <v>2050</v>
      </c>
      <c r="J42" t="s">
        <v>25</v>
      </c>
      <c r="K42">
        <f t="shared" si="16"/>
        <v>57.5</v>
      </c>
      <c r="L42" cm="1">
        <f t="array" ref="L42">STOWA2024_NDJF_T(A42*60,K42,I42,J42,"")</f>
        <v>10.985334913959871</v>
      </c>
      <c r="M42">
        <f t="shared" si="17"/>
        <v>9.103045176430867E-2</v>
      </c>
    </row>
    <row r="43" spans="1:13" x14ac:dyDescent="0.3">
      <c r="A43">
        <v>48</v>
      </c>
      <c r="B43">
        <f t="shared" si="14"/>
        <v>3.6505738851019813E-2</v>
      </c>
      <c r="C43">
        <f t="shared" si="10"/>
        <v>3.6505738851019813E-2</v>
      </c>
      <c r="D43" t="s">
        <v>23</v>
      </c>
      <c r="E43" t="s">
        <v>19</v>
      </c>
      <c r="F43">
        <v>1</v>
      </c>
      <c r="G43">
        <f t="shared" si="15"/>
        <v>60</v>
      </c>
      <c r="I43">
        <v>2050</v>
      </c>
      <c r="J43" t="s">
        <v>25</v>
      </c>
      <c r="K43">
        <f t="shared" si="16"/>
        <v>62.5</v>
      </c>
      <c r="L43" cm="1">
        <f t="array" ref="L43">STOWA2024_NDJF_T(A43*60,K43,I43,J43,"")</f>
        <v>18.340307478377905</v>
      </c>
      <c r="M43">
        <f t="shared" si="17"/>
        <v>5.4524712913288857E-2</v>
      </c>
    </row>
    <row r="44" spans="1:13" x14ac:dyDescent="0.3">
      <c r="A44">
        <v>48</v>
      </c>
      <c r="B44">
        <f t="shared" si="14"/>
        <v>2.1395221997834835E-2</v>
      </c>
      <c r="C44">
        <f t="shared" si="10"/>
        <v>2.1395221997834835E-2</v>
      </c>
      <c r="D44" t="s">
        <v>23</v>
      </c>
      <c r="E44" t="s">
        <v>19</v>
      </c>
      <c r="F44">
        <v>1</v>
      </c>
      <c r="G44">
        <f t="shared" si="15"/>
        <v>65</v>
      </c>
      <c r="I44">
        <v>2050</v>
      </c>
      <c r="J44" t="s">
        <v>25</v>
      </c>
      <c r="K44">
        <f t="shared" si="16"/>
        <v>67.5</v>
      </c>
      <c r="L44" cm="1">
        <f t="array" ref="L44">STOWA2024_NDJF_T(A44*60,K44,I44,J44,"")</f>
        <v>30.184586975754783</v>
      </c>
      <c r="M44">
        <f t="shared" si="17"/>
        <v>3.3129490915454023E-2</v>
      </c>
    </row>
    <row r="45" spans="1:13" x14ac:dyDescent="0.3">
      <c r="A45">
        <v>48</v>
      </c>
      <c r="B45">
        <f t="shared" si="14"/>
        <v>1.2725802841615536E-2</v>
      </c>
      <c r="C45">
        <f t="shared" si="10"/>
        <v>1.2725802841615536E-2</v>
      </c>
      <c r="D45" t="s">
        <v>23</v>
      </c>
      <c r="E45" t="s">
        <v>19</v>
      </c>
      <c r="F45">
        <v>1</v>
      </c>
      <c r="G45">
        <f t="shared" si="15"/>
        <v>70</v>
      </c>
      <c r="I45">
        <v>2050</v>
      </c>
      <c r="J45" t="s">
        <v>25</v>
      </c>
      <c r="K45">
        <f t="shared" si="16"/>
        <v>72.5</v>
      </c>
      <c r="L45" cm="1">
        <f t="array" ref="L45">STOWA2024_NDJF_T(A45*60,K45,I45,J45,"")</f>
        <v>49.010747291426952</v>
      </c>
      <c r="M45">
        <f t="shared" si="17"/>
        <v>2.0403688073838487E-2</v>
      </c>
    </row>
    <row r="46" spans="1:13" x14ac:dyDescent="0.3">
      <c r="A46">
        <v>48</v>
      </c>
      <c r="B46">
        <f t="shared" si="14"/>
        <v>7.6755483056634172E-3</v>
      </c>
      <c r="C46">
        <f t="shared" si="10"/>
        <v>7.6755483056634172E-3</v>
      </c>
      <c r="D46" t="s">
        <v>23</v>
      </c>
      <c r="E46" t="s">
        <v>19</v>
      </c>
      <c r="F46">
        <v>1</v>
      </c>
      <c r="G46">
        <f t="shared" si="15"/>
        <v>75</v>
      </c>
      <c r="I46">
        <v>2050</v>
      </c>
      <c r="J46" t="s">
        <v>25</v>
      </c>
      <c r="K46">
        <f t="shared" si="16"/>
        <v>77.5</v>
      </c>
      <c r="L46" cm="1">
        <f t="array" ref="L46">STOWA2024_NDJF_T(A46*60,K46,I46,J46,"")</f>
        <v>78.566076285582582</v>
      </c>
      <c r="M46">
        <f t="shared" si="17"/>
        <v>1.272813976817507E-2</v>
      </c>
    </row>
    <row r="47" spans="1:13" x14ac:dyDescent="0.3">
      <c r="A47">
        <v>48</v>
      </c>
      <c r="B47">
        <f t="shared" si="14"/>
        <v>4.6910021522979049E-3</v>
      </c>
      <c r="C47">
        <f t="shared" si="10"/>
        <v>4.6910021522979049E-3</v>
      </c>
      <c r="D47" t="s">
        <v>23</v>
      </c>
      <c r="E47" t="s">
        <v>19</v>
      </c>
      <c r="F47">
        <v>1</v>
      </c>
      <c r="G47">
        <f t="shared" si="15"/>
        <v>80</v>
      </c>
      <c r="I47">
        <v>2050</v>
      </c>
      <c r="J47" t="s">
        <v>25</v>
      </c>
      <c r="K47">
        <f t="shared" si="16"/>
        <v>82.5</v>
      </c>
      <c r="L47" cm="1">
        <f t="array" ref="L47">STOWA2024_NDJF_T(A47*60,K47,I47,J47,"")</f>
        <v>124.42240605965547</v>
      </c>
      <c r="M47">
        <f t="shared" si="17"/>
        <v>8.037137615877165E-3</v>
      </c>
    </row>
    <row r="48" spans="1:13" x14ac:dyDescent="0.3">
      <c r="A48">
        <v>48</v>
      </c>
      <c r="B48">
        <f t="shared" si="14"/>
        <v>2.9032689147720971E-3</v>
      </c>
      <c r="C48">
        <f t="shared" si="10"/>
        <v>2.9032689147720971E-3</v>
      </c>
      <c r="D48" t="s">
        <v>23</v>
      </c>
      <c r="E48" t="s">
        <v>19</v>
      </c>
      <c r="F48">
        <v>1</v>
      </c>
      <c r="G48">
        <f t="shared" si="15"/>
        <v>85</v>
      </c>
      <c r="I48">
        <v>2050</v>
      </c>
      <c r="J48" t="s">
        <v>25</v>
      </c>
      <c r="K48">
        <f t="shared" si="16"/>
        <v>87.5</v>
      </c>
      <c r="L48" cm="1">
        <f t="array" ref="L48">STOWA2024_NDJF_T(A48*60,K48,I48,J48,"")</f>
        <v>194.78488021806041</v>
      </c>
      <c r="M48">
        <f t="shared" si="17"/>
        <v>5.1338687011050679E-3</v>
      </c>
    </row>
    <row r="49" spans="1:13" x14ac:dyDescent="0.3">
      <c r="A49">
        <v>48</v>
      </c>
      <c r="B49">
        <f t="shared" si="14"/>
        <v>1.8183008408345766E-3</v>
      </c>
      <c r="C49">
        <f t="shared" si="10"/>
        <v>1.8183008408345766E-3</v>
      </c>
      <c r="D49" t="s">
        <v>23</v>
      </c>
      <c r="E49" t="s">
        <v>19</v>
      </c>
      <c r="F49">
        <v>1</v>
      </c>
      <c r="G49">
        <f t="shared" si="15"/>
        <v>90</v>
      </c>
      <c r="I49">
        <v>2050</v>
      </c>
      <c r="J49" t="s">
        <v>25</v>
      </c>
      <c r="K49">
        <f t="shared" si="16"/>
        <v>92.5</v>
      </c>
      <c r="L49" cm="1">
        <f t="array" ref="L49">STOWA2024_NDJF_T(A49*60,K49,I49,J49,"")</f>
        <v>301.60745976057865</v>
      </c>
      <c r="M49">
        <f t="shared" si="17"/>
        <v>3.3155678602704913E-3</v>
      </c>
    </row>
    <row r="50" spans="1:13" x14ac:dyDescent="0.3">
      <c r="A50">
        <v>48</v>
      </c>
      <c r="B50">
        <f t="shared" si="14"/>
        <v>1.1518261631833352E-3</v>
      </c>
      <c r="C50">
        <f t="shared" si="10"/>
        <v>1.1518261631833352E-3</v>
      </c>
      <c r="D50" t="s">
        <v>23</v>
      </c>
      <c r="E50" t="s">
        <v>19</v>
      </c>
      <c r="F50">
        <v>1</v>
      </c>
      <c r="G50">
        <f t="shared" si="15"/>
        <v>95</v>
      </c>
      <c r="I50">
        <v>2050</v>
      </c>
      <c r="J50" t="s">
        <v>25</v>
      </c>
      <c r="K50">
        <f t="shared" si="16"/>
        <v>97.5</v>
      </c>
      <c r="L50" cm="1">
        <f t="array" ref="L50">STOWA2024_NDJF_T(A50*60,K50,I50,J50,"")</f>
        <v>462.16237425484144</v>
      </c>
      <c r="M50">
        <f t="shared" si="17"/>
        <v>2.1637416970871561E-3</v>
      </c>
    </row>
    <row r="51" spans="1:13" x14ac:dyDescent="0.3">
      <c r="A51">
        <v>48</v>
      </c>
      <c r="B51">
        <f t="shared" si="14"/>
        <v>7.3753424860751064E-4</v>
      </c>
      <c r="C51">
        <f t="shared" si="10"/>
        <v>7.3753424860751064E-4</v>
      </c>
      <c r="D51" t="s">
        <v>23</v>
      </c>
      <c r="E51" t="s">
        <v>19</v>
      </c>
      <c r="F51">
        <v>1</v>
      </c>
      <c r="G51">
        <f t="shared" si="15"/>
        <v>100</v>
      </c>
      <c r="I51">
        <v>2050</v>
      </c>
      <c r="J51" t="s">
        <v>25</v>
      </c>
      <c r="K51">
        <f t="shared" si="16"/>
        <v>102.5</v>
      </c>
      <c r="L51" cm="1">
        <f t="array" ref="L51">STOWA2024_NDJF_T(A51*60,K51,I51,J51,"")</f>
        <v>701.16027024400432</v>
      </c>
      <c r="M51">
        <f t="shared" si="17"/>
        <v>1.4262074484796454E-3</v>
      </c>
    </row>
    <row r="52" spans="1:13" x14ac:dyDescent="0.3">
      <c r="A52">
        <v>48</v>
      </c>
      <c r="B52">
        <f t="shared" si="14"/>
        <v>4.7715807169822807E-4</v>
      </c>
      <c r="C52">
        <f t="shared" si="10"/>
        <v>4.7715807169822807E-4</v>
      </c>
      <c r="D52" t="s">
        <v>23</v>
      </c>
      <c r="E52" t="s">
        <v>19</v>
      </c>
      <c r="F52">
        <v>1</v>
      </c>
      <c r="G52">
        <f t="shared" si="15"/>
        <v>105</v>
      </c>
      <c r="I52">
        <v>2050</v>
      </c>
      <c r="J52" t="s">
        <v>25</v>
      </c>
      <c r="K52">
        <f t="shared" si="16"/>
        <v>107.5</v>
      </c>
      <c r="L52" cm="1">
        <f t="array" ref="L52">STOWA2024_NDJF_T(A52*60,K52,I52,J52,"")</f>
        <v>1053.6859561421086</v>
      </c>
      <c r="M52">
        <f t="shared" si="17"/>
        <v>9.4904937678141736E-4</v>
      </c>
    </row>
    <row r="53" spans="1:13" x14ac:dyDescent="0.3">
      <c r="A53">
        <v>48</v>
      </c>
      <c r="B53">
        <f t="shared" si="14"/>
        <v>3.1175105792489511E-4</v>
      </c>
      <c r="C53">
        <f t="shared" si="10"/>
        <v>3.1175105792489511E-4</v>
      </c>
      <c r="D53" t="s">
        <v>23</v>
      </c>
      <c r="E53" t="s">
        <v>19</v>
      </c>
      <c r="F53">
        <v>1</v>
      </c>
      <c r="G53">
        <f t="shared" si="15"/>
        <v>110</v>
      </c>
      <c r="I53">
        <v>2050</v>
      </c>
      <c r="J53" t="s">
        <v>25</v>
      </c>
      <c r="K53">
        <f t="shared" si="16"/>
        <v>112.5</v>
      </c>
      <c r="L53" cm="1">
        <f t="array" ref="L53">STOWA2024_NDJF_T(A53*60,K53,I53,J53,"")</f>
        <v>1569.1238630509151</v>
      </c>
      <c r="M53">
        <f t="shared" si="17"/>
        <v>6.3729831885652225E-4</v>
      </c>
    </row>
    <row r="54" spans="1:13" x14ac:dyDescent="0.3">
      <c r="A54">
        <v>48</v>
      </c>
      <c r="B54">
        <f t="shared" si="14"/>
        <v>2.0561423412253089E-4</v>
      </c>
      <c r="C54">
        <f t="shared" si="10"/>
        <v>2.0561423412253089E-4</v>
      </c>
      <c r="D54" t="s">
        <v>23</v>
      </c>
      <c r="E54" t="s">
        <v>19</v>
      </c>
      <c r="F54">
        <v>1</v>
      </c>
      <c r="G54">
        <f t="shared" si="15"/>
        <v>115</v>
      </c>
      <c r="I54">
        <v>2050</v>
      </c>
      <c r="J54" t="s">
        <v>25</v>
      </c>
      <c r="K54">
        <f t="shared" si="16"/>
        <v>117.5</v>
      </c>
      <c r="L54" cm="1">
        <f t="array" ref="L54">STOWA2024_NDJF_T(A54*60,K54,I54,J54,"")</f>
        <v>2316.5088437675699</v>
      </c>
      <c r="M54">
        <f t="shared" si="17"/>
        <v>4.3168408473399136E-4</v>
      </c>
    </row>
    <row r="55" spans="1:13" x14ac:dyDescent="0.3">
      <c r="A55">
        <v>48</v>
      </c>
      <c r="B55">
        <f t="shared" si="14"/>
        <v>1.3683424287684934E-4</v>
      </c>
      <c r="C55">
        <f t="shared" si="10"/>
        <v>1.3683424287684934E-4</v>
      </c>
      <c r="D55" t="s">
        <v>23</v>
      </c>
      <c r="E55" t="s">
        <v>19</v>
      </c>
      <c r="F55">
        <v>1</v>
      </c>
      <c r="G55">
        <f t="shared" si="15"/>
        <v>120</v>
      </c>
      <c r="I55">
        <v>2050</v>
      </c>
      <c r="J55" t="s">
        <v>25</v>
      </c>
      <c r="K55">
        <f t="shared" si="16"/>
        <v>122.5</v>
      </c>
      <c r="L55" cm="1">
        <f t="array" ref="L55">STOWA2024_NDJF_T(A55*60,K55,I55,J55,"")</f>
        <v>3391.5568470425396</v>
      </c>
      <c r="M55">
        <f t="shared" si="17"/>
        <v>2.9484984185714202E-4</v>
      </c>
    </row>
    <row r="56" spans="1:13" x14ac:dyDescent="0.3">
      <c r="A56">
        <v>48</v>
      </c>
      <c r="B56">
        <f t="shared" si="14"/>
        <v>9.1848342228932021E-5</v>
      </c>
      <c r="C56">
        <f t="shared" si="10"/>
        <v>9.1848342228932021E-5</v>
      </c>
      <c r="D56" t="s">
        <v>23</v>
      </c>
      <c r="E56" t="s">
        <v>19</v>
      </c>
      <c r="F56">
        <v>1</v>
      </c>
      <c r="G56">
        <f t="shared" si="15"/>
        <v>125</v>
      </c>
      <c r="I56">
        <v>2050</v>
      </c>
      <c r="J56" t="s">
        <v>25</v>
      </c>
      <c r="K56">
        <f t="shared" si="16"/>
        <v>127.5</v>
      </c>
      <c r="L56" cm="1">
        <f t="array" ref="L56">STOWA2024_NDJF_T(A56*60,K56,I56,J56,"")</f>
        <v>4926.0719838595496</v>
      </c>
      <c r="M56">
        <f t="shared" si="17"/>
        <v>2.0300149962821E-4</v>
      </c>
    </row>
    <row r="57" spans="1:13" x14ac:dyDescent="0.3">
      <c r="A57">
        <v>48</v>
      </c>
      <c r="B57">
        <f t="shared" si="14"/>
        <v>6.216555314108308E-5</v>
      </c>
      <c r="C57">
        <f t="shared" si="10"/>
        <v>6.216555314108308E-5</v>
      </c>
      <c r="D57" t="s">
        <v>23</v>
      </c>
      <c r="E57" t="s">
        <v>19</v>
      </c>
      <c r="F57">
        <v>1</v>
      </c>
      <c r="G57">
        <f t="shared" si="15"/>
        <v>130</v>
      </c>
      <c r="I57">
        <v>2050</v>
      </c>
      <c r="J57" t="s">
        <v>25</v>
      </c>
      <c r="K57">
        <f t="shared" si="16"/>
        <v>132.5</v>
      </c>
      <c r="L57" cm="1">
        <f t="array" ref="L57">STOWA2024_NDJF_T(A57*60,K57,I57,J57,"")</f>
        <v>7100.4599673805924</v>
      </c>
      <c r="M57">
        <f t="shared" si="17"/>
        <v>1.4083594648712692E-4</v>
      </c>
    </row>
    <row r="58" spans="1:13" x14ac:dyDescent="0.3">
      <c r="A58">
        <v>48</v>
      </c>
      <c r="B58">
        <f t="shared" si="14"/>
        <v>4.2408492406045644E-5</v>
      </c>
      <c r="C58">
        <f t="shared" si="10"/>
        <v>4.2408492406045644E-5</v>
      </c>
      <c r="D58" t="s">
        <v>23</v>
      </c>
      <c r="E58" t="s">
        <v>19</v>
      </c>
      <c r="F58">
        <v>1</v>
      </c>
      <c r="G58">
        <f t="shared" si="15"/>
        <v>135</v>
      </c>
      <c r="I58">
        <v>2050</v>
      </c>
      <c r="J58" t="s">
        <v>25</v>
      </c>
      <c r="K58">
        <f t="shared" si="16"/>
        <v>137.5</v>
      </c>
      <c r="L58" cm="1">
        <f t="array" ref="L58">STOWA2024_NDJF_T(A58*60,K58,I58,J58,"")</f>
        <v>10159.767001351403</v>
      </c>
      <c r="M58">
        <f t="shared" si="17"/>
        <v>9.8427454081081273E-5</v>
      </c>
    </row>
    <row r="59" spans="1:13" x14ac:dyDescent="0.3">
      <c r="A59">
        <v>48</v>
      </c>
      <c r="B59">
        <f t="shared" si="14"/>
        <v>2.9152431223124003E-5</v>
      </c>
      <c r="C59">
        <f t="shared" si="10"/>
        <v>2.9152431223124003E-5</v>
      </c>
      <c r="D59" t="s">
        <v>23</v>
      </c>
      <c r="E59" t="s">
        <v>19</v>
      </c>
      <c r="F59">
        <v>1</v>
      </c>
      <c r="G59">
        <f t="shared" si="15"/>
        <v>140</v>
      </c>
      <c r="I59">
        <v>2050</v>
      </c>
      <c r="J59" t="s">
        <v>25</v>
      </c>
      <c r="K59">
        <f t="shared" si="16"/>
        <v>142.5</v>
      </c>
      <c r="L59" cm="1">
        <f t="array" ref="L59">STOWA2024_NDJF_T(A59*60,K59,I59,J59,"")</f>
        <v>14435.217178497618</v>
      </c>
      <c r="M59">
        <f t="shared" si="17"/>
        <v>6.927502285795727E-5</v>
      </c>
    </row>
    <row r="60" spans="1:13" x14ac:dyDescent="0.3">
      <c r="A60">
        <v>48</v>
      </c>
      <c r="B60">
        <f t="shared" si="14"/>
        <v>2.0186271983441214E-5</v>
      </c>
      <c r="C60">
        <f t="shared" si="10"/>
        <v>2.0186271983441214E-5</v>
      </c>
      <c r="D60" t="s">
        <v>23</v>
      </c>
      <c r="E60" t="s">
        <v>19</v>
      </c>
      <c r="F60">
        <v>1</v>
      </c>
      <c r="G60">
        <f t="shared" si="15"/>
        <v>145</v>
      </c>
      <c r="I60">
        <v>2050</v>
      </c>
      <c r="J60" t="s">
        <v>25</v>
      </c>
      <c r="K60">
        <f t="shared" si="16"/>
        <v>147.5</v>
      </c>
      <c r="L60" cm="1">
        <f t="array" ref="L60">STOWA2024_NDJF_T(A60*60,K60,I60,J60,"")</f>
        <v>20371.265965929073</v>
      </c>
      <c r="M60">
        <f t="shared" si="17"/>
        <v>4.9088750874516056E-5</v>
      </c>
    </row>
    <row r="61" spans="1:13" x14ac:dyDescent="0.3">
      <c r="A61">
        <v>48</v>
      </c>
      <c r="B61">
        <f t="shared" si="14"/>
        <v>1.4076648787886715E-5</v>
      </c>
      <c r="C61">
        <f t="shared" si="10"/>
        <v>1.4076648787886715E-5</v>
      </c>
      <c r="D61" t="s">
        <v>23</v>
      </c>
      <c r="E61" t="s">
        <v>19</v>
      </c>
      <c r="F61">
        <v>1</v>
      </c>
      <c r="G61">
        <f t="shared" si="15"/>
        <v>150</v>
      </c>
      <c r="I61">
        <v>2050</v>
      </c>
      <c r="J61" t="s">
        <v>25</v>
      </c>
      <c r="K61">
        <f t="shared" si="16"/>
        <v>152.5</v>
      </c>
      <c r="L61" cm="1">
        <f t="array" ref="L61">STOWA2024_NDJF_T(A61*60,K61,I61,J61,"")</f>
        <v>28561.55273184488</v>
      </c>
      <c r="M61">
        <f t="shared" si="17"/>
        <v>3.5012102086629341E-5</v>
      </c>
    </row>
    <row r="62" spans="1:13" x14ac:dyDescent="0.3">
      <c r="A62">
        <v>48</v>
      </c>
      <c r="B62">
        <f t="shared" si="14"/>
        <v>9.8828166983108957E-6</v>
      </c>
      <c r="C62">
        <f t="shared" si="10"/>
        <v>9.8828166983108957E-6</v>
      </c>
      <c r="D62" t="s">
        <v>23</v>
      </c>
      <c r="E62" t="s">
        <v>19</v>
      </c>
      <c r="F62">
        <v>1</v>
      </c>
      <c r="G62">
        <f t="shared" si="15"/>
        <v>155</v>
      </c>
      <c r="I62">
        <v>2050</v>
      </c>
      <c r="J62" t="s">
        <v>25</v>
      </c>
      <c r="K62">
        <f t="shared" si="16"/>
        <v>157.5</v>
      </c>
      <c r="L62" cm="1">
        <f t="array" ref="L62">STOWA2024_NDJF_T(A62*60,K62,I62,J62,"")</f>
        <v>39794.207616618427</v>
      </c>
      <c r="M62">
        <f t="shared" si="17"/>
        <v>2.5129285388318445E-5</v>
      </c>
    </row>
    <row r="63" spans="1:13" x14ac:dyDescent="0.3">
      <c r="A63">
        <v>48</v>
      </c>
      <c r="B63" s="1">
        <f>M62</f>
        <v>2.5129285388318445E-5</v>
      </c>
      <c r="C63">
        <f t="shared" si="10"/>
        <v>2.5129285388318445E-5</v>
      </c>
      <c r="D63" t="s">
        <v>23</v>
      </c>
      <c r="E63" t="s">
        <v>19</v>
      </c>
      <c r="F63">
        <v>1</v>
      </c>
      <c r="G63">
        <f t="shared" si="15"/>
        <v>160</v>
      </c>
      <c r="I63">
        <v>2050</v>
      </c>
      <c r="J63" t="s">
        <v>25</v>
      </c>
      <c r="K63">
        <f>AVERAGE(G63:G64)</f>
        <v>85</v>
      </c>
      <c r="L63" cm="1">
        <f t="array" ref="L63">STOWA2024_NDJF_T(A63*60,K63,I63,J63,"")</f>
        <v>155.89693823192289</v>
      </c>
      <c r="M63">
        <f>1/L63</f>
        <v>6.4144941609586455E-3</v>
      </c>
    </row>
    <row r="64" spans="1:13" x14ac:dyDescent="0.3">
      <c r="A64">
        <v>96</v>
      </c>
      <c r="B64" s="1">
        <f>365.25*24/A64 - M64</f>
        <v>69.970469269498849</v>
      </c>
      <c r="C64">
        <f>B64</f>
        <v>69.970469269498849</v>
      </c>
      <c r="D64" t="s">
        <v>23</v>
      </c>
      <c r="E64" t="s">
        <v>19</v>
      </c>
      <c r="F64">
        <v>1</v>
      </c>
      <c r="G64">
        <v>10</v>
      </c>
      <c r="I64">
        <v>2050</v>
      </c>
      <c r="J64" t="s">
        <v>25</v>
      </c>
      <c r="K64">
        <f>AVERAGE(G64:G66)</f>
        <v>15</v>
      </c>
      <c r="L64" cm="1">
        <f t="array" ref="L64">STOWA2024_NDJF_T(A64*60,K64,I64,J64,"")</f>
        <v>4.6855897296166904E-2</v>
      </c>
      <c r="M64">
        <f>1/L64</f>
        <v>21.342030730501154</v>
      </c>
    </row>
    <row r="65" spans="1:13" x14ac:dyDescent="0.3">
      <c r="A65">
        <v>96</v>
      </c>
      <c r="B65">
        <f t="shared" ref="B65:B69" si="18">M64-M65</f>
        <v>4.4457773267694236</v>
      </c>
      <c r="C65">
        <f t="shared" ref="C65:C94" si="19">B65</f>
        <v>4.4457773267694236</v>
      </c>
      <c r="D65" t="s">
        <v>23</v>
      </c>
      <c r="E65" t="s">
        <v>19</v>
      </c>
      <c r="F65">
        <v>1</v>
      </c>
      <c r="G65">
        <f t="shared" ref="G65:G69" si="20">G64+5</f>
        <v>15</v>
      </c>
      <c r="I65">
        <v>2050</v>
      </c>
      <c r="J65" t="s">
        <v>25</v>
      </c>
      <c r="K65">
        <f t="shared" ref="K65:K69" si="21">AVERAGE(G65:G66)</f>
        <v>17.5</v>
      </c>
      <c r="L65" cm="1">
        <f t="array" ref="L65">STOWA2024_NDJF_T(A65*60,K65,I65,J65,"")</f>
        <v>5.9184718416873325E-2</v>
      </c>
      <c r="M65">
        <f t="shared" ref="M65:M69" si="22">1/L65</f>
        <v>16.89625340373173</v>
      </c>
    </row>
    <row r="66" spans="1:13" x14ac:dyDescent="0.3">
      <c r="A66">
        <v>96</v>
      </c>
      <c r="B66">
        <f t="shared" si="18"/>
        <v>6.2682882967697857</v>
      </c>
      <c r="C66">
        <f t="shared" si="19"/>
        <v>6.2682882967697857</v>
      </c>
      <c r="D66" t="s">
        <v>23</v>
      </c>
      <c r="E66" t="s">
        <v>19</v>
      </c>
      <c r="F66">
        <v>1</v>
      </c>
      <c r="G66">
        <f t="shared" si="20"/>
        <v>20</v>
      </c>
      <c r="I66">
        <v>2050</v>
      </c>
      <c r="J66" t="s">
        <v>25</v>
      </c>
      <c r="K66">
        <f t="shared" si="21"/>
        <v>22.5</v>
      </c>
      <c r="L66" cm="1">
        <f t="array" ref="L66">STOWA2024_NDJF_T(A66*60,K66,I66,J66,"")</f>
        <v>9.409138907926419E-2</v>
      </c>
      <c r="M66">
        <f t="shared" si="22"/>
        <v>10.627965106961945</v>
      </c>
    </row>
    <row r="67" spans="1:13" x14ac:dyDescent="0.3">
      <c r="A67">
        <v>96</v>
      </c>
      <c r="B67">
        <f t="shared" si="18"/>
        <v>3.9114302385165489</v>
      </c>
      <c r="C67">
        <f t="shared" si="19"/>
        <v>3.9114302385165489</v>
      </c>
      <c r="D67" t="s">
        <v>23</v>
      </c>
      <c r="E67" t="s">
        <v>19</v>
      </c>
      <c r="F67">
        <v>1</v>
      </c>
      <c r="G67">
        <f t="shared" si="20"/>
        <v>25</v>
      </c>
      <c r="I67">
        <v>2050</v>
      </c>
      <c r="J67" t="s">
        <v>25</v>
      </c>
      <c r="K67">
        <f t="shared" si="21"/>
        <v>27.5</v>
      </c>
      <c r="L67" cm="1">
        <f t="array" ref="L67">STOWA2024_NDJF_T(A67*60,K67,I67,J67,"")</f>
        <v>0.1488862962206968</v>
      </c>
      <c r="M67">
        <f t="shared" si="22"/>
        <v>6.7165348684453958</v>
      </c>
    </row>
    <row r="68" spans="1:13" x14ac:dyDescent="0.3">
      <c r="A68">
        <v>96</v>
      </c>
      <c r="B68">
        <f t="shared" si="18"/>
        <v>2.4524138087428149</v>
      </c>
      <c r="C68">
        <f t="shared" si="19"/>
        <v>2.4524138087428149</v>
      </c>
      <c r="D68" t="s">
        <v>23</v>
      </c>
      <c r="E68" t="s">
        <v>19</v>
      </c>
      <c r="F68">
        <v>1</v>
      </c>
      <c r="G68">
        <f t="shared" si="20"/>
        <v>30</v>
      </c>
      <c r="I68">
        <v>2050</v>
      </c>
      <c r="J68" t="s">
        <v>25</v>
      </c>
      <c r="K68">
        <f t="shared" si="21"/>
        <v>32.5</v>
      </c>
      <c r="L68" cm="1">
        <f t="array" ref="L68">STOWA2024_NDJF_T(A68*60,K68,I68,J68,"")</f>
        <v>0.23451491784563669</v>
      </c>
      <c r="M68">
        <f t="shared" si="22"/>
        <v>4.2641210597025809</v>
      </c>
    </row>
    <row r="69" spans="1:13" x14ac:dyDescent="0.3">
      <c r="A69">
        <v>96</v>
      </c>
      <c r="B69">
        <f t="shared" si="18"/>
        <v>1.544733598626816</v>
      </c>
      <c r="C69">
        <f t="shared" si="19"/>
        <v>1.544733598626816</v>
      </c>
      <c r="D69" t="s">
        <v>23</v>
      </c>
      <c r="E69" t="s">
        <v>19</v>
      </c>
      <c r="F69">
        <v>1</v>
      </c>
      <c r="G69">
        <f t="shared" si="20"/>
        <v>35</v>
      </c>
      <c r="I69">
        <v>2050</v>
      </c>
      <c r="J69" t="s">
        <v>25</v>
      </c>
      <c r="K69">
        <f t="shared" si="21"/>
        <v>37.5</v>
      </c>
      <c r="L69" cm="1">
        <f t="array" ref="L69">STOWA2024_NDJF_T(A69*60,K69,I69,J69,"")</f>
        <v>0.36772987090423997</v>
      </c>
      <c r="M69">
        <f t="shared" si="22"/>
        <v>2.7193874610757649</v>
      </c>
    </row>
    <row r="70" spans="1:13" x14ac:dyDescent="0.3">
      <c r="A70">
        <v>96</v>
      </c>
      <c r="B70">
        <f>M69-M70</f>
        <v>0.97746893713848482</v>
      </c>
      <c r="C70">
        <f t="shared" si="19"/>
        <v>0.97746893713848482</v>
      </c>
      <c r="D70" t="s">
        <v>23</v>
      </c>
      <c r="E70" t="s">
        <v>19</v>
      </c>
      <c r="F70">
        <v>1</v>
      </c>
      <c r="G70">
        <f>G69+5</f>
        <v>40</v>
      </c>
      <c r="I70">
        <v>2050</v>
      </c>
      <c r="J70" t="s">
        <v>25</v>
      </c>
      <c r="K70">
        <f>AVERAGE(G70:G71)</f>
        <v>42.5</v>
      </c>
      <c r="L70" cm="1">
        <f t="array" ref="L70">STOWA2024_NDJF_T(A70*60,K70,I70,J70,"")</f>
        <v>0.57407966346192107</v>
      </c>
      <c r="M70">
        <f>1/L70</f>
        <v>1.7419185239372801</v>
      </c>
    </row>
    <row r="71" spans="1:13" x14ac:dyDescent="0.3">
      <c r="A71">
        <v>96</v>
      </c>
      <c r="B71">
        <f t="shared" ref="B71:B93" si="23">M70-M71</f>
        <v>0.62128723680175457</v>
      </c>
      <c r="C71">
        <f t="shared" si="19"/>
        <v>0.62128723680175457</v>
      </c>
      <c r="D71" t="s">
        <v>23</v>
      </c>
      <c r="E71" t="s">
        <v>19</v>
      </c>
      <c r="F71">
        <v>1</v>
      </c>
      <c r="G71">
        <f t="shared" ref="G71:G94" si="24">G70+5</f>
        <v>45</v>
      </c>
      <c r="I71">
        <v>2050</v>
      </c>
      <c r="J71" t="s">
        <v>25</v>
      </c>
      <c r="K71">
        <f t="shared" ref="K71:K93" si="25">AVERAGE(G71:G72)</f>
        <v>47.5</v>
      </c>
      <c r="L71" cm="1">
        <f t="array" ref="L71">STOWA2024_NDJF_T(A71*60,K71,I71,J71,"")</f>
        <v>0.89235416811904811</v>
      </c>
      <c r="M71">
        <f t="shared" ref="M71:M93" si="26">1/L71</f>
        <v>1.1206312871355255</v>
      </c>
    </row>
    <row r="72" spans="1:13" x14ac:dyDescent="0.3">
      <c r="A72">
        <v>96</v>
      </c>
      <c r="B72">
        <f t="shared" si="23"/>
        <v>0.39656363985520071</v>
      </c>
      <c r="C72">
        <f t="shared" si="19"/>
        <v>0.39656363985520071</v>
      </c>
      <c r="D72" t="s">
        <v>23</v>
      </c>
      <c r="E72" t="s">
        <v>19</v>
      </c>
      <c r="F72">
        <v>1</v>
      </c>
      <c r="G72">
        <f t="shared" si="24"/>
        <v>50</v>
      </c>
      <c r="I72">
        <v>2050</v>
      </c>
      <c r="J72" t="s">
        <v>25</v>
      </c>
      <c r="K72">
        <f t="shared" si="25"/>
        <v>52.5</v>
      </c>
      <c r="L72" cm="1">
        <f t="array" ref="L72">STOWA2024_NDJF_T(A72*60,K72,I72,J72,"")</f>
        <v>1.3810864271537424</v>
      </c>
      <c r="M72">
        <f t="shared" si="26"/>
        <v>0.7240676472803248</v>
      </c>
    </row>
    <row r="73" spans="1:13" x14ac:dyDescent="0.3">
      <c r="A73">
        <v>96</v>
      </c>
      <c r="B73">
        <f t="shared" si="23"/>
        <v>0.25432491336960944</v>
      </c>
      <c r="C73">
        <f t="shared" si="19"/>
        <v>0.25432491336960944</v>
      </c>
      <c r="D73" t="s">
        <v>23</v>
      </c>
      <c r="E73" t="s">
        <v>19</v>
      </c>
      <c r="F73">
        <v>1</v>
      </c>
      <c r="G73">
        <f t="shared" si="24"/>
        <v>55</v>
      </c>
      <c r="I73">
        <v>2050</v>
      </c>
      <c r="J73" t="s">
        <v>25</v>
      </c>
      <c r="K73">
        <f t="shared" si="25"/>
        <v>57.5</v>
      </c>
      <c r="L73" cm="1">
        <f t="array" ref="L73">STOWA2024_NDJF_T(A73*60,K73,I73,J73,"")</f>
        <v>2.1288248392365157</v>
      </c>
      <c r="M73">
        <f t="shared" si="26"/>
        <v>0.46974273391071536</v>
      </c>
    </row>
    <row r="74" spans="1:13" x14ac:dyDescent="0.3">
      <c r="A74">
        <v>96</v>
      </c>
      <c r="B74">
        <f t="shared" si="23"/>
        <v>0.16374972174207664</v>
      </c>
      <c r="C74">
        <f t="shared" si="19"/>
        <v>0.16374972174207664</v>
      </c>
      <c r="D74" t="s">
        <v>23</v>
      </c>
      <c r="E74" t="s">
        <v>19</v>
      </c>
      <c r="F74">
        <v>1</v>
      </c>
      <c r="G74">
        <f t="shared" si="24"/>
        <v>60</v>
      </c>
      <c r="I74">
        <v>2050</v>
      </c>
      <c r="J74" t="s">
        <v>25</v>
      </c>
      <c r="K74">
        <f t="shared" si="25"/>
        <v>62.5</v>
      </c>
      <c r="L74" cm="1">
        <f t="array" ref="L74">STOWA2024_NDJF_T(A74*60,K74,I74,J74,"")</f>
        <v>3.2680484855284226</v>
      </c>
      <c r="M74">
        <f t="shared" si="26"/>
        <v>0.30599301216863872</v>
      </c>
    </row>
    <row r="75" spans="1:13" x14ac:dyDescent="0.3">
      <c r="A75">
        <v>96</v>
      </c>
      <c r="B75">
        <f t="shared" si="23"/>
        <v>0.10586661797369445</v>
      </c>
      <c r="C75">
        <f t="shared" si="19"/>
        <v>0.10586661797369445</v>
      </c>
      <c r="D75" t="s">
        <v>23</v>
      </c>
      <c r="E75" t="s">
        <v>19</v>
      </c>
      <c r="F75">
        <v>1</v>
      </c>
      <c r="G75">
        <f t="shared" si="24"/>
        <v>65</v>
      </c>
      <c r="I75">
        <v>2050</v>
      </c>
      <c r="J75" t="s">
        <v>25</v>
      </c>
      <c r="K75">
        <f t="shared" si="25"/>
        <v>67.5</v>
      </c>
      <c r="L75" cm="1">
        <f t="array" ref="L75">STOWA2024_NDJF_T(A75*60,K75,I75,J75,"")</f>
        <v>4.9968421408017489</v>
      </c>
      <c r="M75">
        <f t="shared" si="26"/>
        <v>0.20012639419494427</v>
      </c>
    </row>
    <row r="76" spans="1:13" x14ac:dyDescent="0.3">
      <c r="A76">
        <v>96</v>
      </c>
      <c r="B76">
        <f t="shared" si="23"/>
        <v>6.8722836730476911E-2</v>
      </c>
      <c r="C76">
        <f t="shared" si="19"/>
        <v>6.8722836730476911E-2</v>
      </c>
      <c r="D76" t="s">
        <v>23</v>
      </c>
      <c r="E76" t="s">
        <v>19</v>
      </c>
      <c r="F76">
        <v>1</v>
      </c>
      <c r="G76">
        <f t="shared" si="24"/>
        <v>70</v>
      </c>
      <c r="I76">
        <v>2050</v>
      </c>
      <c r="J76" t="s">
        <v>25</v>
      </c>
      <c r="K76">
        <f t="shared" si="25"/>
        <v>72.5</v>
      </c>
      <c r="L76" cm="1">
        <f t="array" ref="L76">STOWA2024_NDJF_T(A76*60,K76,I76,J76,"")</f>
        <v>7.6101440424884128</v>
      </c>
      <c r="M76">
        <f t="shared" si="26"/>
        <v>0.13140355746446736</v>
      </c>
    </row>
    <row r="77" spans="1:13" x14ac:dyDescent="0.3">
      <c r="A77">
        <v>96</v>
      </c>
      <c r="B77">
        <f t="shared" si="23"/>
        <v>4.4791161015371159E-2</v>
      </c>
      <c r="C77">
        <f t="shared" si="19"/>
        <v>4.4791161015371159E-2</v>
      </c>
      <c r="D77" t="s">
        <v>23</v>
      </c>
      <c r="E77" t="s">
        <v>19</v>
      </c>
      <c r="F77">
        <v>1</v>
      </c>
      <c r="G77">
        <f t="shared" si="24"/>
        <v>75</v>
      </c>
      <c r="I77">
        <v>2050</v>
      </c>
      <c r="J77" t="s">
        <v>25</v>
      </c>
      <c r="K77">
        <f t="shared" si="25"/>
        <v>77.5</v>
      </c>
      <c r="L77" cm="1">
        <f t="array" ref="L77">STOWA2024_NDJF_T(A77*60,K77,I77,J77,"")</f>
        <v>11.545691390581943</v>
      </c>
      <c r="M77">
        <f t="shared" si="26"/>
        <v>8.6612396449096199E-2</v>
      </c>
    </row>
    <row r="78" spans="1:13" x14ac:dyDescent="0.3">
      <c r="A78">
        <v>96</v>
      </c>
      <c r="B78">
        <f t="shared" si="23"/>
        <v>2.9306191343752459E-2</v>
      </c>
      <c r="C78">
        <f t="shared" si="19"/>
        <v>2.9306191343752459E-2</v>
      </c>
      <c r="D78" t="s">
        <v>23</v>
      </c>
      <c r="E78" t="s">
        <v>19</v>
      </c>
      <c r="F78">
        <v>1</v>
      </c>
      <c r="G78">
        <f t="shared" si="24"/>
        <v>80</v>
      </c>
      <c r="I78">
        <v>2050</v>
      </c>
      <c r="J78" t="s">
        <v>25</v>
      </c>
      <c r="K78">
        <f t="shared" si="25"/>
        <v>82.5</v>
      </c>
      <c r="L78" cm="1">
        <f t="array" ref="L78">STOWA2024_NDJF_T(A78*60,K78,I78,J78,"")</f>
        <v>17.450117280698301</v>
      </c>
      <c r="M78">
        <f t="shared" si="26"/>
        <v>5.730620510534374E-2</v>
      </c>
    </row>
    <row r="79" spans="1:13" x14ac:dyDescent="0.3">
      <c r="A79">
        <v>96</v>
      </c>
      <c r="B79">
        <f t="shared" si="23"/>
        <v>1.9249245498312063E-2</v>
      </c>
      <c r="C79">
        <f t="shared" si="19"/>
        <v>1.9249245498312063E-2</v>
      </c>
      <c r="D79" t="s">
        <v>23</v>
      </c>
      <c r="E79" t="s">
        <v>19</v>
      </c>
      <c r="F79">
        <v>1</v>
      </c>
      <c r="G79">
        <f t="shared" si="24"/>
        <v>85</v>
      </c>
      <c r="I79">
        <v>2050</v>
      </c>
      <c r="J79" t="s">
        <v>25</v>
      </c>
      <c r="K79">
        <f t="shared" si="25"/>
        <v>87.5</v>
      </c>
      <c r="L79" cm="1">
        <f t="array" ref="L79">STOWA2024_NDJF_T(A79*60,K79,I79,J79,"")</f>
        <v>26.276402800586119</v>
      </c>
      <c r="M79">
        <f t="shared" si="26"/>
        <v>3.8056959607031676E-2</v>
      </c>
    </row>
    <row r="80" spans="1:13" x14ac:dyDescent="0.3">
      <c r="A80">
        <v>96</v>
      </c>
      <c r="B80">
        <f t="shared" si="23"/>
        <v>1.2690691474306483E-2</v>
      </c>
      <c r="C80">
        <f t="shared" si="19"/>
        <v>1.2690691474306483E-2</v>
      </c>
      <c r="D80" t="s">
        <v>23</v>
      </c>
      <c r="E80" t="s">
        <v>19</v>
      </c>
      <c r="F80">
        <v>1</v>
      </c>
      <c r="G80">
        <f t="shared" si="24"/>
        <v>90</v>
      </c>
      <c r="I80">
        <v>2050</v>
      </c>
      <c r="J80" t="s">
        <v>25</v>
      </c>
      <c r="K80">
        <f t="shared" si="25"/>
        <v>92.5</v>
      </c>
      <c r="L80" cm="1">
        <f t="array" ref="L80">STOWA2024_NDJF_T(A80*60,K80,I80,J80,"")</f>
        <v>39.422432766524821</v>
      </c>
      <c r="M80">
        <f t="shared" si="26"/>
        <v>2.5366268132725193E-2</v>
      </c>
    </row>
    <row r="81" spans="1:13" x14ac:dyDescent="0.3">
      <c r="A81">
        <v>96</v>
      </c>
      <c r="B81">
        <f t="shared" si="23"/>
        <v>8.3980142299567087E-3</v>
      </c>
      <c r="C81">
        <f t="shared" si="19"/>
        <v>8.3980142299567087E-3</v>
      </c>
      <c r="D81" t="s">
        <v>23</v>
      </c>
      <c r="E81" t="s">
        <v>19</v>
      </c>
      <c r="F81">
        <v>1</v>
      </c>
      <c r="G81">
        <f t="shared" si="24"/>
        <v>95</v>
      </c>
      <c r="I81">
        <v>2050</v>
      </c>
      <c r="J81" t="s">
        <v>25</v>
      </c>
      <c r="K81">
        <f t="shared" si="25"/>
        <v>97.5</v>
      </c>
      <c r="L81" cm="1">
        <f t="array" ref="L81">STOWA2024_NDJF_T(A81*60,K81,I81,J81,"")</f>
        <v>58.933583015094044</v>
      </c>
      <c r="M81">
        <f t="shared" si="26"/>
        <v>1.6968253902768484E-2</v>
      </c>
    </row>
    <row r="82" spans="1:13" x14ac:dyDescent="0.3">
      <c r="A82">
        <v>96</v>
      </c>
      <c r="B82">
        <f t="shared" si="23"/>
        <v>5.5776035068091628E-3</v>
      </c>
      <c r="C82">
        <f t="shared" si="19"/>
        <v>5.5776035068091628E-3</v>
      </c>
      <c r="D82" t="s">
        <v>23</v>
      </c>
      <c r="E82" t="s">
        <v>19</v>
      </c>
      <c r="F82">
        <v>1</v>
      </c>
      <c r="G82">
        <f t="shared" si="24"/>
        <v>100</v>
      </c>
      <c r="I82">
        <v>2050</v>
      </c>
      <c r="J82" t="s">
        <v>25</v>
      </c>
      <c r="K82">
        <f t="shared" si="25"/>
        <v>102.5</v>
      </c>
      <c r="L82" cm="1">
        <f t="array" ref="L82">STOWA2024_NDJF_T(A82*60,K82,I82,J82,"")</f>
        <v>87.791299463877536</v>
      </c>
      <c r="M82">
        <f t="shared" si="26"/>
        <v>1.1390650395959321E-2</v>
      </c>
    </row>
    <row r="83" spans="1:13" x14ac:dyDescent="0.3">
      <c r="A83">
        <v>96</v>
      </c>
      <c r="B83">
        <f t="shared" si="23"/>
        <v>3.7177279479832159E-3</v>
      </c>
      <c r="C83">
        <f t="shared" si="19"/>
        <v>3.7177279479832159E-3</v>
      </c>
      <c r="D83" t="s">
        <v>23</v>
      </c>
      <c r="E83" t="s">
        <v>19</v>
      </c>
      <c r="F83">
        <v>1</v>
      </c>
      <c r="G83">
        <f t="shared" si="24"/>
        <v>105</v>
      </c>
      <c r="I83">
        <v>2050</v>
      </c>
      <c r="J83" t="s">
        <v>25</v>
      </c>
      <c r="K83">
        <f t="shared" si="25"/>
        <v>107.5</v>
      </c>
      <c r="L83" cm="1">
        <f t="array" ref="L83">STOWA2024_NDJF_T(A83*60,K83,I83,J83,"")</f>
        <v>130.32843832062593</v>
      </c>
      <c r="M83">
        <f t="shared" si="26"/>
        <v>7.6729224479761054E-3</v>
      </c>
    </row>
    <row r="84" spans="1:13" x14ac:dyDescent="0.3">
      <c r="A84">
        <v>96</v>
      </c>
      <c r="B84">
        <f t="shared" si="23"/>
        <v>2.4866561554868277E-3</v>
      </c>
      <c r="C84">
        <f t="shared" si="19"/>
        <v>2.4866561554868277E-3</v>
      </c>
      <c r="D84" t="s">
        <v>23</v>
      </c>
      <c r="E84" t="s">
        <v>19</v>
      </c>
      <c r="F84">
        <v>1</v>
      </c>
      <c r="G84">
        <f t="shared" si="24"/>
        <v>110</v>
      </c>
      <c r="I84">
        <v>2050</v>
      </c>
      <c r="J84" t="s">
        <v>25</v>
      </c>
      <c r="K84">
        <f t="shared" si="25"/>
        <v>112.5</v>
      </c>
      <c r="L84" cm="1">
        <f t="array" ref="L84">STOWA2024_NDJF_T(A84*60,K84,I84,J84,"")</f>
        <v>192.81694066658213</v>
      </c>
      <c r="M84">
        <f t="shared" si="26"/>
        <v>5.1862662924892777E-3</v>
      </c>
    </row>
    <row r="85" spans="1:13" x14ac:dyDescent="0.3">
      <c r="A85">
        <v>96</v>
      </c>
      <c r="B85">
        <f t="shared" si="23"/>
        <v>1.6690269847382116E-3</v>
      </c>
      <c r="C85">
        <f t="shared" si="19"/>
        <v>1.6690269847382116E-3</v>
      </c>
      <c r="D85" t="s">
        <v>23</v>
      </c>
      <c r="E85" t="s">
        <v>19</v>
      </c>
      <c r="F85">
        <v>1</v>
      </c>
      <c r="G85">
        <f t="shared" si="24"/>
        <v>115</v>
      </c>
      <c r="I85">
        <v>2050</v>
      </c>
      <c r="J85" t="s">
        <v>25</v>
      </c>
      <c r="K85">
        <f t="shared" si="25"/>
        <v>117.5</v>
      </c>
      <c r="L85" cm="1">
        <f t="array" ref="L85">STOWA2024_NDJF_T(A85*60,K85,I85,J85,"")</f>
        <v>284.31389294332752</v>
      </c>
      <c r="M85">
        <f t="shared" si="26"/>
        <v>3.5172393077510661E-3</v>
      </c>
    </row>
    <row r="86" spans="1:13" x14ac:dyDescent="0.3">
      <c r="A86">
        <v>96</v>
      </c>
      <c r="B86">
        <f t="shared" si="23"/>
        <v>1.1240473740306597E-3</v>
      </c>
      <c r="C86">
        <f t="shared" si="19"/>
        <v>1.1240473740306597E-3</v>
      </c>
      <c r="D86" t="s">
        <v>23</v>
      </c>
      <c r="E86" t="s">
        <v>19</v>
      </c>
      <c r="F86">
        <v>1</v>
      </c>
      <c r="G86">
        <f t="shared" si="24"/>
        <v>120</v>
      </c>
      <c r="I86">
        <v>2050</v>
      </c>
      <c r="J86" t="s">
        <v>25</v>
      </c>
      <c r="K86">
        <f t="shared" si="25"/>
        <v>122.5</v>
      </c>
      <c r="L86" cm="1">
        <f t="array" ref="L86">STOWA2024_NDJF_T(A86*60,K86,I86,J86,"")</f>
        <v>417.85198500373548</v>
      </c>
      <c r="M86">
        <f t="shared" si="26"/>
        <v>2.3931919337204064E-3</v>
      </c>
    </row>
    <row r="87" spans="1:13" x14ac:dyDescent="0.3">
      <c r="A87">
        <v>96</v>
      </c>
      <c r="B87">
        <f t="shared" si="23"/>
        <v>7.5953639968469474E-4</v>
      </c>
      <c r="C87">
        <f t="shared" si="19"/>
        <v>7.5953639968469474E-4</v>
      </c>
      <c r="D87" t="s">
        <v>23</v>
      </c>
      <c r="E87" t="s">
        <v>19</v>
      </c>
      <c r="F87">
        <v>1</v>
      </c>
      <c r="G87">
        <f t="shared" si="24"/>
        <v>125</v>
      </c>
      <c r="I87">
        <v>2050</v>
      </c>
      <c r="J87" t="s">
        <v>25</v>
      </c>
      <c r="K87">
        <f t="shared" si="25"/>
        <v>127.5</v>
      </c>
      <c r="L87" cm="1">
        <f t="array" ref="L87">STOWA2024_NDJF_T(A87*60,K87,I87,J87,"")</f>
        <v>612.12414683874238</v>
      </c>
      <c r="M87">
        <f t="shared" si="26"/>
        <v>1.6336555340357116E-3</v>
      </c>
    </row>
    <row r="88" spans="1:13" x14ac:dyDescent="0.3">
      <c r="A88">
        <v>96</v>
      </c>
      <c r="B88">
        <f t="shared" si="23"/>
        <v>5.1493491440837095E-4</v>
      </c>
      <c r="C88">
        <f t="shared" si="19"/>
        <v>5.1493491440837095E-4</v>
      </c>
      <c r="D88" t="s">
        <v>23</v>
      </c>
      <c r="E88" t="s">
        <v>19</v>
      </c>
      <c r="F88">
        <v>1</v>
      </c>
      <c r="G88">
        <f t="shared" si="24"/>
        <v>130</v>
      </c>
      <c r="I88">
        <v>2050</v>
      </c>
      <c r="J88" t="s">
        <v>25</v>
      </c>
      <c r="K88">
        <f t="shared" si="25"/>
        <v>132.5</v>
      </c>
      <c r="L88" cm="1">
        <f t="array" ref="L88">STOWA2024_NDJF_T(A88*60,K88,I88,J88,"")</f>
        <v>893.87822344162396</v>
      </c>
      <c r="M88">
        <f t="shared" si="26"/>
        <v>1.1187206196273407E-3</v>
      </c>
    </row>
    <row r="89" spans="1:13" x14ac:dyDescent="0.3">
      <c r="A89">
        <v>96</v>
      </c>
      <c r="B89">
        <f t="shared" si="23"/>
        <v>3.5022544612334325E-4</v>
      </c>
      <c r="C89">
        <f t="shared" si="19"/>
        <v>3.5022544612334325E-4</v>
      </c>
      <c r="D89" t="s">
        <v>23</v>
      </c>
      <c r="E89" t="s">
        <v>19</v>
      </c>
      <c r="F89">
        <v>1</v>
      </c>
      <c r="G89">
        <f t="shared" si="24"/>
        <v>135</v>
      </c>
      <c r="I89">
        <v>2050</v>
      </c>
      <c r="J89" t="s">
        <v>25</v>
      </c>
      <c r="K89">
        <f t="shared" si="25"/>
        <v>137.5</v>
      </c>
      <c r="L89" cm="1">
        <f t="array" ref="L89">STOWA2024_NDJF_T(A89*60,K89,I89,J89,"")</f>
        <v>1301.2443467152086</v>
      </c>
      <c r="M89">
        <f t="shared" si="26"/>
        <v>7.6849517350399742E-4</v>
      </c>
    </row>
    <row r="90" spans="1:13" x14ac:dyDescent="0.3">
      <c r="A90">
        <v>96</v>
      </c>
      <c r="B90">
        <f t="shared" si="23"/>
        <v>2.389576355172362E-4</v>
      </c>
      <c r="C90">
        <f t="shared" si="19"/>
        <v>2.389576355172362E-4</v>
      </c>
      <c r="D90" t="s">
        <v>23</v>
      </c>
      <c r="E90" t="s">
        <v>19</v>
      </c>
      <c r="F90">
        <v>1</v>
      </c>
      <c r="G90">
        <f t="shared" si="24"/>
        <v>140</v>
      </c>
      <c r="I90">
        <v>2050</v>
      </c>
      <c r="J90" t="s">
        <v>25</v>
      </c>
      <c r="K90">
        <f t="shared" si="25"/>
        <v>142.5</v>
      </c>
      <c r="L90" cm="1">
        <f t="array" ref="L90">STOWA2024_NDJF_T(A90*60,K90,I90,J90,"")</f>
        <v>1888.4402488289709</v>
      </c>
      <c r="M90">
        <f t="shared" si="26"/>
        <v>5.2953753798676121E-4</v>
      </c>
    </row>
    <row r="91" spans="1:13" x14ac:dyDescent="0.3">
      <c r="A91">
        <v>96</v>
      </c>
      <c r="B91">
        <f t="shared" si="23"/>
        <v>1.6354749765370774E-4</v>
      </c>
      <c r="C91">
        <f t="shared" si="19"/>
        <v>1.6354749765370774E-4</v>
      </c>
      <c r="D91" t="s">
        <v>23</v>
      </c>
      <c r="E91" t="s">
        <v>19</v>
      </c>
      <c r="F91">
        <v>1</v>
      </c>
      <c r="G91">
        <f t="shared" si="24"/>
        <v>145</v>
      </c>
      <c r="I91">
        <v>2050</v>
      </c>
      <c r="J91" t="s">
        <v>25</v>
      </c>
      <c r="K91">
        <f t="shared" si="25"/>
        <v>147.5</v>
      </c>
      <c r="L91" cm="1">
        <f t="array" ref="L91">STOWA2024_NDJF_T(A91*60,K91,I91,J91,"")</f>
        <v>2732.3147894680224</v>
      </c>
      <c r="M91">
        <f t="shared" si="26"/>
        <v>3.6599004033305348E-4</v>
      </c>
    </row>
    <row r="92" spans="1:13" x14ac:dyDescent="0.3">
      <c r="A92">
        <v>96</v>
      </c>
      <c r="B92">
        <f t="shared" si="23"/>
        <v>1.1228309388008136E-4</v>
      </c>
      <c r="C92">
        <f t="shared" si="19"/>
        <v>1.1228309388008136E-4</v>
      </c>
      <c r="D92" t="s">
        <v>23</v>
      </c>
      <c r="E92" t="s">
        <v>19</v>
      </c>
      <c r="F92">
        <v>1</v>
      </c>
      <c r="G92">
        <f t="shared" si="24"/>
        <v>150</v>
      </c>
      <c r="I92">
        <v>2050</v>
      </c>
      <c r="J92" t="s">
        <v>25</v>
      </c>
      <c r="K92">
        <f t="shared" si="25"/>
        <v>152.5</v>
      </c>
      <c r="L92" cm="1">
        <f t="array" ref="L92">STOWA2024_NDJF_T(A92*60,K92,I92,J92,"")</f>
        <v>3941.5554598752897</v>
      </c>
      <c r="M92">
        <f t="shared" si="26"/>
        <v>2.5370694645297212E-4</v>
      </c>
    </row>
    <row r="93" spans="1:13" x14ac:dyDescent="0.3">
      <c r="A93">
        <v>96</v>
      </c>
      <c r="B93">
        <f t="shared" si="23"/>
        <v>7.7319362044105019E-5</v>
      </c>
      <c r="C93">
        <f t="shared" si="19"/>
        <v>7.7319362044105019E-5</v>
      </c>
      <c r="D93" t="s">
        <v>23</v>
      </c>
      <c r="E93" t="s">
        <v>19</v>
      </c>
      <c r="F93">
        <v>1</v>
      </c>
      <c r="G93">
        <f t="shared" si="24"/>
        <v>155</v>
      </c>
      <c r="I93">
        <v>2050</v>
      </c>
      <c r="J93" t="s">
        <v>25</v>
      </c>
      <c r="K93">
        <f t="shared" si="25"/>
        <v>157.5</v>
      </c>
      <c r="L93" cm="1">
        <f t="array" ref="L93">STOWA2024_NDJF_T(A93*60,K93,I93,J93,"")</f>
        <v>5669.3332660080887</v>
      </c>
      <c r="M93">
        <f t="shared" si="26"/>
        <v>1.763875844088671E-4</v>
      </c>
    </row>
    <row r="94" spans="1:13" x14ac:dyDescent="0.3">
      <c r="A94">
        <v>96</v>
      </c>
      <c r="B94" s="1">
        <f>M93</f>
        <v>1.763875844088671E-4</v>
      </c>
      <c r="C94">
        <f t="shared" si="19"/>
        <v>1.763875844088671E-4</v>
      </c>
      <c r="D94" t="s">
        <v>23</v>
      </c>
      <c r="E94" t="s">
        <v>19</v>
      </c>
      <c r="F94">
        <v>1</v>
      </c>
      <c r="G94">
        <f t="shared" si="24"/>
        <v>160</v>
      </c>
      <c r="I94">
        <v>2050</v>
      </c>
      <c r="J94" t="s">
        <v>25</v>
      </c>
      <c r="K94">
        <f>AVERAGE(G94:G95)</f>
        <v>85</v>
      </c>
      <c r="L94" cm="1">
        <f t="array" ref="L94">STOWA2024_NDJF_T(A94*60,K94,I94,J94,"")</f>
        <v>21.42319017272531</v>
      </c>
      <c r="M94">
        <f>1/L94</f>
        <v>4.6678388789786245E-2</v>
      </c>
    </row>
    <row r="95" spans="1:13" x14ac:dyDescent="0.3">
      <c r="A95">
        <v>192</v>
      </c>
      <c r="B95" s="1">
        <f>365.25*24/A95 - M95</f>
        <v>23.492108467684417</v>
      </c>
      <c r="C95">
        <f>B95</f>
        <v>23.492108467684417</v>
      </c>
      <c r="D95" t="s">
        <v>23</v>
      </c>
      <c r="E95" t="s">
        <v>19</v>
      </c>
      <c r="F95">
        <v>1</v>
      </c>
      <c r="G95">
        <v>10</v>
      </c>
      <c r="I95">
        <v>2050</v>
      </c>
      <c r="J95" t="s">
        <v>25</v>
      </c>
      <c r="K95">
        <f>AVERAGE(G95:G97)</f>
        <v>15</v>
      </c>
      <c r="L95" cm="1">
        <f t="array" ref="L95">STOWA2024_NDJF_T(A95*60,K95,I95,J95,"")</f>
        <v>4.511792160061729E-2</v>
      </c>
      <c r="M95">
        <f>1/L95</f>
        <v>22.164141532315583</v>
      </c>
    </row>
    <row r="96" spans="1:13" x14ac:dyDescent="0.3">
      <c r="A96">
        <v>192</v>
      </c>
      <c r="B96">
        <f t="shared" ref="B96:B100" si="27">M95-M96</f>
        <v>2.833194326139715</v>
      </c>
      <c r="C96">
        <f t="shared" ref="C96:C125" si="28">B96</f>
        <v>2.833194326139715</v>
      </c>
      <c r="D96" t="s">
        <v>23</v>
      </c>
      <c r="E96" t="s">
        <v>19</v>
      </c>
      <c r="F96">
        <v>1</v>
      </c>
      <c r="G96">
        <f t="shared" ref="G96:G100" si="29">G95+5</f>
        <v>15</v>
      </c>
      <c r="I96">
        <v>2050</v>
      </c>
      <c r="J96" t="s">
        <v>25</v>
      </c>
      <c r="K96">
        <f t="shared" ref="K96:K100" si="30">AVERAGE(G96:G97)</f>
        <v>17.5</v>
      </c>
      <c r="L96" cm="1">
        <f t="array" ref="L96">STOWA2024_NDJF_T(A96*60,K96,I96,J96,"")</f>
        <v>5.1730522531276642E-2</v>
      </c>
      <c r="M96">
        <f t="shared" ref="M96:M100" si="31">1/L96</f>
        <v>19.330947206175868</v>
      </c>
    </row>
    <row r="97" spans="1:13" x14ac:dyDescent="0.3">
      <c r="A97">
        <v>192</v>
      </c>
      <c r="B97">
        <f t="shared" si="27"/>
        <v>4.664504102018709</v>
      </c>
      <c r="C97">
        <f t="shared" si="28"/>
        <v>4.664504102018709</v>
      </c>
      <c r="D97" t="s">
        <v>23</v>
      </c>
      <c r="E97" t="s">
        <v>19</v>
      </c>
      <c r="F97">
        <v>1</v>
      </c>
      <c r="G97">
        <f t="shared" si="29"/>
        <v>20</v>
      </c>
      <c r="I97">
        <v>2050</v>
      </c>
      <c r="J97" t="s">
        <v>25</v>
      </c>
      <c r="K97">
        <f t="shared" si="30"/>
        <v>22.5</v>
      </c>
      <c r="L97" cm="1">
        <f t="array" ref="L97">STOWA2024_NDJF_T(A97*60,K97,I97,J97,"")</f>
        <v>6.8182857486185799E-2</v>
      </c>
      <c r="M97">
        <f t="shared" si="31"/>
        <v>14.666443104157159</v>
      </c>
    </row>
    <row r="98" spans="1:13" x14ac:dyDescent="0.3">
      <c r="A98">
        <v>192</v>
      </c>
      <c r="B98">
        <f t="shared" si="27"/>
        <v>3.5784798242979363</v>
      </c>
      <c r="C98">
        <f t="shared" si="28"/>
        <v>3.5784798242979363</v>
      </c>
      <c r="D98" t="s">
        <v>23</v>
      </c>
      <c r="E98" t="s">
        <v>19</v>
      </c>
      <c r="F98">
        <v>1</v>
      </c>
      <c r="G98">
        <f t="shared" si="29"/>
        <v>25</v>
      </c>
      <c r="I98">
        <v>2050</v>
      </c>
      <c r="J98" t="s">
        <v>25</v>
      </c>
      <c r="K98">
        <f t="shared" si="30"/>
        <v>27.5</v>
      </c>
      <c r="L98" cm="1">
        <f t="array" ref="L98">STOWA2024_NDJF_T(A98*60,K98,I98,J98,"")</f>
        <v>9.0187888862912652E-2</v>
      </c>
      <c r="M98">
        <f t="shared" si="31"/>
        <v>11.087963279859222</v>
      </c>
    </row>
    <row r="99" spans="1:13" x14ac:dyDescent="0.3">
      <c r="A99">
        <v>192</v>
      </c>
      <c r="B99">
        <f t="shared" si="27"/>
        <v>2.7358694972722102</v>
      </c>
      <c r="C99">
        <f t="shared" si="28"/>
        <v>2.7358694972722102</v>
      </c>
      <c r="D99" t="s">
        <v>23</v>
      </c>
      <c r="E99" t="s">
        <v>19</v>
      </c>
      <c r="F99">
        <v>1</v>
      </c>
      <c r="G99">
        <f t="shared" si="29"/>
        <v>30</v>
      </c>
      <c r="I99">
        <v>2050</v>
      </c>
      <c r="J99" t="s">
        <v>25</v>
      </c>
      <c r="K99">
        <f t="shared" si="30"/>
        <v>32.5</v>
      </c>
      <c r="L99" cm="1">
        <f t="array" ref="L99">STOWA2024_NDJF_T(A99*60,K99,I99,J99,"")</f>
        <v>0.11973045634196122</v>
      </c>
      <c r="M99">
        <f t="shared" si="31"/>
        <v>8.3520937825870121</v>
      </c>
    </row>
    <row r="100" spans="1:13" x14ac:dyDescent="0.3">
      <c r="A100">
        <v>192</v>
      </c>
      <c r="B100">
        <f t="shared" si="27"/>
        <v>2.0843045691493485</v>
      </c>
      <c r="C100">
        <f t="shared" si="28"/>
        <v>2.0843045691493485</v>
      </c>
      <c r="D100" t="s">
        <v>23</v>
      </c>
      <c r="E100" t="s">
        <v>19</v>
      </c>
      <c r="F100">
        <v>1</v>
      </c>
      <c r="G100">
        <f t="shared" si="29"/>
        <v>35</v>
      </c>
      <c r="I100">
        <v>2050</v>
      </c>
      <c r="J100" t="s">
        <v>25</v>
      </c>
      <c r="K100">
        <f t="shared" si="30"/>
        <v>37.5</v>
      </c>
      <c r="L100" cm="1">
        <f t="array" ref="L100">STOWA2024_NDJF_T(A100*60,K100,I100,J100,"")</f>
        <v>0.15954588866136021</v>
      </c>
      <c r="M100">
        <f t="shared" si="31"/>
        <v>6.2677892134376636</v>
      </c>
    </row>
    <row r="101" spans="1:13" x14ac:dyDescent="0.3">
      <c r="A101">
        <v>192</v>
      </c>
      <c r="B101">
        <f>M100-M101</f>
        <v>1.5821859063028567</v>
      </c>
      <c r="C101">
        <f t="shared" si="28"/>
        <v>1.5821859063028567</v>
      </c>
      <c r="D101" t="s">
        <v>23</v>
      </c>
      <c r="E101" t="s">
        <v>19</v>
      </c>
      <c r="F101">
        <v>1</v>
      </c>
      <c r="G101">
        <f>G100+5</f>
        <v>40</v>
      </c>
      <c r="I101">
        <v>2050</v>
      </c>
      <c r="J101" t="s">
        <v>25</v>
      </c>
      <c r="K101">
        <f>AVERAGE(G101:G102)</f>
        <v>42.5</v>
      </c>
      <c r="L101" cm="1">
        <f t="array" ref="L101">STOWA2024_NDJF_T(A101*60,K101,I101,J101,"")</f>
        <v>0.21341968887491855</v>
      </c>
      <c r="M101">
        <f>1/L101</f>
        <v>4.6856033071348069</v>
      </c>
    </row>
    <row r="102" spans="1:13" x14ac:dyDescent="0.3">
      <c r="A102">
        <v>192</v>
      </c>
      <c r="B102">
        <f t="shared" ref="B102:B124" si="32">M101-M102</f>
        <v>1.196582258944161</v>
      </c>
      <c r="C102">
        <f t="shared" si="28"/>
        <v>1.196582258944161</v>
      </c>
      <c r="D102" t="s">
        <v>23</v>
      </c>
      <c r="E102" t="s">
        <v>19</v>
      </c>
      <c r="F102">
        <v>1</v>
      </c>
      <c r="G102">
        <f t="shared" ref="G102:G125" si="33">G101+5</f>
        <v>45</v>
      </c>
      <c r="I102">
        <v>2050</v>
      </c>
      <c r="J102" t="s">
        <v>25</v>
      </c>
      <c r="K102">
        <f t="shared" ref="K102:K124" si="34">AVERAGE(G102:G103)</f>
        <v>47.5</v>
      </c>
      <c r="L102" cm="1">
        <f t="array" ref="L102">STOWA2024_NDJF_T(A102*60,K102,I102,J102,"")</f>
        <v>0.28661334689241413</v>
      </c>
      <c r="M102">
        <f t="shared" ref="M102:M124" si="35">1/L102</f>
        <v>3.4890210481906458</v>
      </c>
    </row>
    <row r="103" spans="1:13" x14ac:dyDescent="0.3">
      <c r="A103">
        <v>192</v>
      </c>
      <c r="B103">
        <f t="shared" si="32"/>
        <v>0.90153729489347878</v>
      </c>
      <c r="C103">
        <f t="shared" si="28"/>
        <v>0.90153729489347878</v>
      </c>
      <c r="D103" t="s">
        <v>23</v>
      </c>
      <c r="E103" t="s">
        <v>19</v>
      </c>
      <c r="F103">
        <v>1</v>
      </c>
      <c r="G103">
        <f t="shared" si="33"/>
        <v>50</v>
      </c>
      <c r="I103">
        <v>2050</v>
      </c>
      <c r="J103" t="s">
        <v>25</v>
      </c>
      <c r="K103">
        <f t="shared" si="34"/>
        <v>52.5</v>
      </c>
      <c r="L103" cm="1">
        <f t="array" ref="L103">STOWA2024_NDJF_T(A103*60,K103,I103,J103,"")</f>
        <v>0.38647585660227801</v>
      </c>
      <c r="M103">
        <f t="shared" si="35"/>
        <v>2.5874837532971671</v>
      </c>
    </row>
    <row r="104" spans="1:13" x14ac:dyDescent="0.3">
      <c r="A104">
        <v>192</v>
      </c>
      <c r="B104">
        <f t="shared" si="32"/>
        <v>0.67655850465735168</v>
      </c>
      <c r="C104">
        <f t="shared" si="28"/>
        <v>0.67655850465735168</v>
      </c>
      <c r="D104" t="s">
        <v>23</v>
      </c>
      <c r="E104" t="s">
        <v>19</v>
      </c>
      <c r="F104">
        <v>1</v>
      </c>
      <c r="G104">
        <f t="shared" si="33"/>
        <v>55</v>
      </c>
      <c r="I104">
        <v>2050</v>
      </c>
      <c r="J104" t="s">
        <v>25</v>
      </c>
      <c r="K104">
        <f t="shared" si="34"/>
        <v>57.5</v>
      </c>
      <c r="L104" cm="1">
        <f t="array" ref="L104">STOWA2024_NDJF_T(A104*60,K104,I104,J104,"")</f>
        <v>0.52330670742447605</v>
      </c>
      <c r="M104">
        <f t="shared" si="35"/>
        <v>1.9109252486398154</v>
      </c>
    </row>
    <row r="105" spans="1:13" x14ac:dyDescent="0.3">
      <c r="A105">
        <v>192</v>
      </c>
      <c r="B105">
        <f t="shared" si="32"/>
        <v>0.50569021172650386</v>
      </c>
      <c r="C105">
        <f t="shared" si="28"/>
        <v>0.50569021172650386</v>
      </c>
      <c r="D105" t="s">
        <v>23</v>
      </c>
      <c r="E105" t="s">
        <v>19</v>
      </c>
      <c r="F105">
        <v>1</v>
      </c>
      <c r="G105">
        <f t="shared" si="33"/>
        <v>60</v>
      </c>
      <c r="I105">
        <v>2050</v>
      </c>
      <c r="J105" t="s">
        <v>25</v>
      </c>
      <c r="K105">
        <f t="shared" si="34"/>
        <v>62.5</v>
      </c>
      <c r="L105" cm="1">
        <f t="array" ref="L105">STOWA2024_NDJF_T(A105*60,K105,I105,J105,"")</f>
        <v>0.71162472734565729</v>
      </c>
      <c r="M105">
        <f t="shared" si="35"/>
        <v>1.4052350369133115</v>
      </c>
    </row>
    <row r="106" spans="1:13" x14ac:dyDescent="0.3">
      <c r="A106">
        <v>192</v>
      </c>
      <c r="B106">
        <f t="shared" si="32"/>
        <v>0.3764120520330434</v>
      </c>
      <c r="C106">
        <f t="shared" si="28"/>
        <v>0.3764120520330434</v>
      </c>
      <c r="D106" t="s">
        <v>23</v>
      </c>
      <c r="E106" t="s">
        <v>19</v>
      </c>
      <c r="F106">
        <v>1</v>
      </c>
      <c r="G106">
        <f t="shared" si="33"/>
        <v>65</v>
      </c>
      <c r="I106">
        <v>2050</v>
      </c>
      <c r="J106" t="s">
        <v>25</v>
      </c>
      <c r="K106">
        <f t="shared" si="34"/>
        <v>67.5</v>
      </c>
      <c r="L106" cm="1">
        <f t="array" ref="L106">STOWA2024_NDJF_T(A106*60,K106,I106,J106,"")</f>
        <v>0.97198450529988656</v>
      </c>
      <c r="M106">
        <f t="shared" si="35"/>
        <v>1.0288229848802681</v>
      </c>
    </row>
    <row r="107" spans="1:13" x14ac:dyDescent="0.3">
      <c r="A107">
        <v>192</v>
      </c>
      <c r="B107">
        <f t="shared" si="32"/>
        <v>0.27894398697207656</v>
      </c>
      <c r="C107">
        <f t="shared" si="28"/>
        <v>0.27894398697207656</v>
      </c>
      <c r="D107" t="s">
        <v>23</v>
      </c>
      <c r="E107" t="s">
        <v>19</v>
      </c>
      <c r="F107">
        <v>1</v>
      </c>
      <c r="G107">
        <f t="shared" si="33"/>
        <v>70</v>
      </c>
      <c r="I107">
        <v>2050</v>
      </c>
      <c r="J107" t="s">
        <v>25</v>
      </c>
      <c r="K107">
        <f t="shared" si="34"/>
        <v>72.5</v>
      </c>
      <c r="L107" cm="1">
        <f t="array" ref="L107">STOWA2024_NDJF_T(A107*60,K107,I107,J107,"")</f>
        <v>1.3335484828746078</v>
      </c>
      <c r="M107">
        <f t="shared" si="35"/>
        <v>0.74987899790819157</v>
      </c>
    </row>
    <row r="108" spans="1:13" x14ac:dyDescent="0.3">
      <c r="A108">
        <v>192</v>
      </c>
      <c r="B108">
        <f t="shared" si="32"/>
        <v>0.20589466118898447</v>
      </c>
      <c r="C108">
        <f t="shared" si="28"/>
        <v>0.20589466118898447</v>
      </c>
      <c r="D108" t="s">
        <v>23</v>
      </c>
      <c r="E108" t="s">
        <v>19</v>
      </c>
      <c r="F108">
        <v>1</v>
      </c>
      <c r="G108">
        <f t="shared" si="33"/>
        <v>75</v>
      </c>
      <c r="I108">
        <v>2050</v>
      </c>
      <c r="J108" t="s">
        <v>25</v>
      </c>
      <c r="K108">
        <f t="shared" si="34"/>
        <v>77.5</v>
      </c>
      <c r="L108" cm="1">
        <f t="array" ref="L108">STOWA2024_NDJF_T(A108*60,K108,I108,J108,"")</f>
        <v>1.8382882235746767</v>
      </c>
      <c r="M108">
        <f t="shared" si="35"/>
        <v>0.5439843367192071</v>
      </c>
    </row>
    <row r="109" spans="1:13" x14ac:dyDescent="0.3">
      <c r="A109">
        <v>192</v>
      </c>
      <c r="B109">
        <f t="shared" si="32"/>
        <v>0.15125888760892925</v>
      </c>
      <c r="C109">
        <f t="shared" si="28"/>
        <v>0.15125888760892925</v>
      </c>
      <c r="D109" t="s">
        <v>23</v>
      </c>
      <c r="E109" t="s">
        <v>19</v>
      </c>
      <c r="F109">
        <v>1</v>
      </c>
      <c r="G109">
        <f t="shared" si="33"/>
        <v>80</v>
      </c>
      <c r="I109">
        <v>2050</v>
      </c>
      <c r="J109" t="s">
        <v>25</v>
      </c>
      <c r="K109">
        <f t="shared" si="34"/>
        <v>82.5</v>
      </c>
      <c r="L109" cm="1">
        <f t="array" ref="L109">STOWA2024_NDJF_T(A109*60,K109,I109,J109,"")</f>
        <v>2.5463081199996251</v>
      </c>
      <c r="M109">
        <f t="shared" si="35"/>
        <v>0.39272544911027785</v>
      </c>
    </row>
    <row r="110" spans="1:13" x14ac:dyDescent="0.3">
      <c r="A110">
        <v>192</v>
      </c>
      <c r="B110">
        <f t="shared" si="32"/>
        <v>0.1106005585301203</v>
      </c>
      <c r="C110">
        <f t="shared" si="28"/>
        <v>0.1106005585301203</v>
      </c>
      <c r="D110" t="s">
        <v>23</v>
      </c>
      <c r="E110" t="s">
        <v>19</v>
      </c>
      <c r="F110">
        <v>1</v>
      </c>
      <c r="G110">
        <f t="shared" si="33"/>
        <v>85</v>
      </c>
      <c r="I110">
        <v>2050</v>
      </c>
      <c r="J110" t="s">
        <v>25</v>
      </c>
      <c r="K110">
        <f t="shared" si="34"/>
        <v>87.5</v>
      </c>
      <c r="L110" cm="1">
        <f t="array" ref="L110">STOWA2024_NDJF_T(A110*60,K110,I110,J110,"")</f>
        <v>3.5445295094084557</v>
      </c>
      <c r="M110">
        <f t="shared" si="35"/>
        <v>0.28212489058015755</v>
      </c>
    </row>
    <row r="111" spans="1:13" x14ac:dyDescent="0.3">
      <c r="A111">
        <v>192</v>
      </c>
      <c r="B111">
        <f t="shared" si="32"/>
        <v>8.0486066080469515E-2</v>
      </c>
      <c r="C111">
        <f t="shared" si="28"/>
        <v>8.0486066080469515E-2</v>
      </c>
      <c r="D111" t="s">
        <v>23</v>
      </c>
      <c r="E111" t="s">
        <v>19</v>
      </c>
      <c r="F111">
        <v>1</v>
      </c>
      <c r="G111">
        <f t="shared" si="33"/>
        <v>90</v>
      </c>
      <c r="I111">
        <v>2050</v>
      </c>
      <c r="J111" t="s">
        <v>25</v>
      </c>
      <c r="K111">
        <f t="shared" si="34"/>
        <v>92.5</v>
      </c>
      <c r="L111" cm="1">
        <f t="array" ref="L111">STOWA2024_NDJF_T(A111*60,K111,I111,J111,"")</f>
        <v>4.9593623771673352</v>
      </c>
      <c r="M111">
        <f t="shared" si="35"/>
        <v>0.20163882449968804</v>
      </c>
    </row>
    <row r="112" spans="1:13" x14ac:dyDescent="0.3">
      <c r="A112">
        <v>192</v>
      </c>
      <c r="B112">
        <f t="shared" si="32"/>
        <v>5.8282147581317223E-2</v>
      </c>
      <c r="C112">
        <f t="shared" si="28"/>
        <v>5.8282147581317223E-2</v>
      </c>
      <c r="D112" t="s">
        <v>23</v>
      </c>
      <c r="E112" t="s">
        <v>19</v>
      </c>
      <c r="F112">
        <v>1</v>
      </c>
      <c r="G112">
        <f t="shared" si="33"/>
        <v>95</v>
      </c>
      <c r="I112">
        <v>2050</v>
      </c>
      <c r="J112" t="s">
        <v>25</v>
      </c>
      <c r="K112">
        <f t="shared" si="34"/>
        <v>97.5</v>
      </c>
      <c r="L112" cm="1">
        <f t="array" ref="L112">STOWA2024_NDJF_T(A112*60,K112,I112,J112,"")</f>
        <v>6.9756081230134352</v>
      </c>
      <c r="M112">
        <f t="shared" si="35"/>
        <v>0.14335667691837081</v>
      </c>
    </row>
    <row r="113" spans="1:13" x14ac:dyDescent="0.3">
      <c r="A113">
        <v>192</v>
      </c>
      <c r="B113">
        <f t="shared" si="32"/>
        <v>4.1989690204316255E-2</v>
      </c>
      <c r="C113">
        <f t="shared" si="28"/>
        <v>4.1989690204316255E-2</v>
      </c>
      <c r="D113" t="s">
        <v>23</v>
      </c>
      <c r="E113" t="s">
        <v>19</v>
      </c>
      <c r="F113">
        <v>1</v>
      </c>
      <c r="G113">
        <f t="shared" si="33"/>
        <v>100</v>
      </c>
      <c r="I113">
        <v>2050</v>
      </c>
      <c r="J113" t="s">
        <v>25</v>
      </c>
      <c r="K113">
        <f t="shared" si="34"/>
        <v>102.5</v>
      </c>
      <c r="L113" cm="1">
        <f t="array" ref="L113">STOWA2024_NDJF_T(A113*60,K113,I113,J113,"")</f>
        <v>9.8651447815144504</v>
      </c>
      <c r="M113">
        <f t="shared" si="35"/>
        <v>0.10136698671405456</v>
      </c>
    </row>
    <row r="114" spans="1:13" x14ac:dyDescent="0.3">
      <c r="A114">
        <v>192</v>
      </c>
      <c r="B114">
        <f t="shared" si="32"/>
        <v>3.0091510802157218E-2</v>
      </c>
      <c r="C114">
        <f t="shared" si="28"/>
        <v>3.0091510802157218E-2</v>
      </c>
      <c r="D114" t="s">
        <v>23</v>
      </c>
      <c r="E114" t="s">
        <v>19</v>
      </c>
      <c r="F114">
        <v>1</v>
      </c>
      <c r="G114">
        <f t="shared" si="33"/>
        <v>105</v>
      </c>
      <c r="I114">
        <v>2050</v>
      </c>
      <c r="J114" t="s">
        <v>25</v>
      </c>
      <c r="K114">
        <f t="shared" si="34"/>
        <v>107.5</v>
      </c>
      <c r="L114" cm="1">
        <f t="array" ref="L114">STOWA2024_NDJF_T(A114*60,K114,I114,J114,"")</f>
        <v>14.030071173934868</v>
      </c>
      <c r="M114">
        <f t="shared" si="35"/>
        <v>7.127547591189734E-2</v>
      </c>
    </row>
    <row r="115" spans="1:13" x14ac:dyDescent="0.3">
      <c r="A115">
        <v>192</v>
      </c>
      <c r="B115">
        <f t="shared" si="32"/>
        <v>2.1448788998976322E-2</v>
      </c>
      <c r="C115">
        <f t="shared" si="28"/>
        <v>2.1448788998976322E-2</v>
      </c>
      <c r="D115" t="s">
        <v>23</v>
      </c>
      <c r="E115" t="s">
        <v>19</v>
      </c>
      <c r="F115">
        <v>1</v>
      </c>
      <c r="G115">
        <f t="shared" si="33"/>
        <v>110</v>
      </c>
      <c r="I115">
        <v>2050</v>
      </c>
      <c r="J115" t="s">
        <v>25</v>
      </c>
      <c r="K115">
        <f t="shared" si="34"/>
        <v>112.5</v>
      </c>
      <c r="L115" cm="1">
        <f t="array" ref="L115">STOWA2024_NDJF_T(A115*60,K115,I115,J115,"")</f>
        <v>20.069566370078697</v>
      </c>
      <c r="M115">
        <f t="shared" si="35"/>
        <v>4.9826686912921019E-2</v>
      </c>
    </row>
    <row r="116" spans="1:13" x14ac:dyDescent="0.3">
      <c r="A116">
        <v>192</v>
      </c>
      <c r="B116">
        <f t="shared" si="32"/>
        <v>1.5202378447120357E-2</v>
      </c>
      <c r="C116">
        <f t="shared" si="28"/>
        <v>1.5202378447120357E-2</v>
      </c>
      <c r="D116" t="s">
        <v>23</v>
      </c>
      <c r="E116" t="s">
        <v>19</v>
      </c>
      <c r="F116">
        <v>1</v>
      </c>
      <c r="G116">
        <f t="shared" si="33"/>
        <v>115</v>
      </c>
      <c r="I116">
        <v>2050</v>
      </c>
      <c r="J116" t="s">
        <v>25</v>
      </c>
      <c r="K116">
        <f t="shared" si="34"/>
        <v>117.5</v>
      </c>
      <c r="L116" cm="1">
        <f t="array" ref="L116">STOWA2024_NDJF_T(A116*60,K116,I116,J116,"")</f>
        <v>28.88144324926305</v>
      </c>
      <c r="M116">
        <f t="shared" si="35"/>
        <v>3.4624308465800661E-2</v>
      </c>
    </row>
    <row r="117" spans="1:13" x14ac:dyDescent="0.3">
      <c r="A117">
        <v>192</v>
      </c>
      <c r="B117">
        <f t="shared" si="32"/>
        <v>1.0712703966617776E-2</v>
      </c>
      <c r="C117">
        <f t="shared" si="28"/>
        <v>1.0712703966617776E-2</v>
      </c>
      <c r="D117" t="s">
        <v>23</v>
      </c>
      <c r="E117" t="s">
        <v>19</v>
      </c>
      <c r="F117">
        <v>1</v>
      </c>
      <c r="G117">
        <f t="shared" si="33"/>
        <v>120</v>
      </c>
      <c r="I117">
        <v>2050</v>
      </c>
      <c r="J117" t="s">
        <v>25</v>
      </c>
      <c r="K117">
        <f t="shared" si="34"/>
        <v>122.5</v>
      </c>
      <c r="L117" cm="1">
        <f t="array" ref="L117">STOWA2024_NDJF_T(A117*60,K117,I117,J117,"")</f>
        <v>41.820698399146416</v>
      </c>
      <c r="M117">
        <f t="shared" si="35"/>
        <v>2.3911604499182885E-2</v>
      </c>
    </row>
    <row r="118" spans="1:13" x14ac:dyDescent="0.3">
      <c r="A118">
        <v>192</v>
      </c>
      <c r="B118">
        <f t="shared" si="32"/>
        <v>7.5037585374405219E-3</v>
      </c>
      <c r="C118">
        <f t="shared" si="28"/>
        <v>7.5037585374405219E-3</v>
      </c>
      <c r="D118" t="s">
        <v>23</v>
      </c>
      <c r="E118" t="s">
        <v>19</v>
      </c>
      <c r="F118">
        <v>1</v>
      </c>
      <c r="G118">
        <f t="shared" si="33"/>
        <v>125</v>
      </c>
      <c r="I118">
        <v>2050</v>
      </c>
      <c r="J118" t="s">
        <v>25</v>
      </c>
      <c r="K118">
        <f t="shared" si="34"/>
        <v>127.5</v>
      </c>
      <c r="L118" cm="1">
        <f t="array" ref="L118">STOWA2024_NDJF_T(A118*60,K118,I118,J118,"")</f>
        <v>60.946452223629308</v>
      </c>
      <c r="M118">
        <f t="shared" si="35"/>
        <v>1.6407845961742364E-2</v>
      </c>
    </row>
    <row r="119" spans="1:13" x14ac:dyDescent="0.3">
      <c r="A119">
        <v>192</v>
      </c>
      <c r="B119">
        <f t="shared" si="32"/>
        <v>5.2234769631038791E-3</v>
      </c>
      <c r="C119">
        <f t="shared" si="28"/>
        <v>5.2234769631038791E-3</v>
      </c>
      <c r="D119" t="s">
        <v>23</v>
      </c>
      <c r="E119" t="s">
        <v>19</v>
      </c>
      <c r="F119">
        <v>1</v>
      </c>
      <c r="G119">
        <f t="shared" si="33"/>
        <v>130</v>
      </c>
      <c r="I119">
        <v>2050</v>
      </c>
      <c r="J119" t="s">
        <v>25</v>
      </c>
      <c r="K119">
        <f t="shared" si="34"/>
        <v>132.5</v>
      </c>
      <c r="L119" cm="1">
        <f t="array" ref="L119">STOWA2024_NDJF_T(A119*60,K119,I119,J119,"")</f>
        <v>89.410497822607056</v>
      </c>
      <c r="M119">
        <f t="shared" si="35"/>
        <v>1.1184368998638484E-2</v>
      </c>
    </row>
    <row r="120" spans="1:13" x14ac:dyDescent="0.3">
      <c r="A120">
        <v>192</v>
      </c>
      <c r="B120">
        <f t="shared" si="32"/>
        <v>3.6128640308186587E-3</v>
      </c>
      <c r="C120">
        <f t="shared" si="28"/>
        <v>3.6128640308186587E-3</v>
      </c>
      <c r="D120" t="s">
        <v>23</v>
      </c>
      <c r="E120" t="s">
        <v>19</v>
      </c>
      <c r="F120">
        <v>1</v>
      </c>
      <c r="G120">
        <f t="shared" si="33"/>
        <v>135</v>
      </c>
      <c r="I120">
        <v>2050</v>
      </c>
      <c r="J120" t="s">
        <v>25</v>
      </c>
      <c r="K120">
        <f t="shared" si="34"/>
        <v>137.5</v>
      </c>
      <c r="L120" cm="1">
        <f t="array" ref="L120">STOWA2024_NDJF_T(A120*60,K120,I120,J120,"")</f>
        <v>132.07413905824123</v>
      </c>
      <c r="M120">
        <f t="shared" si="35"/>
        <v>7.5715049678198258E-3</v>
      </c>
    </row>
    <row r="121" spans="1:13" x14ac:dyDescent="0.3">
      <c r="A121">
        <v>192</v>
      </c>
      <c r="B121">
        <f t="shared" si="32"/>
        <v>2.4822120336698882E-3</v>
      </c>
      <c r="C121">
        <f t="shared" si="28"/>
        <v>2.4822120336698882E-3</v>
      </c>
      <c r="D121" t="s">
        <v>23</v>
      </c>
      <c r="E121" t="s">
        <v>19</v>
      </c>
      <c r="F121">
        <v>1</v>
      </c>
      <c r="G121">
        <f t="shared" si="33"/>
        <v>140</v>
      </c>
      <c r="I121">
        <v>2050</v>
      </c>
      <c r="J121" t="s">
        <v>25</v>
      </c>
      <c r="K121">
        <f t="shared" si="34"/>
        <v>142.5</v>
      </c>
      <c r="L121" cm="1">
        <f t="array" ref="L121">STOWA2024_NDJF_T(A121*60,K121,I121,J121,"")</f>
        <v>196.4909493202575</v>
      </c>
      <c r="M121">
        <f t="shared" si="35"/>
        <v>5.0892929341499376E-3</v>
      </c>
    </row>
    <row r="122" spans="1:13" x14ac:dyDescent="0.3">
      <c r="A122">
        <v>192</v>
      </c>
      <c r="B122">
        <f t="shared" si="32"/>
        <v>1.693650942908517E-3</v>
      </c>
      <c r="C122">
        <f t="shared" si="28"/>
        <v>1.693650942908517E-3</v>
      </c>
      <c r="D122" t="s">
        <v>23</v>
      </c>
      <c r="E122" t="s">
        <v>19</v>
      </c>
      <c r="F122">
        <v>1</v>
      </c>
      <c r="G122">
        <f t="shared" si="33"/>
        <v>145</v>
      </c>
      <c r="I122">
        <v>2050</v>
      </c>
      <c r="J122" t="s">
        <v>25</v>
      </c>
      <c r="K122">
        <f t="shared" si="34"/>
        <v>147.5</v>
      </c>
      <c r="L122" cm="1">
        <f t="array" ref="L122">STOWA2024_NDJF_T(A122*60,K122,I122,J122,"")</f>
        <v>294.49512126995688</v>
      </c>
      <c r="M122">
        <f t="shared" si="35"/>
        <v>3.3956419912414206E-3</v>
      </c>
    </row>
    <row r="123" spans="1:13" x14ac:dyDescent="0.3">
      <c r="A123">
        <v>192</v>
      </c>
      <c r="B123">
        <f t="shared" si="32"/>
        <v>1.1473447114109048E-3</v>
      </c>
      <c r="C123">
        <f t="shared" si="28"/>
        <v>1.1473447114109048E-3</v>
      </c>
      <c r="D123" t="s">
        <v>23</v>
      </c>
      <c r="E123" t="s">
        <v>19</v>
      </c>
      <c r="F123">
        <v>1</v>
      </c>
      <c r="G123">
        <f t="shared" si="33"/>
        <v>150</v>
      </c>
      <c r="I123">
        <v>2050</v>
      </c>
      <c r="J123" t="s">
        <v>25</v>
      </c>
      <c r="K123">
        <f t="shared" si="34"/>
        <v>152.5</v>
      </c>
      <c r="L123" cm="1">
        <f t="array" ref="L123">STOWA2024_NDJF_T(A123*60,K123,I123,J123,"")</f>
        <v>444.78103895379149</v>
      </c>
      <c r="M123">
        <f t="shared" si="35"/>
        <v>2.2482972798305158E-3</v>
      </c>
    </row>
    <row r="124" spans="1:13" x14ac:dyDescent="0.3">
      <c r="A124">
        <v>192</v>
      </c>
      <c r="B124">
        <f t="shared" si="32"/>
        <v>7.7149763381403934E-4</v>
      </c>
      <c r="C124">
        <f t="shared" si="28"/>
        <v>7.7149763381403934E-4</v>
      </c>
      <c r="D124" t="s">
        <v>23</v>
      </c>
      <c r="E124" t="s">
        <v>19</v>
      </c>
      <c r="F124">
        <v>1</v>
      </c>
      <c r="G124">
        <f t="shared" si="33"/>
        <v>155</v>
      </c>
      <c r="I124">
        <v>2050</v>
      </c>
      <c r="J124" t="s">
        <v>25</v>
      </c>
      <c r="K124">
        <f t="shared" si="34"/>
        <v>157.5</v>
      </c>
      <c r="L124" cm="1">
        <f t="array" ref="L124">STOWA2024_NDJF_T(A124*60,K124,I124,J124,"")</f>
        <v>677.139923954751</v>
      </c>
      <c r="M124">
        <f t="shared" si="35"/>
        <v>1.4767996460164764E-3</v>
      </c>
    </row>
    <row r="125" spans="1:13" x14ac:dyDescent="0.3">
      <c r="A125">
        <v>192</v>
      </c>
      <c r="B125" s="1">
        <f>M124</f>
        <v>1.4767996460164764E-3</v>
      </c>
      <c r="C125">
        <f t="shared" si="28"/>
        <v>1.4767996460164764E-3</v>
      </c>
      <c r="D125" t="s">
        <v>23</v>
      </c>
      <c r="E125" t="s">
        <v>19</v>
      </c>
      <c r="F125">
        <v>1</v>
      </c>
      <c r="G125">
        <f t="shared" si="33"/>
        <v>160</v>
      </c>
      <c r="I125">
        <v>2050</v>
      </c>
      <c r="J125" t="s">
        <v>25</v>
      </c>
      <c r="K125">
        <f>AVERAGE(G125:G126)</f>
        <v>85</v>
      </c>
      <c r="L125" cm="1">
        <f t="array" ref="L125">STOWA2024_NDJF_T(A125*60,K125,I125,J125,"")</f>
        <v>3.0023393018830205</v>
      </c>
      <c r="M125">
        <f>1/L125</f>
        <v>0.33307361342297842</v>
      </c>
    </row>
    <row r="126" spans="1:13" x14ac:dyDescent="0.3">
      <c r="A126">
        <v>216</v>
      </c>
      <c r="B126" s="1">
        <f>365.25*24/A126 - M126</f>
        <v>19.096782395742242</v>
      </c>
      <c r="C126">
        <f>B126</f>
        <v>19.096782395742242</v>
      </c>
      <c r="D126" t="s">
        <v>23</v>
      </c>
      <c r="E126" t="s">
        <v>19</v>
      </c>
      <c r="F126">
        <v>1</v>
      </c>
      <c r="G126">
        <v>10</v>
      </c>
      <c r="I126">
        <v>2050</v>
      </c>
      <c r="J126" t="s">
        <v>25</v>
      </c>
      <c r="K126">
        <f>AVERAGE(G126:G128)</f>
        <v>15</v>
      </c>
      <c r="L126" cm="1">
        <f t="array" ref="L126">STOWA2024_NDJF_T(A126*60,K126,I126,J126,"")</f>
        <v>4.6540740899018961E-2</v>
      </c>
      <c r="M126">
        <f>1/L126</f>
        <v>21.486550937591094</v>
      </c>
    </row>
    <row r="127" spans="1:13" x14ac:dyDescent="0.3">
      <c r="A127">
        <v>216</v>
      </c>
      <c r="B127">
        <f t="shared" ref="B127:B131" si="36">M126-M127</f>
        <v>2.4808460238270733</v>
      </c>
      <c r="C127">
        <f t="shared" ref="C127:C156" si="37">B127</f>
        <v>2.4808460238270733</v>
      </c>
      <c r="D127" t="s">
        <v>23</v>
      </c>
      <c r="E127" t="s">
        <v>19</v>
      </c>
      <c r="F127">
        <v>1</v>
      </c>
      <c r="G127">
        <f t="shared" ref="G127:G131" si="38">G126+5</f>
        <v>15</v>
      </c>
      <c r="I127">
        <v>2050</v>
      </c>
      <c r="J127" t="s">
        <v>25</v>
      </c>
      <c r="K127">
        <f t="shared" ref="K127:K131" si="39">AVERAGE(G127:G128)</f>
        <v>17.5</v>
      </c>
      <c r="L127" cm="1">
        <f t="array" ref="L127">STOWA2024_NDJF_T(A127*60,K127,I127,J127,"")</f>
        <v>5.2615780605737766E-2</v>
      </c>
      <c r="M127">
        <f t="shared" ref="M127:M131" si="40">1/L127</f>
        <v>19.005704913764021</v>
      </c>
    </row>
    <row r="128" spans="1:13" x14ac:dyDescent="0.3">
      <c r="A128">
        <v>216</v>
      </c>
      <c r="B128">
        <f t="shared" si="36"/>
        <v>4.1783101052167204</v>
      </c>
      <c r="C128">
        <f t="shared" si="37"/>
        <v>4.1783101052167204</v>
      </c>
      <c r="D128" t="s">
        <v>23</v>
      </c>
      <c r="E128" t="s">
        <v>19</v>
      </c>
      <c r="F128">
        <v>1</v>
      </c>
      <c r="G128">
        <f t="shared" si="38"/>
        <v>20</v>
      </c>
      <c r="I128">
        <v>2050</v>
      </c>
      <c r="J128" t="s">
        <v>25</v>
      </c>
      <c r="K128">
        <f t="shared" si="39"/>
        <v>22.5</v>
      </c>
      <c r="L128" cm="1">
        <f t="array" ref="L128">STOWA2024_NDJF_T(A128*60,K128,I128,J128,"")</f>
        <v>6.7442731033475062E-2</v>
      </c>
      <c r="M128">
        <f t="shared" si="40"/>
        <v>14.8273948085473</v>
      </c>
    </row>
    <row r="129" spans="1:13" x14ac:dyDescent="0.3">
      <c r="A129">
        <v>216</v>
      </c>
      <c r="B129">
        <f t="shared" si="36"/>
        <v>3.3052989900720249</v>
      </c>
      <c r="C129">
        <f t="shared" si="37"/>
        <v>3.3052989900720249</v>
      </c>
      <c r="D129" t="s">
        <v>23</v>
      </c>
      <c r="E129" t="s">
        <v>19</v>
      </c>
      <c r="F129">
        <v>1</v>
      </c>
      <c r="G129">
        <f t="shared" si="38"/>
        <v>25</v>
      </c>
      <c r="I129">
        <v>2050</v>
      </c>
      <c r="J129" t="s">
        <v>25</v>
      </c>
      <c r="K129">
        <f t="shared" si="39"/>
        <v>27.5</v>
      </c>
      <c r="L129" cm="1">
        <f t="array" ref="L129">STOWA2024_NDJF_T(A129*60,K129,I129,J129,"")</f>
        <v>8.6789766007372995E-2</v>
      </c>
      <c r="M129">
        <f t="shared" si="40"/>
        <v>11.522095818475275</v>
      </c>
    </row>
    <row r="130" spans="1:13" x14ac:dyDescent="0.3">
      <c r="A130">
        <v>216</v>
      </c>
      <c r="B130">
        <f t="shared" si="36"/>
        <v>2.6048815761804764</v>
      </c>
      <c r="C130">
        <f t="shared" si="37"/>
        <v>2.6048815761804764</v>
      </c>
      <c r="D130" t="s">
        <v>23</v>
      </c>
      <c r="E130" t="s">
        <v>19</v>
      </c>
      <c r="F130">
        <v>1</v>
      </c>
      <c r="G130">
        <f t="shared" si="38"/>
        <v>30</v>
      </c>
      <c r="I130">
        <v>2050</v>
      </c>
      <c r="J130" t="s">
        <v>25</v>
      </c>
      <c r="K130">
        <f t="shared" si="39"/>
        <v>32.5</v>
      </c>
      <c r="L130" cm="1">
        <f t="array" ref="L130">STOWA2024_NDJF_T(A130*60,K130,I130,J130,"")</f>
        <v>0.11214264599104834</v>
      </c>
      <c r="M130">
        <f t="shared" si="40"/>
        <v>8.9172142422947989</v>
      </c>
    </row>
    <row r="131" spans="1:13" x14ac:dyDescent="0.3">
      <c r="A131">
        <v>216</v>
      </c>
      <c r="B131">
        <f t="shared" si="36"/>
        <v>2.0449410931880374</v>
      </c>
      <c r="C131">
        <f t="shared" si="37"/>
        <v>2.0449410931880374</v>
      </c>
      <c r="D131" t="s">
        <v>23</v>
      </c>
      <c r="E131" t="s">
        <v>19</v>
      </c>
      <c r="F131">
        <v>1</v>
      </c>
      <c r="G131">
        <f t="shared" si="38"/>
        <v>35</v>
      </c>
      <c r="I131">
        <v>2050</v>
      </c>
      <c r="J131" t="s">
        <v>25</v>
      </c>
      <c r="K131">
        <f t="shared" si="39"/>
        <v>37.5</v>
      </c>
      <c r="L131" cm="1">
        <f t="array" ref="L131">STOWA2024_NDJF_T(A131*60,K131,I131,J131,"")</f>
        <v>0.14551226039814455</v>
      </c>
      <c r="M131">
        <f t="shared" si="40"/>
        <v>6.8722731491067615</v>
      </c>
    </row>
    <row r="132" spans="1:13" x14ac:dyDescent="0.3">
      <c r="A132">
        <v>216</v>
      </c>
      <c r="B132">
        <f>M131-M132</f>
        <v>1.5989889728780682</v>
      </c>
      <c r="C132">
        <f t="shared" si="37"/>
        <v>1.5989889728780682</v>
      </c>
      <c r="D132" t="s">
        <v>23</v>
      </c>
      <c r="E132" t="s">
        <v>19</v>
      </c>
      <c r="F132">
        <v>1</v>
      </c>
      <c r="G132">
        <f>G131+5</f>
        <v>40</v>
      </c>
      <c r="I132">
        <v>2050</v>
      </c>
      <c r="J132" t="s">
        <v>25</v>
      </c>
      <c r="K132">
        <f>AVERAGE(G132:G133)</f>
        <v>42.5</v>
      </c>
      <c r="L132" cm="1">
        <f t="array" ref="L132">STOWA2024_NDJF_T(A132*60,K132,I132,J132,"")</f>
        <v>0.18963514322021088</v>
      </c>
      <c r="M132">
        <f>1/L132</f>
        <v>5.2732841762286933</v>
      </c>
    </row>
    <row r="133" spans="1:13" x14ac:dyDescent="0.3">
      <c r="A133">
        <v>216</v>
      </c>
      <c r="B133">
        <f t="shared" ref="B133:B155" si="41">M132-M133</f>
        <v>1.245056859641835</v>
      </c>
      <c r="C133">
        <f t="shared" si="37"/>
        <v>1.245056859641835</v>
      </c>
      <c r="D133" t="s">
        <v>23</v>
      </c>
      <c r="E133" t="s">
        <v>19</v>
      </c>
      <c r="F133">
        <v>1</v>
      </c>
      <c r="G133">
        <f t="shared" ref="G133:G156" si="42">G132+5</f>
        <v>45</v>
      </c>
      <c r="I133">
        <v>2050</v>
      </c>
      <c r="J133" t="s">
        <v>25</v>
      </c>
      <c r="K133">
        <f t="shared" ref="K133:K155" si="43">AVERAGE(G133:G134)</f>
        <v>47.5</v>
      </c>
      <c r="L133" cm="1">
        <f t="array" ref="L133">STOWA2024_NDJF_T(A133*60,K133,I133,J133,"")</f>
        <v>0.24824815518288726</v>
      </c>
      <c r="M133">
        <f t="shared" ref="M133:M155" si="44">1/L133</f>
        <v>4.0282273165868583</v>
      </c>
    </row>
    <row r="134" spans="1:13" x14ac:dyDescent="0.3">
      <c r="A134">
        <v>216</v>
      </c>
      <c r="B134">
        <f t="shared" si="41"/>
        <v>0.96535922321760248</v>
      </c>
      <c r="C134">
        <f t="shared" si="37"/>
        <v>0.96535922321760248</v>
      </c>
      <c r="D134" t="s">
        <v>23</v>
      </c>
      <c r="E134" t="s">
        <v>19</v>
      </c>
      <c r="F134">
        <v>1</v>
      </c>
      <c r="G134">
        <f t="shared" si="42"/>
        <v>50</v>
      </c>
      <c r="I134">
        <v>2050</v>
      </c>
      <c r="J134" t="s">
        <v>25</v>
      </c>
      <c r="K134">
        <f t="shared" si="43"/>
        <v>52.5</v>
      </c>
      <c r="L134" cm="1">
        <f t="array" ref="L134">STOWA2024_NDJF_T(A134*60,K134,I134,J134,"")</f>
        <v>0.326491370021739</v>
      </c>
      <c r="M134">
        <f t="shared" si="44"/>
        <v>3.0628680933692558</v>
      </c>
    </row>
    <row r="135" spans="1:13" x14ac:dyDescent="0.3">
      <c r="A135">
        <v>216</v>
      </c>
      <c r="B135">
        <f t="shared" si="41"/>
        <v>0.74520534403526328</v>
      </c>
      <c r="C135">
        <f t="shared" si="37"/>
        <v>0.74520534403526328</v>
      </c>
      <c r="D135" t="s">
        <v>23</v>
      </c>
      <c r="E135" t="s">
        <v>19</v>
      </c>
      <c r="F135">
        <v>1</v>
      </c>
      <c r="G135">
        <f t="shared" si="42"/>
        <v>55</v>
      </c>
      <c r="I135">
        <v>2050</v>
      </c>
      <c r="J135" t="s">
        <v>25</v>
      </c>
      <c r="K135">
        <f t="shared" si="43"/>
        <v>57.5</v>
      </c>
      <c r="L135" cm="1">
        <f t="array" ref="L135">STOWA2024_NDJF_T(A135*60,K135,I135,J135,"")</f>
        <v>0.43146916016463638</v>
      </c>
      <c r="M135">
        <f t="shared" si="44"/>
        <v>2.3176627493339925</v>
      </c>
    </row>
    <row r="136" spans="1:13" x14ac:dyDescent="0.3">
      <c r="A136">
        <v>216</v>
      </c>
      <c r="B136">
        <f t="shared" si="41"/>
        <v>0.57260674433512682</v>
      </c>
      <c r="C136">
        <f t="shared" si="37"/>
        <v>0.57260674433512682</v>
      </c>
      <c r="D136" t="s">
        <v>23</v>
      </c>
      <c r="E136" t="s">
        <v>19</v>
      </c>
      <c r="F136">
        <v>1</v>
      </c>
      <c r="G136">
        <f t="shared" si="42"/>
        <v>60</v>
      </c>
      <c r="I136">
        <v>2050</v>
      </c>
      <c r="J136" t="s">
        <v>25</v>
      </c>
      <c r="K136">
        <f t="shared" si="43"/>
        <v>62.5</v>
      </c>
      <c r="L136" cm="1">
        <f t="array" ref="L136">STOWA2024_NDJF_T(A136*60,K136,I136,J136,"")</f>
        <v>0.57304751087381289</v>
      </c>
      <c r="M136">
        <f t="shared" si="44"/>
        <v>1.7450560049988657</v>
      </c>
    </row>
    <row r="137" spans="1:13" x14ac:dyDescent="0.3">
      <c r="A137">
        <v>216</v>
      </c>
      <c r="B137">
        <f t="shared" si="41"/>
        <v>0.4379147540944559</v>
      </c>
      <c r="C137">
        <f t="shared" si="37"/>
        <v>0.4379147540944559</v>
      </c>
      <c r="D137" t="s">
        <v>23</v>
      </c>
      <c r="E137" t="s">
        <v>19</v>
      </c>
      <c r="F137">
        <v>1</v>
      </c>
      <c r="G137">
        <f t="shared" si="42"/>
        <v>65</v>
      </c>
      <c r="I137">
        <v>2050</v>
      </c>
      <c r="J137" t="s">
        <v>25</v>
      </c>
      <c r="K137">
        <f t="shared" si="43"/>
        <v>67.5</v>
      </c>
      <c r="L137" cm="1">
        <f t="array" ref="L137">STOWA2024_NDJF_T(A137*60,K137,I137,J137,"")</f>
        <v>0.76502826248356937</v>
      </c>
      <c r="M137">
        <f t="shared" si="44"/>
        <v>1.3071412509044098</v>
      </c>
    </row>
    <row r="138" spans="1:13" x14ac:dyDescent="0.3">
      <c r="A138">
        <v>216</v>
      </c>
      <c r="B138">
        <f t="shared" si="41"/>
        <v>0.33317984909210963</v>
      </c>
      <c r="C138">
        <f t="shared" si="37"/>
        <v>0.33317984909210963</v>
      </c>
      <c r="D138" t="s">
        <v>23</v>
      </c>
      <c r="E138" t="s">
        <v>19</v>
      </c>
      <c r="F138">
        <v>1</v>
      </c>
      <c r="G138">
        <f t="shared" si="42"/>
        <v>70</v>
      </c>
      <c r="I138">
        <v>2050</v>
      </c>
      <c r="J138" t="s">
        <v>25</v>
      </c>
      <c r="K138">
        <f t="shared" si="43"/>
        <v>72.5</v>
      </c>
      <c r="L138" cm="1">
        <f t="array" ref="L138">STOWA2024_NDJF_T(A138*60,K138,I138,J138,"")</f>
        <v>1.0267347331621648</v>
      </c>
      <c r="M138">
        <f t="shared" si="44"/>
        <v>0.97396140181230018</v>
      </c>
    </row>
    <row r="139" spans="1:13" x14ac:dyDescent="0.3">
      <c r="A139">
        <v>216</v>
      </c>
      <c r="B139">
        <f t="shared" si="41"/>
        <v>0.25232832998505517</v>
      </c>
      <c r="C139">
        <f t="shared" si="37"/>
        <v>0.25232832998505517</v>
      </c>
      <c r="D139" t="s">
        <v>23</v>
      </c>
      <c r="E139" t="s">
        <v>19</v>
      </c>
      <c r="F139">
        <v>1</v>
      </c>
      <c r="G139">
        <f t="shared" si="42"/>
        <v>75</v>
      </c>
      <c r="I139">
        <v>2050</v>
      </c>
      <c r="J139" t="s">
        <v>25</v>
      </c>
      <c r="K139">
        <f t="shared" si="43"/>
        <v>77.5</v>
      </c>
      <c r="L139" cm="1">
        <f t="array" ref="L139">STOWA2024_NDJF_T(A139*60,K139,I139,J139,"")</f>
        <v>1.3857458021815754</v>
      </c>
      <c r="M139">
        <f t="shared" si="44"/>
        <v>0.72163307182724501</v>
      </c>
    </row>
    <row r="140" spans="1:13" x14ac:dyDescent="0.3">
      <c r="A140">
        <v>216</v>
      </c>
      <c r="B140">
        <f t="shared" si="41"/>
        <v>0.19003196743208184</v>
      </c>
      <c r="C140">
        <f t="shared" si="37"/>
        <v>0.19003196743208184</v>
      </c>
      <c r="D140" t="s">
        <v>23</v>
      </c>
      <c r="E140" t="s">
        <v>19</v>
      </c>
      <c r="F140">
        <v>1</v>
      </c>
      <c r="G140">
        <f t="shared" si="42"/>
        <v>80</v>
      </c>
      <c r="I140">
        <v>2050</v>
      </c>
      <c r="J140" t="s">
        <v>25</v>
      </c>
      <c r="K140">
        <f t="shared" si="43"/>
        <v>82.5</v>
      </c>
      <c r="L140" cm="1">
        <f t="array" ref="L140">STOWA2024_NDJF_T(A140*60,K140,I140,J140,"")</f>
        <v>1.8811097112707551</v>
      </c>
      <c r="M140">
        <f t="shared" si="44"/>
        <v>0.53160110439516317</v>
      </c>
    </row>
    <row r="141" spans="1:13" x14ac:dyDescent="0.3">
      <c r="A141">
        <v>216</v>
      </c>
      <c r="B141">
        <f t="shared" si="41"/>
        <v>0.142334488883962</v>
      </c>
      <c r="C141">
        <f t="shared" si="37"/>
        <v>0.142334488883962</v>
      </c>
      <c r="D141" t="s">
        <v>23</v>
      </c>
      <c r="E141" t="s">
        <v>19</v>
      </c>
      <c r="F141">
        <v>1</v>
      </c>
      <c r="G141">
        <f t="shared" si="42"/>
        <v>85</v>
      </c>
      <c r="I141">
        <v>2050</v>
      </c>
      <c r="J141" t="s">
        <v>25</v>
      </c>
      <c r="K141">
        <f t="shared" si="43"/>
        <v>87.5</v>
      </c>
      <c r="L141" cm="1">
        <f t="array" ref="L141">STOWA2024_NDJF_T(A141*60,K141,I141,J141,"")</f>
        <v>2.5689333740751392</v>
      </c>
      <c r="M141">
        <f t="shared" si="44"/>
        <v>0.38926661551120117</v>
      </c>
    </row>
    <row r="142" spans="1:13" x14ac:dyDescent="0.3">
      <c r="A142">
        <v>216</v>
      </c>
      <c r="B142">
        <f t="shared" si="41"/>
        <v>0.1059963536691913</v>
      </c>
      <c r="C142">
        <f t="shared" si="37"/>
        <v>0.1059963536691913</v>
      </c>
      <c r="D142" t="s">
        <v>23</v>
      </c>
      <c r="E142" t="s">
        <v>19</v>
      </c>
      <c r="F142">
        <v>1</v>
      </c>
      <c r="G142">
        <f t="shared" si="42"/>
        <v>90</v>
      </c>
      <c r="I142">
        <v>2050</v>
      </c>
      <c r="J142" t="s">
        <v>25</v>
      </c>
      <c r="K142">
        <f t="shared" si="43"/>
        <v>92.5</v>
      </c>
      <c r="L142" cm="1">
        <f t="array" ref="L142">STOWA2024_NDJF_T(A142*60,K142,I142,J142,"")</f>
        <v>3.5301976052739921</v>
      </c>
      <c r="M142">
        <f t="shared" si="44"/>
        <v>0.28327026184200987</v>
      </c>
    </row>
    <row r="143" spans="1:13" x14ac:dyDescent="0.3">
      <c r="A143">
        <v>216</v>
      </c>
      <c r="B143">
        <f t="shared" si="41"/>
        <v>7.8468430072805739E-2</v>
      </c>
      <c r="C143">
        <f t="shared" si="37"/>
        <v>7.8468430072805739E-2</v>
      </c>
      <c r="D143" t="s">
        <v>23</v>
      </c>
      <c r="E143" t="s">
        <v>19</v>
      </c>
      <c r="F143">
        <v>1</v>
      </c>
      <c r="G143">
        <f t="shared" si="42"/>
        <v>95</v>
      </c>
      <c r="I143">
        <v>2050</v>
      </c>
      <c r="J143" t="s">
        <v>25</v>
      </c>
      <c r="K143">
        <f t="shared" si="43"/>
        <v>97.5</v>
      </c>
      <c r="L143" cm="1">
        <f t="array" ref="L143">STOWA2024_NDJF_T(A143*60,K143,I143,J143,"")</f>
        <v>4.8827688276095245</v>
      </c>
      <c r="M143">
        <f t="shared" si="44"/>
        <v>0.20480183176920413</v>
      </c>
    </row>
    <row r="144" spans="1:13" x14ac:dyDescent="0.3">
      <c r="A144">
        <v>216</v>
      </c>
      <c r="B144">
        <f t="shared" si="41"/>
        <v>5.7731559609901117E-2</v>
      </c>
      <c r="C144">
        <f t="shared" si="37"/>
        <v>5.7731559609901117E-2</v>
      </c>
      <c r="D144" t="s">
        <v>23</v>
      </c>
      <c r="E144" t="s">
        <v>19</v>
      </c>
      <c r="F144">
        <v>1</v>
      </c>
      <c r="G144">
        <f t="shared" si="42"/>
        <v>100</v>
      </c>
      <c r="I144">
        <v>2050</v>
      </c>
      <c r="J144" t="s">
        <v>25</v>
      </c>
      <c r="K144">
        <f t="shared" si="43"/>
        <v>102.5</v>
      </c>
      <c r="L144" cm="1">
        <f t="array" ref="L144">STOWA2024_NDJF_T(A144*60,K144,I144,J144,"")</f>
        <v>6.7994706565635763</v>
      </c>
      <c r="M144">
        <f t="shared" si="44"/>
        <v>0.14707027215930302</v>
      </c>
    </row>
    <row r="145" spans="1:13" x14ac:dyDescent="0.3">
      <c r="A145">
        <v>216</v>
      </c>
      <c r="B145">
        <f t="shared" si="41"/>
        <v>4.219996195810384E-2</v>
      </c>
      <c r="C145">
        <f t="shared" si="37"/>
        <v>4.219996195810384E-2</v>
      </c>
      <c r="D145" t="s">
        <v>23</v>
      </c>
      <c r="E145" t="s">
        <v>19</v>
      </c>
      <c r="F145">
        <v>1</v>
      </c>
      <c r="G145">
        <f t="shared" si="42"/>
        <v>105</v>
      </c>
      <c r="I145">
        <v>2050</v>
      </c>
      <c r="J145" t="s">
        <v>25</v>
      </c>
      <c r="K145">
        <f t="shared" si="43"/>
        <v>107.5</v>
      </c>
      <c r="L145" cm="1">
        <f t="array" ref="L145">STOWA2024_NDJF_T(A145*60,K145,I145,J145,"")</f>
        <v>9.5355873181022126</v>
      </c>
      <c r="M145">
        <f t="shared" si="44"/>
        <v>0.10487031020119918</v>
      </c>
    </row>
    <row r="146" spans="1:13" x14ac:dyDescent="0.3">
      <c r="A146">
        <v>216</v>
      </c>
      <c r="B146">
        <f t="shared" si="41"/>
        <v>3.0639126782798343E-2</v>
      </c>
      <c r="C146">
        <f t="shared" si="37"/>
        <v>3.0639126782798343E-2</v>
      </c>
      <c r="D146" t="s">
        <v>23</v>
      </c>
      <c r="E146" t="s">
        <v>19</v>
      </c>
      <c r="F146">
        <v>1</v>
      </c>
      <c r="G146">
        <f t="shared" si="42"/>
        <v>110</v>
      </c>
      <c r="I146">
        <v>2050</v>
      </c>
      <c r="J146" t="s">
        <v>25</v>
      </c>
      <c r="K146">
        <f t="shared" si="43"/>
        <v>112.5</v>
      </c>
      <c r="L146" cm="1">
        <f t="array" ref="L146">STOWA2024_NDJF_T(A146*60,K146,I146,J146,"")</f>
        <v>13.471427423749175</v>
      </c>
      <c r="M146">
        <f t="shared" si="44"/>
        <v>7.4231183418400834E-2</v>
      </c>
    </row>
    <row r="147" spans="1:13" x14ac:dyDescent="0.3">
      <c r="A147">
        <v>216</v>
      </c>
      <c r="B147">
        <f t="shared" si="41"/>
        <v>2.2090703448069689E-2</v>
      </c>
      <c r="C147">
        <f t="shared" si="37"/>
        <v>2.2090703448069689E-2</v>
      </c>
      <c r="D147" t="s">
        <v>23</v>
      </c>
      <c r="E147" t="s">
        <v>19</v>
      </c>
      <c r="F147">
        <v>1</v>
      </c>
      <c r="G147">
        <f t="shared" si="42"/>
        <v>115</v>
      </c>
      <c r="I147">
        <v>2050</v>
      </c>
      <c r="J147" t="s">
        <v>25</v>
      </c>
      <c r="K147">
        <f t="shared" si="43"/>
        <v>117.5</v>
      </c>
      <c r="L147" cm="1">
        <f t="array" ref="L147">STOWA2024_NDJF_T(A147*60,K147,I147,J147,"")</f>
        <v>19.178956552931957</v>
      </c>
      <c r="M147">
        <f t="shared" si="44"/>
        <v>5.2140479970331145E-2</v>
      </c>
    </row>
    <row r="148" spans="1:13" x14ac:dyDescent="0.3">
      <c r="A148">
        <v>216</v>
      </c>
      <c r="B148">
        <f t="shared" si="41"/>
        <v>1.5809631182408662E-2</v>
      </c>
      <c r="C148">
        <f t="shared" si="37"/>
        <v>1.5809631182408662E-2</v>
      </c>
      <c r="D148" t="s">
        <v>23</v>
      </c>
      <c r="E148" t="s">
        <v>19</v>
      </c>
      <c r="F148">
        <v>1</v>
      </c>
      <c r="G148">
        <f t="shared" si="42"/>
        <v>120</v>
      </c>
      <c r="I148">
        <v>2050</v>
      </c>
      <c r="J148" t="s">
        <v>25</v>
      </c>
      <c r="K148">
        <f t="shared" si="43"/>
        <v>122.5</v>
      </c>
      <c r="L148" cm="1">
        <f t="array" ref="L148">STOWA2024_NDJF_T(A148*60,K148,I148,J148,"")</f>
        <v>27.524817981473404</v>
      </c>
      <c r="M148">
        <f t="shared" si="44"/>
        <v>3.6330848787922483E-2</v>
      </c>
    </row>
    <row r="149" spans="1:13" x14ac:dyDescent="0.3">
      <c r="A149">
        <v>216</v>
      </c>
      <c r="B149">
        <f t="shared" si="41"/>
        <v>1.1228200877982313E-2</v>
      </c>
      <c r="C149">
        <f t="shared" si="37"/>
        <v>1.1228200877982313E-2</v>
      </c>
      <c r="D149" t="s">
        <v>23</v>
      </c>
      <c r="E149" t="s">
        <v>19</v>
      </c>
      <c r="F149">
        <v>1</v>
      </c>
      <c r="G149">
        <f t="shared" si="42"/>
        <v>125</v>
      </c>
      <c r="I149">
        <v>2050</v>
      </c>
      <c r="J149" t="s">
        <v>25</v>
      </c>
      <c r="K149">
        <f t="shared" si="43"/>
        <v>127.5</v>
      </c>
      <c r="L149" cm="1">
        <f t="array" ref="L149">STOWA2024_NDJF_T(A149*60,K149,I149,J149,"")</f>
        <v>39.836434928604447</v>
      </c>
      <c r="M149">
        <f t="shared" si="44"/>
        <v>2.5102647909940171E-2</v>
      </c>
    </row>
    <row r="150" spans="1:13" x14ac:dyDescent="0.3">
      <c r="A150">
        <v>216</v>
      </c>
      <c r="B150">
        <f t="shared" si="41"/>
        <v>7.9101766631796168E-3</v>
      </c>
      <c r="C150">
        <f t="shared" si="37"/>
        <v>7.9101766631796168E-3</v>
      </c>
      <c r="D150" t="s">
        <v>23</v>
      </c>
      <c r="E150" t="s">
        <v>19</v>
      </c>
      <c r="F150">
        <v>1</v>
      </c>
      <c r="G150">
        <f t="shared" si="42"/>
        <v>130</v>
      </c>
      <c r="I150">
        <v>2050</v>
      </c>
      <c r="J150" t="s">
        <v>25</v>
      </c>
      <c r="K150">
        <f t="shared" si="43"/>
        <v>132.5</v>
      </c>
      <c r="L150" cm="1">
        <f t="array" ref="L150">STOWA2024_NDJF_T(A150*60,K150,I150,J150,"")</f>
        <v>58.164994761205278</v>
      </c>
      <c r="M150">
        <f t="shared" si="44"/>
        <v>1.7192471246760554E-2</v>
      </c>
    </row>
    <row r="151" spans="1:13" x14ac:dyDescent="0.3">
      <c r="A151">
        <v>216</v>
      </c>
      <c r="B151">
        <f t="shared" si="41"/>
        <v>5.5260795027701412E-3</v>
      </c>
      <c r="C151">
        <f t="shared" si="37"/>
        <v>5.5260795027701412E-3</v>
      </c>
      <c r="D151" t="s">
        <v>23</v>
      </c>
      <c r="E151" t="s">
        <v>19</v>
      </c>
      <c r="F151">
        <v>1</v>
      </c>
      <c r="G151">
        <f t="shared" si="42"/>
        <v>135</v>
      </c>
      <c r="I151">
        <v>2050</v>
      </c>
      <c r="J151" t="s">
        <v>25</v>
      </c>
      <c r="K151">
        <f t="shared" si="43"/>
        <v>137.5</v>
      </c>
      <c r="L151" cm="1">
        <f t="array" ref="L151">STOWA2024_NDJF_T(A151*60,K151,I151,J151,"")</f>
        <v>85.716305601954403</v>
      </c>
      <c r="M151">
        <f t="shared" si="44"/>
        <v>1.1666391743990413E-2</v>
      </c>
    </row>
    <row r="152" spans="1:13" x14ac:dyDescent="0.3">
      <c r="A152">
        <v>216</v>
      </c>
      <c r="B152">
        <f t="shared" si="41"/>
        <v>3.8262947524031598E-3</v>
      </c>
      <c r="C152">
        <f t="shared" si="37"/>
        <v>3.8262947524031598E-3</v>
      </c>
      <c r="D152" t="s">
        <v>23</v>
      </c>
      <c r="E152" t="s">
        <v>19</v>
      </c>
      <c r="F152">
        <v>1</v>
      </c>
      <c r="G152">
        <f t="shared" si="42"/>
        <v>140</v>
      </c>
      <c r="I152">
        <v>2050</v>
      </c>
      <c r="J152" t="s">
        <v>25</v>
      </c>
      <c r="K152">
        <f t="shared" si="43"/>
        <v>142.5</v>
      </c>
      <c r="L152" cm="1">
        <f t="array" ref="L152">STOWA2024_NDJF_T(A152*60,K152,I152,J152,"")</f>
        <v>127.54944244606172</v>
      </c>
      <c r="M152">
        <f t="shared" si="44"/>
        <v>7.8400969915872528E-3</v>
      </c>
    </row>
    <row r="153" spans="1:13" x14ac:dyDescent="0.3">
      <c r="A153">
        <v>216</v>
      </c>
      <c r="B153">
        <f t="shared" si="41"/>
        <v>2.6248967117988471E-3</v>
      </c>
      <c r="C153">
        <f t="shared" si="37"/>
        <v>2.6248967117988471E-3</v>
      </c>
      <c r="D153" t="s">
        <v>23</v>
      </c>
      <c r="E153" t="s">
        <v>19</v>
      </c>
      <c r="F153">
        <v>1</v>
      </c>
      <c r="G153">
        <f t="shared" si="42"/>
        <v>145</v>
      </c>
      <c r="I153">
        <v>2050</v>
      </c>
      <c r="J153" t="s">
        <v>25</v>
      </c>
      <c r="K153">
        <f t="shared" si="43"/>
        <v>147.5</v>
      </c>
      <c r="L153" cm="1">
        <f t="array" ref="L153">STOWA2024_NDJF_T(A153*60,K153,I153,J153,"")</f>
        <v>191.7471902038962</v>
      </c>
      <c r="M153">
        <f t="shared" si="44"/>
        <v>5.2152002797884057E-3</v>
      </c>
    </row>
    <row r="154" spans="1:13" x14ac:dyDescent="0.3">
      <c r="A154">
        <v>216</v>
      </c>
      <c r="B154">
        <f t="shared" si="41"/>
        <v>1.7831657239119145E-3</v>
      </c>
      <c r="C154">
        <f t="shared" si="37"/>
        <v>1.7831657239119145E-3</v>
      </c>
      <c r="D154" t="s">
        <v>23</v>
      </c>
      <c r="E154" t="s">
        <v>19</v>
      </c>
      <c r="F154">
        <v>1</v>
      </c>
      <c r="G154">
        <f t="shared" si="42"/>
        <v>150</v>
      </c>
      <c r="I154">
        <v>2050</v>
      </c>
      <c r="J154" t="s">
        <v>25</v>
      </c>
      <c r="K154">
        <f t="shared" si="43"/>
        <v>152.5</v>
      </c>
      <c r="L154" cm="1">
        <f t="array" ref="L154">STOWA2024_NDJF_T(A154*60,K154,I154,J154,"")</f>
        <v>291.37235762610635</v>
      </c>
      <c r="M154">
        <f t="shared" si="44"/>
        <v>3.4320345558764911E-3</v>
      </c>
    </row>
    <row r="155" spans="1:13" x14ac:dyDescent="0.3">
      <c r="A155">
        <v>216</v>
      </c>
      <c r="B155">
        <f t="shared" si="41"/>
        <v>1.1988957375759306E-3</v>
      </c>
      <c r="C155">
        <f t="shared" si="37"/>
        <v>1.1988957375759306E-3</v>
      </c>
      <c r="D155" t="s">
        <v>23</v>
      </c>
      <c r="E155" t="s">
        <v>19</v>
      </c>
      <c r="F155">
        <v>1</v>
      </c>
      <c r="G155">
        <f t="shared" si="42"/>
        <v>155</v>
      </c>
      <c r="I155">
        <v>2050</v>
      </c>
      <c r="J155" t="s">
        <v>25</v>
      </c>
      <c r="K155">
        <f t="shared" si="43"/>
        <v>157.5</v>
      </c>
      <c r="L155" cm="1">
        <f t="array" ref="L155">STOWA2024_NDJF_T(A155*60,K155,I155,J155,"")</f>
        <v>447.80019576257661</v>
      </c>
      <c r="M155">
        <f t="shared" si="44"/>
        <v>2.2331388183005605E-3</v>
      </c>
    </row>
    <row r="156" spans="1:13" x14ac:dyDescent="0.3">
      <c r="A156">
        <v>216</v>
      </c>
      <c r="B156" s="1">
        <f>M155</f>
        <v>2.2331388183005605E-3</v>
      </c>
      <c r="C156">
        <f t="shared" si="37"/>
        <v>2.2331388183005605E-3</v>
      </c>
      <c r="D156" t="s">
        <v>23</v>
      </c>
      <c r="E156" t="s">
        <v>19</v>
      </c>
      <c r="F156">
        <v>1</v>
      </c>
      <c r="G156">
        <f t="shared" si="42"/>
        <v>160</v>
      </c>
      <c r="I156">
        <v>2050</v>
      </c>
      <c r="J156" t="s">
        <v>25</v>
      </c>
      <c r="K156">
        <f>AVERAGE(G156:G157)</f>
        <v>160</v>
      </c>
      <c r="L156" cm="1">
        <f t="array" ref="L156">STOWA2024_NDJF_T(A156*60,K156,I156,J156,"")</f>
        <v>557.61449844368167</v>
      </c>
      <c r="M156">
        <f>1/L156</f>
        <v>1.7933536570355132E-3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56"/>
  <sheetViews>
    <sheetView workbookViewId="0">
      <selection activeCell="G24" sqref="G24"/>
    </sheetView>
  </sheetViews>
  <sheetFormatPr defaultRowHeight="14.4" x14ac:dyDescent="0.3"/>
  <cols>
    <col min="2" max="3" width="12" bestFit="1" customWidth="1"/>
    <col min="4" max="4" width="18" bestFit="1" customWidth="1"/>
    <col min="5" max="5" width="8" bestFit="1" customWidth="1"/>
    <col min="6" max="6" width="4.2187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348.2701781836833</v>
      </c>
      <c r="C2">
        <f>B2</f>
        <v>348.2701781836833</v>
      </c>
      <c r="D2" t="s">
        <v>29</v>
      </c>
      <c r="E2" t="s">
        <v>21</v>
      </c>
      <c r="F2">
        <v>1</v>
      </c>
      <c r="G2">
        <v>10</v>
      </c>
      <c r="I2">
        <v>2050</v>
      </c>
      <c r="J2" t="s">
        <v>28</v>
      </c>
      <c r="K2">
        <f>AVERAGE(G2:G4)</f>
        <v>15</v>
      </c>
      <c r="L2" cm="1">
        <f t="array" ref="L2">STOWA2024_JAARROND_T(A2*60,K2,I2,J2,"")</f>
        <v>5.8893433088859318E-2</v>
      </c>
      <c r="M2">
        <f>1/L2</f>
        <v>16.979821816316679</v>
      </c>
    </row>
    <row r="3" spans="1:13" x14ac:dyDescent="0.3">
      <c r="A3">
        <v>24</v>
      </c>
      <c r="B3">
        <f t="shared" ref="B3:B7" si="0">M2-M3</f>
        <v>5.0166560398686446</v>
      </c>
      <c r="C3">
        <f t="shared" ref="C3:C32" si="1">B3</f>
        <v>5.0166560398686446</v>
      </c>
      <c r="D3" t="s">
        <v>29</v>
      </c>
      <c r="E3" t="s">
        <v>21</v>
      </c>
      <c r="F3">
        <v>1</v>
      </c>
      <c r="G3">
        <f t="shared" ref="G3:G7" si="2">G2+5</f>
        <v>15</v>
      </c>
      <c r="I3">
        <v>2050</v>
      </c>
      <c r="J3" t="s">
        <v>28</v>
      </c>
      <c r="K3">
        <f t="shared" ref="K3:K7" si="3">AVERAGE(G3:G4)</f>
        <v>17.5</v>
      </c>
      <c r="L3" cm="1">
        <f t="array" ref="L3">STOWA2024_JAARROND_T(A3*60,K3,I3,J3,"")</f>
        <v>8.358991413198559E-2</v>
      </c>
      <c r="M3">
        <f t="shared" ref="M3:M7" si="4">1/L3</f>
        <v>11.963165776448035</v>
      </c>
    </row>
    <row r="4" spans="1:13" x14ac:dyDescent="0.3">
      <c r="A4">
        <v>24</v>
      </c>
      <c r="B4">
        <f t="shared" si="0"/>
        <v>5.7394998362806788</v>
      </c>
      <c r="C4">
        <f t="shared" si="1"/>
        <v>5.7394998362806788</v>
      </c>
      <c r="D4" t="s">
        <v>29</v>
      </c>
      <c r="E4" t="s">
        <v>21</v>
      </c>
      <c r="F4">
        <v>1</v>
      </c>
      <c r="G4">
        <f t="shared" si="2"/>
        <v>20</v>
      </c>
      <c r="I4">
        <v>2050</v>
      </c>
      <c r="J4" t="s">
        <v>28</v>
      </c>
      <c r="K4">
        <f t="shared" si="3"/>
        <v>22.5</v>
      </c>
      <c r="L4" cm="1">
        <f t="array" ref="L4">STOWA2024_JAARROND_T(A4*60,K4,I4,J4,"")</f>
        <v>0.16067700445585126</v>
      </c>
      <c r="M4">
        <f t="shared" si="4"/>
        <v>6.223665940167356</v>
      </c>
    </row>
    <row r="5" spans="1:13" x14ac:dyDescent="0.3">
      <c r="A5">
        <v>24</v>
      </c>
      <c r="B5">
        <f t="shared" si="0"/>
        <v>2.8065643496228403</v>
      </c>
      <c r="C5">
        <f t="shared" si="1"/>
        <v>2.8065643496228403</v>
      </c>
      <c r="D5" t="s">
        <v>29</v>
      </c>
      <c r="E5" t="s">
        <v>21</v>
      </c>
      <c r="F5">
        <v>1</v>
      </c>
      <c r="G5">
        <f t="shared" si="2"/>
        <v>25</v>
      </c>
      <c r="I5">
        <v>2050</v>
      </c>
      <c r="J5" t="s">
        <v>28</v>
      </c>
      <c r="K5">
        <f t="shared" si="3"/>
        <v>27.5</v>
      </c>
      <c r="L5" cm="1">
        <f t="array" ref="L5">STOWA2024_JAARROND_T(A5*60,K5,I5,J5,"")</f>
        <v>0.29264567455855178</v>
      </c>
      <c r="M5">
        <f t="shared" si="4"/>
        <v>3.4171015905445157</v>
      </c>
    </row>
    <row r="6" spans="1:13" x14ac:dyDescent="0.3">
      <c r="A6">
        <v>24</v>
      </c>
      <c r="B6">
        <f t="shared" si="0"/>
        <v>1.4531792317943764</v>
      </c>
      <c r="C6">
        <f t="shared" si="1"/>
        <v>1.4531792317943764</v>
      </c>
      <c r="D6" t="s">
        <v>29</v>
      </c>
      <c r="E6" t="s">
        <v>21</v>
      </c>
      <c r="F6">
        <v>1</v>
      </c>
      <c r="G6">
        <f t="shared" si="2"/>
        <v>30</v>
      </c>
      <c r="I6">
        <v>2050</v>
      </c>
      <c r="J6" t="s">
        <v>28</v>
      </c>
      <c r="K6">
        <f t="shared" si="3"/>
        <v>32.5</v>
      </c>
      <c r="L6" cm="1">
        <f t="array" ref="L6">STOWA2024_JAARROND_T(A6*60,K6,I6,J6,"")</f>
        <v>0.50918509865960815</v>
      </c>
      <c r="M6">
        <f t="shared" si="4"/>
        <v>1.9639223587501393</v>
      </c>
    </row>
    <row r="7" spans="1:13" x14ac:dyDescent="0.3">
      <c r="A7">
        <v>24</v>
      </c>
      <c r="B7">
        <f t="shared" si="0"/>
        <v>0.79002170303318042</v>
      </c>
      <c r="C7">
        <f t="shared" si="1"/>
        <v>0.79002170303318042</v>
      </c>
      <c r="D7" t="s">
        <v>29</v>
      </c>
      <c r="E7" t="s">
        <v>21</v>
      </c>
      <c r="F7">
        <v>1</v>
      </c>
      <c r="G7">
        <f t="shared" si="2"/>
        <v>35</v>
      </c>
      <c r="I7">
        <v>2050</v>
      </c>
      <c r="J7" t="s">
        <v>28</v>
      </c>
      <c r="K7">
        <f t="shared" si="3"/>
        <v>37.5</v>
      </c>
      <c r="L7" cm="1">
        <f t="array" ref="L7">STOWA2024_JAARROND_T(A7*60,K7,I7,J7,"")</f>
        <v>0.85186084114524219</v>
      </c>
      <c r="M7">
        <f t="shared" si="4"/>
        <v>1.1739006557169589</v>
      </c>
    </row>
    <row r="8" spans="1:13" x14ac:dyDescent="0.3">
      <c r="A8">
        <v>24</v>
      </c>
      <c r="B8">
        <f>M7-M8</f>
        <v>0.44783699296235902</v>
      </c>
      <c r="C8">
        <f t="shared" si="1"/>
        <v>0.44783699296235902</v>
      </c>
      <c r="D8" t="s">
        <v>29</v>
      </c>
      <c r="E8" t="s">
        <v>21</v>
      </c>
      <c r="F8">
        <v>1</v>
      </c>
      <c r="G8">
        <f>G7+5</f>
        <v>40</v>
      </c>
      <c r="I8">
        <v>2050</v>
      </c>
      <c r="J8" t="s">
        <v>28</v>
      </c>
      <c r="K8">
        <f>AVERAGE(G8:G9)</f>
        <v>42.5</v>
      </c>
      <c r="L8" cm="1">
        <f t="array" ref="L8">STOWA2024_JAARROND_T(A8*60,K8,I8,J8,"")</f>
        <v>1.3772896941380015</v>
      </c>
      <c r="M8">
        <f>1/L8</f>
        <v>0.72606366275459988</v>
      </c>
    </row>
    <row r="9" spans="1:13" x14ac:dyDescent="0.3">
      <c r="A9">
        <v>24</v>
      </c>
      <c r="B9">
        <f t="shared" ref="B9:B31" si="5">M8-M9</f>
        <v>0.26346253853063001</v>
      </c>
      <c r="C9">
        <f t="shared" si="1"/>
        <v>0.26346253853063001</v>
      </c>
      <c r="D9" t="s">
        <v>29</v>
      </c>
      <c r="E9" t="s">
        <v>21</v>
      </c>
      <c r="F9">
        <v>1</v>
      </c>
      <c r="G9">
        <f t="shared" ref="G9:G32" si="6">G8+5</f>
        <v>45</v>
      </c>
      <c r="I9">
        <v>2050</v>
      </c>
      <c r="J9" t="s">
        <v>28</v>
      </c>
      <c r="K9">
        <f t="shared" ref="K9:K31" si="7">AVERAGE(G9:G10)</f>
        <v>47.5</v>
      </c>
      <c r="L9" cm="1">
        <f t="array" ref="L9">STOWA2024_JAARROND_T(A9*60,K9,I9,J9,"")</f>
        <v>2.1616895152979496</v>
      </c>
      <c r="M9">
        <f t="shared" ref="M9:M31" si="8">1/L9</f>
        <v>0.46260112422396987</v>
      </c>
    </row>
    <row r="10" spans="1:13" x14ac:dyDescent="0.3">
      <c r="A10">
        <v>24</v>
      </c>
      <c r="B10">
        <f t="shared" si="5"/>
        <v>0.15999560280654535</v>
      </c>
      <c r="C10">
        <f t="shared" si="1"/>
        <v>0.15999560280654535</v>
      </c>
      <c r="D10" t="s">
        <v>29</v>
      </c>
      <c r="E10" t="s">
        <v>21</v>
      </c>
      <c r="F10">
        <v>1</v>
      </c>
      <c r="G10">
        <f t="shared" si="6"/>
        <v>50</v>
      </c>
      <c r="I10">
        <v>2050</v>
      </c>
      <c r="J10" t="s">
        <v>28</v>
      </c>
      <c r="K10">
        <f t="shared" si="7"/>
        <v>52.5</v>
      </c>
      <c r="L10" cm="1">
        <f t="array" ref="L10">STOWA2024_JAARROND_T(A10*60,K10,I10,J10,"")</f>
        <v>3.3046323653181644</v>
      </c>
      <c r="M10">
        <f t="shared" si="8"/>
        <v>0.30260552141742453</v>
      </c>
    </row>
    <row r="11" spans="1:13" x14ac:dyDescent="0.3">
      <c r="A11">
        <v>24</v>
      </c>
      <c r="B11">
        <f t="shared" si="5"/>
        <v>9.9970370625649313E-2</v>
      </c>
      <c r="C11">
        <f t="shared" si="1"/>
        <v>9.9970370625649313E-2</v>
      </c>
      <c r="D11" t="s">
        <v>29</v>
      </c>
      <c r="E11" t="s">
        <v>21</v>
      </c>
      <c r="F11">
        <v>1</v>
      </c>
      <c r="G11">
        <f t="shared" si="6"/>
        <v>55</v>
      </c>
      <c r="I11">
        <v>2050</v>
      </c>
      <c r="J11" t="s">
        <v>28</v>
      </c>
      <c r="K11">
        <f t="shared" si="7"/>
        <v>57.5</v>
      </c>
      <c r="L11" cm="1">
        <f t="array" ref="L11">STOWA2024_JAARROND_T(A11*60,K11,I11,J11,"")</f>
        <v>4.9349779448067466</v>
      </c>
      <c r="M11">
        <f t="shared" si="8"/>
        <v>0.20263515079177521</v>
      </c>
    </row>
    <row r="12" spans="1:13" x14ac:dyDescent="0.3">
      <c r="A12">
        <v>24</v>
      </c>
      <c r="B12">
        <f t="shared" si="5"/>
        <v>6.4068397485152417E-2</v>
      </c>
      <c r="C12">
        <f t="shared" si="1"/>
        <v>6.4068397485152417E-2</v>
      </c>
      <c r="D12" t="s">
        <v>29</v>
      </c>
      <c r="E12" t="s">
        <v>21</v>
      </c>
      <c r="F12">
        <v>1</v>
      </c>
      <c r="G12">
        <f t="shared" si="6"/>
        <v>60</v>
      </c>
      <c r="I12">
        <v>2050</v>
      </c>
      <c r="J12" t="s">
        <v>28</v>
      </c>
      <c r="K12">
        <f t="shared" si="7"/>
        <v>62.5</v>
      </c>
      <c r="L12" cm="1">
        <f t="array" ref="L12">STOWA2024_JAARROND_T(A12*60,K12,I12,J12,"")</f>
        <v>7.2167383310712596</v>
      </c>
      <c r="M12">
        <f t="shared" si="8"/>
        <v>0.1385667533066228</v>
      </c>
    </row>
    <row r="13" spans="1:13" x14ac:dyDescent="0.3">
      <c r="A13">
        <v>24</v>
      </c>
      <c r="B13">
        <f t="shared" si="5"/>
        <v>4.2003866396476963E-2</v>
      </c>
      <c r="C13">
        <f t="shared" si="1"/>
        <v>4.2003866396476963E-2</v>
      </c>
      <c r="D13" t="s">
        <v>29</v>
      </c>
      <c r="E13" t="s">
        <v>21</v>
      </c>
      <c r="F13">
        <v>1</v>
      </c>
      <c r="G13">
        <f t="shared" si="6"/>
        <v>65</v>
      </c>
      <c r="I13">
        <v>2050</v>
      </c>
      <c r="J13" t="s">
        <v>28</v>
      </c>
      <c r="K13">
        <f t="shared" si="7"/>
        <v>67.5</v>
      </c>
      <c r="L13" cm="1">
        <f t="array" ref="L13">STOWA2024_JAARROND_T(A13*60,K13,I13,J13,"")</f>
        <v>10.355945560435915</v>
      </c>
      <c r="M13">
        <f t="shared" si="8"/>
        <v>9.6562886910145834E-2</v>
      </c>
    </row>
    <row r="14" spans="1:13" x14ac:dyDescent="0.3">
      <c r="A14">
        <v>24</v>
      </c>
      <c r="B14">
        <f t="shared" si="5"/>
        <v>2.8110893040490886E-2</v>
      </c>
      <c r="C14">
        <f t="shared" si="1"/>
        <v>2.8110893040490886E-2</v>
      </c>
      <c r="D14" t="s">
        <v>29</v>
      </c>
      <c r="E14" t="s">
        <v>21</v>
      </c>
      <c r="F14">
        <v>1</v>
      </c>
      <c r="G14">
        <f t="shared" si="6"/>
        <v>70</v>
      </c>
      <c r="I14">
        <v>2050</v>
      </c>
      <c r="J14" t="s">
        <v>28</v>
      </c>
      <c r="K14">
        <f t="shared" si="7"/>
        <v>72.5</v>
      </c>
      <c r="L14" cm="1">
        <f t="array" ref="L14">STOWA2024_JAARROND_T(A14*60,K14,I14,J14,"")</f>
        <v>14.608778261509547</v>
      </c>
      <c r="M14">
        <f t="shared" si="8"/>
        <v>6.8451993869654948E-2</v>
      </c>
    </row>
    <row r="15" spans="1:13" x14ac:dyDescent="0.3">
      <c r="A15">
        <v>24</v>
      </c>
      <c r="B15">
        <f t="shared" si="5"/>
        <v>1.9166903122961543E-2</v>
      </c>
      <c r="C15">
        <f t="shared" si="1"/>
        <v>1.9166903122961543E-2</v>
      </c>
      <c r="D15" t="s">
        <v>29</v>
      </c>
      <c r="E15" t="s">
        <v>21</v>
      </c>
      <c r="F15">
        <v>1</v>
      </c>
      <c r="G15">
        <f t="shared" si="6"/>
        <v>75</v>
      </c>
      <c r="I15">
        <v>2050</v>
      </c>
      <c r="J15" t="s">
        <v>28</v>
      </c>
      <c r="K15">
        <f t="shared" si="7"/>
        <v>77.5</v>
      </c>
      <c r="L15" cm="1">
        <f t="array" ref="L15">STOWA2024_JAARROND_T(A15*60,K15,I15,J15,"")</f>
        <v>20.290111773144929</v>
      </c>
      <c r="M15">
        <f t="shared" si="8"/>
        <v>4.9285090746693405E-2</v>
      </c>
    </row>
    <row r="16" spans="1:13" x14ac:dyDescent="0.3">
      <c r="A16">
        <v>24</v>
      </c>
      <c r="B16">
        <f t="shared" si="5"/>
        <v>1.3292022051688744E-2</v>
      </c>
      <c r="C16">
        <f t="shared" si="1"/>
        <v>1.3292022051688744E-2</v>
      </c>
      <c r="D16" t="s">
        <v>29</v>
      </c>
      <c r="E16" t="s">
        <v>21</v>
      </c>
      <c r="F16">
        <v>1</v>
      </c>
      <c r="G16">
        <f t="shared" si="6"/>
        <v>80</v>
      </c>
      <c r="I16">
        <v>2050</v>
      </c>
      <c r="J16" t="s">
        <v>28</v>
      </c>
      <c r="K16">
        <f t="shared" si="7"/>
        <v>82.5</v>
      </c>
      <c r="L16" cm="1">
        <f t="array" ref="L16">STOWA2024_JAARROND_T(A16*60,K16,I16,J16,"")</f>
        <v>27.783127036867132</v>
      </c>
      <c r="M16">
        <f t="shared" si="8"/>
        <v>3.5993068695004661E-2</v>
      </c>
    </row>
    <row r="17" spans="1:13" x14ac:dyDescent="0.3">
      <c r="A17">
        <v>24</v>
      </c>
      <c r="B17">
        <f t="shared" si="5"/>
        <v>9.3627996575495614E-3</v>
      </c>
      <c r="C17">
        <f t="shared" si="1"/>
        <v>9.3627996575495614E-3</v>
      </c>
      <c r="D17" t="s">
        <v>29</v>
      </c>
      <c r="E17" t="s">
        <v>21</v>
      </c>
      <c r="F17">
        <v>1</v>
      </c>
      <c r="G17">
        <f t="shared" si="6"/>
        <v>85</v>
      </c>
      <c r="I17">
        <v>2050</v>
      </c>
      <c r="J17" t="s">
        <v>28</v>
      </c>
      <c r="K17">
        <f t="shared" si="7"/>
        <v>87.5</v>
      </c>
      <c r="L17" cm="1">
        <f t="array" ref="L17">STOWA2024_JAARROND_T(A17*60,K17,I17,J17,"")</f>
        <v>37.551254123400483</v>
      </c>
      <c r="M17">
        <f t="shared" si="8"/>
        <v>2.66302690374551E-2</v>
      </c>
    </row>
    <row r="18" spans="1:13" x14ac:dyDescent="0.3">
      <c r="A18">
        <v>24</v>
      </c>
      <c r="B18">
        <f t="shared" si="5"/>
        <v>6.6894062963826148E-3</v>
      </c>
      <c r="C18">
        <f t="shared" si="1"/>
        <v>6.6894062963826148E-3</v>
      </c>
      <c r="D18" t="s">
        <v>29</v>
      </c>
      <c r="E18" t="s">
        <v>21</v>
      </c>
      <c r="F18">
        <v>1</v>
      </c>
      <c r="G18">
        <f t="shared" si="6"/>
        <v>90</v>
      </c>
      <c r="I18">
        <v>2050</v>
      </c>
      <c r="J18" t="s">
        <v>28</v>
      </c>
      <c r="K18">
        <f t="shared" si="7"/>
        <v>92.5</v>
      </c>
      <c r="L18" cm="1">
        <f t="array" ref="L18">STOWA2024_JAARROND_T(A18*60,K18,I18,J18,"")</f>
        <v>50.148281595674668</v>
      </c>
      <c r="M18">
        <f t="shared" si="8"/>
        <v>1.9940862741072485E-2</v>
      </c>
    </row>
    <row r="19" spans="1:13" x14ac:dyDescent="0.3">
      <c r="A19">
        <v>24</v>
      </c>
      <c r="B19">
        <f t="shared" si="5"/>
        <v>4.84294074984324E-3</v>
      </c>
      <c r="C19">
        <f t="shared" si="1"/>
        <v>4.84294074984324E-3</v>
      </c>
      <c r="D19" t="s">
        <v>29</v>
      </c>
      <c r="E19" t="s">
        <v>21</v>
      </c>
      <c r="F19">
        <v>1</v>
      </c>
      <c r="G19">
        <f t="shared" si="6"/>
        <v>95</v>
      </c>
      <c r="I19">
        <v>2050</v>
      </c>
      <c r="J19" t="s">
        <v>28</v>
      </c>
      <c r="K19">
        <f t="shared" si="7"/>
        <v>97.5</v>
      </c>
      <c r="L19" cm="1">
        <f t="array" ref="L19">STOWA2024_JAARROND_T(A19*60,K19,I19,J19,"")</f>
        <v>66.234280491111605</v>
      </c>
      <c r="M19">
        <f t="shared" si="8"/>
        <v>1.5097921991229245E-2</v>
      </c>
    </row>
    <row r="20" spans="1:13" x14ac:dyDescent="0.3">
      <c r="A20">
        <v>24</v>
      </c>
      <c r="B20">
        <f t="shared" si="5"/>
        <v>3.5488160160257499E-3</v>
      </c>
      <c r="C20">
        <f t="shared" si="1"/>
        <v>3.5488160160257499E-3</v>
      </c>
      <c r="D20" t="s">
        <v>29</v>
      </c>
      <c r="E20" t="s">
        <v>21</v>
      </c>
      <c r="F20">
        <v>1</v>
      </c>
      <c r="G20">
        <f t="shared" si="6"/>
        <v>100</v>
      </c>
      <c r="I20">
        <v>2050</v>
      </c>
      <c r="J20" t="s">
        <v>28</v>
      </c>
      <c r="K20">
        <f t="shared" si="7"/>
        <v>102.5</v>
      </c>
      <c r="L20" cm="1">
        <f t="array" ref="L20">STOWA2024_JAARROND_T(A20*60,K20,I20,J20,"")</f>
        <v>86.586788808332855</v>
      </c>
      <c r="M20">
        <f t="shared" si="8"/>
        <v>1.1549105975203495E-2</v>
      </c>
    </row>
    <row r="21" spans="1:13" x14ac:dyDescent="0.3">
      <c r="A21">
        <v>24</v>
      </c>
      <c r="B21">
        <f t="shared" si="5"/>
        <v>2.6300899396058119E-3</v>
      </c>
      <c r="C21">
        <f t="shared" si="1"/>
        <v>2.6300899396058119E-3</v>
      </c>
      <c r="D21" t="s">
        <v>29</v>
      </c>
      <c r="E21" t="s">
        <v>21</v>
      </c>
      <c r="F21">
        <v>1</v>
      </c>
      <c r="G21">
        <f t="shared" si="6"/>
        <v>105</v>
      </c>
      <c r="I21">
        <v>2050</v>
      </c>
      <c r="J21" t="s">
        <v>28</v>
      </c>
      <c r="K21">
        <f t="shared" si="7"/>
        <v>107.5</v>
      </c>
      <c r="L21" cm="1">
        <f t="array" ref="L21">STOWA2024_JAARROND_T(A21*60,K21,I21,J21,"")</f>
        <v>112.11999126459557</v>
      </c>
      <c r="M21">
        <f t="shared" si="8"/>
        <v>8.9190160355976829E-3</v>
      </c>
    </row>
    <row r="22" spans="1:13" x14ac:dyDescent="0.3">
      <c r="A22">
        <v>24</v>
      </c>
      <c r="B22">
        <f t="shared" si="5"/>
        <v>1.9697524986938709E-3</v>
      </c>
      <c r="C22">
        <f t="shared" si="1"/>
        <v>1.9697524986938709E-3</v>
      </c>
      <c r="D22" t="s">
        <v>29</v>
      </c>
      <c r="E22" t="s">
        <v>21</v>
      </c>
      <c r="F22">
        <v>1</v>
      </c>
      <c r="G22">
        <f t="shared" si="6"/>
        <v>110</v>
      </c>
      <c r="I22">
        <v>2050</v>
      </c>
      <c r="J22" t="s">
        <v>28</v>
      </c>
      <c r="K22">
        <f t="shared" si="7"/>
        <v>112.5</v>
      </c>
      <c r="L22" cm="1">
        <f t="array" ref="L22">STOWA2024_JAARROND_T(A22*60,K22,I22,J22,"")</f>
        <v>143.90014059612739</v>
      </c>
      <c r="M22">
        <f t="shared" si="8"/>
        <v>6.949263536903812E-3</v>
      </c>
    </row>
    <row r="23" spans="1:13" x14ac:dyDescent="0.3">
      <c r="A23">
        <v>24</v>
      </c>
      <c r="B23">
        <f t="shared" si="5"/>
        <v>1.4896983772064252E-3</v>
      </c>
      <c r="C23">
        <f t="shared" si="1"/>
        <v>1.4896983772064252E-3</v>
      </c>
      <c r="D23" t="s">
        <v>29</v>
      </c>
      <c r="E23" t="s">
        <v>21</v>
      </c>
      <c r="F23">
        <v>1</v>
      </c>
      <c r="G23">
        <f t="shared" si="6"/>
        <v>115</v>
      </c>
      <c r="I23">
        <v>2050</v>
      </c>
      <c r="J23" t="s">
        <v>28</v>
      </c>
      <c r="K23">
        <f t="shared" si="7"/>
        <v>117.5</v>
      </c>
      <c r="L23" cm="1">
        <f t="array" ref="L23">STOWA2024_JAARROND_T(A23*60,K23,I23,J23,"")</f>
        <v>183.16477059052593</v>
      </c>
      <c r="M23">
        <f t="shared" si="8"/>
        <v>5.4595651596973868E-3</v>
      </c>
    </row>
    <row r="24" spans="1:13" x14ac:dyDescent="0.3">
      <c r="A24">
        <v>24</v>
      </c>
      <c r="B24">
        <f t="shared" si="5"/>
        <v>1.1369795613659864E-3</v>
      </c>
      <c r="C24">
        <f t="shared" si="1"/>
        <v>1.1369795613659864E-3</v>
      </c>
      <c r="D24" t="s">
        <v>29</v>
      </c>
      <c r="E24" t="s">
        <v>21</v>
      </c>
      <c r="F24">
        <v>1</v>
      </c>
      <c r="G24">
        <f t="shared" si="6"/>
        <v>120</v>
      </c>
      <c r="I24">
        <v>2050</v>
      </c>
      <c r="J24" t="s">
        <v>28</v>
      </c>
      <c r="K24">
        <f t="shared" si="7"/>
        <v>122.5</v>
      </c>
      <c r="L24" cm="1">
        <f t="array" ref="L24">STOWA2024_JAARROND_T(A24*60,K24,I24,J24,"")</f>
        <v>231.34301849014139</v>
      </c>
      <c r="M24">
        <f t="shared" si="8"/>
        <v>4.3225855983314004E-3</v>
      </c>
    </row>
    <row r="25" spans="1:13" x14ac:dyDescent="0.3">
      <c r="A25">
        <v>24</v>
      </c>
      <c r="B25">
        <f t="shared" si="5"/>
        <v>8.7523176759025196E-4</v>
      </c>
      <c r="C25">
        <f t="shared" si="1"/>
        <v>8.7523176759025196E-4</v>
      </c>
      <c r="D25" t="s">
        <v>29</v>
      </c>
      <c r="E25" t="s">
        <v>21</v>
      </c>
      <c r="F25">
        <v>1</v>
      </c>
      <c r="G25">
        <f t="shared" si="6"/>
        <v>125</v>
      </c>
      <c r="I25">
        <v>2050</v>
      </c>
      <c r="J25" t="s">
        <v>28</v>
      </c>
      <c r="K25">
        <f t="shared" si="7"/>
        <v>127.5</v>
      </c>
      <c r="L25" cm="1">
        <f t="array" ref="L25">STOWA2024_JAARROND_T(A25*60,K25,I25,J25,"")</f>
        <v>290.0775635743226</v>
      </c>
      <c r="M25">
        <f t="shared" si="8"/>
        <v>3.4473538307411484E-3</v>
      </c>
    </row>
    <row r="26" spans="1:13" x14ac:dyDescent="0.3">
      <c r="A26">
        <v>24</v>
      </c>
      <c r="B26">
        <f t="shared" si="5"/>
        <v>6.7917434194007245E-4</v>
      </c>
      <c r="C26">
        <f t="shared" si="1"/>
        <v>6.7917434194007245E-4</v>
      </c>
      <c r="D26" t="s">
        <v>29</v>
      </c>
      <c r="E26" t="s">
        <v>21</v>
      </c>
      <c r="F26">
        <v>1</v>
      </c>
      <c r="G26">
        <f t="shared" si="6"/>
        <v>130</v>
      </c>
      <c r="I26">
        <v>2050</v>
      </c>
      <c r="J26" t="s">
        <v>28</v>
      </c>
      <c r="K26">
        <f t="shared" si="7"/>
        <v>132.5</v>
      </c>
      <c r="L26" cm="1">
        <f t="array" ref="L26">STOWA2024_JAARROND_T(A26*60,K26,I26,J26,"")</f>
        <v>361.24825143947197</v>
      </c>
      <c r="M26">
        <f t="shared" si="8"/>
        <v>2.768179488801076E-3</v>
      </c>
    </row>
    <row r="27" spans="1:13" x14ac:dyDescent="0.3">
      <c r="A27">
        <v>24</v>
      </c>
      <c r="B27">
        <f t="shared" si="5"/>
        <v>5.3103038190322653E-4</v>
      </c>
      <c r="C27">
        <f t="shared" si="1"/>
        <v>5.3103038190322653E-4</v>
      </c>
      <c r="D27" t="s">
        <v>29</v>
      </c>
      <c r="E27" t="s">
        <v>21</v>
      </c>
      <c r="F27">
        <v>1</v>
      </c>
      <c r="G27">
        <f t="shared" si="6"/>
        <v>135</v>
      </c>
      <c r="I27">
        <v>2050</v>
      </c>
      <c r="J27" t="s">
        <v>28</v>
      </c>
      <c r="K27">
        <f t="shared" si="7"/>
        <v>137.5</v>
      </c>
      <c r="L27" cm="1">
        <f t="array" ref="L27">STOWA2024_JAARROND_T(A27*60,K27,I27,J27,"")</f>
        <v>446.99747411412085</v>
      </c>
      <c r="M27">
        <f t="shared" si="8"/>
        <v>2.2371491068978494E-3</v>
      </c>
    </row>
    <row r="28" spans="1:13" x14ac:dyDescent="0.3">
      <c r="A28">
        <v>24</v>
      </c>
      <c r="B28">
        <f t="shared" si="5"/>
        <v>4.1816487441044049E-4</v>
      </c>
      <c r="C28">
        <f t="shared" si="1"/>
        <v>4.1816487441044049E-4</v>
      </c>
      <c r="D28" t="s">
        <v>29</v>
      </c>
      <c r="E28" t="s">
        <v>21</v>
      </c>
      <c r="F28">
        <v>1</v>
      </c>
      <c r="G28">
        <f t="shared" si="6"/>
        <v>140</v>
      </c>
      <c r="I28">
        <v>2050</v>
      </c>
      <c r="J28" t="s">
        <v>28</v>
      </c>
      <c r="K28">
        <f t="shared" si="7"/>
        <v>142.5</v>
      </c>
      <c r="L28" cm="1">
        <f t="array" ref="L28">STOWA2024_JAARROND_T(A28*60,K28,I28,J28,"")</f>
        <v>549.75737674896095</v>
      </c>
      <c r="M28">
        <f t="shared" si="8"/>
        <v>1.8189842324874089E-3</v>
      </c>
    </row>
    <row r="29" spans="1:13" x14ac:dyDescent="0.3">
      <c r="A29">
        <v>24</v>
      </c>
      <c r="B29">
        <f t="shared" si="5"/>
        <v>3.3149775869268684E-4</v>
      </c>
      <c r="C29">
        <f t="shared" si="1"/>
        <v>3.3149775869268684E-4</v>
      </c>
      <c r="D29" t="s">
        <v>29</v>
      </c>
      <c r="E29" t="s">
        <v>21</v>
      </c>
      <c r="F29">
        <v>1</v>
      </c>
      <c r="G29">
        <f t="shared" si="6"/>
        <v>145</v>
      </c>
      <c r="I29">
        <v>2050</v>
      </c>
      <c r="J29" t="s">
        <v>28</v>
      </c>
      <c r="K29">
        <f t="shared" si="7"/>
        <v>147.5</v>
      </c>
      <c r="L29" cm="1">
        <f t="array" ref="L29">STOWA2024_JAARROND_T(A29*60,K29,I29,J29,"")</f>
        <v>672.27502072600578</v>
      </c>
      <c r="M29">
        <f t="shared" si="8"/>
        <v>1.4874864737947221E-3</v>
      </c>
    </row>
    <row r="30" spans="1:13" x14ac:dyDescent="0.3">
      <c r="A30">
        <v>24</v>
      </c>
      <c r="B30">
        <f t="shared" si="5"/>
        <v>2.6448235640720184E-4</v>
      </c>
      <c r="C30">
        <f t="shared" si="1"/>
        <v>2.6448235640720184E-4</v>
      </c>
      <c r="D30" t="s">
        <v>29</v>
      </c>
      <c r="E30" t="s">
        <v>21</v>
      </c>
      <c r="F30">
        <v>1</v>
      </c>
      <c r="G30">
        <f t="shared" si="6"/>
        <v>150</v>
      </c>
      <c r="I30">
        <v>2050</v>
      </c>
      <c r="J30" t="s">
        <v>28</v>
      </c>
      <c r="K30">
        <f t="shared" si="7"/>
        <v>152.5</v>
      </c>
      <c r="L30" cm="1">
        <f t="array" ref="L30">STOWA2024_JAARROND_T(A30*60,K30,I30,J30,"")</f>
        <v>817.65873539012841</v>
      </c>
      <c r="M30">
        <f t="shared" si="8"/>
        <v>1.2230041173875203E-3</v>
      </c>
    </row>
    <row r="31" spans="1:13" x14ac:dyDescent="0.3">
      <c r="A31">
        <v>24</v>
      </c>
      <c r="B31">
        <f t="shared" si="5"/>
        <v>2.1227935418659228E-4</v>
      </c>
      <c r="C31">
        <f t="shared" si="1"/>
        <v>2.1227935418659228E-4</v>
      </c>
      <c r="D31" t="s">
        <v>29</v>
      </c>
      <c r="E31" t="s">
        <v>21</v>
      </c>
      <c r="F31">
        <v>1</v>
      </c>
      <c r="G31">
        <f t="shared" si="6"/>
        <v>155</v>
      </c>
      <c r="I31">
        <v>2050</v>
      </c>
      <c r="J31" t="s">
        <v>28</v>
      </c>
      <c r="K31">
        <f t="shared" si="7"/>
        <v>157.5</v>
      </c>
      <c r="L31" cm="1">
        <f t="array" ref="L31">STOWA2024_JAARROND_T(A31*60,K31,I31,J31,"")</f>
        <v>989.3890368660177</v>
      </c>
      <c r="M31">
        <f t="shared" si="8"/>
        <v>1.010724763200928E-3</v>
      </c>
    </row>
    <row r="32" spans="1:13" x14ac:dyDescent="0.3">
      <c r="A32">
        <v>24</v>
      </c>
      <c r="B32" s="1">
        <f>M31</f>
        <v>1.010724763200928E-3</v>
      </c>
      <c r="C32">
        <f t="shared" si="1"/>
        <v>1.010724763200928E-3</v>
      </c>
      <c r="D32" t="s">
        <v>29</v>
      </c>
      <c r="E32" t="s">
        <v>21</v>
      </c>
      <c r="F32">
        <v>1</v>
      </c>
      <c r="G32">
        <f t="shared" si="6"/>
        <v>160</v>
      </c>
      <c r="I32">
        <v>2050</v>
      </c>
      <c r="J32" t="s">
        <v>28</v>
      </c>
      <c r="K32">
        <f>AVERAGE(G32:G33)</f>
        <v>85</v>
      </c>
      <c r="L32" cm="1">
        <f t="array" ref="L32">STOWA2024_JAARROND_T(A32*60,K32,I32,J32,"")</f>
        <v>32.350471029387265</v>
      </c>
      <c r="M32">
        <f>1/L32</f>
        <v>3.0911450998398045E-2</v>
      </c>
    </row>
    <row r="33" spans="1:13" x14ac:dyDescent="0.3">
      <c r="A33">
        <v>48</v>
      </c>
      <c r="B33" s="1">
        <f>365.25*24/A33 - M33</f>
        <v>154.13866364966361</v>
      </c>
      <c r="C33">
        <f>B33</f>
        <v>154.13866364966361</v>
      </c>
      <c r="D33" t="s">
        <v>29</v>
      </c>
      <c r="E33" t="s">
        <v>21</v>
      </c>
      <c r="F33">
        <v>1</v>
      </c>
      <c r="G33">
        <v>10</v>
      </c>
      <c r="I33">
        <v>2050</v>
      </c>
      <c r="J33" t="s">
        <v>28</v>
      </c>
      <c r="K33">
        <f>AVERAGE(G33:G35)</f>
        <v>15</v>
      </c>
      <c r="L33" cm="1">
        <f t="array" ref="L33">STOWA2024_JAARROND_T(A33*60,K33,I33,J33,"")</f>
        <v>3.5104549342590045E-2</v>
      </c>
      <c r="M33">
        <f>1/L33</f>
        <v>28.486336350336384</v>
      </c>
    </row>
    <row r="34" spans="1:13" x14ac:dyDescent="0.3">
      <c r="A34">
        <v>48</v>
      </c>
      <c r="B34">
        <f t="shared" ref="B34:B38" si="9">M33-M34</f>
        <v>7.2856535218732716</v>
      </c>
      <c r="C34">
        <f t="shared" ref="C34:C63" si="10">B34</f>
        <v>7.2856535218732716</v>
      </c>
      <c r="D34" t="s">
        <v>29</v>
      </c>
      <c r="E34" t="s">
        <v>21</v>
      </c>
      <c r="F34">
        <v>1</v>
      </c>
      <c r="G34">
        <f t="shared" ref="G34:G38" si="11">G33+5</f>
        <v>15</v>
      </c>
      <c r="I34">
        <v>2050</v>
      </c>
      <c r="J34" t="s">
        <v>28</v>
      </c>
      <c r="K34">
        <f t="shared" ref="K34:K38" si="12">AVERAGE(G34:G35)</f>
        <v>17.5</v>
      </c>
      <c r="L34" cm="1">
        <f t="array" ref="L34">STOWA2024_JAARROND_T(A34*60,K34,I34,J34,"")</f>
        <v>4.7168292082434421E-2</v>
      </c>
      <c r="M34">
        <f t="shared" ref="M34:M38" si="13">1/L34</f>
        <v>21.200682828463112</v>
      </c>
    </row>
    <row r="35" spans="1:13" x14ac:dyDescent="0.3">
      <c r="A35">
        <v>48</v>
      </c>
      <c r="B35">
        <f t="shared" si="9"/>
        <v>9.1582214604072494</v>
      </c>
      <c r="C35">
        <f t="shared" si="10"/>
        <v>9.1582214604072494</v>
      </c>
      <c r="D35" t="s">
        <v>29</v>
      </c>
      <c r="E35" t="s">
        <v>21</v>
      </c>
      <c r="F35">
        <v>1</v>
      </c>
      <c r="G35">
        <f t="shared" si="11"/>
        <v>20</v>
      </c>
      <c r="I35">
        <v>2050</v>
      </c>
      <c r="J35" t="s">
        <v>28</v>
      </c>
      <c r="K35">
        <f t="shared" si="12"/>
        <v>22.5</v>
      </c>
      <c r="L35" cm="1">
        <f t="array" ref="L35">STOWA2024_JAARROND_T(A35*60,K35,I35,J35,"")</f>
        <v>8.3039502427022543E-2</v>
      </c>
      <c r="M35">
        <f t="shared" si="13"/>
        <v>12.042461368055863</v>
      </c>
    </row>
    <row r="36" spans="1:13" x14ac:dyDescent="0.3">
      <c r="A36">
        <v>48</v>
      </c>
      <c r="B36">
        <f t="shared" si="9"/>
        <v>4.9899425391287915</v>
      </c>
      <c r="C36">
        <f t="shared" si="10"/>
        <v>4.9899425391287915</v>
      </c>
      <c r="D36" t="s">
        <v>29</v>
      </c>
      <c r="E36" t="s">
        <v>21</v>
      </c>
      <c r="F36">
        <v>1</v>
      </c>
      <c r="G36">
        <f t="shared" si="11"/>
        <v>25</v>
      </c>
      <c r="I36">
        <v>2050</v>
      </c>
      <c r="J36" t="s">
        <v>28</v>
      </c>
      <c r="K36">
        <f t="shared" si="12"/>
        <v>27.5</v>
      </c>
      <c r="L36" cm="1">
        <f t="array" ref="L36">STOWA2024_JAARROND_T(A36*60,K36,I36,J36,"")</f>
        <v>0.14179331161773504</v>
      </c>
      <c r="M36">
        <f t="shared" si="13"/>
        <v>7.052518828927071</v>
      </c>
    </row>
    <row r="37" spans="1:13" x14ac:dyDescent="0.3">
      <c r="A37">
        <v>48</v>
      </c>
      <c r="B37">
        <f t="shared" si="9"/>
        <v>2.807431064387635</v>
      </c>
      <c r="C37">
        <f t="shared" si="10"/>
        <v>2.807431064387635</v>
      </c>
      <c r="D37" t="s">
        <v>29</v>
      </c>
      <c r="E37" t="s">
        <v>21</v>
      </c>
      <c r="F37">
        <v>1</v>
      </c>
      <c r="G37">
        <f t="shared" si="11"/>
        <v>30</v>
      </c>
      <c r="I37">
        <v>2050</v>
      </c>
      <c r="J37" t="s">
        <v>28</v>
      </c>
      <c r="K37">
        <f t="shared" si="12"/>
        <v>32.5</v>
      </c>
      <c r="L37" cm="1">
        <f t="array" ref="L37">STOWA2024_JAARROND_T(A37*60,K37,I37,J37,"")</f>
        <v>0.23556639001749669</v>
      </c>
      <c r="M37">
        <f t="shared" si="13"/>
        <v>4.245087764539436</v>
      </c>
    </row>
    <row r="38" spans="1:13" x14ac:dyDescent="0.3">
      <c r="A38">
        <v>48</v>
      </c>
      <c r="B38">
        <f t="shared" si="9"/>
        <v>1.6259203260796298</v>
      </c>
      <c r="C38">
        <f t="shared" si="10"/>
        <v>1.6259203260796298</v>
      </c>
      <c r="D38" t="s">
        <v>29</v>
      </c>
      <c r="E38" t="s">
        <v>21</v>
      </c>
      <c r="F38">
        <v>1</v>
      </c>
      <c r="G38">
        <f t="shared" si="11"/>
        <v>35</v>
      </c>
      <c r="I38">
        <v>2050</v>
      </c>
      <c r="J38" t="s">
        <v>28</v>
      </c>
      <c r="K38">
        <f t="shared" si="12"/>
        <v>37.5</v>
      </c>
      <c r="L38" cm="1">
        <f t="array" ref="L38">STOWA2024_JAARROND_T(A38*60,K38,I38,J38,"")</f>
        <v>0.38180071472942834</v>
      </c>
      <c r="M38">
        <f t="shared" si="13"/>
        <v>2.6191674384598063</v>
      </c>
    </row>
    <row r="39" spans="1:13" x14ac:dyDescent="0.3">
      <c r="A39">
        <v>48</v>
      </c>
      <c r="B39">
        <f>M38-M39</f>
        <v>0.96645228511829129</v>
      </c>
      <c r="C39">
        <f t="shared" si="10"/>
        <v>0.96645228511829129</v>
      </c>
      <c r="D39" t="s">
        <v>29</v>
      </c>
      <c r="E39" t="s">
        <v>21</v>
      </c>
      <c r="F39">
        <v>1</v>
      </c>
      <c r="G39">
        <f>G38+5</f>
        <v>40</v>
      </c>
      <c r="I39">
        <v>2050</v>
      </c>
      <c r="J39" t="s">
        <v>28</v>
      </c>
      <c r="K39">
        <f>AVERAGE(G39:G40)</f>
        <v>42.5</v>
      </c>
      <c r="L39" cm="1">
        <f t="array" ref="L39">STOWA2024_JAARROND_T(A39*60,K39,I39,J39,"")</f>
        <v>0.60506494296864555</v>
      </c>
      <c r="M39">
        <f>1/L39</f>
        <v>1.652715153341515</v>
      </c>
    </row>
    <row r="40" spans="1:13" x14ac:dyDescent="0.3">
      <c r="A40">
        <v>48</v>
      </c>
      <c r="B40">
        <f t="shared" ref="B40:B62" si="14">M39-M40</f>
        <v>0.5883035165515722</v>
      </c>
      <c r="C40">
        <f t="shared" si="10"/>
        <v>0.5883035165515722</v>
      </c>
      <c r="D40" t="s">
        <v>29</v>
      </c>
      <c r="E40" t="s">
        <v>21</v>
      </c>
      <c r="F40">
        <v>1</v>
      </c>
      <c r="G40">
        <f t="shared" ref="G40:G63" si="15">G39+5</f>
        <v>45</v>
      </c>
      <c r="I40">
        <v>2050</v>
      </c>
      <c r="J40" t="s">
        <v>28</v>
      </c>
      <c r="K40">
        <f t="shared" ref="K40:K62" si="16">AVERAGE(G40:G41)</f>
        <v>47.5</v>
      </c>
      <c r="L40" cm="1">
        <f t="array" ref="L40">STOWA2024_JAARROND_T(A40*60,K40,I40,J40,"")</f>
        <v>0.93948615877199937</v>
      </c>
      <c r="M40">
        <f t="shared" ref="M40:M62" si="17">1/L40</f>
        <v>1.0644116367899428</v>
      </c>
    </row>
    <row r="41" spans="1:13" x14ac:dyDescent="0.3">
      <c r="A41">
        <v>48</v>
      </c>
      <c r="B41">
        <f t="shared" si="14"/>
        <v>0.36586479234655445</v>
      </c>
      <c r="C41">
        <f t="shared" si="10"/>
        <v>0.36586479234655445</v>
      </c>
      <c r="D41" t="s">
        <v>29</v>
      </c>
      <c r="E41" t="s">
        <v>21</v>
      </c>
      <c r="F41">
        <v>1</v>
      </c>
      <c r="G41">
        <f t="shared" si="15"/>
        <v>50</v>
      </c>
      <c r="I41">
        <v>2050</v>
      </c>
      <c r="J41" t="s">
        <v>28</v>
      </c>
      <c r="K41">
        <f t="shared" si="16"/>
        <v>52.5</v>
      </c>
      <c r="L41" cm="1">
        <f t="array" ref="L41">STOWA2024_JAARROND_T(A41*60,K41,I41,J41,"")</f>
        <v>1.4315432214096016</v>
      </c>
      <c r="M41">
        <f t="shared" si="17"/>
        <v>0.69854684444338833</v>
      </c>
    </row>
    <row r="42" spans="1:13" x14ac:dyDescent="0.3">
      <c r="A42">
        <v>48</v>
      </c>
      <c r="B42">
        <f t="shared" si="14"/>
        <v>0.23221830640936098</v>
      </c>
      <c r="C42">
        <f t="shared" si="10"/>
        <v>0.23221830640936098</v>
      </c>
      <c r="D42" t="s">
        <v>29</v>
      </c>
      <c r="E42" t="s">
        <v>21</v>
      </c>
      <c r="F42">
        <v>1</v>
      </c>
      <c r="G42">
        <f t="shared" si="15"/>
        <v>55</v>
      </c>
      <c r="I42">
        <v>2050</v>
      </c>
      <c r="J42" t="s">
        <v>28</v>
      </c>
      <c r="K42">
        <f t="shared" si="16"/>
        <v>57.5</v>
      </c>
      <c r="L42" cm="1">
        <f t="array" ref="L42">STOWA2024_JAARROND_T(A42*60,K42,I42,J42,"")</f>
        <v>2.144410900126021</v>
      </c>
      <c r="M42">
        <f t="shared" si="17"/>
        <v>0.46632853803402735</v>
      </c>
    </row>
    <row r="43" spans="1:13" x14ac:dyDescent="0.3">
      <c r="A43">
        <v>48</v>
      </c>
      <c r="B43">
        <f t="shared" si="14"/>
        <v>0.15005404351158297</v>
      </c>
      <c r="C43">
        <f t="shared" si="10"/>
        <v>0.15005404351158297</v>
      </c>
      <c r="D43" t="s">
        <v>29</v>
      </c>
      <c r="E43" t="s">
        <v>21</v>
      </c>
      <c r="F43">
        <v>1</v>
      </c>
      <c r="G43">
        <f t="shared" si="15"/>
        <v>60</v>
      </c>
      <c r="I43">
        <v>2050</v>
      </c>
      <c r="J43" t="s">
        <v>28</v>
      </c>
      <c r="K43">
        <f t="shared" si="16"/>
        <v>62.5</v>
      </c>
      <c r="L43" cm="1">
        <f t="array" ref="L43">STOWA2024_JAARROND_T(A43*60,K43,I43,J43,"")</f>
        <v>3.1618104441521289</v>
      </c>
      <c r="M43">
        <f t="shared" si="17"/>
        <v>0.31627449452244438</v>
      </c>
    </row>
    <row r="44" spans="1:13" x14ac:dyDescent="0.3">
      <c r="A44">
        <v>48</v>
      </c>
      <c r="B44">
        <f t="shared" si="14"/>
        <v>9.8605073292776541E-2</v>
      </c>
      <c r="C44">
        <f t="shared" si="10"/>
        <v>9.8605073292776541E-2</v>
      </c>
      <c r="D44" t="s">
        <v>29</v>
      </c>
      <c r="E44" t="s">
        <v>21</v>
      </c>
      <c r="F44">
        <v>1</v>
      </c>
      <c r="G44">
        <f t="shared" si="15"/>
        <v>65</v>
      </c>
      <c r="I44">
        <v>2050</v>
      </c>
      <c r="J44" t="s">
        <v>28</v>
      </c>
      <c r="K44">
        <f t="shared" si="16"/>
        <v>67.5</v>
      </c>
      <c r="L44" cm="1">
        <f t="array" ref="L44">STOWA2024_JAARROND_T(A44*60,K44,I44,J44,"")</f>
        <v>4.5941225660028646</v>
      </c>
      <c r="M44">
        <f t="shared" si="17"/>
        <v>0.21766942122966784</v>
      </c>
    </row>
    <row r="45" spans="1:13" x14ac:dyDescent="0.3">
      <c r="A45">
        <v>48</v>
      </c>
      <c r="B45">
        <f t="shared" si="14"/>
        <v>6.5815759023075793E-2</v>
      </c>
      <c r="C45">
        <f t="shared" si="10"/>
        <v>6.5815759023075793E-2</v>
      </c>
      <c r="D45" t="s">
        <v>29</v>
      </c>
      <c r="E45" t="s">
        <v>21</v>
      </c>
      <c r="F45">
        <v>1</v>
      </c>
      <c r="G45">
        <f t="shared" si="15"/>
        <v>70</v>
      </c>
      <c r="I45">
        <v>2050</v>
      </c>
      <c r="J45" t="s">
        <v>28</v>
      </c>
      <c r="K45">
        <f t="shared" si="16"/>
        <v>72.5</v>
      </c>
      <c r="L45" cm="1">
        <f t="array" ref="L45">STOWA2024_JAARROND_T(A45*60,K45,I45,J45,"")</f>
        <v>6.5852873448618707</v>
      </c>
      <c r="M45">
        <f t="shared" si="17"/>
        <v>0.15185366220659205</v>
      </c>
    </row>
    <row r="46" spans="1:13" x14ac:dyDescent="0.3">
      <c r="A46">
        <v>48</v>
      </c>
      <c r="B46">
        <f t="shared" si="14"/>
        <v>4.4568520858626434E-2</v>
      </c>
      <c r="C46">
        <f t="shared" si="10"/>
        <v>4.4568520858626434E-2</v>
      </c>
      <c r="D46" t="s">
        <v>29</v>
      </c>
      <c r="E46" t="s">
        <v>21</v>
      </c>
      <c r="F46">
        <v>1</v>
      </c>
      <c r="G46">
        <f t="shared" si="15"/>
        <v>75</v>
      </c>
      <c r="I46">
        <v>2050</v>
      </c>
      <c r="J46" t="s">
        <v>28</v>
      </c>
      <c r="K46">
        <f t="shared" si="16"/>
        <v>77.5</v>
      </c>
      <c r="L46" cm="1">
        <f t="array" ref="L46">STOWA2024_JAARROND_T(A46*60,K46,I46,J46,"")</f>
        <v>9.3209552360715833</v>
      </c>
      <c r="M46">
        <f t="shared" si="17"/>
        <v>0.10728514134796562</v>
      </c>
    </row>
    <row r="47" spans="1:13" x14ac:dyDescent="0.3">
      <c r="A47">
        <v>48</v>
      </c>
      <c r="B47">
        <f t="shared" si="14"/>
        <v>3.0591467447922113E-2</v>
      </c>
      <c r="C47">
        <f t="shared" si="10"/>
        <v>3.0591467447922113E-2</v>
      </c>
      <c r="D47" t="s">
        <v>29</v>
      </c>
      <c r="E47" t="s">
        <v>21</v>
      </c>
      <c r="F47">
        <v>1</v>
      </c>
      <c r="G47">
        <f t="shared" si="15"/>
        <v>80</v>
      </c>
      <c r="I47">
        <v>2050</v>
      </c>
      <c r="J47" t="s">
        <v>28</v>
      </c>
      <c r="K47">
        <f t="shared" si="16"/>
        <v>82.5</v>
      </c>
      <c r="L47" cm="1">
        <f t="array" ref="L47">STOWA2024_JAARROND_T(A47*60,K47,I47,J47,"")</f>
        <v>13.038885075492946</v>
      </c>
      <c r="M47">
        <f t="shared" si="17"/>
        <v>7.6693673900043502E-2</v>
      </c>
    </row>
    <row r="48" spans="1:13" x14ac:dyDescent="0.3">
      <c r="A48">
        <v>48</v>
      </c>
      <c r="B48">
        <f t="shared" si="14"/>
        <v>2.1261786013747008E-2</v>
      </c>
      <c r="C48">
        <f t="shared" si="10"/>
        <v>2.1261786013747008E-2</v>
      </c>
      <c r="D48" t="s">
        <v>29</v>
      </c>
      <c r="E48" t="s">
        <v>21</v>
      </c>
      <c r="F48">
        <v>1</v>
      </c>
      <c r="G48">
        <f t="shared" si="15"/>
        <v>85</v>
      </c>
      <c r="I48">
        <v>2050</v>
      </c>
      <c r="J48" t="s">
        <v>28</v>
      </c>
      <c r="K48">
        <f t="shared" si="16"/>
        <v>87.5</v>
      </c>
      <c r="L48" cm="1">
        <f t="array" ref="L48">STOWA2024_JAARROND_T(A48*60,K48,I48,J48,"")</f>
        <v>18.040157716641893</v>
      </c>
      <c r="M48">
        <f t="shared" si="17"/>
        <v>5.5431887886296494E-2</v>
      </c>
    </row>
    <row r="49" spans="1:13" x14ac:dyDescent="0.3">
      <c r="A49">
        <v>48</v>
      </c>
      <c r="B49">
        <f t="shared" si="14"/>
        <v>1.4952639844001171E-2</v>
      </c>
      <c r="C49">
        <f t="shared" si="10"/>
        <v>1.4952639844001171E-2</v>
      </c>
      <c r="D49" t="s">
        <v>29</v>
      </c>
      <c r="E49" t="s">
        <v>21</v>
      </c>
      <c r="F49">
        <v>1</v>
      </c>
      <c r="G49">
        <f t="shared" si="15"/>
        <v>90</v>
      </c>
      <c r="I49">
        <v>2050</v>
      </c>
      <c r="J49" t="s">
        <v>28</v>
      </c>
      <c r="K49">
        <f t="shared" si="16"/>
        <v>92.5</v>
      </c>
      <c r="L49" cm="1">
        <f t="array" ref="L49">STOWA2024_JAARROND_T(A49*60,K49,I49,J49,"")</f>
        <v>24.704016214805563</v>
      </c>
      <c r="M49">
        <f t="shared" si="17"/>
        <v>4.0479248042295322E-2</v>
      </c>
    </row>
    <row r="50" spans="1:13" x14ac:dyDescent="0.3">
      <c r="A50">
        <v>48</v>
      </c>
      <c r="B50">
        <f t="shared" si="14"/>
        <v>1.0632099662232893E-2</v>
      </c>
      <c r="C50">
        <f t="shared" si="10"/>
        <v>1.0632099662232893E-2</v>
      </c>
      <c r="D50" t="s">
        <v>29</v>
      </c>
      <c r="E50" t="s">
        <v>21</v>
      </c>
      <c r="F50">
        <v>1</v>
      </c>
      <c r="G50">
        <f t="shared" si="15"/>
        <v>95</v>
      </c>
      <c r="I50">
        <v>2050</v>
      </c>
      <c r="J50" t="s">
        <v>28</v>
      </c>
      <c r="K50">
        <f t="shared" si="16"/>
        <v>97.5</v>
      </c>
      <c r="L50" cm="1">
        <f t="array" ref="L50">STOWA2024_JAARROND_T(A50*60,K50,I50,J50,"")</f>
        <v>33.5040382171983</v>
      </c>
      <c r="M50">
        <f t="shared" si="17"/>
        <v>2.984714838006243E-2</v>
      </c>
    </row>
    <row r="51" spans="1:13" x14ac:dyDescent="0.3">
      <c r="A51">
        <v>48</v>
      </c>
      <c r="B51">
        <f t="shared" si="14"/>
        <v>7.6385821991709381E-3</v>
      </c>
      <c r="C51">
        <f t="shared" si="10"/>
        <v>7.6385821991709381E-3</v>
      </c>
      <c r="D51" t="s">
        <v>29</v>
      </c>
      <c r="E51" t="s">
        <v>21</v>
      </c>
      <c r="F51">
        <v>1</v>
      </c>
      <c r="G51">
        <f t="shared" si="15"/>
        <v>100</v>
      </c>
      <c r="I51">
        <v>2050</v>
      </c>
      <c r="J51" t="s">
        <v>28</v>
      </c>
      <c r="K51">
        <f t="shared" si="16"/>
        <v>102.5</v>
      </c>
      <c r="L51" cm="1">
        <f t="array" ref="L51">STOWA2024_JAARROND_T(A51*60,K51,I51,J51,"")</f>
        <v>45.027670487814362</v>
      </c>
      <c r="M51">
        <f t="shared" si="17"/>
        <v>2.2208566180891492E-2</v>
      </c>
    </row>
    <row r="52" spans="1:13" x14ac:dyDescent="0.3">
      <c r="A52">
        <v>48</v>
      </c>
      <c r="B52">
        <f t="shared" si="14"/>
        <v>5.5415886184164431E-3</v>
      </c>
      <c r="C52">
        <f t="shared" si="10"/>
        <v>5.5415886184164431E-3</v>
      </c>
      <c r="D52" t="s">
        <v>29</v>
      </c>
      <c r="E52" t="s">
        <v>21</v>
      </c>
      <c r="F52">
        <v>1</v>
      </c>
      <c r="G52">
        <f t="shared" si="15"/>
        <v>105</v>
      </c>
      <c r="I52">
        <v>2050</v>
      </c>
      <c r="J52" t="s">
        <v>28</v>
      </c>
      <c r="K52">
        <f t="shared" si="16"/>
        <v>107.5</v>
      </c>
      <c r="L52" cm="1">
        <f t="array" ref="L52">STOWA2024_JAARROND_T(A52*60,K52,I52,J52,"")</f>
        <v>59.998880795967175</v>
      </c>
      <c r="M52">
        <f t="shared" si="17"/>
        <v>1.6666977562475049E-2</v>
      </c>
    </row>
    <row r="53" spans="1:13" x14ac:dyDescent="0.3">
      <c r="A53">
        <v>48</v>
      </c>
      <c r="B53">
        <f t="shared" si="14"/>
        <v>4.057248227929286E-3</v>
      </c>
      <c r="C53">
        <f t="shared" si="10"/>
        <v>4.057248227929286E-3</v>
      </c>
      <c r="D53" t="s">
        <v>29</v>
      </c>
      <c r="E53" t="s">
        <v>21</v>
      </c>
      <c r="F53">
        <v>1</v>
      </c>
      <c r="G53">
        <f t="shared" si="15"/>
        <v>110</v>
      </c>
      <c r="I53">
        <v>2050</v>
      </c>
      <c r="J53" t="s">
        <v>28</v>
      </c>
      <c r="K53">
        <f t="shared" si="16"/>
        <v>112.5</v>
      </c>
      <c r="L53" cm="1">
        <f t="array" ref="L53">STOWA2024_JAARROND_T(A53*60,K53,I53,J53,"")</f>
        <v>79.303843363266196</v>
      </c>
      <c r="M53">
        <f t="shared" si="17"/>
        <v>1.2609729334545763E-2</v>
      </c>
    </row>
    <row r="54" spans="1:13" x14ac:dyDescent="0.3">
      <c r="A54">
        <v>48</v>
      </c>
      <c r="B54">
        <f t="shared" si="14"/>
        <v>2.9965216767989175E-3</v>
      </c>
      <c r="C54">
        <f t="shared" si="10"/>
        <v>2.9965216767989175E-3</v>
      </c>
      <c r="D54" t="s">
        <v>29</v>
      </c>
      <c r="E54" t="s">
        <v>21</v>
      </c>
      <c r="F54">
        <v>1</v>
      </c>
      <c r="G54">
        <f t="shared" si="15"/>
        <v>115</v>
      </c>
      <c r="I54">
        <v>2050</v>
      </c>
      <c r="J54" t="s">
        <v>28</v>
      </c>
      <c r="K54">
        <f t="shared" si="16"/>
        <v>117.5</v>
      </c>
      <c r="L54" cm="1">
        <f t="array" ref="L54">STOWA2024_JAARROND_T(A54*60,K54,I54,J54,"")</f>
        <v>104.02355130591043</v>
      </c>
      <c r="M54">
        <f t="shared" si="17"/>
        <v>9.6132076577468452E-3</v>
      </c>
    </row>
    <row r="55" spans="1:13" x14ac:dyDescent="0.3">
      <c r="A55">
        <v>48</v>
      </c>
      <c r="B55">
        <f t="shared" si="14"/>
        <v>2.2312014574240565E-3</v>
      </c>
      <c r="C55">
        <f t="shared" si="10"/>
        <v>2.2312014574240565E-3</v>
      </c>
      <c r="D55" t="s">
        <v>29</v>
      </c>
      <c r="E55" t="s">
        <v>21</v>
      </c>
      <c r="F55">
        <v>1</v>
      </c>
      <c r="G55">
        <f t="shared" si="15"/>
        <v>120</v>
      </c>
      <c r="I55">
        <v>2050</v>
      </c>
      <c r="J55" t="s">
        <v>28</v>
      </c>
      <c r="K55">
        <f t="shared" si="16"/>
        <v>122.5</v>
      </c>
      <c r="L55" cm="1">
        <f t="array" ref="L55">STOWA2024_JAARROND_T(A55*60,K55,I55,J55,"")</f>
        <v>135.46452994800703</v>
      </c>
      <c r="M55">
        <f t="shared" si="17"/>
        <v>7.3820062003227887E-3</v>
      </c>
    </row>
    <row r="56" spans="1:13" x14ac:dyDescent="0.3">
      <c r="A56">
        <v>48</v>
      </c>
      <c r="B56">
        <f t="shared" si="14"/>
        <v>1.6743932669022197E-3</v>
      </c>
      <c r="C56">
        <f t="shared" si="10"/>
        <v>1.6743932669022197E-3</v>
      </c>
      <c r="D56" t="s">
        <v>29</v>
      </c>
      <c r="E56" t="s">
        <v>21</v>
      </c>
      <c r="F56">
        <v>1</v>
      </c>
      <c r="G56">
        <f t="shared" si="15"/>
        <v>125</v>
      </c>
      <c r="I56">
        <v>2050</v>
      </c>
      <c r="J56" t="s">
        <v>28</v>
      </c>
      <c r="K56">
        <f t="shared" si="16"/>
        <v>127.5</v>
      </c>
      <c r="L56" cm="1">
        <f t="array" ref="L56">STOWA2024_JAARROND_T(A56*60,K56,I56,J56,"")</f>
        <v>175.2045928245349</v>
      </c>
      <c r="M56">
        <f t="shared" si="17"/>
        <v>5.7076129334205691E-3</v>
      </c>
    </row>
    <row r="57" spans="1:13" x14ac:dyDescent="0.3">
      <c r="A57">
        <v>48</v>
      </c>
      <c r="B57">
        <f t="shared" si="14"/>
        <v>1.2657593324002176E-3</v>
      </c>
      <c r="C57">
        <f t="shared" si="10"/>
        <v>1.2657593324002176E-3</v>
      </c>
      <c r="D57" t="s">
        <v>29</v>
      </c>
      <c r="E57" t="s">
        <v>21</v>
      </c>
      <c r="F57">
        <v>1</v>
      </c>
      <c r="G57">
        <f t="shared" si="15"/>
        <v>130</v>
      </c>
      <c r="I57">
        <v>2050</v>
      </c>
      <c r="J57" t="s">
        <v>28</v>
      </c>
      <c r="K57">
        <f t="shared" si="16"/>
        <v>132.5</v>
      </c>
      <c r="L57" cm="1">
        <f t="array" ref="L57">STOWA2024_JAARROND_T(A57*60,K57,I57,J57,"")</f>
        <v>225.13123795216643</v>
      </c>
      <c r="M57">
        <f t="shared" si="17"/>
        <v>4.4418536010203515E-3</v>
      </c>
    </row>
    <row r="58" spans="1:13" x14ac:dyDescent="0.3">
      <c r="A58">
        <v>48</v>
      </c>
      <c r="B58">
        <f t="shared" si="14"/>
        <v>9.6362466161363774E-4</v>
      </c>
      <c r="C58">
        <f t="shared" si="10"/>
        <v>9.6362466161363774E-4</v>
      </c>
      <c r="D58" t="s">
        <v>29</v>
      </c>
      <c r="E58" t="s">
        <v>21</v>
      </c>
      <c r="F58">
        <v>1</v>
      </c>
      <c r="G58">
        <f t="shared" si="15"/>
        <v>135</v>
      </c>
      <c r="I58">
        <v>2050</v>
      </c>
      <c r="J58" t="s">
        <v>28</v>
      </c>
      <c r="K58">
        <f t="shared" si="16"/>
        <v>137.5</v>
      </c>
      <c r="L58" cm="1">
        <f t="array" ref="L58">STOWA2024_JAARROND_T(A58*60,K58,I58,J58,"")</f>
        <v>287.50263925139194</v>
      </c>
      <c r="M58">
        <f t="shared" si="17"/>
        <v>3.4782289394067138E-3</v>
      </c>
    </row>
    <row r="59" spans="1:13" x14ac:dyDescent="0.3">
      <c r="A59">
        <v>48</v>
      </c>
      <c r="B59">
        <f t="shared" si="14"/>
        <v>7.3846914818094783E-4</v>
      </c>
      <c r="C59">
        <f t="shared" si="10"/>
        <v>7.3846914818094783E-4</v>
      </c>
      <c r="D59" t="s">
        <v>29</v>
      </c>
      <c r="E59" t="s">
        <v>21</v>
      </c>
      <c r="F59">
        <v>1</v>
      </c>
      <c r="G59">
        <f t="shared" si="15"/>
        <v>140</v>
      </c>
      <c r="I59">
        <v>2050</v>
      </c>
      <c r="J59" t="s">
        <v>28</v>
      </c>
      <c r="K59">
        <f t="shared" si="16"/>
        <v>142.5</v>
      </c>
      <c r="L59" cm="1">
        <f t="array" ref="L59">STOWA2024_JAARROND_T(A59*60,K59,I59,J59,"")</f>
        <v>364.99550186938137</v>
      </c>
      <c r="M59">
        <f t="shared" si="17"/>
        <v>2.7397597912257659E-3</v>
      </c>
    </row>
    <row r="60" spans="1:13" x14ac:dyDescent="0.3">
      <c r="A60">
        <v>48</v>
      </c>
      <c r="B60">
        <f t="shared" si="14"/>
        <v>5.695379521562802E-4</v>
      </c>
      <c r="C60">
        <f t="shared" si="10"/>
        <v>5.695379521562802E-4</v>
      </c>
      <c r="D60" t="s">
        <v>29</v>
      </c>
      <c r="E60" t="s">
        <v>21</v>
      </c>
      <c r="F60">
        <v>1</v>
      </c>
      <c r="G60">
        <f t="shared" si="15"/>
        <v>145</v>
      </c>
      <c r="I60">
        <v>2050</v>
      </c>
      <c r="J60" t="s">
        <v>28</v>
      </c>
      <c r="K60">
        <f t="shared" si="16"/>
        <v>147.5</v>
      </c>
      <c r="L60" cm="1">
        <f t="array" ref="L60">STOWA2024_JAARROND_T(A60*60,K60,I60,J60,"")</f>
        <v>460.78238731058229</v>
      </c>
      <c r="M60">
        <f t="shared" si="17"/>
        <v>2.1702218390694857E-3</v>
      </c>
    </row>
    <row r="61" spans="1:13" x14ac:dyDescent="0.3">
      <c r="A61">
        <v>48</v>
      </c>
      <c r="B61">
        <f t="shared" si="14"/>
        <v>4.4191406732099845E-4</v>
      </c>
      <c r="C61">
        <f t="shared" si="10"/>
        <v>4.4191406732099845E-4</v>
      </c>
      <c r="D61" t="s">
        <v>29</v>
      </c>
      <c r="E61" t="s">
        <v>21</v>
      </c>
      <c r="F61">
        <v>1</v>
      </c>
      <c r="G61">
        <f t="shared" si="15"/>
        <v>150</v>
      </c>
      <c r="I61">
        <v>2050</v>
      </c>
      <c r="J61" t="s">
        <v>28</v>
      </c>
      <c r="K61">
        <f t="shared" si="16"/>
        <v>152.5</v>
      </c>
      <c r="L61" cm="1">
        <f t="array" ref="L61">STOWA2024_JAARROND_T(A61*60,K61,I61,J61,"")</f>
        <v>578.60064992262585</v>
      </c>
      <c r="M61">
        <f t="shared" si="17"/>
        <v>1.7283077717484873E-3</v>
      </c>
    </row>
    <row r="62" spans="1:13" x14ac:dyDescent="0.3">
      <c r="A62">
        <v>48</v>
      </c>
      <c r="B62">
        <f t="shared" si="14"/>
        <v>3.4487235053732939E-4</v>
      </c>
      <c r="C62">
        <f t="shared" si="10"/>
        <v>3.4487235053732939E-4</v>
      </c>
      <c r="D62" t="s">
        <v>29</v>
      </c>
      <c r="E62" t="s">
        <v>21</v>
      </c>
      <c r="F62">
        <v>1</v>
      </c>
      <c r="G62">
        <f t="shared" si="15"/>
        <v>155</v>
      </c>
      <c r="I62">
        <v>2050</v>
      </c>
      <c r="J62" t="s">
        <v>28</v>
      </c>
      <c r="K62">
        <f t="shared" si="16"/>
        <v>157.5</v>
      </c>
      <c r="L62" cm="1">
        <f t="array" ref="L62">STOWA2024_JAARROND_T(A62*60,K62,I62,J62,"")</f>
        <v>722.83822191319109</v>
      </c>
      <c r="M62">
        <f t="shared" si="17"/>
        <v>1.3834354212111579E-3</v>
      </c>
    </row>
    <row r="63" spans="1:13" x14ac:dyDescent="0.3">
      <c r="A63">
        <v>48</v>
      </c>
      <c r="B63" s="1">
        <f>M62</f>
        <v>1.3834354212111579E-3</v>
      </c>
      <c r="C63">
        <f t="shared" si="10"/>
        <v>1.3834354212111579E-3</v>
      </c>
      <c r="D63" t="s">
        <v>29</v>
      </c>
      <c r="E63" t="s">
        <v>21</v>
      </c>
      <c r="F63">
        <v>1</v>
      </c>
      <c r="G63">
        <f t="shared" si="15"/>
        <v>160</v>
      </c>
      <c r="I63">
        <v>2050</v>
      </c>
      <c r="J63" t="s">
        <v>28</v>
      </c>
      <c r="K63">
        <f>AVERAGE(G63:G64)</f>
        <v>85</v>
      </c>
      <c r="L63" cm="1">
        <f t="array" ref="L63">STOWA2024_JAARROND_T(A63*60,K63,I63,J63,"")</f>
        <v>15.357400515251598</v>
      </c>
      <c r="M63">
        <f>1/L63</f>
        <v>6.5115186584271817E-2</v>
      </c>
    </row>
    <row r="64" spans="1:13" x14ac:dyDescent="0.3">
      <c r="A64">
        <v>96</v>
      </c>
      <c r="B64" s="1">
        <f>365.25*24/A64 - M64</f>
        <v>48.425091980078676</v>
      </c>
      <c r="C64">
        <f>B64</f>
        <v>48.425091980078676</v>
      </c>
      <c r="D64" t="s">
        <v>29</v>
      </c>
      <c r="E64" t="s">
        <v>21</v>
      </c>
      <c r="F64">
        <v>1</v>
      </c>
      <c r="G64">
        <v>10</v>
      </c>
      <c r="I64">
        <v>2050</v>
      </c>
      <c r="J64" t="s">
        <v>28</v>
      </c>
      <c r="K64">
        <f>AVERAGE(G64:G66)</f>
        <v>15</v>
      </c>
      <c r="L64" cm="1">
        <f t="array" ref="L64">STOWA2024_JAARROND_T(A64*60,K64,I64,J64,"")</f>
        <v>2.3316867261726267E-2</v>
      </c>
      <c r="M64">
        <f>1/L64</f>
        <v>42.887408019921324</v>
      </c>
    </row>
    <row r="65" spans="1:13" x14ac:dyDescent="0.3">
      <c r="A65">
        <v>96</v>
      </c>
      <c r="B65">
        <f t="shared" ref="B65:B69" si="18">M64-M65</f>
        <v>8.5849588449457812</v>
      </c>
      <c r="C65">
        <f t="shared" ref="C65:C94" si="19">B65</f>
        <v>8.5849588449457812</v>
      </c>
      <c r="D65" t="s">
        <v>29</v>
      </c>
      <c r="E65" t="s">
        <v>21</v>
      </c>
      <c r="F65">
        <v>1</v>
      </c>
      <c r="G65">
        <f t="shared" ref="G65:G69" si="20">G64+5</f>
        <v>15</v>
      </c>
      <c r="I65">
        <v>2050</v>
      </c>
      <c r="J65" t="s">
        <v>28</v>
      </c>
      <c r="K65">
        <f t="shared" ref="K65:K69" si="21">AVERAGE(G65:G66)</f>
        <v>17.5</v>
      </c>
      <c r="L65" cm="1">
        <f t="array" ref="L65">STOWA2024_JAARROND_T(A65*60,K65,I65,J65,"")</f>
        <v>2.9152437334693991E-2</v>
      </c>
      <c r="M65">
        <f t="shared" ref="M65:M69" si="22">1/L65</f>
        <v>34.302449174975543</v>
      </c>
    </row>
    <row r="66" spans="1:13" x14ac:dyDescent="0.3">
      <c r="A66">
        <v>96</v>
      </c>
      <c r="B66">
        <f t="shared" si="18"/>
        <v>12.185718691324979</v>
      </c>
      <c r="C66">
        <f t="shared" si="19"/>
        <v>12.185718691324979</v>
      </c>
      <c r="D66" t="s">
        <v>29</v>
      </c>
      <c r="E66" t="s">
        <v>21</v>
      </c>
      <c r="F66">
        <v>1</v>
      </c>
      <c r="G66">
        <f t="shared" si="20"/>
        <v>20</v>
      </c>
      <c r="I66">
        <v>2050</v>
      </c>
      <c r="J66" t="s">
        <v>28</v>
      </c>
      <c r="K66">
        <f t="shared" si="21"/>
        <v>22.5</v>
      </c>
      <c r="L66" cm="1">
        <f t="array" ref="L66">STOWA2024_JAARROND_T(A66*60,K66,I66,J66,"")</f>
        <v>4.5214639692753585E-2</v>
      </c>
      <c r="M66">
        <f t="shared" si="22"/>
        <v>22.116730483650564</v>
      </c>
    </row>
    <row r="67" spans="1:13" x14ac:dyDescent="0.3">
      <c r="A67">
        <v>96</v>
      </c>
      <c r="B67">
        <f t="shared" si="18"/>
        <v>7.7123387026343746</v>
      </c>
      <c r="C67">
        <f t="shared" si="19"/>
        <v>7.7123387026343746</v>
      </c>
      <c r="D67" t="s">
        <v>29</v>
      </c>
      <c r="E67" t="s">
        <v>21</v>
      </c>
      <c r="F67">
        <v>1</v>
      </c>
      <c r="G67">
        <f t="shared" si="20"/>
        <v>25</v>
      </c>
      <c r="I67">
        <v>2050</v>
      </c>
      <c r="J67" t="s">
        <v>28</v>
      </c>
      <c r="K67">
        <f t="shared" si="21"/>
        <v>27.5</v>
      </c>
      <c r="L67" cm="1">
        <f t="array" ref="L67">STOWA2024_JAARROND_T(A67*60,K67,I67,J67,"")</f>
        <v>6.9423271402400913E-2</v>
      </c>
      <c r="M67">
        <f t="shared" si="22"/>
        <v>14.404391781016189</v>
      </c>
    </row>
    <row r="68" spans="1:13" x14ac:dyDescent="0.3">
      <c r="A68">
        <v>96</v>
      </c>
      <c r="B68">
        <f t="shared" si="18"/>
        <v>4.9318361429773301</v>
      </c>
      <c r="C68">
        <f t="shared" si="19"/>
        <v>4.9318361429773301</v>
      </c>
      <c r="D68" t="s">
        <v>29</v>
      </c>
      <c r="E68" t="s">
        <v>21</v>
      </c>
      <c r="F68">
        <v>1</v>
      </c>
      <c r="G68">
        <f t="shared" si="20"/>
        <v>30</v>
      </c>
      <c r="I68">
        <v>2050</v>
      </c>
      <c r="J68" t="s">
        <v>28</v>
      </c>
      <c r="K68">
        <f t="shared" si="21"/>
        <v>32.5</v>
      </c>
      <c r="L68" cm="1">
        <f t="array" ref="L68">STOWA2024_JAARROND_T(A68*60,K68,I68,J68,"")</f>
        <v>0.10556813158049014</v>
      </c>
      <c r="M68">
        <f t="shared" si="22"/>
        <v>9.4725556380388589</v>
      </c>
    </row>
    <row r="69" spans="1:13" x14ac:dyDescent="0.3">
      <c r="A69">
        <v>96</v>
      </c>
      <c r="B69">
        <f t="shared" si="18"/>
        <v>3.1857809393829379</v>
      </c>
      <c r="C69">
        <f t="shared" si="19"/>
        <v>3.1857809393829379</v>
      </c>
      <c r="D69" t="s">
        <v>29</v>
      </c>
      <c r="E69" t="s">
        <v>21</v>
      </c>
      <c r="F69">
        <v>1</v>
      </c>
      <c r="G69">
        <f t="shared" si="20"/>
        <v>35</v>
      </c>
      <c r="I69">
        <v>2050</v>
      </c>
      <c r="J69" t="s">
        <v>28</v>
      </c>
      <c r="K69">
        <f t="shared" si="21"/>
        <v>37.5</v>
      </c>
      <c r="L69" cm="1">
        <f t="array" ref="L69">STOWA2024_JAARROND_T(A69*60,K69,I69,J69,"")</f>
        <v>0.15906407465401848</v>
      </c>
      <c r="M69">
        <f t="shared" si="22"/>
        <v>6.286774698655921</v>
      </c>
    </row>
    <row r="70" spans="1:13" x14ac:dyDescent="0.3">
      <c r="A70">
        <v>96</v>
      </c>
      <c r="B70">
        <f>M69-M70</f>
        <v>2.0772787756204805</v>
      </c>
      <c r="C70">
        <f t="shared" si="19"/>
        <v>2.0772787756204805</v>
      </c>
      <c r="D70" t="s">
        <v>29</v>
      </c>
      <c r="E70" t="s">
        <v>21</v>
      </c>
      <c r="F70">
        <v>1</v>
      </c>
      <c r="G70">
        <f>G69+5</f>
        <v>40</v>
      </c>
      <c r="I70">
        <v>2050</v>
      </c>
      <c r="J70" t="s">
        <v>28</v>
      </c>
      <c r="K70">
        <f>AVERAGE(G70:G71)</f>
        <v>42.5</v>
      </c>
      <c r="L70" cm="1">
        <f t="array" ref="L70">STOWA2024_JAARROND_T(A70*60,K70,I70,J70,"")</f>
        <v>0.23755813481793478</v>
      </c>
      <c r="M70">
        <f>1/L70</f>
        <v>4.2094959230354405</v>
      </c>
    </row>
    <row r="71" spans="1:13" x14ac:dyDescent="0.3">
      <c r="A71">
        <v>96</v>
      </c>
      <c r="B71">
        <f t="shared" ref="B71:B93" si="23">M70-M71</f>
        <v>1.3670219625941886</v>
      </c>
      <c r="C71">
        <f t="shared" si="19"/>
        <v>1.3670219625941886</v>
      </c>
      <c r="D71" t="s">
        <v>29</v>
      </c>
      <c r="E71" t="s">
        <v>21</v>
      </c>
      <c r="F71">
        <v>1</v>
      </c>
      <c r="G71">
        <f t="shared" ref="G71:G94" si="24">G70+5</f>
        <v>45</v>
      </c>
      <c r="I71">
        <v>2050</v>
      </c>
      <c r="J71" t="s">
        <v>28</v>
      </c>
      <c r="K71">
        <f t="shared" ref="K71:K93" si="25">AVERAGE(G71:G72)</f>
        <v>47.5</v>
      </c>
      <c r="L71" cm="1">
        <f t="array" ref="L71">STOWA2024_JAARROND_T(A71*60,K71,I71,J71,"")</f>
        <v>0.35180621314988753</v>
      </c>
      <c r="M71">
        <f t="shared" ref="M71:M93" si="26">1/L71</f>
        <v>2.8424739604412519</v>
      </c>
    </row>
    <row r="72" spans="1:13" x14ac:dyDescent="0.3">
      <c r="A72">
        <v>96</v>
      </c>
      <c r="B72">
        <f t="shared" si="23"/>
        <v>0.90748461035789063</v>
      </c>
      <c r="C72">
        <f t="shared" si="19"/>
        <v>0.90748461035789063</v>
      </c>
      <c r="D72" t="s">
        <v>29</v>
      </c>
      <c r="E72" t="s">
        <v>21</v>
      </c>
      <c r="F72">
        <v>1</v>
      </c>
      <c r="G72">
        <f t="shared" si="24"/>
        <v>50</v>
      </c>
      <c r="I72">
        <v>2050</v>
      </c>
      <c r="J72" t="s">
        <v>28</v>
      </c>
      <c r="K72">
        <f t="shared" si="25"/>
        <v>52.5</v>
      </c>
      <c r="L72" cm="1">
        <f t="array" ref="L72">STOWA2024_JAARROND_T(A72*60,K72,I72,J72,"")</f>
        <v>0.51679871000681166</v>
      </c>
      <c r="M72">
        <f t="shared" si="26"/>
        <v>1.9349893500833613</v>
      </c>
    </row>
    <row r="73" spans="1:13" x14ac:dyDescent="0.3">
      <c r="A73">
        <v>96</v>
      </c>
      <c r="B73">
        <f t="shared" si="23"/>
        <v>0.60747104229206039</v>
      </c>
      <c r="C73">
        <f t="shared" si="19"/>
        <v>0.60747104229206039</v>
      </c>
      <c r="D73" t="s">
        <v>29</v>
      </c>
      <c r="E73" t="s">
        <v>21</v>
      </c>
      <c r="F73">
        <v>1</v>
      </c>
      <c r="G73">
        <f t="shared" si="24"/>
        <v>55</v>
      </c>
      <c r="I73">
        <v>2050</v>
      </c>
      <c r="J73" t="s">
        <v>28</v>
      </c>
      <c r="K73">
        <f t="shared" si="25"/>
        <v>57.5</v>
      </c>
      <c r="L73" cm="1">
        <f t="array" ref="L73">STOWA2024_JAARROND_T(A73*60,K73,I73,J73,"")</f>
        <v>0.75328527985710458</v>
      </c>
      <c r="M73">
        <f t="shared" si="26"/>
        <v>1.3275183077913009</v>
      </c>
    </row>
    <row r="74" spans="1:13" x14ac:dyDescent="0.3">
      <c r="A74">
        <v>96</v>
      </c>
      <c r="B74">
        <f t="shared" si="23"/>
        <v>0.40985663249022308</v>
      </c>
      <c r="C74">
        <f t="shared" si="19"/>
        <v>0.40985663249022308</v>
      </c>
      <c r="D74" t="s">
        <v>29</v>
      </c>
      <c r="E74" t="s">
        <v>21</v>
      </c>
      <c r="F74">
        <v>1</v>
      </c>
      <c r="G74">
        <f t="shared" si="24"/>
        <v>60</v>
      </c>
      <c r="I74">
        <v>2050</v>
      </c>
      <c r="J74" t="s">
        <v>28</v>
      </c>
      <c r="K74">
        <f t="shared" si="25"/>
        <v>62.5</v>
      </c>
      <c r="L74" cm="1">
        <f t="array" ref="L74">STOWA2024_JAARROND_T(A74*60,K74,I74,J74,"")</f>
        <v>1.089726232352362</v>
      </c>
      <c r="M74">
        <f t="shared" si="26"/>
        <v>0.91766167530107778</v>
      </c>
    </row>
    <row r="75" spans="1:13" x14ac:dyDescent="0.3">
      <c r="A75">
        <v>96</v>
      </c>
      <c r="B75">
        <f t="shared" si="23"/>
        <v>0.27881398042047512</v>
      </c>
      <c r="C75">
        <f t="shared" si="19"/>
        <v>0.27881398042047512</v>
      </c>
      <c r="D75" t="s">
        <v>29</v>
      </c>
      <c r="E75" t="s">
        <v>21</v>
      </c>
      <c r="F75">
        <v>1</v>
      </c>
      <c r="G75">
        <f t="shared" si="24"/>
        <v>65</v>
      </c>
      <c r="I75">
        <v>2050</v>
      </c>
      <c r="J75" t="s">
        <v>28</v>
      </c>
      <c r="K75">
        <f t="shared" si="25"/>
        <v>67.5</v>
      </c>
      <c r="L75" cm="1">
        <f t="array" ref="L75">STOWA2024_JAARROND_T(A75*60,K75,I75,J75,"")</f>
        <v>1.5653183192386642</v>
      </c>
      <c r="M75">
        <f t="shared" si="26"/>
        <v>0.63884769488060267</v>
      </c>
    </row>
    <row r="76" spans="1:13" x14ac:dyDescent="0.3">
      <c r="A76">
        <v>96</v>
      </c>
      <c r="B76">
        <f t="shared" si="23"/>
        <v>0.19102303707127732</v>
      </c>
      <c r="C76">
        <f t="shared" si="19"/>
        <v>0.19102303707127732</v>
      </c>
      <c r="D76" t="s">
        <v>29</v>
      </c>
      <c r="E76" t="s">
        <v>21</v>
      </c>
      <c r="F76">
        <v>1</v>
      </c>
      <c r="G76">
        <f t="shared" si="24"/>
        <v>70</v>
      </c>
      <c r="I76">
        <v>2050</v>
      </c>
      <c r="J76" t="s">
        <v>28</v>
      </c>
      <c r="K76">
        <f t="shared" si="25"/>
        <v>72.5</v>
      </c>
      <c r="L76" cm="1">
        <f t="array" ref="L76">STOWA2024_JAARROND_T(A76*60,K76,I76,J76,"")</f>
        <v>2.2330168349635175</v>
      </c>
      <c r="M76">
        <f t="shared" si="26"/>
        <v>0.44782465780932534</v>
      </c>
    </row>
    <row r="77" spans="1:13" x14ac:dyDescent="0.3">
      <c r="A77">
        <v>96</v>
      </c>
      <c r="B77">
        <f t="shared" si="23"/>
        <v>0.13181256357186638</v>
      </c>
      <c r="C77">
        <f t="shared" si="19"/>
        <v>0.13181256357186638</v>
      </c>
      <c r="D77" t="s">
        <v>29</v>
      </c>
      <c r="E77" t="s">
        <v>21</v>
      </c>
      <c r="F77">
        <v>1</v>
      </c>
      <c r="G77">
        <f t="shared" si="24"/>
        <v>75</v>
      </c>
      <c r="I77">
        <v>2050</v>
      </c>
      <c r="J77" t="s">
        <v>28</v>
      </c>
      <c r="K77">
        <f t="shared" si="25"/>
        <v>77.5</v>
      </c>
      <c r="L77" cm="1">
        <f t="array" ref="L77">STOWA2024_JAARROND_T(A77*60,K77,I77,J77,"")</f>
        <v>3.1644358498778731</v>
      </c>
      <c r="M77">
        <f t="shared" si="26"/>
        <v>0.31601209423745896</v>
      </c>
    </row>
    <row r="78" spans="1:13" x14ac:dyDescent="0.3">
      <c r="A78">
        <v>96</v>
      </c>
      <c r="B78">
        <f t="shared" si="23"/>
        <v>9.158456446076868E-2</v>
      </c>
      <c r="C78">
        <f t="shared" si="19"/>
        <v>9.158456446076868E-2</v>
      </c>
      <c r="D78" t="s">
        <v>29</v>
      </c>
      <c r="E78" t="s">
        <v>21</v>
      </c>
      <c r="F78">
        <v>1</v>
      </c>
      <c r="G78">
        <f t="shared" si="24"/>
        <v>80</v>
      </c>
      <c r="I78">
        <v>2050</v>
      </c>
      <c r="J78" t="s">
        <v>28</v>
      </c>
      <c r="K78">
        <f t="shared" si="25"/>
        <v>82.5</v>
      </c>
      <c r="L78" cm="1">
        <f t="array" ref="L78">STOWA2024_JAARROND_T(A78*60,K78,I78,J78,"")</f>
        <v>4.4557813428460369</v>
      </c>
      <c r="M78">
        <f t="shared" si="26"/>
        <v>0.22442752977669028</v>
      </c>
    </row>
    <row r="79" spans="1:13" x14ac:dyDescent="0.3">
      <c r="A79">
        <v>96</v>
      </c>
      <c r="B79">
        <f t="shared" si="23"/>
        <v>6.4054985529666764E-2</v>
      </c>
      <c r="C79">
        <f t="shared" si="19"/>
        <v>6.4054985529666764E-2</v>
      </c>
      <c r="D79" t="s">
        <v>29</v>
      </c>
      <c r="E79" t="s">
        <v>21</v>
      </c>
      <c r="F79">
        <v>1</v>
      </c>
      <c r="G79">
        <f t="shared" si="24"/>
        <v>85</v>
      </c>
      <c r="I79">
        <v>2050</v>
      </c>
      <c r="J79" t="s">
        <v>28</v>
      </c>
      <c r="K79">
        <f t="shared" si="25"/>
        <v>87.5</v>
      </c>
      <c r="L79" cm="1">
        <f t="array" ref="L79">STOWA2024_JAARROND_T(A79*60,K79,I79,J79,"")</f>
        <v>6.235481295724095</v>
      </c>
      <c r="M79">
        <f t="shared" si="26"/>
        <v>0.16037254424702352</v>
      </c>
    </row>
    <row r="80" spans="1:13" x14ac:dyDescent="0.3">
      <c r="A80">
        <v>96</v>
      </c>
      <c r="B80">
        <f t="shared" si="23"/>
        <v>4.5089188818237924E-2</v>
      </c>
      <c r="C80">
        <f t="shared" si="19"/>
        <v>4.5089188818237924E-2</v>
      </c>
      <c r="D80" t="s">
        <v>29</v>
      </c>
      <c r="E80" t="s">
        <v>21</v>
      </c>
      <c r="F80">
        <v>1</v>
      </c>
      <c r="G80">
        <f t="shared" si="24"/>
        <v>90</v>
      </c>
      <c r="I80">
        <v>2050</v>
      </c>
      <c r="J80" t="s">
        <v>28</v>
      </c>
      <c r="K80">
        <f t="shared" si="25"/>
        <v>92.5</v>
      </c>
      <c r="L80" cm="1">
        <f t="array" ref="L80">STOWA2024_JAARROND_T(A80*60,K80,I80,J80,"")</f>
        <v>8.6742790950228166</v>
      </c>
      <c r="M80">
        <f t="shared" si="26"/>
        <v>0.11528335542878559</v>
      </c>
    </row>
    <row r="81" spans="1:13" x14ac:dyDescent="0.3">
      <c r="A81">
        <v>96</v>
      </c>
      <c r="B81">
        <f t="shared" si="23"/>
        <v>3.1935159235377264E-2</v>
      </c>
      <c r="C81">
        <f t="shared" si="19"/>
        <v>3.1935159235377264E-2</v>
      </c>
      <c r="D81" t="s">
        <v>29</v>
      </c>
      <c r="E81" t="s">
        <v>21</v>
      </c>
      <c r="F81">
        <v>1</v>
      </c>
      <c r="G81">
        <f t="shared" si="24"/>
        <v>95</v>
      </c>
      <c r="I81">
        <v>2050</v>
      </c>
      <c r="J81" t="s">
        <v>28</v>
      </c>
      <c r="K81">
        <f t="shared" si="25"/>
        <v>97.5</v>
      </c>
      <c r="L81" cm="1">
        <f t="array" ref="L81">STOWA2024_JAARROND_T(A81*60,K81,I81,J81,"")</f>
        <v>11.997860129804296</v>
      </c>
      <c r="M81">
        <f t="shared" si="26"/>
        <v>8.334819619340833E-2</v>
      </c>
    </row>
    <row r="82" spans="1:13" x14ac:dyDescent="0.3">
      <c r="A82">
        <v>96</v>
      </c>
      <c r="B82">
        <f t="shared" si="23"/>
        <v>2.2753627141815759E-2</v>
      </c>
      <c r="C82">
        <f t="shared" si="19"/>
        <v>2.2753627141815759E-2</v>
      </c>
      <c r="D82" t="s">
        <v>29</v>
      </c>
      <c r="E82" t="s">
        <v>21</v>
      </c>
      <c r="F82">
        <v>1</v>
      </c>
      <c r="G82">
        <f t="shared" si="24"/>
        <v>100</v>
      </c>
      <c r="I82">
        <v>2050</v>
      </c>
      <c r="J82" t="s">
        <v>28</v>
      </c>
      <c r="K82">
        <f t="shared" si="25"/>
        <v>102.5</v>
      </c>
      <c r="L82" cm="1">
        <f t="array" ref="L82">STOWA2024_JAARROND_T(A82*60,K82,I82,J82,"")</f>
        <v>16.503129169027691</v>
      </c>
      <c r="M82">
        <f t="shared" si="26"/>
        <v>6.0594569051592571E-2</v>
      </c>
    </row>
    <row r="83" spans="1:13" x14ac:dyDescent="0.3">
      <c r="A83">
        <v>96</v>
      </c>
      <c r="B83">
        <f t="shared" si="23"/>
        <v>1.6305325640315838E-2</v>
      </c>
      <c r="C83">
        <f t="shared" si="19"/>
        <v>1.6305325640315838E-2</v>
      </c>
      <c r="D83" t="s">
        <v>29</v>
      </c>
      <c r="E83" t="s">
        <v>21</v>
      </c>
      <c r="F83">
        <v>1</v>
      </c>
      <c r="G83">
        <f t="shared" si="24"/>
        <v>105</v>
      </c>
      <c r="I83">
        <v>2050</v>
      </c>
      <c r="J83" t="s">
        <v>28</v>
      </c>
      <c r="K83">
        <f t="shared" si="25"/>
        <v>107.5</v>
      </c>
      <c r="L83" cm="1">
        <f t="array" ref="L83">STOWA2024_JAARROND_T(A83*60,K83,I83,J83,"")</f>
        <v>22.578845854598281</v>
      </c>
      <c r="M83">
        <f t="shared" si="26"/>
        <v>4.4289243411276734E-2</v>
      </c>
    </row>
    <row r="84" spans="1:13" x14ac:dyDescent="0.3">
      <c r="A84">
        <v>96</v>
      </c>
      <c r="B84">
        <f t="shared" si="23"/>
        <v>1.1749580995382508E-2</v>
      </c>
      <c r="C84">
        <f t="shared" si="19"/>
        <v>1.1749580995382508E-2</v>
      </c>
      <c r="D84" t="s">
        <v>29</v>
      </c>
      <c r="E84" t="s">
        <v>21</v>
      </c>
      <c r="F84">
        <v>1</v>
      </c>
      <c r="G84">
        <f t="shared" si="24"/>
        <v>110</v>
      </c>
      <c r="I84">
        <v>2050</v>
      </c>
      <c r="J84" t="s">
        <v>28</v>
      </c>
      <c r="K84">
        <f t="shared" si="25"/>
        <v>112.5</v>
      </c>
      <c r="L84" cm="1">
        <f t="array" ref="L84">STOWA2024_JAARROND_T(A84*60,K84,I84,J84,"")</f>
        <v>30.731726322751985</v>
      </c>
      <c r="M84">
        <f t="shared" si="26"/>
        <v>3.2539662415894226E-2</v>
      </c>
    </row>
    <row r="85" spans="1:13" x14ac:dyDescent="0.3">
      <c r="A85">
        <v>96</v>
      </c>
      <c r="B85">
        <f t="shared" si="23"/>
        <v>8.5121891639651399E-3</v>
      </c>
      <c r="C85">
        <f t="shared" si="19"/>
        <v>8.5121891639651399E-3</v>
      </c>
      <c r="D85" t="s">
        <v>29</v>
      </c>
      <c r="E85" t="s">
        <v>21</v>
      </c>
      <c r="F85">
        <v>1</v>
      </c>
      <c r="G85">
        <f t="shared" si="24"/>
        <v>115</v>
      </c>
      <c r="I85">
        <v>2050</v>
      </c>
      <c r="J85" t="s">
        <v>28</v>
      </c>
      <c r="K85">
        <f t="shared" si="25"/>
        <v>117.5</v>
      </c>
      <c r="L85" cm="1">
        <f t="array" ref="L85">STOWA2024_JAARROND_T(A85*60,K85,I85,J85,"")</f>
        <v>41.619024585521629</v>
      </c>
      <c r="M85">
        <f t="shared" si="26"/>
        <v>2.4027473251929086E-2</v>
      </c>
    </row>
    <row r="86" spans="1:13" x14ac:dyDescent="0.3">
      <c r="A86">
        <v>96</v>
      </c>
      <c r="B86">
        <f t="shared" si="23"/>
        <v>6.1992859774887624E-3</v>
      </c>
      <c r="C86">
        <f t="shared" si="19"/>
        <v>6.1992859774887624E-3</v>
      </c>
      <c r="D86" t="s">
        <v>29</v>
      </c>
      <c r="E86" t="s">
        <v>21</v>
      </c>
      <c r="F86">
        <v>1</v>
      </c>
      <c r="G86">
        <f t="shared" si="24"/>
        <v>120</v>
      </c>
      <c r="I86">
        <v>2050</v>
      </c>
      <c r="J86" t="s">
        <v>28</v>
      </c>
      <c r="K86">
        <f t="shared" si="25"/>
        <v>122.5</v>
      </c>
      <c r="L86" cm="1">
        <f t="array" ref="L86">STOWA2024_JAARROND_T(A86*60,K86,I86,J86,"")</f>
        <v>56.090952187475985</v>
      </c>
      <c r="M86">
        <f t="shared" si="26"/>
        <v>1.7828187274440323E-2</v>
      </c>
    </row>
    <row r="87" spans="1:13" x14ac:dyDescent="0.3">
      <c r="A87">
        <v>96</v>
      </c>
      <c r="B87">
        <f t="shared" si="23"/>
        <v>4.5374089335368326E-3</v>
      </c>
      <c r="C87">
        <f t="shared" si="19"/>
        <v>4.5374089335368326E-3</v>
      </c>
      <c r="D87" t="s">
        <v>29</v>
      </c>
      <c r="E87" t="s">
        <v>21</v>
      </c>
      <c r="F87">
        <v>1</v>
      </c>
      <c r="G87">
        <f t="shared" si="24"/>
        <v>125</v>
      </c>
      <c r="I87">
        <v>2050</v>
      </c>
      <c r="J87" t="s">
        <v>28</v>
      </c>
      <c r="K87">
        <f t="shared" si="25"/>
        <v>127.5</v>
      </c>
      <c r="L87" cm="1">
        <f t="array" ref="L87">STOWA2024_JAARROND_T(A87*60,K87,I87,J87,"")</f>
        <v>75.240138263566976</v>
      </c>
      <c r="M87">
        <f t="shared" si="26"/>
        <v>1.3290778340903491E-2</v>
      </c>
    </row>
    <row r="88" spans="1:13" x14ac:dyDescent="0.3">
      <c r="A88">
        <v>96</v>
      </c>
      <c r="B88">
        <f t="shared" si="23"/>
        <v>3.3374515380885234E-3</v>
      </c>
      <c r="C88">
        <f t="shared" si="19"/>
        <v>3.3374515380885234E-3</v>
      </c>
      <c r="D88" t="s">
        <v>29</v>
      </c>
      <c r="E88" t="s">
        <v>21</v>
      </c>
      <c r="F88">
        <v>1</v>
      </c>
      <c r="G88">
        <f t="shared" si="24"/>
        <v>130</v>
      </c>
      <c r="I88">
        <v>2050</v>
      </c>
      <c r="J88" t="s">
        <v>28</v>
      </c>
      <c r="K88">
        <f t="shared" si="25"/>
        <v>132.5</v>
      </c>
      <c r="L88" cm="1">
        <f t="array" ref="L88">STOWA2024_JAARROND_T(A88*60,K88,I88,J88,"")</f>
        <v>100.46892057409219</v>
      </c>
      <c r="M88">
        <f t="shared" si="26"/>
        <v>9.9533268028149675E-3</v>
      </c>
    </row>
    <row r="89" spans="1:13" x14ac:dyDescent="0.3">
      <c r="A89">
        <v>96</v>
      </c>
      <c r="B89">
        <f t="shared" si="23"/>
        <v>2.4663519525024271E-3</v>
      </c>
      <c r="C89">
        <f t="shared" si="19"/>
        <v>2.4663519525024271E-3</v>
      </c>
      <c r="D89" t="s">
        <v>29</v>
      </c>
      <c r="E89" t="s">
        <v>21</v>
      </c>
      <c r="F89">
        <v>1</v>
      </c>
      <c r="G89">
        <f t="shared" si="24"/>
        <v>135</v>
      </c>
      <c r="I89">
        <v>2050</v>
      </c>
      <c r="J89" t="s">
        <v>28</v>
      </c>
      <c r="K89">
        <f t="shared" si="25"/>
        <v>137.5</v>
      </c>
      <c r="L89" cm="1">
        <f t="array" ref="L89">STOWA2024_JAARROND_T(A89*60,K89,I89,J89,"")</f>
        <v>133.56529439367029</v>
      </c>
      <c r="M89">
        <f t="shared" si="26"/>
        <v>7.4869748503125404E-3</v>
      </c>
    </row>
    <row r="90" spans="1:13" x14ac:dyDescent="0.3">
      <c r="A90">
        <v>96</v>
      </c>
      <c r="B90">
        <f t="shared" si="23"/>
        <v>1.8310438441092539E-3</v>
      </c>
      <c r="C90">
        <f t="shared" si="19"/>
        <v>1.8310438441092539E-3</v>
      </c>
      <c r="D90" t="s">
        <v>29</v>
      </c>
      <c r="E90" t="s">
        <v>21</v>
      </c>
      <c r="F90">
        <v>1</v>
      </c>
      <c r="G90">
        <f t="shared" si="24"/>
        <v>140</v>
      </c>
      <c r="I90">
        <v>2050</v>
      </c>
      <c r="J90" t="s">
        <v>28</v>
      </c>
      <c r="K90">
        <f t="shared" si="25"/>
        <v>142.5</v>
      </c>
      <c r="L90" cm="1">
        <f t="array" ref="L90">STOWA2024_JAARROND_T(A90*60,K90,I90,J90,"")</f>
        <v>176.80555135895833</v>
      </c>
      <c r="M90">
        <f t="shared" si="26"/>
        <v>5.6559310062032865E-3</v>
      </c>
    </row>
    <row r="91" spans="1:13" x14ac:dyDescent="0.3">
      <c r="A91">
        <v>96</v>
      </c>
      <c r="B91">
        <f t="shared" si="23"/>
        <v>1.3654732228687693E-3</v>
      </c>
      <c r="C91">
        <f t="shared" si="19"/>
        <v>1.3654732228687693E-3</v>
      </c>
      <c r="D91" t="s">
        <v>29</v>
      </c>
      <c r="E91" t="s">
        <v>21</v>
      </c>
      <c r="F91">
        <v>1</v>
      </c>
      <c r="G91">
        <f t="shared" si="24"/>
        <v>145</v>
      </c>
      <c r="I91">
        <v>2050</v>
      </c>
      <c r="J91" t="s">
        <v>28</v>
      </c>
      <c r="K91">
        <f t="shared" si="25"/>
        <v>147.5</v>
      </c>
      <c r="L91" cm="1">
        <f t="array" ref="L91">STOWA2024_JAARROND_T(A91*60,K91,I91,J91,"")</f>
        <v>233.07536176776134</v>
      </c>
      <c r="M91">
        <f t="shared" si="26"/>
        <v>4.2904577833345172E-3</v>
      </c>
    </row>
    <row r="92" spans="1:13" x14ac:dyDescent="0.3">
      <c r="A92">
        <v>96</v>
      </c>
      <c r="B92">
        <f t="shared" si="23"/>
        <v>1.0226408467873438E-3</v>
      </c>
      <c r="C92">
        <f t="shared" si="19"/>
        <v>1.0226408467873438E-3</v>
      </c>
      <c r="D92" t="s">
        <v>29</v>
      </c>
      <c r="E92" t="s">
        <v>21</v>
      </c>
      <c r="F92">
        <v>1</v>
      </c>
      <c r="G92">
        <f t="shared" si="24"/>
        <v>150</v>
      </c>
      <c r="I92">
        <v>2050</v>
      </c>
      <c r="J92" t="s">
        <v>28</v>
      </c>
      <c r="K92">
        <f t="shared" si="25"/>
        <v>152.5</v>
      </c>
      <c r="L92" cm="1">
        <f t="array" ref="L92">STOWA2024_JAARROND_T(A92*60,K92,I92,J92,"")</f>
        <v>306.01469403503847</v>
      </c>
      <c r="M92">
        <f t="shared" si="26"/>
        <v>3.2678169365471734E-3</v>
      </c>
    </row>
    <row r="93" spans="1:13" x14ac:dyDescent="0.3">
      <c r="A93">
        <v>96</v>
      </c>
      <c r="B93">
        <f t="shared" si="23"/>
        <v>7.6912200232066462E-4</v>
      </c>
      <c r="C93">
        <f t="shared" si="19"/>
        <v>7.6912200232066462E-4</v>
      </c>
      <c r="D93" t="s">
        <v>29</v>
      </c>
      <c r="E93" t="s">
        <v>21</v>
      </c>
      <c r="F93">
        <v>1</v>
      </c>
      <c r="G93">
        <f t="shared" si="24"/>
        <v>155</v>
      </c>
      <c r="I93">
        <v>2050</v>
      </c>
      <c r="J93" t="s">
        <v>28</v>
      </c>
      <c r="K93">
        <f t="shared" si="25"/>
        <v>157.5</v>
      </c>
      <c r="L93" cm="1">
        <f t="array" ref="L93">STOWA2024_JAARROND_T(A93*60,K93,I93,J93,"")</f>
        <v>400.20891958527869</v>
      </c>
      <c r="M93">
        <f t="shared" si="26"/>
        <v>2.4986949342265087E-3</v>
      </c>
    </row>
    <row r="94" spans="1:13" x14ac:dyDescent="0.3">
      <c r="A94">
        <v>96</v>
      </c>
      <c r="B94" s="1">
        <f>M93</f>
        <v>2.4986949342265087E-3</v>
      </c>
      <c r="C94">
        <f t="shared" si="19"/>
        <v>2.4986949342265087E-3</v>
      </c>
      <c r="D94" t="s">
        <v>29</v>
      </c>
      <c r="E94" t="s">
        <v>21</v>
      </c>
      <c r="F94">
        <v>1</v>
      </c>
      <c r="G94">
        <f t="shared" si="24"/>
        <v>160</v>
      </c>
      <c r="I94">
        <v>2050</v>
      </c>
      <c r="J94" t="s">
        <v>28</v>
      </c>
      <c r="K94">
        <f>AVERAGE(G94:G95)</f>
        <v>85</v>
      </c>
      <c r="L94" cm="1">
        <f t="array" ref="L94">STOWA2024_JAARROND_T(A94*60,K94,I94,J94,"")</f>
        <v>5.2750112143644845</v>
      </c>
      <c r="M94">
        <f>1/L94</f>
        <v>0.18957305669358215</v>
      </c>
    </row>
    <row r="95" spans="1:13" x14ac:dyDescent="0.3">
      <c r="A95">
        <v>192</v>
      </c>
      <c r="B95" s="1">
        <f>365.25*24/A95 - M95</f>
        <v>-10.019863669062268</v>
      </c>
      <c r="C95">
        <f>B95</f>
        <v>-10.019863669062268</v>
      </c>
      <c r="D95" t="s">
        <v>29</v>
      </c>
      <c r="E95" t="s">
        <v>21</v>
      </c>
      <c r="F95">
        <v>1</v>
      </c>
      <c r="G95">
        <v>10</v>
      </c>
      <c r="I95">
        <v>2050</v>
      </c>
      <c r="J95" t="s">
        <v>28</v>
      </c>
      <c r="K95">
        <f>AVERAGE(G95:G97)</f>
        <v>15</v>
      </c>
      <c r="L95" cm="1">
        <f t="array" ref="L95">STOWA2024_JAARROND_T(A95*60,K95,I95,J95,"")</f>
        <v>1.7961023751477706E-2</v>
      </c>
      <c r="M95">
        <f>1/L95</f>
        <v>55.676113669062268</v>
      </c>
    </row>
    <row r="96" spans="1:13" x14ac:dyDescent="0.3">
      <c r="A96">
        <v>192</v>
      </c>
      <c r="B96">
        <f t="shared" ref="B96:B100" si="27">M95-M96</f>
        <v>7.7172872047877519</v>
      </c>
      <c r="C96">
        <f t="shared" ref="C96:C125" si="28">B96</f>
        <v>7.7172872047877519</v>
      </c>
      <c r="D96" t="s">
        <v>29</v>
      </c>
      <c r="E96" t="s">
        <v>21</v>
      </c>
      <c r="F96">
        <v>1</v>
      </c>
      <c r="G96">
        <f t="shared" ref="G96:G100" si="29">G95+5</f>
        <v>15</v>
      </c>
      <c r="I96">
        <v>2050</v>
      </c>
      <c r="J96" t="s">
        <v>28</v>
      </c>
      <c r="K96">
        <f t="shared" ref="K96:K100" si="30">AVERAGE(G96:G97)</f>
        <v>17.5</v>
      </c>
      <c r="L96" cm="1">
        <f t="array" ref="L96">STOWA2024_JAARROND_T(A96*60,K96,I96,J96,"")</f>
        <v>2.0851219133664996E-2</v>
      </c>
      <c r="M96">
        <f t="shared" ref="M96:M100" si="31">1/L96</f>
        <v>47.958826464274516</v>
      </c>
    </row>
    <row r="97" spans="1:13" x14ac:dyDescent="0.3">
      <c r="A97">
        <v>192</v>
      </c>
      <c r="B97">
        <f t="shared" si="27"/>
        <v>12.38420384548553</v>
      </c>
      <c r="C97">
        <f t="shared" si="28"/>
        <v>12.38420384548553</v>
      </c>
      <c r="D97" t="s">
        <v>29</v>
      </c>
      <c r="E97" t="s">
        <v>21</v>
      </c>
      <c r="F97">
        <v>1</v>
      </c>
      <c r="G97">
        <f t="shared" si="29"/>
        <v>20</v>
      </c>
      <c r="I97">
        <v>2050</v>
      </c>
      <c r="J97" t="s">
        <v>28</v>
      </c>
      <c r="K97">
        <f t="shared" si="30"/>
        <v>22.5</v>
      </c>
      <c r="L97" cm="1">
        <f t="array" ref="L97">STOWA2024_JAARROND_T(A97*60,K97,I97,J97,"")</f>
        <v>2.8109925738800192E-2</v>
      </c>
      <c r="M97">
        <f t="shared" si="31"/>
        <v>35.574622618788986</v>
      </c>
    </row>
    <row r="98" spans="1:13" x14ac:dyDescent="0.3">
      <c r="A98">
        <v>192</v>
      </c>
      <c r="B98">
        <f t="shared" si="27"/>
        <v>9.1965052882205072</v>
      </c>
      <c r="C98">
        <f t="shared" si="28"/>
        <v>9.1965052882205072</v>
      </c>
      <c r="D98" t="s">
        <v>29</v>
      </c>
      <c r="E98" t="s">
        <v>21</v>
      </c>
      <c r="F98">
        <v>1</v>
      </c>
      <c r="G98">
        <f t="shared" si="29"/>
        <v>25</v>
      </c>
      <c r="I98">
        <v>2050</v>
      </c>
      <c r="J98" t="s">
        <v>28</v>
      </c>
      <c r="K98">
        <f t="shared" si="30"/>
        <v>27.5</v>
      </c>
      <c r="L98" cm="1">
        <f t="array" ref="L98">STOWA2024_JAARROND_T(A98*60,K98,I98,J98,"")</f>
        <v>3.791021123562683E-2</v>
      </c>
      <c r="M98">
        <f t="shared" si="31"/>
        <v>26.378117330568479</v>
      </c>
    </row>
    <row r="99" spans="1:13" x14ac:dyDescent="0.3">
      <c r="A99">
        <v>192</v>
      </c>
      <c r="B99">
        <f t="shared" si="27"/>
        <v>6.8265417473006842</v>
      </c>
      <c r="C99">
        <f t="shared" si="28"/>
        <v>6.8265417473006842</v>
      </c>
      <c r="D99" t="s">
        <v>29</v>
      </c>
      <c r="E99" t="s">
        <v>21</v>
      </c>
      <c r="F99">
        <v>1</v>
      </c>
      <c r="G99">
        <f t="shared" si="29"/>
        <v>30</v>
      </c>
      <c r="I99">
        <v>2050</v>
      </c>
      <c r="J99" t="s">
        <v>28</v>
      </c>
      <c r="K99">
        <f t="shared" si="30"/>
        <v>32.5</v>
      </c>
      <c r="L99" cm="1">
        <f t="array" ref="L99">STOWA2024_JAARROND_T(A99*60,K99,I99,J99,"")</f>
        <v>5.11467730946348E-2</v>
      </c>
      <c r="M99">
        <f t="shared" si="31"/>
        <v>19.551575583267795</v>
      </c>
    </row>
    <row r="100" spans="1:13" x14ac:dyDescent="0.3">
      <c r="A100">
        <v>192</v>
      </c>
      <c r="B100">
        <f t="shared" si="27"/>
        <v>5.0653889605786322</v>
      </c>
      <c r="C100">
        <f t="shared" si="28"/>
        <v>5.0653889605786322</v>
      </c>
      <c r="D100" t="s">
        <v>29</v>
      </c>
      <c r="E100" t="s">
        <v>21</v>
      </c>
      <c r="F100">
        <v>1</v>
      </c>
      <c r="G100">
        <f t="shared" si="29"/>
        <v>35</v>
      </c>
      <c r="I100">
        <v>2050</v>
      </c>
      <c r="J100" t="s">
        <v>28</v>
      </c>
      <c r="K100">
        <f t="shared" si="30"/>
        <v>37.5</v>
      </c>
      <c r="L100" cm="1">
        <f t="array" ref="L100">STOWA2024_JAARROND_T(A100*60,K100,I100,J100,"")</f>
        <v>6.903127966291267E-2</v>
      </c>
      <c r="M100">
        <f t="shared" si="31"/>
        <v>14.486186622689162</v>
      </c>
    </row>
    <row r="101" spans="1:13" x14ac:dyDescent="0.3">
      <c r="A101">
        <v>192</v>
      </c>
      <c r="B101">
        <f>M100-M101</f>
        <v>3.7571664836833705</v>
      </c>
      <c r="C101">
        <f t="shared" si="28"/>
        <v>3.7571664836833705</v>
      </c>
      <c r="D101" t="s">
        <v>29</v>
      </c>
      <c r="E101" t="s">
        <v>21</v>
      </c>
      <c r="F101">
        <v>1</v>
      </c>
      <c r="G101">
        <f>G100+5</f>
        <v>40</v>
      </c>
      <c r="I101">
        <v>2050</v>
      </c>
      <c r="J101" t="s">
        <v>28</v>
      </c>
      <c r="K101">
        <f>AVERAGE(G101:G102)</f>
        <v>42.5</v>
      </c>
      <c r="L101" cm="1">
        <f t="array" ref="L101">STOWA2024_JAARROND_T(A101*60,K101,I101,J101,"")</f>
        <v>9.3205156393029689E-2</v>
      </c>
      <c r="M101">
        <f>1/L101</f>
        <v>10.729020139005792</v>
      </c>
    </row>
    <row r="102" spans="1:13" x14ac:dyDescent="0.3">
      <c r="A102">
        <v>192</v>
      </c>
      <c r="B102">
        <f t="shared" ref="B102:B124" si="32">M101-M102</f>
        <v>2.7857558092959049</v>
      </c>
      <c r="C102">
        <f t="shared" si="28"/>
        <v>2.7857558092959049</v>
      </c>
      <c r="D102" t="s">
        <v>29</v>
      </c>
      <c r="E102" t="s">
        <v>21</v>
      </c>
      <c r="F102">
        <v>1</v>
      </c>
      <c r="G102">
        <f t="shared" ref="G102:G125" si="33">G101+5</f>
        <v>45</v>
      </c>
      <c r="I102">
        <v>2050</v>
      </c>
      <c r="J102" t="s">
        <v>28</v>
      </c>
      <c r="K102">
        <f t="shared" ref="K102:K124" si="34">AVERAGE(G102:G103)</f>
        <v>47.5</v>
      </c>
      <c r="L102" cm="1">
        <f t="array" ref="L102">STOWA2024_JAARROND_T(A102*60,K102,I102,J102,"")</f>
        <v>0.12589282673871727</v>
      </c>
      <c r="M102">
        <f t="shared" ref="M102:M124" si="35">1/L102</f>
        <v>7.9432643297098871</v>
      </c>
    </row>
    <row r="103" spans="1:13" x14ac:dyDescent="0.3">
      <c r="A103">
        <v>192</v>
      </c>
      <c r="B103">
        <f t="shared" si="32"/>
        <v>2.0647132102070334</v>
      </c>
      <c r="C103">
        <f t="shared" si="28"/>
        <v>2.0647132102070334</v>
      </c>
      <c r="D103" t="s">
        <v>29</v>
      </c>
      <c r="E103" t="s">
        <v>21</v>
      </c>
      <c r="F103">
        <v>1</v>
      </c>
      <c r="G103">
        <f t="shared" si="33"/>
        <v>50</v>
      </c>
      <c r="I103">
        <v>2050</v>
      </c>
      <c r="J103" t="s">
        <v>28</v>
      </c>
      <c r="K103">
        <f t="shared" si="34"/>
        <v>52.5</v>
      </c>
      <c r="L103" cm="1">
        <f t="array" ref="L103">STOWA2024_JAARROND_T(A103*60,K103,I103,J103,"")</f>
        <v>0.17010994370404819</v>
      </c>
      <c r="M103">
        <f t="shared" si="35"/>
        <v>5.8785511195028537</v>
      </c>
    </row>
    <row r="104" spans="1:13" x14ac:dyDescent="0.3">
      <c r="A104">
        <v>192</v>
      </c>
      <c r="B104">
        <f t="shared" si="32"/>
        <v>1.5297581335376398</v>
      </c>
      <c r="C104">
        <f t="shared" si="28"/>
        <v>1.5297581335376398</v>
      </c>
      <c r="D104" t="s">
        <v>29</v>
      </c>
      <c r="E104" t="s">
        <v>21</v>
      </c>
      <c r="F104">
        <v>1</v>
      </c>
      <c r="G104">
        <f t="shared" si="33"/>
        <v>55</v>
      </c>
      <c r="I104">
        <v>2050</v>
      </c>
      <c r="J104" t="s">
        <v>28</v>
      </c>
      <c r="K104">
        <f t="shared" si="34"/>
        <v>57.5</v>
      </c>
      <c r="L104" cm="1">
        <f t="array" ref="L104">STOWA2024_JAARROND_T(A104*60,K104,I104,J104,"")</f>
        <v>0.22994886241476267</v>
      </c>
      <c r="M104">
        <f t="shared" si="35"/>
        <v>4.3487929859652139</v>
      </c>
    </row>
    <row r="105" spans="1:13" x14ac:dyDescent="0.3">
      <c r="A105">
        <v>192</v>
      </c>
      <c r="B105">
        <f t="shared" si="32"/>
        <v>1.1329162909970498</v>
      </c>
      <c r="C105">
        <f t="shared" si="28"/>
        <v>1.1329162909970498</v>
      </c>
      <c r="D105" t="s">
        <v>29</v>
      </c>
      <c r="E105" t="s">
        <v>21</v>
      </c>
      <c r="F105">
        <v>1</v>
      </c>
      <c r="G105">
        <f t="shared" si="33"/>
        <v>60</v>
      </c>
      <c r="I105">
        <v>2050</v>
      </c>
      <c r="J105" t="s">
        <v>28</v>
      </c>
      <c r="K105">
        <f t="shared" si="34"/>
        <v>62.5</v>
      </c>
      <c r="L105" cm="1">
        <f t="array" ref="L105">STOWA2024_JAARROND_T(A105*60,K105,I105,J105,"")</f>
        <v>0.31095719607803546</v>
      </c>
      <c r="M105">
        <f t="shared" si="35"/>
        <v>3.2158766949681641</v>
      </c>
    </row>
    <row r="106" spans="1:13" x14ac:dyDescent="0.3">
      <c r="A106">
        <v>192</v>
      </c>
      <c r="B106">
        <f t="shared" si="32"/>
        <v>0.83869413387716918</v>
      </c>
      <c r="C106">
        <f t="shared" si="28"/>
        <v>0.83869413387716918</v>
      </c>
      <c r="D106" t="s">
        <v>29</v>
      </c>
      <c r="E106" t="s">
        <v>21</v>
      </c>
      <c r="F106">
        <v>1</v>
      </c>
      <c r="G106">
        <f t="shared" si="33"/>
        <v>65</v>
      </c>
      <c r="I106">
        <v>2050</v>
      </c>
      <c r="J106" t="s">
        <v>28</v>
      </c>
      <c r="K106">
        <f t="shared" si="34"/>
        <v>67.5</v>
      </c>
      <c r="L106" cm="1">
        <f t="array" ref="L106">STOWA2024_JAARROND_T(A106*60,K106,I106,J106,"")</f>
        <v>0.4206660507979898</v>
      </c>
      <c r="M106">
        <f t="shared" si="35"/>
        <v>2.3771825610909949</v>
      </c>
    </row>
    <row r="107" spans="1:13" x14ac:dyDescent="0.3">
      <c r="A107">
        <v>192</v>
      </c>
      <c r="B107">
        <f t="shared" si="32"/>
        <v>0.62065865680309162</v>
      </c>
      <c r="C107">
        <f t="shared" si="28"/>
        <v>0.62065865680309162</v>
      </c>
      <c r="D107" t="s">
        <v>29</v>
      </c>
      <c r="E107" t="s">
        <v>21</v>
      </c>
      <c r="F107">
        <v>1</v>
      </c>
      <c r="G107">
        <f t="shared" si="33"/>
        <v>70</v>
      </c>
      <c r="I107">
        <v>2050</v>
      </c>
      <c r="J107" t="s">
        <v>28</v>
      </c>
      <c r="K107">
        <f t="shared" si="34"/>
        <v>72.5</v>
      </c>
      <c r="L107" cm="1">
        <f t="array" ref="L107">STOWA2024_JAARROND_T(A107*60,K107,I107,J107,"")</f>
        <v>0.56930622894392158</v>
      </c>
      <c r="M107">
        <f t="shared" si="35"/>
        <v>1.7565239042879033</v>
      </c>
    </row>
    <row r="108" spans="1:13" x14ac:dyDescent="0.3">
      <c r="A108">
        <v>192</v>
      </c>
      <c r="B108">
        <f t="shared" si="32"/>
        <v>0.45912466962530019</v>
      </c>
      <c r="C108">
        <f t="shared" si="28"/>
        <v>0.45912466962530019</v>
      </c>
      <c r="D108" t="s">
        <v>29</v>
      </c>
      <c r="E108" t="s">
        <v>21</v>
      </c>
      <c r="F108">
        <v>1</v>
      </c>
      <c r="G108">
        <f t="shared" si="33"/>
        <v>75</v>
      </c>
      <c r="I108">
        <v>2050</v>
      </c>
      <c r="J108" t="s">
        <v>28</v>
      </c>
      <c r="K108">
        <f t="shared" si="34"/>
        <v>77.5</v>
      </c>
      <c r="L108" cm="1">
        <f t="array" ref="L108">STOWA2024_JAARROND_T(A108*60,K108,I108,J108,"")</f>
        <v>0.77077276853801779</v>
      </c>
      <c r="M108">
        <f t="shared" si="35"/>
        <v>1.2973992346626031</v>
      </c>
    </row>
    <row r="109" spans="1:13" x14ac:dyDescent="0.3">
      <c r="A109">
        <v>192</v>
      </c>
      <c r="B109">
        <f t="shared" si="32"/>
        <v>0.33940098714559175</v>
      </c>
      <c r="C109">
        <f t="shared" si="28"/>
        <v>0.33940098714559175</v>
      </c>
      <c r="D109" t="s">
        <v>29</v>
      </c>
      <c r="E109" t="s">
        <v>21</v>
      </c>
      <c r="F109">
        <v>1</v>
      </c>
      <c r="G109">
        <f t="shared" si="33"/>
        <v>80</v>
      </c>
      <c r="I109">
        <v>2050</v>
      </c>
      <c r="J109" t="s">
        <v>28</v>
      </c>
      <c r="K109">
        <f t="shared" si="34"/>
        <v>82.5</v>
      </c>
      <c r="L109" cm="1">
        <f t="array" ref="L109">STOWA2024_JAARROND_T(A109*60,K109,I109,J109,"")</f>
        <v>1.0438432456341658</v>
      </c>
      <c r="M109">
        <f t="shared" si="35"/>
        <v>0.95799824751701135</v>
      </c>
    </row>
    <row r="110" spans="1:13" x14ac:dyDescent="0.3">
      <c r="A110">
        <v>192</v>
      </c>
      <c r="B110">
        <f t="shared" si="32"/>
        <v>0.25095743019418681</v>
      </c>
      <c r="C110">
        <f t="shared" si="28"/>
        <v>0.25095743019418681</v>
      </c>
      <c r="D110" t="s">
        <v>29</v>
      </c>
      <c r="E110" t="s">
        <v>21</v>
      </c>
      <c r="F110">
        <v>1</v>
      </c>
      <c r="G110">
        <f t="shared" si="33"/>
        <v>85</v>
      </c>
      <c r="I110">
        <v>2050</v>
      </c>
      <c r="J110" t="s">
        <v>28</v>
      </c>
      <c r="K110">
        <f t="shared" si="34"/>
        <v>87.5</v>
      </c>
      <c r="L110" cm="1">
        <f t="array" ref="L110">STOWA2024_JAARROND_T(A110*60,K110,I110,J110,"")</f>
        <v>1.4143455024088298</v>
      </c>
      <c r="M110">
        <f t="shared" si="35"/>
        <v>0.70704081732282453</v>
      </c>
    </row>
    <row r="111" spans="1:13" x14ac:dyDescent="0.3">
      <c r="A111">
        <v>192</v>
      </c>
      <c r="B111">
        <f t="shared" si="32"/>
        <v>0.18541900705751047</v>
      </c>
      <c r="C111">
        <f t="shared" si="28"/>
        <v>0.18541900705751047</v>
      </c>
      <c r="D111" t="s">
        <v>29</v>
      </c>
      <c r="E111" t="s">
        <v>21</v>
      </c>
      <c r="F111">
        <v>1</v>
      </c>
      <c r="G111">
        <f t="shared" si="33"/>
        <v>90</v>
      </c>
      <c r="I111">
        <v>2050</v>
      </c>
      <c r="J111" t="s">
        <v>28</v>
      </c>
      <c r="K111">
        <f t="shared" si="34"/>
        <v>92.5</v>
      </c>
      <c r="L111" cm="1">
        <f t="array" ref="L111">STOWA2024_JAARROND_T(A111*60,K111,I111,J111,"")</f>
        <v>1.9170977522802719</v>
      </c>
      <c r="M111">
        <f t="shared" si="35"/>
        <v>0.52162181026531407</v>
      </c>
    </row>
    <row r="112" spans="1:13" x14ac:dyDescent="0.3">
      <c r="A112">
        <v>192</v>
      </c>
      <c r="B112">
        <f t="shared" si="32"/>
        <v>0.13694966681621479</v>
      </c>
      <c r="C112">
        <f t="shared" si="28"/>
        <v>0.13694966681621479</v>
      </c>
      <c r="D112" t="s">
        <v>29</v>
      </c>
      <c r="E112" t="s">
        <v>21</v>
      </c>
      <c r="F112">
        <v>1</v>
      </c>
      <c r="G112">
        <f t="shared" si="33"/>
        <v>95</v>
      </c>
      <c r="I112">
        <v>2050</v>
      </c>
      <c r="J112" t="s">
        <v>28</v>
      </c>
      <c r="K112">
        <f t="shared" si="34"/>
        <v>97.5</v>
      </c>
      <c r="L112" cm="1">
        <f t="array" ref="L112">STOWA2024_JAARROND_T(A112*60,K112,I112,J112,"")</f>
        <v>2.5996163668979642</v>
      </c>
      <c r="M112">
        <f t="shared" si="35"/>
        <v>0.38467214344909928</v>
      </c>
    </row>
    <row r="113" spans="1:13" x14ac:dyDescent="0.3">
      <c r="A113">
        <v>192</v>
      </c>
      <c r="B113">
        <f t="shared" si="32"/>
        <v>0.1011077384332878</v>
      </c>
      <c r="C113">
        <f t="shared" si="28"/>
        <v>0.1011077384332878</v>
      </c>
      <c r="D113" t="s">
        <v>29</v>
      </c>
      <c r="E113" t="s">
        <v>21</v>
      </c>
      <c r="F113">
        <v>1</v>
      </c>
      <c r="G113">
        <f t="shared" si="33"/>
        <v>100</v>
      </c>
      <c r="I113">
        <v>2050</v>
      </c>
      <c r="J113" t="s">
        <v>28</v>
      </c>
      <c r="K113">
        <f t="shared" si="34"/>
        <v>102.5</v>
      </c>
      <c r="L113" cm="1">
        <f t="array" ref="L113">STOWA2024_JAARROND_T(A113*60,K113,I113,J113,"")</f>
        <v>3.5265357086840301</v>
      </c>
      <c r="M113">
        <f t="shared" si="35"/>
        <v>0.28356440501581148</v>
      </c>
    </row>
    <row r="114" spans="1:13" x14ac:dyDescent="0.3">
      <c r="A114">
        <v>192</v>
      </c>
      <c r="B114">
        <f t="shared" si="32"/>
        <v>7.4614390802517833E-2</v>
      </c>
      <c r="C114">
        <f t="shared" si="28"/>
        <v>7.4614390802517833E-2</v>
      </c>
      <c r="D114" t="s">
        <v>29</v>
      </c>
      <c r="E114" t="s">
        <v>21</v>
      </c>
      <c r="F114">
        <v>1</v>
      </c>
      <c r="G114">
        <f t="shared" si="33"/>
        <v>105</v>
      </c>
      <c r="I114">
        <v>2050</v>
      </c>
      <c r="J114" t="s">
        <v>28</v>
      </c>
      <c r="K114">
        <f t="shared" si="34"/>
        <v>107.5</v>
      </c>
      <c r="L114" cm="1">
        <f t="array" ref="L114">STOWA2024_JAARROND_T(A114*60,K114,I114,J114,"")</f>
        <v>4.785833606018385</v>
      </c>
      <c r="M114">
        <f t="shared" si="35"/>
        <v>0.20895001421329365</v>
      </c>
    </row>
    <row r="115" spans="1:13" x14ac:dyDescent="0.3">
      <c r="A115">
        <v>192</v>
      </c>
      <c r="B115">
        <f t="shared" si="32"/>
        <v>5.5042792509699651E-2</v>
      </c>
      <c r="C115">
        <f t="shared" si="28"/>
        <v>5.5042792509699651E-2</v>
      </c>
      <c r="D115" t="s">
        <v>29</v>
      </c>
      <c r="E115" t="s">
        <v>21</v>
      </c>
      <c r="F115">
        <v>1</v>
      </c>
      <c r="G115">
        <f t="shared" si="33"/>
        <v>110</v>
      </c>
      <c r="I115">
        <v>2050</v>
      </c>
      <c r="J115" t="s">
        <v>28</v>
      </c>
      <c r="K115">
        <f t="shared" si="34"/>
        <v>112.5</v>
      </c>
      <c r="L115" cm="1">
        <f t="array" ref="L115">STOWA2024_JAARROND_T(A115*60,K115,I115,J115,"")</f>
        <v>6.4974209067711879</v>
      </c>
      <c r="M115">
        <f t="shared" si="35"/>
        <v>0.153907221703594</v>
      </c>
    </row>
    <row r="116" spans="1:13" x14ac:dyDescent="0.3">
      <c r="A116">
        <v>192</v>
      </c>
      <c r="B116">
        <f t="shared" si="32"/>
        <v>4.0588622443694544E-2</v>
      </c>
      <c r="C116">
        <f t="shared" si="28"/>
        <v>4.0588622443694544E-2</v>
      </c>
      <c r="D116" t="s">
        <v>29</v>
      </c>
      <c r="E116" t="s">
        <v>21</v>
      </c>
      <c r="F116">
        <v>1</v>
      </c>
      <c r="G116">
        <f t="shared" si="33"/>
        <v>115</v>
      </c>
      <c r="I116">
        <v>2050</v>
      </c>
      <c r="J116" t="s">
        <v>28</v>
      </c>
      <c r="K116">
        <f t="shared" si="34"/>
        <v>117.5</v>
      </c>
      <c r="L116" cm="1">
        <f t="array" ref="L116">STOWA2024_JAARROND_T(A116*60,K116,I116,J116,"")</f>
        <v>8.8246766773605394</v>
      </c>
      <c r="M116">
        <f t="shared" si="35"/>
        <v>0.11331859925989946</v>
      </c>
    </row>
    <row r="117" spans="1:13" x14ac:dyDescent="0.3">
      <c r="A117">
        <v>192</v>
      </c>
      <c r="B117">
        <f t="shared" si="32"/>
        <v>2.9918101593326335E-2</v>
      </c>
      <c r="C117">
        <f t="shared" si="28"/>
        <v>2.9918101593326335E-2</v>
      </c>
      <c r="D117" t="s">
        <v>29</v>
      </c>
      <c r="E117" t="s">
        <v>21</v>
      </c>
      <c r="F117">
        <v>1</v>
      </c>
      <c r="G117">
        <f t="shared" si="33"/>
        <v>120</v>
      </c>
      <c r="I117">
        <v>2050</v>
      </c>
      <c r="J117" t="s">
        <v>28</v>
      </c>
      <c r="K117">
        <f t="shared" si="34"/>
        <v>122.5</v>
      </c>
      <c r="L117" cm="1">
        <f t="array" ref="L117">STOWA2024_JAARROND_T(A117*60,K117,I117,J117,"")</f>
        <v>11.990336124826262</v>
      </c>
      <c r="M117">
        <f t="shared" si="35"/>
        <v>8.340049766657312E-2</v>
      </c>
    </row>
    <row r="118" spans="1:13" x14ac:dyDescent="0.3">
      <c r="A118">
        <v>192</v>
      </c>
      <c r="B118">
        <f t="shared" si="32"/>
        <v>2.2043947329442634E-2</v>
      </c>
      <c r="C118">
        <f t="shared" si="28"/>
        <v>2.2043947329442634E-2</v>
      </c>
      <c r="D118" t="s">
        <v>29</v>
      </c>
      <c r="E118" t="s">
        <v>21</v>
      </c>
      <c r="F118">
        <v>1</v>
      </c>
      <c r="G118">
        <f t="shared" si="33"/>
        <v>125</v>
      </c>
      <c r="I118">
        <v>2050</v>
      </c>
      <c r="J118" t="s">
        <v>28</v>
      </c>
      <c r="K118">
        <f t="shared" si="34"/>
        <v>127.5</v>
      </c>
      <c r="L118" cm="1">
        <f t="array" ref="L118">STOWA2024_JAARROND_T(A118*60,K118,I118,J118,"")</f>
        <v>16.298178344535135</v>
      </c>
      <c r="M118">
        <f t="shared" si="35"/>
        <v>6.1356550337130486E-2</v>
      </c>
    </row>
    <row r="119" spans="1:13" x14ac:dyDescent="0.3">
      <c r="A119">
        <v>192</v>
      </c>
      <c r="B119">
        <f t="shared" si="32"/>
        <v>1.6235660949297084E-2</v>
      </c>
      <c r="C119">
        <f t="shared" si="28"/>
        <v>1.6235660949297084E-2</v>
      </c>
      <c r="D119" t="s">
        <v>29</v>
      </c>
      <c r="E119" t="s">
        <v>21</v>
      </c>
      <c r="F119">
        <v>1</v>
      </c>
      <c r="G119">
        <f t="shared" si="33"/>
        <v>130</v>
      </c>
      <c r="I119">
        <v>2050</v>
      </c>
      <c r="J119" t="s">
        <v>28</v>
      </c>
      <c r="K119">
        <f t="shared" si="34"/>
        <v>132.5</v>
      </c>
      <c r="L119" cm="1">
        <f t="array" ref="L119">STOWA2024_JAARROND_T(A119*60,K119,I119,J119,"")</f>
        <v>22.162683705202948</v>
      </c>
      <c r="M119">
        <f t="shared" si="35"/>
        <v>4.5120889387833402E-2</v>
      </c>
    </row>
    <row r="120" spans="1:13" x14ac:dyDescent="0.3">
      <c r="A120">
        <v>192</v>
      </c>
      <c r="B120">
        <f t="shared" si="32"/>
        <v>1.1952960279233309E-2</v>
      </c>
      <c r="C120">
        <f t="shared" si="28"/>
        <v>1.1952960279233309E-2</v>
      </c>
      <c r="D120" t="s">
        <v>29</v>
      </c>
      <c r="E120" t="s">
        <v>21</v>
      </c>
      <c r="F120">
        <v>1</v>
      </c>
      <c r="G120">
        <f t="shared" si="33"/>
        <v>135</v>
      </c>
      <c r="I120">
        <v>2050</v>
      </c>
      <c r="J120" t="s">
        <v>28</v>
      </c>
      <c r="K120">
        <f t="shared" si="34"/>
        <v>137.5</v>
      </c>
      <c r="L120" cm="1">
        <f t="array" ref="L120">STOWA2024_JAARROND_T(A120*60,K120,I120,J120,"")</f>
        <v>30.149606167022064</v>
      </c>
      <c r="M120">
        <f t="shared" si="35"/>
        <v>3.3167929108600093E-2</v>
      </c>
    </row>
    <row r="121" spans="1:13" x14ac:dyDescent="0.3">
      <c r="A121">
        <v>192</v>
      </c>
      <c r="B121">
        <f t="shared" si="32"/>
        <v>8.796409959725162E-3</v>
      </c>
      <c r="C121">
        <f t="shared" si="28"/>
        <v>8.796409959725162E-3</v>
      </c>
      <c r="D121" t="s">
        <v>29</v>
      </c>
      <c r="E121" t="s">
        <v>21</v>
      </c>
      <c r="F121">
        <v>1</v>
      </c>
      <c r="G121">
        <f t="shared" si="33"/>
        <v>140</v>
      </c>
      <c r="I121">
        <v>2050</v>
      </c>
      <c r="J121" t="s">
        <v>28</v>
      </c>
      <c r="K121">
        <f t="shared" si="34"/>
        <v>142.5</v>
      </c>
      <c r="L121" cm="1">
        <f t="array" ref="L121">STOWA2024_JAARROND_T(A121*60,K121,I121,J121,"")</f>
        <v>41.031500494139827</v>
      </c>
      <c r="M121">
        <f t="shared" si="35"/>
        <v>2.4371519148874931E-2</v>
      </c>
    </row>
    <row r="122" spans="1:13" x14ac:dyDescent="0.3">
      <c r="A122">
        <v>192</v>
      </c>
      <c r="B122">
        <f t="shared" si="32"/>
        <v>6.470822663977957E-3</v>
      </c>
      <c r="C122">
        <f t="shared" si="28"/>
        <v>6.470822663977957E-3</v>
      </c>
      <c r="D122" t="s">
        <v>29</v>
      </c>
      <c r="E122" t="s">
        <v>21</v>
      </c>
      <c r="F122">
        <v>1</v>
      </c>
      <c r="G122">
        <f t="shared" si="33"/>
        <v>145</v>
      </c>
      <c r="I122">
        <v>2050</v>
      </c>
      <c r="J122" t="s">
        <v>28</v>
      </c>
      <c r="K122">
        <f t="shared" si="34"/>
        <v>147.5</v>
      </c>
      <c r="L122" cm="1">
        <f t="array" ref="L122">STOWA2024_JAARROND_T(A122*60,K122,I122,J122,"")</f>
        <v>55.863748142074343</v>
      </c>
      <c r="M122">
        <f t="shared" si="35"/>
        <v>1.7900696484896974E-2</v>
      </c>
    </row>
    <row r="123" spans="1:13" x14ac:dyDescent="0.3">
      <c r="A123">
        <v>192</v>
      </c>
      <c r="B123">
        <f t="shared" si="32"/>
        <v>4.7581391761827747E-3</v>
      </c>
      <c r="C123">
        <f t="shared" si="28"/>
        <v>4.7581391761827747E-3</v>
      </c>
      <c r="D123" t="s">
        <v>29</v>
      </c>
      <c r="E123" t="s">
        <v>21</v>
      </c>
      <c r="F123">
        <v>1</v>
      </c>
      <c r="G123">
        <f t="shared" si="33"/>
        <v>150</v>
      </c>
      <c r="I123">
        <v>2050</v>
      </c>
      <c r="J123" t="s">
        <v>28</v>
      </c>
      <c r="K123">
        <f t="shared" si="34"/>
        <v>152.5</v>
      </c>
      <c r="L123" cm="1">
        <f t="array" ref="L123">STOWA2024_JAARROND_T(A123*60,K123,I123,J123,"")</f>
        <v>76.08869236864183</v>
      </c>
      <c r="M123">
        <f t="shared" si="35"/>
        <v>1.3142557308714199E-2</v>
      </c>
    </row>
    <row r="124" spans="1:13" x14ac:dyDescent="0.3">
      <c r="A124">
        <v>192</v>
      </c>
      <c r="B124">
        <f t="shared" si="32"/>
        <v>3.4973406654768158E-3</v>
      </c>
      <c r="C124">
        <f t="shared" si="28"/>
        <v>3.4973406654768158E-3</v>
      </c>
      <c r="D124" t="s">
        <v>29</v>
      </c>
      <c r="E124" t="s">
        <v>21</v>
      </c>
      <c r="F124">
        <v>1</v>
      </c>
      <c r="G124">
        <f t="shared" si="33"/>
        <v>155</v>
      </c>
      <c r="I124">
        <v>2050</v>
      </c>
      <c r="J124" t="s">
        <v>28</v>
      </c>
      <c r="K124">
        <f t="shared" si="34"/>
        <v>157.5</v>
      </c>
      <c r="L124" cm="1">
        <f t="array" ref="L124">STOWA2024_JAARROND_T(A124*60,K124,I124,J124,"")</f>
        <v>103.67833476308039</v>
      </c>
      <c r="M124">
        <f t="shared" si="35"/>
        <v>9.6452166432373834E-3</v>
      </c>
    </row>
    <row r="125" spans="1:13" x14ac:dyDescent="0.3">
      <c r="A125">
        <v>192</v>
      </c>
      <c r="B125" s="1">
        <f>M124</f>
        <v>9.6452166432373834E-3</v>
      </c>
      <c r="C125">
        <f t="shared" si="28"/>
        <v>9.6452166432373834E-3</v>
      </c>
      <c r="D125" t="s">
        <v>29</v>
      </c>
      <c r="E125" t="s">
        <v>21</v>
      </c>
      <c r="F125">
        <v>1</v>
      </c>
      <c r="G125">
        <f t="shared" si="33"/>
        <v>160</v>
      </c>
      <c r="I125">
        <v>2050</v>
      </c>
      <c r="J125" t="s">
        <v>28</v>
      </c>
      <c r="K125">
        <f>AVERAGE(G125:G126)</f>
        <v>85</v>
      </c>
      <c r="L125" cm="1">
        <f t="array" ref="L125">STOWA2024_JAARROND_T(A125*60,K125,I125,J125,"")</f>
        <v>1.2149933607749392</v>
      </c>
      <c r="M125">
        <f>1/L125</f>
        <v>0.82304976494866311</v>
      </c>
    </row>
    <row r="126" spans="1:13" x14ac:dyDescent="0.3">
      <c r="A126">
        <v>216</v>
      </c>
      <c r="B126" s="1">
        <f>365.25*24/A126 - M126</f>
        <v>-16.680326256007518</v>
      </c>
      <c r="C126">
        <f>B126</f>
        <v>-16.680326256007518</v>
      </c>
      <c r="D126" t="s">
        <v>29</v>
      </c>
      <c r="E126" t="s">
        <v>21</v>
      </c>
      <c r="F126">
        <v>1</v>
      </c>
      <c r="G126">
        <v>10</v>
      </c>
      <c r="I126">
        <v>2050</v>
      </c>
      <c r="J126" t="s">
        <v>28</v>
      </c>
      <c r="K126">
        <f>AVERAGE(G126:G128)</f>
        <v>15</v>
      </c>
      <c r="L126" cm="1">
        <f t="array" ref="L126">STOWA2024_JAARROND_T(A126*60,K126,I126,J126,"")</f>
        <v>1.7463082296370412E-2</v>
      </c>
      <c r="M126">
        <f>1/L126</f>
        <v>57.263659589340854</v>
      </c>
    </row>
    <row r="127" spans="1:13" x14ac:dyDescent="0.3">
      <c r="A127">
        <v>216</v>
      </c>
      <c r="B127">
        <f t="shared" ref="B127:B131" si="36">M126-M127</f>
        <v>7.36603910925637</v>
      </c>
      <c r="C127">
        <f t="shared" ref="C127:C156" si="37">B127</f>
        <v>7.36603910925637</v>
      </c>
      <c r="D127" t="s">
        <v>29</v>
      </c>
      <c r="E127" t="s">
        <v>21</v>
      </c>
      <c r="F127">
        <v>1</v>
      </c>
      <c r="G127">
        <f t="shared" ref="G127:G131" si="38">G126+5</f>
        <v>15</v>
      </c>
      <c r="I127">
        <v>2050</v>
      </c>
      <c r="J127" t="s">
        <v>28</v>
      </c>
      <c r="K127">
        <f t="shared" ref="K127:K131" si="39">AVERAGE(G127:G128)</f>
        <v>17.5</v>
      </c>
      <c r="L127" cm="1">
        <f t="array" ref="L127">STOWA2024_JAARROND_T(A127*60,K127,I127,J127,"")</f>
        <v>2.0041035832542908E-2</v>
      </c>
      <c r="M127">
        <f t="shared" ref="M127:M131" si="40">1/L127</f>
        <v>49.897620480084484</v>
      </c>
    </row>
    <row r="128" spans="1:13" x14ac:dyDescent="0.3">
      <c r="A128">
        <v>216</v>
      </c>
      <c r="B128">
        <f t="shared" si="36"/>
        <v>12.044984584548743</v>
      </c>
      <c r="C128">
        <f t="shared" si="37"/>
        <v>12.044984584548743</v>
      </c>
      <c r="D128" t="s">
        <v>29</v>
      </c>
      <c r="E128" t="s">
        <v>21</v>
      </c>
      <c r="F128">
        <v>1</v>
      </c>
      <c r="G128">
        <f t="shared" si="38"/>
        <v>20</v>
      </c>
      <c r="I128">
        <v>2050</v>
      </c>
      <c r="J128" t="s">
        <v>28</v>
      </c>
      <c r="K128">
        <f t="shared" si="39"/>
        <v>22.5</v>
      </c>
      <c r="L128" cm="1">
        <f t="array" ref="L128">STOWA2024_JAARROND_T(A128*60,K128,I128,J128,"")</f>
        <v>2.641823947900912E-2</v>
      </c>
      <c r="M128">
        <f t="shared" si="40"/>
        <v>37.852635895535741</v>
      </c>
    </row>
    <row r="129" spans="1:13" x14ac:dyDescent="0.3">
      <c r="A129">
        <v>216</v>
      </c>
      <c r="B129">
        <f t="shared" si="36"/>
        <v>9.1708918746236918</v>
      </c>
      <c r="C129">
        <f t="shared" si="37"/>
        <v>9.1708918746236918</v>
      </c>
      <c r="D129" t="s">
        <v>29</v>
      </c>
      <c r="E129" t="s">
        <v>21</v>
      </c>
      <c r="F129">
        <v>1</v>
      </c>
      <c r="G129">
        <f t="shared" si="38"/>
        <v>25</v>
      </c>
      <c r="I129">
        <v>2050</v>
      </c>
      <c r="J129" t="s">
        <v>28</v>
      </c>
      <c r="K129">
        <f t="shared" si="39"/>
        <v>27.5</v>
      </c>
      <c r="L129" cm="1">
        <f t="array" ref="L129">STOWA2024_JAARROND_T(A129*60,K129,I129,J129,"")</f>
        <v>3.4865383334810235E-2</v>
      </c>
      <c r="M129">
        <f t="shared" si="40"/>
        <v>28.681744020912049</v>
      </c>
    </row>
    <row r="130" spans="1:13" x14ac:dyDescent="0.3">
      <c r="A130">
        <v>216</v>
      </c>
      <c r="B130">
        <f t="shared" si="36"/>
        <v>6.974425197136803</v>
      </c>
      <c r="C130">
        <f t="shared" si="37"/>
        <v>6.974425197136803</v>
      </c>
      <c r="D130" t="s">
        <v>29</v>
      </c>
      <c r="E130" t="s">
        <v>21</v>
      </c>
      <c r="F130">
        <v>1</v>
      </c>
      <c r="G130">
        <f t="shared" si="38"/>
        <v>30</v>
      </c>
      <c r="I130">
        <v>2050</v>
      </c>
      <c r="J130" t="s">
        <v>28</v>
      </c>
      <c r="K130">
        <f t="shared" si="39"/>
        <v>32.5</v>
      </c>
      <c r="L130" cm="1">
        <f t="array" ref="L130">STOWA2024_JAARROND_T(A130*60,K130,I130,J130,"")</f>
        <v>4.6067412015192585E-2</v>
      </c>
      <c r="M130">
        <f t="shared" si="40"/>
        <v>21.707318823775246</v>
      </c>
    </row>
    <row r="131" spans="1:13" x14ac:dyDescent="0.3">
      <c r="A131">
        <v>216</v>
      </c>
      <c r="B131">
        <f t="shared" si="36"/>
        <v>5.2978728057960289</v>
      </c>
      <c r="C131">
        <f t="shared" si="37"/>
        <v>5.2978728057960289</v>
      </c>
      <c r="D131" t="s">
        <v>29</v>
      </c>
      <c r="E131" t="s">
        <v>21</v>
      </c>
      <c r="F131">
        <v>1</v>
      </c>
      <c r="G131">
        <f t="shared" si="38"/>
        <v>35</v>
      </c>
      <c r="I131">
        <v>2050</v>
      </c>
      <c r="J131" t="s">
        <v>28</v>
      </c>
      <c r="K131">
        <f t="shared" si="39"/>
        <v>37.5</v>
      </c>
      <c r="L131" cm="1">
        <f t="array" ref="L131">STOWA2024_JAARROND_T(A131*60,K131,I131,J131,"")</f>
        <v>6.0940509442204048E-2</v>
      </c>
      <c r="M131">
        <f t="shared" si="40"/>
        <v>16.409446017979217</v>
      </c>
    </row>
    <row r="132" spans="1:13" x14ac:dyDescent="0.3">
      <c r="A132">
        <v>216</v>
      </c>
      <c r="B132">
        <f>M131-M132</f>
        <v>4.0196498261501858</v>
      </c>
      <c r="C132">
        <f t="shared" si="37"/>
        <v>4.0196498261501858</v>
      </c>
      <c r="D132" t="s">
        <v>29</v>
      </c>
      <c r="E132" t="s">
        <v>21</v>
      </c>
      <c r="F132">
        <v>1</v>
      </c>
      <c r="G132">
        <f>G131+5</f>
        <v>40</v>
      </c>
      <c r="I132">
        <v>2050</v>
      </c>
      <c r="J132" t="s">
        <v>28</v>
      </c>
      <c r="K132">
        <f>AVERAGE(G132:G133)</f>
        <v>42.5</v>
      </c>
      <c r="L132" cm="1">
        <f t="array" ref="L132">STOWA2024_JAARROND_T(A132*60,K132,I132,J132,"")</f>
        <v>8.0711577859488265E-2</v>
      </c>
      <c r="M132">
        <f>1/L132</f>
        <v>12.389796191829031</v>
      </c>
    </row>
    <row r="133" spans="1:13" x14ac:dyDescent="0.3">
      <c r="A133">
        <v>216</v>
      </c>
      <c r="B133">
        <f t="shared" ref="B133:B155" si="41">M132-M133</f>
        <v>3.0463650962642426</v>
      </c>
      <c r="C133">
        <f t="shared" si="37"/>
        <v>3.0463650962642426</v>
      </c>
      <c r="D133" t="s">
        <v>29</v>
      </c>
      <c r="E133" t="s">
        <v>21</v>
      </c>
      <c r="F133">
        <v>1</v>
      </c>
      <c r="G133">
        <f t="shared" ref="G133:G156" si="42">G132+5</f>
        <v>45</v>
      </c>
      <c r="I133">
        <v>2050</v>
      </c>
      <c r="J133" t="s">
        <v>28</v>
      </c>
      <c r="K133">
        <f t="shared" ref="K133:K155" si="43">AVERAGE(G133:G134)</f>
        <v>47.5</v>
      </c>
      <c r="L133" cm="1">
        <f t="array" ref="L133">STOWA2024_JAARROND_T(A133*60,K133,I133,J133,"")</f>
        <v>0.10702706423068584</v>
      </c>
      <c r="M133">
        <f t="shared" ref="M133:M155" si="44">1/L133</f>
        <v>9.3434310955647888</v>
      </c>
    </row>
    <row r="134" spans="1:13" x14ac:dyDescent="0.3">
      <c r="A134">
        <v>216</v>
      </c>
      <c r="B134">
        <f t="shared" si="41"/>
        <v>2.3057634920889525</v>
      </c>
      <c r="C134">
        <f t="shared" si="37"/>
        <v>2.3057634920889525</v>
      </c>
      <c r="D134" t="s">
        <v>29</v>
      </c>
      <c r="E134" t="s">
        <v>21</v>
      </c>
      <c r="F134">
        <v>1</v>
      </c>
      <c r="G134">
        <f t="shared" si="42"/>
        <v>50</v>
      </c>
      <c r="I134">
        <v>2050</v>
      </c>
      <c r="J134" t="s">
        <v>28</v>
      </c>
      <c r="K134">
        <f t="shared" si="43"/>
        <v>52.5</v>
      </c>
      <c r="L134" cm="1">
        <f t="array" ref="L134">STOWA2024_JAARROND_T(A134*60,K134,I134,J134,"")</f>
        <v>0.14209253069953312</v>
      </c>
      <c r="M134">
        <f t="shared" si="44"/>
        <v>7.0376676034758363</v>
      </c>
    </row>
    <row r="135" spans="1:13" x14ac:dyDescent="0.3">
      <c r="A135">
        <v>216</v>
      </c>
      <c r="B135">
        <f t="shared" si="41"/>
        <v>1.7432322228065056</v>
      </c>
      <c r="C135">
        <f t="shared" si="37"/>
        <v>1.7432322228065056</v>
      </c>
      <c r="D135" t="s">
        <v>29</v>
      </c>
      <c r="E135" t="s">
        <v>21</v>
      </c>
      <c r="F135">
        <v>1</v>
      </c>
      <c r="G135">
        <f t="shared" si="42"/>
        <v>55</v>
      </c>
      <c r="I135">
        <v>2050</v>
      </c>
      <c r="J135" t="s">
        <v>28</v>
      </c>
      <c r="K135">
        <f t="shared" si="43"/>
        <v>57.5</v>
      </c>
      <c r="L135" cm="1">
        <f t="array" ref="L135">STOWA2024_JAARROND_T(A135*60,K135,I135,J135,"")</f>
        <v>0.18887755314780674</v>
      </c>
      <c r="M135">
        <f t="shared" si="44"/>
        <v>5.2944353806693307</v>
      </c>
    </row>
    <row r="136" spans="1:13" x14ac:dyDescent="0.3">
      <c r="A136">
        <v>216</v>
      </c>
      <c r="B136">
        <f t="shared" si="41"/>
        <v>1.3163875878778195</v>
      </c>
      <c r="C136">
        <f t="shared" si="37"/>
        <v>1.3163875878778195</v>
      </c>
      <c r="D136" t="s">
        <v>29</v>
      </c>
      <c r="E136" t="s">
        <v>21</v>
      </c>
      <c r="F136">
        <v>1</v>
      </c>
      <c r="G136">
        <f t="shared" si="42"/>
        <v>60</v>
      </c>
      <c r="I136">
        <v>2050</v>
      </c>
      <c r="J136" t="s">
        <v>28</v>
      </c>
      <c r="K136">
        <f t="shared" si="43"/>
        <v>62.5</v>
      </c>
      <c r="L136" cm="1">
        <f t="array" ref="L136">STOWA2024_JAARROND_T(A136*60,K136,I136,J136,"")</f>
        <v>0.25137958417997563</v>
      </c>
      <c r="M136">
        <f t="shared" si="44"/>
        <v>3.9780477927915112</v>
      </c>
    </row>
    <row r="137" spans="1:13" x14ac:dyDescent="0.3">
      <c r="A137">
        <v>216</v>
      </c>
      <c r="B137">
        <f t="shared" si="41"/>
        <v>0.99279796303753098</v>
      </c>
      <c r="C137">
        <f t="shared" si="37"/>
        <v>0.99279796303753098</v>
      </c>
      <c r="D137" t="s">
        <v>29</v>
      </c>
      <c r="E137" t="s">
        <v>21</v>
      </c>
      <c r="F137">
        <v>1</v>
      </c>
      <c r="G137">
        <f t="shared" si="42"/>
        <v>65</v>
      </c>
      <c r="I137">
        <v>2050</v>
      </c>
      <c r="J137" t="s">
        <v>28</v>
      </c>
      <c r="K137">
        <f t="shared" si="43"/>
        <v>67.5</v>
      </c>
      <c r="L137" cm="1">
        <f t="array" ref="L137">STOWA2024_JAARROND_T(A137*60,K137,I137,J137,"")</f>
        <v>0.33498033900982144</v>
      </c>
      <c r="M137">
        <f t="shared" si="44"/>
        <v>2.9852498297539802</v>
      </c>
    </row>
    <row r="138" spans="1:13" x14ac:dyDescent="0.3">
      <c r="A138">
        <v>216</v>
      </c>
      <c r="B138">
        <f t="shared" si="41"/>
        <v>0.74782948151719308</v>
      </c>
      <c r="C138">
        <f t="shared" si="37"/>
        <v>0.74782948151719308</v>
      </c>
      <c r="D138" t="s">
        <v>29</v>
      </c>
      <c r="E138" t="s">
        <v>21</v>
      </c>
      <c r="F138">
        <v>1</v>
      </c>
      <c r="G138">
        <f t="shared" si="42"/>
        <v>70</v>
      </c>
      <c r="I138">
        <v>2050</v>
      </c>
      <c r="J138" t="s">
        <v>28</v>
      </c>
      <c r="K138">
        <f t="shared" si="43"/>
        <v>72.5</v>
      </c>
      <c r="L138" cm="1">
        <f t="array" ref="L138">STOWA2024_JAARROND_T(A138*60,K138,I138,J138,"")</f>
        <v>0.4469432848360641</v>
      </c>
      <c r="M138">
        <f t="shared" si="44"/>
        <v>2.2374203482367871</v>
      </c>
    </row>
    <row r="139" spans="1:13" x14ac:dyDescent="0.3">
      <c r="A139">
        <v>216</v>
      </c>
      <c r="B139">
        <f t="shared" si="41"/>
        <v>0.562621595044134</v>
      </c>
      <c r="C139">
        <f t="shared" si="37"/>
        <v>0.562621595044134</v>
      </c>
      <c r="D139" t="s">
        <v>29</v>
      </c>
      <c r="E139" t="s">
        <v>21</v>
      </c>
      <c r="F139">
        <v>1</v>
      </c>
      <c r="G139">
        <f t="shared" si="42"/>
        <v>75</v>
      </c>
      <c r="I139">
        <v>2050</v>
      </c>
      <c r="J139" t="s">
        <v>28</v>
      </c>
      <c r="K139">
        <f t="shared" si="43"/>
        <v>77.5</v>
      </c>
      <c r="L139" cm="1">
        <f t="array" ref="L139">STOWA2024_JAARROND_T(A139*60,K139,I139,J139,"")</f>
        <v>0.59708666375211317</v>
      </c>
      <c r="M139">
        <f t="shared" si="44"/>
        <v>1.6747987531926531</v>
      </c>
    </row>
    <row r="140" spans="1:13" x14ac:dyDescent="0.3">
      <c r="A140">
        <v>216</v>
      </c>
      <c r="B140">
        <f t="shared" si="41"/>
        <v>0.42274805029059381</v>
      </c>
      <c r="C140">
        <f t="shared" si="37"/>
        <v>0.42274805029059381</v>
      </c>
      <c r="D140" t="s">
        <v>29</v>
      </c>
      <c r="E140" t="s">
        <v>21</v>
      </c>
      <c r="F140">
        <v>1</v>
      </c>
      <c r="G140">
        <f t="shared" si="42"/>
        <v>80</v>
      </c>
      <c r="I140">
        <v>2050</v>
      </c>
      <c r="J140" t="s">
        <v>28</v>
      </c>
      <c r="K140">
        <f t="shared" si="43"/>
        <v>82.5</v>
      </c>
      <c r="L140" cm="1">
        <f t="array" ref="L140">STOWA2024_JAARROND_T(A140*60,K140,I140,J140,"")</f>
        <v>0.79868969977186632</v>
      </c>
      <c r="M140">
        <f t="shared" si="44"/>
        <v>1.2520507029020593</v>
      </c>
    </row>
    <row r="141" spans="1:13" x14ac:dyDescent="0.3">
      <c r="A141">
        <v>216</v>
      </c>
      <c r="B141">
        <f t="shared" si="41"/>
        <v>0.31716611585176102</v>
      </c>
      <c r="C141">
        <f t="shared" si="37"/>
        <v>0.31716611585176102</v>
      </c>
      <c r="D141" t="s">
        <v>29</v>
      </c>
      <c r="E141" t="s">
        <v>21</v>
      </c>
      <c r="F141">
        <v>1</v>
      </c>
      <c r="G141">
        <f t="shared" si="42"/>
        <v>85</v>
      </c>
      <c r="I141">
        <v>2050</v>
      </c>
      <c r="J141" t="s">
        <v>28</v>
      </c>
      <c r="K141">
        <f t="shared" si="43"/>
        <v>87.5</v>
      </c>
      <c r="L141" cm="1">
        <f t="array" ref="L141">STOWA2024_JAARROND_T(A141*60,K141,I141,J141,"")</f>
        <v>1.0696507503189785</v>
      </c>
      <c r="M141">
        <f t="shared" si="44"/>
        <v>0.93488458705029831</v>
      </c>
    </row>
    <row r="142" spans="1:13" x14ac:dyDescent="0.3">
      <c r="A142">
        <v>216</v>
      </c>
      <c r="B142">
        <f t="shared" si="41"/>
        <v>0.23778601882661166</v>
      </c>
      <c r="C142">
        <f t="shared" si="37"/>
        <v>0.23778601882661166</v>
      </c>
      <c r="D142" t="s">
        <v>29</v>
      </c>
      <c r="E142" t="s">
        <v>21</v>
      </c>
      <c r="F142">
        <v>1</v>
      </c>
      <c r="G142">
        <f t="shared" si="42"/>
        <v>90</v>
      </c>
      <c r="I142">
        <v>2050</v>
      </c>
      <c r="J142" t="s">
        <v>28</v>
      </c>
      <c r="K142">
        <f t="shared" si="43"/>
        <v>92.5</v>
      </c>
      <c r="L142" cm="1">
        <f t="array" ref="L142">STOWA2024_JAARROND_T(A142*60,K142,I142,J142,"")</f>
        <v>1.4345173632305004</v>
      </c>
      <c r="M142">
        <f t="shared" si="44"/>
        <v>0.69709856822368665</v>
      </c>
    </row>
    <row r="143" spans="1:13" x14ac:dyDescent="0.3">
      <c r="A143">
        <v>216</v>
      </c>
      <c r="B143">
        <f t="shared" si="41"/>
        <v>0.17799063951280925</v>
      </c>
      <c r="C143">
        <f t="shared" si="37"/>
        <v>0.17799063951280925</v>
      </c>
      <c r="D143" t="s">
        <v>29</v>
      </c>
      <c r="E143" t="s">
        <v>21</v>
      </c>
      <c r="F143">
        <v>1</v>
      </c>
      <c r="G143">
        <f t="shared" si="42"/>
        <v>95</v>
      </c>
      <c r="I143">
        <v>2050</v>
      </c>
      <c r="J143" t="s">
        <v>28</v>
      </c>
      <c r="K143">
        <f t="shared" si="43"/>
        <v>97.5</v>
      </c>
      <c r="L143" cm="1">
        <f t="array" ref="L143">STOWA2024_JAARROND_T(A143*60,K143,I143,J143,"")</f>
        <v>1.9263816726578269</v>
      </c>
      <c r="M143">
        <f t="shared" si="44"/>
        <v>0.51910792871087741</v>
      </c>
    </row>
    <row r="144" spans="1:13" x14ac:dyDescent="0.3">
      <c r="A144">
        <v>216</v>
      </c>
      <c r="B144">
        <f t="shared" si="41"/>
        <v>0.13305556664887247</v>
      </c>
      <c r="C144">
        <f t="shared" si="37"/>
        <v>0.13305556664887247</v>
      </c>
      <c r="D144" t="s">
        <v>29</v>
      </c>
      <c r="E144" t="s">
        <v>21</v>
      </c>
      <c r="F144">
        <v>1</v>
      </c>
      <c r="G144">
        <f t="shared" si="42"/>
        <v>100</v>
      </c>
      <c r="I144">
        <v>2050</v>
      </c>
      <c r="J144" t="s">
        <v>28</v>
      </c>
      <c r="K144">
        <f t="shared" si="43"/>
        <v>102.5</v>
      </c>
      <c r="L144" cm="1">
        <f t="array" ref="L144">STOWA2024_JAARROND_T(A144*60,K144,I144,J144,"")</f>
        <v>2.5903221901266007</v>
      </c>
      <c r="M144">
        <f t="shared" si="44"/>
        <v>0.38605236206200494</v>
      </c>
    </row>
    <row r="145" spans="1:13" x14ac:dyDescent="0.3">
      <c r="A145">
        <v>216</v>
      </c>
      <c r="B145">
        <f t="shared" si="41"/>
        <v>9.9333448336431263E-2</v>
      </c>
      <c r="C145">
        <f t="shared" si="37"/>
        <v>9.9333448336431263E-2</v>
      </c>
      <c r="D145" t="s">
        <v>29</v>
      </c>
      <c r="E145" t="s">
        <v>21</v>
      </c>
      <c r="F145">
        <v>1</v>
      </c>
      <c r="G145">
        <f t="shared" si="42"/>
        <v>105</v>
      </c>
      <c r="I145">
        <v>2050</v>
      </c>
      <c r="J145" t="s">
        <v>28</v>
      </c>
      <c r="K145">
        <f t="shared" si="43"/>
        <v>107.5</v>
      </c>
      <c r="L145" cm="1">
        <f t="array" ref="L145">STOWA2024_JAARROND_T(A145*60,K145,I145,J145,"")</f>
        <v>3.4877364280095127</v>
      </c>
      <c r="M145">
        <f t="shared" si="44"/>
        <v>0.28671891372557368</v>
      </c>
    </row>
    <row r="146" spans="1:13" x14ac:dyDescent="0.3">
      <c r="A146">
        <v>216</v>
      </c>
      <c r="B146">
        <f t="shared" si="41"/>
        <v>7.4063508567605962E-2</v>
      </c>
      <c r="C146">
        <f t="shared" si="37"/>
        <v>7.4063508567605962E-2</v>
      </c>
      <c r="D146" t="s">
        <v>29</v>
      </c>
      <c r="E146" t="s">
        <v>21</v>
      </c>
      <c r="F146">
        <v>1</v>
      </c>
      <c r="G146">
        <f t="shared" si="42"/>
        <v>110</v>
      </c>
      <c r="I146">
        <v>2050</v>
      </c>
      <c r="J146" t="s">
        <v>28</v>
      </c>
      <c r="K146">
        <f t="shared" si="43"/>
        <v>112.5</v>
      </c>
      <c r="L146" cm="1">
        <f t="array" ref="L146">STOWA2024_JAARROND_T(A146*60,K146,I146,J146,"")</f>
        <v>4.7024433696249845</v>
      </c>
      <c r="M146">
        <f t="shared" si="44"/>
        <v>0.21265540515796771</v>
      </c>
    </row>
    <row r="147" spans="1:13" x14ac:dyDescent="0.3">
      <c r="A147">
        <v>216</v>
      </c>
      <c r="B147">
        <f t="shared" si="41"/>
        <v>5.5145369619097023E-2</v>
      </c>
      <c r="C147">
        <f t="shared" si="37"/>
        <v>5.5145369619097023E-2</v>
      </c>
      <c r="D147" t="s">
        <v>29</v>
      </c>
      <c r="E147" t="s">
        <v>21</v>
      </c>
      <c r="F147">
        <v>1</v>
      </c>
      <c r="G147">
        <f t="shared" si="42"/>
        <v>115</v>
      </c>
      <c r="I147">
        <v>2050</v>
      </c>
      <c r="J147" t="s">
        <v>28</v>
      </c>
      <c r="K147">
        <f t="shared" si="43"/>
        <v>117.5</v>
      </c>
      <c r="L147" cm="1">
        <f t="array" ref="L147">STOWA2024_JAARROND_T(A147*60,K147,I147,J147,"")</f>
        <v>6.3488018181115686</v>
      </c>
      <c r="M147">
        <f t="shared" si="44"/>
        <v>0.15751003553887069</v>
      </c>
    </row>
    <row r="148" spans="1:13" x14ac:dyDescent="0.3">
      <c r="A148">
        <v>216</v>
      </c>
      <c r="B148">
        <f t="shared" si="41"/>
        <v>4.1005426032427211E-2</v>
      </c>
      <c r="C148">
        <f t="shared" si="37"/>
        <v>4.1005426032427211E-2</v>
      </c>
      <c r="D148" t="s">
        <v>29</v>
      </c>
      <c r="E148" t="s">
        <v>21</v>
      </c>
      <c r="F148">
        <v>1</v>
      </c>
      <c r="G148">
        <f t="shared" si="42"/>
        <v>120</v>
      </c>
      <c r="I148">
        <v>2050</v>
      </c>
      <c r="J148" t="s">
        <v>28</v>
      </c>
      <c r="K148">
        <f t="shared" si="43"/>
        <v>122.5</v>
      </c>
      <c r="L148" cm="1">
        <f t="array" ref="L148">STOWA2024_JAARROND_T(A148*60,K148,I148,J148,"")</f>
        <v>8.583351373275006</v>
      </c>
      <c r="M148">
        <f t="shared" si="44"/>
        <v>0.11650460950644348</v>
      </c>
    </row>
    <row r="149" spans="1:13" x14ac:dyDescent="0.3">
      <c r="A149">
        <v>216</v>
      </c>
      <c r="B149">
        <f t="shared" si="41"/>
        <v>3.0449699930264917E-2</v>
      </c>
      <c r="C149">
        <f t="shared" si="37"/>
        <v>3.0449699930264917E-2</v>
      </c>
      <c r="D149" t="s">
        <v>29</v>
      </c>
      <c r="E149" t="s">
        <v>21</v>
      </c>
      <c r="F149">
        <v>1</v>
      </c>
      <c r="G149">
        <f t="shared" si="42"/>
        <v>125</v>
      </c>
      <c r="I149">
        <v>2050</v>
      </c>
      <c r="J149" t="s">
        <v>28</v>
      </c>
      <c r="K149">
        <f t="shared" si="43"/>
        <v>127.5</v>
      </c>
      <c r="L149" cm="1">
        <f t="array" ref="L149">STOWA2024_JAARROND_T(A149*60,K149,I149,J149,"")</f>
        <v>11.620487487872705</v>
      </c>
      <c r="M149">
        <f t="shared" si="44"/>
        <v>8.6054909576178562E-2</v>
      </c>
    </row>
    <row r="150" spans="1:13" x14ac:dyDescent="0.3">
      <c r="A150">
        <v>216</v>
      </c>
      <c r="B150">
        <f t="shared" si="41"/>
        <v>2.2580700043058705E-2</v>
      </c>
      <c r="C150">
        <f t="shared" si="37"/>
        <v>2.2580700043058705E-2</v>
      </c>
      <c r="D150" t="s">
        <v>29</v>
      </c>
      <c r="E150" t="s">
        <v>21</v>
      </c>
      <c r="F150">
        <v>1</v>
      </c>
      <c r="G150">
        <f t="shared" si="42"/>
        <v>130</v>
      </c>
      <c r="I150">
        <v>2050</v>
      </c>
      <c r="J150" t="s">
        <v>28</v>
      </c>
      <c r="K150">
        <f t="shared" si="43"/>
        <v>132.5</v>
      </c>
      <c r="L150" cm="1">
        <f t="array" ref="L150">STOWA2024_JAARROND_T(A150*60,K150,I150,J150,"")</f>
        <v>15.754430143446141</v>
      </c>
      <c r="M150">
        <f t="shared" si="44"/>
        <v>6.3474209533119857E-2</v>
      </c>
    </row>
    <row r="151" spans="1:13" x14ac:dyDescent="0.3">
      <c r="A151">
        <v>216</v>
      </c>
      <c r="B151">
        <f t="shared" si="41"/>
        <v>1.6721311713186179E-2</v>
      </c>
      <c r="C151">
        <f t="shared" si="37"/>
        <v>1.6721311713186179E-2</v>
      </c>
      <c r="D151" t="s">
        <v>29</v>
      </c>
      <c r="E151" t="s">
        <v>21</v>
      </c>
      <c r="F151">
        <v>1</v>
      </c>
      <c r="G151">
        <f t="shared" si="42"/>
        <v>135</v>
      </c>
      <c r="I151">
        <v>2050</v>
      </c>
      <c r="J151" t="s">
        <v>28</v>
      </c>
      <c r="K151">
        <f t="shared" si="43"/>
        <v>137.5</v>
      </c>
      <c r="L151" cm="1">
        <f t="array" ref="L151">STOWA2024_JAARROND_T(A151*60,K151,I151,J151,"")</f>
        <v>21.389048521686234</v>
      </c>
      <c r="M151">
        <f t="shared" si="44"/>
        <v>4.6752897819933678E-2</v>
      </c>
    </row>
    <row r="152" spans="1:13" x14ac:dyDescent="0.3">
      <c r="A152">
        <v>216</v>
      </c>
      <c r="B152">
        <f t="shared" si="41"/>
        <v>1.2365396883386441E-2</v>
      </c>
      <c r="C152">
        <f t="shared" si="37"/>
        <v>1.2365396883386441E-2</v>
      </c>
      <c r="D152" t="s">
        <v>29</v>
      </c>
      <c r="E152" t="s">
        <v>21</v>
      </c>
      <c r="F152">
        <v>1</v>
      </c>
      <c r="G152">
        <f t="shared" si="42"/>
        <v>140</v>
      </c>
      <c r="I152">
        <v>2050</v>
      </c>
      <c r="J152" t="s">
        <v>28</v>
      </c>
      <c r="K152">
        <f t="shared" si="43"/>
        <v>142.5</v>
      </c>
      <c r="L152" cm="1">
        <f t="array" ref="L152">STOWA2024_JAARROND_T(A152*60,K152,I152,J152,"")</f>
        <v>29.080333631839881</v>
      </c>
      <c r="M152">
        <f t="shared" si="44"/>
        <v>3.4387500936547237E-2</v>
      </c>
    </row>
    <row r="153" spans="1:13" x14ac:dyDescent="0.3">
      <c r="A153">
        <v>216</v>
      </c>
      <c r="B153">
        <f t="shared" si="41"/>
        <v>9.1314749102223251E-3</v>
      </c>
      <c r="C153">
        <f t="shared" si="37"/>
        <v>9.1314749102223251E-3</v>
      </c>
      <c r="D153" t="s">
        <v>29</v>
      </c>
      <c r="E153" t="s">
        <v>21</v>
      </c>
      <c r="F153">
        <v>1</v>
      </c>
      <c r="G153">
        <f t="shared" si="42"/>
        <v>145</v>
      </c>
      <c r="I153">
        <v>2050</v>
      </c>
      <c r="J153" t="s">
        <v>28</v>
      </c>
      <c r="K153">
        <f t="shared" si="43"/>
        <v>147.5</v>
      </c>
      <c r="L153" cm="1">
        <f t="array" ref="L153">STOWA2024_JAARROND_T(A153*60,K153,I153,J153,"")</f>
        <v>39.594510987503654</v>
      </c>
      <c r="M153">
        <f t="shared" si="44"/>
        <v>2.5256026026324912E-2</v>
      </c>
    </row>
    <row r="154" spans="1:13" x14ac:dyDescent="0.3">
      <c r="A154">
        <v>216</v>
      </c>
      <c r="B154">
        <f t="shared" si="41"/>
        <v>6.7334526196291128E-3</v>
      </c>
      <c r="C154">
        <f t="shared" si="37"/>
        <v>6.7334526196291128E-3</v>
      </c>
      <c r="D154" t="s">
        <v>29</v>
      </c>
      <c r="E154" t="s">
        <v>21</v>
      </c>
      <c r="F154">
        <v>1</v>
      </c>
      <c r="G154">
        <f t="shared" si="42"/>
        <v>150</v>
      </c>
      <c r="I154">
        <v>2050</v>
      </c>
      <c r="J154" t="s">
        <v>28</v>
      </c>
      <c r="K154">
        <f t="shared" si="43"/>
        <v>152.5</v>
      </c>
      <c r="L154" cm="1">
        <f t="array" ref="L154">STOWA2024_JAARROND_T(A154*60,K154,I154,J154,"")</f>
        <v>53.988178534549952</v>
      </c>
      <c r="M154">
        <f t="shared" si="44"/>
        <v>1.8522573406695799E-2</v>
      </c>
    </row>
    <row r="155" spans="1:13" x14ac:dyDescent="0.3">
      <c r="A155">
        <v>216</v>
      </c>
      <c r="B155">
        <f t="shared" si="41"/>
        <v>4.9581647064544307E-3</v>
      </c>
      <c r="C155">
        <f t="shared" si="37"/>
        <v>4.9581647064544307E-3</v>
      </c>
      <c r="D155" t="s">
        <v>29</v>
      </c>
      <c r="E155" t="s">
        <v>21</v>
      </c>
      <c r="F155">
        <v>1</v>
      </c>
      <c r="G155">
        <f t="shared" si="42"/>
        <v>155</v>
      </c>
      <c r="I155">
        <v>2050</v>
      </c>
      <c r="J155" t="s">
        <v>28</v>
      </c>
      <c r="K155">
        <f t="shared" si="43"/>
        <v>157.5</v>
      </c>
      <c r="L155" cm="1">
        <f t="array" ref="L155">STOWA2024_JAARROND_T(A155*60,K155,I155,J155,"")</f>
        <v>73.722343678881174</v>
      </c>
      <c r="M155">
        <f t="shared" si="44"/>
        <v>1.3564408700241368E-2</v>
      </c>
    </row>
    <row r="156" spans="1:13" x14ac:dyDescent="0.3">
      <c r="A156">
        <v>216</v>
      </c>
      <c r="B156" s="1">
        <f>M155</f>
        <v>1.3564408700241368E-2</v>
      </c>
      <c r="C156">
        <f t="shared" si="37"/>
        <v>1.3564408700241368E-2</v>
      </c>
      <c r="D156" t="s">
        <v>29</v>
      </c>
      <c r="E156" t="s">
        <v>21</v>
      </c>
      <c r="F156">
        <v>1</v>
      </c>
      <c r="G156">
        <f t="shared" si="42"/>
        <v>160</v>
      </c>
      <c r="I156">
        <v>2050</v>
      </c>
      <c r="J156" t="s">
        <v>28</v>
      </c>
      <c r="K156">
        <f>AVERAGE(G156:G157)</f>
        <v>160</v>
      </c>
      <c r="L156" cm="1">
        <f t="array" ref="L156">STOWA2024_JAARROND_T(A156*60,K156,I156,J156,"")</f>
        <v>86.197084797949103</v>
      </c>
      <c r="M156">
        <f>1/L156</f>
        <v>1.1601320419873331E-2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56"/>
  <sheetViews>
    <sheetView workbookViewId="0">
      <selection activeCell="G24" sqref="G24"/>
    </sheetView>
  </sheetViews>
  <sheetFormatPr defaultRowHeight="14.4" x14ac:dyDescent="0.3"/>
  <cols>
    <col min="1" max="1" width="6" bestFit="1" customWidth="1"/>
    <col min="2" max="3" width="12" bestFit="1" customWidth="1"/>
    <col min="4" max="4" width="23.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357.22841060269502</v>
      </c>
      <c r="C2">
        <f>B2</f>
        <v>357.22841060269502</v>
      </c>
      <c r="D2" t="s">
        <v>23</v>
      </c>
      <c r="E2" t="s">
        <v>19</v>
      </c>
      <c r="F2">
        <v>1</v>
      </c>
      <c r="G2">
        <v>10</v>
      </c>
      <c r="I2">
        <v>2050</v>
      </c>
      <c r="J2" t="s">
        <v>28</v>
      </c>
      <c r="K2">
        <f>AVERAGE(G2:G4)</f>
        <v>15</v>
      </c>
      <c r="L2" cm="1">
        <f t="array" ref="L2">STOWA2024_NDJF_T(A2*60,K2,I2,J2,"")</f>
        <v>0.12466357357258545</v>
      </c>
      <c r="M2">
        <f>1/L2</f>
        <v>8.0215893973049734</v>
      </c>
    </row>
    <row r="3" spans="1:13" x14ac:dyDescent="0.3">
      <c r="A3">
        <v>24</v>
      </c>
      <c r="B3">
        <f t="shared" ref="B3:B7" si="0">M2-M3</f>
        <v>2.8915843612319811</v>
      </c>
      <c r="C3">
        <f t="shared" ref="C3:C32" si="1">B3</f>
        <v>2.8915843612319811</v>
      </c>
      <c r="D3" t="s">
        <v>23</v>
      </c>
      <c r="E3" t="s">
        <v>19</v>
      </c>
      <c r="F3">
        <v>1</v>
      </c>
      <c r="G3">
        <f t="shared" ref="G3:G7" si="2">G2+5</f>
        <v>15</v>
      </c>
      <c r="I3">
        <v>2050</v>
      </c>
      <c r="J3" t="s">
        <v>28</v>
      </c>
      <c r="K3">
        <f t="shared" ref="K3:K7" si="3">AVERAGE(G3:G4)</f>
        <v>17.5</v>
      </c>
      <c r="L3" cm="1">
        <f t="array" ref="L3">STOWA2024_NDJF_T(A3*60,K3,I3,J3,"")</f>
        <v>0.19493158251663195</v>
      </c>
      <c r="M3">
        <f t="shared" ref="M3:M7" si="4">1/L3</f>
        <v>5.1300050360729923</v>
      </c>
    </row>
    <row r="4" spans="1:13" x14ac:dyDescent="0.3">
      <c r="A4">
        <v>24</v>
      </c>
      <c r="B4">
        <f t="shared" si="0"/>
        <v>2.9428159566290852</v>
      </c>
      <c r="C4">
        <f t="shared" si="1"/>
        <v>2.9428159566290852</v>
      </c>
      <c r="D4" t="s">
        <v>23</v>
      </c>
      <c r="E4" t="s">
        <v>19</v>
      </c>
      <c r="F4">
        <v>1</v>
      </c>
      <c r="G4">
        <f t="shared" si="2"/>
        <v>20</v>
      </c>
      <c r="I4">
        <v>2050</v>
      </c>
      <c r="J4" t="s">
        <v>28</v>
      </c>
      <c r="K4">
        <f t="shared" si="3"/>
        <v>22.5</v>
      </c>
      <c r="L4" cm="1">
        <f t="array" ref="L4">STOWA2024_NDJF_T(A4*60,K4,I4,J4,"")</f>
        <v>0.45720784243045415</v>
      </c>
      <c r="M4">
        <f t="shared" si="4"/>
        <v>2.1871890794439071</v>
      </c>
    </row>
    <row r="5" spans="1:13" x14ac:dyDescent="0.3">
      <c r="A5">
        <v>24</v>
      </c>
      <c r="B5">
        <f t="shared" si="0"/>
        <v>1.2067464018044669</v>
      </c>
      <c r="C5">
        <f t="shared" si="1"/>
        <v>1.2067464018044669</v>
      </c>
      <c r="D5" t="s">
        <v>23</v>
      </c>
      <c r="E5" t="s">
        <v>19</v>
      </c>
      <c r="F5">
        <v>1</v>
      </c>
      <c r="G5">
        <f t="shared" si="2"/>
        <v>25</v>
      </c>
      <c r="I5">
        <v>2050</v>
      </c>
      <c r="J5" t="s">
        <v>28</v>
      </c>
      <c r="K5">
        <f t="shared" si="3"/>
        <v>27.5</v>
      </c>
      <c r="L5" cm="1">
        <f t="array" ref="L5">STOWA2024_NDJF_T(A5*60,K5,I5,J5,"")</f>
        <v>1.0199474408923599</v>
      </c>
      <c r="M5">
        <f t="shared" si="4"/>
        <v>0.98044267763944015</v>
      </c>
    </row>
    <row r="6" spans="1:13" x14ac:dyDescent="0.3">
      <c r="A6">
        <v>24</v>
      </c>
      <c r="B6">
        <f t="shared" si="0"/>
        <v>0.5210644689088415</v>
      </c>
      <c r="C6">
        <f t="shared" si="1"/>
        <v>0.5210644689088415</v>
      </c>
      <c r="D6" t="s">
        <v>23</v>
      </c>
      <c r="E6" t="s">
        <v>19</v>
      </c>
      <c r="F6">
        <v>1</v>
      </c>
      <c r="G6">
        <f t="shared" si="2"/>
        <v>30</v>
      </c>
      <c r="I6">
        <v>2050</v>
      </c>
      <c r="J6" t="s">
        <v>28</v>
      </c>
      <c r="K6">
        <f t="shared" si="3"/>
        <v>32.5</v>
      </c>
      <c r="L6" cm="1">
        <f t="array" ref="L6">STOWA2024_NDJF_T(A6*60,K6,I6,J6,"")</f>
        <v>2.1768555429812473</v>
      </c>
      <c r="M6">
        <f t="shared" si="4"/>
        <v>0.45937820873059859</v>
      </c>
    </row>
    <row r="7" spans="1:13" x14ac:dyDescent="0.3">
      <c r="A7">
        <v>24</v>
      </c>
      <c r="B7">
        <f t="shared" si="0"/>
        <v>0.23540479800639635</v>
      </c>
      <c r="C7">
        <f t="shared" si="1"/>
        <v>0.23540479800639635</v>
      </c>
      <c r="D7" t="s">
        <v>23</v>
      </c>
      <c r="E7" t="s">
        <v>19</v>
      </c>
      <c r="F7">
        <v>1</v>
      </c>
      <c r="G7">
        <f t="shared" si="2"/>
        <v>35</v>
      </c>
      <c r="I7">
        <v>2050</v>
      </c>
      <c r="J7" t="s">
        <v>28</v>
      </c>
      <c r="K7">
        <f t="shared" si="3"/>
        <v>37.5</v>
      </c>
      <c r="L7" cm="1">
        <f t="array" ref="L7">STOWA2024_NDJF_T(A7*60,K7,I7,J7,"")</f>
        <v>4.4648156973926971</v>
      </c>
      <c r="M7">
        <f t="shared" si="4"/>
        <v>0.22397341072420224</v>
      </c>
    </row>
    <row r="8" spans="1:13" x14ac:dyDescent="0.3">
      <c r="A8">
        <v>24</v>
      </c>
      <c r="B8">
        <f>M7-M8</f>
        <v>0.11079186562700677</v>
      </c>
      <c r="C8">
        <f t="shared" si="1"/>
        <v>0.11079186562700677</v>
      </c>
      <c r="D8" t="s">
        <v>23</v>
      </c>
      <c r="E8" t="s">
        <v>19</v>
      </c>
      <c r="F8">
        <v>1</v>
      </c>
      <c r="G8">
        <f>G7+5</f>
        <v>40</v>
      </c>
      <c r="I8">
        <v>2050</v>
      </c>
      <c r="J8" t="s">
        <v>28</v>
      </c>
      <c r="K8">
        <f>AVERAGE(G8:G9)</f>
        <v>42.5</v>
      </c>
      <c r="L8" cm="1">
        <f t="array" ref="L8">STOWA2024_NDJF_T(A8*60,K8,I8,J8,"")</f>
        <v>8.8353626833883805</v>
      </c>
      <c r="M8">
        <f>1/L8</f>
        <v>0.11318154509719547</v>
      </c>
    </row>
    <row r="9" spans="1:13" x14ac:dyDescent="0.3">
      <c r="A9">
        <v>24</v>
      </c>
      <c r="B9">
        <f t="shared" ref="B9:B31" si="5">M8-M9</f>
        <v>5.4104246870670135E-2</v>
      </c>
      <c r="C9">
        <f t="shared" si="1"/>
        <v>5.4104246870670135E-2</v>
      </c>
      <c r="D9" t="s">
        <v>23</v>
      </c>
      <c r="E9" t="s">
        <v>19</v>
      </c>
      <c r="F9">
        <v>1</v>
      </c>
      <c r="G9">
        <f t="shared" ref="G9:G32" si="6">G8+5</f>
        <v>45</v>
      </c>
      <c r="I9">
        <v>2050</v>
      </c>
      <c r="J9" t="s">
        <v>28</v>
      </c>
      <c r="K9">
        <f t="shared" ref="K9:K31" si="7">AVERAGE(G9:G10)</f>
        <v>47.5</v>
      </c>
      <c r="L9" cm="1">
        <f t="array" ref="L9">STOWA2024_NDJF_T(A9*60,K9,I9,J9,"")</f>
        <v>16.926975843844637</v>
      </c>
      <c r="M9">
        <f t="shared" ref="M9:M31" si="8">1/L9</f>
        <v>5.9077298226525334E-2</v>
      </c>
    </row>
    <row r="10" spans="1:13" x14ac:dyDescent="0.3">
      <c r="A10">
        <v>24</v>
      </c>
      <c r="B10">
        <f t="shared" si="5"/>
        <v>2.7318938790448645E-2</v>
      </c>
      <c r="C10">
        <f t="shared" si="1"/>
        <v>2.7318938790448645E-2</v>
      </c>
      <c r="D10" t="s">
        <v>23</v>
      </c>
      <c r="E10" t="s">
        <v>19</v>
      </c>
      <c r="F10">
        <v>1</v>
      </c>
      <c r="G10">
        <f t="shared" si="6"/>
        <v>50</v>
      </c>
      <c r="I10">
        <v>2050</v>
      </c>
      <c r="J10" t="s">
        <v>28</v>
      </c>
      <c r="K10">
        <f t="shared" si="7"/>
        <v>52.5</v>
      </c>
      <c r="L10" cm="1">
        <f t="array" ref="L10">STOWA2024_NDJF_T(A10*60,K10,I10,J10,"")</f>
        <v>31.487772597725105</v>
      </c>
      <c r="M10">
        <f t="shared" si="8"/>
        <v>3.1758359436076689E-2</v>
      </c>
    </row>
    <row r="11" spans="1:13" x14ac:dyDescent="0.3">
      <c r="A11">
        <v>24</v>
      </c>
      <c r="B11">
        <f t="shared" si="5"/>
        <v>1.4220132343887717E-2</v>
      </c>
      <c r="C11">
        <f t="shared" si="1"/>
        <v>1.4220132343887717E-2</v>
      </c>
      <c r="D11" t="s">
        <v>23</v>
      </c>
      <c r="E11" t="s">
        <v>19</v>
      </c>
      <c r="F11">
        <v>1</v>
      </c>
      <c r="G11">
        <f t="shared" si="6"/>
        <v>55</v>
      </c>
      <c r="I11">
        <v>2050</v>
      </c>
      <c r="J11" t="s">
        <v>28</v>
      </c>
      <c r="K11">
        <f t="shared" si="7"/>
        <v>57.5</v>
      </c>
      <c r="L11" cm="1">
        <f t="array" ref="L11">STOWA2024_NDJF_T(A11*60,K11,I11,J11,"")</f>
        <v>57.018306054742077</v>
      </c>
      <c r="M11">
        <f t="shared" si="8"/>
        <v>1.7538227092188972E-2</v>
      </c>
    </row>
    <row r="12" spans="1:13" x14ac:dyDescent="0.3">
      <c r="A12">
        <v>24</v>
      </c>
      <c r="B12">
        <f t="shared" si="5"/>
        <v>7.6110421506029226E-3</v>
      </c>
      <c r="C12">
        <f t="shared" si="1"/>
        <v>7.6110421506029226E-3</v>
      </c>
      <c r="D12" t="s">
        <v>23</v>
      </c>
      <c r="E12" t="s">
        <v>19</v>
      </c>
      <c r="F12">
        <v>1</v>
      </c>
      <c r="G12">
        <f t="shared" si="6"/>
        <v>60</v>
      </c>
      <c r="I12">
        <v>2050</v>
      </c>
      <c r="J12" t="s">
        <v>28</v>
      </c>
      <c r="K12">
        <f t="shared" si="7"/>
        <v>62.5</v>
      </c>
      <c r="L12" cm="1">
        <f t="array" ref="L12">STOWA2024_NDJF_T(A12*60,K12,I12,J12,"")</f>
        <v>100.73349150683111</v>
      </c>
      <c r="M12">
        <f t="shared" si="8"/>
        <v>9.9271849415860491E-3</v>
      </c>
    </row>
    <row r="13" spans="1:13" x14ac:dyDescent="0.3">
      <c r="A13">
        <v>24</v>
      </c>
      <c r="B13">
        <f t="shared" si="5"/>
        <v>4.1790762487768423E-3</v>
      </c>
      <c r="C13">
        <f t="shared" si="1"/>
        <v>4.1790762487768423E-3</v>
      </c>
      <c r="D13" t="s">
        <v>23</v>
      </c>
      <c r="E13" t="s">
        <v>19</v>
      </c>
      <c r="F13">
        <v>1</v>
      </c>
      <c r="G13">
        <f t="shared" si="6"/>
        <v>65</v>
      </c>
      <c r="I13">
        <v>2050</v>
      </c>
      <c r="J13" t="s">
        <v>28</v>
      </c>
      <c r="K13">
        <f t="shared" si="7"/>
        <v>67.5</v>
      </c>
      <c r="L13" cm="1">
        <f t="array" ref="L13">STOWA2024_NDJF_T(A13*60,K13,I13,J13,"")</f>
        <v>173.9702662983712</v>
      </c>
      <c r="M13">
        <f t="shared" si="8"/>
        <v>5.7481086928092067E-3</v>
      </c>
    </row>
    <row r="14" spans="1:13" x14ac:dyDescent="0.3">
      <c r="A14">
        <v>24</v>
      </c>
      <c r="B14">
        <f t="shared" si="5"/>
        <v>2.3492662142259231E-3</v>
      </c>
      <c r="C14">
        <f t="shared" si="1"/>
        <v>2.3492662142259231E-3</v>
      </c>
      <c r="D14" t="s">
        <v>23</v>
      </c>
      <c r="E14" t="s">
        <v>19</v>
      </c>
      <c r="F14">
        <v>1</v>
      </c>
      <c r="G14">
        <f t="shared" si="6"/>
        <v>70</v>
      </c>
      <c r="I14">
        <v>2050</v>
      </c>
      <c r="J14" t="s">
        <v>28</v>
      </c>
      <c r="K14">
        <f t="shared" si="7"/>
        <v>72.5</v>
      </c>
      <c r="L14" cm="1">
        <f t="array" ref="L14">STOWA2024_NDJF_T(A14*60,K14,I14,J14,"")</f>
        <v>294.21781277042976</v>
      </c>
      <c r="M14">
        <f t="shared" si="8"/>
        <v>3.3988424785832837E-3</v>
      </c>
    </row>
    <row r="15" spans="1:13" x14ac:dyDescent="0.3">
      <c r="A15">
        <v>24</v>
      </c>
      <c r="B15">
        <f t="shared" si="5"/>
        <v>1.3497489462629061E-3</v>
      </c>
      <c r="C15">
        <f t="shared" si="1"/>
        <v>1.3497489462629061E-3</v>
      </c>
      <c r="D15" t="s">
        <v>23</v>
      </c>
      <c r="E15" t="s">
        <v>19</v>
      </c>
      <c r="F15">
        <v>1</v>
      </c>
      <c r="G15">
        <f t="shared" si="6"/>
        <v>75</v>
      </c>
      <c r="I15">
        <v>2050</v>
      </c>
      <c r="J15" t="s">
        <v>28</v>
      </c>
      <c r="K15">
        <f t="shared" si="7"/>
        <v>77.5</v>
      </c>
      <c r="L15" cm="1">
        <f t="array" ref="L15">STOWA2024_NDJF_T(A15*60,K15,I15,J15,"")</f>
        <v>488.02067071462955</v>
      </c>
      <c r="M15">
        <f t="shared" si="8"/>
        <v>2.0490935323203775E-3</v>
      </c>
    </row>
    <row r="16" spans="1:13" x14ac:dyDescent="0.3">
      <c r="A16">
        <v>24</v>
      </c>
      <c r="B16">
        <f t="shared" si="5"/>
        <v>7.912513021849539E-4</v>
      </c>
      <c r="C16">
        <f t="shared" si="1"/>
        <v>7.912513021849539E-4</v>
      </c>
      <c r="D16" t="s">
        <v>23</v>
      </c>
      <c r="E16" t="s">
        <v>19</v>
      </c>
      <c r="F16">
        <v>1</v>
      </c>
      <c r="G16">
        <f t="shared" si="6"/>
        <v>80</v>
      </c>
      <c r="I16">
        <v>2050</v>
      </c>
      <c r="J16" t="s">
        <v>28</v>
      </c>
      <c r="K16">
        <f t="shared" si="7"/>
        <v>82.5</v>
      </c>
      <c r="L16" cm="1">
        <f t="array" ref="L16">STOWA2024_NDJF_T(A16*60,K16,I16,J16,"")</f>
        <v>795.01226468786672</v>
      </c>
      <c r="M16">
        <f t="shared" si="8"/>
        <v>1.2578422301354236E-3</v>
      </c>
    </row>
    <row r="17" spans="1:13" x14ac:dyDescent="0.3">
      <c r="A17">
        <v>24</v>
      </c>
      <c r="B17">
        <f t="shared" si="5"/>
        <v>4.7264122711739725E-4</v>
      </c>
      <c r="C17">
        <f t="shared" si="1"/>
        <v>4.7264122711739725E-4</v>
      </c>
      <c r="D17" t="s">
        <v>23</v>
      </c>
      <c r="E17" t="s">
        <v>19</v>
      </c>
      <c r="F17">
        <v>1</v>
      </c>
      <c r="G17">
        <f t="shared" si="6"/>
        <v>85</v>
      </c>
      <c r="I17">
        <v>2050</v>
      </c>
      <c r="J17" t="s">
        <v>28</v>
      </c>
      <c r="K17">
        <f t="shared" si="7"/>
        <v>87.5</v>
      </c>
      <c r="L17" cm="1">
        <f t="array" ref="L17">STOWA2024_NDJF_T(A17*60,K17,I17,J17,"")</f>
        <v>1273.5592493595457</v>
      </c>
      <c r="M17">
        <f t="shared" si="8"/>
        <v>7.8520100301802639E-4</v>
      </c>
    </row>
    <row r="18" spans="1:13" x14ac:dyDescent="0.3">
      <c r="A18">
        <v>24</v>
      </c>
      <c r="B18">
        <f t="shared" si="5"/>
        <v>2.8729794238834525E-4</v>
      </c>
      <c r="C18">
        <f t="shared" si="1"/>
        <v>2.8729794238834525E-4</v>
      </c>
      <c r="D18" t="s">
        <v>23</v>
      </c>
      <c r="E18" t="s">
        <v>19</v>
      </c>
      <c r="F18">
        <v>1</v>
      </c>
      <c r="G18">
        <f t="shared" si="6"/>
        <v>90</v>
      </c>
      <c r="I18">
        <v>2050</v>
      </c>
      <c r="J18" t="s">
        <v>28</v>
      </c>
      <c r="K18">
        <f t="shared" si="7"/>
        <v>92.5</v>
      </c>
      <c r="L18" cm="1">
        <f t="array" ref="L18">STOWA2024_NDJF_T(A18*60,K18,I18,J18,"")</f>
        <v>2008.4230828694524</v>
      </c>
      <c r="M18">
        <f t="shared" si="8"/>
        <v>4.9790306062968113E-4</v>
      </c>
    </row>
    <row r="19" spans="1:13" x14ac:dyDescent="0.3">
      <c r="A19">
        <v>24</v>
      </c>
      <c r="B19">
        <f t="shared" si="5"/>
        <v>1.7751815516593857E-4</v>
      </c>
      <c r="C19">
        <f t="shared" si="1"/>
        <v>1.7751815516593857E-4</v>
      </c>
      <c r="D19" t="s">
        <v>23</v>
      </c>
      <c r="E19" t="s">
        <v>19</v>
      </c>
      <c r="F19">
        <v>1</v>
      </c>
      <c r="G19">
        <f t="shared" si="6"/>
        <v>95</v>
      </c>
      <c r="I19">
        <v>2050</v>
      </c>
      <c r="J19" t="s">
        <v>28</v>
      </c>
      <c r="K19">
        <f t="shared" si="7"/>
        <v>97.5</v>
      </c>
      <c r="L19" cm="1">
        <f t="array" ref="L19">STOWA2024_NDJF_T(A19*60,K19,I19,J19,"")</f>
        <v>3121.2456733957101</v>
      </c>
      <c r="M19">
        <f t="shared" si="8"/>
        <v>3.2038490546374256E-4</v>
      </c>
    </row>
    <row r="20" spans="1:13" x14ac:dyDescent="0.3">
      <c r="A20">
        <v>24</v>
      </c>
      <c r="B20">
        <f t="shared" si="5"/>
        <v>1.113719386603523E-4</v>
      </c>
      <c r="C20">
        <f t="shared" si="1"/>
        <v>1.113719386603523E-4</v>
      </c>
      <c r="D20" t="s">
        <v>23</v>
      </c>
      <c r="E20" t="s">
        <v>19</v>
      </c>
      <c r="F20">
        <v>1</v>
      </c>
      <c r="G20">
        <f t="shared" si="6"/>
        <v>100</v>
      </c>
      <c r="I20">
        <v>2050</v>
      </c>
      <c r="J20" t="s">
        <v>28</v>
      </c>
      <c r="K20">
        <f t="shared" si="7"/>
        <v>102.5</v>
      </c>
      <c r="L20" cm="1">
        <f t="array" ref="L20">STOWA2024_NDJF_T(A20*60,K20,I20,J20,"")</f>
        <v>4784.3921613756056</v>
      </c>
      <c r="M20">
        <f t="shared" si="8"/>
        <v>2.0901296680339026E-4</v>
      </c>
    </row>
    <row r="21" spans="1:13" x14ac:dyDescent="0.3">
      <c r="A21">
        <v>24</v>
      </c>
      <c r="B21">
        <f t="shared" si="5"/>
        <v>7.088552930729138E-5</v>
      </c>
      <c r="C21">
        <f t="shared" si="1"/>
        <v>7.088552930729138E-5</v>
      </c>
      <c r="D21" t="s">
        <v>23</v>
      </c>
      <c r="E21" t="s">
        <v>19</v>
      </c>
      <c r="F21">
        <v>1</v>
      </c>
      <c r="G21">
        <f t="shared" si="6"/>
        <v>105</v>
      </c>
      <c r="I21">
        <v>2050</v>
      </c>
      <c r="J21" t="s">
        <v>28</v>
      </c>
      <c r="K21">
        <f t="shared" si="7"/>
        <v>107.5</v>
      </c>
      <c r="L21" cm="1">
        <f t="array" ref="L21">STOWA2024_NDJF_T(A21*60,K21,I21,J21,"")</f>
        <v>7239.6912454720868</v>
      </c>
      <c r="M21">
        <f t="shared" si="8"/>
        <v>1.3812743749609888E-4</v>
      </c>
    </row>
    <row r="22" spans="1:13" x14ac:dyDescent="0.3">
      <c r="A22">
        <v>24</v>
      </c>
      <c r="B22">
        <f t="shared" si="5"/>
        <v>4.5727866475363428E-5</v>
      </c>
      <c r="C22">
        <f t="shared" si="1"/>
        <v>4.5727866475363428E-5</v>
      </c>
      <c r="D22" t="s">
        <v>23</v>
      </c>
      <c r="E22" t="s">
        <v>19</v>
      </c>
      <c r="F22">
        <v>1</v>
      </c>
      <c r="G22">
        <f t="shared" si="6"/>
        <v>110</v>
      </c>
      <c r="I22">
        <v>2050</v>
      </c>
      <c r="J22" t="s">
        <v>28</v>
      </c>
      <c r="K22">
        <f t="shared" si="7"/>
        <v>112.5</v>
      </c>
      <c r="L22" cm="1">
        <f t="array" ref="L22">STOWA2024_NDJF_T(A22*60,K22,I22,J22,"")</f>
        <v>10822.561067687093</v>
      </c>
      <c r="M22">
        <f t="shared" si="8"/>
        <v>9.2399571020735451E-5</v>
      </c>
    </row>
    <row r="23" spans="1:13" x14ac:dyDescent="0.3">
      <c r="A23">
        <v>24</v>
      </c>
      <c r="B23">
        <f t="shared" si="5"/>
        <v>2.9876739903017595E-5</v>
      </c>
      <c r="C23">
        <f t="shared" si="1"/>
        <v>2.9876739903017595E-5</v>
      </c>
      <c r="D23" t="s">
        <v>23</v>
      </c>
      <c r="E23" t="s">
        <v>19</v>
      </c>
      <c r="F23">
        <v>1</v>
      </c>
      <c r="G23">
        <f t="shared" si="6"/>
        <v>115</v>
      </c>
      <c r="I23">
        <v>2050</v>
      </c>
      <c r="J23" t="s">
        <v>28</v>
      </c>
      <c r="K23">
        <f t="shared" si="7"/>
        <v>117.5</v>
      </c>
      <c r="L23" cm="1">
        <f t="array" ref="L23">STOWA2024_NDJF_T(A23*60,K23,I23,J23,"")</f>
        <v>15994.157368165274</v>
      </c>
      <c r="M23">
        <f t="shared" si="8"/>
        <v>6.2522831117717856E-5</v>
      </c>
    </row>
    <row r="24" spans="1:13" x14ac:dyDescent="0.3">
      <c r="A24">
        <v>24</v>
      </c>
      <c r="B24">
        <f t="shared" si="5"/>
        <v>1.9755716913369608E-5</v>
      </c>
      <c r="C24">
        <f t="shared" si="1"/>
        <v>1.9755716913369608E-5</v>
      </c>
      <c r="D24" t="s">
        <v>23</v>
      </c>
      <c r="E24" t="s">
        <v>19</v>
      </c>
      <c r="F24">
        <v>1</v>
      </c>
      <c r="G24">
        <f t="shared" si="6"/>
        <v>120</v>
      </c>
      <c r="I24">
        <v>2050</v>
      </c>
      <c r="J24" t="s">
        <v>28</v>
      </c>
      <c r="K24">
        <f t="shared" si="7"/>
        <v>122.5</v>
      </c>
      <c r="L24" cm="1">
        <f t="array" ref="L24">STOWA2024_NDJF_T(A24*60,K24,I24,J24,"")</f>
        <v>23382.452115469772</v>
      </c>
      <c r="M24">
        <f t="shared" si="8"/>
        <v>4.2767114204348248E-5</v>
      </c>
    </row>
    <row r="25" spans="1:13" x14ac:dyDescent="0.3">
      <c r="A25">
        <v>24</v>
      </c>
      <c r="B25">
        <f t="shared" si="5"/>
        <v>1.3212167071069037E-5</v>
      </c>
      <c r="C25">
        <f t="shared" si="1"/>
        <v>1.3212167071069037E-5</v>
      </c>
      <c r="D25" t="s">
        <v>23</v>
      </c>
      <c r="E25" t="s">
        <v>19</v>
      </c>
      <c r="F25">
        <v>1</v>
      </c>
      <c r="G25">
        <f t="shared" si="6"/>
        <v>125</v>
      </c>
      <c r="I25">
        <v>2050</v>
      </c>
      <c r="J25" t="s">
        <v>28</v>
      </c>
      <c r="K25">
        <f t="shared" si="7"/>
        <v>127.5</v>
      </c>
      <c r="L25" cm="1">
        <f t="array" ref="L25">STOWA2024_NDJF_T(A25*60,K25,I25,J25,"")</f>
        <v>33835.282989695777</v>
      </c>
      <c r="M25">
        <f t="shared" si="8"/>
        <v>2.955494713327921E-5</v>
      </c>
    </row>
    <row r="26" spans="1:13" x14ac:dyDescent="0.3">
      <c r="A26">
        <v>24</v>
      </c>
      <c r="B26">
        <f t="shared" si="5"/>
        <v>8.9312913178587958E-6</v>
      </c>
      <c r="C26">
        <f t="shared" si="1"/>
        <v>8.9312913178587958E-6</v>
      </c>
      <c r="D26" t="s">
        <v>23</v>
      </c>
      <c r="E26" t="s">
        <v>19</v>
      </c>
      <c r="F26">
        <v>1</v>
      </c>
      <c r="G26">
        <f t="shared" si="6"/>
        <v>130</v>
      </c>
      <c r="I26">
        <v>2050</v>
      </c>
      <c r="J26" t="s">
        <v>28</v>
      </c>
      <c r="K26">
        <f t="shared" si="7"/>
        <v>132.5</v>
      </c>
      <c r="L26" cm="1">
        <f t="array" ref="L26">STOWA2024_NDJF_T(A26*60,K26,I26,J26,"")</f>
        <v>48488.008573741557</v>
      </c>
      <c r="M26">
        <f t="shared" si="8"/>
        <v>2.0623655815420415E-5</v>
      </c>
    </row>
    <row r="27" spans="1:13" x14ac:dyDescent="0.3">
      <c r="A27">
        <v>24</v>
      </c>
      <c r="B27">
        <f t="shared" si="5"/>
        <v>6.0991760576665775E-6</v>
      </c>
      <c r="C27">
        <f t="shared" si="1"/>
        <v>6.0991760576665775E-6</v>
      </c>
      <c r="D27" t="s">
        <v>23</v>
      </c>
      <c r="E27" t="s">
        <v>19</v>
      </c>
      <c r="F27">
        <v>1</v>
      </c>
      <c r="G27">
        <f t="shared" si="6"/>
        <v>135</v>
      </c>
      <c r="I27">
        <v>2050</v>
      </c>
      <c r="J27" t="s">
        <v>28</v>
      </c>
      <c r="K27">
        <f t="shared" si="7"/>
        <v>137.5</v>
      </c>
      <c r="L27" cm="1">
        <f t="array" ref="L27">STOWA2024_NDJF_T(A27*60,K27,I27,J27,"")</f>
        <v>68849.281811016597</v>
      </c>
      <c r="M27">
        <f t="shared" si="8"/>
        <v>1.4524479757753837E-5</v>
      </c>
    </row>
    <row r="28" spans="1:13" x14ac:dyDescent="0.3">
      <c r="A28">
        <v>24</v>
      </c>
      <c r="B28">
        <f t="shared" si="5"/>
        <v>4.205471477900842E-6</v>
      </c>
      <c r="C28">
        <f t="shared" si="1"/>
        <v>4.205471477900842E-6</v>
      </c>
      <c r="D28" t="s">
        <v>23</v>
      </c>
      <c r="E28" t="s">
        <v>19</v>
      </c>
      <c r="F28">
        <v>1</v>
      </c>
      <c r="G28">
        <f t="shared" si="6"/>
        <v>140</v>
      </c>
      <c r="I28">
        <v>2050</v>
      </c>
      <c r="J28" t="s">
        <v>28</v>
      </c>
      <c r="K28">
        <f t="shared" si="7"/>
        <v>142.5</v>
      </c>
      <c r="L28" cm="1">
        <f t="array" ref="L28">STOWA2024_NDJF_T(A28*60,K28,I28,J28,"")</f>
        <v>96908.537417536209</v>
      </c>
      <c r="M28">
        <f t="shared" si="8"/>
        <v>1.0319008279852995E-5</v>
      </c>
    </row>
    <row r="29" spans="1:13" x14ac:dyDescent="0.3">
      <c r="A29">
        <v>24</v>
      </c>
      <c r="B29">
        <f t="shared" si="5"/>
        <v>2.926574772924946E-6</v>
      </c>
      <c r="C29">
        <f t="shared" si="1"/>
        <v>2.926574772924946E-6</v>
      </c>
      <c r="D29" t="s">
        <v>23</v>
      </c>
      <c r="E29" t="s">
        <v>19</v>
      </c>
      <c r="F29">
        <v>1</v>
      </c>
      <c r="G29">
        <f t="shared" si="6"/>
        <v>145</v>
      </c>
      <c r="I29">
        <v>2050</v>
      </c>
      <c r="J29" t="s">
        <v>28</v>
      </c>
      <c r="K29">
        <f t="shared" si="7"/>
        <v>147.5</v>
      </c>
      <c r="L29" cm="1">
        <f t="array" ref="L29">STOWA2024_NDJF_T(A29*60,K29,I29,J29,"")</f>
        <v>135273.45211327486</v>
      </c>
      <c r="M29">
        <f t="shared" si="8"/>
        <v>7.392433506928049E-6</v>
      </c>
    </row>
    <row r="30" spans="1:13" x14ac:dyDescent="0.3">
      <c r="A30">
        <v>24</v>
      </c>
      <c r="B30">
        <f t="shared" si="5"/>
        <v>2.0544170664610951E-6</v>
      </c>
      <c r="C30">
        <f t="shared" si="1"/>
        <v>2.0544170664610951E-6</v>
      </c>
      <c r="D30" t="s">
        <v>23</v>
      </c>
      <c r="E30" t="s">
        <v>19</v>
      </c>
      <c r="F30">
        <v>1</v>
      </c>
      <c r="G30">
        <f t="shared" si="6"/>
        <v>150</v>
      </c>
      <c r="I30">
        <v>2050</v>
      </c>
      <c r="J30" t="s">
        <v>28</v>
      </c>
      <c r="K30">
        <f t="shared" si="7"/>
        <v>152.5</v>
      </c>
      <c r="L30" cm="1">
        <f t="array" ref="L30">STOWA2024_NDJF_T(A30*60,K30,I30,J30,"")</f>
        <v>187335.50395594566</v>
      </c>
      <c r="M30">
        <f t="shared" si="8"/>
        <v>5.3380164404669539E-6</v>
      </c>
    </row>
    <row r="31" spans="1:13" x14ac:dyDescent="0.3">
      <c r="A31">
        <v>24</v>
      </c>
      <c r="B31">
        <f t="shared" si="5"/>
        <v>1.4542077842132726E-6</v>
      </c>
      <c r="C31">
        <f t="shared" si="1"/>
        <v>1.4542077842132726E-6</v>
      </c>
      <c r="D31" t="s">
        <v>23</v>
      </c>
      <c r="E31" t="s">
        <v>19</v>
      </c>
      <c r="F31">
        <v>1</v>
      </c>
      <c r="G31">
        <f t="shared" si="6"/>
        <v>155</v>
      </c>
      <c r="I31">
        <v>2050</v>
      </c>
      <c r="J31" t="s">
        <v>28</v>
      </c>
      <c r="K31">
        <f t="shared" si="7"/>
        <v>157.5</v>
      </c>
      <c r="L31" cm="1">
        <f t="array" ref="L31">STOWA2024_NDJF_T(A31*60,K31,I31,J31,"")</f>
        <v>257479.21396431493</v>
      </c>
      <c r="M31">
        <f t="shared" si="8"/>
        <v>3.8838086562536813E-6</v>
      </c>
    </row>
    <row r="32" spans="1:13" x14ac:dyDescent="0.3">
      <c r="A32">
        <v>24</v>
      </c>
      <c r="B32" s="1">
        <f>M31</f>
        <v>3.8838086562536813E-6</v>
      </c>
      <c r="C32">
        <f t="shared" si="1"/>
        <v>3.8838086562536813E-6</v>
      </c>
      <c r="D32" t="s">
        <v>23</v>
      </c>
      <c r="E32" t="s">
        <v>19</v>
      </c>
      <c r="F32">
        <v>1</v>
      </c>
      <c r="G32">
        <f t="shared" si="6"/>
        <v>160</v>
      </c>
      <c r="I32">
        <v>2050</v>
      </c>
      <c r="J32" t="s">
        <v>28</v>
      </c>
      <c r="K32">
        <f>AVERAGE(G32:G33)</f>
        <v>85</v>
      </c>
      <c r="L32" cm="1">
        <f t="array" ref="L32">STOWA2024_NDJF_T(A32*60,K32,I32,J32,"")</f>
        <v>1008.2639117736709</v>
      </c>
      <c r="M32">
        <f>1/L32</f>
        <v>9.9180382072870817E-4</v>
      </c>
    </row>
    <row r="33" spans="1:13" x14ac:dyDescent="0.3">
      <c r="A33">
        <v>48</v>
      </c>
      <c r="B33" s="1">
        <f>365.25*24/A33 - M33</f>
        <v>167.54864551656868</v>
      </c>
      <c r="C33">
        <f>B33</f>
        <v>167.54864551656868</v>
      </c>
      <c r="D33" t="s">
        <v>23</v>
      </c>
      <c r="E33" t="s">
        <v>19</v>
      </c>
      <c r="F33">
        <v>1</v>
      </c>
      <c r="G33">
        <v>10</v>
      </c>
      <c r="I33">
        <v>2050</v>
      </c>
      <c r="J33" t="s">
        <v>28</v>
      </c>
      <c r="K33">
        <f>AVERAGE(G33:G35)</f>
        <v>15</v>
      </c>
      <c r="L33" cm="1">
        <f t="array" ref="L33">STOWA2024_NDJF_T(A33*60,K33,I33,J33,"")</f>
        <v>6.6329032067996549E-2</v>
      </c>
      <c r="M33">
        <f>1/L33</f>
        <v>15.076354483431327</v>
      </c>
    </row>
    <row r="34" spans="1:13" x14ac:dyDescent="0.3">
      <c r="A34">
        <v>48</v>
      </c>
      <c r="B34">
        <f t="shared" ref="B34:B38" si="9">M33-M34</f>
        <v>4.3194236414528309</v>
      </c>
      <c r="C34">
        <f t="shared" ref="C34:C63" si="10">B34</f>
        <v>4.3194236414528309</v>
      </c>
      <c r="D34" t="s">
        <v>23</v>
      </c>
      <c r="E34" t="s">
        <v>19</v>
      </c>
      <c r="F34">
        <v>1</v>
      </c>
      <c r="G34">
        <f t="shared" ref="G34:G38" si="11">G33+5</f>
        <v>15</v>
      </c>
      <c r="I34">
        <v>2050</v>
      </c>
      <c r="J34" t="s">
        <v>28</v>
      </c>
      <c r="K34">
        <f t="shared" ref="K34:K38" si="12">AVERAGE(G34:G35)</f>
        <v>17.5</v>
      </c>
      <c r="L34" cm="1">
        <f t="array" ref="L34">STOWA2024_NDJF_T(A34*60,K34,I34,J34,"")</f>
        <v>9.2963319620643053E-2</v>
      </c>
      <c r="M34">
        <f t="shared" ref="M34:M38" si="13">1/L34</f>
        <v>10.756930841978496</v>
      </c>
    </row>
    <row r="35" spans="1:13" x14ac:dyDescent="0.3">
      <c r="A35">
        <v>48</v>
      </c>
      <c r="B35">
        <f t="shared" si="9"/>
        <v>5.1780441935097477</v>
      </c>
      <c r="C35">
        <f t="shared" si="10"/>
        <v>5.1780441935097477</v>
      </c>
      <c r="D35" t="s">
        <v>23</v>
      </c>
      <c r="E35" t="s">
        <v>19</v>
      </c>
      <c r="F35">
        <v>1</v>
      </c>
      <c r="G35">
        <f t="shared" si="11"/>
        <v>20</v>
      </c>
      <c r="I35">
        <v>2050</v>
      </c>
      <c r="J35" t="s">
        <v>28</v>
      </c>
      <c r="K35">
        <f t="shared" si="12"/>
        <v>22.5</v>
      </c>
      <c r="L35" cm="1">
        <f t="array" ref="L35">STOWA2024_NDJF_T(A35*60,K35,I35,J35,"")</f>
        <v>0.17924723390364503</v>
      </c>
      <c r="M35">
        <f t="shared" si="13"/>
        <v>5.5788866484687487</v>
      </c>
    </row>
    <row r="36" spans="1:13" x14ac:dyDescent="0.3">
      <c r="A36">
        <v>48</v>
      </c>
      <c r="B36">
        <f t="shared" si="9"/>
        <v>2.6173711413659762</v>
      </c>
      <c r="C36">
        <f t="shared" si="10"/>
        <v>2.6173711413659762</v>
      </c>
      <c r="D36" t="s">
        <v>23</v>
      </c>
      <c r="E36" t="s">
        <v>19</v>
      </c>
      <c r="F36">
        <v>1</v>
      </c>
      <c r="G36">
        <f t="shared" si="11"/>
        <v>25</v>
      </c>
      <c r="I36">
        <v>2050</v>
      </c>
      <c r="J36" t="s">
        <v>28</v>
      </c>
      <c r="K36">
        <f t="shared" si="12"/>
        <v>27.5</v>
      </c>
      <c r="L36" cm="1">
        <f t="array" ref="L36">STOWA2024_NDJF_T(A36*60,K36,I36,J36,"")</f>
        <v>0.33766495485221759</v>
      </c>
      <c r="M36">
        <f t="shared" si="13"/>
        <v>2.9615155071027726</v>
      </c>
    </row>
    <row r="37" spans="1:13" x14ac:dyDescent="0.3">
      <c r="A37">
        <v>48</v>
      </c>
      <c r="B37">
        <f t="shared" si="9"/>
        <v>1.3549087170563694</v>
      </c>
      <c r="C37">
        <f t="shared" si="10"/>
        <v>1.3549087170563694</v>
      </c>
      <c r="D37" t="s">
        <v>23</v>
      </c>
      <c r="E37" t="s">
        <v>19</v>
      </c>
      <c r="F37">
        <v>1</v>
      </c>
      <c r="G37">
        <f t="shared" si="11"/>
        <v>30</v>
      </c>
      <c r="I37">
        <v>2050</v>
      </c>
      <c r="J37" t="s">
        <v>28</v>
      </c>
      <c r="K37">
        <f t="shared" si="12"/>
        <v>32.5</v>
      </c>
      <c r="L37" cm="1">
        <f t="array" ref="L37">STOWA2024_NDJF_T(A37*60,K37,I37,J37,"")</f>
        <v>0.62242983547400377</v>
      </c>
      <c r="M37">
        <f t="shared" si="13"/>
        <v>1.6066067900464032</v>
      </c>
    </row>
    <row r="38" spans="1:13" x14ac:dyDescent="0.3">
      <c r="A38">
        <v>48</v>
      </c>
      <c r="B38">
        <f t="shared" si="9"/>
        <v>0.71710071541740183</v>
      </c>
      <c r="C38">
        <f t="shared" si="10"/>
        <v>0.71710071541740183</v>
      </c>
      <c r="D38" t="s">
        <v>23</v>
      </c>
      <c r="E38" t="s">
        <v>19</v>
      </c>
      <c r="F38">
        <v>1</v>
      </c>
      <c r="G38">
        <f t="shared" si="11"/>
        <v>35</v>
      </c>
      <c r="I38">
        <v>2050</v>
      </c>
      <c r="J38" t="s">
        <v>28</v>
      </c>
      <c r="K38">
        <f t="shared" si="12"/>
        <v>37.5</v>
      </c>
      <c r="L38" cm="1">
        <f t="array" ref="L38">STOWA2024_NDJF_T(A38*60,K38,I38,J38,"")</f>
        <v>1.1242194162834513</v>
      </c>
      <c r="M38">
        <f t="shared" si="13"/>
        <v>0.88950607462900133</v>
      </c>
    </row>
    <row r="39" spans="1:13" x14ac:dyDescent="0.3">
      <c r="A39">
        <v>48</v>
      </c>
      <c r="B39">
        <f>M38-M39</f>
        <v>0.38765509334462744</v>
      </c>
      <c r="C39">
        <f t="shared" si="10"/>
        <v>0.38765509334462744</v>
      </c>
      <c r="D39" t="s">
        <v>23</v>
      </c>
      <c r="E39" t="s">
        <v>19</v>
      </c>
      <c r="F39">
        <v>1</v>
      </c>
      <c r="G39">
        <f>G38+5</f>
        <v>40</v>
      </c>
      <c r="I39">
        <v>2050</v>
      </c>
      <c r="J39" t="s">
        <v>28</v>
      </c>
      <c r="K39">
        <f>AVERAGE(G39:G40)</f>
        <v>42.5</v>
      </c>
      <c r="L39" cm="1">
        <f t="array" ref="L39">STOWA2024_NDJF_T(A39*60,K39,I39,J39,"")</f>
        <v>1.9926233828231772</v>
      </c>
      <c r="M39">
        <f>1/L39</f>
        <v>0.50185098128437389</v>
      </c>
    </row>
    <row r="40" spans="1:13" x14ac:dyDescent="0.3">
      <c r="A40">
        <v>48</v>
      </c>
      <c r="B40">
        <f t="shared" ref="B40:B62" si="14">M39-M40</f>
        <v>0.21363422451071035</v>
      </c>
      <c r="C40">
        <f t="shared" si="10"/>
        <v>0.21363422451071035</v>
      </c>
      <c r="D40" t="s">
        <v>23</v>
      </c>
      <c r="E40" t="s">
        <v>19</v>
      </c>
      <c r="F40">
        <v>1</v>
      </c>
      <c r="G40">
        <f t="shared" ref="G40:G63" si="15">G39+5</f>
        <v>45</v>
      </c>
      <c r="I40">
        <v>2050</v>
      </c>
      <c r="J40" t="s">
        <v>28</v>
      </c>
      <c r="K40">
        <f t="shared" ref="K40:K62" si="16">AVERAGE(G40:G41)</f>
        <v>47.5</v>
      </c>
      <c r="L40" cm="1">
        <f t="array" ref="L40">STOWA2024_NDJF_T(A40*60,K40,I40,J40,"")</f>
        <v>3.4696108970003414</v>
      </c>
      <c r="M40">
        <f t="shared" ref="M40:M62" si="17">1/L40</f>
        <v>0.28821675677366354</v>
      </c>
    </row>
    <row r="41" spans="1:13" x14ac:dyDescent="0.3">
      <c r="A41">
        <v>48</v>
      </c>
      <c r="B41">
        <f t="shared" si="14"/>
        <v>0.11990533883655988</v>
      </c>
      <c r="C41">
        <f t="shared" si="10"/>
        <v>0.11990533883655988</v>
      </c>
      <c r="D41" t="s">
        <v>23</v>
      </c>
      <c r="E41" t="s">
        <v>19</v>
      </c>
      <c r="F41">
        <v>1</v>
      </c>
      <c r="G41">
        <f t="shared" si="15"/>
        <v>50</v>
      </c>
      <c r="I41">
        <v>2050</v>
      </c>
      <c r="J41" t="s">
        <v>28</v>
      </c>
      <c r="K41">
        <f t="shared" si="16"/>
        <v>52.5</v>
      </c>
      <c r="L41" cm="1">
        <f t="array" ref="L41">STOWA2024_NDJF_T(A41*60,K41,I41,J41,"")</f>
        <v>5.9413675688579266</v>
      </c>
      <c r="M41">
        <f t="shared" si="17"/>
        <v>0.16831141793710366</v>
      </c>
    </row>
    <row r="42" spans="1:13" x14ac:dyDescent="0.3">
      <c r="A42">
        <v>48</v>
      </c>
      <c r="B42">
        <f t="shared" si="14"/>
        <v>6.8461448594550972E-2</v>
      </c>
      <c r="C42">
        <f t="shared" si="10"/>
        <v>6.8461448594550972E-2</v>
      </c>
      <c r="D42" t="s">
        <v>23</v>
      </c>
      <c r="E42" t="s">
        <v>19</v>
      </c>
      <c r="F42">
        <v>1</v>
      </c>
      <c r="G42">
        <f t="shared" si="15"/>
        <v>55</v>
      </c>
      <c r="I42">
        <v>2050</v>
      </c>
      <c r="J42" t="s">
        <v>28</v>
      </c>
      <c r="K42">
        <f t="shared" si="16"/>
        <v>57.5</v>
      </c>
      <c r="L42" cm="1">
        <f t="array" ref="L42">STOWA2024_NDJF_T(A42*60,K42,I42,J42,"")</f>
        <v>10.015025608764345</v>
      </c>
      <c r="M42">
        <f t="shared" si="17"/>
        <v>9.9849969342552691E-2</v>
      </c>
    </row>
    <row r="43" spans="1:13" x14ac:dyDescent="0.3">
      <c r="A43">
        <v>48</v>
      </c>
      <c r="B43">
        <f t="shared" si="14"/>
        <v>3.9730150115021151E-2</v>
      </c>
      <c r="C43">
        <f t="shared" si="10"/>
        <v>3.9730150115021151E-2</v>
      </c>
      <c r="D43" t="s">
        <v>23</v>
      </c>
      <c r="E43" t="s">
        <v>19</v>
      </c>
      <c r="F43">
        <v>1</v>
      </c>
      <c r="G43">
        <f t="shared" si="15"/>
        <v>60</v>
      </c>
      <c r="I43">
        <v>2050</v>
      </c>
      <c r="J43" t="s">
        <v>28</v>
      </c>
      <c r="K43">
        <f t="shared" si="16"/>
        <v>62.5</v>
      </c>
      <c r="L43" cm="1">
        <f t="array" ref="L43">STOWA2024_NDJF_T(A43*60,K43,I43,J43,"")</f>
        <v>16.633449881400434</v>
      </c>
      <c r="M43">
        <f t="shared" si="17"/>
        <v>6.011981922753154E-2</v>
      </c>
    </row>
    <row r="44" spans="1:13" x14ac:dyDescent="0.3">
      <c r="A44">
        <v>48</v>
      </c>
      <c r="B44">
        <f t="shared" si="14"/>
        <v>2.3410333109342915E-2</v>
      </c>
      <c r="C44">
        <f t="shared" si="10"/>
        <v>2.3410333109342915E-2</v>
      </c>
      <c r="D44" t="s">
        <v>23</v>
      </c>
      <c r="E44" t="s">
        <v>19</v>
      </c>
      <c r="F44">
        <v>1</v>
      </c>
      <c r="G44">
        <f t="shared" si="15"/>
        <v>65</v>
      </c>
      <c r="I44">
        <v>2050</v>
      </c>
      <c r="J44" t="s">
        <v>28</v>
      </c>
      <c r="K44">
        <f t="shared" si="16"/>
        <v>67.5</v>
      </c>
      <c r="L44" cm="1">
        <f t="array" ref="L44">STOWA2024_NDJF_T(A44*60,K44,I44,J44,"")</f>
        <v>27.240915244098861</v>
      </c>
      <c r="M44">
        <f t="shared" si="17"/>
        <v>3.6709486118188625E-2</v>
      </c>
    </row>
    <row r="45" spans="1:13" x14ac:dyDescent="0.3">
      <c r="A45">
        <v>48</v>
      </c>
      <c r="B45">
        <f t="shared" si="14"/>
        <v>1.3995287465834758E-2</v>
      </c>
      <c r="C45">
        <f t="shared" si="10"/>
        <v>1.3995287465834758E-2</v>
      </c>
      <c r="D45" t="s">
        <v>23</v>
      </c>
      <c r="E45" t="s">
        <v>19</v>
      </c>
      <c r="F45">
        <v>1</v>
      </c>
      <c r="G45">
        <f t="shared" si="15"/>
        <v>70</v>
      </c>
      <c r="I45">
        <v>2050</v>
      </c>
      <c r="J45" t="s">
        <v>28</v>
      </c>
      <c r="K45">
        <f t="shared" si="16"/>
        <v>72.5</v>
      </c>
      <c r="L45" cm="1">
        <f t="array" ref="L45">STOWA2024_NDJF_T(A45*60,K45,I45,J45,"")</f>
        <v>44.025325978047228</v>
      </c>
      <c r="M45">
        <f t="shared" si="17"/>
        <v>2.2714198652353867E-2</v>
      </c>
    </row>
    <row r="46" spans="1:13" x14ac:dyDescent="0.3">
      <c r="A46">
        <v>48</v>
      </c>
      <c r="B46">
        <f t="shared" si="14"/>
        <v>8.4819435222047799E-3</v>
      </c>
      <c r="C46">
        <f t="shared" si="10"/>
        <v>8.4819435222047799E-3</v>
      </c>
      <c r="D46" t="s">
        <v>23</v>
      </c>
      <c r="E46" t="s">
        <v>19</v>
      </c>
      <c r="F46">
        <v>1</v>
      </c>
      <c r="G46">
        <f t="shared" si="15"/>
        <v>75</v>
      </c>
      <c r="I46">
        <v>2050</v>
      </c>
      <c r="J46" t="s">
        <v>28</v>
      </c>
      <c r="K46">
        <f t="shared" si="16"/>
        <v>77.5</v>
      </c>
      <c r="L46" cm="1">
        <f t="array" ref="L46">STOWA2024_NDJF_T(A46*60,K46,I46,J46,"")</f>
        <v>70.262933797584665</v>
      </c>
      <c r="M46">
        <f t="shared" si="17"/>
        <v>1.4232255130149087E-2</v>
      </c>
    </row>
    <row r="47" spans="1:13" x14ac:dyDescent="0.3">
      <c r="A47">
        <v>48</v>
      </c>
      <c r="B47">
        <f t="shared" si="14"/>
        <v>5.2076340855237869E-3</v>
      </c>
      <c r="C47">
        <f t="shared" si="10"/>
        <v>5.2076340855237869E-3</v>
      </c>
      <c r="D47" t="s">
        <v>23</v>
      </c>
      <c r="E47" t="s">
        <v>19</v>
      </c>
      <c r="F47">
        <v>1</v>
      </c>
      <c r="G47">
        <f t="shared" si="15"/>
        <v>80</v>
      </c>
      <c r="I47">
        <v>2050</v>
      </c>
      <c r="J47" t="s">
        <v>28</v>
      </c>
      <c r="K47">
        <f t="shared" si="16"/>
        <v>82.5</v>
      </c>
      <c r="L47" cm="1">
        <f t="array" ref="L47">STOWA2024_NDJF_T(A47*60,K47,I47,J47,"")</f>
        <v>110.80797687295242</v>
      </c>
      <c r="M47">
        <f t="shared" si="17"/>
        <v>9.0246210446253E-3</v>
      </c>
    </row>
    <row r="48" spans="1:13" x14ac:dyDescent="0.3">
      <c r="A48">
        <v>48</v>
      </c>
      <c r="B48">
        <f t="shared" si="14"/>
        <v>3.2368757920512251E-3</v>
      </c>
      <c r="C48">
        <f t="shared" si="10"/>
        <v>3.2368757920512251E-3</v>
      </c>
      <c r="D48" t="s">
        <v>23</v>
      </c>
      <c r="E48" t="s">
        <v>19</v>
      </c>
      <c r="F48">
        <v>1</v>
      </c>
      <c r="G48">
        <f t="shared" si="15"/>
        <v>85</v>
      </c>
      <c r="I48">
        <v>2050</v>
      </c>
      <c r="J48" t="s">
        <v>28</v>
      </c>
      <c r="K48">
        <f t="shared" si="16"/>
        <v>87.5</v>
      </c>
      <c r="L48" cm="1">
        <f t="array" ref="L48">STOWA2024_NDJF_T(A48*60,K48,I48,J48,"")</f>
        <v>172.77885538504901</v>
      </c>
      <c r="M48">
        <f t="shared" si="17"/>
        <v>5.7877452525740749E-3</v>
      </c>
    </row>
    <row r="49" spans="1:13" x14ac:dyDescent="0.3">
      <c r="A49">
        <v>48</v>
      </c>
      <c r="B49">
        <f t="shared" si="14"/>
        <v>2.0356653630151738E-3</v>
      </c>
      <c r="C49">
        <f t="shared" si="10"/>
        <v>2.0356653630151738E-3</v>
      </c>
      <c r="D49" t="s">
        <v>23</v>
      </c>
      <c r="E49" t="s">
        <v>19</v>
      </c>
      <c r="F49">
        <v>1</v>
      </c>
      <c r="G49">
        <f t="shared" si="15"/>
        <v>90</v>
      </c>
      <c r="I49">
        <v>2050</v>
      </c>
      <c r="J49" t="s">
        <v>28</v>
      </c>
      <c r="K49">
        <f t="shared" si="16"/>
        <v>92.5</v>
      </c>
      <c r="L49" cm="1">
        <f t="array" ref="L49">STOWA2024_NDJF_T(A49*60,K49,I49,J49,"")</f>
        <v>266.5188453963226</v>
      </c>
      <c r="M49">
        <f t="shared" si="17"/>
        <v>3.7520798895589011E-3</v>
      </c>
    </row>
    <row r="50" spans="1:13" x14ac:dyDescent="0.3">
      <c r="A50">
        <v>48</v>
      </c>
      <c r="B50">
        <f t="shared" si="14"/>
        <v>1.2945918432332461E-3</v>
      </c>
      <c r="C50">
        <f t="shared" si="10"/>
        <v>1.2945918432332461E-3</v>
      </c>
      <c r="D50" t="s">
        <v>23</v>
      </c>
      <c r="E50" t="s">
        <v>19</v>
      </c>
      <c r="F50">
        <v>1</v>
      </c>
      <c r="G50">
        <f t="shared" si="15"/>
        <v>95</v>
      </c>
      <c r="I50">
        <v>2050</v>
      </c>
      <c r="J50" t="s">
        <v>28</v>
      </c>
      <c r="K50">
        <f t="shared" si="16"/>
        <v>97.5</v>
      </c>
      <c r="L50" cm="1">
        <f t="array" ref="L50">STOWA2024_NDJF_T(A50*60,K50,I50,J50,"")</f>
        <v>406.91957850829141</v>
      </c>
      <c r="M50">
        <f t="shared" si="17"/>
        <v>2.457488046325655E-3</v>
      </c>
    </row>
    <row r="51" spans="1:13" x14ac:dyDescent="0.3">
      <c r="A51">
        <v>48</v>
      </c>
      <c r="B51">
        <f t="shared" si="14"/>
        <v>8.3205764230268931E-4</v>
      </c>
      <c r="C51">
        <f t="shared" si="10"/>
        <v>8.3205764230268931E-4</v>
      </c>
      <c r="D51" t="s">
        <v>23</v>
      </c>
      <c r="E51" t="s">
        <v>19</v>
      </c>
      <c r="F51">
        <v>1</v>
      </c>
      <c r="G51">
        <f t="shared" si="15"/>
        <v>100</v>
      </c>
      <c r="I51">
        <v>2050</v>
      </c>
      <c r="J51" t="s">
        <v>28</v>
      </c>
      <c r="K51">
        <f t="shared" si="16"/>
        <v>102.5</v>
      </c>
      <c r="L51" cm="1">
        <f t="array" ref="L51">STOWA2024_NDJF_T(A51*60,K51,I51,J51,"")</f>
        <v>615.22166530476136</v>
      </c>
      <c r="M51">
        <f t="shared" si="17"/>
        <v>1.6254304040229657E-3</v>
      </c>
    </row>
    <row r="52" spans="1:13" x14ac:dyDescent="0.3">
      <c r="A52">
        <v>48</v>
      </c>
      <c r="B52">
        <f t="shared" si="14"/>
        <v>5.4023787497145277E-4</v>
      </c>
      <c r="C52">
        <f t="shared" si="10"/>
        <v>5.4023787497145277E-4</v>
      </c>
      <c r="D52" t="s">
        <v>23</v>
      </c>
      <c r="E52" t="s">
        <v>19</v>
      </c>
      <c r="F52">
        <v>1</v>
      </c>
      <c r="G52">
        <f t="shared" si="15"/>
        <v>105</v>
      </c>
      <c r="I52">
        <v>2050</v>
      </c>
      <c r="J52" t="s">
        <v>28</v>
      </c>
      <c r="K52">
        <f t="shared" si="16"/>
        <v>107.5</v>
      </c>
      <c r="L52" cm="1">
        <f t="array" ref="L52">STOWA2024_NDJF_T(A52*60,K52,I52,J52,"")</f>
        <v>921.49547036969238</v>
      </c>
      <c r="M52">
        <f t="shared" si="17"/>
        <v>1.0851925290515129E-3</v>
      </c>
    </row>
    <row r="53" spans="1:13" x14ac:dyDescent="0.3">
      <c r="A53">
        <v>48</v>
      </c>
      <c r="B53">
        <f t="shared" si="14"/>
        <v>3.5417096638856499E-4</v>
      </c>
      <c r="C53">
        <f t="shared" si="10"/>
        <v>3.5417096638856499E-4</v>
      </c>
      <c r="D53" t="s">
        <v>23</v>
      </c>
      <c r="E53" t="s">
        <v>19</v>
      </c>
      <c r="F53">
        <v>1</v>
      </c>
      <c r="G53">
        <f t="shared" si="15"/>
        <v>110</v>
      </c>
      <c r="I53">
        <v>2050</v>
      </c>
      <c r="J53" t="s">
        <v>28</v>
      </c>
      <c r="K53">
        <f t="shared" si="16"/>
        <v>112.5</v>
      </c>
      <c r="L53" cm="1">
        <f t="array" ref="L53">STOWA2024_NDJF_T(A53*60,K53,I53,J53,"")</f>
        <v>1367.9487050384996</v>
      </c>
      <c r="M53">
        <f t="shared" si="17"/>
        <v>7.3102156266294791E-4</v>
      </c>
    </row>
    <row r="54" spans="1:13" x14ac:dyDescent="0.3">
      <c r="A54">
        <v>48</v>
      </c>
      <c r="B54">
        <f t="shared" si="14"/>
        <v>2.3435610840714645E-4</v>
      </c>
      <c r="C54">
        <f t="shared" si="10"/>
        <v>2.3435610840714645E-4</v>
      </c>
      <c r="D54" t="s">
        <v>23</v>
      </c>
      <c r="E54" t="s">
        <v>19</v>
      </c>
      <c r="F54">
        <v>1</v>
      </c>
      <c r="G54">
        <f t="shared" si="15"/>
        <v>115</v>
      </c>
      <c r="I54">
        <v>2050</v>
      </c>
      <c r="J54" t="s">
        <v>28</v>
      </c>
      <c r="K54">
        <f t="shared" si="16"/>
        <v>117.5</v>
      </c>
      <c r="L54" cm="1">
        <f t="array" ref="L54">STOWA2024_NDJF_T(A54*60,K54,I54,J54,"")</f>
        <v>2013.4277337617332</v>
      </c>
      <c r="M54">
        <f t="shared" si="17"/>
        <v>4.9666545425580146E-4</v>
      </c>
    </row>
    <row r="55" spans="1:13" x14ac:dyDescent="0.3">
      <c r="A55">
        <v>48</v>
      </c>
      <c r="B55">
        <f t="shared" si="14"/>
        <v>1.5644990086131574E-4</v>
      </c>
      <c r="C55">
        <f t="shared" si="10"/>
        <v>1.5644990086131574E-4</v>
      </c>
      <c r="D55" t="s">
        <v>23</v>
      </c>
      <c r="E55" t="s">
        <v>19</v>
      </c>
      <c r="F55">
        <v>1</v>
      </c>
      <c r="G55">
        <f t="shared" si="15"/>
        <v>120</v>
      </c>
      <c r="I55">
        <v>2050</v>
      </c>
      <c r="J55" t="s">
        <v>28</v>
      </c>
      <c r="K55">
        <f t="shared" si="16"/>
        <v>122.5</v>
      </c>
      <c r="L55" cm="1">
        <f t="array" ref="L55">STOWA2024_NDJF_T(A55*60,K55,I55,J55,"")</f>
        <v>2939.313003249099</v>
      </c>
      <c r="M55">
        <f t="shared" si="17"/>
        <v>3.4021555339448572E-4</v>
      </c>
    </row>
    <row r="56" spans="1:13" x14ac:dyDescent="0.3">
      <c r="A56">
        <v>48</v>
      </c>
      <c r="B56">
        <f t="shared" si="14"/>
        <v>1.0533008145320025E-4</v>
      </c>
      <c r="C56">
        <f t="shared" si="10"/>
        <v>1.0533008145320025E-4</v>
      </c>
      <c r="D56" t="s">
        <v>23</v>
      </c>
      <c r="E56" t="s">
        <v>19</v>
      </c>
      <c r="F56">
        <v>1</v>
      </c>
      <c r="G56">
        <f t="shared" si="15"/>
        <v>125</v>
      </c>
      <c r="I56">
        <v>2050</v>
      </c>
      <c r="J56" t="s">
        <v>28</v>
      </c>
      <c r="K56">
        <f t="shared" si="16"/>
        <v>127.5</v>
      </c>
      <c r="L56" cm="1">
        <f t="array" ref="L56">STOWA2024_NDJF_T(A56*60,K56,I56,J56,"")</f>
        <v>4257.3940045554236</v>
      </c>
      <c r="M56">
        <f t="shared" si="17"/>
        <v>2.3488547194128547E-4</v>
      </c>
    </row>
    <row r="57" spans="1:13" x14ac:dyDescent="0.3">
      <c r="A57">
        <v>48</v>
      </c>
      <c r="B57">
        <f t="shared" si="14"/>
        <v>7.1495491754235482E-5</v>
      </c>
      <c r="C57">
        <f t="shared" si="10"/>
        <v>7.1495491754235482E-5</v>
      </c>
      <c r="D57" t="s">
        <v>23</v>
      </c>
      <c r="E57" t="s">
        <v>19</v>
      </c>
      <c r="F57">
        <v>1</v>
      </c>
      <c r="G57">
        <f t="shared" si="15"/>
        <v>130</v>
      </c>
      <c r="I57">
        <v>2050</v>
      </c>
      <c r="J57" t="s">
        <v>28</v>
      </c>
      <c r="K57">
        <f t="shared" si="16"/>
        <v>132.5</v>
      </c>
      <c r="L57" cm="1">
        <f t="array" ref="L57">STOWA2024_NDJF_T(A57*60,K57,I57,J57,"")</f>
        <v>6120.3263434831988</v>
      </c>
      <c r="M57">
        <f t="shared" si="17"/>
        <v>1.6338998018704999E-4</v>
      </c>
    </row>
    <row r="58" spans="1:13" x14ac:dyDescent="0.3">
      <c r="A58">
        <v>48</v>
      </c>
      <c r="B58">
        <f t="shared" si="14"/>
        <v>4.8907913350160543E-5</v>
      </c>
      <c r="C58">
        <f t="shared" si="10"/>
        <v>4.8907913350160543E-5</v>
      </c>
      <c r="D58" t="s">
        <v>23</v>
      </c>
      <c r="E58" t="s">
        <v>19</v>
      </c>
      <c r="F58">
        <v>1</v>
      </c>
      <c r="G58">
        <f t="shared" si="15"/>
        <v>135</v>
      </c>
      <c r="I58">
        <v>2050</v>
      </c>
      <c r="J58" t="s">
        <v>28</v>
      </c>
      <c r="K58">
        <f t="shared" si="16"/>
        <v>137.5</v>
      </c>
      <c r="L58" cm="1">
        <f t="array" ref="L58">STOWA2024_NDJF_T(A58*60,K58,I58,J58,"")</f>
        <v>8734.9925418866642</v>
      </c>
      <c r="M58">
        <f t="shared" si="17"/>
        <v>1.1448206683688945E-4</v>
      </c>
    </row>
    <row r="59" spans="1:13" x14ac:dyDescent="0.3">
      <c r="A59">
        <v>48</v>
      </c>
      <c r="B59">
        <f t="shared" si="14"/>
        <v>3.3709460243468837E-5</v>
      </c>
      <c r="C59">
        <f t="shared" si="10"/>
        <v>3.3709460243468837E-5</v>
      </c>
      <c r="D59" t="s">
        <v>23</v>
      </c>
      <c r="E59" t="s">
        <v>19</v>
      </c>
      <c r="F59">
        <v>1</v>
      </c>
      <c r="G59">
        <f t="shared" si="15"/>
        <v>140</v>
      </c>
      <c r="I59">
        <v>2050</v>
      </c>
      <c r="J59" t="s">
        <v>28</v>
      </c>
      <c r="K59">
        <f t="shared" si="16"/>
        <v>142.5</v>
      </c>
      <c r="L59" cm="1">
        <f t="array" ref="L59">STOWA2024_NDJF_T(A59*60,K59,I59,J59,"")</f>
        <v>12380.434929302575</v>
      </c>
      <c r="M59">
        <f t="shared" si="17"/>
        <v>8.0772606593420613E-5</v>
      </c>
    </row>
    <row r="60" spans="1:13" x14ac:dyDescent="0.3">
      <c r="A60">
        <v>48</v>
      </c>
      <c r="B60">
        <f t="shared" si="14"/>
        <v>2.3401260232586492E-5</v>
      </c>
      <c r="C60">
        <f t="shared" si="10"/>
        <v>2.3401260232586492E-5</v>
      </c>
      <c r="D60" t="s">
        <v>23</v>
      </c>
      <c r="E60" t="s">
        <v>19</v>
      </c>
      <c r="F60">
        <v>1</v>
      </c>
      <c r="G60">
        <f t="shared" si="15"/>
        <v>145</v>
      </c>
      <c r="I60">
        <v>2050</v>
      </c>
      <c r="J60" t="s">
        <v>28</v>
      </c>
      <c r="K60">
        <f t="shared" si="16"/>
        <v>147.5</v>
      </c>
      <c r="L60" cm="1">
        <f t="array" ref="L60">STOWA2024_NDJF_T(A60*60,K60,I60,J60,"")</f>
        <v>17430.303861278619</v>
      </c>
      <c r="M60">
        <f t="shared" si="17"/>
        <v>5.7371346360834121E-5</v>
      </c>
    </row>
    <row r="61" spans="1:13" x14ac:dyDescent="0.3">
      <c r="A61">
        <v>48</v>
      </c>
      <c r="B61">
        <f t="shared" si="14"/>
        <v>1.6358627588656406E-5</v>
      </c>
      <c r="C61">
        <f t="shared" si="10"/>
        <v>1.6358627588656406E-5</v>
      </c>
      <c r="D61" t="s">
        <v>23</v>
      </c>
      <c r="E61" t="s">
        <v>19</v>
      </c>
      <c r="F61">
        <v>1</v>
      </c>
      <c r="G61">
        <f t="shared" si="15"/>
        <v>150</v>
      </c>
      <c r="I61">
        <v>2050</v>
      </c>
      <c r="J61" t="s">
        <v>28</v>
      </c>
      <c r="K61">
        <f t="shared" si="16"/>
        <v>152.5</v>
      </c>
      <c r="L61" cm="1">
        <f t="array" ref="L61">STOWA2024_NDJF_T(A61*60,K61,I61,J61,"")</f>
        <v>24382.680054812212</v>
      </c>
      <c r="M61">
        <f t="shared" si="17"/>
        <v>4.1012718772177715E-5</v>
      </c>
    </row>
    <row r="62" spans="1:13" x14ac:dyDescent="0.3">
      <c r="A62">
        <v>48</v>
      </c>
      <c r="B62">
        <f t="shared" si="14"/>
        <v>1.1512067249865227E-5</v>
      </c>
      <c r="C62">
        <f t="shared" si="10"/>
        <v>1.1512067249865227E-5</v>
      </c>
      <c r="D62" t="s">
        <v>23</v>
      </c>
      <c r="E62" t="s">
        <v>19</v>
      </c>
      <c r="F62">
        <v>1</v>
      </c>
      <c r="G62">
        <f t="shared" si="15"/>
        <v>155</v>
      </c>
      <c r="I62">
        <v>2050</v>
      </c>
      <c r="J62" t="s">
        <v>28</v>
      </c>
      <c r="K62">
        <f t="shared" si="16"/>
        <v>157.5</v>
      </c>
      <c r="L62" cm="1">
        <f t="array" ref="L62">STOWA2024_NDJF_T(A62*60,K62,I62,J62,"")</f>
        <v>33897.556440191198</v>
      </c>
      <c r="M62">
        <f t="shared" si="17"/>
        <v>2.9500651522312489E-5</v>
      </c>
    </row>
    <row r="63" spans="1:13" x14ac:dyDescent="0.3">
      <c r="A63">
        <v>48</v>
      </c>
      <c r="B63" s="1">
        <f>M62</f>
        <v>2.9500651522312489E-5</v>
      </c>
      <c r="C63">
        <f t="shared" si="10"/>
        <v>2.9500651522312489E-5</v>
      </c>
      <c r="D63" t="s">
        <v>23</v>
      </c>
      <c r="E63" t="s">
        <v>19</v>
      </c>
      <c r="F63">
        <v>1</v>
      </c>
      <c r="G63">
        <f t="shared" si="15"/>
        <v>160</v>
      </c>
      <c r="I63">
        <v>2050</v>
      </c>
      <c r="J63" t="s">
        <v>28</v>
      </c>
      <c r="K63">
        <f>AVERAGE(G63:G64)</f>
        <v>85</v>
      </c>
      <c r="L63" cm="1">
        <f t="array" ref="L63">STOWA2024_NDJF_T(A63*60,K63,I63,J63,"")</f>
        <v>138.55702693190455</v>
      </c>
      <c r="M63">
        <f>1/L63</f>
        <v>7.2172449289884203E-3</v>
      </c>
    </row>
    <row r="64" spans="1:13" x14ac:dyDescent="0.3">
      <c r="A64">
        <v>96</v>
      </c>
      <c r="B64" s="1">
        <f>365.25*24/A64 - M64</f>
        <v>69.56780641068346</v>
      </c>
      <c r="C64">
        <f>B64</f>
        <v>69.56780641068346</v>
      </c>
      <c r="D64" t="s">
        <v>23</v>
      </c>
      <c r="E64" t="s">
        <v>19</v>
      </c>
      <c r="F64">
        <v>1</v>
      </c>
      <c r="G64">
        <v>10</v>
      </c>
      <c r="I64">
        <v>2050</v>
      </c>
      <c r="J64" t="s">
        <v>28</v>
      </c>
      <c r="K64">
        <f>AVERAGE(G64:G66)</f>
        <v>15</v>
      </c>
      <c r="L64" cm="1">
        <f t="array" ref="L64">STOWA2024_NDJF_T(A64*60,K64,I64,J64,"")</f>
        <v>4.598823137665705E-2</v>
      </c>
      <c r="M64">
        <f>1/L64</f>
        <v>21.744693589316533</v>
      </c>
    </row>
    <row r="65" spans="1:13" x14ac:dyDescent="0.3">
      <c r="A65">
        <v>96</v>
      </c>
      <c r="B65">
        <f t="shared" ref="B65:B69" si="18">M64-M65</f>
        <v>4.4778444128877766</v>
      </c>
      <c r="C65">
        <f t="shared" ref="C65:C94" si="19">B65</f>
        <v>4.4778444128877766</v>
      </c>
      <c r="D65" t="s">
        <v>23</v>
      </c>
      <c r="E65" t="s">
        <v>19</v>
      </c>
      <c r="F65">
        <v>1</v>
      </c>
      <c r="G65">
        <f t="shared" ref="G65:G69" si="20">G64+5</f>
        <v>15</v>
      </c>
      <c r="I65">
        <v>2050</v>
      </c>
      <c r="J65" t="s">
        <v>28</v>
      </c>
      <c r="K65">
        <f t="shared" ref="K65:K69" si="21">AVERAGE(G65:G66)</f>
        <v>17.5</v>
      </c>
      <c r="L65" cm="1">
        <f t="array" ref="L65">STOWA2024_NDJF_T(A65*60,K65,I65,J65,"")</f>
        <v>5.7914445755692094E-2</v>
      </c>
      <c r="M65">
        <f t="shared" ref="M65:M69" si="22">1/L65</f>
        <v>17.266849176428757</v>
      </c>
    </row>
    <row r="66" spans="1:13" x14ac:dyDescent="0.3">
      <c r="A66">
        <v>96</v>
      </c>
      <c r="B66">
        <f t="shared" si="18"/>
        <v>6.3412984766603575</v>
      </c>
      <c r="C66">
        <f t="shared" si="19"/>
        <v>6.3412984766603575</v>
      </c>
      <c r="D66" t="s">
        <v>23</v>
      </c>
      <c r="E66" t="s">
        <v>19</v>
      </c>
      <c r="F66">
        <v>1</v>
      </c>
      <c r="G66">
        <f t="shared" si="20"/>
        <v>20</v>
      </c>
      <c r="I66">
        <v>2050</v>
      </c>
      <c r="J66" t="s">
        <v>28</v>
      </c>
      <c r="K66">
        <f t="shared" si="21"/>
        <v>22.5</v>
      </c>
      <c r="L66" cm="1">
        <f t="array" ref="L66">STOWA2024_NDJF_T(A66*60,K66,I66,J66,"")</f>
        <v>9.1528567069959973E-2</v>
      </c>
      <c r="M66">
        <f t="shared" si="22"/>
        <v>10.925550699768399</v>
      </c>
    </row>
    <row r="67" spans="1:13" x14ac:dyDescent="0.3">
      <c r="A67">
        <v>96</v>
      </c>
      <c r="B67">
        <f t="shared" si="18"/>
        <v>3.9807923329105996</v>
      </c>
      <c r="C67">
        <f t="shared" si="19"/>
        <v>3.9807923329105996</v>
      </c>
      <c r="D67" t="s">
        <v>23</v>
      </c>
      <c r="E67" t="s">
        <v>19</v>
      </c>
      <c r="F67">
        <v>1</v>
      </c>
      <c r="G67">
        <f t="shared" si="20"/>
        <v>25</v>
      </c>
      <c r="I67">
        <v>2050</v>
      </c>
      <c r="J67" t="s">
        <v>28</v>
      </c>
      <c r="K67">
        <f t="shared" si="21"/>
        <v>27.5</v>
      </c>
      <c r="L67" cm="1">
        <f t="array" ref="L67">STOWA2024_NDJF_T(A67*60,K67,I67,J67,"")</f>
        <v>0.14399349079908397</v>
      </c>
      <c r="M67">
        <f t="shared" si="22"/>
        <v>6.9447583668577995</v>
      </c>
    </row>
    <row r="68" spans="1:13" x14ac:dyDescent="0.3">
      <c r="A68">
        <v>96</v>
      </c>
      <c r="B68">
        <f t="shared" si="18"/>
        <v>2.5106073078938138</v>
      </c>
      <c r="C68">
        <f t="shared" si="19"/>
        <v>2.5106073078938138</v>
      </c>
      <c r="D68" t="s">
        <v>23</v>
      </c>
      <c r="E68" t="s">
        <v>19</v>
      </c>
      <c r="F68">
        <v>1</v>
      </c>
      <c r="G68">
        <f t="shared" si="20"/>
        <v>30</v>
      </c>
      <c r="I68">
        <v>2050</v>
      </c>
      <c r="J68" t="s">
        <v>28</v>
      </c>
      <c r="K68">
        <f t="shared" si="21"/>
        <v>32.5</v>
      </c>
      <c r="L68" cm="1">
        <f t="array" ref="L68">STOWA2024_NDJF_T(A68*60,K68,I68,J68,"")</f>
        <v>0.22552231232141295</v>
      </c>
      <c r="M68">
        <f t="shared" si="22"/>
        <v>4.4341510589639856</v>
      </c>
    </row>
    <row r="69" spans="1:13" x14ac:dyDescent="0.3">
      <c r="A69">
        <v>96</v>
      </c>
      <c r="B69">
        <f t="shared" si="18"/>
        <v>1.590527731062731</v>
      </c>
      <c r="C69">
        <f t="shared" si="19"/>
        <v>1.590527731062731</v>
      </c>
      <c r="D69" t="s">
        <v>23</v>
      </c>
      <c r="E69" t="s">
        <v>19</v>
      </c>
      <c r="F69">
        <v>1</v>
      </c>
      <c r="G69">
        <f t="shared" si="20"/>
        <v>35</v>
      </c>
      <c r="I69">
        <v>2050</v>
      </c>
      <c r="J69" t="s">
        <v>28</v>
      </c>
      <c r="K69">
        <f t="shared" si="21"/>
        <v>37.5</v>
      </c>
      <c r="L69" cm="1">
        <f t="array" ref="L69">STOWA2024_NDJF_T(A69*60,K69,I69,J69,"")</f>
        <v>0.35166401618249954</v>
      </c>
      <c r="M69">
        <f t="shared" si="22"/>
        <v>2.8436233279012546</v>
      </c>
    </row>
    <row r="70" spans="1:13" x14ac:dyDescent="0.3">
      <c r="A70">
        <v>96</v>
      </c>
      <c r="B70">
        <f>M69-M70</f>
        <v>1.0121468758666405</v>
      </c>
      <c r="C70">
        <f t="shared" si="19"/>
        <v>1.0121468758666405</v>
      </c>
      <c r="D70" t="s">
        <v>23</v>
      </c>
      <c r="E70" t="s">
        <v>19</v>
      </c>
      <c r="F70">
        <v>1</v>
      </c>
      <c r="G70">
        <f>G69+5</f>
        <v>40</v>
      </c>
      <c r="I70">
        <v>2050</v>
      </c>
      <c r="J70" t="s">
        <v>28</v>
      </c>
      <c r="K70">
        <f>AVERAGE(G70:G71)</f>
        <v>42.5</v>
      </c>
      <c r="L70" cm="1">
        <f t="array" ref="L70">STOWA2024_NDJF_T(A70*60,K70,I70,J70,"")</f>
        <v>0.54600756613009427</v>
      </c>
      <c r="M70">
        <f>1/L70</f>
        <v>1.8314764520346141</v>
      </c>
    </row>
    <row r="71" spans="1:13" x14ac:dyDescent="0.3">
      <c r="A71">
        <v>96</v>
      </c>
      <c r="B71">
        <f t="shared" ref="B71:B93" si="23">M70-M71</f>
        <v>0.64689992209464919</v>
      </c>
      <c r="C71">
        <f t="shared" si="19"/>
        <v>0.64689992209464919</v>
      </c>
      <c r="D71" t="s">
        <v>23</v>
      </c>
      <c r="E71" t="s">
        <v>19</v>
      </c>
      <c r="F71">
        <v>1</v>
      </c>
      <c r="G71">
        <f t="shared" ref="G71:G94" si="24">G70+5</f>
        <v>45</v>
      </c>
      <c r="I71">
        <v>2050</v>
      </c>
      <c r="J71" t="s">
        <v>28</v>
      </c>
      <c r="K71">
        <f t="shared" ref="K71:K93" si="25">AVERAGE(G71:G72)</f>
        <v>47.5</v>
      </c>
      <c r="L71" cm="1">
        <f t="array" ref="L71">STOWA2024_NDJF_T(A71*60,K71,I71,J71,"")</f>
        <v>0.84418353287033354</v>
      </c>
      <c r="M71">
        <f t="shared" ref="M71:M93" si="26">1/L71</f>
        <v>1.1845765299399649</v>
      </c>
    </row>
    <row r="72" spans="1:13" x14ac:dyDescent="0.3">
      <c r="A72">
        <v>96</v>
      </c>
      <c r="B72">
        <f t="shared" si="23"/>
        <v>0.41515938720170253</v>
      </c>
      <c r="C72">
        <f t="shared" si="19"/>
        <v>0.41515938720170253</v>
      </c>
      <c r="D72" t="s">
        <v>23</v>
      </c>
      <c r="E72" t="s">
        <v>19</v>
      </c>
      <c r="F72">
        <v>1</v>
      </c>
      <c r="G72">
        <f t="shared" si="24"/>
        <v>50</v>
      </c>
      <c r="I72">
        <v>2050</v>
      </c>
      <c r="J72" t="s">
        <v>28</v>
      </c>
      <c r="K72">
        <f t="shared" si="25"/>
        <v>52.5</v>
      </c>
      <c r="L72" cm="1">
        <f t="array" ref="L72">STOWA2024_NDJF_T(A72*60,K72,I72,J72,"")</f>
        <v>1.2996851050668319</v>
      </c>
      <c r="M72">
        <f t="shared" si="26"/>
        <v>0.76941714273826234</v>
      </c>
    </row>
    <row r="73" spans="1:13" x14ac:dyDescent="0.3">
      <c r="A73">
        <v>96</v>
      </c>
      <c r="B73">
        <f t="shared" si="23"/>
        <v>0.26766945814514131</v>
      </c>
      <c r="C73">
        <f t="shared" si="19"/>
        <v>0.26766945814514131</v>
      </c>
      <c r="D73" t="s">
        <v>23</v>
      </c>
      <c r="E73" t="s">
        <v>19</v>
      </c>
      <c r="F73">
        <v>1</v>
      </c>
      <c r="G73">
        <f t="shared" si="24"/>
        <v>55</v>
      </c>
      <c r="I73">
        <v>2050</v>
      </c>
      <c r="J73" t="s">
        <v>28</v>
      </c>
      <c r="K73">
        <f t="shared" si="25"/>
        <v>57.5</v>
      </c>
      <c r="L73" cm="1">
        <f t="array" ref="L73">STOWA2024_NDJF_T(A73*60,K73,I73,J73,"")</f>
        <v>1.9930336117264267</v>
      </c>
      <c r="M73">
        <f t="shared" si="26"/>
        <v>0.50174768459312102</v>
      </c>
    </row>
    <row r="74" spans="1:13" x14ac:dyDescent="0.3">
      <c r="A74">
        <v>96</v>
      </c>
      <c r="B74">
        <f t="shared" si="23"/>
        <v>0.17324739890929758</v>
      </c>
      <c r="C74">
        <f t="shared" si="19"/>
        <v>0.17324739890929758</v>
      </c>
      <c r="D74" t="s">
        <v>23</v>
      </c>
      <c r="E74" t="s">
        <v>19</v>
      </c>
      <c r="F74">
        <v>1</v>
      </c>
      <c r="G74">
        <f t="shared" si="24"/>
        <v>60</v>
      </c>
      <c r="I74">
        <v>2050</v>
      </c>
      <c r="J74" t="s">
        <v>28</v>
      </c>
      <c r="K74">
        <f t="shared" si="25"/>
        <v>62.5</v>
      </c>
      <c r="L74" cm="1">
        <f t="array" ref="L74">STOWA2024_NDJF_T(A74*60,K74,I74,J74,"")</f>
        <v>3.0441373830721257</v>
      </c>
      <c r="M74">
        <f t="shared" si="26"/>
        <v>0.32850028568382345</v>
      </c>
    </row>
    <row r="75" spans="1:13" x14ac:dyDescent="0.3">
      <c r="A75">
        <v>96</v>
      </c>
      <c r="B75">
        <f t="shared" si="23"/>
        <v>0.11258333879368893</v>
      </c>
      <c r="C75">
        <f t="shared" si="19"/>
        <v>0.11258333879368893</v>
      </c>
      <c r="D75" t="s">
        <v>23</v>
      </c>
      <c r="E75" t="s">
        <v>19</v>
      </c>
      <c r="F75">
        <v>1</v>
      </c>
      <c r="G75">
        <f t="shared" si="24"/>
        <v>65</v>
      </c>
      <c r="I75">
        <v>2050</v>
      </c>
      <c r="J75" t="s">
        <v>28</v>
      </c>
      <c r="K75">
        <f t="shared" si="25"/>
        <v>67.5</v>
      </c>
      <c r="L75" cm="1">
        <f t="array" ref="L75">STOWA2024_NDJF_T(A75*60,K75,I75,J75,"")</f>
        <v>4.6314104307376676</v>
      </c>
      <c r="M75">
        <f t="shared" si="26"/>
        <v>0.21591694689013452</v>
      </c>
    </row>
    <row r="76" spans="1:13" x14ac:dyDescent="0.3">
      <c r="A76">
        <v>96</v>
      </c>
      <c r="B76">
        <f t="shared" si="23"/>
        <v>7.345197757588201E-2</v>
      </c>
      <c r="C76">
        <f t="shared" si="19"/>
        <v>7.345197757588201E-2</v>
      </c>
      <c r="D76" t="s">
        <v>23</v>
      </c>
      <c r="E76" t="s">
        <v>19</v>
      </c>
      <c r="F76">
        <v>1</v>
      </c>
      <c r="G76">
        <f t="shared" si="24"/>
        <v>70</v>
      </c>
      <c r="I76">
        <v>2050</v>
      </c>
      <c r="J76" t="s">
        <v>28</v>
      </c>
      <c r="K76">
        <f t="shared" si="25"/>
        <v>72.5</v>
      </c>
      <c r="L76" cm="1">
        <f t="array" ref="L76">STOWA2024_NDJF_T(A76*60,K76,I76,J76,"")</f>
        <v>7.0192694022498756</v>
      </c>
      <c r="M76">
        <f t="shared" si="26"/>
        <v>0.14246496931425251</v>
      </c>
    </row>
    <row r="77" spans="1:13" x14ac:dyDescent="0.3">
      <c r="A77">
        <v>96</v>
      </c>
      <c r="B77">
        <f t="shared" si="23"/>
        <v>4.8110820388793135E-2</v>
      </c>
      <c r="C77">
        <f t="shared" si="19"/>
        <v>4.8110820388793135E-2</v>
      </c>
      <c r="D77" t="s">
        <v>23</v>
      </c>
      <c r="E77" t="s">
        <v>19</v>
      </c>
      <c r="F77">
        <v>1</v>
      </c>
      <c r="G77">
        <f t="shared" si="24"/>
        <v>75</v>
      </c>
      <c r="I77">
        <v>2050</v>
      </c>
      <c r="J77" t="s">
        <v>28</v>
      </c>
      <c r="K77">
        <f t="shared" si="25"/>
        <v>77.5</v>
      </c>
      <c r="L77" cm="1">
        <f t="array" ref="L77">STOWA2024_NDJF_T(A77*60,K77,I77,J77,"")</f>
        <v>10.598368078016463</v>
      </c>
      <c r="M77">
        <f t="shared" si="26"/>
        <v>9.4354148925459375E-2</v>
      </c>
    </row>
    <row r="78" spans="1:13" x14ac:dyDescent="0.3">
      <c r="A78">
        <v>96</v>
      </c>
      <c r="B78">
        <f t="shared" si="23"/>
        <v>3.1631377944954103E-2</v>
      </c>
      <c r="C78">
        <f t="shared" si="19"/>
        <v>3.1631377944954103E-2</v>
      </c>
      <c r="D78" t="s">
        <v>23</v>
      </c>
      <c r="E78" t="s">
        <v>19</v>
      </c>
      <c r="F78">
        <v>1</v>
      </c>
      <c r="G78">
        <f t="shared" si="24"/>
        <v>80</v>
      </c>
      <c r="I78">
        <v>2050</v>
      </c>
      <c r="J78" t="s">
        <v>28</v>
      </c>
      <c r="K78">
        <f t="shared" si="25"/>
        <v>82.5</v>
      </c>
      <c r="L78" cm="1">
        <f t="array" ref="L78">STOWA2024_NDJF_T(A78*60,K78,I78,J78,"")</f>
        <v>15.94317317885729</v>
      </c>
      <c r="M78">
        <f t="shared" si="26"/>
        <v>6.2722770980505271E-2</v>
      </c>
    </row>
    <row r="79" spans="1:13" x14ac:dyDescent="0.3">
      <c r="A79">
        <v>96</v>
      </c>
      <c r="B79">
        <f t="shared" si="23"/>
        <v>2.0875817654772748E-2</v>
      </c>
      <c r="C79">
        <f t="shared" si="19"/>
        <v>2.0875817654772748E-2</v>
      </c>
      <c r="D79" t="s">
        <v>23</v>
      </c>
      <c r="E79" t="s">
        <v>19</v>
      </c>
      <c r="F79">
        <v>1</v>
      </c>
      <c r="G79">
        <f t="shared" si="24"/>
        <v>85</v>
      </c>
      <c r="I79">
        <v>2050</v>
      </c>
      <c r="J79" t="s">
        <v>28</v>
      </c>
      <c r="K79">
        <f t="shared" si="25"/>
        <v>87.5</v>
      </c>
      <c r="L79" cm="1">
        <f t="array" ref="L79">STOWA2024_NDJF_T(A79*60,K79,I79,J79,"")</f>
        <v>23.896602273912258</v>
      </c>
      <c r="M79">
        <f t="shared" si="26"/>
        <v>4.1846953325732524E-2</v>
      </c>
    </row>
    <row r="80" spans="1:13" x14ac:dyDescent="0.3">
      <c r="A80">
        <v>96</v>
      </c>
      <c r="B80">
        <f t="shared" si="23"/>
        <v>1.3827665176703908E-2</v>
      </c>
      <c r="C80">
        <f t="shared" si="19"/>
        <v>1.3827665176703908E-2</v>
      </c>
      <c r="D80" t="s">
        <v>23</v>
      </c>
      <c r="E80" t="s">
        <v>19</v>
      </c>
      <c r="F80">
        <v>1</v>
      </c>
      <c r="G80">
        <f t="shared" si="24"/>
        <v>90</v>
      </c>
      <c r="I80">
        <v>2050</v>
      </c>
      <c r="J80" t="s">
        <v>28</v>
      </c>
      <c r="K80">
        <f t="shared" si="25"/>
        <v>92.5</v>
      </c>
      <c r="L80" cm="1">
        <f t="array" ref="L80">STOWA2024_NDJF_T(A80*60,K80,I80,J80,"")</f>
        <v>35.689700419268803</v>
      </c>
      <c r="M80">
        <f t="shared" si="26"/>
        <v>2.8019288149028616E-2</v>
      </c>
    </row>
    <row r="81" spans="1:13" x14ac:dyDescent="0.3">
      <c r="A81">
        <v>96</v>
      </c>
      <c r="B81">
        <f t="shared" si="23"/>
        <v>9.1926006031038815E-3</v>
      </c>
      <c r="C81">
        <f t="shared" si="19"/>
        <v>9.1926006031038815E-3</v>
      </c>
      <c r="D81" t="s">
        <v>23</v>
      </c>
      <c r="E81" t="s">
        <v>19</v>
      </c>
      <c r="F81">
        <v>1</v>
      </c>
      <c r="G81">
        <f t="shared" si="24"/>
        <v>95</v>
      </c>
      <c r="I81">
        <v>2050</v>
      </c>
      <c r="J81" t="s">
        <v>28</v>
      </c>
      <c r="K81">
        <f t="shared" si="25"/>
        <v>97.5</v>
      </c>
      <c r="L81" cm="1">
        <f t="array" ref="L81">STOWA2024_NDJF_T(A81*60,K81,I81,J81,"")</f>
        <v>53.116088401672236</v>
      </c>
      <c r="M81">
        <f t="shared" si="26"/>
        <v>1.8826687545924734E-2</v>
      </c>
    </row>
    <row r="82" spans="1:13" x14ac:dyDescent="0.3">
      <c r="A82">
        <v>96</v>
      </c>
      <c r="B82">
        <f t="shared" si="23"/>
        <v>6.1329969422679684E-3</v>
      </c>
      <c r="C82">
        <f t="shared" si="19"/>
        <v>6.1329969422679684E-3</v>
      </c>
      <c r="D82" t="s">
        <v>23</v>
      </c>
      <c r="E82" t="s">
        <v>19</v>
      </c>
      <c r="F82">
        <v>1</v>
      </c>
      <c r="G82">
        <f t="shared" si="24"/>
        <v>100</v>
      </c>
      <c r="I82">
        <v>2050</v>
      </c>
      <c r="J82" t="s">
        <v>28</v>
      </c>
      <c r="K82">
        <f t="shared" si="25"/>
        <v>102.5</v>
      </c>
      <c r="L82" cm="1">
        <f t="array" ref="L82">STOWA2024_NDJF_T(A82*60,K82,I82,J82,"")</f>
        <v>78.779295259640449</v>
      </c>
      <c r="M82">
        <f t="shared" si="26"/>
        <v>1.2693690603656766E-2</v>
      </c>
    </row>
    <row r="83" spans="1:13" x14ac:dyDescent="0.3">
      <c r="A83">
        <v>96</v>
      </c>
      <c r="B83">
        <f t="shared" si="23"/>
        <v>4.1060597121272639E-3</v>
      </c>
      <c r="C83">
        <f t="shared" si="19"/>
        <v>4.1060597121272639E-3</v>
      </c>
      <c r="D83" t="s">
        <v>23</v>
      </c>
      <c r="E83" t="s">
        <v>19</v>
      </c>
      <c r="F83">
        <v>1</v>
      </c>
      <c r="G83">
        <f t="shared" si="24"/>
        <v>105</v>
      </c>
      <c r="I83">
        <v>2050</v>
      </c>
      <c r="J83" t="s">
        <v>28</v>
      </c>
      <c r="K83">
        <f t="shared" si="25"/>
        <v>107.5</v>
      </c>
      <c r="L83" cm="1">
        <f t="array" ref="L83">STOWA2024_NDJF_T(A83*60,K83,I83,J83,"")</f>
        <v>116.44655116539303</v>
      </c>
      <c r="M83">
        <f t="shared" si="26"/>
        <v>8.5876308915295019E-3</v>
      </c>
    </row>
    <row r="84" spans="1:13" x14ac:dyDescent="0.3">
      <c r="A84">
        <v>96</v>
      </c>
      <c r="B84">
        <f t="shared" si="23"/>
        <v>2.7584807078606102E-3</v>
      </c>
      <c r="C84">
        <f t="shared" si="19"/>
        <v>2.7584807078606102E-3</v>
      </c>
      <c r="D84" t="s">
        <v>23</v>
      </c>
      <c r="E84" t="s">
        <v>19</v>
      </c>
      <c r="F84">
        <v>1</v>
      </c>
      <c r="G84">
        <f t="shared" si="24"/>
        <v>110</v>
      </c>
      <c r="I84">
        <v>2050</v>
      </c>
      <c r="J84" t="s">
        <v>28</v>
      </c>
      <c r="K84">
        <f t="shared" si="25"/>
        <v>112.5</v>
      </c>
      <c r="L84" cm="1">
        <f t="array" ref="L84">STOWA2024_NDJF_T(A84*60,K84,I84,J84,"")</f>
        <v>171.55159302665209</v>
      </c>
      <c r="M84">
        <f t="shared" si="26"/>
        <v>5.8291501836688917E-3</v>
      </c>
    </row>
    <row r="85" spans="1:13" x14ac:dyDescent="0.3">
      <c r="A85">
        <v>96</v>
      </c>
      <c r="B85">
        <f t="shared" si="23"/>
        <v>1.8594371423557299E-3</v>
      </c>
      <c r="C85">
        <f t="shared" si="19"/>
        <v>1.8594371423557299E-3</v>
      </c>
      <c r="D85" t="s">
        <v>23</v>
      </c>
      <c r="E85" t="s">
        <v>19</v>
      </c>
      <c r="F85">
        <v>1</v>
      </c>
      <c r="G85">
        <f t="shared" si="24"/>
        <v>115</v>
      </c>
      <c r="I85">
        <v>2050</v>
      </c>
      <c r="J85" t="s">
        <v>28</v>
      </c>
      <c r="K85">
        <f t="shared" si="25"/>
        <v>117.5</v>
      </c>
      <c r="L85" cm="1">
        <f t="array" ref="L85">STOWA2024_NDJF_T(A85*60,K85,I85,J85,"")</f>
        <v>251.90737708063776</v>
      </c>
      <c r="M85">
        <f t="shared" si="26"/>
        <v>3.9697130413131618E-3</v>
      </c>
    </row>
    <row r="86" spans="1:13" x14ac:dyDescent="0.3">
      <c r="A86">
        <v>96</v>
      </c>
      <c r="B86">
        <f t="shared" si="23"/>
        <v>1.2575788786943049E-3</v>
      </c>
      <c r="C86">
        <f t="shared" si="19"/>
        <v>1.2575788786943049E-3</v>
      </c>
      <c r="D86" t="s">
        <v>23</v>
      </c>
      <c r="E86" t="s">
        <v>19</v>
      </c>
      <c r="F86">
        <v>1</v>
      </c>
      <c r="G86">
        <f t="shared" si="24"/>
        <v>120</v>
      </c>
      <c r="I86">
        <v>2050</v>
      </c>
      <c r="J86" t="s">
        <v>28</v>
      </c>
      <c r="K86">
        <f t="shared" si="25"/>
        <v>122.5</v>
      </c>
      <c r="L86" cm="1">
        <f t="array" ref="L86">STOWA2024_NDJF_T(A86*60,K86,I86,J86,"")</f>
        <v>368.71332317660591</v>
      </c>
      <c r="M86">
        <f t="shared" si="26"/>
        <v>2.7121341626188569E-3</v>
      </c>
    </row>
    <row r="87" spans="1:13" x14ac:dyDescent="0.3">
      <c r="A87">
        <v>96</v>
      </c>
      <c r="B87">
        <f t="shared" si="23"/>
        <v>8.5331049633718091E-4</v>
      </c>
      <c r="C87">
        <f t="shared" si="19"/>
        <v>8.5331049633718091E-4</v>
      </c>
      <c r="D87" t="s">
        <v>23</v>
      </c>
      <c r="E87" t="s">
        <v>19</v>
      </c>
      <c r="F87">
        <v>1</v>
      </c>
      <c r="G87">
        <f t="shared" si="24"/>
        <v>125</v>
      </c>
      <c r="I87">
        <v>2050</v>
      </c>
      <c r="J87" t="s">
        <v>28</v>
      </c>
      <c r="K87">
        <f t="shared" si="25"/>
        <v>127.5</v>
      </c>
      <c r="L87" cm="1">
        <f t="array" ref="L87">STOWA2024_NDJF_T(A87*60,K87,I87,J87,"")</f>
        <v>537.97464393186044</v>
      </c>
      <c r="M87">
        <f t="shared" si="26"/>
        <v>1.858823666281676E-3</v>
      </c>
    </row>
    <row r="88" spans="1:13" x14ac:dyDescent="0.3">
      <c r="A88">
        <v>96</v>
      </c>
      <c r="B88">
        <f t="shared" si="23"/>
        <v>5.8086284160992056E-4</v>
      </c>
      <c r="C88">
        <f t="shared" si="19"/>
        <v>5.8086284160992056E-4</v>
      </c>
      <c r="D88" t="s">
        <v>23</v>
      </c>
      <c r="E88" t="s">
        <v>19</v>
      </c>
      <c r="F88">
        <v>1</v>
      </c>
      <c r="G88">
        <f t="shared" si="24"/>
        <v>130</v>
      </c>
      <c r="I88">
        <v>2050</v>
      </c>
      <c r="J88" t="s">
        <v>28</v>
      </c>
      <c r="K88">
        <f t="shared" si="25"/>
        <v>132.5</v>
      </c>
      <c r="L88" cm="1">
        <f t="array" ref="L88">STOWA2024_NDJF_T(A88*60,K88,I88,J88,"")</f>
        <v>782.49659981310481</v>
      </c>
      <c r="M88">
        <f t="shared" si="26"/>
        <v>1.2779608246717554E-3</v>
      </c>
    </row>
    <row r="89" spans="1:13" x14ac:dyDescent="0.3">
      <c r="A89">
        <v>96</v>
      </c>
      <c r="B89">
        <f t="shared" si="23"/>
        <v>3.9665402610480828E-4</v>
      </c>
      <c r="C89">
        <f t="shared" si="19"/>
        <v>3.9665402610480828E-4</v>
      </c>
      <c r="D89" t="s">
        <v>23</v>
      </c>
      <c r="E89" t="s">
        <v>19</v>
      </c>
      <c r="F89">
        <v>1</v>
      </c>
      <c r="G89">
        <f t="shared" si="24"/>
        <v>135</v>
      </c>
      <c r="I89">
        <v>2050</v>
      </c>
      <c r="J89" t="s">
        <v>28</v>
      </c>
      <c r="K89">
        <f t="shared" si="25"/>
        <v>137.5</v>
      </c>
      <c r="L89" cm="1">
        <f t="array" ref="L89">STOWA2024_NDJF_T(A89*60,K89,I89,J89,"")</f>
        <v>1134.6786404303864</v>
      </c>
      <c r="M89">
        <f t="shared" si="26"/>
        <v>8.8130679856694716E-4</v>
      </c>
    </row>
    <row r="90" spans="1:13" x14ac:dyDescent="0.3">
      <c r="A90">
        <v>96</v>
      </c>
      <c r="B90">
        <f t="shared" si="23"/>
        <v>2.7170259220806717E-4</v>
      </c>
      <c r="C90">
        <f t="shared" si="19"/>
        <v>2.7170259220806717E-4</v>
      </c>
      <c r="D90" t="s">
        <v>23</v>
      </c>
      <c r="E90" t="s">
        <v>19</v>
      </c>
      <c r="F90">
        <v>1</v>
      </c>
      <c r="G90">
        <f t="shared" si="24"/>
        <v>140</v>
      </c>
      <c r="I90">
        <v>2050</v>
      </c>
      <c r="J90" t="s">
        <v>28</v>
      </c>
      <c r="K90">
        <f t="shared" si="25"/>
        <v>142.5</v>
      </c>
      <c r="L90" cm="1">
        <f t="array" ref="L90">STOWA2024_NDJF_T(A90*60,K90,I90,J90,"")</f>
        <v>1640.4086283671247</v>
      </c>
      <c r="M90">
        <f t="shared" si="26"/>
        <v>6.0960420635887999E-4</v>
      </c>
    </row>
    <row r="91" spans="1:13" x14ac:dyDescent="0.3">
      <c r="A91">
        <v>96</v>
      </c>
      <c r="B91">
        <f t="shared" si="23"/>
        <v>1.8668862103531563E-4</v>
      </c>
      <c r="C91">
        <f t="shared" si="19"/>
        <v>1.8668862103531563E-4</v>
      </c>
      <c r="D91" t="s">
        <v>23</v>
      </c>
      <c r="E91" t="s">
        <v>19</v>
      </c>
      <c r="F91">
        <v>1</v>
      </c>
      <c r="G91">
        <f t="shared" si="24"/>
        <v>145</v>
      </c>
      <c r="I91">
        <v>2050</v>
      </c>
      <c r="J91" t="s">
        <v>28</v>
      </c>
      <c r="K91">
        <f t="shared" si="25"/>
        <v>147.5</v>
      </c>
      <c r="L91" cm="1">
        <f t="array" ref="L91">STOWA2024_NDJF_T(A91*60,K91,I91,J91,"")</f>
        <v>2364.5380655217987</v>
      </c>
      <c r="M91">
        <f t="shared" si="26"/>
        <v>4.2291558532356436E-4</v>
      </c>
    </row>
    <row r="92" spans="1:13" x14ac:dyDescent="0.3">
      <c r="A92">
        <v>96</v>
      </c>
      <c r="B92">
        <f t="shared" si="23"/>
        <v>1.2865876950039046E-4</v>
      </c>
      <c r="C92">
        <f t="shared" si="19"/>
        <v>1.2865876950039046E-4</v>
      </c>
      <c r="D92" t="s">
        <v>23</v>
      </c>
      <c r="E92" t="s">
        <v>19</v>
      </c>
      <c r="F92">
        <v>1</v>
      </c>
      <c r="G92">
        <f t="shared" si="24"/>
        <v>150</v>
      </c>
      <c r="I92">
        <v>2050</v>
      </c>
      <c r="J92" t="s">
        <v>28</v>
      </c>
      <c r="K92">
        <f t="shared" si="25"/>
        <v>152.5</v>
      </c>
      <c r="L92" cm="1">
        <f t="array" ref="L92">STOWA2024_NDJF_T(A92*60,K92,I92,J92,"")</f>
        <v>3398.3919699617918</v>
      </c>
      <c r="M92">
        <f t="shared" si="26"/>
        <v>2.9425681582317389E-4</v>
      </c>
    </row>
    <row r="93" spans="1:13" x14ac:dyDescent="0.3">
      <c r="A93">
        <v>96</v>
      </c>
      <c r="B93">
        <f t="shared" si="23"/>
        <v>8.8928538675695385E-5</v>
      </c>
      <c r="C93">
        <f t="shared" si="19"/>
        <v>8.8928538675695385E-5</v>
      </c>
      <c r="D93" t="s">
        <v>23</v>
      </c>
      <c r="E93" t="s">
        <v>19</v>
      </c>
      <c r="F93">
        <v>1</v>
      </c>
      <c r="G93">
        <f t="shared" si="24"/>
        <v>155</v>
      </c>
      <c r="I93">
        <v>2050</v>
      </c>
      <c r="J93" t="s">
        <v>28</v>
      </c>
      <c r="K93">
        <f t="shared" si="25"/>
        <v>157.5</v>
      </c>
      <c r="L93" cm="1">
        <f t="array" ref="L93">STOWA2024_NDJF_T(A93*60,K93,I93,J93,"")</f>
        <v>4870.249796533104</v>
      </c>
      <c r="M93">
        <f t="shared" si="26"/>
        <v>2.0532827714747851E-4</v>
      </c>
    </row>
    <row r="94" spans="1:13" x14ac:dyDescent="0.3">
      <c r="A94">
        <v>96</v>
      </c>
      <c r="B94" s="1">
        <f>M93</f>
        <v>2.0532827714747851E-4</v>
      </c>
      <c r="C94">
        <f t="shared" si="19"/>
        <v>2.0532827714747851E-4</v>
      </c>
      <c r="D94" t="s">
        <v>23</v>
      </c>
      <c r="E94" t="s">
        <v>19</v>
      </c>
      <c r="F94">
        <v>1</v>
      </c>
      <c r="G94">
        <f t="shared" si="24"/>
        <v>160</v>
      </c>
      <c r="I94">
        <v>2050</v>
      </c>
      <c r="J94" t="s">
        <v>28</v>
      </c>
      <c r="K94">
        <f>AVERAGE(G94:G95)</f>
        <v>85</v>
      </c>
      <c r="L94" cm="1">
        <f t="array" ref="L94">STOWA2024_NDJF_T(A94*60,K94,I94,J94,"")</f>
        <v>19.527785985378856</v>
      </c>
      <c r="M94">
        <f>1/L94</f>
        <v>5.1209082317305983E-2</v>
      </c>
    </row>
    <row r="95" spans="1:13" x14ac:dyDescent="0.3">
      <c r="A95">
        <v>192</v>
      </c>
      <c r="B95" s="1">
        <f>365.25*24/A95 - M95</f>
        <v>23.256458139362412</v>
      </c>
      <c r="C95">
        <f>B95</f>
        <v>23.256458139362412</v>
      </c>
      <c r="D95" t="s">
        <v>23</v>
      </c>
      <c r="E95" t="s">
        <v>19</v>
      </c>
      <c r="F95">
        <v>1</v>
      </c>
      <c r="G95">
        <v>10</v>
      </c>
      <c r="I95">
        <v>2050</v>
      </c>
      <c r="J95" t="s">
        <v>28</v>
      </c>
      <c r="K95">
        <f>AVERAGE(G95:G97)</f>
        <v>15</v>
      </c>
      <c r="L95" cm="1">
        <f t="array" ref="L95">STOWA2024_NDJF_T(A95*60,K95,I95,J95,"")</f>
        <v>4.4643271965275129E-2</v>
      </c>
      <c r="M95">
        <f>1/L95</f>
        <v>22.399791860637588</v>
      </c>
    </row>
    <row r="96" spans="1:13" x14ac:dyDescent="0.3">
      <c r="A96">
        <v>192</v>
      </c>
      <c r="B96">
        <f t="shared" ref="B96:B100" si="27">M95-M96</f>
        <v>2.8273434090983223</v>
      </c>
      <c r="C96">
        <f t="shared" ref="C96:C125" si="28">B96</f>
        <v>2.8273434090983223</v>
      </c>
      <c r="D96" t="s">
        <v>23</v>
      </c>
      <c r="E96" t="s">
        <v>19</v>
      </c>
      <c r="F96">
        <v>1</v>
      </c>
      <c r="G96">
        <f t="shared" ref="G96:G100" si="29">G95+5</f>
        <v>15</v>
      </c>
      <c r="I96">
        <v>2050</v>
      </c>
      <c r="J96" t="s">
        <v>28</v>
      </c>
      <c r="K96">
        <f t="shared" ref="K96:K100" si="30">AVERAGE(G96:G97)</f>
        <v>17.5</v>
      </c>
      <c r="L96" cm="1">
        <f t="array" ref="L96">STOWA2024_NDJF_T(A96*60,K96,I96,J96,"")</f>
        <v>5.1092228061091427E-2</v>
      </c>
      <c r="M96">
        <f t="shared" ref="M96:M100" si="31">1/L96</f>
        <v>19.572448451539266</v>
      </c>
    </row>
    <row r="97" spans="1:13" x14ac:dyDescent="0.3">
      <c r="A97">
        <v>192</v>
      </c>
      <c r="B97">
        <f t="shared" si="27"/>
        <v>4.6669795901460809</v>
      </c>
      <c r="C97">
        <f t="shared" si="28"/>
        <v>4.6669795901460809</v>
      </c>
      <c r="D97" t="s">
        <v>23</v>
      </c>
      <c r="E97" t="s">
        <v>19</v>
      </c>
      <c r="F97">
        <v>1</v>
      </c>
      <c r="G97">
        <f t="shared" si="29"/>
        <v>20</v>
      </c>
      <c r="I97">
        <v>2050</v>
      </c>
      <c r="J97" t="s">
        <v>28</v>
      </c>
      <c r="K97">
        <f t="shared" si="30"/>
        <v>22.5</v>
      </c>
      <c r="L97" cm="1">
        <f t="array" ref="L97">STOWA2024_NDJF_T(A97*60,K97,I97,J97,"")</f>
        <v>6.7089469596633131E-2</v>
      </c>
      <c r="M97">
        <f t="shared" si="31"/>
        <v>14.905468861393185</v>
      </c>
    </row>
    <row r="98" spans="1:13" x14ac:dyDescent="0.3">
      <c r="A98">
        <v>192</v>
      </c>
      <c r="B98">
        <f t="shared" si="27"/>
        <v>3.5933592711815052</v>
      </c>
      <c r="C98">
        <f t="shared" si="28"/>
        <v>3.5933592711815052</v>
      </c>
      <c r="D98" t="s">
        <v>23</v>
      </c>
      <c r="E98" t="s">
        <v>19</v>
      </c>
      <c r="F98">
        <v>1</v>
      </c>
      <c r="G98">
        <f t="shared" si="29"/>
        <v>25</v>
      </c>
      <c r="I98">
        <v>2050</v>
      </c>
      <c r="J98" t="s">
        <v>28</v>
      </c>
      <c r="K98">
        <f t="shared" si="30"/>
        <v>27.5</v>
      </c>
      <c r="L98" cm="1">
        <f t="array" ref="L98">STOWA2024_NDJF_T(A98*60,K98,I98,J98,"")</f>
        <v>8.8400840888714138E-2</v>
      </c>
      <c r="M98">
        <f t="shared" si="31"/>
        <v>11.31210959021168</v>
      </c>
    </row>
    <row r="99" spans="1:13" x14ac:dyDescent="0.3">
      <c r="A99">
        <v>192</v>
      </c>
      <c r="B99">
        <f t="shared" si="27"/>
        <v>2.7574727627128048</v>
      </c>
      <c r="C99">
        <f t="shared" si="28"/>
        <v>2.7574727627128048</v>
      </c>
      <c r="D99" t="s">
        <v>23</v>
      </c>
      <c r="E99" t="s">
        <v>19</v>
      </c>
      <c r="F99">
        <v>1</v>
      </c>
      <c r="G99">
        <f t="shared" si="29"/>
        <v>30</v>
      </c>
      <c r="I99">
        <v>2050</v>
      </c>
      <c r="J99" t="s">
        <v>28</v>
      </c>
      <c r="K99">
        <f t="shared" si="30"/>
        <v>32.5</v>
      </c>
      <c r="L99" cm="1">
        <f t="array" ref="L99">STOWA2024_NDJF_T(A99*60,K99,I99,J99,"")</f>
        <v>0.11689566958418394</v>
      </c>
      <c r="M99">
        <f t="shared" si="31"/>
        <v>8.5546368274988751</v>
      </c>
    </row>
    <row r="100" spans="1:13" x14ac:dyDescent="0.3">
      <c r="A100">
        <v>192</v>
      </c>
      <c r="B100">
        <f t="shared" si="27"/>
        <v>2.1087885518797265</v>
      </c>
      <c r="C100">
        <f t="shared" si="28"/>
        <v>2.1087885518797265</v>
      </c>
      <c r="D100" t="s">
        <v>23</v>
      </c>
      <c r="E100" t="s">
        <v>19</v>
      </c>
      <c r="F100">
        <v>1</v>
      </c>
      <c r="G100">
        <f t="shared" si="29"/>
        <v>35</v>
      </c>
      <c r="I100">
        <v>2050</v>
      </c>
      <c r="J100" t="s">
        <v>28</v>
      </c>
      <c r="K100">
        <f t="shared" si="30"/>
        <v>37.5</v>
      </c>
      <c r="L100" cm="1">
        <f t="array" ref="L100">STOWA2024_NDJF_T(A100*60,K100,I100,J100,"")</f>
        <v>0.15513861903675449</v>
      </c>
      <c r="M100">
        <f t="shared" si="31"/>
        <v>6.4458482756191486</v>
      </c>
    </row>
    <row r="101" spans="1:13" x14ac:dyDescent="0.3">
      <c r="A101">
        <v>192</v>
      </c>
      <c r="B101">
        <f>M100-M101</f>
        <v>1.6070489333746503</v>
      </c>
      <c r="C101">
        <f t="shared" si="28"/>
        <v>1.6070489333746503</v>
      </c>
      <c r="D101" t="s">
        <v>23</v>
      </c>
      <c r="E101" t="s">
        <v>19</v>
      </c>
      <c r="F101">
        <v>1</v>
      </c>
      <c r="G101">
        <f>G100+5</f>
        <v>40</v>
      </c>
      <c r="I101">
        <v>2050</v>
      </c>
      <c r="J101" t="s">
        <v>28</v>
      </c>
      <c r="K101">
        <f>AVERAGE(G101:G102)</f>
        <v>42.5</v>
      </c>
      <c r="L101" cm="1">
        <f t="array" ref="L101">STOWA2024_NDJF_T(A101*60,K101,I101,J101,"")</f>
        <v>0.20666283705332272</v>
      </c>
      <c r="M101">
        <f>1/L101</f>
        <v>4.8387993422444984</v>
      </c>
    </row>
    <row r="102" spans="1:13" x14ac:dyDescent="0.3">
      <c r="A102">
        <v>192</v>
      </c>
      <c r="B102">
        <f t="shared" ref="B102:B124" si="32">M101-M102</f>
        <v>1.2202798336201366</v>
      </c>
      <c r="C102">
        <f t="shared" si="28"/>
        <v>1.2202798336201366</v>
      </c>
      <c r="D102" t="s">
        <v>23</v>
      </c>
      <c r="E102" t="s">
        <v>19</v>
      </c>
      <c r="F102">
        <v>1</v>
      </c>
      <c r="G102">
        <f t="shared" ref="G102:G125" si="33">G101+5</f>
        <v>45</v>
      </c>
      <c r="I102">
        <v>2050</v>
      </c>
      <c r="J102" t="s">
        <v>28</v>
      </c>
      <c r="K102">
        <f t="shared" ref="K102:K124" si="34">AVERAGE(G102:G103)</f>
        <v>47.5</v>
      </c>
      <c r="L102" cm="1">
        <f t="array" ref="L102">STOWA2024_NDJF_T(A102*60,K102,I102,J102,"")</f>
        <v>0.27635611680871275</v>
      </c>
      <c r="M102">
        <f t="shared" ref="M102:M124" si="35">1/L102</f>
        <v>3.6185195086243618</v>
      </c>
    </row>
    <row r="103" spans="1:13" x14ac:dyDescent="0.3">
      <c r="A103">
        <v>192</v>
      </c>
      <c r="B103">
        <f t="shared" si="32"/>
        <v>0.92319230584906853</v>
      </c>
      <c r="C103">
        <f t="shared" si="28"/>
        <v>0.92319230584906853</v>
      </c>
      <c r="D103" t="s">
        <v>23</v>
      </c>
      <c r="E103" t="s">
        <v>19</v>
      </c>
      <c r="F103">
        <v>1</v>
      </c>
      <c r="G103">
        <f t="shared" si="33"/>
        <v>50</v>
      </c>
      <c r="I103">
        <v>2050</v>
      </c>
      <c r="J103" t="s">
        <v>28</v>
      </c>
      <c r="K103">
        <f t="shared" si="34"/>
        <v>52.5</v>
      </c>
      <c r="L103" cm="1">
        <f t="array" ref="L103">STOWA2024_NDJF_T(A103*60,K103,I103,J103,"")</f>
        <v>0.37101246890185785</v>
      </c>
      <c r="M103">
        <f t="shared" si="35"/>
        <v>2.6953272027752933</v>
      </c>
    </row>
    <row r="104" spans="1:13" x14ac:dyDescent="0.3">
      <c r="A104">
        <v>192</v>
      </c>
      <c r="B104">
        <f t="shared" si="32"/>
        <v>0.69575672722974313</v>
      </c>
      <c r="C104">
        <f t="shared" si="28"/>
        <v>0.69575672722974313</v>
      </c>
      <c r="D104" t="s">
        <v>23</v>
      </c>
      <c r="E104" t="s">
        <v>19</v>
      </c>
      <c r="F104">
        <v>1</v>
      </c>
      <c r="G104">
        <f t="shared" si="33"/>
        <v>55</v>
      </c>
      <c r="I104">
        <v>2050</v>
      </c>
      <c r="J104" t="s">
        <v>28</v>
      </c>
      <c r="K104">
        <f t="shared" si="34"/>
        <v>57.5</v>
      </c>
      <c r="L104" cm="1">
        <f t="array" ref="L104">STOWA2024_NDJF_T(A104*60,K104,I104,J104,"")</f>
        <v>0.50010740417997335</v>
      </c>
      <c r="M104">
        <f t="shared" si="35"/>
        <v>1.9995704755455501</v>
      </c>
    </row>
    <row r="105" spans="1:13" x14ac:dyDescent="0.3">
      <c r="A105">
        <v>192</v>
      </c>
      <c r="B105">
        <f t="shared" si="32"/>
        <v>0.52231466047449815</v>
      </c>
      <c r="C105">
        <f t="shared" si="28"/>
        <v>0.52231466047449815</v>
      </c>
      <c r="D105" t="s">
        <v>23</v>
      </c>
      <c r="E105" t="s">
        <v>19</v>
      </c>
      <c r="F105">
        <v>1</v>
      </c>
      <c r="G105">
        <f t="shared" si="33"/>
        <v>60</v>
      </c>
      <c r="I105">
        <v>2050</v>
      </c>
      <c r="J105" t="s">
        <v>28</v>
      </c>
      <c r="K105">
        <f t="shared" si="34"/>
        <v>62.5</v>
      </c>
      <c r="L105" cm="1">
        <f t="array" ref="L105">STOWA2024_NDJF_T(A105*60,K105,I105,J105,"")</f>
        <v>0.67693082660290815</v>
      </c>
      <c r="M105">
        <f t="shared" si="35"/>
        <v>1.477255815071052</v>
      </c>
    </row>
    <row r="106" spans="1:13" x14ac:dyDescent="0.3">
      <c r="A106">
        <v>192</v>
      </c>
      <c r="B106">
        <f t="shared" si="32"/>
        <v>0.39052612388932295</v>
      </c>
      <c r="C106">
        <f t="shared" si="28"/>
        <v>0.39052612388932295</v>
      </c>
      <c r="D106" t="s">
        <v>23</v>
      </c>
      <c r="E106" t="s">
        <v>19</v>
      </c>
      <c r="F106">
        <v>1</v>
      </c>
      <c r="G106">
        <f t="shared" si="33"/>
        <v>65</v>
      </c>
      <c r="I106">
        <v>2050</v>
      </c>
      <c r="J106" t="s">
        <v>28</v>
      </c>
      <c r="K106">
        <f t="shared" si="34"/>
        <v>67.5</v>
      </c>
      <c r="L106" cm="1">
        <f t="array" ref="L106">STOWA2024_NDJF_T(A106*60,K106,I106,J106,"")</f>
        <v>0.9201920294572814</v>
      </c>
      <c r="M106">
        <f t="shared" si="35"/>
        <v>1.086729691181729</v>
      </c>
    </row>
    <row r="107" spans="1:13" x14ac:dyDescent="0.3">
      <c r="A107">
        <v>192</v>
      </c>
      <c r="B107">
        <f t="shared" si="32"/>
        <v>0.29074497428171486</v>
      </c>
      <c r="C107">
        <f t="shared" si="28"/>
        <v>0.29074497428171486</v>
      </c>
      <c r="D107" t="s">
        <v>23</v>
      </c>
      <c r="E107" t="s">
        <v>19</v>
      </c>
      <c r="F107">
        <v>1</v>
      </c>
      <c r="G107">
        <f t="shared" si="33"/>
        <v>70</v>
      </c>
      <c r="I107">
        <v>2050</v>
      </c>
      <c r="J107" t="s">
        <v>28</v>
      </c>
      <c r="K107">
        <f t="shared" si="34"/>
        <v>72.5</v>
      </c>
      <c r="L107" cm="1">
        <f t="array" ref="L107">STOWA2024_NDJF_T(A107*60,K107,I107,J107,"")</f>
        <v>1.2563055279434627</v>
      </c>
      <c r="M107">
        <f t="shared" si="35"/>
        <v>0.79598471690001416</v>
      </c>
    </row>
    <row r="108" spans="1:13" x14ac:dyDescent="0.3">
      <c r="A108">
        <v>192</v>
      </c>
      <c r="B108">
        <f t="shared" si="32"/>
        <v>0.21563040972429892</v>
      </c>
      <c r="C108">
        <f t="shared" si="28"/>
        <v>0.21563040972429892</v>
      </c>
      <c r="D108" t="s">
        <v>23</v>
      </c>
      <c r="E108" t="s">
        <v>19</v>
      </c>
      <c r="F108">
        <v>1</v>
      </c>
      <c r="G108">
        <f t="shared" si="33"/>
        <v>75</v>
      </c>
      <c r="I108">
        <v>2050</v>
      </c>
      <c r="J108" t="s">
        <v>28</v>
      </c>
      <c r="K108">
        <f t="shared" si="34"/>
        <v>77.5</v>
      </c>
      <c r="L108" cm="1">
        <f t="array" ref="L108">STOWA2024_NDJF_T(A108*60,K108,I108,J108,"")</f>
        <v>1.7230853422394394</v>
      </c>
      <c r="M108">
        <f t="shared" si="35"/>
        <v>0.58035430717571523</v>
      </c>
    </row>
    <row r="109" spans="1:13" x14ac:dyDescent="0.3">
      <c r="A109">
        <v>192</v>
      </c>
      <c r="B109">
        <f t="shared" si="32"/>
        <v>0.15918072878842471</v>
      </c>
      <c r="C109">
        <f t="shared" si="28"/>
        <v>0.15918072878842471</v>
      </c>
      <c r="D109" t="s">
        <v>23</v>
      </c>
      <c r="E109" t="s">
        <v>19</v>
      </c>
      <c r="F109">
        <v>1</v>
      </c>
      <c r="G109">
        <f t="shared" si="33"/>
        <v>80</v>
      </c>
      <c r="I109">
        <v>2050</v>
      </c>
      <c r="J109" t="s">
        <v>28</v>
      </c>
      <c r="K109">
        <f t="shared" si="34"/>
        <v>82.5</v>
      </c>
      <c r="L109" cm="1">
        <f t="array" ref="L109">STOWA2024_NDJF_T(A109*60,K109,I109,J109,"")</f>
        <v>2.3743179803184358</v>
      </c>
      <c r="M109">
        <f t="shared" si="35"/>
        <v>0.42117357838729053</v>
      </c>
    </row>
    <row r="110" spans="1:13" x14ac:dyDescent="0.3">
      <c r="A110">
        <v>192</v>
      </c>
      <c r="B110">
        <f t="shared" si="32"/>
        <v>0.11698695766156086</v>
      </c>
      <c r="C110">
        <f t="shared" si="28"/>
        <v>0.11698695766156086</v>
      </c>
      <c r="D110" t="s">
        <v>23</v>
      </c>
      <c r="E110" t="s">
        <v>19</v>
      </c>
      <c r="F110">
        <v>1</v>
      </c>
      <c r="G110">
        <f t="shared" si="33"/>
        <v>85</v>
      </c>
      <c r="I110">
        <v>2050</v>
      </c>
      <c r="J110" t="s">
        <v>28</v>
      </c>
      <c r="K110">
        <f t="shared" si="34"/>
        <v>87.5</v>
      </c>
      <c r="L110" cm="1">
        <f t="array" ref="L110">STOWA2024_NDJF_T(A110*60,K110,I110,J110,"")</f>
        <v>3.2874555679477155</v>
      </c>
      <c r="M110">
        <f t="shared" si="35"/>
        <v>0.30418662072572966</v>
      </c>
    </row>
    <row r="111" spans="1:13" x14ac:dyDescent="0.3">
      <c r="A111">
        <v>192</v>
      </c>
      <c r="B111">
        <f t="shared" si="32"/>
        <v>8.5574153673530329E-2</v>
      </c>
      <c r="C111">
        <f t="shared" si="28"/>
        <v>8.5574153673530329E-2</v>
      </c>
      <c r="D111" t="s">
        <v>23</v>
      </c>
      <c r="E111" t="s">
        <v>19</v>
      </c>
      <c r="F111">
        <v>1</v>
      </c>
      <c r="G111">
        <f t="shared" si="33"/>
        <v>90</v>
      </c>
      <c r="I111">
        <v>2050</v>
      </c>
      <c r="J111" t="s">
        <v>28</v>
      </c>
      <c r="K111">
        <f t="shared" si="34"/>
        <v>92.5</v>
      </c>
      <c r="L111" cm="1">
        <f t="array" ref="L111">STOWA2024_NDJF_T(A111*60,K111,I111,J111,"")</f>
        <v>4.5743045375414217</v>
      </c>
      <c r="M111">
        <f t="shared" si="35"/>
        <v>0.21861246705219933</v>
      </c>
    </row>
    <row r="112" spans="1:13" x14ac:dyDescent="0.3">
      <c r="A112">
        <v>192</v>
      </c>
      <c r="B112">
        <f t="shared" si="32"/>
        <v>6.229912517438102E-2</v>
      </c>
      <c r="C112">
        <f t="shared" si="28"/>
        <v>6.229912517438102E-2</v>
      </c>
      <c r="D112" t="s">
        <v>23</v>
      </c>
      <c r="E112" t="s">
        <v>19</v>
      </c>
      <c r="F112">
        <v>1</v>
      </c>
      <c r="G112">
        <f t="shared" si="33"/>
        <v>95</v>
      </c>
      <c r="I112">
        <v>2050</v>
      </c>
      <c r="J112" t="s">
        <v>28</v>
      </c>
      <c r="K112">
        <f t="shared" si="34"/>
        <v>97.5</v>
      </c>
      <c r="L112" cm="1">
        <f t="array" ref="L112">STOWA2024_NDJF_T(A112*60,K112,I112,J112,"")</f>
        <v>6.3974065680308083</v>
      </c>
      <c r="M112">
        <f t="shared" si="35"/>
        <v>0.15631334187781831</v>
      </c>
    </row>
    <row r="113" spans="1:13" x14ac:dyDescent="0.3">
      <c r="A113">
        <v>192</v>
      </c>
      <c r="B113">
        <f t="shared" si="32"/>
        <v>4.5131399653268456E-2</v>
      </c>
      <c r="C113">
        <f t="shared" si="28"/>
        <v>4.5131399653268456E-2</v>
      </c>
      <c r="D113" t="s">
        <v>23</v>
      </c>
      <c r="E113" t="s">
        <v>19</v>
      </c>
      <c r="F113">
        <v>1</v>
      </c>
      <c r="G113">
        <f t="shared" si="33"/>
        <v>100</v>
      </c>
      <c r="I113">
        <v>2050</v>
      </c>
      <c r="J113" t="s">
        <v>28</v>
      </c>
      <c r="K113">
        <f t="shared" si="34"/>
        <v>102.5</v>
      </c>
      <c r="L113" cm="1">
        <f t="array" ref="L113">STOWA2024_NDJF_T(A113*60,K113,I113,J113,"")</f>
        <v>8.9942663349084047</v>
      </c>
      <c r="M113">
        <f t="shared" si="35"/>
        <v>0.11118194222454986</v>
      </c>
    </row>
    <row r="114" spans="1:13" x14ac:dyDescent="0.3">
      <c r="A114">
        <v>192</v>
      </c>
      <c r="B114">
        <f t="shared" si="32"/>
        <v>3.2529230311820492E-2</v>
      </c>
      <c r="C114">
        <f t="shared" si="28"/>
        <v>3.2529230311820492E-2</v>
      </c>
      <c r="D114" t="s">
        <v>23</v>
      </c>
      <c r="E114" t="s">
        <v>19</v>
      </c>
      <c r="F114">
        <v>1</v>
      </c>
      <c r="G114">
        <f t="shared" si="33"/>
        <v>105</v>
      </c>
      <c r="I114">
        <v>2050</v>
      </c>
      <c r="J114" t="s">
        <v>28</v>
      </c>
      <c r="K114">
        <f t="shared" si="34"/>
        <v>107.5</v>
      </c>
      <c r="L114" cm="1">
        <f t="array" ref="L114">STOWA2024_NDJF_T(A114*60,K114,I114,J114,"")</f>
        <v>12.714119776436561</v>
      </c>
      <c r="M114">
        <f t="shared" si="35"/>
        <v>7.8652711912729364E-2</v>
      </c>
    </row>
    <row r="115" spans="1:13" x14ac:dyDescent="0.3">
      <c r="A115">
        <v>192</v>
      </c>
      <c r="B115">
        <f t="shared" si="32"/>
        <v>2.3322207894143854E-2</v>
      </c>
      <c r="C115">
        <f t="shared" si="28"/>
        <v>2.3322207894143854E-2</v>
      </c>
      <c r="D115" t="s">
        <v>23</v>
      </c>
      <c r="E115" t="s">
        <v>19</v>
      </c>
      <c r="F115">
        <v>1</v>
      </c>
      <c r="G115">
        <f t="shared" si="33"/>
        <v>110</v>
      </c>
      <c r="I115">
        <v>2050</v>
      </c>
      <c r="J115" t="s">
        <v>28</v>
      </c>
      <c r="K115">
        <f t="shared" si="34"/>
        <v>112.5</v>
      </c>
      <c r="L115" cm="1">
        <f t="array" ref="L115">STOWA2024_NDJF_T(A115*60,K115,I115,J115,"")</f>
        <v>18.073213279678424</v>
      </c>
      <c r="M115">
        <f t="shared" si="35"/>
        <v>5.5330504018585511E-2</v>
      </c>
    </row>
    <row r="116" spans="1:13" x14ac:dyDescent="0.3">
      <c r="A116">
        <v>192</v>
      </c>
      <c r="B116">
        <f t="shared" si="32"/>
        <v>1.6631409499036007E-2</v>
      </c>
      <c r="C116">
        <f t="shared" si="28"/>
        <v>1.6631409499036007E-2</v>
      </c>
      <c r="D116" t="s">
        <v>23</v>
      </c>
      <c r="E116" t="s">
        <v>19</v>
      </c>
      <c r="F116">
        <v>1</v>
      </c>
      <c r="G116">
        <f t="shared" si="33"/>
        <v>115</v>
      </c>
      <c r="I116">
        <v>2050</v>
      </c>
      <c r="J116" t="s">
        <v>28</v>
      </c>
      <c r="K116">
        <f t="shared" si="34"/>
        <v>117.5</v>
      </c>
      <c r="L116" cm="1">
        <f t="array" ref="L116">STOWA2024_NDJF_T(A116*60,K116,I116,J116,"")</f>
        <v>25.840397880493896</v>
      </c>
      <c r="M116">
        <f t="shared" si="35"/>
        <v>3.8699094519549504E-2</v>
      </c>
    </row>
    <row r="117" spans="1:13" x14ac:dyDescent="0.3">
      <c r="A117">
        <v>192</v>
      </c>
      <c r="B117">
        <f t="shared" si="32"/>
        <v>1.1793572820710623E-2</v>
      </c>
      <c r="C117">
        <f t="shared" si="28"/>
        <v>1.1793572820710623E-2</v>
      </c>
      <c r="D117" t="s">
        <v>23</v>
      </c>
      <c r="E117" t="s">
        <v>19</v>
      </c>
      <c r="F117">
        <v>1</v>
      </c>
      <c r="G117">
        <f t="shared" si="33"/>
        <v>120</v>
      </c>
      <c r="I117">
        <v>2050</v>
      </c>
      <c r="J117" t="s">
        <v>28</v>
      </c>
      <c r="K117">
        <f t="shared" si="34"/>
        <v>122.5</v>
      </c>
      <c r="L117" cm="1">
        <f t="array" ref="L117">STOWA2024_NDJF_T(A117*60,K117,I117,J117,"")</f>
        <v>37.167091989268336</v>
      </c>
      <c r="M117">
        <f t="shared" si="35"/>
        <v>2.6905521698838881E-2</v>
      </c>
    </row>
    <row r="118" spans="1:13" x14ac:dyDescent="0.3">
      <c r="A118">
        <v>192</v>
      </c>
      <c r="B118">
        <f t="shared" si="32"/>
        <v>8.314718762048267E-3</v>
      </c>
      <c r="C118">
        <f t="shared" si="28"/>
        <v>8.314718762048267E-3</v>
      </c>
      <c r="D118" t="s">
        <v>23</v>
      </c>
      <c r="E118" t="s">
        <v>19</v>
      </c>
      <c r="F118">
        <v>1</v>
      </c>
      <c r="G118">
        <f t="shared" si="33"/>
        <v>125</v>
      </c>
      <c r="I118">
        <v>2050</v>
      </c>
      <c r="J118" t="s">
        <v>28</v>
      </c>
      <c r="K118">
        <f t="shared" si="34"/>
        <v>127.5</v>
      </c>
      <c r="L118" cm="1">
        <f t="array" ref="L118">STOWA2024_NDJF_T(A118*60,K118,I118,J118,"")</f>
        <v>53.790038192542589</v>
      </c>
      <c r="M118">
        <f t="shared" si="35"/>
        <v>1.8590802936790614E-2</v>
      </c>
    </row>
    <row r="119" spans="1:13" x14ac:dyDescent="0.3">
      <c r="A119">
        <v>192</v>
      </c>
      <c r="B119">
        <f t="shared" si="32"/>
        <v>5.8270577809669006E-3</v>
      </c>
      <c r="C119">
        <f t="shared" si="28"/>
        <v>5.8270577809669006E-3</v>
      </c>
      <c r="D119" t="s">
        <v>23</v>
      </c>
      <c r="E119" t="s">
        <v>19</v>
      </c>
      <c r="F119">
        <v>1</v>
      </c>
      <c r="G119">
        <f t="shared" si="33"/>
        <v>130</v>
      </c>
      <c r="I119">
        <v>2050</v>
      </c>
      <c r="J119" t="s">
        <v>28</v>
      </c>
      <c r="K119">
        <f t="shared" si="34"/>
        <v>132.5</v>
      </c>
      <c r="L119" cm="1">
        <f t="array" ref="L119">STOWA2024_NDJF_T(A119*60,K119,I119,J119,"")</f>
        <v>78.346910549505139</v>
      </c>
      <c r="M119">
        <f t="shared" si="35"/>
        <v>1.2763745155823713E-2</v>
      </c>
    </row>
    <row r="120" spans="1:13" x14ac:dyDescent="0.3">
      <c r="A120">
        <v>192</v>
      </c>
      <c r="B120">
        <f t="shared" si="32"/>
        <v>4.058502947307108E-3</v>
      </c>
      <c r="C120">
        <f t="shared" si="28"/>
        <v>4.058502947307108E-3</v>
      </c>
      <c r="D120" t="s">
        <v>23</v>
      </c>
      <c r="E120" t="s">
        <v>19</v>
      </c>
      <c r="F120">
        <v>1</v>
      </c>
      <c r="G120">
        <f t="shared" si="33"/>
        <v>135</v>
      </c>
      <c r="I120">
        <v>2050</v>
      </c>
      <c r="J120" t="s">
        <v>28</v>
      </c>
      <c r="K120">
        <f t="shared" si="34"/>
        <v>137.5</v>
      </c>
      <c r="L120" cm="1">
        <f t="array" ref="L120">STOWA2024_NDJF_T(A120*60,K120,I120,J120,"")</f>
        <v>114.87331151127184</v>
      </c>
      <c r="M120">
        <f t="shared" si="35"/>
        <v>8.7052422085166052E-3</v>
      </c>
    </row>
    <row r="121" spans="1:13" x14ac:dyDescent="0.3">
      <c r="A121">
        <v>192</v>
      </c>
      <c r="B121">
        <f t="shared" si="32"/>
        <v>2.8085459134493786E-3</v>
      </c>
      <c r="C121">
        <f t="shared" si="28"/>
        <v>2.8085459134493786E-3</v>
      </c>
      <c r="D121" t="s">
        <v>23</v>
      </c>
      <c r="E121" t="s">
        <v>19</v>
      </c>
      <c r="F121">
        <v>1</v>
      </c>
      <c r="G121">
        <f t="shared" si="33"/>
        <v>140</v>
      </c>
      <c r="I121">
        <v>2050</v>
      </c>
      <c r="J121" t="s">
        <v>28</v>
      </c>
      <c r="K121">
        <f t="shared" si="34"/>
        <v>142.5</v>
      </c>
      <c r="L121" cm="1">
        <f t="array" ref="L121">STOWA2024_NDJF_T(A121*60,K121,I121,J121,"")</f>
        <v>169.58648537428181</v>
      </c>
      <c r="M121">
        <f t="shared" si="35"/>
        <v>5.8966962950672266E-3</v>
      </c>
    </row>
    <row r="122" spans="1:13" x14ac:dyDescent="0.3">
      <c r="A122">
        <v>192</v>
      </c>
      <c r="B122">
        <f t="shared" si="32"/>
        <v>1.9307410927376315E-3</v>
      </c>
      <c r="C122">
        <f t="shared" si="28"/>
        <v>1.9307410927376315E-3</v>
      </c>
      <c r="D122" t="s">
        <v>23</v>
      </c>
      <c r="E122" t="s">
        <v>19</v>
      </c>
      <c r="F122">
        <v>1</v>
      </c>
      <c r="G122">
        <f t="shared" si="33"/>
        <v>145</v>
      </c>
      <c r="I122">
        <v>2050</v>
      </c>
      <c r="J122" t="s">
        <v>28</v>
      </c>
      <c r="K122">
        <f t="shared" si="34"/>
        <v>147.5</v>
      </c>
      <c r="L122" cm="1">
        <f t="array" ref="L122">STOWA2024_NDJF_T(A122*60,K122,I122,J122,"")</f>
        <v>252.14606544536906</v>
      </c>
      <c r="M122">
        <f t="shared" si="35"/>
        <v>3.9659552023295951E-3</v>
      </c>
    </row>
    <row r="123" spans="1:13" x14ac:dyDescent="0.3">
      <c r="A123">
        <v>192</v>
      </c>
      <c r="B123">
        <f t="shared" si="32"/>
        <v>1.3181503726592231E-3</v>
      </c>
      <c r="C123">
        <f t="shared" si="28"/>
        <v>1.3181503726592231E-3</v>
      </c>
      <c r="D123" t="s">
        <v>23</v>
      </c>
      <c r="E123" t="s">
        <v>19</v>
      </c>
      <c r="F123">
        <v>1</v>
      </c>
      <c r="G123">
        <f t="shared" si="33"/>
        <v>150</v>
      </c>
      <c r="I123">
        <v>2050</v>
      </c>
      <c r="J123" t="s">
        <v>28</v>
      </c>
      <c r="K123">
        <f t="shared" si="34"/>
        <v>152.5</v>
      </c>
      <c r="L123" cm="1">
        <f t="array" ref="L123">STOWA2024_NDJF_T(A123*60,K123,I123,J123,"")</f>
        <v>377.67134072509833</v>
      </c>
      <c r="M123">
        <f t="shared" si="35"/>
        <v>2.647804829670372E-3</v>
      </c>
    </row>
    <row r="124" spans="1:13" x14ac:dyDescent="0.3">
      <c r="A124">
        <v>192</v>
      </c>
      <c r="B124">
        <f t="shared" si="32"/>
        <v>8.9352255336157781E-4</v>
      </c>
      <c r="C124">
        <f t="shared" si="28"/>
        <v>8.9352255336157781E-4</v>
      </c>
      <c r="D124" t="s">
        <v>23</v>
      </c>
      <c r="E124" t="s">
        <v>19</v>
      </c>
      <c r="F124">
        <v>1</v>
      </c>
      <c r="G124">
        <f t="shared" si="33"/>
        <v>155</v>
      </c>
      <c r="I124">
        <v>2050</v>
      </c>
      <c r="J124" t="s">
        <v>28</v>
      </c>
      <c r="K124">
        <f t="shared" si="34"/>
        <v>157.5</v>
      </c>
      <c r="L124" cm="1">
        <f t="array" ref="L124">STOWA2024_NDJF_T(A124*60,K124,I124,J124,"")</f>
        <v>570.03369041846088</v>
      </c>
      <c r="M124">
        <f t="shared" si="35"/>
        <v>1.7542822763087942E-3</v>
      </c>
    </row>
    <row r="125" spans="1:13" x14ac:dyDescent="0.3">
      <c r="A125">
        <v>192</v>
      </c>
      <c r="B125" s="1">
        <f>M124</f>
        <v>1.7542822763087942E-3</v>
      </c>
      <c r="C125">
        <f t="shared" si="28"/>
        <v>1.7542822763087942E-3</v>
      </c>
      <c r="D125" t="s">
        <v>23</v>
      </c>
      <c r="E125" t="s">
        <v>19</v>
      </c>
      <c r="F125">
        <v>1</v>
      </c>
      <c r="G125">
        <f t="shared" si="33"/>
        <v>160</v>
      </c>
      <c r="I125">
        <v>2050</v>
      </c>
      <c r="J125" t="s">
        <v>28</v>
      </c>
      <c r="K125">
        <f>AVERAGE(G125:G126)</f>
        <v>85</v>
      </c>
      <c r="L125" cm="1">
        <f t="array" ref="L125">STOWA2024_NDJF_T(A125*60,K125,I125,J125,"")</f>
        <v>2.7921258077137807</v>
      </c>
      <c r="M125">
        <f>1/L125</f>
        <v>0.35815005084559909</v>
      </c>
    </row>
    <row r="126" spans="1:13" x14ac:dyDescent="0.3">
      <c r="A126">
        <v>216</v>
      </c>
      <c r="B126" s="1">
        <f>365.25*24/A126 - M126</f>
        <v>18.892194103134603</v>
      </c>
      <c r="C126">
        <f>B126</f>
        <v>18.892194103134603</v>
      </c>
      <c r="D126" t="s">
        <v>23</v>
      </c>
      <c r="E126" t="s">
        <v>19</v>
      </c>
      <c r="F126">
        <v>1</v>
      </c>
      <c r="G126">
        <v>10</v>
      </c>
      <c r="I126">
        <v>2050</v>
      </c>
      <c r="J126" t="s">
        <v>28</v>
      </c>
      <c r="K126">
        <f>AVERAGE(G126:G128)</f>
        <v>15</v>
      </c>
      <c r="L126" cm="1">
        <f t="array" ref="L126">STOWA2024_NDJF_T(A126*60,K126,I126,J126,"")</f>
        <v>4.6101774064858006E-2</v>
      </c>
      <c r="M126">
        <f>1/L126</f>
        <v>21.691139230198733</v>
      </c>
    </row>
    <row r="127" spans="1:13" x14ac:dyDescent="0.3">
      <c r="A127">
        <v>216</v>
      </c>
      <c r="B127">
        <f t="shared" ref="B127:B131" si="36">M126-M127</f>
        <v>2.4724402991810948</v>
      </c>
      <c r="C127">
        <f t="shared" ref="C127:C156" si="37">B127</f>
        <v>2.4724402991810948</v>
      </c>
      <c r="D127" t="s">
        <v>23</v>
      </c>
      <c r="E127" t="s">
        <v>19</v>
      </c>
      <c r="F127">
        <v>1</v>
      </c>
      <c r="G127">
        <f t="shared" ref="G127:G131" si="38">G126+5</f>
        <v>15</v>
      </c>
      <c r="I127">
        <v>2050</v>
      </c>
      <c r="J127" t="s">
        <v>28</v>
      </c>
      <c r="K127">
        <f t="shared" ref="K127:K131" si="39">AVERAGE(G127:G128)</f>
        <v>17.5</v>
      </c>
      <c r="L127" cm="1">
        <f t="array" ref="L127">STOWA2024_NDJF_T(A127*60,K127,I127,J127,"")</f>
        <v>5.2032658588874077E-2</v>
      </c>
      <c r="M127">
        <f t="shared" ref="M127:M131" si="40">1/L127</f>
        <v>19.218698931017638</v>
      </c>
    </row>
    <row r="128" spans="1:13" x14ac:dyDescent="0.3">
      <c r="A128">
        <v>216</v>
      </c>
      <c r="B128">
        <f t="shared" si="36"/>
        <v>4.1739395853883732</v>
      </c>
      <c r="C128">
        <f t="shared" si="37"/>
        <v>4.1739395853883732</v>
      </c>
      <c r="D128" t="s">
        <v>23</v>
      </c>
      <c r="E128" t="s">
        <v>19</v>
      </c>
      <c r="F128">
        <v>1</v>
      </c>
      <c r="G128">
        <f t="shared" si="38"/>
        <v>20</v>
      </c>
      <c r="I128">
        <v>2050</v>
      </c>
      <c r="J128" t="s">
        <v>28</v>
      </c>
      <c r="K128">
        <f t="shared" si="39"/>
        <v>22.5</v>
      </c>
      <c r="L128" cm="1">
        <f t="array" ref="L128">STOWA2024_NDJF_T(A128*60,K128,I128,J128,"")</f>
        <v>6.6468328075351732E-2</v>
      </c>
      <c r="M128">
        <f t="shared" si="40"/>
        <v>15.044759345629265</v>
      </c>
    </row>
    <row r="129" spans="1:13" x14ac:dyDescent="0.3">
      <c r="A129">
        <v>216</v>
      </c>
      <c r="B129">
        <f t="shared" si="36"/>
        <v>3.3125526907868981</v>
      </c>
      <c r="C129">
        <f t="shared" si="37"/>
        <v>3.3125526907868981</v>
      </c>
      <c r="D129" t="s">
        <v>23</v>
      </c>
      <c r="E129" t="s">
        <v>19</v>
      </c>
      <c r="F129">
        <v>1</v>
      </c>
      <c r="G129">
        <f t="shared" si="38"/>
        <v>25</v>
      </c>
      <c r="I129">
        <v>2050</v>
      </c>
      <c r="J129" t="s">
        <v>28</v>
      </c>
      <c r="K129">
        <f t="shared" si="39"/>
        <v>27.5</v>
      </c>
      <c r="L129" cm="1">
        <f t="array" ref="L129">STOWA2024_NDJF_T(A129*60,K129,I129,J129,"")</f>
        <v>8.5235457354244495E-2</v>
      </c>
      <c r="M129">
        <f t="shared" si="40"/>
        <v>11.732206654842367</v>
      </c>
    </row>
    <row r="130" spans="1:13" x14ac:dyDescent="0.3">
      <c r="A130">
        <v>216</v>
      </c>
      <c r="B130">
        <f t="shared" si="36"/>
        <v>2.6193519106962366</v>
      </c>
      <c r="C130">
        <f t="shared" si="37"/>
        <v>2.6193519106962366</v>
      </c>
      <c r="D130" t="s">
        <v>23</v>
      </c>
      <c r="E130" t="s">
        <v>19</v>
      </c>
      <c r="F130">
        <v>1</v>
      </c>
      <c r="G130">
        <f t="shared" si="38"/>
        <v>30</v>
      </c>
      <c r="I130">
        <v>2050</v>
      </c>
      <c r="J130" t="s">
        <v>28</v>
      </c>
      <c r="K130">
        <f t="shared" si="39"/>
        <v>32.5</v>
      </c>
      <c r="L130" cm="1">
        <f t="array" ref="L130">STOWA2024_NDJF_T(A130*60,K130,I130,J130,"")</f>
        <v>0.10973509707727701</v>
      </c>
      <c r="M130">
        <f t="shared" si="40"/>
        <v>9.1128547441461301</v>
      </c>
    </row>
    <row r="131" spans="1:13" x14ac:dyDescent="0.3">
      <c r="A131">
        <v>216</v>
      </c>
      <c r="B131">
        <f t="shared" si="36"/>
        <v>2.0634592884738296</v>
      </c>
      <c r="C131">
        <f t="shared" si="37"/>
        <v>2.0634592884738296</v>
      </c>
      <c r="D131" t="s">
        <v>23</v>
      </c>
      <c r="E131" t="s">
        <v>19</v>
      </c>
      <c r="F131">
        <v>1</v>
      </c>
      <c r="G131">
        <f t="shared" si="38"/>
        <v>35</v>
      </c>
      <c r="I131">
        <v>2050</v>
      </c>
      <c r="J131" t="s">
        <v>28</v>
      </c>
      <c r="K131">
        <f t="shared" si="39"/>
        <v>37.5</v>
      </c>
      <c r="L131" cm="1">
        <f t="array" ref="L131">STOWA2024_NDJF_T(A131*60,K131,I131,J131,"")</f>
        <v>0.141856135932245</v>
      </c>
      <c r="M131">
        <f t="shared" si="40"/>
        <v>7.0493954556723004</v>
      </c>
    </row>
    <row r="132" spans="1:13" x14ac:dyDescent="0.3">
      <c r="A132">
        <v>216</v>
      </c>
      <c r="B132">
        <f>M131-M132</f>
        <v>1.6191578262170427</v>
      </c>
      <c r="C132">
        <f t="shared" si="37"/>
        <v>1.6191578262170427</v>
      </c>
      <c r="D132" t="s">
        <v>23</v>
      </c>
      <c r="E132" t="s">
        <v>19</v>
      </c>
      <c r="F132">
        <v>1</v>
      </c>
      <c r="G132">
        <f>G131+5</f>
        <v>40</v>
      </c>
      <c r="I132">
        <v>2050</v>
      </c>
      <c r="J132" t="s">
        <v>28</v>
      </c>
      <c r="K132">
        <f>AVERAGE(G132:G133)</f>
        <v>42.5</v>
      </c>
      <c r="L132" cm="1">
        <f t="array" ref="L132">STOWA2024_NDJF_T(A132*60,K132,I132,J132,"")</f>
        <v>0.18415400360671075</v>
      </c>
      <c r="M132">
        <f>1/L132</f>
        <v>5.4302376294552577</v>
      </c>
    </row>
    <row r="133" spans="1:13" x14ac:dyDescent="0.3">
      <c r="A133">
        <v>216</v>
      </c>
      <c r="B133">
        <f t="shared" ref="B133:B155" si="41">M132-M133</f>
        <v>1.2654606179325452</v>
      </c>
      <c r="C133">
        <f t="shared" si="37"/>
        <v>1.2654606179325452</v>
      </c>
      <c r="D133" t="s">
        <v>23</v>
      </c>
      <c r="E133" t="s">
        <v>19</v>
      </c>
      <c r="F133">
        <v>1</v>
      </c>
      <c r="G133">
        <f t="shared" ref="G133:G156" si="42">G132+5</f>
        <v>45</v>
      </c>
      <c r="I133">
        <v>2050</v>
      </c>
      <c r="J133" t="s">
        <v>28</v>
      </c>
      <c r="K133">
        <f t="shared" ref="K133:K155" si="43">AVERAGE(G133:G134)</f>
        <v>47.5</v>
      </c>
      <c r="L133" cm="1">
        <f t="array" ref="L133">STOWA2024_NDJF_T(A133*60,K133,I133,J133,"")</f>
        <v>0.24010889352138046</v>
      </c>
      <c r="M133">
        <f t="shared" ref="M133:M155" si="44">1/L133</f>
        <v>4.1647770115227125</v>
      </c>
    </row>
    <row r="134" spans="1:13" x14ac:dyDescent="0.3">
      <c r="A134">
        <v>216</v>
      </c>
      <c r="B134">
        <f t="shared" si="41"/>
        <v>0.98495478443193418</v>
      </c>
      <c r="C134">
        <f t="shared" si="37"/>
        <v>0.98495478443193418</v>
      </c>
      <c r="D134" t="s">
        <v>23</v>
      </c>
      <c r="E134" t="s">
        <v>19</v>
      </c>
      <c r="F134">
        <v>1</v>
      </c>
      <c r="G134">
        <f t="shared" si="42"/>
        <v>50</v>
      </c>
      <c r="I134">
        <v>2050</v>
      </c>
      <c r="J134" t="s">
        <v>28</v>
      </c>
      <c r="K134">
        <f t="shared" si="43"/>
        <v>52.5</v>
      </c>
      <c r="L134" cm="1">
        <f t="array" ref="L134">STOWA2024_NDJF_T(A134*60,K134,I134,J134,"")</f>
        <v>0.31448298948300035</v>
      </c>
      <c r="M134">
        <f t="shared" si="44"/>
        <v>3.1798222270907783</v>
      </c>
    </row>
    <row r="135" spans="1:13" x14ac:dyDescent="0.3">
      <c r="A135">
        <v>216</v>
      </c>
      <c r="B135">
        <f t="shared" si="41"/>
        <v>0.76329372431239806</v>
      </c>
      <c r="C135">
        <f t="shared" si="37"/>
        <v>0.76329372431239806</v>
      </c>
      <c r="D135" t="s">
        <v>23</v>
      </c>
      <c r="E135" t="s">
        <v>19</v>
      </c>
      <c r="F135">
        <v>1</v>
      </c>
      <c r="G135">
        <f t="shared" si="42"/>
        <v>55</v>
      </c>
      <c r="I135">
        <v>2050</v>
      </c>
      <c r="J135" t="s">
        <v>28</v>
      </c>
      <c r="K135">
        <f t="shared" si="43"/>
        <v>57.5</v>
      </c>
      <c r="L135" cm="1">
        <f t="array" ref="L135">STOWA2024_NDJF_T(A135*60,K135,I135,J135,"")</f>
        <v>0.41381676187566574</v>
      </c>
      <c r="M135">
        <f t="shared" si="44"/>
        <v>2.4165285027783803</v>
      </c>
    </row>
    <row r="136" spans="1:13" x14ac:dyDescent="0.3">
      <c r="A136">
        <v>216</v>
      </c>
      <c r="B136">
        <f t="shared" si="41"/>
        <v>0.5889289642492721</v>
      </c>
      <c r="C136">
        <f t="shared" si="37"/>
        <v>0.5889289642492721</v>
      </c>
      <c r="D136" t="s">
        <v>23</v>
      </c>
      <c r="E136" t="s">
        <v>19</v>
      </c>
      <c r="F136">
        <v>1</v>
      </c>
      <c r="G136">
        <f t="shared" si="42"/>
        <v>60</v>
      </c>
      <c r="I136">
        <v>2050</v>
      </c>
      <c r="J136" t="s">
        <v>28</v>
      </c>
      <c r="K136">
        <f t="shared" si="43"/>
        <v>62.5</v>
      </c>
      <c r="L136" cm="1">
        <f t="array" ref="L136">STOWA2024_NDJF_T(A136*60,K136,I136,J136,"")</f>
        <v>0.54716581992837543</v>
      </c>
      <c r="M136">
        <f t="shared" si="44"/>
        <v>1.8275995385291082</v>
      </c>
    </row>
    <row r="137" spans="1:13" x14ac:dyDescent="0.3">
      <c r="A137">
        <v>216</v>
      </c>
      <c r="B137">
        <f t="shared" si="41"/>
        <v>0.45231162001429448</v>
      </c>
      <c r="C137">
        <f t="shared" si="37"/>
        <v>0.45231162001429448</v>
      </c>
      <c r="D137" t="s">
        <v>23</v>
      </c>
      <c r="E137" t="s">
        <v>19</v>
      </c>
      <c r="F137">
        <v>1</v>
      </c>
      <c r="G137">
        <f t="shared" si="42"/>
        <v>65</v>
      </c>
      <c r="I137">
        <v>2050</v>
      </c>
      <c r="J137" t="s">
        <v>28</v>
      </c>
      <c r="K137">
        <f t="shared" si="43"/>
        <v>67.5</v>
      </c>
      <c r="L137" cm="1">
        <f t="array" ref="L137">STOWA2024_NDJF_T(A137*60,K137,I137,J137,"")</f>
        <v>0.72712047167542149</v>
      </c>
      <c r="M137">
        <f t="shared" si="44"/>
        <v>1.3752879185148137</v>
      </c>
    </row>
    <row r="138" spans="1:13" x14ac:dyDescent="0.3">
      <c r="A138">
        <v>216</v>
      </c>
      <c r="B138">
        <f t="shared" si="41"/>
        <v>0.34571463162025839</v>
      </c>
      <c r="C138">
        <f t="shared" si="37"/>
        <v>0.34571463162025839</v>
      </c>
      <c r="D138" t="s">
        <v>23</v>
      </c>
      <c r="E138" t="s">
        <v>19</v>
      </c>
      <c r="F138">
        <v>1</v>
      </c>
      <c r="G138">
        <f t="shared" si="42"/>
        <v>70</v>
      </c>
      <c r="I138">
        <v>2050</v>
      </c>
      <c r="J138" t="s">
        <v>28</v>
      </c>
      <c r="K138">
        <f t="shared" si="43"/>
        <v>72.5</v>
      </c>
      <c r="L138" cm="1">
        <f t="array" ref="L138">STOWA2024_NDJF_T(A138*60,K138,I138,J138,"")</f>
        <v>0.97127617113711684</v>
      </c>
      <c r="M138">
        <f t="shared" si="44"/>
        <v>1.0295732868945553</v>
      </c>
    </row>
    <row r="139" spans="1:13" x14ac:dyDescent="0.3">
      <c r="A139">
        <v>216</v>
      </c>
      <c r="B139">
        <f t="shared" si="41"/>
        <v>0.26289311876754085</v>
      </c>
      <c r="C139">
        <f t="shared" si="37"/>
        <v>0.26289311876754085</v>
      </c>
      <c r="D139" t="s">
        <v>23</v>
      </c>
      <c r="E139" t="s">
        <v>19</v>
      </c>
      <c r="F139">
        <v>1</v>
      </c>
      <c r="G139">
        <f t="shared" si="42"/>
        <v>75</v>
      </c>
      <c r="I139">
        <v>2050</v>
      </c>
      <c r="J139" t="s">
        <v>28</v>
      </c>
      <c r="K139">
        <f t="shared" si="43"/>
        <v>77.5</v>
      </c>
      <c r="L139" cm="1">
        <f t="array" ref="L139">STOWA2024_NDJF_T(A139*60,K139,I139,J139,"")</f>
        <v>1.3043248561430532</v>
      </c>
      <c r="M139">
        <f t="shared" si="44"/>
        <v>0.76668016812701445</v>
      </c>
    </row>
    <row r="140" spans="1:13" x14ac:dyDescent="0.3">
      <c r="A140">
        <v>216</v>
      </c>
      <c r="B140">
        <f t="shared" si="41"/>
        <v>0.19897767316728288</v>
      </c>
      <c r="C140">
        <f t="shared" si="37"/>
        <v>0.19897767316728288</v>
      </c>
      <c r="D140" t="s">
        <v>23</v>
      </c>
      <c r="E140" t="s">
        <v>19</v>
      </c>
      <c r="F140">
        <v>1</v>
      </c>
      <c r="G140">
        <f t="shared" si="42"/>
        <v>80</v>
      </c>
      <c r="I140">
        <v>2050</v>
      </c>
      <c r="J140" t="s">
        <v>28</v>
      </c>
      <c r="K140">
        <f t="shared" si="43"/>
        <v>82.5</v>
      </c>
      <c r="L140" cm="1">
        <f t="array" ref="L140">STOWA2024_NDJF_T(A140*60,K140,I140,J140,"")</f>
        <v>1.7614860052199213</v>
      </c>
      <c r="M140">
        <f t="shared" si="44"/>
        <v>0.56770249495973157</v>
      </c>
    </row>
    <row r="141" spans="1:13" x14ac:dyDescent="0.3">
      <c r="A141">
        <v>216</v>
      </c>
      <c r="B141">
        <f t="shared" si="41"/>
        <v>0.14976644118315141</v>
      </c>
      <c r="C141">
        <f t="shared" si="37"/>
        <v>0.14976644118315141</v>
      </c>
      <c r="D141" t="s">
        <v>23</v>
      </c>
      <c r="E141" t="s">
        <v>19</v>
      </c>
      <c r="F141">
        <v>1</v>
      </c>
      <c r="G141">
        <f t="shared" si="42"/>
        <v>85</v>
      </c>
      <c r="I141">
        <v>2050</v>
      </c>
      <c r="J141" t="s">
        <v>28</v>
      </c>
      <c r="K141">
        <f t="shared" si="43"/>
        <v>87.5</v>
      </c>
      <c r="L141" cm="1">
        <f t="array" ref="L141">STOWA2024_NDJF_T(A141*60,K141,I141,J141,"")</f>
        <v>2.3927105378053337</v>
      </c>
      <c r="M141">
        <f t="shared" si="44"/>
        <v>0.41793605377658016</v>
      </c>
    </row>
    <row r="142" spans="1:13" x14ac:dyDescent="0.3">
      <c r="A142">
        <v>216</v>
      </c>
      <c r="B142">
        <f t="shared" si="41"/>
        <v>0.1121078327781907</v>
      </c>
      <c r="C142">
        <f t="shared" si="37"/>
        <v>0.1121078327781907</v>
      </c>
      <c r="D142" t="s">
        <v>23</v>
      </c>
      <c r="E142" t="s">
        <v>19</v>
      </c>
      <c r="F142">
        <v>1</v>
      </c>
      <c r="G142">
        <f t="shared" si="42"/>
        <v>90</v>
      </c>
      <c r="I142">
        <v>2050</v>
      </c>
      <c r="J142" t="s">
        <v>28</v>
      </c>
      <c r="K142">
        <f t="shared" si="43"/>
        <v>92.5</v>
      </c>
      <c r="L142" cm="1">
        <f t="array" ref="L142">STOWA2024_NDJF_T(A142*60,K142,I142,J142,"")</f>
        <v>3.2698094267934357</v>
      </c>
      <c r="M142">
        <f t="shared" si="44"/>
        <v>0.30582822099838947</v>
      </c>
    </row>
    <row r="143" spans="1:13" x14ac:dyDescent="0.3">
      <c r="A143">
        <v>216</v>
      </c>
      <c r="B143">
        <f t="shared" si="41"/>
        <v>8.3432466885228818E-2</v>
      </c>
      <c r="C143">
        <f t="shared" si="37"/>
        <v>8.3432466885228818E-2</v>
      </c>
      <c r="D143" t="s">
        <v>23</v>
      </c>
      <c r="E143" t="s">
        <v>19</v>
      </c>
      <c r="F143">
        <v>1</v>
      </c>
      <c r="G143">
        <f t="shared" si="42"/>
        <v>95</v>
      </c>
      <c r="I143">
        <v>2050</v>
      </c>
      <c r="J143" t="s">
        <v>28</v>
      </c>
      <c r="K143">
        <f t="shared" si="43"/>
        <v>97.5</v>
      </c>
      <c r="L143" cm="1">
        <f t="array" ref="L143">STOWA2024_NDJF_T(A143*60,K143,I143,J143,"")</f>
        <v>4.4964887211433648</v>
      </c>
      <c r="M143">
        <f t="shared" si="44"/>
        <v>0.22239575411316065</v>
      </c>
    </row>
    <row r="144" spans="1:13" x14ac:dyDescent="0.3">
      <c r="A144">
        <v>216</v>
      </c>
      <c r="B144">
        <f t="shared" si="41"/>
        <v>6.1723069977270645E-2</v>
      </c>
      <c r="C144">
        <f t="shared" si="37"/>
        <v>6.1723069977270645E-2</v>
      </c>
      <c r="D144" t="s">
        <v>23</v>
      </c>
      <c r="E144" t="s">
        <v>19</v>
      </c>
      <c r="F144">
        <v>1</v>
      </c>
      <c r="G144">
        <f t="shared" si="42"/>
        <v>100</v>
      </c>
      <c r="I144">
        <v>2050</v>
      </c>
      <c r="J144" t="s">
        <v>28</v>
      </c>
      <c r="K144">
        <f t="shared" si="43"/>
        <v>102.5</v>
      </c>
      <c r="L144" cm="1">
        <f t="array" ref="L144">STOWA2024_NDJF_T(A144*60,K144,I144,J144,"")</f>
        <v>6.2238332880170422</v>
      </c>
      <c r="M144">
        <f t="shared" si="44"/>
        <v>0.16067268413589</v>
      </c>
    </row>
    <row r="145" spans="1:13" x14ac:dyDescent="0.3">
      <c r="A145">
        <v>216</v>
      </c>
      <c r="B145">
        <f t="shared" si="41"/>
        <v>4.5379784090689726E-2</v>
      </c>
      <c r="C145">
        <f t="shared" si="37"/>
        <v>4.5379784090689726E-2</v>
      </c>
      <c r="D145" t="s">
        <v>23</v>
      </c>
      <c r="E145" t="s">
        <v>19</v>
      </c>
      <c r="F145">
        <v>1</v>
      </c>
      <c r="G145">
        <f t="shared" si="42"/>
        <v>105</v>
      </c>
      <c r="I145">
        <v>2050</v>
      </c>
      <c r="J145" t="s">
        <v>28</v>
      </c>
      <c r="K145">
        <f t="shared" si="43"/>
        <v>107.5</v>
      </c>
      <c r="L145" cm="1">
        <f t="array" ref="L145">STOWA2024_NDJF_T(A145*60,K145,I145,J145,"")</f>
        <v>8.6735609877794086</v>
      </c>
      <c r="M145">
        <f t="shared" si="44"/>
        <v>0.11529290004520028</v>
      </c>
    </row>
    <row r="146" spans="1:13" x14ac:dyDescent="0.3">
      <c r="A146">
        <v>216</v>
      </c>
      <c r="B146">
        <f t="shared" si="41"/>
        <v>3.314708313543363E-2</v>
      </c>
      <c r="C146">
        <f t="shared" si="37"/>
        <v>3.314708313543363E-2</v>
      </c>
      <c r="D146" t="s">
        <v>23</v>
      </c>
      <c r="E146" t="s">
        <v>19</v>
      </c>
      <c r="F146">
        <v>1</v>
      </c>
      <c r="G146">
        <f t="shared" si="42"/>
        <v>110</v>
      </c>
      <c r="I146">
        <v>2050</v>
      </c>
      <c r="J146" t="s">
        <v>28</v>
      </c>
      <c r="K146">
        <f t="shared" si="43"/>
        <v>112.5</v>
      </c>
      <c r="L146" cm="1">
        <f t="array" ref="L146">STOWA2024_NDJF_T(A146*60,K146,I146,J146,"")</f>
        <v>12.173474409518057</v>
      </c>
      <c r="M146">
        <f t="shared" si="44"/>
        <v>8.2145816909766647E-2</v>
      </c>
    </row>
    <row r="147" spans="1:13" x14ac:dyDescent="0.3">
      <c r="A147">
        <v>216</v>
      </c>
      <c r="B147">
        <f t="shared" si="41"/>
        <v>2.4048466298717465E-2</v>
      </c>
      <c r="C147">
        <f t="shared" si="37"/>
        <v>2.4048466298717465E-2</v>
      </c>
      <c r="D147" t="s">
        <v>23</v>
      </c>
      <c r="E147" t="s">
        <v>19</v>
      </c>
      <c r="F147">
        <v>1</v>
      </c>
      <c r="G147">
        <f t="shared" si="42"/>
        <v>115</v>
      </c>
      <c r="I147">
        <v>2050</v>
      </c>
      <c r="J147" t="s">
        <v>28</v>
      </c>
      <c r="K147">
        <f t="shared" si="43"/>
        <v>117.5</v>
      </c>
      <c r="L147" cm="1">
        <f t="array" ref="L147">STOWA2024_NDJF_T(A147*60,K147,I147,J147,"")</f>
        <v>17.21248885676064</v>
      </c>
      <c r="M147">
        <f t="shared" si="44"/>
        <v>5.8097350611049182E-2</v>
      </c>
    </row>
    <row r="148" spans="1:13" x14ac:dyDescent="0.3">
      <c r="A148">
        <v>216</v>
      </c>
      <c r="B148">
        <f t="shared" si="41"/>
        <v>1.7324426757274074E-2</v>
      </c>
      <c r="C148">
        <f t="shared" si="37"/>
        <v>1.7324426757274074E-2</v>
      </c>
      <c r="D148" t="s">
        <v>23</v>
      </c>
      <c r="E148" t="s">
        <v>19</v>
      </c>
      <c r="F148">
        <v>1</v>
      </c>
      <c r="G148">
        <f t="shared" si="42"/>
        <v>120</v>
      </c>
      <c r="I148">
        <v>2050</v>
      </c>
      <c r="J148" t="s">
        <v>28</v>
      </c>
      <c r="K148">
        <f t="shared" si="43"/>
        <v>122.5</v>
      </c>
      <c r="L148" cm="1">
        <f t="array" ref="L148">STOWA2024_NDJF_T(A148*60,K148,I148,J148,"")</f>
        <v>24.526080189547443</v>
      </c>
      <c r="M148">
        <f t="shared" si="44"/>
        <v>4.0772923853775109E-2</v>
      </c>
    </row>
    <row r="149" spans="1:13" x14ac:dyDescent="0.3">
      <c r="A149">
        <v>216</v>
      </c>
      <c r="B149">
        <f t="shared" si="41"/>
        <v>1.2388574626281013E-2</v>
      </c>
      <c r="C149">
        <f t="shared" si="37"/>
        <v>1.2388574626281013E-2</v>
      </c>
      <c r="D149" t="s">
        <v>23</v>
      </c>
      <c r="E149" t="s">
        <v>19</v>
      </c>
      <c r="F149">
        <v>1</v>
      </c>
      <c r="G149">
        <f t="shared" si="42"/>
        <v>125</v>
      </c>
      <c r="I149">
        <v>2050</v>
      </c>
      <c r="J149" t="s">
        <v>28</v>
      </c>
      <c r="K149">
        <f t="shared" si="43"/>
        <v>127.5</v>
      </c>
      <c r="L149" cm="1">
        <f t="array" ref="L149">STOWA2024_NDJF_T(A149*60,K149,I149,J149,"")</f>
        <v>35.230682654910552</v>
      </c>
      <c r="M149">
        <f t="shared" si="44"/>
        <v>2.8384349227494096E-2</v>
      </c>
    </row>
    <row r="150" spans="1:13" x14ac:dyDescent="0.3">
      <c r="A150">
        <v>216</v>
      </c>
      <c r="B150">
        <f t="shared" si="41"/>
        <v>8.7909011516868057E-3</v>
      </c>
      <c r="C150">
        <f t="shared" si="37"/>
        <v>8.7909011516868057E-3</v>
      </c>
      <c r="D150" t="s">
        <v>23</v>
      </c>
      <c r="E150" t="s">
        <v>19</v>
      </c>
      <c r="F150">
        <v>1</v>
      </c>
      <c r="G150">
        <f t="shared" si="42"/>
        <v>130</v>
      </c>
      <c r="I150">
        <v>2050</v>
      </c>
      <c r="J150" t="s">
        <v>28</v>
      </c>
      <c r="K150">
        <f t="shared" si="43"/>
        <v>132.5</v>
      </c>
      <c r="L150" cm="1">
        <f t="array" ref="L150">STOWA2024_NDJF_T(A150*60,K150,I150,J150,"")</f>
        <v>51.037469062667675</v>
      </c>
      <c r="M150">
        <f t="shared" si="44"/>
        <v>1.959344807580729E-2</v>
      </c>
    </row>
    <row r="151" spans="1:13" x14ac:dyDescent="0.3">
      <c r="A151">
        <v>216</v>
      </c>
      <c r="B151">
        <f t="shared" si="41"/>
        <v>6.1875796337419395E-3</v>
      </c>
      <c r="C151">
        <f t="shared" si="37"/>
        <v>6.1875796337419395E-3</v>
      </c>
      <c r="D151" t="s">
        <v>23</v>
      </c>
      <c r="E151" t="s">
        <v>19</v>
      </c>
      <c r="F151">
        <v>1</v>
      </c>
      <c r="G151">
        <f t="shared" si="42"/>
        <v>135</v>
      </c>
      <c r="I151">
        <v>2050</v>
      </c>
      <c r="J151" t="s">
        <v>28</v>
      </c>
      <c r="K151">
        <f t="shared" si="43"/>
        <v>137.5</v>
      </c>
      <c r="L151" cm="1">
        <f t="array" ref="L151">STOWA2024_NDJF_T(A151*60,K151,I151,J151,"")</f>
        <v>74.594197632297281</v>
      </c>
      <c r="M151">
        <f t="shared" si="44"/>
        <v>1.3405868442065351E-2</v>
      </c>
    </row>
    <row r="152" spans="1:13" x14ac:dyDescent="0.3">
      <c r="A152">
        <v>216</v>
      </c>
      <c r="B152">
        <f t="shared" si="41"/>
        <v>4.3184057111292692E-3</v>
      </c>
      <c r="C152">
        <f t="shared" si="37"/>
        <v>4.3184057111292692E-3</v>
      </c>
      <c r="D152" t="s">
        <v>23</v>
      </c>
      <c r="E152" t="s">
        <v>19</v>
      </c>
      <c r="F152">
        <v>1</v>
      </c>
      <c r="G152">
        <f t="shared" si="42"/>
        <v>140</v>
      </c>
      <c r="I152">
        <v>2050</v>
      </c>
      <c r="J152" t="s">
        <v>28</v>
      </c>
      <c r="K152">
        <f t="shared" si="43"/>
        <v>142.5</v>
      </c>
      <c r="L152" cm="1">
        <f t="array" ref="L152">STOWA2024_NDJF_T(A152*60,K152,I152,J152,"")</f>
        <v>110.0417167704843</v>
      </c>
      <c r="M152">
        <f t="shared" si="44"/>
        <v>9.0874627309360818E-3</v>
      </c>
    </row>
    <row r="153" spans="1:13" x14ac:dyDescent="0.3">
      <c r="A153">
        <v>216</v>
      </c>
      <c r="B153">
        <f t="shared" si="41"/>
        <v>2.9872001916285999E-3</v>
      </c>
      <c r="C153">
        <f t="shared" si="37"/>
        <v>2.9872001916285999E-3</v>
      </c>
      <c r="D153" t="s">
        <v>23</v>
      </c>
      <c r="E153" t="s">
        <v>19</v>
      </c>
      <c r="F153">
        <v>1</v>
      </c>
      <c r="G153">
        <f t="shared" si="42"/>
        <v>145</v>
      </c>
      <c r="I153">
        <v>2050</v>
      </c>
      <c r="J153" t="s">
        <v>28</v>
      </c>
      <c r="K153">
        <f t="shared" si="43"/>
        <v>147.5</v>
      </c>
      <c r="L153" cm="1">
        <f t="array" ref="L153">STOWA2024_NDJF_T(A153*60,K153,I153,J153,"")</f>
        <v>163.92737092156736</v>
      </c>
      <c r="M153">
        <f t="shared" si="44"/>
        <v>6.1002625393074819E-3</v>
      </c>
    </row>
    <row r="154" spans="1:13" x14ac:dyDescent="0.3">
      <c r="A154">
        <v>216</v>
      </c>
      <c r="B154">
        <f t="shared" si="41"/>
        <v>2.0470726227827581E-3</v>
      </c>
      <c r="C154">
        <f t="shared" si="37"/>
        <v>2.0470726227827581E-3</v>
      </c>
      <c r="D154" t="s">
        <v>23</v>
      </c>
      <c r="E154" t="s">
        <v>19</v>
      </c>
      <c r="F154">
        <v>1</v>
      </c>
      <c r="G154">
        <f t="shared" si="42"/>
        <v>150</v>
      </c>
      <c r="I154">
        <v>2050</v>
      </c>
      <c r="J154" t="s">
        <v>28</v>
      </c>
      <c r="K154">
        <f t="shared" si="43"/>
        <v>152.5</v>
      </c>
      <c r="L154" cm="1">
        <f t="array" ref="L154">STOWA2024_NDJF_T(A154*60,K154,I154,J154,"")</f>
        <v>246.71925584415192</v>
      </c>
      <c r="M154">
        <f t="shared" si="44"/>
        <v>4.0531899165247237E-3</v>
      </c>
    </row>
    <row r="155" spans="1:13" x14ac:dyDescent="0.3">
      <c r="A155">
        <v>216</v>
      </c>
      <c r="B155">
        <f t="shared" si="41"/>
        <v>1.3890951805326291E-3</v>
      </c>
      <c r="C155">
        <f t="shared" si="37"/>
        <v>1.3890951805326291E-3</v>
      </c>
      <c r="D155" t="s">
        <v>23</v>
      </c>
      <c r="E155" t="s">
        <v>19</v>
      </c>
      <c r="F155">
        <v>1</v>
      </c>
      <c r="G155">
        <f t="shared" si="42"/>
        <v>155</v>
      </c>
      <c r="I155">
        <v>2050</v>
      </c>
      <c r="J155" t="s">
        <v>28</v>
      </c>
      <c r="K155">
        <f t="shared" si="43"/>
        <v>157.5</v>
      </c>
      <c r="L155" cm="1">
        <f t="array" ref="L155">STOWA2024_NDJF_T(A155*60,K155,I155,J155,"")</f>
        <v>375.36202691666119</v>
      </c>
      <c r="M155">
        <f t="shared" si="44"/>
        <v>2.6640947359920946E-3</v>
      </c>
    </row>
    <row r="156" spans="1:13" x14ac:dyDescent="0.3">
      <c r="A156">
        <v>216</v>
      </c>
      <c r="B156" s="1">
        <f>M155</f>
        <v>2.6640947359920946E-3</v>
      </c>
      <c r="C156">
        <f t="shared" si="37"/>
        <v>2.6640947359920946E-3</v>
      </c>
      <c r="D156" t="s">
        <v>23</v>
      </c>
      <c r="E156" t="s">
        <v>19</v>
      </c>
      <c r="F156">
        <v>1</v>
      </c>
      <c r="G156">
        <f t="shared" si="42"/>
        <v>160</v>
      </c>
      <c r="I156">
        <v>2050</v>
      </c>
      <c r="J156" t="s">
        <v>28</v>
      </c>
      <c r="K156">
        <f>AVERAGE(G156:G157)</f>
        <v>160</v>
      </c>
      <c r="L156" cm="1">
        <f t="array" ref="L156">STOWA2024_NDJF_T(A156*60,K156,I156,J156,"")</f>
        <v>464.95566851554884</v>
      </c>
      <c r="M156">
        <f>1/L156</f>
        <v>2.1507426787432714E-3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56"/>
  <sheetViews>
    <sheetView workbookViewId="0">
      <selection activeCell="G24" sqref="G24"/>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347.46254669787493</v>
      </c>
      <c r="C2">
        <f>B2</f>
        <v>347.46254669787493</v>
      </c>
      <c r="D2" t="s">
        <v>30</v>
      </c>
      <c r="E2" t="s">
        <v>21</v>
      </c>
      <c r="F2">
        <v>1</v>
      </c>
      <c r="G2">
        <v>10</v>
      </c>
      <c r="I2">
        <v>2050</v>
      </c>
      <c r="J2" t="s">
        <v>31</v>
      </c>
      <c r="K2">
        <f>AVERAGE(G2:G4)</f>
        <v>15</v>
      </c>
      <c r="L2" cm="1">
        <f t="array" ref="L2">STOWA2024_JAARROND_T(A2*60,K2,I2,J2,"")</f>
        <v>5.6219402688777884E-2</v>
      </c>
      <c r="M2">
        <f>1/L2</f>
        <v>17.787453302125048</v>
      </c>
    </row>
    <row r="3" spans="1:13" x14ac:dyDescent="0.3">
      <c r="A3">
        <v>24</v>
      </c>
      <c r="B3">
        <f t="shared" ref="B3:B7" si="0">M2-M3</f>
        <v>5.1897904865205113</v>
      </c>
      <c r="C3">
        <f t="shared" ref="C3:C32" si="1">B3</f>
        <v>5.1897904865205113</v>
      </c>
      <c r="D3" t="s">
        <v>30</v>
      </c>
      <c r="E3" t="s">
        <v>21</v>
      </c>
      <c r="F3">
        <v>1</v>
      </c>
      <c r="G3">
        <f t="shared" ref="G3:G7" si="2">G2+5</f>
        <v>15</v>
      </c>
      <c r="I3">
        <v>2050</v>
      </c>
      <c r="J3" t="s">
        <v>31</v>
      </c>
      <c r="K3">
        <f t="shared" ref="K3:K7" si="3">AVERAGE(G3:G4)</f>
        <v>17.5</v>
      </c>
      <c r="L3" cm="1">
        <f t="array" ref="L3">STOWA2024_JAARROND_T(A3*60,K3,I3,J3,"")</f>
        <v>7.9379803590338596E-2</v>
      </c>
      <c r="M3">
        <f t="shared" ref="M3:M7" si="4">1/L3</f>
        <v>12.597662815604536</v>
      </c>
    </row>
    <row r="4" spans="1:13" x14ac:dyDescent="0.3">
      <c r="A4">
        <v>24</v>
      </c>
      <c r="B4">
        <f t="shared" si="0"/>
        <v>5.9841087468931144</v>
      </c>
      <c r="C4">
        <f t="shared" si="1"/>
        <v>5.9841087468931144</v>
      </c>
      <c r="D4" t="s">
        <v>30</v>
      </c>
      <c r="E4" t="s">
        <v>21</v>
      </c>
      <c r="F4">
        <v>1</v>
      </c>
      <c r="G4">
        <f t="shared" si="2"/>
        <v>20</v>
      </c>
      <c r="I4">
        <v>2050</v>
      </c>
      <c r="J4" t="s">
        <v>31</v>
      </c>
      <c r="K4">
        <f t="shared" si="3"/>
        <v>22.5</v>
      </c>
      <c r="L4" cm="1">
        <f t="array" ref="L4">STOWA2024_JAARROND_T(A4*60,K4,I4,J4,"")</f>
        <v>0.1512046306132096</v>
      </c>
      <c r="M4">
        <f t="shared" si="4"/>
        <v>6.613554068711422</v>
      </c>
    </row>
    <row r="5" spans="1:13" x14ac:dyDescent="0.3">
      <c r="A5">
        <v>24</v>
      </c>
      <c r="B5">
        <f t="shared" si="0"/>
        <v>2.9544775910220835</v>
      </c>
      <c r="C5">
        <f t="shared" si="1"/>
        <v>2.9544775910220835</v>
      </c>
      <c r="D5" t="s">
        <v>30</v>
      </c>
      <c r="E5" t="s">
        <v>21</v>
      </c>
      <c r="F5">
        <v>1</v>
      </c>
      <c r="G5">
        <f t="shared" si="2"/>
        <v>25</v>
      </c>
      <c r="I5">
        <v>2050</v>
      </c>
      <c r="J5" t="s">
        <v>31</v>
      </c>
      <c r="K5">
        <f t="shared" si="3"/>
        <v>27.5</v>
      </c>
      <c r="L5" cm="1">
        <f t="array" ref="L5">STOWA2024_JAARROND_T(A5*60,K5,I5,J5,"")</f>
        <v>0.27329300332948703</v>
      </c>
      <c r="M5">
        <f t="shared" si="4"/>
        <v>3.6590764776893385</v>
      </c>
    </row>
    <row r="6" spans="1:13" x14ac:dyDescent="0.3">
      <c r="A6">
        <v>24</v>
      </c>
      <c r="B6">
        <f t="shared" si="0"/>
        <v>1.5422937683359597</v>
      </c>
      <c r="C6">
        <f t="shared" si="1"/>
        <v>1.5422937683359597</v>
      </c>
      <c r="D6" t="s">
        <v>30</v>
      </c>
      <c r="E6" t="s">
        <v>21</v>
      </c>
      <c r="F6">
        <v>1</v>
      </c>
      <c r="G6">
        <f t="shared" si="2"/>
        <v>30</v>
      </c>
      <c r="I6">
        <v>2050</v>
      </c>
      <c r="J6" t="s">
        <v>31</v>
      </c>
      <c r="K6">
        <f t="shared" si="3"/>
        <v>32.5</v>
      </c>
      <c r="L6" cm="1">
        <f t="array" ref="L6">STOWA2024_JAARROND_T(A6*60,K6,I6,J6,"")</f>
        <v>0.47241504552230285</v>
      </c>
      <c r="M6">
        <f t="shared" si="4"/>
        <v>2.1167827093533789</v>
      </c>
    </row>
    <row r="7" spans="1:13" x14ac:dyDescent="0.3">
      <c r="A7">
        <v>24</v>
      </c>
      <c r="B7">
        <f t="shared" si="0"/>
        <v>0.84434287745228098</v>
      </c>
      <c r="C7">
        <f t="shared" si="1"/>
        <v>0.84434287745228098</v>
      </c>
      <c r="D7" t="s">
        <v>30</v>
      </c>
      <c r="E7" t="s">
        <v>21</v>
      </c>
      <c r="F7">
        <v>1</v>
      </c>
      <c r="G7">
        <f t="shared" si="2"/>
        <v>35</v>
      </c>
      <c r="I7">
        <v>2050</v>
      </c>
      <c r="J7" t="s">
        <v>31</v>
      </c>
      <c r="K7">
        <f t="shared" si="3"/>
        <v>37.5</v>
      </c>
      <c r="L7" cm="1">
        <f t="array" ref="L7">STOWA2024_JAARROND_T(A7*60,K7,I7,J7,"")</f>
        <v>0.78589177651405551</v>
      </c>
      <c r="M7">
        <f t="shared" si="4"/>
        <v>1.2724398319010979</v>
      </c>
    </row>
    <row r="8" spans="1:13" x14ac:dyDescent="0.3">
      <c r="A8">
        <v>24</v>
      </c>
      <c r="B8">
        <f>M7-M8</f>
        <v>0.48154363420542412</v>
      </c>
      <c r="C8">
        <f t="shared" si="1"/>
        <v>0.48154363420542412</v>
      </c>
      <c r="D8" t="s">
        <v>30</v>
      </c>
      <c r="E8" t="s">
        <v>21</v>
      </c>
      <c r="F8">
        <v>1</v>
      </c>
      <c r="G8">
        <f>G7+5</f>
        <v>40</v>
      </c>
      <c r="I8">
        <v>2050</v>
      </c>
      <c r="J8" t="s">
        <v>31</v>
      </c>
      <c r="K8">
        <f>AVERAGE(G8:G9)</f>
        <v>42.5</v>
      </c>
      <c r="L8" cm="1">
        <f t="array" ref="L8">STOWA2024_JAARROND_T(A8*60,K8,I8,J8,"")</f>
        <v>1.2643884278538238</v>
      </c>
      <c r="M8">
        <f>1/L8</f>
        <v>0.79089619769567376</v>
      </c>
    </row>
    <row r="9" spans="1:13" x14ac:dyDescent="0.3">
      <c r="A9">
        <v>24</v>
      </c>
      <c r="B9">
        <f t="shared" ref="B9:B31" si="5">M8-M9</f>
        <v>0.28479019893843438</v>
      </c>
      <c r="C9">
        <f t="shared" si="1"/>
        <v>0.28479019893843438</v>
      </c>
      <c r="D9" t="s">
        <v>30</v>
      </c>
      <c r="E9" t="s">
        <v>21</v>
      </c>
      <c r="F9">
        <v>1</v>
      </c>
      <c r="G9">
        <f t="shared" ref="G9:G32" si="6">G8+5</f>
        <v>45</v>
      </c>
      <c r="I9">
        <v>2050</v>
      </c>
      <c r="J9" t="s">
        <v>31</v>
      </c>
      <c r="K9">
        <f t="shared" ref="K9:K31" si="7">AVERAGE(G9:G10)</f>
        <v>47.5</v>
      </c>
      <c r="L9" cm="1">
        <f t="array" ref="L9">STOWA2024_JAARROND_T(A9*60,K9,I9,J9,"")</f>
        <v>1.9758706722614121</v>
      </c>
      <c r="M9">
        <f t="shared" ref="M9:M31" si="8">1/L9</f>
        <v>0.50610599875723938</v>
      </c>
    </row>
    <row r="10" spans="1:13" x14ac:dyDescent="0.3">
      <c r="A10">
        <v>24</v>
      </c>
      <c r="B10">
        <f t="shared" si="5"/>
        <v>0.17376963437394732</v>
      </c>
      <c r="C10">
        <f t="shared" si="1"/>
        <v>0.17376963437394732</v>
      </c>
      <c r="D10" t="s">
        <v>30</v>
      </c>
      <c r="E10" t="s">
        <v>21</v>
      </c>
      <c r="F10">
        <v>1</v>
      </c>
      <c r="G10">
        <f t="shared" si="6"/>
        <v>50</v>
      </c>
      <c r="I10">
        <v>2050</v>
      </c>
      <c r="J10" t="s">
        <v>31</v>
      </c>
      <c r="K10">
        <f t="shared" si="7"/>
        <v>52.5</v>
      </c>
      <c r="L10" cm="1">
        <f t="array" ref="L10">STOWA2024_JAARROND_T(A10*60,K10,I10,J10,"")</f>
        <v>3.0089996376282024</v>
      </c>
      <c r="M10">
        <f t="shared" si="8"/>
        <v>0.33233636438329206</v>
      </c>
    </row>
    <row r="11" spans="1:13" x14ac:dyDescent="0.3">
      <c r="A11">
        <v>24</v>
      </c>
      <c r="B11">
        <f t="shared" si="5"/>
        <v>0.1090252217523148</v>
      </c>
      <c r="C11">
        <f t="shared" si="1"/>
        <v>0.1090252217523148</v>
      </c>
      <c r="D11" t="s">
        <v>30</v>
      </c>
      <c r="E11" t="s">
        <v>21</v>
      </c>
      <c r="F11">
        <v>1</v>
      </c>
      <c r="G11">
        <f t="shared" si="6"/>
        <v>55</v>
      </c>
      <c r="I11">
        <v>2050</v>
      </c>
      <c r="J11" t="s">
        <v>31</v>
      </c>
      <c r="K11">
        <f t="shared" si="7"/>
        <v>57.5</v>
      </c>
      <c r="L11" cm="1">
        <f t="array" ref="L11">STOWA2024_JAARROND_T(A11*60,K11,I11,J11,"")</f>
        <v>4.4780568860932517</v>
      </c>
      <c r="M11">
        <f t="shared" si="8"/>
        <v>0.22331114263097726</v>
      </c>
    </row>
    <row r="12" spans="1:13" x14ac:dyDescent="0.3">
      <c r="A12">
        <v>24</v>
      </c>
      <c r="B12">
        <f t="shared" si="5"/>
        <v>7.0130836817452691E-2</v>
      </c>
      <c r="C12">
        <f t="shared" si="1"/>
        <v>7.0130836817452691E-2</v>
      </c>
      <c r="D12" t="s">
        <v>30</v>
      </c>
      <c r="E12" t="s">
        <v>21</v>
      </c>
      <c r="F12">
        <v>1</v>
      </c>
      <c r="G12">
        <f t="shared" si="6"/>
        <v>60</v>
      </c>
      <c r="I12">
        <v>2050</v>
      </c>
      <c r="J12" t="s">
        <v>31</v>
      </c>
      <c r="K12">
        <f t="shared" si="7"/>
        <v>62.5</v>
      </c>
      <c r="L12" cm="1">
        <f t="array" ref="L12">STOWA2024_JAARROND_T(A12*60,K12,I12,J12,"")</f>
        <v>6.5282543646136801</v>
      </c>
      <c r="M12">
        <f t="shared" si="8"/>
        <v>0.15318030581352457</v>
      </c>
    </row>
    <row r="13" spans="1:13" x14ac:dyDescent="0.3">
      <c r="A13">
        <v>24</v>
      </c>
      <c r="B13">
        <f t="shared" si="5"/>
        <v>4.6135225845141473E-2</v>
      </c>
      <c r="C13">
        <f t="shared" si="1"/>
        <v>4.6135225845141473E-2</v>
      </c>
      <c r="D13" t="s">
        <v>30</v>
      </c>
      <c r="E13" t="s">
        <v>21</v>
      </c>
      <c r="F13">
        <v>1</v>
      </c>
      <c r="G13">
        <f t="shared" si="6"/>
        <v>65</v>
      </c>
      <c r="I13">
        <v>2050</v>
      </c>
      <c r="J13" t="s">
        <v>31</v>
      </c>
      <c r="K13">
        <f t="shared" si="7"/>
        <v>67.5</v>
      </c>
      <c r="L13" cm="1">
        <f t="array" ref="L13">STOWA2024_JAARROND_T(A13*60,K13,I13,J13,"")</f>
        <v>9.3418585916826871</v>
      </c>
      <c r="M13">
        <f t="shared" si="8"/>
        <v>0.1070450799683831</v>
      </c>
    </row>
    <row r="14" spans="1:13" x14ac:dyDescent="0.3">
      <c r="A14">
        <v>24</v>
      </c>
      <c r="B14">
        <f t="shared" si="5"/>
        <v>3.0969847008047016E-2</v>
      </c>
      <c r="C14">
        <f t="shared" si="1"/>
        <v>3.0969847008047016E-2</v>
      </c>
      <c r="D14" t="s">
        <v>30</v>
      </c>
      <c r="E14" t="s">
        <v>21</v>
      </c>
      <c r="F14">
        <v>1</v>
      </c>
      <c r="G14">
        <f t="shared" si="6"/>
        <v>70</v>
      </c>
      <c r="I14">
        <v>2050</v>
      </c>
      <c r="J14" t="s">
        <v>31</v>
      </c>
      <c r="K14">
        <f t="shared" si="7"/>
        <v>72.5</v>
      </c>
      <c r="L14" cm="1">
        <f t="array" ref="L14">STOWA2024_JAARROND_T(A14*60,K14,I14,J14,"")</f>
        <v>13.144882520719689</v>
      </c>
      <c r="M14">
        <f t="shared" si="8"/>
        <v>7.6075232960336081E-2</v>
      </c>
    </row>
    <row r="15" spans="1:13" x14ac:dyDescent="0.3">
      <c r="A15">
        <v>24</v>
      </c>
      <c r="B15">
        <f t="shared" si="5"/>
        <v>2.1174717490840711E-2</v>
      </c>
      <c r="C15">
        <f t="shared" si="1"/>
        <v>2.1174717490840711E-2</v>
      </c>
      <c r="D15" t="s">
        <v>30</v>
      </c>
      <c r="E15" t="s">
        <v>21</v>
      </c>
      <c r="F15">
        <v>1</v>
      </c>
      <c r="G15">
        <f t="shared" si="6"/>
        <v>75</v>
      </c>
      <c r="I15">
        <v>2050</v>
      </c>
      <c r="J15" t="s">
        <v>31</v>
      </c>
      <c r="K15">
        <f t="shared" si="7"/>
        <v>77.5</v>
      </c>
      <c r="L15" cm="1">
        <f t="array" ref="L15">STOWA2024_JAARROND_T(A15*60,K15,I15,J15,"")</f>
        <v>18.214765224848112</v>
      </c>
      <c r="M15">
        <f t="shared" si="8"/>
        <v>5.490051546949537E-2</v>
      </c>
    </row>
    <row r="16" spans="1:13" x14ac:dyDescent="0.3">
      <c r="A16">
        <v>24</v>
      </c>
      <c r="B16">
        <f t="shared" si="5"/>
        <v>1.4721950026839979E-2</v>
      </c>
      <c r="C16">
        <f t="shared" si="1"/>
        <v>1.4721950026839979E-2</v>
      </c>
      <c r="D16" t="s">
        <v>30</v>
      </c>
      <c r="E16" t="s">
        <v>21</v>
      </c>
      <c r="F16">
        <v>1</v>
      </c>
      <c r="G16">
        <f t="shared" si="6"/>
        <v>80</v>
      </c>
      <c r="I16">
        <v>2050</v>
      </c>
      <c r="J16" t="s">
        <v>31</v>
      </c>
      <c r="K16">
        <f t="shared" si="7"/>
        <v>82.5</v>
      </c>
      <c r="L16" cm="1">
        <f t="array" ref="L16">STOWA2024_JAARROND_T(A16*60,K16,I16,J16,"")</f>
        <v>24.888892596905777</v>
      </c>
      <c r="M16">
        <f t="shared" si="8"/>
        <v>4.0178565442655391E-2</v>
      </c>
    </row>
    <row r="17" spans="1:13" x14ac:dyDescent="0.3">
      <c r="A17">
        <v>24</v>
      </c>
      <c r="B17">
        <f t="shared" si="5"/>
        <v>1.0393379400905668E-2</v>
      </c>
      <c r="C17">
        <f t="shared" si="1"/>
        <v>1.0393379400905668E-2</v>
      </c>
      <c r="D17" t="s">
        <v>30</v>
      </c>
      <c r="E17" t="s">
        <v>21</v>
      </c>
      <c r="F17">
        <v>1</v>
      </c>
      <c r="G17">
        <f t="shared" si="6"/>
        <v>85</v>
      </c>
      <c r="I17">
        <v>2050</v>
      </c>
      <c r="J17" t="s">
        <v>31</v>
      </c>
      <c r="K17">
        <f t="shared" si="7"/>
        <v>87.5</v>
      </c>
      <c r="L17" cm="1">
        <f t="array" ref="L17">STOWA2024_JAARROND_T(A17*60,K17,I17,J17,"")</f>
        <v>33.573736910634224</v>
      </c>
      <c r="M17">
        <f t="shared" si="8"/>
        <v>2.9785186041749723E-2</v>
      </c>
    </row>
    <row r="18" spans="1:13" x14ac:dyDescent="0.3">
      <c r="A18">
        <v>24</v>
      </c>
      <c r="B18">
        <f t="shared" si="5"/>
        <v>7.44207474502874E-3</v>
      </c>
      <c r="C18">
        <f t="shared" si="1"/>
        <v>7.44207474502874E-3</v>
      </c>
      <c r="D18" t="s">
        <v>30</v>
      </c>
      <c r="E18" t="s">
        <v>21</v>
      </c>
      <c r="F18">
        <v>1</v>
      </c>
      <c r="G18">
        <f t="shared" si="6"/>
        <v>90</v>
      </c>
      <c r="I18">
        <v>2050</v>
      </c>
      <c r="J18" t="s">
        <v>31</v>
      </c>
      <c r="K18">
        <f t="shared" si="7"/>
        <v>92.5</v>
      </c>
      <c r="L18" cm="1">
        <f t="array" ref="L18">STOWA2024_JAARROND_T(A18*60,K18,I18,J18,"")</f>
        <v>44.756524134879882</v>
      </c>
      <c r="M18">
        <f t="shared" si="8"/>
        <v>2.2343111296720983E-2</v>
      </c>
    </row>
    <row r="19" spans="1:13" x14ac:dyDescent="0.3">
      <c r="A19">
        <v>24</v>
      </c>
      <c r="B19">
        <f t="shared" si="5"/>
        <v>5.3981151852927414E-3</v>
      </c>
      <c r="C19">
        <f t="shared" si="1"/>
        <v>5.3981151852927414E-3</v>
      </c>
      <c r="D19" t="s">
        <v>30</v>
      </c>
      <c r="E19" t="s">
        <v>21</v>
      </c>
      <c r="F19">
        <v>1</v>
      </c>
      <c r="G19">
        <f t="shared" si="6"/>
        <v>95</v>
      </c>
      <c r="I19">
        <v>2050</v>
      </c>
      <c r="J19" t="s">
        <v>31</v>
      </c>
      <c r="K19">
        <f t="shared" si="7"/>
        <v>97.5</v>
      </c>
      <c r="L19" cm="1">
        <f t="array" ref="L19">STOWA2024_JAARROND_T(A19*60,K19,I19,J19,"")</f>
        <v>59.014472085099413</v>
      </c>
      <c r="M19">
        <f t="shared" si="8"/>
        <v>1.6944996111428242E-2</v>
      </c>
    </row>
    <row r="20" spans="1:13" x14ac:dyDescent="0.3">
      <c r="A20">
        <v>24</v>
      </c>
      <c r="B20">
        <f t="shared" si="5"/>
        <v>3.9630020555749493E-3</v>
      </c>
      <c r="C20">
        <f t="shared" si="1"/>
        <v>3.9630020555749493E-3</v>
      </c>
      <c r="D20" t="s">
        <v>30</v>
      </c>
      <c r="E20" t="s">
        <v>21</v>
      </c>
      <c r="F20">
        <v>1</v>
      </c>
      <c r="G20">
        <f t="shared" si="6"/>
        <v>100</v>
      </c>
      <c r="I20">
        <v>2050</v>
      </c>
      <c r="J20" t="s">
        <v>31</v>
      </c>
      <c r="K20">
        <f t="shared" si="7"/>
        <v>102.5</v>
      </c>
      <c r="L20" cm="1">
        <f t="array" ref="L20">STOWA2024_JAARROND_T(A20*60,K20,I20,J20,"")</f>
        <v>77.029768747207385</v>
      </c>
      <c r="M20">
        <f t="shared" si="8"/>
        <v>1.2981994055853293E-2</v>
      </c>
    </row>
    <row r="21" spans="1:13" x14ac:dyDescent="0.3">
      <c r="A21">
        <v>24</v>
      </c>
      <c r="B21">
        <f t="shared" si="5"/>
        <v>2.9420310986262507E-3</v>
      </c>
      <c r="C21">
        <f t="shared" si="1"/>
        <v>2.9420310986262507E-3</v>
      </c>
      <c r="D21" t="s">
        <v>30</v>
      </c>
      <c r="E21" t="s">
        <v>21</v>
      </c>
      <c r="F21">
        <v>1</v>
      </c>
      <c r="G21">
        <f t="shared" si="6"/>
        <v>105</v>
      </c>
      <c r="I21">
        <v>2050</v>
      </c>
      <c r="J21" t="s">
        <v>31</v>
      </c>
      <c r="K21">
        <f t="shared" si="7"/>
        <v>107.5</v>
      </c>
      <c r="L21" cm="1">
        <f t="array" ref="L21">STOWA2024_JAARROND_T(A21*60,K21,I21,J21,"")</f>
        <v>99.60196110884776</v>
      </c>
      <c r="M21">
        <f t="shared" si="8"/>
        <v>1.0039962957227042E-2</v>
      </c>
    </row>
    <row r="22" spans="1:13" x14ac:dyDescent="0.3">
      <c r="A22">
        <v>24</v>
      </c>
      <c r="B22">
        <f t="shared" si="5"/>
        <v>2.2069163596877758E-3</v>
      </c>
      <c r="C22">
        <f t="shared" si="1"/>
        <v>2.2069163596877758E-3</v>
      </c>
      <c r="D22" t="s">
        <v>30</v>
      </c>
      <c r="E22" t="s">
        <v>21</v>
      </c>
      <c r="F22">
        <v>1</v>
      </c>
      <c r="G22">
        <f t="shared" si="6"/>
        <v>110</v>
      </c>
      <c r="I22">
        <v>2050</v>
      </c>
      <c r="J22" t="s">
        <v>31</v>
      </c>
      <c r="K22">
        <f t="shared" si="7"/>
        <v>112.5</v>
      </c>
      <c r="L22" cm="1">
        <f t="array" ref="L22">STOWA2024_JAARROND_T(A22*60,K22,I22,J22,"")</f>
        <v>127.66424756290201</v>
      </c>
      <c r="M22">
        <f t="shared" si="8"/>
        <v>7.8330465975392661E-3</v>
      </c>
    </row>
    <row r="23" spans="1:13" x14ac:dyDescent="0.3">
      <c r="A23">
        <v>24</v>
      </c>
      <c r="B23">
        <f t="shared" si="5"/>
        <v>1.6714609389704696E-3</v>
      </c>
      <c r="C23">
        <f t="shared" si="1"/>
        <v>1.6714609389704696E-3</v>
      </c>
      <c r="D23" t="s">
        <v>30</v>
      </c>
      <c r="E23" t="s">
        <v>21</v>
      </c>
      <c r="F23">
        <v>1</v>
      </c>
      <c r="G23">
        <f t="shared" si="6"/>
        <v>115</v>
      </c>
      <c r="I23">
        <v>2050</v>
      </c>
      <c r="J23" t="s">
        <v>31</v>
      </c>
      <c r="K23">
        <f t="shared" si="7"/>
        <v>117.5</v>
      </c>
      <c r="L23" cm="1">
        <f t="array" ref="L23">STOWA2024_JAARROND_T(A23*60,K23,I23,J23,"")</f>
        <v>162.29588541211297</v>
      </c>
      <c r="M23">
        <f t="shared" si="8"/>
        <v>6.1615856585687965E-3</v>
      </c>
    </row>
    <row r="24" spans="1:13" x14ac:dyDescent="0.3">
      <c r="A24">
        <v>24</v>
      </c>
      <c r="B24">
        <f t="shared" si="5"/>
        <v>1.2774654845261234E-3</v>
      </c>
      <c r="C24">
        <f t="shared" si="1"/>
        <v>1.2774654845261234E-3</v>
      </c>
      <c r="D24" t="s">
        <v>30</v>
      </c>
      <c r="E24" t="s">
        <v>21</v>
      </c>
      <c r="F24">
        <v>1</v>
      </c>
      <c r="G24">
        <f t="shared" si="6"/>
        <v>120</v>
      </c>
      <c r="I24">
        <v>2050</v>
      </c>
      <c r="J24" t="s">
        <v>31</v>
      </c>
      <c r="K24">
        <f t="shared" si="7"/>
        <v>122.5</v>
      </c>
      <c r="L24" cm="1">
        <f t="array" ref="L24">STOWA2024_JAARROND_T(A24*60,K24,I24,J24,"")</f>
        <v>204.74516686027448</v>
      </c>
      <c r="M24">
        <f t="shared" si="8"/>
        <v>4.8841201740426731E-3</v>
      </c>
    </row>
    <row r="25" spans="1:13" x14ac:dyDescent="0.3">
      <c r="A25">
        <v>24</v>
      </c>
      <c r="B25">
        <f t="shared" si="5"/>
        <v>9.8464794976164385E-4</v>
      </c>
      <c r="C25">
        <f t="shared" si="1"/>
        <v>9.8464794976164385E-4</v>
      </c>
      <c r="D25" t="s">
        <v>30</v>
      </c>
      <c r="E25" t="s">
        <v>21</v>
      </c>
      <c r="F25">
        <v>1</v>
      </c>
      <c r="G25">
        <f t="shared" si="6"/>
        <v>125</v>
      </c>
      <c r="I25">
        <v>2050</v>
      </c>
      <c r="J25" t="s">
        <v>31</v>
      </c>
      <c r="K25">
        <f t="shared" si="7"/>
        <v>127.5</v>
      </c>
      <c r="L25" cm="1">
        <f t="array" ref="L25">STOWA2024_JAARROND_T(A25*60,K25,I25,J25,"")</f>
        <v>256.44496036495718</v>
      </c>
      <c r="M25">
        <f t="shared" si="8"/>
        <v>3.8994722242810293E-3</v>
      </c>
    </row>
    <row r="26" spans="1:13" x14ac:dyDescent="0.3">
      <c r="A26">
        <v>24</v>
      </c>
      <c r="B26">
        <f t="shared" si="5"/>
        <v>7.649883317628085E-4</v>
      </c>
      <c r="C26">
        <f t="shared" si="1"/>
        <v>7.649883317628085E-4</v>
      </c>
      <c r="D26" t="s">
        <v>30</v>
      </c>
      <c r="E26" t="s">
        <v>21</v>
      </c>
      <c r="F26">
        <v>1</v>
      </c>
      <c r="G26">
        <f t="shared" si="6"/>
        <v>130</v>
      </c>
      <c r="I26">
        <v>2050</v>
      </c>
      <c r="J26" t="s">
        <v>31</v>
      </c>
      <c r="K26">
        <f t="shared" si="7"/>
        <v>132.5</v>
      </c>
      <c r="L26" cm="1">
        <f t="array" ref="L26">STOWA2024_JAARROND_T(A26*60,K26,I26,J26,"")</f>
        <v>319.03178778073334</v>
      </c>
      <c r="M26">
        <f t="shared" si="8"/>
        <v>3.1344838925182208E-3</v>
      </c>
    </row>
    <row r="27" spans="1:13" x14ac:dyDescent="0.3">
      <c r="A27">
        <v>24</v>
      </c>
      <c r="B27">
        <f t="shared" si="5"/>
        <v>5.9883210521995611E-4</v>
      </c>
      <c r="C27">
        <f t="shared" si="1"/>
        <v>5.9883210521995611E-4</v>
      </c>
      <c r="D27" t="s">
        <v>30</v>
      </c>
      <c r="E27" t="s">
        <v>21</v>
      </c>
      <c r="F27">
        <v>1</v>
      </c>
      <c r="G27">
        <f t="shared" si="6"/>
        <v>135</v>
      </c>
      <c r="I27">
        <v>2050</v>
      </c>
      <c r="J27" t="s">
        <v>31</v>
      </c>
      <c r="K27">
        <f t="shared" si="7"/>
        <v>137.5</v>
      </c>
      <c r="L27" cm="1">
        <f t="array" ref="L27">STOWA2024_JAARROND_T(A27*60,K27,I27,J27,"")</f>
        <v>394.37591746992172</v>
      </c>
      <c r="M27">
        <f t="shared" si="8"/>
        <v>2.5356517872982647E-3</v>
      </c>
    </row>
    <row r="28" spans="1:13" x14ac:dyDescent="0.3">
      <c r="A28">
        <v>24</v>
      </c>
      <c r="B28">
        <f t="shared" si="5"/>
        <v>4.7206467574809063E-4</v>
      </c>
      <c r="C28">
        <f t="shared" si="1"/>
        <v>4.7206467574809063E-4</v>
      </c>
      <c r="D28" t="s">
        <v>30</v>
      </c>
      <c r="E28" t="s">
        <v>21</v>
      </c>
      <c r="F28">
        <v>1</v>
      </c>
      <c r="G28">
        <f t="shared" si="6"/>
        <v>140</v>
      </c>
      <c r="I28">
        <v>2050</v>
      </c>
      <c r="J28" t="s">
        <v>31</v>
      </c>
      <c r="K28">
        <f t="shared" si="7"/>
        <v>142.5</v>
      </c>
      <c r="L28" cm="1">
        <f t="array" ref="L28">STOWA2024_JAARROND_T(A28*60,K28,I28,J28,"")</f>
        <v>484.59306341024609</v>
      </c>
      <c r="M28">
        <f t="shared" si="8"/>
        <v>2.063587111550174E-3</v>
      </c>
    </row>
    <row r="29" spans="1:13" x14ac:dyDescent="0.3">
      <c r="A29">
        <v>24</v>
      </c>
      <c r="B29">
        <f t="shared" si="5"/>
        <v>3.7461770040494568E-4</v>
      </c>
      <c r="C29">
        <f t="shared" si="1"/>
        <v>3.7461770040494568E-4</v>
      </c>
      <c r="D29" t="s">
        <v>30</v>
      </c>
      <c r="E29" t="s">
        <v>21</v>
      </c>
      <c r="F29">
        <v>1</v>
      </c>
      <c r="G29">
        <f t="shared" si="6"/>
        <v>145</v>
      </c>
      <c r="I29">
        <v>2050</v>
      </c>
      <c r="J29" t="s">
        <v>31</v>
      </c>
      <c r="K29">
        <f t="shared" si="7"/>
        <v>147.5</v>
      </c>
      <c r="L29" cm="1">
        <f t="array" ref="L29">STOWA2024_JAARROND_T(A29*60,K29,I29,J29,"")</f>
        <v>592.07703431522577</v>
      </c>
      <c r="M29">
        <f t="shared" si="8"/>
        <v>1.6889694111452283E-3</v>
      </c>
    </row>
    <row r="30" spans="1:13" x14ac:dyDescent="0.3">
      <c r="A30">
        <v>24</v>
      </c>
      <c r="B30">
        <f t="shared" si="5"/>
        <v>2.9916309959458157E-4</v>
      </c>
      <c r="C30">
        <f t="shared" si="1"/>
        <v>2.9916309959458157E-4</v>
      </c>
      <c r="D30" t="s">
        <v>30</v>
      </c>
      <c r="E30" t="s">
        <v>21</v>
      </c>
      <c r="F30">
        <v>1</v>
      </c>
      <c r="G30">
        <f t="shared" si="6"/>
        <v>150</v>
      </c>
      <c r="I30">
        <v>2050</v>
      </c>
      <c r="J30" t="s">
        <v>31</v>
      </c>
      <c r="K30">
        <f t="shared" si="7"/>
        <v>152.5</v>
      </c>
      <c r="L30" cm="1">
        <f t="array" ref="L30">STOWA2024_JAARROND_T(A30*60,K30,I30,J30,"")</f>
        <v>719.52472203430375</v>
      </c>
      <c r="M30">
        <f t="shared" si="8"/>
        <v>1.3898063115506468E-3</v>
      </c>
    </row>
    <row r="31" spans="1:13" x14ac:dyDescent="0.3">
      <c r="A31">
        <v>24</v>
      </c>
      <c r="B31">
        <f t="shared" si="5"/>
        <v>2.4032788527059232E-4</v>
      </c>
      <c r="C31">
        <f t="shared" si="1"/>
        <v>2.4032788527059232E-4</v>
      </c>
      <c r="D31" t="s">
        <v>30</v>
      </c>
      <c r="E31" t="s">
        <v>21</v>
      </c>
      <c r="F31">
        <v>1</v>
      </c>
      <c r="G31">
        <f t="shared" si="6"/>
        <v>155</v>
      </c>
      <c r="I31">
        <v>2050</v>
      </c>
      <c r="J31" t="s">
        <v>31</v>
      </c>
      <c r="K31">
        <f t="shared" si="7"/>
        <v>157.5</v>
      </c>
      <c r="L31" cm="1">
        <f t="array" ref="L31">STOWA2024_JAARROND_T(A31*60,K31,I31,J31,"")</f>
        <v>869.9597810079855</v>
      </c>
      <c r="M31">
        <f t="shared" si="8"/>
        <v>1.1494784262800544E-3</v>
      </c>
    </row>
    <row r="32" spans="1:13" x14ac:dyDescent="0.3">
      <c r="A32">
        <v>24</v>
      </c>
      <c r="B32" s="1">
        <f>M31</f>
        <v>1.1494784262800544E-3</v>
      </c>
      <c r="C32">
        <f t="shared" si="1"/>
        <v>1.1494784262800544E-3</v>
      </c>
      <c r="D32" t="s">
        <v>30</v>
      </c>
      <c r="E32" t="s">
        <v>21</v>
      </c>
      <c r="F32">
        <v>1</v>
      </c>
      <c r="G32">
        <f t="shared" si="6"/>
        <v>160</v>
      </c>
      <c r="I32">
        <v>2050</v>
      </c>
      <c r="J32" t="s">
        <v>31</v>
      </c>
      <c r="K32">
        <f>AVERAGE(G32:G33)</f>
        <v>85</v>
      </c>
      <c r="L32" cm="1">
        <f t="array" ref="L32">STOWA2024_JAARROND_T(A32*60,K32,I32,J32,"")</f>
        <v>28.951384934053173</v>
      </c>
      <c r="M32">
        <f>1/L32</f>
        <v>3.4540661950295197E-2</v>
      </c>
    </row>
    <row r="33" spans="1:13" x14ac:dyDescent="0.3">
      <c r="A33">
        <v>48</v>
      </c>
      <c r="B33" s="1">
        <f>365.25*24/A33 - M33</f>
        <v>153.28745708706606</v>
      </c>
      <c r="C33">
        <f>B33</f>
        <v>153.28745708706606</v>
      </c>
      <c r="D33" t="s">
        <v>30</v>
      </c>
      <c r="E33" t="s">
        <v>21</v>
      </c>
      <c r="F33">
        <v>1</v>
      </c>
      <c r="G33">
        <v>10</v>
      </c>
      <c r="I33">
        <v>2050</v>
      </c>
      <c r="J33" t="s">
        <v>31</v>
      </c>
      <c r="K33">
        <f>AVERAGE(G33:G35)</f>
        <v>15</v>
      </c>
      <c r="L33" cm="1">
        <f t="array" ref="L33">STOWA2024_JAARROND_T(A33*60,K33,I33,J33,"")</f>
        <v>3.4086017461235095E-2</v>
      </c>
      <c r="M33">
        <f>1/L33</f>
        <v>29.337542912933934</v>
      </c>
    </row>
    <row r="34" spans="1:13" x14ac:dyDescent="0.3">
      <c r="A34">
        <v>48</v>
      </c>
      <c r="B34">
        <f t="shared" ref="B34:B38" si="9">M33-M34</f>
        <v>7.4172058737615671</v>
      </c>
      <c r="C34">
        <f t="shared" ref="C34:C63" si="10">B34</f>
        <v>7.4172058737615671</v>
      </c>
      <c r="D34" t="s">
        <v>30</v>
      </c>
      <c r="E34" t="s">
        <v>21</v>
      </c>
      <c r="F34">
        <v>1</v>
      </c>
      <c r="G34">
        <f t="shared" ref="G34:G38" si="11">G33+5</f>
        <v>15</v>
      </c>
      <c r="I34">
        <v>2050</v>
      </c>
      <c r="J34" t="s">
        <v>31</v>
      </c>
      <c r="K34">
        <f t="shared" ref="K34:K38" si="12">AVERAGE(G34:G35)</f>
        <v>17.5</v>
      </c>
      <c r="L34" cm="1">
        <f t="array" ref="L34">STOWA2024_JAARROND_T(A34*60,K34,I34,J34,"")</f>
        <v>4.5619736512854114E-2</v>
      </c>
      <c r="M34">
        <f t="shared" ref="M34:M38" si="13">1/L34</f>
        <v>21.920337039172367</v>
      </c>
    </row>
    <row r="35" spans="1:13" x14ac:dyDescent="0.3">
      <c r="A35">
        <v>48</v>
      </c>
      <c r="B35">
        <f t="shared" si="9"/>
        <v>9.3795052777997494</v>
      </c>
      <c r="C35">
        <f t="shared" si="10"/>
        <v>9.3795052777997494</v>
      </c>
      <c r="D35" t="s">
        <v>30</v>
      </c>
      <c r="E35" t="s">
        <v>21</v>
      </c>
      <c r="F35">
        <v>1</v>
      </c>
      <c r="G35">
        <f t="shared" si="11"/>
        <v>20</v>
      </c>
      <c r="I35">
        <v>2050</v>
      </c>
      <c r="J35" t="s">
        <v>31</v>
      </c>
      <c r="K35">
        <f t="shared" si="12"/>
        <v>22.5</v>
      </c>
      <c r="L35" cm="1">
        <f t="array" ref="L35">STOWA2024_JAARROND_T(A35*60,K35,I35,J35,"")</f>
        <v>7.9739527571060259E-2</v>
      </c>
      <c r="M35">
        <f t="shared" si="13"/>
        <v>12.540831761372617</v>
      </c>
    </row>
    <row r="36" spans="1:13" x14ac:dyDescent="0.3">
      <c r="A36">
        <v>48</v>
      </c>
      <c r="B36">
        <f t="shared" si="9"/>
        <v>5.149141923884156</v>
      </c>
      <c r="C36">
        <f t="shared" si="10"/>
        <v>5.149141923884156</v>
      </c>
      <c r="D36" t="s">
        <v>30</v>
      </c>
      <c r="E36" t="s">
        <v>21</v>
      </c>
      <c r="F36">
        <v>1</v>
      </c>
      <c r="G36">
        <f t="shared" si="11"/>
        <v>25</v>
      </c>
      <c r="I36">
        <v>2050</v>
      </c>
      <c r="J36" t="s">
        <v>31</v>
      </c>
      <c r="K36">
        <f t="shared" si="12"/>
        <v>27.5</v>
      </c>
      <c r="L36" cm="1">
        <f t="array" ref="L36">STOWA2024_JAARROND_T(A36*60,K36,I36,J36,"")</f>
        <v>0.13528706182019384</v>
      </c>
      <c r="M36">
        <f t="shared" si="13"/>
        <v>7.3916898374884612</v>
      </c>
    </row>
    <row r="37" spans="1:13" x14ac:dyDescent="0.3">
      <c r="A37">
        <v>48</v>
      </c>
      <c r="B37">
        <f t="shared" si="9"/>
        <v>2.9167497642393112</v>
      </c>
      <c r="C37">
        <f t="shared" si="10"/>
        <v>2.9167497642393112</v>
      </c>
      <c r="D37" t="s">
        <v>30</v>
      </c>
      <c r="E37" t="s">
        <v>21</v>
      </c>
      <c r="F37">
        <v>1</v>
      </c>
      <c r="G37">
        <f t="shared" si="11"/>
        <v>30</v>
      </c>
      <c r="I37">
        <v>2050</v>
      </c>
      <c r="J37" t="s">
        <v>31</v>
      </c>
      <c r="K37">
        <f t="shared" si="12"/>
        <v>32.5</v>
      </c>
      <c r="L37" cm="1">
        <f t="array" ref="L37">STOWA2024_JAARROND_T(A37*60,K37,I37,J37,"")</f>
        <v>0.22346667969431</v>
      </c>
      <c r="M37">
        <f t="shared" si="13"/>
        <v>4.47494007324915</v>
      </c>
    </row>
    <row r="38" spans="1:13" x14ac:dyDescent="0.3">
      <c r="A38">
        <v>48</v>
      </c>
      <c r="B38">
        <f t="shared" si="9"/>
        <v>1.6994048188628015</v>
      </c>
      <c r="C38">
        <f t="shared" si="10"/>
        <v>1.6994048188628015</v>
      </c>
      <c r="D38" t="s">
        <v>30</v>
      </c>
      <c r="E38" t="s">
        <v>21</v>
      </c>
      <c r="F38">
        <v>1</v>
      </c>
      <c r="G38">
        <f t="shared" si="11"/>
        <v>35</v>
      </c>
      <c r="I38">
        <v>2050</v>
      </c>
      <c r="J38" t="s">
        <v>31</v>
      </c>
      <c r="K38">
        <f t="shared" si="12"/>
        <v>37.5</v>
      </c>
      <c r="L38" cm="1">
        <f t="array" ref="L38">STOWA2024_JAARROND_T(A38*60,K38,I38,J38,"")</f>
        <v>0.36029086584997927</v>
      </c>
      <c r="M38">
        <f t="shared" si="13"/>
        <v>2.7755352543863485</v>
      </c>
    </row>
    <row r="39" spans="1:13" x14ac:dyDescent="0.3">
      <c r="A39">
        <v>48</v>
      </c>
      <c r="B39">
        <f>M38-M39</f>
        <v>1.0157979162515556</v>
      </c>
      <c r="C39">
        <f t="shared" si="10"/>
        <v>1.0157979162515556</v>
      </c>
      <c r="D39" t="s">
        <v>30</v>
      </c>
      <c r="E39" t="s">
        <v>21</v>
      </c>
      <c r="F39">
        <v>1</v>
      </c>
      <c r="G39">
        <f>G38+5</f>
        <v>40</v>
      </c>
      <c r="I39">
        <v>2050</v>
      </c>
      <c r="J39" t="s">
        <v>31</v>
      </c>
      <c r="K39">
        <f>AVERAGE(G39:G40)</f>
        <v>42.5</v>
      </c>
      <c r="L39" cm="1">
        <f t="array" ref="L39">STOWA2024_JAARROND_T(A39*60,K39,I39,J39,"")</f>
        <v>0.56826662612042711</v>
      </c>
      <c r="M39">
        <f>1/L39</f>
        <v>1.7597373381347929</v>
      </c>
    </row>
    <row r="40" spans="1:13" x14ac:dyDescent="0.3">
      <c r="A40">
        <v>48</v>
      </c>
      <c r="B40">
        <f t="shared" ref="B40:B62" si="14">M39-M40</f>
        <v>0.62146228214985899</v>
      </c>
      <c r="C40">
        <f t="shared" si="10"/>
        <v>0.62146228214985899</v>
      </c>
      <c r="D40" t="s">
        <v>30</v>
      </c>
      <c r="E40" t="s">
        <v>21</v>
      </c>
      <c r="F40">
        <v>1</v>
      </c>
      <c r="G40">
        <f t="shared" ref="G40:G63" si="15">G39+5</f>
        <v>45</v>
      </c>
      <c r="I40">
        <v>2050</v>
      </c>
      <c r="J40" t="s">
        <v>31</v>
      </c>
      <c r="K40">
        <f t="shared" ref="K40:K62" si="16">AVERAGE(G40:G41)</f>
        <v>47.5</v>
      </c>
      <c r="L40" cm="1">
        <f t="array" ref="L40">STOWA2024_JAARROND_T(A40*60,K40,I40,J40,"")</f>
        <v>0.87852228223934292</v>
      </c>
      <c r="M40">
        <f t="shared" ref="M40:M62" si="17">1/L40</f>
        <v>1.1382750559849339</v>
      </c>
    </row>
    <row r="41" spans="1:13" x14ac:dyDescent="0.3">
      <c r="A41">
        <v>48</v>
      </c>
      <c r="B41">
        <f t="shared" si="14"/>
        <v>0.38826443107518971</v>
      </c>
      <c r="C41">
        <f t="shared" si="10"/>
        <v>0.38826443107518971</v>
      </c>
      <c r="D41" t="s">
        <v>30</v>
      </c>
      <c r="E41" t="s">
        <v>21</v>
      </c>
      <c r="F41">
        <v>1</v>
      </c>
      <c r="G41">
        <f t="shared" si="15"/>
        <v>50</v>
      </c>
      <c r="I41">
        <v>2050</v>
      </c>
      <c r="J41" t="s">
        <v>31</v>
      </c>
      <c r="K41">
        <f t="shared" si="16"/>
        <v>52.5</v>
      </c>
      <c r="L41" cm="1">
        <f t="array" ref="L41">STOWA2024_JAARROND_T(A41*60,K41,I41,J41,"")</f>
        <v>1.3333144448724834</v>
      </c>
      <c r="M41">
        <f t="shared" si="17"/>
        <v>0.75001062490974424</v>
      </c>
    </row>
    <row r="42" spans="1:13" x14ac:dyDescent="0.3">
      <c r="A42">
        <v>48</v>
      </c>
      <c r="B42">
        <f t="shared" si="14"/>
        <v>0.24748107856871704</v>
      </c>
      <c r="C42">
        <f t="shared" si="10"/>
        <v>0.24748107856871704</v>
      </c>
      <c r="D42" t="s">
        <v>30</v>
      </c>
      <c r="E42" t="s">
        <v>21</v>
      </c>
      <c r="F42">
        <v>1</v>
      </c>
      <c r="G42">
        <f t="shared" si="15"/>
        <v>55</v>
      </c>
      <c r="I42">
        <v>2050</v>
      </c>
      <c r="J42" t="s">
        <v>31</v>
      </c>
      <c r="K42">
        <f t="shared" si="16"/>
        <v>57.5</v>
      </c>
      <c r="L42" cm="1">
        <f t="array" ref="L42">STOWA2024_JAARROND_T(A42*60,K42,I42,J42,"")</f>
        <v>1.989932745807903</v>
      </c>
      <c r="M42">
        <f t="shared" si="17"/>
        <v>0.5025295463410272</v>
      </c>
    </row>
    <row r="43" spans="1:13" x14ac:dyDescent="0.3">
      <c r="A43">
        <v>48</v>
      </c>
      <c r="B43">
        <f t="shared" si="14"/>
        <v>0.16054439902707879</v>
      </c>
      <c r="C43">
        <f t="shared" si="10"/>
        <v>0.16054439902707879</v>
      </c>
      <c r="D43" t="s">
        <v>30</v>
      </c>
      <c r="E43" t="s">
        <v>21</v>
      </c>
      <c r="F43">
        <v>1</v>
      </c>
      <c r="G43">
        <f t="shared" si="15"/>
        <v>60</v>
      </c>
      <c r="I43">
        <v>2050</v>
      </c>
      <c r="J43" t="s">
        <v>31</v>
      </c>
      <c r="K43">
        <f t="shared" si="16"/>
        <v>62.5</v>
      </c>
      <c r="L43" cm="1">
        <f t="array" ref="L43">STOWA2024_JAARROND_T(A43*60,K43,I43,J43,"")</f>
        <v>2.9241035988091681</v>
      </c>
      <c r="M43">
        <f t="shared" si="17"/>
        <v>0.34198514731394841</v>
      </c>
    </row>
    <row r="44" spans="1:13" x14ac:dyDescent="0.3">
      <c r="A44">
        <v>48</v>
      </c>
      <c r="B44">
        <f t="shared" si="14"/>
        <v>0.10588011743565556</v>
      </c>
      <c r="C44">
        <f t="shared" si="10"/>
        <v>0.10588011743565556</v>
      </c>
      <c r="D44" t="s">
        <v>30</v>
      </c>
      <c r="E44" t="s">
        <v>21</v>
      </c>
      <c r="F44">
        <v>1</v>
      </c>
      <c r="G44">
        <f t="shared" si="15"/>
        <v>65</v>
      </c>
      <c r="I44">
        <v>2050</v>
      </c>
      <c r="J44" t="s">
        <v>31</v>
      </c>
      <c r="K44">
        <f t="shared" si="16"/>
        <v>67.5</v>
      </c>
      <c r="L44" cm="1">
        <f t="array" ref="L44">STOWA2024_JAARROND_T(A44*60,K44,I44,J44,"")</f>
        <v>4.2354032038854861</v>
      </c>
      <c r="M44">
        <f t="shared" si="17"/>
        <v>0.23610502987829285</v>
      </c>
    </row>
    <row r="45" spans="1:13" x14ac:dyDescent="0.3">
      <c r="A45">
        <v>48</v>
      </c>
      <c r="B45">
        <f t="shared" si="14"/>
        <v>7.0908635506994749E-2</v>
      </c>
      <c r="C45">
        <f t="shared" si="10"/>
        <v>7.0908635506994749E-2</v>
      </c>
      <c r="D45" t="s">
        <v>30</v>
      </c>
      <c r="E45" t="s">
        <v>21</v>
      </c>
      <c r="F45">
        <v>1</v>
      </c>
      <c r="G45">
        <f t="shared" si="15"/>
        <v>70</v>
      </c>
      <c r="I45">
        <v>2050</v>
      </c>
      <c r="J45" t="s">
        <v>31</v>
      </c>
      <c r="K45">
        <f t="shared" si="16"/>
        <v>72.5</v>
      </c>
      <c r="L45" cm="1">
        <f t="array" ref="L45">STOWA2024_JAARROND_T(A45*60,K45,I45,J45,"")</f>
        <v>6.0534008856899364</v>
      </c>
      <c r="M45">
        <f t="shared" si="17"/>
        <v>0.1651963943712981</v>
      </c>
    </row>
    <row r="46" spans="1:13" x14ac:dyDescent="0.3">
      <c r="A46">
        <v>48</v>
      </c>
      <c r="B46">
        <f t="shared" si="14"/>
        <v>4.8168155877082369E-2</v>
      </c>
      <c r="C46">
        <f t="shared" si="10"/>
        <v>4.8168155877082369E-2</v>
      </c>
      <c r="D46" t="s">
        <v>30</v>
      </c>
      <c r="E46" t="s">
        <v>21</v>
      </c>
      <c r="F46">
        <v>1</v>
      </c>
      <c r="G46">
        <f t="shared" si="15"/>
        <v>75</v>
      </c>
      <c r="I46">
        <v>2050</v>
      </c>
      <c r="J46" t="s">
        <v>31</v>
      </c>
      <c r="K46">
        <f t="shared" si="16"/>
        <v>77.5</v>
      </c>
      <c r="L46" cm="1">
        <f t="array" ref="L46">STOWA2024_JAARROND_T(A46*60,K46,I46,J46,"")</f>
        <v>8.5449461845008141</v>
      </c>
      <c r="M46">
        <f t="shared" si="17"/>
        <v>0.11702823849421573</v>
      </c>
    </row>
    <row r="47" spans="1:13" x14ac:dyDescent="0.3">
      <c r="A47">
        <v>48</v>
      </c>
      <c r="B47">
        <f t="shared" si="14"/>
        <v>3.3156140373846038E-2</v>
      </c>
      <c r="C47">
        <f t="shared" si="10"/>
        <v>3.3156140373846038E-2</v>
      </c>
      <c r="D47" t="s">
        <v>30</v>
      </c>
      <c r="E47" t="s">
        <v>21</v>
      </c>
      <c r="F47">
        <v>1</v>
      </c>
      <c r="G47">
        <f t="shared" si="15"/>
        <v>80</v>
      </c>
      <c r="I47">
        <v>2050</v>
      </c>
      <c r="J47" t="s">
        <v>31</v>
      </c>
      <c r="K47">
        <f t="shared" si="16"/>
        <v>82.5</v>
      </c>
      <c r="L47" cm="1">
        <f t="array" ref="L47">STOWA2024_JAARROND_T(A47*60,K47,I47,J47,"")</f>
        <v>11.922916230912005</v>
      </c>
      <c r="M47">
        <f t="shared" si="17"/>
        <v>8.3872098120369692E-2</v>
      </c>
    </row>
    <row r="48" spans="1:13" x14ac:dyDescent="0.3">
      <c r="A48">
        <v>48</v>
      </c>
      <c r="B48">
        <f t="shared" si="14"/>
        <v>2.3107715806583107E-2</v>
      </c>
      <c r="C48">
        <f t="shared" si="10"/>
        <v>2.3107715806583107E-2</v>
      </c>
      <c r="D48" t="s">
        <v>30</v>
      </c>
      <c r="E48" t="s">
        <v>21</v>
      </c>
      <c r="F48">
        <v>1</v>
      </c>
      <c r="G48">
        <f t="shared" si="15"/>
        <v>85</v>
      </c>
      <c r="I48">
        <v>2050</v>
      </c>
      <c r="J48" t="s">
        <v>31</v>
      </c>
      <c r="K48">
        <f t="shared" si="16"/>
        <v>87.5</v>
      </c>
      <c r="L48" cm="1">
        <f t="array" ref="L48">STOWA2024_JAARROND_T(A48*60,K48,I48,J48,"")</f>
        <v>16.457009220237133</v>
      </c>
      <c r="M48">
        <f t="shared" si="17"/>
        <v>6.0764382313786586E-2</v>
      </c>
    </row>
    <row r="49" spans="1:13" x14ac:dyDescent="0.3">
      <c r="A49">
        <v>48</v>
      </c>
      <c r="B49">
        <f t="shared" si="14"/>
        <v>1.6292136463226241E-2</v>
      </c>
      <c r="C49">
        <f t="shared" si="10"/>
        <v>1.6292136463226241E-2</v>
      </c>
      <c r="D49" t="s">
        <v>30</v>
      </c>
      <c r="E49" t="s">
        <v>21</v>
      </c>
      <c r="F49">
        <v>1</v>
      </c>
      <c r="G49">
        <f t="shared" si="15"/>
        <v>90</v>
      </c>
      <c r="I49">
        <v>2050</v>
      </c>
      <c r="J49" t="s">
        <v>31</v>
      </c>
      <c r="K49">
        <f t="shared" si="16"/>
        <v>92.5</v>
      </c>
      <c r="L49" cm="1">
        <f t="array" ref="L49">STOWA2024_JAARROND_T(A49*60,K49,I49,J49,"")</f>
        <v>22.485934336671242</v>
      </c>
      <c r="M49">
        <f t="shared" si="17"/>
        <v>4.4472245850560345E-2</v>
      </c>
    </row>
    <row r="50" spans="1:13" x14ac:dyDescent="0.3">
      <c r="A50">
        <v>48</v>
      </c>
      <c r="B50">
        <f t="shared" si="14"/>
        <v>1.1612192840742677E-2</v>
      </c>
      <c r="C50">
        <f t="shared" si="10"/>
        <v>1.1612192840742677E-2</v>
      </c>
      <c r="D50" t="s">
        <v>30</v>
      </c>
      <c r="E50" t="s">
        <v>21</v>
      </c>
      <c r="F50">
        <v>1</v>
      </c>
      <c r="G50">
        <f t="shared" si="15"/>
        <v>95</v>
      </c>
      <c r="I50">
        <v>2050</v>
      </c>
      <c r="J50" t="s">
        <v>31</v>
      </c>
      <c r="K50">
        <f t="shared" si="16"/>
        <v>97.5</v>
      </c>
      <c r="L50" cm="1">
        <f t="array" ref="L50">STOWA2024_JAARROND_T(A50*60,K50,I50,J50,"")</f>
        <v>30.432087242866828</v>
      </c>
      <c r="M50">
        <f t="shared" si="17"/>
        <v>3.2860053009817668E-2</v>
      </c>
    </row>
    <row r="51" spans="1:13" x14ac:dyDescent="0.3">
      <c r="A51">
        <v>48</v>
      </c>
      <c r="B51">
        <f t="shared" si="14"/>
        <v>8.3614426635316673E-3</v>
      </c>
      <c r="C51">
        <f t="shared" si="10"/>
        <v>8.3614426635316673E-3</v>
      </c>
      <c r="D51" t="s">
        <v>30</v>
      </c>
      <c r="E51" t="s">
        <v>21</v>
      </c>
      <c r="F51">
        <v>1</v>
      </c>
      <c r="G51">
        <f t="shared" si="15"/>
        <v>100</v>
      </c>
      <c r="I51">
        <v>2050</v>
      </c>
      <c r="J51" t="s">
        <v>31</v>
      </c>
      <c r="K51">
        <f t="shared" si="16"/>
        <v>102.5</v>
      </c>
      <c r="L51" cm="1">
        <f t="array" ref="L51">STOWA2024_JAARROND_T(A51*60,K51,I51,J51,"")</f>
        <v>40.818641786822838</v>
      </c>
      <c r="M51">
        <f t="shared" si="17"/>
        <v>2.4498610346286E-2</v>
      </c>
    </row>
    <row r="52" spans="1:13" x14ac:dyDescent="0.3">
      <c r="A52">
        <v>48</v>
      </c>
      <c r="B52">
        <f t="shared" si="14"/>
        <v>6.0788244955635104E-3</v>
      </c>
      <c r="C52">
        <f t="shared" si="10"/>
        <v>6.0788244955635104E-3</v>
      </c>
      <c r="D52" t="s">
        <v>30</v>
      </c>
      <c r="E52" t="s">
        <v>21</v>
      </c>
      <c r="F52">
        <v>1</v>
      </c>
      <c r="G52">
        <f t="shared" si="15"/>
        <v>105</v>
      </c>
      <c r="I52">
        <v>2050</v>
      </c>
      <c r="J52" t="s">
        <v>31</v>
      </c>
      <c r="K52">
        <f t="shared" si="16"/>
        <v>107.5</v>
      </c>
      <c r="L52" cm="1">
        <f t="array" ref="L52">STOWA2024_JAARROND_T(A52*60,K52,I52,J52,"")</f>
        <v>54.289447668077877</v>
      </c>
      <c r="M52">
        <f t="shared" si="17"/>
        <v>1.841978585072249E-2</v>
      </c>
    </row>
    <row r="53" spans="1:13" x14ac:dyDescent="0.3">
      <c r="A53">
        <v>48</v>
      </c>
      <c r="B53">
        <f t="shared" si="14"/>
        <v>4.4595620400278788E-3</v>
      </c>
      <c r="C53">
        <f t="shared" si="10"/>
        <v>4.4595620400278788E-3</v>
      </c>
      <c r="D53" t="s">
        <v>30</v>
      </c>
      <c r="E53" t="s">
        <v>21</v>
      </c>
      <c r="F53">
        <v>1</v>
      </c>
      <c r="G53">
        <f t="shared" si="15"/>
        <v>110</v>
      </c>
      <c r="I53">
        <v>2050</v>
      </c>
      <c r="J53" t="s">
        <v>31</v>
      </c>
      <c r="K53">
        <f t="shared" si="16"/>
        <v>112.5</v>
      </c>
      <c r="L53" cm="1">
        <f t="array" ref="L53">STOWA2024_JAARROND_T(A53*60,K53,I53,J53,"")</f>
        <v>71.632089396297687</v>
      </c>
      <c r="M53">
        <f t="shared" si="17"/>
        <v>1.3960223810694611E-2</v>
      </c>
    </row>
    <row r="54" spans="1:13" x14ac:dyDescent="0.3">
      <c r="A54">
        <v>48</v>
      </c>
      <c r="B54">
        <f t="shared" si="14"/>
        <v>3.2996762855527339E-3</v>
      </c>
      <c r="C54">
        <f t="shared" si="10"/>
        <v>3.2996762855527339E-3</v>
      </c>
      <c r="D54" t="s">
        <v>30</v>
      </c>
      <c r="E54" t="s">
        <v>21</v>
      </c>
      <c r="F54">
        <v>1</v>
      </c>
      <c r="G54">
        <f t="shared" si="15"/>
        <v>115</v>
      </c>
      <c r="I54">
        <v>2050</v>
      </c>
      <c r="J54" t="s">
        <v>31</v>
      </c>
      <c r="K54">
        <f t="shared" si="16"/>
        <v>117.5</v>
      </c>
      <c r="L54" cm="1">
        <f t="array" ref="L54">STOWA2024_JAARROND_T(A54*60,K54,I54,J54,"")</f>
        <v>93.803812387834313</v>
      </c>
      <c r="M54">
        <f t="shared" si="17"/>
        <v>1.0660547525141877E-2</v>
      </c>
    </row>
    <row r="55" spans="1:13" x14ac:dyDescent="0.3">
      <c r="A55">
        <v>48</v>
      </c>
      <c r="B55">
        <f t="shared" si="14"/>
        <v>2.4614555230582213E-3</v>
      </c>
      <c r="C55">
        <f t="shared" si="10"/>
        <v>2.4614555230582213E-3</v>
      </c>
      <c r="D55" t="s">
        <v>30</v>
      </c>
      <c r="E55" t="s">
        <v>21</v>
      </c>
      <c r="F55">
        <v>1</v>
      </c>
      <c r="G55">
        <f t="shared" si="15"/>
        <v>120</v>
      </c>
      <c r="I55">
        <v>2050</v>
      </c>
      <c r="J55" t="s">
        <v>31</v>
      </c>
      <c r="K55">
        <f t="shared" si="16"/>
        <v>122.5</v>
      </c>
      <c r="L55" cm="1">
        <f t="array" ref="L55">STOWA2024_JAARROND_T(A55*60,K55,I55,J55,"")</f>
        <v>121.96472484341773</v>
      </c>
      <c r="M55">
        <f t="shared" si="17"/>
        <v>8.199092002083656E-3</v>
      </c>
    </row>
    <row r="56" spans="1:13" x14ac:dyDescent="0.3">
      <c r="A56">
        <v>48</v>
      </c>
      <c r="B56">
        <f t="shared" si="14"/>
        <v>1.8502067965327678E-3</v>
      </c>
      <c r="C56">
        <f t="shared" si="10"/>
        <v>1.8502067965327678E-3</v>
      </c>
      <c r="D56" t="s">
        <v>30</v>
      </c>
      <c r="E56" t="s">
        <v>21</v>
      </c>
      <c r="F56">
        <v>1</v>
      </c>
      <c r="G56">
        <f t="shared" si="15"/>
        <v>125</v>
      </c>
      <c r="I56">
        <v>2050</v>
      </c>
      <c r="J56" t="s">
        <v>31</v>
      </c>
      <c r="K56">
        <f t="shared" si="16"/>
        <v>127.5</v>
      </c>
      <c r="L56" cm="1">
        <f t="array" ref="L56">STOWA2024_JAARROND_T(A56*60,K56,I56,J56,"")</f>
        <v>157.50796677276364</v>
      </c>
      <c r="M56">
        <f t="shared" si="17"/>
        <v>6.3488852055508882E-3</v>
      </c>
    </row>
    <row r="57" spans="1:13" x14ac:dyDescent="0.3">
      <c r="A57">
        <v>48</v>
      </c>
      <c r="B57">
        <f t="shared" si="14"/>
        <v>1.4009909938453545E-3</v>
      </c>
      <c r="C57">
        <f t="shared" si="10"/>
        <v>1.4009909938453545E-3</v>
      </c>
      <c r="D57" t="s">
        <v>30</v>
      </c>
      <c r="E57" t="s">
        <v>21</v>
      </c>
      <c r="F57">
        <v>1</v>
      </c>
      <c r="G57">
        <f t="shared" si="15"/>
        <v>130</v>
      </c>
      <c r="I57">
        <v>2050</v>
      </c>
      <c r="J57" t="s">
        <v>31</v>
      </c>
      <c r="K57">
        <f t="shared" si="16"/>
        <v>132.5</v>
      </c>
      <c r="L57" cm="1">
        <f t="array" ref="L57">STOWA2024_JAARROND_T(A57*60,K57,I57,J57,"")</f>
        <v>202.10618036946693</v>
      </c>
      <c r="M57">
        <f t="shared" si="17"/>
        <v>4.9478942117055337E-3</v>
      </c>
    </row>
    <row r="58" spans="1:13" x14ac:dyDescent="0.3">
      <c r="A58">
        <v>48</v>
      </c>
      <c r="B58">
        <f t="shared" si="14"/>
        <v>1.068147673103008E-3</v>
      </c>
      <c r="C58">
        <f t="shared" si="10"/>
        <v>1.068147673103008E-3</v>
      </c>
      <c r="D58" t="s">
        <v>30</v>
      </c>
      <c r="E58" t="s">
        <v>21</v>
      </c>
      <c r="F58">
        <v>1</v>
      </c>
      <c r="G58">
        <f t="shared" si="15"/>
        <v>135</v>
      </c>
      <c r="I58">
        <v>2050</v>
      </c>
      <c r="J58" t="s">
        <v>31</v>
      </c>
      <c r="K58">
        <f t="shared" si="16"/>
        <v>137.5</v>
      </c>
      <c r="L58" cm="1">
        <f t="array" ref="L58">STOWA2024_JAARROND_T(A58*60,K58,I58,J58,"")</f>
        <v>257.74879622940455</v>
      </c>
      <c r="M58">
        <f t="shared" si="17"/>
        <v>3.8797465386025257E-3</v>
      </c>
    </row>
    <row r="59" spans="1:13" x14ac:dyDescent="0.3">
      <c r="A59">
        <v>48</v>
      </c>
      <c r="B59">
        <f t="shared" si="14"/>
        <v>8.1978413824615633E-4</v>
      </c>
      <c r="C59">
        <f t="shared" si="10"/>
        <v>8.1978413824615633E-4</v>
      </c>
      <c r="D59" t="s">
        <v>30</v>
      </c>
      <c r="E59" t="s">
        <v>21</v>
      </c>
      <c r="F59">
        <v>1</v>
      </c>
      <c r="G59">
        <f t="shared" si="15"/>
        <v>140</v>
      </c>
      <c r="I59">
        <v>2050</v>
      </c>
      <c r="J59" t="s">
        <v>31</v>
      </c>
      <c r="K59">
        <f t="shared" si="16"/>
        <v>142.5</v>
      </c>
      <c r="L59" cm="1">
        <f t="array" ref="L59">STOWA2024_JAARROND_T(A59*60,K59,I59,J59,"")</f>
        <v>326.80140118177201</v>
      </c>
      <c r="M59">
        <f t="shared" si="17"/>
        <v>3.0599624003563694E-3</v>
      </c>
    </row>
    <row r="60" spans="1:13" x14ac:dyDescent="0.3">
      <c r="A60">
        <v>48</v>
      </c>
      <c r="B60">
        <f t="shared" si="14"/>
        <v>6.3312742476174426E-4</v>
      </c>
      <c r="C60">
        <f t="shared" si="10"/>
        <v>6.3312742476174426E-4</v>
      </c>
      <c r="D60" t="s">
        <v>30</v>
      </c>
      <c r="E60" t="s">
        <v>21</v>
      </c>
      <c r="F60">
        <v>1</v>
      </c>
      <c r="G60">
        <f t="shared" si="15"/>
        <v>145</v>
      </c>
      <c r="I60">
        <v>2050</v>
      </c>
      <c r="J60" t="s">
        <v>31</v>
      </c>
      <c r="K60">
        <f t="shared" si="16"/>
        <v>147.5</v>
      </c>
      <c r="L60" cm="1">
        <f t="array" ref="L60">STOWA2024_JAARROND_T(A60*60,K60,I60,J60,"")</f>
        <v>412.05933244594809</v>
      </c>
      <c r="M60">
        <f t="shared" si="17"/>
        <v>2.4268349755946252E-3</v>
      </c>
    </row>
    <row r="61" spans="1:13" x14ac:dyDescent="0.3">
      <c r="A61">
        <v>48</v>
      </c>
      <c r="B61">
        <f t="shared" si="14"/>
        <v>4.9191543839727388E-4</v>
      </c>
      <c r="C61">
        <f t="shared" si="10"/>
        <v>4.9191543839727388E-4</v>
      </c>
      <c r="D61" t="s">
        <v>30</v>
      </c>
      <c r="E61" t="s">
        <v>21</v>
      </c>
      <c r="F61">
        <v>1</v>
      </c>
      <c r="G61">
        <f t="shared" si="15"/>
        <v>150</v>
      </c>
      <c r="I61">
        <v>2050</v>
      </c>
      <c r="J61" t="s">
        <v>31</v>
      </c>
      <c r="K61">
        <f t="shared" si="16"/>
        <v>152.5</v>
      </c>
      <c r="L61" cm="1">
        <f t="array" ref="L61">STOWA2024_JAARROND_T(A61*60,K61,I61,J61,"")</f>
        <v>516.81735636845008</v>
      </c>
      <c r="M61">
        <f t="shared" si="17"/>
        <v>1.9349195371973513E-3</v>
      </c>
    </row>
    <row r="62" spans="1:13" x14ac:dyDescent="0.3">
      <c r="A62">
        <v>48</v>
      </c>
      <c r="B62">
        <f t="shared" si="14"/>
        <v>3.8436666615616877E-4</v>
      </c>
      <c r="C62">
        <f t="shared" si="10"/>
        <v>3.8436666615616877E-4</v>
      </c>
      <c r="D62" t="s">
        <v>30</v>
      </c>
      <c r="E62" t="s">
        <v>21</v>
      </c>
      <c r="F62">
        <v>1</v>
      </c>
      <c r="G62">
        <f t="shared" si="15"/>
        <v>155</v>
      </c>
      <c r="I62">
        <v>2050</v>
      </c>
      <c r="J62" t="s">
        <v>31</v>
      </c>
      <c r="K62">
        <f t="shared" si="16"/>
        <v>157.5</v>
      </c>
      <c r="L62" cm="1">
        <f t="array" ref="L62">STOWA2024_JAARROND_T(A62*60,K62,I62,J62,"")</f>
        <v>644.93124915405747</v>
      </c>
      <c r="M62">
        <f t="shared" si="17"/>
        <v>1.5505528710411825E-3</v>
      </c>
    </row>
    <row r="63" spans="1:13" x14ac:dyDescent="0.3">
      <c r="A63">
        <v>48</v>
      </c>
      <c r="B63" s="1">
        <f>M62</f>
        <v>1.5505528710411825E-3</v>
      </c>
      <c r="C63">
        <f t="shared" si="10"/>
        <v>1.5505528710411825E-3</v>
      </c>
      <c r="D63" t="s">
        <v>30</v>
      </c>
      <c r="E63" t="s">
        <v>21</v>
      </c>
      <c r="F63">
        <v>1</v>
      </c>
      <c r="G63">
        <f t="shared" si="15"/>
        <v>160</v>
      </c>
      <c r="I63">
        <v>2050</v>
      </c>
      <c r="J63" t="s">
        <v>31</v>
      </c>
      <c r="K63">
        <f>AVERAGE(G63:G64)</f>
        <v>85</v>
      </c>
      <c r="L63" cm="1">
        <f t="array" ref="L63">STOWA2024_JAARROND_T(A63*60,K63,I63,J63,"")</f>
        <v>14.026056855998931</v>
      </c>
      <c r="M63">
        <f>1/L63</f>
        <v>7.1295875260358799E-2</v>
      </c>
    </row>
    <row r="64" spans="1:13" x14ac:dyDescent="0.3">
      <c r="A64">
        <v>96</v>
      </c>
      <c r="B64" s="1">
        <f>365.25*24/A64 - M64</f>
        <v>47.73833009326696</v>
      </c>
      <c r="C64">
        <f>B64</f>
        <v>47.73833009326696</v>
      </c>
      <c r="D64" t="s">
        <v>30</v>
      </c>
      <c r="E64" t="s">
        <v>21</v>
      </c>
      <c r="F64">
        <v>1</v>
      </c>
      <c r="G64">
        <v>10</v>
      </c>
      <c r="I64">
        <v>2050</v>
      </c>
      <c r="J64" t="s">
        <v>31</v>
      </c>
      <c r="K64">
        <f>AVERAGE(G64:G66)</f>
        <v>15</v>
      </c>
      <c r="L64" cm="1">
        <f t="array" ref="L64">STOWA2024_JAARROND_T(A64*60,K64,I64,J64,"")</f>
        <v>2.2949375791677006E-2</v>
      </c>
      <c r="M64">
        <f>1/L64</f>
        <v>43.57416990673304</v>
      </c>
    </row>
    <row r="65" spans="1:13" x14ac:dyDescent="0.3">
      <c r="A65">
        <v>96</v>
      </c>
      <c r="B65">
        <f t="shared" ref="B65:B69" si="18">M64-M65</f>
        <v>8.6385374218087421</v>
      </c>
      <c r="C65">
        <f t="shared" ref="C65:C94" si="19">B65</f>
        <v>8.6385374218087421</v>
      </c>
      <c r="D65" t="s">
        <v>30</v>
      </c>
      <c r="E65" t="s">
        <v>21</v>
      </c>
      <c r="F65">
        <v>1</v>
      </c>
      <c r="G65">
        <f t="shared" ref="G65:G69" si="20">G64+5</f>
        <v>15</v>
      </c>
      <c r="I65">
        <v>2050</v>
      </c>
      <c r="J65" t="s">
        <v>31</v>
      </c>
      <c r="K65">
        <f t="shared" ref="K65:K69" si="21">AVERAGE(G65:G66)</f>
        <v>17.5</v>
      </c>
      <c r="L65" cm="1">
        <f t="array" ref="L65">STOWA2024_JAARROND_T(A65*60,K65,I65,J65,"")</f>
        <v>2.862407029360433E-2</v>
      </c>
      <c r="M65">
        <f t="shared" ref="M65:M69" si="22">1/L65</f>
        <v>34.935632484924298</v>
      </c>
    </row>
    <row r="66" spans="1:13" x14ac:dyDescent="0.3">
      <c r="A66">
        <v>96</v>
      </c>
      <c r="B66">
        <f t="shared" si="18"/>
        <v>12.304843942021947</v>
      </c>
      <c r="C66">
        <f t="shared" si="19"/>
        <v>12.304843942021947</v>
      </c>
      <c r="D66" t="s">
        <v>30</v>
      </c>
      <c r="E66" t="s">
        <v>21</v>
      </c>
      <c r="F66">
        <v>1</v>
      </c>
      <c r="G66">
        <f t="shared" si="20"/>
        <v>20</v>
      </c>
      <c r="I66">
        <v>2050</v>
      </c>
      <c r="J66" t="s">
        <v>31</v>
      </c>
      <c r="K66">
        <f t="shared" si="21"/>
        <v>22.5</v>
      </c>
      <c r="L66" cm="1">
        <f t="array" ref="L66">STOWA2024_JAARROND_T(A66*60,K66,I66,J66,"")</f>
        <v>4.4187589756505767E-2</v>
      </c>
      <c r="M66">
        <f t="shared" si="22"/>
        <v>22.630788542902351</v>
      </c>
    </row>
    <row r="67" spans="1:13" x14ac:dyDescent="0.3">
      <c r="A67">
        <v>96</v>
      </c>
      <c r="B67">
        <f t="shared" si="18"/>
        <v>7.8251530005532413</v>
      </c>
      <c r="C67">
        <f t="shared" si="19"/>
        <v>7.8251530005532413</v>
      </c>
      <c r="D67" t="s">
        <v>30</v>
      </c>
      <c r="E67" t="s">
        <v>21</v>
      </c>
      <c r="F67">
        <v>1</v>
      </c>
      <c r="G67">
        <f t="shared" si="20"/>
        <v>25</v>
      </c>
      <c r="I67">
        <v>2050</v>
      </c>
      <c r="J67" t="s">
        <v>31</v>
      </c>
      <c r="K67">
        <f t="shared" si="21"/>
        <v>27.5</v>
      </c>
      <c r="L67" cm="1">
        <f t="array" ref="L67">STOWA2024_JAARROND_T(A67*60,K67,I67,J67,"")</f>
        <v>6.7541848989843278E-2</v>
      </c>
      <c r="M67">
        <f t="shared" si="22"/>
        <v>14.80563554234911</v>
      </c>
    </row>
    <row r="68" spans="1:13" x14ac:dyDescent="0.3">
      <c r="A68">
        <v>96</v>
      </c>
      <c r="B68">
        <f t="shared" si="18"/>
        <v>5.0276810813625836</v>
      </c>
      <c r="C68">
        <f t="shared" si="19"/>
        <v>5.0276810813625836</v>
      </c>
      <c r="D68" t="s">
        <v>30</v>
      </c>
      <c r="E68" t="s">
        <v>21</v>
      </c>
      <c r="F68">
        <v>1</v>
      </c>
      <c r="G68">
        <f t="shared" si="20"/>
        <v>30</v>
      </c>
      <c r="I68">
        <v>2050</v>
      </c>
      <c r="J68" t="s">
        <v>31</v>
      </c>
      <c r="K68">
        <f t="shared" si="21"/>
        <v>32.5</v>
      </c>
      <c r="L68" cm="1">
        <f t="array" ref="L68">STOWA2024_JAARROND_T(A68*60,K68,I68,J68,"")</f>
        <v>0.10227087925086399</v>
      </c>
      <c r="M68">
        <f t="shared" si="22"/>
        <v>9.7779544609865265</v>
      </c>
    </row>
    <row r="69" spans="1:13" x14ac:dyDescent="0.3">
      <c r="A69">
        <v>96</v>
      </c>
      <c r="B69">
        <f t="shared" si="18"/>
        <v>3.2617587238941965</v>
      </c>
      <c r="C69">
        <f t="shared" si="19"/>
        <v>3.2617587238941965</v>
      </c>
      <c r="D69" t="s">
        <v>30</v>
      </c>
      <c r="E69" t="s">
        <v>21</v>
      </c>
      <c r="F69">
        <v>1</v>
      </c>
      <c r="G69">
        <f t="shared" si="20"/>
        <v>35</v>
      </c>
      <c r="I69">
        <v>2050</v>
      </c>
      <c r="J69" t="s">
        <v>31</v>
      </c>
      <c r="K69">
        <f t="shared" si="21"/>
        <v>37.5</v>
      </c>
      <c r="L69" cm="1">
        <f t="array" ref="L69">STOWA2024_JAARROND_T(A69*60,K69,I69,J69,"")</f>
        <v>0.1534637755443212</v>
      </c>
      <c r="M69">
        <f t="shared" si="22"/>
        <v>6.51619573709233</v>
      </c>
    </row>
    <row r="70" spans="1:13" x14ac:dyDescent="0.3">
      <c r="A70">
        <v>96</v>
      </c>
      <c r="B70">
        <f>M69-M70</f>
        <v>2.135960835105581</v>
      </c>
      <c r="C70">
        <f t="shared" si="19"/>
        <v>2.135960835105581</v>
      </c>
      <c r="D70" t="s">
        <v>30</v>
      </c>
      <c r="E70" t="s">
        <v>21</v>
      </c>
      <c r="F70">
        <v>1</v>
      </c>
      <c r="G70">
        <f>G69+5</f>
        <v>40</v>
      </c>
      <c r="I70">
        <v>2050</v>
      </c>
      <c r="J70" t="s">
        <v>31</v>
      </c>
      <c r="K70">
        <f>AVERAGE(G70:G71)</f>
        <v>42.5</v>
      </c>
      <c r="L70" cm="1">
        <f t="array" ref="L70">STOWA2024_JAARROND_T(A70*60,K70,I70,J70,"")</f>
        <v>0.22829825851267213</v>
      </c>
      <c r="M70">
        <f>1/L70</f>
        <v>4.380234901986749</v>
      </c>
    </row>
    <row r="71" spans="1:13" x14ac:dyDescent="0.3">
      <c r="A71">
        <v>96</v>
      </c>
      <c r="B71">
        <f t="shared" ref="B71:B93" si="23">M70-M71</f>
        <v>1.4113421124163663</v>
      </c>
      <c r="C71">
        <f t="shared" si="19"/>
        <v>1.4113421124163663</v>
      </c>
      <c r="D71" t="s">
        <v>30</v>
      </c>
      <c r="E71" t="s">
        <v>21</v>
      </c>
      <c r="F71">
        <v>1</v>
      </c>
      <c r="G71">
        <f t="shared" ref="G71:G94" si="24">G70+5</f>
        <v>45</v>
      </c>
      <c r="I71">
        <v>2050</v>
      </c>
      <c r="J71" t="s">
        <v>31</v>
      </c>
      <c r="K71">
        <f t="shared" ref="K71:K93" si="25">AVERAGE(G71:G72)</f>
        <v>47.5</v>
      </c>
      <c r="L71" cm="1">
        <f t="array" ref="L71">STOWA2024_JAARROND_T(A71*60,K71,I71,J71,"")</f>
        <v>0.33682590476589969</v>
      </c>
      <c r="M71">
        <f t="shared" ref="M71:M93" si="26">1/L71</f>
        <v>2.9688927895703827</v>
      </c>
    </row>
    <row r="72" spans="1:13" x14ac:dyDescent="0.3">
      <c r="A72">
        <v>96</v>
      </c>
      <c r="B72">
        <f t="shared" si="23"/>
        <v>0.94055309467794768</v>
      </c>
      <c r="C72">
        <f t="shared" si="19"/>
        <v>0.94055309467794768</v>
      </c>
      <c r="D72" t="s">
        <v>30</v>
      </c>
      <c r="E72" t="s">
        <v>21</v>
      </c>
      <c r="F72">
        <v>1</v>
      </c>
      <c r="G72">
        <f t="shared" si="24"/>
        <v>50</v>
      </c>
      <c r="I72">
        <v>2050</v>
      </c>
      <c r="J72" t="s">
        <v>31</v>
      </c>
      <c r="K72">
        <f t="shared" si="25"/>
        <v>52.5</v>
      </c>
      <c r="L72" cm="1">
        <f t="array" ref="L72">STOWA2024_JAARROND_T(A72*60,K72,I72,J72,"")</f>
        <v>0.49301406589739449</v>
      </c>
      <c r="M72">
        <f t="shared" si="26"/>
        <v>2.028339694892435</v>
      </c>
    </row>
    <row r="73" spans="1:13" x14ac:dyDescent="0.3">
      <c r="A73">
        <v>96</v>
      </c>
      <c r="B73">
        <f t="shared" si="23"/>
        <v>0.63196209498954703</v>
      </c>
      <c r="C73">
        <f t="shared" si="19"/>
        <v>0.63196209498954703</v>
      </c>
      <c r="D73" t="s">
        <v>30</v>
      </c>
      <c r="E73" t="s">
        <v>21</v>
      </c>
      <c r="F73">
        <v>1</v>
      </c>
      <c r="G73">
        <f t="shared" si="24"/>
        <v>55</v>
      </c>
      <c r="I73">
        <v>2050</v>
      </c>
      <c r="J73" t="s">
        <v>31</v>
      </c>
      <c r="K73">
        <f t="shared" si="25"/>
        <v>57.5</v>
      </c>
      <c r="L73" cm="1">
        <f t="array" ref="L73">STOWA2024_JAARROND_T(A73*60,K73,I73,J73,"")</f>
        <v>0.71613867199641823</v>
      </c>
      <c r="M73">
        <f t="shared" si="26"/>
        <v>1.396377599902888</v>
      </c>
    </row>
    <row r="74" spans="1:13" x14ac:dyDescent="0.3">
      <c r="A74">
        <v>96</v>
      </c>
      <c r="B74">
        <f t="shared" si="23"/>
        <v>0.42790099089945277</v>
      </c>
      <c r="C74">
        <f t="shared" si="19"/>
        <v>0.42790099089945277</v>
      </c>
      <c r="D74" t="s">
        <v>30</v>
      </c>
      <c r="E74" t="s">
        <v>21</v>
      </c>
      <c r="F74">
        <v>1</v>
      </c>
      <c r="G74">
        <f t="shared" si="24"/>
        <v>60</v>
      </c>
      <c r="I74">
        <v>2050</v>
      </c>
      <c r="J74" t="s">
        <v>31</v>
      </c>
      <c r="K74">
        <f t="shared" si="25"/>
        <v>62.5</v>
      </c>
      <c r="L74" cm="1">
        <f t="array" ref="L74">STOWA2024_JAARROND_T(A74*60,K74,I74,J74,"")</f>
        <v>1.0325494603622924</v>
      </c>
      <c r="M74">
        <f t="shared" si="26"/>
        <v>0.96847660900343524</v>
      </c>
    </row>
    <row r="75" spans="1:13" x14ac:dyDescent="0.3">
      <c r="A75">
        <v>96</v>
      </c>
      <c r="B75">
        <f t="shared" si="23"/>
        <v>0.292091603684973</v>
      </c>
      <c r="C75">
        <f t="shared" si="19"/>
        <v>0.292091603684973</v>
      </c>
      <c r="D75" t="s">
        <v>30</v>
      </c>
      <c r="E75" t="s">
        <v>21</v>
      </c>
      <c r="F75">
        <v>1</v>
      </c>
      <c r="G75">
        <f t="shared" si="24"/>
        <v>65</v>
      </c>
      <c r="I75">
        <v>2050</v>
      </c>
      <c r="J75" t="s">
        <v>31</v>
      </c>
      <c r="K75">
        <f t="shared" si="25"/>
        <v>67.5</v>
      </c>
      <c r="L75" cm="1">
        <f t="array" ref="L75">STOWA2024_JAARROND_T(A75*60,K75,I75,J75,"")</f>
        <v>1.4784479137428101</v>
      </c>
      <c r="M75">
        <f t="shared" si="26"/>
        <v>0.67638500531846224</v>
      </c>
    </row>
    <row r="76" spans="1:13" x14ac:dyDescent="0.3">
      <c r="A76">
        <v>96</v>
      </c>
      <c r="B76">
        <f t="shared" si="23"/>
        <v>0.20078491012793376</v>
      </c>
      <c r="C76">
        <f t="shared" si="19"/>
        <v>0.20078491012793376</v>
      </c>
      <c r="D76" t="s">
        <v>30</v>
      </c>
      <c r="E76" t="s">
        <v>21</v>
      </c>
      <c r="F76">
        <v>1</v>
      </c>
      <c r="G76">
        <f t="shared" si="24"/>
        <v>70</v>
      </c>
      <c r="I76">
        <v>2050</v>
      </c>
      <c r="J76" t="s">
        <v>31</v>
      </c>
      <c r="K76">
        <f t="shared" si="25"/>
        <v>72.5</v>
      </c>
      <c r="L76" cm="1">
        <f t="array" ref="L76">STOWA2024_JAARROND_T(A76*60,K76,I76,J76,"")</f>
        <v>2.1026068121357158</v>
      </c>
      <c r="M76">
        <f t="shared" si="26"/>
        <v>0.47560009519052848</v>
      </c>
    </row>
    <row r="77" spans="1:13" x14ac:dyDescent="0.3">
      <c r="A77">
        <v>96</v>
      </c>
      <c r="B77">
        <f t="shared" si="23"/>
        <v>0.13899172150558736</v>
      </c>
      <c r="C77">
        <f t="shared" si="19"/>
        <v>0.13899172150558736</v>
      </c>
      <c r="D77" t="s">
        <v>30</v>
      </c>
      <c r="E77" t="s">
        <v>21</v>
      </c>
      <c r="F77">
        <v>1</v>
      </c>
      <c r="G77">
        <f t="shared" si="24"/>
        <v>75</v>
      </c>
      <c r="I77">
        <v>2050</v>
      </c>
      <c r="J77" t="s">
        <v>31</v>
      </c>
      <c r="K77">
        <f t="shared" si="25"/>
        <v>77.5</v>
      </c>
      <c r="L77" cm="1">
        <f t="array" ref="L77">STOWA2024_JAARROND_T(A77*60,K77,I77,J77,"")</f>
        <v>2.9708114181852783</v>
      </c>
      <c r="M77">
        <f t="shared" si="26"/>
        <v>0.33660837368494112</v>
      </c>
    </row>
    <row r="78" spans="1:13" x14ac:dyDescent="0.3">
      <c r="A78">
        <v>96</v>
      </c>
      <c r="B78">
        <f t="shared" si="23"/>
        <v>9.6869924421336934E-2</v>
      </c>
      <c r="C78">
        <f t="shared" si="19"/>
        <v>9.6869924421336934E-2</v>
      </c>
      <c r="D78" t="s">
        <v>30</v>
      </c>
      <c r="E78" t="s">
        <v>21</v>
      </c>
      <c r="F78">
        <v>1</v>
      </c>
      <c r="G78">
        <f t="shared" si="24"/>
        <v>80</v>
      </c>
      <c r="I78">
        <v>2050</v>
      </c>
      <c r="J78" t="s">
        <v>31</v>
      </c>
      <c r="K78">
        <f t="shared" si="25"/>
        <v>82.5</v>
      </c>
      <c r="L78" cm="1">
        <f t="array" ref="L78">STOWA2024_JAARROND_T(A78*60,K78,I78,J78,"")</f>
        <v>4.1712124320135686</v>
      </c>
      <c r="M78">
        <f t="shared" si="26"/>
        <v>0.23973844926360419</v>
      </c>
    </row>
    <row r="79" spans="1:13" x14ac:dyDescent="0.3">
      <c r="A79">
        <v>96</v>
      </c>
      <c r="B79">
        <f t="shared" si="23"/>
        <v>6.7952365735866743E-2</v>
      </c>
      <c r="C79">
        <f t="shared" si="19"/>
        <v>6.7952365735866743E-2</v>
      </c>
      <c r="D79" t="s">
        <v>30</v>
      </c>
      <c r="E79" t="s">
        <v>21</v>
      </c>
      <c r="F79">
        <v>1</v>
      </c>
      <c r="G79">
        <f t="shared" si="24"/>
        <v>85</v>
      </c>
      <c r="I79">
        <v>2050</v>
      </c>
      <c r="J79" t="s">
        <v>31</v>
      </c>
      <c r="K79">
        <f t="shared" si="25"/>
        <v>87.5</v>
      </c>
      <c r="L79" cm="1">
        <f t="array" ref="L79">STOWA2024_JAARROND_T(A79*60,K79,I79,J79,"")</f>
        <v>5.8211933089360812</v>
      </c>
      <c r="M79">
        <f t="shared" si="26"/>
        <v>0.17178608352773744</v>
      </c>
    </row>
    <row r="80" spans="1:13" x14ac:dyDescent="0.3">
      <c r="A80">
        <v>96</v>
      </c>
      <c r="B80">
        <f t="shared" si="23"/>
        <v>4.7969429202621497E-2</v>
      </c>
      <c r="C80">
        <f t="shared" si="19"/>
        <v>4.7969429202621497E-2</v>
      </c>
      <c r="D80" t="s">
        <v>30</v>
      </c>
      <c r="E80" t="s">
        <v>21</v>
      </c>
      <c r="F80">
        <v>1</v>
      </c>
      <c r="G80">
        <f t="shared" si="24"/>
        <v>90</v>
      </c>
      <c r="I80">
        <v>2050</v>
      </c>
      <c r="J80" t="s">
        <v>31</v>
      </c>
      <c r="K80">
        <f t="shared" si="25"/>
        <v>92.5</v>
      </c>
      <c r="L80" cm="1">
        <f t="array" ref="L80">STOWA2024_JAARROND_T(A80*60,K80,I80,J80,"")</f>
        <v>8.0764579325024783</v>
      </c>
      <c r="M80">
        <f t="shared" si="26"/>
        <v>0.12381665432511595</v>
      </c>
    </row>
    <row r="81" spans="1:13" x14ac:dyDescent="0.3">
      <c r="A81">
        <v>96</v>
      </c>
      <c r="B81">
        <f t="shared" si="23"/>
        <v>3.4068929858088792E-2</v>
      </c>
      <c r="C81">
        <f t="shared" si="19"/>
        <v>3.4068929858088792E-2</v>
      </c>
      <c r="D81" t="s">
        <v>30</v>
      </c>
      <c r="E81" t="s">
        <v>21</v>
      </c>
      <c r="F81">
        <v>1</v>
      </c>
      <c r="G81">
        <f t="shared" si="24"/>
        <v>95</v>
      </c>
      <c r="I81">
        <v>2050</v>
      </c>
      <c r="J81" t="s">
        <v>31</v>
      </c>
      <c r="K81">
        <f t="shared" si="25"/>
        <v>97.5</v>
      </c>
      <c r="L81" cm="1">
        <f t="array" ref="L81">STOWA2024_JAARROND_T(A81*60,K81,I81,J81,"")</f>
        <v>11.14234378574573</v>
      </c>
      <c r="M81">
        <f t="shared" si="26"/>
        <v>8.9747724467027154E-2</v>
      </c>
    </row>
    <row r="82" spans="1:13" x14ac:dyDescent="0.3">
      <c r="A82">
        <v>96</v>
      </c>
      <c r="B82">
        <f t="shared" si="23"/>
        <v>2.4338643672138893E-2</v>
      </c>
      <c r="C82">
        <f t="shared" si="19"/>
        <v>2.4338643672138893E-2</v>
      </c>
      <c r="D82" t="s">
        <v>30</v>
      </c>
      <c r="E82" t="s">
        <v>21</v>
      </c>
      <c r="F82">
        <v>1</v>
      </c>
      <c r="G82">
        <f t="shared" si="24"/>
        <v>100</v>
      </c>
      <c r="I82">
        <v>2050</v>
      </c>
      <c r="J82" t="s">
        <v>31</v>
      </c>
      <c r="K82">
        <f t="shared" si="25"/>
        <v>102.5</v>
      </c>
      <c r="L82" cm="1">
        <f t="array" ref="L82">STOWA2024_JAARROND_T(A82*60,K82,I82,J82,"")</f>
        <v>15.288397082598205</v>
      </c>
      <c r="M82">
        <f t="shared" si="26"/>
        <v>6.5409080794888261E-2</v>
      </c>
    </row>
    <row r="83" spans="1:13" x14ac:dyDescent="0.3">
      <c r="A83">
        <v>96</v>
      </c>
      <c r="B83">
        <f t="shared" si="23"/>
        <v>1.7486089156224238E-2</v>
      </c>
      <c r="C83">
        <f t="shared" si="19"/>
        <v>1.7486089156224238E-2</v>
      </c>
      <c r="D83" t="s">
        <v>30</v>
      </c>
      <c r="E83" t="s">
        <v>21</v>
      </c>
      <c r="F83">
        <v>1</v>
      </c>
      <c r="G83">
        <f t="shared" si="24"/>
        <v>105</v>
      </c>
      <c r="I83">
        <v>2050</v>
      </c>
      <c r="J83" t="s">
        <v>31</v>
      </c>
      <c r="K83">
        <f t="shared" si="25"/>
        <v>107.5</v>
      </c>
      <c r="L83" cm="1">
        <f t="array" ref="L83">STOWA2024_JAARROND_T(A83*60,K83,I83,J83,"")</f>
        <v>20.866810810558938</v>
      </c>
      <c r="M83">
        <f t="shared" si="26"/>
        <v>4.7922991638664023E-2</v>
      </c>
    </row>
    <row r="84" spans="1:13" x14ac:dyDescent="0.3">
      <c r="A84">
        <v>96</v>
      </c>
      <c r="B84">
        <f t="shared" si="23"/>
        <v>1.2631826810941764E-2</v>
      </c>
      <c r="C84">
        <f t="shared" si="19"/>
        <v>1.2631826810941764E-2</v>
      </c>
      <c r="D84" t="s">
        <v>30</v>
      </c>
      <c r="E84" t="s">
        <v>21</v>
      </c>
      <c r="F84">
        <v>1</v>
      </c>
      <c r="G84">
        <f t="shared" si="24"/>
        <v>110</v>
      </c>
      <c r="I84">
        <v>2050</v>
      </c>
      <c r="J84" t="s">
        <v>31</v>
      </c>
      <c r="K84">
        <f t="shared" si="25"/>
        <v>112.5</v>
      </c>
      <c r="L84" cm="1">
        <f t="array" ref="L84">STOWA2024_JAARROND_T(A84*60,K84,I84,J84,"")</f>
        <v>28.335703989415226</v>
      </c>
      <c r="M84">
        <f t="shared" si="26"/>
        <v>3.5291164827722259E-2</v>
      </c>
    </row>
    <row r="85" spans="1:13" x14ac:dyDescent="0.3">
      <c r="A85">
        <v>96</v>
      </c>
      <c r="B85">
        <f t="shared" si="23"/>
        <v>9.1735930079093891E-3</v>
      </c>
      <c r="C85">
        <f t="shared" si="19"/>
        <v>9.1735930079093891E-3</v>
      </c>
      <c r="D85" t="s">
        <v>30</v>
      </c>
      <c r="E85" t="s">
        <v>21</v>
      </c>
      <c r="F85">
        <v>1</v>
      </c>
      <c r="G85">
        <f t="shared" si="24"/>
        <v>115</v>
      </c>
      <c r="I85">
        <v>2050</v>
      </c>
      <c r="J85" t="s">
        <v>31</v>
      </c>
      <c r="K85">
        <f t="shared" si="25"/>
        <v>117.5</v>
      </c>
      <c r="L85" cm="1">
        <f t="array" ref="L85">STOWA2024_JAARROND_T(A85*60,K85,I85,J85,"")</f>
        <v>38.2883985884705</v>
      </c>
      <c r="M85">
        <f t="shared" si="26"/>
        <v>2.611757181981287E-2</v>
      </c>
    </row>
    <row r="86" spans="1:13" x14ac:dyDescent="0.3">
      <c r="A86">
        <v>96</v>
      </c>
      <c r="B86">
        <f t="shared" si="23"/>
        <v>6.6962283250148226E-3</v>
      </c>
      <c r="C86">
        <f t="shared" si="19"/>
        <v>6.6962283250148226E-3</v>
      </c>
      <c r="D86" t="s">
        <v>30</v>
      </c>
      <c r="E86" t="s">
        <v>21</v>
      </c>
      <c r="F86">
        <v>1</v>
      </c>
      <c r="G86">
        <f t="shared" si="24"/>
        <v>120</v>
      </c>
      <c r="I86">
        <v>2050</v>
      </c>
      <c r="J86" t="s">
        <v>31</v>
      </c>
      <c r="K86">
        <f t="shared" si="25"/>
        <v>122.5</v>
      </c>
      <c r="L86" cm="1">
        <f t="array" ref="L86">STOWA2024_JAARROND_T(A86*60,K86,I86,J86,"")</f>
        <v>51.489743758862367</v>
      </c>
      <c r="M86">
        <f t="shared" si="26"/>
        <v>1.9421343494798047E-2</v>
      </c>
    </row>
    <row r="87" spans="1:13" x14ac:dyDescent="0.3">
      <c r="A87">
        <v>96</v>
      </c>
      <c r="B87">
        <f t="shared" si="23"/>
        <v>4.9124536099268683E-3</v>
      </c>
      <c r="C87">
        <f t="shared" si="19"/>
        <v>4.9124536099268683E-3</v>
      </c>
      <c r="D87" t="s">
        <v>30</v>
      </c>
      <c r="E87" t="s">
        <v>21</v>
      </c>
      <c r="F87">
        <v>1</v>
      </c>
      <c r="G87">
        <f t="shared" si="24"/>
        <v>125</v>
      </c>
      <c r="I87">
        <v>2050</v>
      </c>
      <c r="J87" t="s">
        <v>31</v>
      </c>
      <c r="K87">
        <f t="shared" si="25"/>
        <v>127.5</v>
      </c>
      <c r="L87" cm="1">
        <f t="array" ref="L87">STOWA2024_JAARROND_T(A87*60,K87,I87,J87,"")</f>
        <v>68.923260699822919</v>
      </c>
      <c r="M87">
        <f t="shared" si="26"/>
        <v>1.4508889884871179E-2</v>
      </c>
    </row>
    <row r="88" spans="1:13" x14ac:dyDescent="0.3">
      <c r="A88">
        <v>96</v>
      </c>
      <c r="B88">
        <f t="shared" si="23"/>
        <v>3.6210495150210045E-3</v>
      </c>
      <c r="C88">
        <f t="shared" si="19"/>
        <v>3.6210495150210045E-3</v>
      </c>
      <c r="D88" t="s">
        <v>30</v>
      </c>
      <c r="E88" t="s">
        <v>21</v>
      </c>
      <c r="F88">
        <v>1</v>
      </c>
      <c r="G88">
        <f t="shared" si="24"/>
        <v>130</v>
      </c>
      <c r="I88">
        <v>2050</v>
      </c>
      <c r="J88" t="s">
        <v>31</v>
      </c>
      <c r="K88">
        <f t="shared" si="25"/>
        <v>132.5</v>
      </c>
      <c r="L88" cm="1">
        <f t="array" ref="L88">STOWA2024_JAARROND_T(A88*60,K88,I88,J88,"")</f>
        <v>91.845578740218144</v>
      </c>
      <c r="M88">
        <f t="shared" si="26"/>
        <v>1.0887840369850174E-2</v>
      </c>
    </row>
    <row r="89" spans="1:13" x14ac:dyDescent="0.3">
      <c r="A89">
        <v>96</v>
      </c>
      <c r="B89">
        <f t="shared" si="23"/>
        <v>2.6816836177204258E-3</v>
      </c>
      <c r="C89">
        <f t="shared" si="19"/>
        <v>2.6816836177204258E-3</v>
      </c>
      <c r="D89" t="s">
        <v>30</v>
      </c>
      <c r="E89" t="s">
        <v>21</v>
      </c>
      <c r="F89">
        <v>1</v>
      </c>
      <c r="G89">
        <f t="shared" si="24"/>
        <v>135</v>
      </c>
      <c r="I89">
        <v>2050</v>
      </c>
      <c r="J89" t="s">
        <v>31</v>
      </c>
      <c r="K89">
        <f t="shared" si="25"/>
        <v>137.5</v>
      </c>
      <c r="L89" cm="1">
        <f t="array" ref="L89">STOWA2024_JAARROND_T(A89*60,K89,I89,J89,"")</f>
        <v>121.85972437590465</v>
      </c>
      <c r="M89">
        <f t="shared" si="26"/>
        <v>8.2061567521297483E-3</v>
      </c>
    </row>
    <row r="90" spans="1:13" x14ac:dyDescent="0.3">
      <c r="A90">
        <v>96</v>
      </c>
      <c r="B90">
        <f t="shared" si="23"/>
        <v>1.9950489660600862E-3</v>
      </c>
      <c r="C90">
        <f t="shared" si="19"/>
        <v>1.9950489660600862E-3</v>
      </c>
      <c r="D90" t="s">
        <v>30</v>
      </c>
      <c r="E90" t="s">
        <v>21</v>
      </c>
      <c r="F90">
        <v>1</v>
      </c>
      <c r="G90">
        <f t="shared" si="24"/>
        <v>140</v>
      </c>
      <c r="I90">
        <v>2050</v>
      </c>
      <c r="J90" t="s">
        <v>31</v>
      </c>
      <c r="K90">
        <f t="shared" si="25"/>
        <v>142.5</v>
      </c>
      <c r="L90" cm="1">
        <f t="array" ref="L90">STOWA2024_JAARROND_T(A90*60,K90,I90,J90,"")</f>
        <v>161.00187509912652</v>
      </c>
      <c r="M90">
        <f t="shared" si="26"/>
        <v>6.2111077860696621E-3</v>
      </c>
    </row>
    <row r="91" spans="1:13" x14ac:dyDescent="0.3">
      <c r="A91">
        <v>96</v>
      </c>
      <c r="B91">
        <f t="shared" si="23"/>
        <v>1.490681664300701E-3</v>
      </c>
      <c r="C91">
        <f t="shared" si="19"/>
        <v>1.490681664300701E-3</v>
      </c>
      <c r="D91" t="s">
        <v>30</v>
      </c>
      <c r="E91" t="s">
        <v>21</v>
      </c>
      <c r="F91">
        <v>1</v>
      </c>
      <c r="G91">
        <f t="shared" si="24"/>
        <v>145</v>
      </c>
      <c r="I91">
        <v>2050</v>
      </c>
      <c r="J91" t="s">
        <v>31</v>
      </c>
      <c r="K91">
        <f t="shared" si="25"/>
        <v>147.5</v>
      </c>
      <c r="L91" cm="1">
        <f t="array" ref="L91">STOWA2024_JAARROND_T(A91*60,K91,I91,J91,"")</f>
        <v>211.84528138007465</v>
      </c>
      <c r="M91">
        <f t="shared" si="26"/>
        <v>4.720426121768961E-3</v>
      </c>
    </row>
    <row r="92" spans="1:13" x14ac:dyDescent="0.3">
      <c r="A92">
        <v>96</v>
      </c>
      <c r="B92">
        <f t="shared" si="23"/>
        <v>1.1186079647103535E-3</v>
      </c>
      <c r="C92">
        <f t="shared" si="19"/>
        <v>1.1186079647103535E-3</v>
      </c>
      <c r="D92" t="s">
        <v>30</v>
      </c>
      <c r="E92" t="s">
        <v>21</v>
      </c>
      <c r="F92">
        <v>1</v>
      </c>
      <c r="G92">
        <f t="shared" si="24"/>
        <v>150</v>
      </c>
      <c r="I92">
        <v>2050</v>
      </c>
      <c r="J92" t="s">
        <v>31</v>
      </c>
      <c r="K92">
        <f t="shared" si="25"/>
        <v>152.5</v>
      </c>
      <c r="L92" cm="1">
        <f t="array" ref="L92">STOWA2024_JAARROND_T(A92*60,K92,I92,J92,"")</f>
        <v>277.63755869803293</v>
      </c>
      <c r="M92">
        <f t="shared" si="26"/>
        <v>3.6018181570586076E-3</v>
      </c>
    </row>
    <row r="93" spans="1:13" x14ac:dyDescent="0.3">
      <c r="A93">
        <v>96</v>
      </c>
      <c r="B93">
        <f t="shared" si="23"/>
        <v>8.4288367377704544E-4</v>
      </c>
      <c r="C93">
        <f t="shared" si="19"/>
        <v>8.4288367377704544E-4</v>
      </c>
      <c r="D93" t="s">
        <v>30</v>
      </c>
      <c r="E93" t="s">
        <v>21</v>
      </c>
      <c r="F93">
        <v>1</v>
      </c>
      <c r="G93">
        <f t="shared" si="24"/>
        <v>155</v>
      </c>
      <c r="I93">
        <v>2050</v>
      </c>
      <c r="J93" t="s">
        <v>31</v>
      </c>
      <c r="K93">
        <f t="shared" si="25"/>
        <v>157.5</v>
      </c>
      <c r="L93" cm="1">
        <f t="array" ref="L93">STOWA2024_JAARROND_T(A93*60,K93,I93,J93,"")</f>
        <v>362.45877024617454</v>
      </c>
      <c r="M93">
        <f t="shared" si="26"/>
        <v>2.7589344832815621E-3</v>
      </c>
    </row>
    <row r="94" spans="1:13" x14ac:dyDescent="0.3">
      <c r="A94">
        <v>96</v>
      </c>
      <c r="B94" s="1">
        <f>M93</f>
        <v>2.7589344832815621E-3</v>
      </c>
      <c r="C94">
        <f t="shared" si="19"/>
        <v>2.7589344832815621E-3</v>
      </c>
      <c r="D94" t="s">
        <v>30</v>
      </c>
      <c r="E94" t="s">
        <v>21</v>
      </c>
      <c r="F94">
        <v>1</v>
      </c>
      <c r="G94">
        <f t="shared" si="24"/>
        <v>160</v>
      </c>
      <c r="I94">
        <v>2050</v>
      </c>
      <c r="J94" t="s">
        <v>31</v>
      </c>
      <c r="K94">
        <f>AVERAGE(G94:G95)</f>
        <v>85</v>
      </c>
      <c r="L94" cm="1">
        <f t="array" ref="L94">STOWA2024_JAARROND_T(A94*60,K94,I94,J94,"")</f>
        <v>4.931312578092335</v>
      </c>
      <c r="M94">
        <f>1/L94</f>
        <v>0.20278576629730644</v>
      </c>
    </row>
    <row r="95" spans="1:13" x14ac:dyDescent="0.3">
      <c r="A95">
        <v>192</v>
      </c>
      <c r="B95" s="1">
        <f>365.25*24/A95 - M95</f>
        <v>-10.544560658292944</v>
      </c>
      <c r="C95">
        <f>B95</f>
        <v>-10.544560658292944</v>
      </c>
      <c r="D95" t="s">
        <v>30</v>
      </c>
      <c r="E95" t="s">
        <v>21</v>
      </c>
      <c r="F95">
        <v>1</v>
      </c>
      <c r="G95">
        <v>10</v>
      </c>
      <c r="I95">
        <v>2050</v>
      </c>
      <c r="J95" t="s">
        <v>31</v>
      </c>
      <c r="K95">
        <f>AVERAGE(G95:G97)</f>
        <v>15</v>
      </c>
      <c r="L95" cm="1">
        <f t="array" ref="L95">STOWA2024_JAARROND_T(A95*60,K95,I95,J95,"")</f>
        <v>1.7793337645609936E-2</v>
      </c>
      <c r="M95">
        <f>1/L95</f>
        <v>56.200810658292944</v>
      </c>
    </row>
    <row r="96" spans="1:13" x14ac:dyDescent="0.3">
      <c r="A96">
        <v>192</v>
      </c>
      <c r="B96">
        <f t="shared" ref="B96:B100" si="27">M95-M96</f>
        <v>7.7143776121435579</v>
      </c>
      <c r="C96">
        <f t="shared" ref="C96:C125" si="28">B96</f>
        <v>7.7143776121435579</v>
      </c>
      <c r="D96" t="s">
        <v>30</v>
      </c>
      <c r="E96" t="s">
        <v>21</v>
      </c>
      <c r="F96">
        <v>1</v>
      </c>
      <c r="G96">
        <f t="shared" ref="G96:G100" si="29">G95+5</f>
        <v>15</v>
      </c>
      <c r="I96">
        <v>2050</v>
      </c>
      <c r="J96" t="s">
        <v>31</v>
      </c>
      <c r="K96">
        <f t="shared" ref="K96:K100" si="30">AVERAGE(G96:G97)</f>
        <v>17.5</v>
      </c>
      <c r="L96" cm="1">
        <f t="array" ref="L96">STOWA2024_JAARROND_T(A96*60,K96,I96,J96,"")</f>
        <v>2.0624325964506401E-2</v>
      </c>
      <c r="M96">
        <f t="shared" ref="M96:M100" si="31">1/L96</f>
        <v>48.486433046149386</v>
      </c>
    </row>
    <row r="97" spans="1:13" x14ac:dyDescent="0.3">
      <c r="A97">
        <v>192</v>
      </c>
      <c r="B97">
        <f t="shared" si="27"/>
        <v>12.407153399752133</v>
      </c>
      <c r="C97">
        <f t="shared" si="28"/>
        <v>12.407153399752133</v>
      </c>
      <c r="D97" t="s">
        <v>30</v>
      </c>
      <c r="E97" t="s">
        <v>21</v>
      </c>
      <c r="F97">
        <v>1</v>
      </c>
      <c r="G97">
        <f t="shared" si="29"/>
        <v>20</v>
      </c>
      <c r="I97">
        <v>2050</v>
      </c>
      <c r="J97" t="s">
        <v>31</v>
      </c>
      <c r="K97">
        <f t="shared" si="30"/>
        <v>22.5</v>
      </c>
      <c r="L97" cm="1">
        <f t="array" ref="L97">STOWA2024_JAARROND_T(A97*60,K97,I97,J97,"")</f>
        <v>2.7716739630078962E-2</v>
      </c>
      <c r="M97">
        <f t="shared" si="31"/>
        <v>36.079279646397254</v>
      </c>
    </row>
    <row r="98" spans="1:13" x14ac:dyDescent="0.3">
      <c r="A98">
        <v>192</v>
      </c>
      <c r="B98">
        <f t="shared" si="27"/>
        <v>9.2424727023951903</v>
      </c>
      <c r="C98">
        <f t="shared" si="28"/>
        <v>9.2424727023951903</v>
      </c>
      <c r="D98" t="s">
        <v>30</v>
      </c>
      <c r="E98" t="s">
        <v>21</v>
      </c>
      <c r="F98">
        <v>1</v>
      </c>
      <c r="G98">
        <f t="shared" si="29"/>
        <v>25</v>
      </c>
      <c r="I98">
        <v>2050</v>
      </c>
      <c r="J98" t="s">
        <v>31</v>
      </c>
      <c r="K98">
        <f t="shared" si="30"/>
        <v>27.5</v>
      </c>
      <c r="L98" cm="1">
        <f t="array" ref="L98">STOWA2024_JAARROND_T(A98*60,K98,I98,J98,"")</f>
        <v>3.7262257096628879E-2</v>
      </c>
      <c r="M98">
        <f t="shared" si="31"/>
        <v>26.836806944002063</v>
      </c>
    </row>
    <row r="99" spans="1:13" x14ac:dyDescent="0.3">
      <c r="A99">
        <v>192</v>
      </c>
      <c r="B99">
        <f t="shared" si="27"/>
        <v>6.8822777333913514</v>
      </c>
      <c r="C99">
        <f t="shared" si="28"/>
        <v>6.8822777333913514</v>
      </c>
      <c r="D99" t="s">
        <v>30</v>
      </c>
      <c r="E99" t="s">
        <v>21</v>
      </c>
      <c r="F99">
        <v>1</v>
      </c>
      <c r="G99">
        <f t="shared" si="29"/>
        <v>30</v>
      </c>
      <c r="I99">
        <v>2050</v>
      </c>
      <c r="J99" t="s">
        <v>31</v>
      </c>
      <c r="K99">
        <f t="shared" si="30"/>
        <v>32.5</v>
      </c>
      <c r="L99" cm="1">
        <f t="array" ref="L99">STOWA2024_JAARROND_T(A99*60,K99,I99,J99,"")</f>
        <v>5.011393601149234E-2</v>
      </c>
      <c r="M99">
        <f t="shared" si="31"/>
        <v>19.954529210610712</v>
      </c>
    </row>
    <row r="100" spans="1:13" x14ac:dyDescent="0.3">
      <c r="A100">
        <v>192</v>
      </c>
      <c r="B100">
        <f t="shared" si="27"/>
        <v>5.122868984089628</v>
      </c>
      <c r="C100">
        <f t="shared" si="28"/>
        <v>5.122868984089628</v>
      </c>
      <c r="D100" t="s">
        <v>30</v>
      </c>
      <c r="E100" t="s">
        <v>21</v>
      </c>
      <c r="F100">
        <v>1</v>
      </c>
      <c r="G100">
        <f t="shared" si="29"/>
        <v>35</v>
      </c>
      <c r="I100">
        <v>2050</v>
      </c>
      <c r="J100" t="s">
        <v>31</v>
      </c>
      <c r="K100">
        <f t="shared" si="30"/>
        <v>37.5</v>
      </c>
      <c r="L100" cm="1">
        <f t="array" ref="L100">STOWA2024_JAARROND_T(A100*60,K100,I100,J100,"")</f>
        <v>6.742333526572164E-2</v>
      </c>
      <c r="M100">
        <f t="shared" si="31"/>
        <v>14.831660226521084</v>
      </c>
    </row>
    <row r="101" spans="1:13" x14ac:dyDescent="0.3">
      <c r="A101">
        <v>192</v>
      </c>
      <c r="B101">
        <f>M100-M101</f>
        <v>3.8118250470763346</v>
      </c>
      <c r="C101">
        <f t="shared" si="28"/>
        <v>3.8118250470763346</v>
      </c>
      <c r="D101" t="s">
        <v>30</v>
      </c>
      <c r="E101" t="s">
        <v>21</v>
      </c>
      <c r="F101">
        <v>1</v>
      </c>
      <c r="G101">
        <f>G100+5</f>
        <v>40</v>
      </c>
      <c r="I101">
        <v>2050</v>
      </c>
      <c r="J101" t="s">
        <v>31</v>
      </c>
      <c r="K101">
        <f>AVERAGE(G101:G102)</f>
        <v>42.5</v>
      </c>
      <c r="L101" cm="1">
        <f t="array" ref="L101">STOWA2024_JAARROND_T(A101*60,K101,I101,J101,"")</f>
        <v>9.0745458867233841E-2</v>
      </c>
      <c r="M101">
        <f>1/L101</f>
        <v>11.019835179444749</v>
      </c>
    </row>
    <row r="102" spans="1:13" x14ac:dyDescent="0.3">
      <c r="A102">
        <v>192</v>
      </c>
      <c r="B102">
        <f t="shared" ref="B102:B124" si="32">M101-M102</f>
        <v>2.835246852786403</v>
      </c>
      <c r="C102">
        <f t="shared" si="28"/>
        <v>2.835246852786403</v>
      </c>
      <c r="D102" t="s">
        <v>30</v>
      </c>
      <c r="E102" t="s">
        <v>21</v>
      </c>
      <c r="F102">
        <v>1</v>
      </c>
      <c r="G102">
        <f t="shared" ref="G102:G125" si="33">G101+5</f>
        <v>45</v>
      </c>
      <c r="I102">
        <v>2050</v>
      </c>
      <c r="J102" t="s">
        <v>31</v>
      </c>
      <c r="K102">
        <f t="shared" ref="K102:K124" si="34">AVERAGE(G102:G103)</f>
        <v>47.5</v>
      </c>
      <c r="L102" cm="1">
        <f t="array" ref="L102">STOWA2024_JAARROND_T(A102*60,K102,I102,J102,"")</f>
        <v>0.12218085505203242</v>
      </c>
      <c r="M102">
        <f t="shared" ref="M102:M124" si="35">1/L102</f>
        <v>8.1845883266583463</v>
      </c>
    </row>
    <row r="103" spans="1:13" x14ac:dyDescent="0.3">
      <c r="A103">
        <v>192</v>
      </c>
      <c r="B103">
        <f t="shared" si="32"/>
        <v>2.1081496596021818</v>
      </c>
      <c r="C103">
        <f t="shared" si="28"/>
        <v>2.1081496596021818</v>
      </c>
      <c r="D103" t="s">
        <v>30</v>
      </c>
      <c r="E103" t="s">
        <v>21</v>
      </c>
      <c r="F103">
        <v>1</v>
      </c>
      <c r="G103">
        <f t="shared" si="33"/>
        <v>50</v>
      </c>
      <c r="I103">
        <v>2050</v>
      </c>
      <c r="J103" t="s">
        <v>31</v>
      </c>
      <c r="K103">
        <f t="shared" si="34"/>
        <v>52.5</v>
      </c>
      <c r="L103" cm="1">
        <f t="array" ref="L103">STOWA2024_JAARROND_T(A103*60,K103,I103,J103,"")</f>
        <v>0.16457008040278093</v>
      </c>
      <c r="M103">
        <f t="shared" si="35"/>
        <v>6.0764386670561645</v>
      </c>
    </row>
    <row r="104" spans="1:13" x14ac:dyDescent="0.3">
      <c r="A104">
        <v>192</v>
      </c>
      <c r="B104">
        <f t="shared" si="32"/>
        <v>1.5667867553071559</v>
      </c>
      <c r="C104">
        <f t="shared" si="28"/>
        <v>1.5667867553071559</v>
      </c>
      <c r="D104" t="s">
        <v>30</v>
      </c>
      <c r="E104" t="s">
        <v>21</v>
      </c>
      <c r="F104">
        <v>1</v>
      </c>
      <c r="G104">
        <f t="shared" si="33"/>
        <v>55</v>
      </c>
      <c r="I104">
        <v>2050</v>
      </c>
      <c r="J104" t="s">
        <v>31</v>
      </c>
      <c r="K104">
        <f t="shared" si="34"/>
        <v>57.5</v>
      </c>
      <c r="L104" cm="1">
        <f t="array" ref="L104">STOWA2024_JAARROND_T(A104*60,K104,I104,J104,"")</f>
        <v>0.22174660474230778</v>
      </c>
      <c r="M104">
        <f t="shared" si="35"/>
        <v>4.5096519117490086</v>
      </c>
    </row>
    <row r="105" spans="1:13" x14ac:dyDescent="0.3">
      <c r="A105">
        <v>192</v>
      </c>
      <c r="B105">
        <f t="shared" si="32"/>
        <v>1.1641043058099485</v>
      </c>
      <c r="C105">
        <f t="shared" si="28"/>
        <v>1.1641043058099485</v>
      </c>
      <c r="D105" t="s">
        <v>30</v>
      </c>
      <c r="E105" t="s">
        <v>21</v>
      </c>
      <c r="F105">
        <v>1</v>
      </c>
      <c r="G105">
        <f t="shared" si="33"/>
        <v>60</v>
      </c>
      <c r="I105">
        <v>2050</v>
      </c>
      <c r="J105" t="s">
        <v>31</v>
      </c>
      <c r="K105">
        <f t="shared" si="34"/>
        <v>62.5</v>
      </c>
      <c r="L105" cm="1">
        <f t="array" ref="L105">STOWA2024_JAARROND_T(A105*60,K105,I105,J105,"")</f>
        <v>0.29890472884761432</v>
      </c>
      <c r="M105">
        <f t="shared" si="35"/>
        <v>3.3455476059390601</v>
      </c>
    </row>
    <row r="106" spans="1:13" x14ac:dyDescent="0.3">
      <c r="A106">
        <v>192</v>
      </c>
      <c r="B106">
        <f t="shared" si="32"/>
        <v>0.86454509154250792</v>
      </c>
      <c r="C106">
        <f t="shared" si="28"/>
        <v>0.86454509154250792</v>
      </c>
      <c r="D106" t="s">
        <v>30</v>
      </c>
      <c r="E106" t="s">
        <v>21</v>
      </c>
      <c r="F106">
        <v>1</v>
      </c>
      <c r="G106">
        <f t="shared" si="33"/>
        <v>65</v>
      </c>
      <c r="I106">
        <v>2050</v>
      </c>
      <c r="J106" t="s">
        <v>31</v>
      </c>
      <c r="K106">
        <f t="shared" si="34"/>
        <v>67.5</v>
      </c>
      <c r="L106" cm="1">
        <f t="array" ref="L106">STOWA2024_JAARROND_T(A106*60,K106,I106,J106,"")</f>
        <v>0.40306287244663574</v>
      </c>
      <c r="M106">
        <f t="shared" si="35"/>
        <v>2.4810025143965522</v>
      </c>
    </row>
    <row r="107" spans="1:13" x14ac:dyDescent="0.3">
      <c r="A107">
        <v>192</v>
      </c>
      <c r="B107">
        <f t="shared" si="32"/>
        <v>0.64184492900972767</v>
      </c>
      <c r="C107">
        <f t="shared" si="28"/>
        <v>0.64184492900972767</v>
      </c>
      <c r="D107" t="s">
        <v>30</v>
      </c>
      <c r="E107" t="s">
        <v>21</v>
      </c>
      <c r="F107">
        <v>1</v>
      </c>
      <c r="G107">
        <f t="shared" si="33"/>
        <v>70</v>
      </c>
      <c r="I107">
        <v>2050</v>
      </c>
      <c r="J107" t="s">
        <v>31</v>
      </c>
      <c r="K107">
        <f t="shared" si="34"/>
        <v>72.5</v>
      </c>
      <c r="L107" cm="1">
        <f t="array" ref="L107">STOWA2024_JAARROND_T(A107*60,K107,I107,J107,"")</f>
        <v>0.54372719768310285</v>
      </c>
      <c r="M107">
        <f t="shared" si="35"/>
        <v>1.8391575853868245</v>
      </c>
    </row>
    <row r="108" spans="1:13" x14ac:dyDescent="0.3">
      <c r="A108">
        <v>192</v>
      </c>
      <c r="B108">
        <f t="shared" si="32"/>
        <v>0.47631521743876126</v>
      </c>
      <c r="C108">
        <f t="shared" si="28"/>
        <v>0.47631521743876126</v>
      </c>
      <c r="D108" t="s">
        <v>30</v>
      </c>
      <c r="E108" t="s">
        <v>21</v>
      </c>
      <c r="F108">
        <v>1</v>
      </c>
      <c r="G108">
        <f t="shared" si="33"/>
        <v>75</v>
      </c>
      <c r="I108">
        <v>2050</v>
      </c>
      <c r="J108" t="s">
        <v>31</v>
      </c>
      <c r="K108">
        <f t="shared" si="34"/>
        <v>77.5</v>
      </c>
      <c r="L108" cm="1">
        <f t="array" ref="L108">STOWA2024_JAARROND_T(A108*60,K108,I108,J108,"")</f>
        <v>0.73376057533757943</v>
      </c>
      <c r="M108">
        <f t="shared" si="35"/>
        <v>1.3628423679480632</v>
      </c>
    </row>
    <row r="109" spans="1:13" x14ac:dyDescent="0.3">
      <c r="A109">
        <v>192</v>
      </c>
      <c r="B109">
        <f t="shared" si="32"/>
        <v>0.35334685332973903</v>
      </c>
      <c r="C109">
        <f t="shared" si="28"/>
        <v>0.35334685332973903</v>
      </c>
      <c r="D109" t="s">
        <v>30</v>
      </c>
      <c r="E109" t="s">
        <v>21</v>
      </c>
      <c r="F109">
        <v>1</v>
      </c>
      <c r="G109">
        <f t="shared" si="33"/>
        <v>80</v>
      </c>
      <c r="I109">
        <v>2050</v>
      </c>
      <c r="J109" t="s">
        <v>31</v>
      </c>
      <c r="K109">
        <f t="shared" si="34"/>
        <v>82.5</v>
      </c>
      <c r="L109" cm="1">
        <f t="array" ref="L109">STOWA2024_JAARROND_T(A109*60,K109,I109,J109,"")</f>
        <v>0.99059380207160763</v>
      </c>
      <c r="M109">
        <f t="shared" si="35"/>
        <v>1.0094955146183242</v>
      </c>
    </row>
    <row r="110" spans="1:13" x14ac:dyDescent="0.3">
      <c r="A110">
        <v>192</v>
      </c>
      <c r="B110">
        <f t="shared" si="32"/>
        <v>0.26195307625416464</v>
      </c>
      <c r="C110">
        <f t="shared" si="28"/>
        <v>0.26195307625416464</v>
      </c>
      <c r="D110" t="s">
        <v>30</v>
      </c>
      <c r="E110" t="s">
        <v>21</v>
      </c>
      <c r="F110">
        <v>1</v>
      </c>
      <c r="G110">
        <f t="shared" si="33"/>
        <v>85</v>
      </c>
      <c r="I110">
        <v>2050</v>
      </c>
      <c r="J110" t="s">
        <v>31</v>
      </c>
      <c r="K110">
        <f t="shared" si="34"/>
        <v>87.5</v>
      </c>
      <c r="L110" cm="1">
        <f t="array" ref="L110">STOWA2024_JAARROND_T(A110*60,K110,I110,J110,"")</f>
        <v>1.3377166949722494</v>
      </c>
      <c r="M110">
        <f t="shared" si="35"/>
        <v>0.74754243836415957</v>
      </c>
    </row>
    <row r="111" spans="1:13" x14ac:dyDescent="0.3">
      <c r="A111">
        <v>192</v>
      </c>
      <c r="B111">
        <f t="shared" si="32"/>
        <v>0.19424395515031345</v>
      </c>
      <c r="C111">
        <f t="shared" si="28"/>
        <v>0.19424395515031345</v>
      </c>
      <c r="D111" t="s">
        <v>30</v>
      </c>
      <c r="E111" t="s">
        <v>21</v>
      </c>
      <c r="F111">
        <v>1</v>
      </c>
      <c r="G111">
        <f t="shared" si="33"/>
        <v>90</v>
      </c>
      <c r="I111">
        <v>2050</v>
      </c>
      <c r="J111" t="s">
        <v>31</v>
      </c>
      <c r="K111">
        <f t="shared" si="34"/>
        <v>92.5</v>
      </c>
      <c r="L111" cm="1">
        <f t="array" ref="L111">STOWA2024_JAARROND_T(A111*60,K111,I111,J111,"")</f>
        <v>1.8073427459831057</v>
      </c>
      <c r="M111">
        <f t="shared" si="35"/>
        <v>0.55329848321384612</v>
      </c>
    </row>
    <row r="112" spans="1:13" x14ac:dyDescent="0.3">
      <c r="A112">
        <v>192</v>
      </c>
      <c r="B112">
        <f t="shared" si="32"/>
        <v>0.14393060158782467</v>
      </c>
      <c r="C112">
        <f t="shared" si="28"/>
        <v>0.14393060158782467</v>
      </c>
      <c r="D112" t="s">
        <v>30</v>
      </c>
      <c r="E112" t="s">
        <v>21</v>
      </c>
      <c r="F112">
        <v>1</v>
      </c>
      <c r="G112">
        <f t="shared" si="33"/>
        <v>95</v>
      </c>
      <c r="I112">
        <v>2050</v>
      </c>
      <c r="J112" t="s">
        <v>31</v>
      </c>
      <c r="K112">
        <f t="shared" si="34"/>
        <v>97.5</v>
      </c>
      <c r="L112" cm="1">
        <f t="array" ref="L112">STOWA2024_JAARROND_T(A112*60,K112,I112,J112,"")</f>
        <v>2.4427905678090087</v>
      </c>
      <c r="M112">
        <f t="shared" si="35"/>
        <v>0.40936788162602145</v>
      </c>
    </row>
    <row r="113" spans="1:13" x14ac:dyDescent="0.3">
      <c r="A113">
        <v>192</v>
      </c>
      <c r="B113">
        <f t="shared" si="32"/>
        <v>0.10660861102909142</v>
      </c>
      <c r="C113">
        <f t="shared" si="28"/>
        <v>0.10660861102909142</v>
      </c>
      <c r="D113" t="s">
        <v>30</v>
      </c>
      <c r="E113" t="s">
        <v>21</v>
      </c>
      <c r="F113">
        <v>1</v>
      </c>
      <c r="G113">
        <f t="shared" si="33"/>
        <v>100</v>
      </c>
      <c r="I113">
        <v>2050</v>
      </c>
      <c r="J113" t="s">
        <v>31</v>
      </c>
      <c r="K113">
        <f t="shared" si="34"/>
        <v>102.5</v>
      </c>
      <c r="L113" cm="1">
        <f t="array" ref="L113">STOWA2024_JAARROND_T(A113*60,K113,I113,J113,"")</f>
        <v>3.302954185443661</v>
      </c>
      <c r="M113">
        <f t="shared" si="35"/>
        <v>0.30275927059693003</v>
      </c>
    </row>
    <row r="114" spans="1:13" x14ac:dyDescent="0.3">
      <c r="A114">
        <v>192</v>
      </c>
      <c r="B114">
        <f t="shared" si="32"/>
        <v>7.893120959873412E-2</v>
      </c>
      <c r="C114">
        <f t="shared" si="28"/>
        <v>7.893120959873412E-2</v>
      </c>
      <c r="D114" t="s">
        <v>30</v>
      </c>
      <c r="E114" t="s">
        <v>21</v>
      </c>
      <c r="F114">
        <v>1</v>
      </c>
      <c r="G114">
        <f t="shared" si="33"/>
        <v>105</v>
      </c>
      <c r="I114">
        <v>2050</v>
      </c>
      <c r="J114" t="s">
        <v>31</v>
      </c>
      <c r="K114">
        <f t="shared" si="34"/>
        <v>107.5</v>
      </c>
      <c r="L114" cm="1">
        <f t="array" ref="L114">STOWA2024_JAARROND_T(A114*60,K114,I114,J114,"")</f>
        <v>4.4677150645917454</v>
      </c>
      <c r="M114">
        <f t="shared" si="35"/>
        <v>0.22382806099819591</v>
      </c>
    </row>
    <row r="115" spans="1:13" x14ac:dyDescent="0.3">
      <c r="A115">
        <v>192</v>
      </c>
      <c r="B115">
        <f t="shared" si="32"/>
        <v>5.8418278150405317E-2</v>
      </c>
      <c r="C115">
        <f t="shared" si="28"/>
        <v>5.8418278150405317E-2</v>
      </c>
      <c r="D115" t="s">
        <v>30</v>
      </c>
      <c r="E115" t="s">
        <v>21</v>
      </c>
      <c r="F115">
        <v>1</v>
      </c>
      <c r="G115">
        <f t="shared" si="33"/>
        <v>110</v>
      </c>
      <c r="I115">
        <v>2050</v>
      </c>
      <c r="J115" t="s">
        <v>31</v>
      </c>
      <c r="K115">
        <f t="shared" si="34"/>
        <v>112.5</v>
      </c>
      <c r="L115" cm="1">
        <f t="array" ref="L115">STOWA2024_JAARROND_T(A115*60,K115,I115,J115,"")</f>
        <v>6.0455916378307313</v>
      </c>
      <c r="M115">
        <f t="shared" si="35"/>
        <v>0.16540978284779059</v>
      </c>
    </row>
    <row r="116" spans="1:13" x14ac:dyDescent="0.3">
      <c r="A116">
        <v>192</v>
      </c>
      <c r="B116">
        <f t="shared" si="32"/>
        <v>4.3219359767735097E-2</v>
      </c>
      <c r="C116">
        <f t="shared" si="28"/>
        <v>4.3219359767735097E-2</v>
      </c>
      <c r="D116" t="s">
        <v>30</v>
      </c>
      <c r="E116" t="s">
        <v>21</v>
      </c>
      <c r="F116">
        <v>1</v>
      </c>
      <c r="G116">
        <f t="shared" si="33"/>
        <v>115</v>
      </c>
      <c r="I116">
        <v>2050</v>
      </c>
      <c r="J116" t="s">
        <v>31</v>
      </c>
      <c r="K116">
        <f t="shared" si="34"/>
        <v>117.5</v>
      </c>
      <c r="L116" cm="1">
        <f t="array" ref="L116">STOWA2024_JAARROND_T(A116*60,K116,I116,J116,"")</f>
        <v>8.1839474387025408</v>
      </c>
      <c r="M116">
        <f t="shared" si="35"/>
        <v>0.1221904230800555</v>
      </c>
    </row>
    <row r="117" spans="1:13" x14ac:dyDescent="0.3">
      <c r="A117">
        <v>192</v>
      </c>
      <c r="B117">
        <f t="shared" si="32"/>
        <v>3.1962256909252737E-2</v>
      </c>
      <c r="C117">
        <f t="shared" si="28"/>
        <v>3.1962256909252737E-2</v>
      </c>
      <c r="D117" t="s">
        <v>30</v>
      </c>
      <c r="E117" t="s">
        <v>21</v>
      </c>
      <c r="F117">
        <v>1</v>
      </c>
      <c r="G117">
        <f t="shared" si="33"/>
        <v>120</v>
      </c>
      <c r="I117">
        <v>2050</v>
      </c>
      <c r="J117" t="s">
        <v>31</v>
      </c>
      <c r="K117">
        <f t="shared" si="34"/>
        <v>122.5</v>
      </c>
      <c r="L117" cm="1">
        <f t="array" ref="L117">STOWA2024_JAARROND_T(A117*60,K117,I117,J117,"")</f>
        <v>11.083013680085115</v>
      </c>
      <c r="M117">
        <f t="shared" si="35"/>
        <v>9.0228166170802759E-2</v>
      </c>
    </row>
    <row r="118" spans="1:13" x14ac:dyDescent="0.3">
      <c r="A118">
        <v>192</v>
      </c>
      <c r="B118">
        <f t="shared" si="32"/>
        <v>2.3627940444810244E-2</v>
      </c>
      <c r="C118">
        <f t="shared" si="28"/>
        <v>2.3627940444810244E-2</v>
      </c>
      <c r="D118" t="s">
        <v>30</v>
      </c>
      <c r="E118" t="s">
        <v>21</v>
      </c>
      <c r="F118">
        <v>1</v>
      </c>
      <c r="G118">
        <f t="shared" si="33"/>
        <v>125</v>
      </c>
      <c r="I118">
        <v>2050</v>
      </c>
      <c r="J118" t="s">
        <v>31</v>
      </c>
      <c r="K118">
        <f t="shared" si="34"/>
        <v>127.5</v>
      </c>
      <c r="L118" cm="1">
        <f t="array" ref="L118">STOWA2024_JAARROND_T(A118*60,K118,I118,J118,"")</f>
        <v>15.014964125109914</v>
      </c>
      <c r="M118">
        <f t="shared" si="35"/>
        <v>6.6600225725992515E-2</v>
      </c>
    </row>
    <row r="119" spans="1:13" x14ac:dyDescent="0.3">
      <c r="A119">
        <v>192</v>
      </c>
      <c r="B119">
        <f t="shared" si="32"/>
        <v>1.7459962804623551E-2</v>
      </c>
      <c r="C119">
        <f t="shared" si="28"/>
        <v>1.7459962804623551E-2</v>
      </c>
      <c r="D119" t="s">
        <v>30</v>
      </c>
      <c r="E119" t="s">
        <v>21</v>
      </c>
      <c r="F119">
        <v>1</v>
      </c>
      <c r="G119">
        <f t="shared" si="33"/>
        <v>130</v>
      </c>
      <c r="I119">
        <v>2050</v>
      </c>
      <c r="J119" t="s">
        <v>31</v>
      </c>
      <c r="K119">
        <f t="shared" si="34"/>
        <v>132.5</v>
      </c>
      <c r="L119" cm="1">
        <f t="array" ref="L119">STOWA2024_JAARROND_T(A119*60,K119,I119,J119,"")</f>
        <v>20.349911468730532</v>
      </c>
      <c r="M119">
        <f t="shared" si="35"/>
        <v>4.9140262921368964E-2</v>
      </c>
    </row>
    <row r="120" spans="1:13" x14ac:dyDescent="0.3">
      <c r="A120">
        <v>192</v>
      </c>
      <c r="B120">
        <f t="shared" si="32"/>
        <v>1.2897021365946719E-2</v>
      </c>
      <c r="C120">
        <f t="shared" si="28"/>
        <v>1.2897021365946719E-2</v>
      </c>
      <c r="D120" t="s">
        <v>30</v>
      </c>
      <c r="E120" t="s">
        <v>21</v>
      </c>
      <c r="F120">
        <v>1</v>
      </c>
      <c r="G120">
        <f t="shared" si="33"/>
        <v>135</v>
      </c>
      <c r="I120">
        <v>2050</v>
      </c>
      <c r="J120" t="s">
        <v>31</v>
      </c>
      <c r="K120">
        <f t="shared" si="34"/>
        <v>137.5</v>
      </c>
      <c r="L120" cm="1">
        <f t="array" ref="L120">STOWA2024_JAARROND_T(A120*60,K120,I120,J120,"")</f>
        <v>27.591351023909528</v>
      </c>
      <c r="M120">
        <f t="shared" si="35"/>
        <v>3.6243241555422245E-2</v>
      </c>
    </row>
    <row r="121" spans="1:13" x14ac:dyDescent="0.3">
      <c r="A121">
        <v>192</v>
      </c>
      <c r="B121">
        <f t="shared" si="32"/>
        <v>9.5227808601092041E-3</v>
      </c>
      <c r="C121">
        <f t="shared" si="28"/>
        <v>9.5227808601092041E-3</v>
      </c>
      <c r="D121" t="s">
        <v>30</v>
      </c>
      <c r="E121" t="s">
        <v>21</v>
      </c>
      <c r="F121">
        <v>1</v>
      </c>
      <c r="G121">
        <f t="shared" si="33"/>
        <v>140</v>
      </c>
      <c r="I121">
        <v>2050</v>
      </c>
      <c r="J121" t="s">
        <v>31</v>
      </c>
      <c r="K121">
        <f t="shared" si="34"/>
        <v>142.5</v>
      </c>
      <c r="L121" cm="1">
        <f t="array" ref="L121">STOWA2024_JAARROND_T(A121*60,K121,I121,J121,"")</f>
        <v>37.424504442597694</v>
      </c>
      <c r="M121">
        <f t="shared" si="35"/>
        <v>2.6720460695313041E-2</v>
      </c>
    </row>
    <row r="122" spans="1:13" x14ac:dyDescent="0.3">
      <c r="A122">
        <v>192</v>
      </c>
      <c r="B122">
        <f t="shared" si="32"/>
        <v>7.0285544443444599E-3</v>
      </c>
      <c r="C122">
        <f t="shared" si="28"/>
        <v>7.0285544443444599E-3</v>
      </c>
      <c r="D122" t="s">
        <v>30</v>
      </c>
      <c r="E122" t="s">
        <v>21</v>
      </c>
      <c r="F122">
        <v>1</v>
      </c>
      <c r="G122">
        <f t="shared" si="33"/>
        <v>145</v>
      </c>
      <c r="I122">
        <v>2050</v>
      </c>
      <c r="J122" t="s">
        <v>31</v>
      </c>
      <c r="K122">
        <f t="shared" si="34"/>
        <v>147.5</v>
      </c>
      <c r="L122" cm="1">
        <f t="array" ref="L122">STOWA2024_JAARROND_T(A122*60,K122,I122,J122,"")</f>
        <v>50.782285232076667</v>
      </c>
      <c r="M122">
        <f t="shared" si="35"/>
        <v>1.9691906250968581E-2</v>
      </c>
    </row>
    <row r="123" spans="1:13" x14ac:dyDescent="0.3">
      <c r="A123">
        <v>192</v>
      </c>
      <c r="B123">
        <f t="shared" si="32"/>
        <v>5.1855599535996395E-3</v>
      </c>
      <c r="C123">
        <f t="shared" si="28"/>
        <v>5.1855599535996395E-3</v>
      </c>
      <c r="D123" t="s">
        <v>30</v>
      </c>
      <c r="E123" t="s">
        <v>21</v>
      </c>
      <c r="F123">
        <v>1</v>
      </c>
      <c r="G123">
        <f t="shared" si="33"/>
        <v>150</v>
      </c>
      <c r="I123">
        <v>2050</v>
      </c>
      <c r="J123" t="s">
        <v>31</v>
      </c>
      <c r="K123">
        <f t="shared" si="34"/>
        <v>152.5</v>
      </c>
      <c r="L123" cm="1">
        <f t="array" ref="L123">STOWA2024_JAARROND_T(A123*60,K123,I123,J123,"")</f>
        <v>68.935345916936569</v>
      </c>
      <c r="M123">
        <f t="shared" si="35"/>
        <v>1.4506346297368942E-2</v>
      </c>
    </row>
    <row r="124" spans="1:13" x14ac:dyDescent="0.3">
      <c r="A124">
        <v>192</v>
      </c>
      <c r="B124">
        <f t="shared" si="32"/>
        <v>3.8243029800122796E-3</v>
      </c>
      <c r="C124">
        <f t="shared" si="28"/>
        <v>3.8243029800122796E-3</v>
      </c>
      <c r="D124" t="s">
        <v>30</v>
      </c>
      <c r="E124" t="s">
        <v>21</v>
      </c>
      <c r="F124">
        <v>1</v>
      </c>
      <c r="G124">
        <f t="shared" si="33"/>
        <v>155</v>
      </c>
      <c r="I124">
        <v>2050</v>
      </c>
      <c r="J124" t="s">
        <v>31</v>
      </c>
      <c r="K124">
        <f t="shared" si="34"/>
        <v>157.5</v>
      </c>
      <c r="L124" cm="1">
        <f t="array" ref="L124">STOWA2024_JAARROND_T(A124*60,K124,I124,J124,"")</f>
        <v>93.615048197300908</v>
      </c>
      <c r="M124">
        <f t="shared" si="35"/>
        <v>1.0682043317356662E-2</v>
      </c>
    </row>
    <row r="125" spans="1:13" x14ac:dyDescent="0.3">
      <c r="A125">
        <v>192</v>
      </c>
      <c r="B125" s="1">
        <f>M124</f>
        <v>1.0682043317356662E-2</v>
      </c>
      <c r="C125">
        <f t="shared" si="28"/>
        <v>1.0682043317356662E-2</v>
      </c>
      <c r="D125" t="s">
        <v>30</v>
      </c>
      <c r="E125" t="s">
        <v>21</v>
      </c>
      <c r="F125">
        <v>1</v>
      </c>
      <c r="G125">
        <f t="shared" si="33"/>
        <v>160</v>
      </c>
      <c r="I125">
        <v>2050</v>
      </c>
      <c r="J125" t="s">
        <v>31</v>
      </c>
      <c r="K125">
        <f>AVERAGE(G125:G126)</f>
        <v>85</v>
      </c>
      <c r="L125" cm="1">
        <f t="array" ref="L125">STOWA2024_JAARROND_T(A125*60,K125,I125,J125,"")</f>
        <v>1.1510427563012617</v>
      </c>
      <c r="M125">
        <f>1/L125</f>
        <v>0.86877745811404994</v>
      </c>
    </row>
    <row r="126" spans="1:13" x14ac:dyDescent="0.3">
      <c r="A126">
        <v>216</v>
      </c>
      <c r="B126" s="1">
        <f>365.25*24/A126 - M126</f>
        <v>-17.177138018567994</v>
      </c>
      <c r="C126">
        <f>B126</f>
        <v>-17.177138018567994</v>
      </c>
      <c r="D126" t="s">
        <v>30</v>
      </c>
      <c r="E126" t="s">
        <v>21</v>
      </c>
      <c r="F126">
        <v>1</v>
      </c>
      <c r="G126">
        <v>10</v>
      </c>
      <c r="I126">
        <v>2050</v>
      </c>
      <c r="J126" t="s">
        <v>31</v>
      </c>
      <c r="K126">
        <f>AVERAGE(G126:G128)</f>
        <v>15</v>
      </c>
      <c r="L126" cm="1">
        <f t="array" ref="L126">STOWA2024_JAARROND_T(A126*60,K126,I126,J126,"")</f>
        <v>1.7312878108413886E-2</v>
      </c>
      <c r="M126">
        <f>1/L126</f>
        <v>57.76047135190133</v>
      </c>
    </row>
    <row r="127" spans="1:13" x14ac:dyDescent="0.3">
      <c r="A127">
        <v>216</v>
      </c>
      <c r="B127">
        <f t="shared" ref="B127:B131" si="36">M126-M127</f>
        <v>7.3560667586942827</v>
      </c>
      <c r="C127">
        <f t="shared" ref="C127:C156" si="37">B127</f>
        <v>7.3560667586942827</v>
      </c>
      <c r="D127" t="s">
        <v>30</v>
      </c>
      <c r="E127" t="s">
        <v>21</v>
      </c>
      <c r="F127">
        <v>1</v>
      </c>
      <c r="G127">
        <f t="shared" ref="G127:G131" si="38">G126+5</f>
        <v>15</v>
      </c>
      <c r="I127">
        <v>2050</v>
      </c>
      <c r="J127" t="s">
        <v>31</v>
      </c>
      <c r="K127">
        <f t="shared" ref="K127:K131" si="39">AVERAGE(G127:G128)</f>
        <v>17.5</v>
      </c>
      <c r="L127" cm="1">
        <f t="array" ref="L127">STOWA2024_JAARROND_T(A127*60,K127,I127,J127,"")</f>
        <v>1.983953601020751E-2</v>
      </c>
      <c r="M127">
        <f t="shared" ref="M127:M131" si="40">1/L127</f>
        <v>50.404404593207047</v>
      </c>
    </row>
    <row r="128" spans="1:13" x14ac:dyDescent="0.3">
      <c r="A128">
        <v>216</v>
      </c>
      <c r="B128">
        <f t="shared" si="36"/>
        <v>12.054715174056852</v>
      </c>
      <c r="C128">
        <f t="shared" si="37"/>
        <v>12.054715174056852</v>
      </c>
      <c r="D128" t="s">
        <v>30</v>
      </c>
      <c r="E128" t="s">
        <v>21</v>
      </c>
      <c r="F128">
        <v>1</v>
      </c>
      <c r="G128">
        <f t="shared" si="38"/>
        <v>20</v>
      </c>
      <c r="I128">
        <v>2050</v>
      </c>
      <c r="J128" t="s">
        <v>31</v>
      </c>
      <c r="K128">
        <f t="shared" si="39"/>
        <v>22.5</v>
      </c>
      <c r="L128" cm="1">
        <f t="array" ref="L128">STOWA2024_JAARROND_T(A128*60,K128,I128,J128,"")</f>
        <v>2.6075830473366042E-2</v>
      </c>
      <c r="M128">
        <f t="shared" si="40"/>
        <v>38.349689419150195</v>
      </c>
    </row>
    <row r="129" spans="1:13" x14ac:dyDescent="0.3">
      <c r="A129">
        <v>216</v>
      </c>
      <c r="B129">
        <f t="shared" si="36"/>
        <v>9.2049719146178788</v>
      </c>
      <c r="C129">
        <f t="shared" si="37"/>
        <v>9.2049719146178788</v>
      </c>
      <c r="D129" t="s">
        <v>30</v>
      </c>
      <c r="E129" t="s">
        <v>21</v>
      </c>
      <c r="F129">
        <v>1</v>
      </c>
      <c r="G129">
        <f t="shared" si="38"/>
        <v>25</v>
      </c>
      <c r="I129">
        <v>2050</v>
      </c>
      <c r="J129" t="s">
        <v>31</v>
      </c>
      <c r="K129">
        <f t="shared" si="39"/>
        <v>27.5</v>
      </c>
      <c r="L129" cm="1">
        <f t="array" ref="L129">STOWA2024_JAARROND_T(A129*60,K129,I129,J129,"")</f>
        <v>3.4311535181100632E-2</v>
      </c>
      <c r="M129">
        <f t="shared" si="40"/>
        <v>29.144717504532316</v>
      </c>
    </row>
    <row r="130" spans="1:13" x14ac:dyDescent="0.3">
      <c r="A130">
        <v>216</v>
      </c>
      <c r="B130">
        <f t="shared" si="36"/>
        <v>7.020921413217625</v>
      </c>
      <c r="C130">
        <f t="shared" si="37"/>
        <v>7.020921413217625</v>
      </c>
      <c r="D130" t="s">
        <v>30</v>
      </c>
      <c r="E130" t="s">
        <v>21</v>
      </c>
      <c r="F130">
        <v>1</v>
      </c>
      <c r="G130">
        <f t="shared" si="38"/>
        <v>30</v>
      </c>
      <c r="I130">
        <v>2050</v>
      </c>
      <c r="J130" t="s">
        <v>31</v>
      </c>
      <c r="K130">
        <f t="shared" si="39"/>
        <v>32.5</v>
      </c>
      <c r="L130" cm="1">
        <f t="array" ref="L130">STOWA2024_JAARROND_T(A130*60,K130,I130,J130,"")</f>
        <v>4.5200199634482151E-2</v>
      </c>
      <c r="M130">
        <f t="shared" si="40"/>
        <v>22.123796091314691</v>
      </c>
    </row>
    <row r="131" spans="1:13" x14ac:dyDescent="0.3">
      <c r="A131">
        <v>216</v>
      </c>
      <c r="B131">
        <f t="shared" si="36"/>
        <v>5.3489951049437359</v>
      </c>
      <c r="C131">
        <f t="shared" si="37"/>
        <v>5.3489951049437359</v>
      </c>
      <c r="D131" t="s">
        <v>30</v>
      </c>
      <c r="E131" t="s">
        <v>21</v>
      </c>
      <c r="F131">
        <v>1</v>
      </c>
      <c r="G131">
        <f t="shared" si="38"/>
        <v>35</v>
      </c>
      <c r="I131">
        <v>2050</v>
      </c>
      <c r="J131" t="s">
        <v>31</v>
      </c>
      <c r="K131">
        <f t="shared" si="39"/>
        <v>37.5</v>
      </c>
      <c r="L131" cm="1">
        <f t="array" ref="L131">STOWA2024_JAARROND_T(A131*60,K131,I131,J131,"")</f>
        <v>5.9613225862558447E-2</v>
      </c>
      <c r="M131">
        <f t="shared" si="40"/>
        <v>16.774800986370956</v>
      </c>
    </row>
    <row r="132" spans="1:13" x14ac:dyDescent="0.3">
      <c r="A132">
        <v>216</v>
      </c>
      <c r="B132">
        <f>M131-M132</f>
        <v>4.0707404753886269</v>
      </c>
      <c r="C132">
        <f t="shared" si="37"/>
        <v>4.0707404753886269</v>
      </c>
      <c r="D132" t="s">
        <v>30</v>
      </c>
      <c r="E132" t="s">
        <v>21</v>
      </c>
      <c r="F132">
        <v>1</v>
      </c>
      <c r="G132">
        <f>G131+5</f>
        <v>40</v>
      </c>
      <c r="I132">
        <v>2050</v>
      </c>
      <c r="J132" t="s">
        <v>31</v>
      </c>
      <c r="K132">
        <f>AVERAGE(G132:G133)</f>
        <v>42.5</v>
      </c>
      <c r="L132" cm="1">
        <f t="array" ref="L132">STOWA2024_JAARROND_T(A132*60,K132,I132,J132,"")</f>
        <v>7.871499030845501E-2</v>
      </c>
      <c r="M132">
        <f>1/L132</f>
        <v>12.704060510982329</v>
      </c>
    </row>
    <row r="133" spans="1:13" x14ac:dyDescent="0.3">
      <c r="A133">
        <v>216</v>
      </c>
      <c r="B133">
        <f t="shared" ref="B133:B155" si="41">M132-M133</f>
        <v>3.0940513442743161</v>
      </c>
      <c r="C133">
        <f t="shared" si="37"/>
        <v>3.0940513442743161</v>
      </c>
      <c r="D133" t="s">
        <v>30</v>
      </c>
      <c r="E133" t="s">
        <v>21</v>
      </c>
      <c r="F133">
        <v>1</v>
      </c>
      <c r="G133">
        <f t="shared" ref="G133:G156" si="42">G132+5</f>
        <v>45</v>
      </c>
      <c r="I133">
        <v>2050</v>
      </c>
      <c r="J133" t="s">
        <v>31</v>
      </c>
      <c r="K133">
        <f t="shared" ref="K133:K155" si="43">AVERAGE(G133:G134)</f>
        <v>47.5</v>
      </c>
      <c r="L133" cm="1">
        <f t="array" ref="L133">STOWA2024_JAARROND_T(A133*60,K133,I133,J133,"")</f>
        <v>0.104058173374517</v>
      </c>
      <c r="M133">
        <f t="shared" ref="M133:M155" si="44">1/L133</f>
        <v>9.6100091667080125</v>
      </c>
    </row>
    <row r="134" spans="1:13" x14ac:dyDescent="0.3">
      <c r="A134">
        <v>216</v>
      </c>
      <c r="B134">
        <f t="shared" si="41"/>
        <v>2.3491229014773509</v>
      </c>
      <c r="C134">
        <f t="shared" si="37"/>
        <v>2.3491229014773509</v>
      </c>
      <c r="D134" t="s">
        <v>30</v>
      </c>
      <c r="E134" t="s">
        <v>21</v>
      </c>
      <c r="F134">
        <v>1</v>
      </c>
      <c r="G134">
        <f t="shared" si="42"/>
        <v>50</v>
      </c>
      <c r="I134">
        <v>2050</v>
      </c>
      <c r="J134" t="s">
        <v>31</v>
      </c>
      <c r="K134">
        <f t="shared" si="43"/>
        <v>52.5</v>
      </c>
      <c r="L134" cm="1">
        <f t="array" ref="L134">STOWA2024_JAARROND_T(A134*60,K134,I134,J134,"")</f>
        <v>0.13772423413221338</v>
      </c>
      <c r="M134">
        <f t="shared" si="44"/>
        <v>7.2608862652306616</v>
      </c>
    </row>
    <row r="135" spans="1:13" x14ac:dyDescent="0.3">
      <c r="A135">
        <v>216</v>
      </c>
      <c r="B135">
        <f t="shared" si="41"/>
        <v>1.7815198712919607</v>
      </c>
      <c r="C135">
        <f t="shared" si="37"/>
        <v>1.7815198712919607</v>
      </c>
      <c r="D135" t="s">
        <v>30</v>
      </c>
      <c r="E135" t="s">
        <v>21</v>
      </c>
      <c r="F135">
        <v>1</v>
      </c>
      <c r="G135">
        <f t="shared" si="42"/>
        <v>55</v>
      </c>
      <c r="I135">
        <v>2050</v>
      </c>
      <c r="J135" t="s">
        <v>31</v>
      </c>
      <c r="K135">
        <f t="shared" si="43"/>
        <v>57.5</v>
      </c>
      <c r="L135" cm="1">
        <f t="array" ref="L135">STOWA2024_JAARROND_T(A135*60,K135,I135,J135,"")</f>
        <v>0.18250285308648173</v>
      </c>
      <c r="M135">
        <f t="shared" si="44"/>
        <v>5.479366393938701</v>
      </c>
    </row>
    <row r="136" spans="1:13" x14ac:dyDescent="0.3">
      <c r="A136">
        <v>216</v>
      </c>
      <c r="B136">
        <f t="shared" si="41"/>
        <v>1.349338061505529</v>
      </c>
      <c r="C136">
        <f t="shared" si="37"/>
        <v>1.349338061505529</v>
      </c>
      <c r="D136" t="s">
        <v>30</v>
      </c>
      <c r="E136" t="s">
        <v>21</v>
      </c>
      <c r="F136">
        <v>1</v>
      </c>
      <c r="G136">
        <f t="shared" si="42"/>
        <v>60</v>
      </c>
      <c r="I136">
        <v>2050</v>
      </c>
      <c r="J136" t="s">
        <v>31</v>
      </c>
      <c r="K136">
        <f t="shared" si="43"/>
        <v>62.5</v>
      </c>
      <c r="L136" cm="1">
        <f t="array" ref="L136">STOWA2024_JAARROND_T(A136*60,K136,I136,J136,"")</f>
        <v>0.24212908956265158</v>
      </c>
      <c r="M136">
        <f t="shared" si="44"/>
        <v>4.1300283324331719</v>
      </c>
    </row>
    <row r="137" spans="1:13" x14ac:dyDescent="0.3">
      <c r="A137">
        <v>216</v>
      </c>
      <c r="B137">
        <f t="shared" si="41"/>
        <v>1.0208724286047888</v>
      </c>
      <c r="C137">
        <f t="shared" si="37"/>
        <v>1.0208724286047888</v>
      </c>
      <c r="D137" t="s">
        <v>30</v>
      </c>
      <c r="E137" t="s">
        <v>21</v>
      </c>
      <c r="F137">
        <v>1</v>
      </c>
      <c r="G137">
        <f t="shared" si="42"/>
        <v>65</v>
      </c>
      <c r="I137">
        <v>2050</v>
      </c>
      <c r="J137" t="s">
        <v>31</v>
      </c>
      <c r="K137">
        <f t="shared" si="43"/>
        <v>67.5</v>
      </c>
      <c r="L137" cm="1">
        <f t="array" ref="L137">STOWA2024_JAARROND_T(A137*60,K137,I137,J137,"")</f>
        <v>0.32163070329431676</v>
      </c>
      <c r="M137">
        <f t="shared" si="44"/>
        <v>3.1091559038283831</v>
      </c>
    </row>
    <row r="138" spans="1:13" x14ac:dyDescent="0.3">
      <c r="A138">
        <v>216</v>
      </c>
      <c r="B138">
        <f t="shared" si="41"/>
        <v>0.7713958132161971</v>
      </c>
      <c r="C138">
        <f t="shared" si="37"/>
        <v>0.7713958132161971</v>
      </c>
      <c r="D138" t="s">
        <v>30</v>
      </c>
      <c r="E138" t="s">
        <v>21</v>
      </c>
      <c r="F138">
        <v>1</v>
      </c>
      <c r="G138">
        <f t="shared" si="42"/>
        <v>70</v>
      </c>
      <c r="I138">
        <v>2050</v>
      </c>
      <c r="J138" t="s">
        <v>31</v>
      </c>
      <c r="K138">
        <f t="shared" si="43"/>
        <v>72.5</v>
      </c>
      <c r="L138" cm="1">
        <f t="array" ref="L138">STOWA2024_JAARROND_T(A138*60,K138,I138,J138,"")</f>
        <v>0.42775989033935957</v>
      </c>
      <c r="M138">
        <f t="shared" si="44"/>
        <v>2.337760090612186</v>
      </c>
    </row>
    <row r="139" spans="1:13" x14ac:dyDescent="0.3">
      <c r="A139">
        <v>216</v>
      </c>
      <c r="B139">
        <f t="shared" si="41"/>
        <v>0.58219289875345903</v>
      </c>
      <c r="C139">
        <f t="shared" si="37"/>
        <v>0.58219289875345903</v>
      </c>
      <c r="D139" t="s">
        <v>30</v>
      </c>
      <c r="E139" t="s">
        <v>21</v>
      </c>
      <c r="F139">
        <v>1</v>
      </c>
      <c r="G139">
        <f t="shared" si="42"/>
        <v>75</v>
      </c>
      <c r="I139">
        <v>2050</v>
      </c>
      <c r="J139" t="s">
        <v>31</v>
      </c>
      <c r="K139">
        <f t="shared" si="43"/>
        <v>77.5</v>
      </c>
      <c r="L139" cm="1">
        <f t="array" ref="L139">STOWA2024_JAARROND_T(A139*60,K139,I139,J139,"")</f>
        <v>0.56961647759049228</v>
      </c>
      <c r="M139">
        <f t="shared" si="44"/>
        <v>1.755567191858727</v>
      </c>
    </row>
    <row r="140" spans="1:13" x14ac:dyDescent="0.3">
      <c r="A140">
        <v>216</v>
      </c>
      <c r="B140">
        <f t="shared" si="41"/>
        <v>0.43885807370886898</v>
      </c>
      <c r="C140">
        <f t="shared" si="37"/>
        <v>0.43885807370886898</v>
      </c>
      <c r="D140" t="s">
        <v>30</v>
      </c>
      <c r="E140" t="s">
        <v>21</v>
      </c>
      <c r="F140">
        <v>1</v>
      </c>
      <c r="G140">
        <f t="shared" si="42"/>
        <v>80</v>
      </c>
      <c r="I140">
        <v>2050</v>
      </c>
      <c r="J140" t="s">
        <v>31</v>
      </c>
      <c r="K140">
        <f t="shared" si="43"/>
        <v>82.5</v>
      </c>
      <c r="L140" cm="1">
        <f t="array" ref="L140">STOWA2024_JAARROND_T(A140*60,K140,I140,J140,"")</f>
        <v>0.75946918435950816</v>
      </c>
      <c r="M140">
        <f t="shared" si="44"/>
        <v>1.316709118149858</v>
      </c>
    </row>
    <row r="141" spans="1:13" x14ac:dyDescent="0.3">
      <c r="A141">
        <v>216</v>
      </c>
      <c r="B141">
        <f t="shared" si="41"/>
        <v>0.33029947218266942</v>
      </c>
      <c r="C141">
        <f t="shared" si="37"/>
        <v>0.33029947218266942</v>
      </c>
      <c r="D141" t="s">
        <v>30</v>
      </c>
      <c r="E141" t="s">
        <v>21</v>
      </c>
      <c r="F141">
        <v>1</v>
      </c>
      <c r="G141">
        <f t="shared" si="42"/>
        <v>85</v>
      </c>
      <c r="I141">
        <v>2050</v>
      </c>
      <c r="J141" t="s">
        <v>31</v>
      </c>
      <c r="K141">
        <f t="shared" si="43"/>
        <v>87.5</v>
      </c>
      <c r="L141" cm="1">
        <f t="array" ref="L141">STOWA2024_JAARROND_T(A141*60,K141,I141,J141,"")</f>
        <v>1.013777596446237</v>
      </c>
      <c r="M141">
        <f t="shared" si="44"/>
        <v>0.98640964596718861</v>
      </c>
    </row>
    <row r="142" spans="1:13" x14ac:dyDescent="0.3">
      <c r="A142">
        <v>216</v>
      </c>
      <c r="B142">
        <f t="shared" si="41"/>
        <v>0.24845234474287214</v>
      </c>
      <c r="C142">
        <f t="shared" si="37"/>
        <v>0.24845234474287214</v>
      </c>
      <c r="D142" t="s">
        <v>30</v>
      </c>
      <c r="E142" t="s">
        <v>21</v>
      </c>
      <c r="F142">
        <v>1</v>
      </c>
      <c r="G142">
        <f t="shared" si="42"/>
        <v>90</v>
      </c>
      <c r="I142">
        <v>2050</v>
      </c>
      <c r="J142" t="s">
        <v>31</v>
      </c>
      <c r="K142">
        <f t="shared" si="43"/>
        <v>92.5</v>
      </c>
      <c r="L142" cm="1">
        <f t="array" ref="L142">STOWA2024_JAARROND_T(A142*60,K142,I142,J142,"")</f>
        <v>1.3550919522592142</v>
      </c>
      <c r="M142">
        <f t="shared" si="44"/>
        <v>0.73795730122431646</v>
      </c>
    </row>
    <row r="143" spans="1:13" x14ac:dyDescent="0.3">
      <c r="A143">
        <v>216</v>
      </c>
      <c r="B143">
        <f t="shared" si="41"/>
        <v>0.1865795292030118</v>
      </c>
      <c r="C143">
        <f t="shared" si="37"/>
        <v>0.1865795292030118</v>
      </c>
      <c r="D143" t="s">
        <v>30</v>
      </c>
      <c r="E143" t="s">
        <v>21</v>
      </c>
      <c r="F143">
        <v>1</v>
      </c>
      <c r="G143">
        <f t="shared" si="42"/>
        <v>95</v>
      </c>
      <c r="I143">
        <v>2050</v>
      </c>
      <c r="J143" t="s">
        <v>31</v>
      </c>
      <c r="K143">
        <f t="shared" si="43"/>
        <v>97.5</v>
      </c>
      <c r="L143" cm="1">
        <f t="array" ref="L143">STOWA2024_JAARROND_T(A143*60,K143,I143,J143,"")</f>
        <v>1.8136385809208158</v>
      </c>
      <c r="M143">
        <f t="shared" si="44"/>
        <v>0.55137777202130467</v>
      </c>
    </row>
    <row r="144" spans="1:13" x14ac:dyDescent="0.3">
      <c r="A144">
        <v>216</v>
      </c>
      <c r="B144">
        <f t="shared" si="41"/>
        <v>0.13993963545868682</v>
      </c>
      <c r="C144">
        <f t="shared" si="37"/>
        <v>0.13993963545868682</v>
      </c>
      <c r="D144" t="s">
        <v>30</v>
      </c>
      <c r="E144" t="s">
        <v>21</v>
      </c>
      <c r="F144">
        <v>1</v>
      </c>
      <c r="G144">
        <f t="shared" si="42"/>
        <v>100</v>
      </c>
      <c r="I144">
        <v>2050</v>
      </c>
      <c r="J144" t="s">
        <v>31</v>
      </c>
      <c r="K144">
        <f t="shared" si="43"/>
        <v>102.5</v>
      </c>
      <c r="L144" cm="1">
        <f t="array" ref="L144">STOWA2024_JAARROND_T(A144*60,K144,I144,J144,"")</f>
        <v>2.430499049880388</v>
      </c>
      <c r="M144">
        <f t="shared" si="44"/>
        <v>0.41143813656261785</v>
      </c>
    </row>
    <row r="145" spans="1:13" x14ac:dyDescent="0.3">
      <c r="A145">
        <v>216</v>
      </c>
      <c r="B145">
        <f t="shared" si="41"/>
        <v>0.10482241351366517</v>
      </c>
      <c r="C145">
        <f t="shared" si="37"/>
        <v>0.10482241351366517</v>
      </c>
      <c r="D145" t="s">
        <v>30</v>
      </c>
      <c r="E145" t="s">
        <v>21</v>
      </c>
      <c r="F145">
        <v>1</v>
      </c>
      <c r="G145">
        <f t="shared" si="42"/>
        <v>105</v>
      </c>
      <c r="I145">
        <v>2050</v>
      </c>
      <c r="J145" t="s">
        <v>31</v>
      </c>
      <c r="K145">
        <f t="shared" si="43"/>
        <v>107.5</v>
      </c>
      <c r="L145" cm="1">
        <f t="array" ref="L145">STOWA2024_JAARROND_T(A145*60,K145,I145,J145,"")</f>
        <v>3.2614113524776585</v>
      </c>
      <c r="M145">
        <f t="shared" si="44"/>
        <v>0.30661572304895268</v>
      </c>
    </row>
    <row r="146" spans="1:13" x14ac:dyDescent="0.3">
      <c r="A146">
        <v>216</v>
      </c>
      <c r="B146">
        <f t="shared" si="41"/>
        <v>7.8419986705935557E-2</v>
      </c>
      <c r="C146">
        <f t="shared" si="37"/>
        <v>7.8419986705935557E-2</v>
      </c>
      <c r="D146" t="s">
        <v>30</v>
      </c>
      <c r="E146" t="s">
        <v>21</v>
      </c>
      <c r="F146">
        <v>1</v>
      </c>
      <c r="G146">
        <f t="shared" si="42"/>
        <v>110</v>
      </c>
      <c r="I146">
        <v>2050</v>
      </c>
      <c r="J146" t="s">
        <v>31</v>
      </c>
      <c r="K146">
        <f t="shared" si="43"/>
        <v>112.5</v>
      </c>
      <c r="L146" cm="1">
        <f t="array" ref="L146">STOWA2024_JAARROND_T(A146*60,K146,I146,J146,"")</f>
        <v>4.3822028230046746</v>
      </c>
      <c r="M146">
        <f t="shared" si="44"/>
        <v>0.22819573634301712</v>
      </c>
    </row>
    <row r="147" spans="1:13" x14ac:dyDescent="0.3">
      <c r="A147">
        <v>216</v>
      </c>
      <c r="B147">
        <f t="shared" si="41"/>
        <v>5.8587908888510648E-2</v>
      </c>
      <c r="C147">
        <f t="shared" si="37"/>
        <v>5.8587908888510648E-2</v>
      </c>
      <c r="D147" t="s">
        <v>30</v>
      </c>
      <c r="E147" t="s">
        <v>21</v>
      </c>
      <c r="F147">
        <v>1</v>
      </c>
      <c r="G147">
        <f t="shared" si="42"/>
        <v>115</v>
      </c>
      <c r="I147">
        <v>2050</v>
      </c>
      <c r="J147" t="s">
        <v>31</v>
      </c>
      <c r="K147">
        <f t="shared" si="43"/>
        <v>117.5</v>
      </c>
      <c r="L147" cm="1">
        <f t="array" ref="L147">STOWA2024_JAARROND_T(A147*60,K147,I147,J147,"")</f>
        <v>5.89595430239343</v>
      </c>
      <c r="M147">
        <f t="shared" si="44"/>
        <v>0.16960782745450648</v>
      </c>
    </row>
    <row r="148" spans="1:13" x14ac:dyDescent="0.3">
      <c r="A148">
        <v>216</v>
      </c>
      <c r="B148">
        <f t="shared" si="41"/>
        <v>4.3714981174850731E-2</v>
      </c>
      <c r="C148">
        <f t="shared" si="37"/>
        <v>4.3714981174850731E-2</v>
      </c>
      <c r="D148" t="s">
        <v>30</v>
      </c>
      <c r="E148" t="s">
        <v>21</v>
      </c>
      <c r="F148">
        <v>1</v>
      </c>
      <c r="G148">
        <f t="shared" si="42"/>
        <v>120</v>
      </c>
      <c r="I148">
        <v>2050</v>
      </c>
      <c r="J148" t="s">
        <v>31</v>
      </c>
      <c r="K148">
        <f t="shared" si="43"/>
        <v>122.5</v>
      </c>
      <c r="L148" cm="1">
        <f t="array" ref="L148">STOWA2024_JAARROND_T(A148*60,K148,I148,J148,"")</f>
        <v>7.9432630967658078</v>
      </c>
      <c r="M148">
        <f t="shared" si="44"/>
        <v>0.12589284627965575</v>
      </c>
    </row>
    <row r="149" spans="1:13" x14ac:dyDescent="0.3">
      <c r="A149">
        <v>216</v>
      </c>
      <c r="B149">
        <f t="shared" si="41"/>
        <v>3.2574335988989414E-2</v>
      </c>
      <c r="C149">
        <f t="shared" si="37"/>
        <v>3.2574335988989414E-2</v>
      </c>
      <c r="D149" t="s">
        <v>30</v>
      </c>
      <c r="E149" t="s">
        <v>21</v>
      </c>
      <c r="F149">
        <v>1</v>
      </c>
      <c r="G149">
        <f t="shared" si="42"/>
        <v>125</v>
      </c>
      <c r="I149">
        <v>2050</v>
      </c>
      <c r="J149" t="s">
        <v>31</v>
      </c>
      <c r="K149">
        <f t="shared" si="43"/>
        <v>127.5</v>
      </c>
      <c r="L149" cm="1">
        <f t="array" ref="L149">STOWA2024_JAARROND_T(A149*60,K149,I149,J149,"")</f>
        <v>10.71598760937378</v>
      </c>
      <c r="M149">
        <f t="shared" si="44"/>
        <v>9.3318510290666332E-2</v>
      </c>
    </row>
    <row r="150" spans="1:13" x14ac:dyDescent="0.3">
      <c r="A150">
        <v>216</v>
      </c>
      <c r="B150">
        <f t="shared" si="41"/>
        <v>2.4240819823422396E-2</v>
      </c>
      <c r="C150">
        <f t="shared" si="37"/>
        <v>2.4240819823422396E-2</v>
      </c>
      <c r="D150" t="s">
        <v>30</v>
      </c>
      <c r="E150" t="s">
        <v>21</v>
      </c>
      <c r="F150">
        <v>1</v>
      </c>
      <c r="G150">
        <f t="shared" si="42"/>
        <v>130</v>
      </c>
      <c r="I150">
        <v>2050</v>
      </c>
      <c r="J150" t="s">
        <v>31</v>
      </c>
      <c r="K150">
        <f t="shared" si="43"/>
        <v>132.5</v>
      </c>
      <c r="L150" cm="1">
        <f t="array" ref="L150">STOWA2024_JAARROND_T(A150*60,K150,I150,J150,"")</f>
        <v>14.476453877307778</v>
      </c>
      <c r="M150">
        <f t="shared" si="44"/>
        <v>6.9077690467243935E-2</v>
      </c>
    </row>
    <row r="151" spans="1:13" x14ac:dyDescent="0.3">
      <c r="A151">
        <v>216</v>
      </c>
      <c r="B151">
        <f t="shared" si="41"/>
        <v>1.801406017075461E-2</v>
      </c>
      <c r="C151">
        <f t="shared" si="37"/>
        <v>1.801406017075461E-2</v>
      </c>
      <c r="D151" t="s">
        <v>30</v>
      </c>
      <c r="E151" t="s">
        <v>21</v>
      </c>
      <c r="F151">
        <v>1</v>
      </c>
      <c r="G151">
        <f t="shared" si="42"/>
        <v>135</v>
      </c>
      <c r="I151">
        <v>2050</v>
      </c>
      <c r="J151" t="s">
        <v>31</v>
      </c>
      <c r="K151">
        <f t="shared" si="43"/>
        <v>137.5</v>
      </c>
      <c r="L151" cm="1">
        <f t="array" ref="L151">STOWA2024_JAARROND_T(A151*60,K151,I151,J151,"")</f>
        <v>19.583409839718172</v>
      </c>
      <c r="M151">
        <f t="shared" si="44"/>
        <v>5.1063630296489325E-2</v>
      </c>
    </row>
    <row r="152" spans="1:13" x14ac:dyDescent="0.3">
      <c r="A152">
        <v>216</v>
      </c>
      <c r="B152">
        <f t="shared" si="41"/>
        <v>1.3368875095630083E-2</v>
      </c>
      <c r="C152">
        <f t="shared" si="37"/>
        <v>1.3368875095630083E-2</v>
      </c>
      <c r="D152" t="s">
        <v>30</v>
      </c>
      <c r="E152" t="s">
        <v>21</v>
      </c>
      <c r="F152">
        <v>1</v>
      </c>
      <c r="G152">
        <f t="shared" si="42"/>
        <v>140</v>
      </c>
      <c r="I152">
        <v>2050</v>
      </c>
      <c r="J152" t="s">
        <v>31</v>
      </c>
      <c r="K152">
        <f t="shared" si="43"/>
        <v>142.5</v>
      </c>
      <c r="L152" cm="1">
        <f t="array" ref="L152">STOWA2024_JAARROND_T(A152*60,K152,I152,J152,"")</f>
        <v>26.528889620623012</v>
      </c>
      <c r="M152">
        <f t="shared" si="44"/>
        <v>3.7694755200859242E-2</v>
      </c>
    </row>
    <row r="153" spans="1:13" x14ac:dyDescent="0.3">
      <c r="A153">
        <v>216</v>
      </c>
      <c r="B153">
        <f t="shared" si="41"/>
        <v>9.9078647731220548E-3</v>
      </c>
      <c r="C153">
        <f t="shared" si="37"/>
        <v>9.9078647731220548E-3</v>
      </c>
      <c r="D153" t="s">
        <v>30</v>
      </c>
      <c r="E153" t="s">
        <v>21</v>
      </c>
      <c r="F153">
        <v>1</v>
      </c>
      <c r="G153">
        <f t="shared" si="42"/>
        <v>145</v>
      </c>
      <c r="I153">
        <v>2050</v>
      </c>
      <c r="J153" t="s">
        <v>31</v>
      </c>
      <c r="K153">
        <f t="shared" si="43"/>
        <v>147.5</v>
      </c>
      <c r="L153" cm="1">
        <f t="array" ref="L153">STOWA2024_JAARROND_T(A153*60,K153,I153,J153,"")</f>
        <v>35.988193878714426</v>
      </c>
      <c r="M153">
        <f t="shared" si="44"/>
        <v>2.7786890427737188E-2</v>
      </c>
    </row>
    <row r="154" spans="1:13" x14ac:dyDescent="0.3">
      <c r="A154">
        <v>216</v>
      </c>
      <c r="B154">
        <f t="shared" si="41"/>
        <v>7.3327887527285911E-3</v>
      </c>
      <c r="C154">
        <f t="shared" si="37"/>
        <v>7.3327887527285911E-3</v>
      </c>
      <c r="D154" t="s">
        <v>30</v>
      </c>
      <c r="E154" t="s">
        <v>21</v>
      </c>
      <c r="F154">
        <v>1</v>
      </c>
      <c r="G154">
        <f t="shared" si="42"/>
        <v>150</v>
      </c>
      <c r="I154">
        <v>2050</v>
      </c>
      <c r="J154" t="s">
        <v>31</v>
      </c>
      <c r="K154">
        <f t="shared" si="43"/>
        <v>152.5</v>
      </c>
      <c r="L154" cm="1">
        <f t="array" ref="L154">STOWA2024_JAARROND_T(A154*60,K154,I154,J154,"")</f>
        <v>48.889949599782639</v>
      </c>
      <c r="M154">
        <f t="shared" si="44"/>
        <v>2.0454101675008596E-2</v>
      </c>
    </row>
    <row r="155" spans="1:13" x14ac:dyDescent="0.3">
      <c r="A155">
        <v>216</v>
      </c>
      <c r="B155">
        <f t="shared" si="41"/>
        <v>5.41915468299216E-3</v>
      </c>
      <c r="C155">
        <f t="shared" si="37"/>
        <v>5.41915468299216E-3</v>
      </c>
      <c r="D155" t="s">
        <v>30</v>
      </c>
      <c r="E155" t="s">
        <v>21</v>
      </c>
      <c r="F155">
        <v>1</v>
      </c>
      <c r="G155">
        <f t="shared" si="42"/>
        <v>155</v>
      </c>
      <c r="I155">
        <v>2050</v>
      </c>
      <c r="J155" t="s">
        <v>31</v>
      </c>
      <c r="K155">
        <f t="shared" si="43"/>
        <v>157.5</v>
      </c>
      <c r="L155" cm="1">
        <f t="array" ref="L155">STOWA2024_JAARROND_T(A155*60,K155,I155,J155,"")</f>
        <v>66.511707725408044</v>
      </c>
      <c r="M155">
        <f t="shared" si="44"/>
        <v>1.5034946992016436E-2</v>
      </c>
    </row>
    <row r="156" spans="1:13" x14ac:dyDescent="0.3">
      <c r="A156">
        <v>216</v>
      </c>
      <c r="B156" s="1">
        <f>M155</f>
        <v>1.5034946992016436E-2</v>
      </c>
      <c r="C156">
        <f t="shared" si="37"/>
        <v>1.5034946992016436E-2</v>
      </c>
      <c r="D156" t="s">
        <v>30</v>
      </c>
      <c r="E156" t="s">
        <v>21</v>
      </c>
      <c r="F156">
        <v>1</v>
      </c>
      <c r="G156">
        <f t="shared" si="42"/>
        <v>160</v>
      </c>
      <c r="I156">
        <v>2050</v>
      </c>
      <c r="J156" t="s">
        <v>31</v>
      </c>
      <c r="K156">
        <f>AVERAGE(G156:G157)</f>
        <v>160</v>
      </c>
      <c r="L156" cm="1">
        <f t="array" ref="L156">STOWA2024_JAARROND_T(A156*60,K156,I156,J156,"")</f>
        <v>77.619757740936777</v>
      </c>
      <c r="M156">
        <f>1/L156</f>
        <v>1.2883317715801096E-2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56"/>
  <sheetViews>
    <sheetView workbookViewId="0">
      <selection activeCell="G24" sqref="G24"/>
    </sheetView>
  </sheetViews>
  <sheetFormatPr defaultRowHeight="14.4" x14ac:dyDescent="0.3"/>
  <cols>
    <col min="1" max="1" width="6" bestFit="1" customWidth="1"/>
    <col min="2" max="3" width="12"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356.72331757266625</v>
      </c>
      <c r="C2">
        <f>B2</f>
        <v>356.72331757266625</v>
      </c>
      <c r="D2" t="s">
        <v>30</v>
      </c>
      <c r="E2" t="s">
        <v>19</v>
      </c>
      <c r="F2">
        <v>1</v>
      </c>
      <c r="G2">
        <v>10</v>
      </c>
      <c r="I2">
        <v>2050</v>
      </c>
      <c r="J2" t="s">
        <v>31</v>
      </c>
      <c r="K2">
        <f>AVERAGE(G2:G4)</f>
        <v>15</v>
      </c>
      <c r="L2" cm="1">
        <f t="array" ref="L2">STOWA2024_NDJF_T(A2*60,K2,I2,J2,"")</f>
        <v>0.11727890753786362</v>
      </c>
      <c r="M2">
        <f>1/L2</f>
        <v>8.5266824273337392</v>
      </c>
    </row>
    <row r="3" spans="1:13" x14ac:dyDescent="0.3">
      <c r="A3">
        <v>24</v>
      </c>
      <c r="B3">
        <f t="shared" ref="B3:B7" si="0">M2-M3</f>
        <v>3.030183552500155</v>
      </c>
      <c r="C3">
        <f t="shared" ref="C3:C32" si="1">B3</f>
        <v>3.030183552500155</v>
      </c>
      <c r="D3" t="s">
        <v>30</v>
      </c>
      <c r="E3" t="s">
        <v>19</v>
      </c>
      <c r="F3">
        <v>1</v>
      </c>
      <c r="G3">
        <f t="shared" ref="G3:G7" si="2">G2+5</f>
        <v>15</v>
      </c>
      <c r="I3">
        <v>2050</v>
      </c>
      <c r="J3" t="s">
        <v>31</v>
      </c>
      <c r="K3">
        <f t="shared" ref="K3:K7" si="3">AVERAGE(G3:G4)</f>
        <v>17.5</v>
      </c>
      <c r="L3" cm="1">
        <f t="array" ref="L3">STOWA2024_NDJF_T(A3*60,K3,I3,J3,"")</f>
        <v>0.18193399521623238</v>
      </c>
      <c r="M3">
        <f t="shared" ref="M3:M7" si="4">1/L3</f>
        <v>5.4964988748335841</v>
      </c>
    </row>
    <row r="4" spans="1:13" x14ac:dyDescent="0.3">
      <c r="A4">
        <v>24</v>
      </c>
      <c r="B4">
        <f t="shared" si="0"/>
        <v>3.1191319949990697</v>
      </c>
      <c r="C4">
        <f t="shared" si="1"/>
        <v>3.1191319949990697</v>
      </c>
      <c r="D4" t="s">
        <v>30</v>
      </c>
      <c r="E4" t="s">
        <v>19</v>
      </c>
      <c r="F4">
        <v>1</v>
      </c>
      <c r="G4">
        <f t="shared" si="2"/>
        <v>20</v>
      </c>
      <c r="I4">
        <v>2050</v>
      </c>
      <c r="J4" t="s">
        <v>31</v>
      </c>
      <c r="K4">
        <f t="shared" si="3"/>
        <v>22.5</v>
      </c>
      <c r="L4" cm="1">
        <f t="array" ref="L4">STOWA2024_NDJF_T(A4*60,K4,I4,J4,"")</f>
        <v>0.4206334362955409</v>
      </c>
      <c r="M4">
        <f t="shared" si="4"/>
        <v>2.3773668798345144</v>
      </c>
    </row>
    <row r="5" spans="1:13" x14ac:dyDescent="0.3">
      <c r="A5">
        <v>24</v>
      </c>
      <c r="B5">
        <f t="shared" si="0"/>
        <v>1.2981494545238956</v>
      </c>
      <c r="C5">
        <f t="shared" si="1"/>
        <v>1.2981494545238956</v>
      </c>
      <c r="D5" t="s">
        <v>30</v>
      </c>
      <c r="E5" t="s">
        <v>19</v>
      </c>
      <c r="F5">
        <v>1</v>
      </c>
      <c r="G5">
        <f t="shared" si="2"/>
        <v>25</v>
      </c>
      <c r="I5">
        <v>2050</v>
      </c>
      <c r="J5" t="s">
        <v>31</v>
      </c>
      <c r="K5">
        <f t="shared" si="3"/>
        <v>27.5</v>
      </c>
      <c r="L5" cm="1">
        <f t="array" ref="L5">STOWA2024_NDJF_T(A5*60,K5,I5,J5,"")</f>
        <v>0.92659734410068617</v>
      </c>
      <c r="M5">
        <f t="shared" si="4"/>
        <v>1.0792174253106188</v>
      </c>
    </row>
    <row r="6" spans="1:13" x14ac:dyDescent="0.3">
      <c r="A6">
        <v>24</v>
      </c>
      <c r="B6">
        <f t="shared" si="0"/>
        <v>0.56765200488675061</v>
      </c>
      <c r="C6">
        <f t="shared" si="1"/>
        <v>0.56765200488675061</v>
      </c>
      <c r="D6" t="s">
        <v>30</v>
      </c>
      <c r="E6" t="s">
        <v>19</v>
      </c>
      <c r="F6">
        <v>1</v>
      </c>
      <c r="G6">
        <f t="shared" si="2"/>
        <v>30</v>
      </c>
      <c r="I6">
        <v>2050</v>
      </c>
      <c r="J6" t="s">
        <v>31</v>
      </c>
      <c r="K6">
        <f t="shared" si="3"/>
        <v>32.5</v>
      </c>
      <c r="L6" cm="1">
        <f t="array" ref="L6">STOWA2024_NDJF_T(A6*60,K6,I6,J6,"")</f>
        <v>1.9547841978283622</v>
      </c>
      <c r="M6">
        <f t="shared" si="4"/>
        <v>0.51156542042386821</v>
      </c>
    </row>
    <row r="7" spans="1:13" x14ac:dyDescent="0.3">
      <c r="A7">
        <v>24</v>
      </c>
      <c r="B7">
        <f t="shared" si="0"/>
        <v>0.25957660147237199</v>
      </c>
      <c r="C7">
        <f t="shared" si="1"/>
        <v>0.25957660147237199</v>
      </c>
      <c r="D7" t="s">
        <v>30</v>
      </c>
      <c r="E7" t="s">
        <v>19</v>
      </c>
      <c r="F7">
        <v>1</v>
      </c>
      <c r="G7">
        <f t="shared" si="2"/>
        <v>35</v>
      </c>
      <c r="I7">
        <v>2050</v>
      </c>
      <c r="J7" t="s">
        <v>31</v>
      </c>
      <c r="K7">
        <f t="shared" si="3"/>
        <v>37.5</v>
      </c>
      <c r="L7" cm="1">
        <f t="array" ref="L7">STOWA2024_NDJF_T(A7*60,K7,I7,J7,"")</f>
        <v>3.9684300444794092</v>
      </c>
      <c r="M7">
        <f t="shared" si="4"/>
        <v>0.25198881895149622</v>
      </c>
    </row>
    <row r="8" spans="1:13" x14ac:dyDescent="0.3">
      <c r="A8">
        <v>24</v>
      </c>
      <c r="B8">
        <f>M7-M8</f>
        <v>0.12346736398364846</v>
      </c>
      <c r="C8">
        <f t="shared" si="1"/>
        <v>0.12346736398364846</v>
      </c>
      <c r="D8" t="s">
        <v>30</v>
      </c>
      <c r="E8" t="s">
        <v>19</v>
      </c>
      <c r="F8">
        <v>1</v>
      </c>
      <c r="G8">
        <f>G7+5</f>
        <v>40</v>
      </c>
      <c r="I8">
        <v>2050</v>
      </c>
      <c r="J8" t="s">
        <v>31</v>
      </c>
      <c r="K8">
        <f>AVERAGE(G8:G9)</f>
        <v>42.5</v>
      </c>
      <c r="L8" cm="1">
        <f t="array" ref="L8">STOWA2024_NDJF_T(A8*60,K8,I8,J8,"")</f>
        <v>7.7808020477994919</v>
      </c>
      <c r="M8">
        <f>1/L8</f>
        <v>0.12852145496784775</v>
      </c>
    </row>
    <row r="9" spans="1:13" x14ac:dyDescent="0.3">
      <c r="A9">
        <v>24</v>
      </c>
      <c r="B9">
        <f t="shared" ref="B9:B31" si="5">M8-M9</f>
        <v>6.0870613680839458E-2</v>
      </c>
      <c r="C9">
        <f t="shared" si="1"/>
        <v>6.0870613680839458E-2</v>
      </c>
      <c r="D9" t="s">
        <v>30</v>
      </c>
      <c r="E9" t="s">
        <v>19</v>
      </c>
      <c r="F9">
        <v>1</v>
      </c>
      <c r="G9">
        <f t="shared" ref="G9:G32" si="6">G8+5</f>
        <v>45</v>
      </c>
      <c r="I9">
        <v>2050</v>
      </c>
      <c r="J9" t="s">
        <v>31</v>
      </c>
      <c r="K9">
        <f t="shared" ref="K9:K31" si="7">AVERAGE(G9:G10)</f>
        <v>47.5</v>
      </c>
      <c r="L9" cm="1">
        <f t="array" ref="L9">STOWA2024_NDJF_T(A9*60,K9,I9,J9,"")</f>
        <v>14.781782177068662</v>
      </c>
      <c r="M9">
        <f t="shared" ref="M9:M31" si="8">1/L9</f>
        <v>6.7650841287008295E-2</v>
      </c>
    </row>
    <row r="10" spans="1:13" x14ac:dyDescent="0.3">
      <c r="A10">
        <v>24</v>
      </c>
      <c r="B10">
        <f t="shared" si="5"/>
        <v>3.1003584866653194E-2</v>
      </c>
      <c r="C10">
        <f t="shared" si="1"/>
        <v>3.1003584866653194E-2</v>
      </c>
      <c r="D10" t="s">
        <v>30</v>
      </c>
      <c r="E10" t="s">
        <v>19</v>
      </c>
      <c r="F10">
        <v>1</v>
      </c>
      <c r="G10">
        <f t="shared" si="6"/>
        <v>50</v>
      </c>
      <c r="I10">
        <v>2050</v>
      </c>
      <c r="J10" t="s">
        <v>31</v>
      </c>
      <c r="K10">
        <f t="shared" si="7"/>
        <v>52.5</v>
      </c>
      <c r="L10" cm="1">
        <f t="array" ref="L10">STOWA2024_NDJF_T(A10*60,K10,I10,J10,"")</f>
        <v>27.287172292782248</v>
      </c>
      <c r="M10">
        <f t="shared" si="8"/>
        <v>3.6647256420355101E-2</v>
      </c>
    </row>
    <row r="11" spans="1:13" x14ac:dyDescent="0.3">
      <c r="A11">
        <v>24</v>
      </c>
      <c r="B11">
        <f t="shared" si="5"/>
        <v>1.6266560505005478E-2</v>
      </c>
      <c r="C11">
        <f t="shared" si="1"/>
        <v>1.6266560505005478E-2</v>
      </c>
      <c r="D11" t="s">
        <v>30</v>
      </c>
      <c r="E11" t="s">
        <v>19</v>
      </c>
      <c r="F11">
        <v>1</v>
      </c>
      <c r="G11">
        <f t="shared" si="6"/>
        <v>55</v>
      </c>
      <c r="I11">
        <v>2050</v>
      </c>
      <c r="J11" t="s">
        <v>31</v>
      </c>
      <c r="K11">
        <f t="shared" si="7"/>
        <v>57.5</v>
      </c>
      <c r="L11" cm="1">
        <f t="array" ref="L11">STOWA2024_NDJF_T(A11*60,K11,I11,J11,"")</f>
        <v>49.066037987783076</v>
      </c>
      <c r="M11">
        <f t="shared" si="8"/>
        <v>2.0380695915349623E-2</v>
      </c>
    </row>
    <row r="12" spans="1:13" x14ac:dyDescent="0.3">
      <c r="A12">
        <v>24</v>
      </c>
      <c r="B12">
        <f t="shared" si="5"/>
        <v>8.7698866319692731E-3</v>
      </c>
      <c r="C12">
        <f t="shared" si="1"/>
        <v>8.7698866319692731E-3</v>
      </c>
      <c r="D12" t="s">
        <v>30</v>
      </c>
      <c r="E12" t="s">
        <v>19</v>
      </c>
      <c r="F12">
        <v>1</v>
      </c>
      <c r="G12">
        <f t="shared" si="6"/>
        <v>60</v>
      </c>
      <c r="I12">
        <v>2050</v>
      </c>
      <c r="J12" t="s">
        <v>31</v>
      </c>
      <c r="K12">
        <f t="shared" si="7"/>
        <v>62.5</v>
      </c>
      <c r="L12" cm="1">
        <f t="array" ref="L12">STOWA2024_NDJF_T(A12*60,K12,I12,J12,"")</f>
        <v>86.126640752888306</v>
      </c>
      <c r="M12">
        <f t="shared" si="8"/>
        <v>1.161080928338035E-2</v>
      </c>
    </row>
    <row r="13" spans="1:13" x14ac:dyDescent="0.3">
      <c r="A13">
        <v>24</v>
      </c>
      <c r="B13">
        <f t="shared" si="5"/>
        <v>4.8477005749819205E-3</v>
      </c>
      <c r="C13">
        <f t="shared" si="1"/>
        <v>4.8477005749819205E-3</v>
      </c>
      <c r="D13" t="s">
        <v>30</v>
      </c>
      <c r="E13" t="s">
        <v>19</v>
      </c>
      <c r="F13">
        <v>1</v>
      </c>
      <c r="G13">
        <f t="shared" si="6"/>
        <v>65</v>
      </c>
      <c r="I13">
        <v>2050</v>
      </c>
      <c r="J13" t="s">
        <v>31</v>
      </c>
      <c r="K13">
        <f t="shared" si="7"/>
        <v>67.5</v>
      </c>
      <c r="L13" cm="1">
        <f t="array" ref="L13">STOWA2024_NDJF_T(A13*60,K13,I13,J13,"")</f>
        <v>147.86099752591582</v>
      </c>
      <c r="M13">
        <f t="shared" si="8"/>
        <v>6.7631087083984296E-3</v>
      </c>
    </row>
    <row r="14" spans="1:13" x14ac:dyDescent="0.3">
      <c r="A14">
        <v>24</v>
      </c>
      <c r="B14">
        <f t="shared" si="5"/>
        <v>2.7420174340917437E-3</v>
      </c>
      <c r="C14">
        <f t="shared" si="1"/>
        <v>2.7420174340917437E-3</v>
      </c>
      <c r="D14" t="s">
        <v>30</v>
      </c>
      <c r="E14" t="s">
        <v>19</v>
      </c>
      <c r="F14">
        <v>1</v>
      </c>
      <c r="G14">
        <f t="shared" si="6"/>
        <v>70</v>
      </c>
      <c r="I14">
        <v>2050</v>
      </c>
      <c r="J14" t="s">
        <v>31</v>
      </c>
      <c r="K14">
        <f t="shared" si="7"/>
        <v>72.5</v>
      </c>
      <c r="L14" cm="1">
        <f t="array" ref="L14">STOWA2024_NDJF_T(A14*60,K14,I14,J14,"")</f>
        <v>248.68870955246331</v>
      </c>
      <c r="M14">
        <f t="shared" si="8"/>
        <v>4.0210912743066859E-3</v>
      </c>
    </row>
    <row r="15" spans="1:13" x14ac:dyDescent="0.3">
      <c r="A15">
        <v>24</v>
      </c>
      <c r="B15">
        <f t="shared" si="5"/>
        <v>1.5844390594907149E-3</v>
      </c>
      <c r="C15">
        <f t="shared" si="1"/>
        <v>1.5844390594907149E-3</v>
      </c>
      <c r="D15" t="s">
        <v>30</v>
      </c>
      <c r="E15" t="s">
        <v>19</v>
      </c>
      <c r="F15">
        <v>1</v>
      </c>
      <c r="G15">
        <f t="shared" si="6"/>
        <v>75</v>
      </c>
      <c r="I15">
        <v>2050</v>
      </c>
      <c r="J15" t="s">
        <v>31</v>
      </c>
      <c r="K15">
        <f t="shared" si="7"/>
        <v>77.5</v>
      </c>
      <c r="L15" cm="1">
        <f t="array" ref="L15">STOWA2024_NDJF_T(A15*60,K15,I15,J15,"")</f>
        <v>410.399150900378</v>
      </c>
      <c r="M15">
        <f t="shared" si="8"/>
        <v>2.4366522148159711E-3</v>
      </c>
    </row>
    <row r="16" spans="1:13" x14ac:dyDescent="0.3">
      <c r="A16">
        <v>24</v>
      </c>
      <c r="B16">
        <f t="shared" si="5"/>
        <v>9.3377926655652493E-4</v>
      </c>
      <c r="C16">
        <f t="shared" si="1"/>
        <v>9.3377926655652493E-4</v>
      </c>
      <c r="D16" t="s">
        <v>30</v>
      </c>
      <c r="E16" t="s">
        <v>19</v>
      </c>
      <c r="F16">
        <v>1</v>
      </c>
      <c r="G16">
        <f t="shared" si="6"/>
        <v>80</v>
      </c>
      <c r="I16">
        <v>2050</v>
      </c>
      <c r="J16" t="s">
        <v>31</v>
      </c>
      <c r="K16">
        <f t="shared" si="7"/>
        <v>82.5</v>
      </c>
      <c r="L16" cm="1">
        <f t="array" ref="L16">STOWA2024_NDJF_T(A16*60,K16,I16,J16,"")</f>
        <v>665.39224167828093</v>
      </c>
      <c r="M16">
        <f t="shared" si="8"/>
        <v>1.5028729482594462E-3</v>
      </c>
    </row>
    <row r="17" spans="1:13" x14ac:dyDescent="0.3">
      <c r="A17">
        <v>24</v>
      </c>
      <c r="B17">
        <f t="shared" si="5"/>
        <v>5.6054447306179401E-4</v>
      </c>
      <c r="C17">
        <f t="shared" si="1"/>
        <v>5.6054447306179401E-4</v>
      </c>
      <c r="D17" t="s">
        <v>30</v>
      </c>
      <c r="E17" t="s">
        <v>19</v>
      </c>
      <c r="F17">
        <v>1</v>
      </c>
      <c r="G17">
        <f t="shared" si="6"/>
        <v>85</v>
      </c>
      <c r="I17">
        <v>2050</v>
      </c>
      <c r="J17" t="s">
        <v>31</v>
      </c>
      <c r="K17">
        <f t="shared" si="7"/>
        <v>87.5</v>
      </c>
      <c r="L17" cm="1">
        <f t="array" ref="L17">STOWA2024_NDJF_T(A17*60,K17,I17,J17,"")</f>
        <v>1061.2010846751195</v>
      </c>
      <c r="M17">
        <f t="shared" si="8"/>
        <v>9.4232847519765215E-4</v>
      </c>
    </row>
    <row r="18" spans="1:13" x14ac:dyDescent="0.3">
      <c r="A18">
        <v>24</v>
      </c>
      <c r="B18">
        <f t="shared" si="5"/>
        <v>3.4230771635357187E-4</v>
      </c>
      <c r="C18">
        <f t="shared" si="1"/>
        <v>3.4230771635357187E-4</v>
      </c>
      <c r="D18" t="s">
        <v>30</v>
      </c>
      <c r="E18" t="s">
        <v>19</v>
      </c>
      <c r="F18">
        <v>1</v>
      </c>
      <c r="G18">
        <f t="shared" si="6"/>
        <v>90</v>
      </c>
      <c r="I18">
        <v>2050</v>
      </c>
      <c r="J18" t="s">
        <v>31</v>
      </c>
      <c r="K18">
        <f t="shared" si="7"/>
        <v>92.5</v>
      </c>
      <c r="L18" cm="1">
        <f t="array" ref="L18">STOWA2024_NDJF_T(A18*60,K18,I18,J18,"")</f>
        <v>1666.6090052058637</v>
      </c>
      <c r="M18">
        <f t="shared" si="8"/>
        <v>6.0002075884408028E-4</v>
      </c>
    </row>
    <row r="19" spans="1:13" x14ac:dyDescent="0.3">
      <c r="A19">
        <v>24</v>
      </c>
      <c r="B19">
        <f t="shared" si="5"/>
        <v>2.1242413172139422E-4</v>
      </c>
      <c r="C19">
        <f t="shared" si="1"/>
        <v>2.1242413172139422E-4</v>
      </c>
      <c r="D19" t="s">
        <v>30</v>
      </c>
      <c r="E19" t="s">
        <v>19</v>
      </c>
      <c r="F19">
        <v>1</v>
      </c>
      <c r="G19">
        <f t="shared" si="6"/>
        <v>95</v>
      </c>
      <c r="I19">
        <v>2050</v>
      </c>
      <c r="J19" t="s">
        <v>31</v>
      </c>
      <c r="K19">
        <f t="shared" si="7"/>
        <v>97.5</v>
      </c>
      <c r="L19" cm="1">
        <f t="array" ref="L19">STOWA2024_NDJF_T(A19*60,K19,I19,J19,"")</f>
        <v>2580.001811221824</v>
      </c>
      <c r="M19">
        <f t="shared" si="8"/>
        <v>3.8759662712268606E-4</v>
      </c>
    </row>
    <row r="20" spans="1:13" x14ac:dyDescent="0.3">
      <c r="A20">
        <v>24</v>
      </c>
      <c r="B20">
        <f t="shared" si="5"/>
        <v>1.3381244685002831E-4</v>
      </c>
      <c r="C20">
        <f t="shared" si="1"/>
        <v>1.3381244685002831E-4</v>
      </c>
      <c r="D20" t="s">
        <v>30</v>
      </c>
      <c r="E20" t="s">
        <v>19</v>
      </c>
      <c r="F20">
        <v>1</v>
      </c>
      <c r="G20">
        <f t="shared" si="6"/>
        <v>100</v>
      </c>
      <c r="I20">
        <v>2050</v>
      </c>
      <c r="J20" t="s">
        <v>31</v>
      </c>
      <c r="K20">
        <f t="shared" si="7"/>
        <v>102.5</v>
      </c>
      <c r="L20" cm="1">
        <f t="array" ref="L20">STOWA2024_NDJF_T(A20*60,K20,I20,J20,"")</f>
        <v>3940.3559312705438</v>
      </c>
      <c r="M20">
        <f t="shared" si="8"/>
        <v>2.5378418027265776E-4</v>
      </c>
    </row>
    <row r="21" spans="1:13" x14ac:dyDescent="0.3">
      <c r="A21">
        <v>24</v>
      </c>
      <c r="B21">
        <f t="shared" si="5"/>
        <v>8.5493261041397228E-5</v>
      </c>
      <c r="C21">
        <f t="shared" si="1"/>
        <v>8.5493261041397228E-5</v>
      </c>
      <c r="D21" t="s">
        <v>30</v>
      </c>
      <c r="E21" t="s">
        <v>19</v>
      </c>
      <c r="F21">
        <v>1</v>
      </c>
      <c r="G21">
        <f t="shared" si="6"/>
        <v>105</v>
      </c>
      <c r="I21">
        <v>2050</v>
      </c>
      <c r="J21" t="s">
        <v>31</v>
      </c>
      <c r="K21">
        <f t="shared" si="7"/>
        <v>107.5</v>
      </c>
      <c r="L21" cm="1">
        <f t="array" ref="L21">STOWA2024_NDJF_T(A21*60,K21,I21,J21,"")</f>
        <v>5942.0912582088213</v>
      </c>
      <c r="M21">
        <f t="shared" si="8"/>
        <v>1.6829091923126053E-4</v>
      </c>
    </row>
    <row r="22" spans="1:13" x14ac:dyDescent="0.3">
      <c r="A22">
        <v>24</v>
      </c>
      <c r="B22">
        <f t="shared" si="5"/>
        <v>5.5349224746748096E-5</v>
      </c>
      <c r="C22">
        <f t="shared" si="1"/>
        <v>5.5349224746748096E-5</v>
      </c>
      <c r="D22" t="s">
        <v>30</v>
      </c>
      <c r="E22" t="s">
        <v>19</v>
      </c>
      <c r="F22">
        <v>1</v>
      </c>
      <c r="G22">
        <f t="shared" si="6"/>
        <v>110</v>
      </c>
      <c r="I22">
        <v>2050</v>
      </c>
      <c r="J22" t="s">
        <v>31</v>
      </c>
      <c r="K22">
        <f t="shared" si="7"/>
        <v>112.5</v>
      </c>
      <c r="L22" cm="1">
        <f t="array" ref="L22">STOWA2024_NDJF_T(A22*60,K22,I22,J22,"")</f>
        <v>8854.1260564948298</v>
      </c>
      <c r="M22">
        <f t="shared" si="8"/>
        <v>1.1294169448451243E-4</v>
      </c>
    </row>
    <row r="23" spans="1:13" x14ac:dyDescent="0.3">
      <c r="A23">
        <v>24</v>
      </c>
      <c r="B23">
        <f t="shared" si="5"/>
        <v>3.6285370974205194E-5</v>
      </c>
      <c r="C23">
        <f t="shared" si="1"/>
        <v>3.6285370974205194E-5</v>
      </c>
      <c r="D23" t="s">
        <v>30</v>
      </c>
      <c r="E23" t="s">
        <v>19</v>
      </c>
      <c r="F23">
        <v>1</v>
      </c>
      <c r="G23">
        <f t="shared" si="6"/>
        <v>115</v>
      </c>
      <c r="I23">
        <v>2050</v>
      </c>
      <c r="J23" t="s">
        <v>31</v>
      </c>
      <c r="K23">
        <f t="shared" si="7"/>
        <v>117.5</v>
      </c>
      <c r="L23" cm="1">
        <f t="array" ref="L23">STOWA2024_NDJF_T(A23*60,K23,I23,J23,"")</f>
        <v>13045.238203545459</v>
      </c>
      <c r="M23">
        <f t="shared" si="8"/>
        <v>7.665632351030724E-5</v>
      </c>
    </row>
    <row r="24" spans="1:13" x14ac:dyDescent="0.3">
      <c r="A24">
        <v>24</v>
      </c>
      <c r="B24">
        <f t="shared" si="5"/>
        <v>2.4070083689855554E-5</v>
      </c>
      <c r="C24">
        <f t="shared" si="1"/>
        <v>2.4070083689855554E-5</v>
      </c>
      <c r="D24" t="s">
        <v>30</v>
      </c>
      <c r="E24" t="s">
        <v>19</v>
      </c>
      <c r="F24">
        <v>1</v>
      </c>
      <c r="G24">
        <f t="shared" si="6"/>
        <v>120</v>
      </c>
      <c r="I24">
        <v>2050</v>
      </c>
      <c r="J24" t="s">
        <v>31</v>
      </c>
      <c r="K24">
        <f t="shared" si="7"/>
        <v>122.5</v>
      </c>
      <c r="L24" cm="1">
        <f t="array" ref="L24">STOWA2024_NDJF_T(A24*60,K24,I24,J24,"")</f>
        <v>19016.3815365837</v>
      </c>
      <c r="M24">
        <f t="shared" si="8"/>
        <v>5.2586239820451686E-5</v>
      </c>
    </row>
    <row r="25" spans="1:13" x14ac:dyDescent="0.3">
      <c r="A25">
        <v>24</v>
      </c>
      <c r="B25">
        <f t="shared" si="5"/>
        <v>1.614620915013708E-5</v>
      </c>
      <c r="C25">
        <f t="shared" si="1"/>
        <v>1.614620915013708E-5</v>
      </c>
      <c r="D25" t="s">
        <v>30</v>
      </c>
      <c r="E25" t="s">
        <v>19</v>
      </c>
      <c r="F25">
        <v>1</v>
      </c>
      <c r="G25">
        <f t="shared" si="6"/>
        <v>125</v>
      </c>
      <c r="I25">
        <v>2050</v>
      </c>
      <c r="J25" t="s">
        <v>31</v>
      </c>
      <c r="K25">
        <f t="shared" si="7"/>
        <v>127.5</v>
      </c>
      <c r="L25" cm="1">
        <f t="array" ref="L25">STOWA2024_NDJF_T(A25*60,K25,I25,J25,"")</f>
        <v>27442.347923560803</v>
      </c>
      <c r="M25">
        <f t="shared" si="8"/>
        <v>3.6440030670314606E-5</v>
      </c>
    </row>
    <row r="26" spans="1:13" x14ac:dyDescent="0.3">
      <c r="A26">
        <v>24</v>
      </c>
      <c r="B26">
        <f t="shared" si="5"/>
        <v>1.0945954486428193E-5</v>
      </c>
      <c r="C26">
        <f t="shared" si="1"/>
        <v>1.0945954486428193E-5</v>
      </c>
      <c r="D26" t="s">
        <v>30</v>
      </c>
      <c r="E26" t="s">
        <v>19</v>
      </c>
      <c r="F26">
        <v>1</v>
      </c>
      <c r="G26">
        <f t="shared" si="6"/>
        <v>130</v>
      </c>
      <c r="I26">
        <v>2050</v>
      </c>
      <c r="J26" t="s">
        <v>31</v>
      </c>
      <c r="K26">
        <f t="shared" si="7"/>
        <v>132.5</v>
      </c>
      <c r="L26" cm="1">
        <f t="array" ref="L26">STOWA2024_NDJF_T(A26*60,K26,I26,J26,"")</f>
        <v>39224.798450710376</v>
      </c>
      <c r="M26">
        <f t="shared" si="8"/>
        <v>2.5494076183886412E-5</v>
      </c>
    </row>
    <row r="27" spans="1:13" x14ac:dyDescent="0.3">
      <c r="A27">
        <v>24</v>
      </c>
      <c r="B27">
        <f t="shared" si="5"/>
        <v>7.4953144581714994E-6</v>
      </c>
      <c r="C27">
        <f t="shared" si="1"/>
        <v>7.4953144581714994E-6</v>
      </c>
      <c r="D27" t="s">
        <v>30</v>
      </c>
      <c r="E27" t="s">
        <v>19</v>
      </c>
      <c r="F27">
        <v>1</v>
      </c>
      <c r="G27">
        <f t="shared" si="6"/>
        <v>135</v>
      </c>
      <c r="I27">
        <v>2050</v>
      </c>
      <c r="J27" t="s">
        <v>31</v>
      </c>
      <c r="K27">
        <f t="shared" si="7"/>
        <v>137.5</v>
      </c>
      <c r="L27" cm="1">
        <f t="array" ref="L27">STOWA2024_NDJF_T(A27*60,K27,I27,J27,"")</f>
        <v>55559.377652702373</v>
      </c>
      <c r="M27">
        <f t="shared" si="8"/>
        <v>1.7998761725714913E-5</v>
      </c>
    </row>
    <row r="28" spans="1:13" x14ac:dyDescent="0.3">
      <c r="A28">
        <v>24</v>
      </c>
      <c r="B28">
        <f t="shared" si="5"/>
        <v>5.1814791392019065E-6</v>
      </c>
      <c r="C28">
        <f t="shared" si="1"/>
        <v>5.1814791392019065E-6</v>
      </c>
      <c r="D28" t="s">
        <v>30</v>
      </c>
      <c r="E28" t="s">
        <v>19</v>
      </c>
      <c r="F28">
        <v>1</v>
      </c>
      <c r="G28">
        <f t="shared" si="6"/>
        <v>140</v>
      </c>
      <c r="I28">
        <v>2050</v>
      </c>
      <c r="J28" t="s">
        <v>31</v>
      </c>
      <c r="K28">
        <f t="shared" si="7"/>
        <v>142.5</v>
      </c>
      <c r="L28" cm="1">
        <f t="array" ref="L28">STOWA2024_NDJF_T(A28*60,K28,I28,J28,"")</f>
        <v>78019.657696573733</v>
      </c>
      <c r="M28">
        <f t="shared" si="8"/>
        <v>1.2817282586513007E-5</v>
      </c>
    </row>
    <row r="29" spans="1:13" x14ac:dyDescent="0.3">
      <c r="A29">
        <v>24</v>
      </c>
      <c r="B29">
        <f t="shared" si="5"/>
        <v>3.6146383016103889E-6</v>
      </c>
      <c r="C29">
        <f t="shared" si="1"/>
        <v>3.6146383016103889E-6</v>
      </c>
      <c r="D29" t="s">
        <v>30</v>
      </c>
      <c r="E29" t="s">
        <v>19</v>
      </c>
      <c r="F29">
        <v>1</v>
      </c>
      <c r="G29">
        <f t="shared" si="6"/>
        <v>145</v>
      </c>
      <c r="I29">
        <v>2050</v>
      </c>
      <c r="J29" t="s">
        <v>31</v>
      </c>
      <c r="K29">
        <f t="shared" si="7"/>
        <v>147.5</v>
      </c>
      <c r="L29" cm="1">
        <f t="array" ref="L29">STOWA2024_NDJF_T(A29*60,K29,I29,J29,"")</f>
        <v>108664.4195995436</v>
      </c>
      <c r="M29">
        <f t="shared" si="8"/>
        <v>9.2026442849026177E-6</v>
      </c>
    </row>
    <row r="30" spans="1:13" x14ac:dyDescent="0.3">
      <c r="A30">
        <v>24</v>
      </c>
      <c r="B30">
        <f t="shared" si="5"/>
        <v>2.5433680134946901E-6</v>
      </c>
      <c r="C30">
        <f t="shared" si="1"/>
        <v>2.5433680134946901E-6</v>
      </c>
      <c r="D30" t="s">
        <v>30</v>
      </c>
      <c r="E30" t="s">
        <v>19</v>
      </c>
      <c r="F30">
        <v>1</v>
      </c>
      <c r="G30">
        <f t="shared" si="6"/>
        <v>150</v>
      </c>
      <c r="I30">
        <v>2050</v>
      </c>
      <c r="J30" t="s">
        <v>31</v>
      </c>
      <c r="K30">
        <f t="shared" si="7"/>
        <v>152.5</v>
      </c>
      <c r="L30" cm="1">
        <f t="array" ref="L30">STOWA2024_NDJF_T(A30*60,K30,I30,J30,"")</f>
        <v>150166.46843344983</v>
      </c>
      <c r="M30">
        <f t="shared" si="8"/>
        <v>6.6592762714079276E-6</v>
      </c>
    </row>
    <row r="31" spans="1:13" x14ac:dyDescent="0.3">
      <c r="A31">
        <v>24</v>
      </c>
      <c r="B31">
        <f t="shared" si="5"/>
        <v>1.8043267791944657E-6</v>
      </c>
      <c r="C31">
        <f t="shared" si="1"/>
        <v>1.8043267791944657E-6</v>
      </c>
      <c r="D31" t="s">
        <v>30</v>
      </c>
      <c r="E31" t="s">
        <v>19</v>
      </c>
      <c r="F31">
        <v>1</v>
      </c>
      <c r="G31">
        <f t="shared" si="6"/>
        <v>155</v>
      </c>
      <c r="I31">
        <v>2050</v>
      </c>
      <c r="J31" t="s">
        <v>31</v>
      </c>
      <c r="K31">
        <f t="shared" si="7"/>
        <v>157.5</v>
      </c>
      <c r="L31" cm="1">
        <f t="array" ref="L31">STOWA2024_NDJF_T(A31*60,K31,I31,J31,"")</f>
        <v>205975.36629450729</v>
      </c>
      <c r="M31">
        <f t="shared" si="8"/>
        <v>4.8549494922134619E-6</v>
      </c>
    </row>
    <row r="32" spans="1:13" x14ac:dyDescent="0.3">
      <c r="A32">
        <v>24</v>
      </c>
      <c r="B32" s="1">
        <f>M31</f>
        <v>4.8549494922134619E-6</v>
      </c>
      <c r="C32">
        <f t="shared" si="1"/>
        <v>4.8549494922134619E-6</v>
      </c>
      <c r="D32" t="s">
        <v>30</v>
      </c>
      <c r="E32" t="s">
        <v>19</v>
      </c>
      <c r="F32">
        <v>1</v>
      </c>
      <c r="G32">
        <f t="shared" si="6"/>
        <v>160</v>
      </c>
      <c r="I32">
        <v>2050</v>
      </c>
      <c r="J32" t="s">
        <v>31</v>
      </c>
      <c r="K32">
        <f>AVERAGE(G32:G33)</f>
        <v>85</v>
      </c>
      <c r="L32" cm="1">
        <f t="array" ref="L32">STOWA2024_NDJF_T(A32*60,K32,I32,J32,"")</f>
        <v>841.97452393526032</v>
      </c>
      <c r="M32">
        <f>1/L32</f>
        <v>1.1876843913591979E-3</v>
      </c>
    </row>
    <row r="33" spans="1:13" x14ac:dyDescent="0.3">
      <c r="A33">
        <v>48</v>
      </c>
      <c r="B33" s="1">
        <f>365.25*24/A33 - M33</f>
        <v>166.91388954860011</v>
      </c>
      <c r="C33">
        <f>B33</f>
        <v>166.91388954860011</v>
      </c>
      <c r="D33" t="s">
        <v>30</v>
      </c>
      <c r="E33" t="s">
        <v>19</v>
      </c>
      <c r="F33">
        <v>1</v>
      </c>
      <c r="G33">
        <v>10</v>
      </c>
      <c r="I33">
        <v>2050</v>
      </c>
      <c r="J33" t="s">
        <v>31</v>
      </c>
      <c r="K33">
        <f>AVERAGE(G33:G35)</f>
        <v>15</v>
      </c>
      <c r="L33" cm="1">
        <f t="array" ref="L33">STOWA2024_NDJF_T(A33*60,K33,I33,J33,"")</f>
        <v>6.3649224737701321E-2</v>
      </c>
      <c r="M33">
        <f>1/L33</f>
        <v>15.711110451399895</v>
      </c>
    </row>
    <row r="34" spans="1:13" x14ac:dyDescent="0.3">
      <c r="A34">
        <v>48</v>
      </c>
      <c r="B34">
        <f t="shared" ref="B34:B38" si="9">M33-M34</f>
        <v>4.4338242129133771</v>
      </c>
      <c r="C34">
        <f t="shared" ref="C34:C63" si="10">B34</f>
        <v>4.4338242129133771</v>
      </c>
      <c r="D34" t="s">
        <v>30</v>
      </c>
      <c r="E34" t="s">
        <v>19</v>
      </c>
      <c r="F34">
        <v>1</v>
      </c>
      <c r="G34">
        <f t="shared" ref="G34:G38" si="11">G33+5</f>
        <v>15</v>
      </c>
      <c r="I34">
        <v>2050</v>
      </c>
      <c r="J34" t="s">
        <v>31</v>
      </c>
      <c r="K34">
        <f t="shared" ref="K34:K38" si="12">AVERAGE(G34:G35)</f>
        <v>17.5</v>
      </c>
      <c r="L34" cm="1">
        <f t="array" ref="L34">STOWA2024_NDJF_T(A34*60,K34,I34,J34,"")</f>
        <v>8.8673815566306519E-2</v>
      </c>
      <c r="M34">
        <f t="shared" ref="M34:M38" si="13">1/L34</f>
        <v>11.277286238486518</v>
      </c>
    </row>
    <row r="35" spans="1:13" x14ac:dyDescent="0.3">
      <c r="A35">
        <v>48</v>
      </c>
      <c r="B35">
        <f t="shared" si="9"/>
        <v>5.3620498249662276</v>
      </c>
      <c r="C35">
        <f t="shared" si="10"/>
        <v>5.3620498249662276</v>
      </c>
      <c r="D35" t="s">
        <v>30</v>
      </c>
      <c r="E35" t="s">
        <v>19</v>
      </c>
      <c r="F35">
        <v>1</v>
      </c>
      <c r="G35">
        <f t="shared" si="11"/>
        <v>20</v>
      </c>
      <c r="I35">
        <v>2050</v>
      </c>
      <c r="J35" t="s">
        <v>31</v>
      </c>
      <c r="K35">
        <f t="shared" si="12"/>
        <v>22.5</v>
      </c>
      <c r="L35" cm="1">
        <f t="array" ref="L35">STOWA2024_NDJF_T(A35*60,K35,I35,J35,"")</f>
        <v>0.16905495065494391</v>
      </c>
      <c r="M35">
        <f t="shared" si="13"/>
        <v>5.9152364135202902</v>
      </c>
    </row>
    <row r="36" spans="1:13" x14ac:dyDescent="0.3">
      <c r="A36">
        <v>48</v>
      </c>
      <c r="B36">
        <f t="shared" si="9"/>
        <v>2.7418462810200839</v>
      </c>
      <c r="C36">
        <f t="shared" si="10"/>
        <v>2.7418462810200839</v>
      </c>
      <c r="D36" t="s">
        <v>30</v>
      </c>
      <c r="E36" t="s">
        <v>19</v>
      </c>
      <c r="F36">
        <v>1</v>
      </c>
      <c r="G36">
        <f t="shared" si="11"/>
        <v>25</v>
      </c>
      <c r="I36">
        <v>2050</v>
      </c>
      <c r="J36" t="s">
        <v>31</v>
      </c>
      <c r="K36">
        <f t="shared" si="12"/>
        <v>27.5</v>
      </c>
      <c r="L36" cm="1">
        <f t="array" ref="L36">STOWA2024_NDJF_T(A36*60,K36,I36,J36,"")</f>
        <v>0.31512041011236586</v>
      </c>
      <c r="M36">
        <f t="shared" si="13"/>
        <v>3.1733901325002063</v>
      </c>
    </row>
    <row r="37" spans="1:13" x14ac:dyDescent="0.3">
      <c r="A37">
        <v>48</v>
      </c>
      <c r="B37">
        <f t="shared" si="9"/>
        <v>1.4348387994784466</v>
      </c>
      <c r="C37">
        <f t="shared" si="10"/>
        <v>1.4348387994784466</v>
      </c>
      <c r="D37" t="s">
        <v>30</v>
      </c>
      <c r="E37" t="s">
        <v>19</v>
      </c>
      <c r="F37">
        <v>1</v>
      </c>
      <c r="G37">
        <f t="shared" si="11"/>
        <v>30</v>
      </c>
      <c r="I37">
        <v>2050</v>
      </c>
      <c r="J37" t="s">
        <v>31</v>
      </c>
      <c r="K37">
        <f t="shared" si="12"/>
        <v>32.5</v>
      </c>
      <c r="L37" cm="1">
        <f t="array" ref="L37">STOWA2024_NDJF_T(A37*60,K37,I37,J37,"")</f>
        <v>0.57519152929577833</v>
      </c>
      <c r="M37">
        <f t="shared" si="13"/>
        <v>1.7385513330217597</v>
      </c>
    </row>
    <row r="38" spans="1:13" x14ac:dyDescent="0.3">
      <c r="A38">
        <v>48</v>
      </c>
      <c r="B38">
        <f t="shared" si="9"/>
        <v>0.76709403352614436</v>
      </c>
      <c r="C38">
        <f t="shared" si="10"/>
        <v>0.76709403352614436</v>
      </c>
      <c r="D38" t="s">
        <v>30</v>
      </c>
      <c r="E38" t="s">
        <v>19</v>
      </c>
      <c r="F38">
        <v>1</v>
      </c>
      <c r="G38">
        <f t="shared" si="11"/>
        <v>35</v>
      </c>
      <c r="I38">
        <v>2050</v>
      </c>
      <c r="J38" t="s">
        <v>31</v>
      </c>
      <c r="K38">
        <f t="shared" si="12"/>
        <v>37.5</v>
      </c>
      <c r="L38" cm="1">
        <f t="array" ref="L38">STOWA2024_NDJF_T(A38*60,K38,I38,J38,"")</f>
        <v>1.0293813228015314</v>
      </c>
      <c r="M38">
        <f t="shared" si="13"/>
        <v>0.97145729949561532</v>
      </c>
    </row>
    <row r="39" spans="1:13" x14ac:dyDescent="0.3">
      <c r="A39">
        <v>48</v>
      </c>
      <c r="B39">
        <f>M38-M39</f>
        <v>0.41862830192036071</v>
      </c>
      <c r="C39">
        <f t="shared" si="10"/>
        <v>0.41862830192036071</v>
      </c>
      <c r="D39" t="s">
        <v>30</v>
      </c>
      <c r="E39" t="s">
        <v>19</v>
      </c>
      <c r="F39">
        <v>1</v>
      </c>
      <c r="G39">
        <f>G38+5</f>
        <v>40</v>
      </c>
      <c r="I39">
        <v>2050</v>
      </c>
      <c r="J39" t="s">
        <v>31</v>
      </c>
      <c r="K39">
        <f>AVERAGE(G39:G40)</f>
        <v>42.5</v>
      </c>
      <c r="L39" cm="1">
        <f t="array" ref="L39">STOWA2024_NDJF_T(A39*60,K39,I39,J39,"")</f>
        <v>1.8088776174659211</v>
      </c>
      <c r="M39">
        <f>1/L39</f>
        <v>0.55282899757525461</v>
      </c>
    </row>
    <row r="40" spans="1:13" x14ac:dyDescent="0.3">
      <c r="A40">
        <v>48</v>
      </c>
      <c r="B40">
        <f t="shared" ref="B40:B62" si="14">M39-M40</f>
        <v>0.23275241918960216</v>
      </c>
      <c r="C40">
        <f t="shared" si="10"/>
        <v>0.23275241918960216</v>
      </c>
      <c r="D40" t="s">
        <v>30</v>
      </c>
      <c r="E40" t="s">
        <v>19</v>
      </c>
      <c r="F40">
        <v>1</v>
      </c>
      <c r="G40">
        <f t="shared" ref="G40:G63" si="15">G39+5</f>
        <v>45</v>
      </c>
      <c r="I40">
        <v>2050</v>
      </c>
      <c r="J40" t="s">
        <v>31</v>
      </c>
      <c r="K40">
        <f t="shared" ref="K40:K62" si="16">AVERAGE(G40:G41)</f>
        <v>47.5</v>
      </c>
      <c r="L40" cm="1">
        <f t="array" ref="L40">STOWA2024_NDJF_T(A40*60,K40,I40,J40,"")</f>
        <v>3.1242523431224773</v>
      </c>
      <c r="M40">
        <f t="shared" ref="M40:M62" si="17">1/L40</f>
        <v>0.32007657838565245</v>
      </c>
    </row>
    <row r="41" spans="1:13" x14ac:dyDescent="0.3">
      <c r="A41">
        <v>48</v>
      </c>
      <c r="B41">
        <f t="shared" si="14"/>
        <v>0.13172959417117935</v>
      </c>
      <c r="C41">
        <f t="shared" si="10"/>
        <v>0.13172959417117935</v>
      </c>
      <c r="D41" t="s">
        <v>30</v>
      </c>
      <c r="E41" t="s">
        <v>19</v>
      </c>
      <c r="F41">
        <v>1</v>
      </c>
      <c r="G41">
        <f t="shared" si="15"/>
        <v>50</v>
      </c>
      <c r="I41">
        <v>2050</v>
      </c>
      <c r="J41" t="s">
        <v>31</v>
      </c>
      <c r="K41">
        <f t="shared" si="16"/>
        <v>52.5</v>
      </c>
      <c r="L41" cm="1">
        <f t="array" ref="L41">STOWA2024_NDJF_T(A41*60,K41,I41,J41,"")</f>
        <v>5.3093496780457459</v>
      </c>
      <c r="M41">
        <f t="shared" si="17"/>
        <v>0.1883469842144731</v>
      </c>
    </row>
    <row r="42" spans="1:13" x14ac:dyDescent="0.3">
      <c r="A42">
        <v>48</v>
      </c>
      <c r="B42">
        <f t="shared" si="14"/>
        <v>7.5805209152411304E-2</v>
      </c>
      <c r="C42">
        <f t="shared" si="10"/>
        <v>7.5805209152411304E-2</v>
      </c>
      <c r="D42" t="s">
        <v>30</v>
      </c>
      <c r="E42" t="s">
        <v>19</v>
      </c>
      <c r="F42">
        <v>1</v>
      </c>
      <c r="G42">
        <f t="shared" si="15"/>
        <v>55</v>
      </c>
      <c r="I42">
        <v>2050</v>
      </c>
      <c r="J42" t="s">
        <v>31</v>
      </c>
      <c r="K42">
        <f t="shared" si="16"/>
        <v>57.5</v>
      </c>
      <c r="L42" cm="1">
        <f t="array" ref="L42">STOWA2024_NDJF_T(A42*60,K42,I42,J42,"")</f>
        <v>8.8855893684682368</v>
      </c>
      <c r="M42">
        <f t="shared" si="17"/>
        <v>0.1125417750620618</v>
      </c>
    </row>
    <row r="43" spans="1:13" x14ac:dyDescent="0.3">
      <c r="A43">
        <v>48</v>
      </c>
      <c r="B43">
        <f t="shared" si="14"/>
        <v>4.4318823689073111E-2</v>
      </c>
      <c r="C43">
        <f t="shared" si="10"/>
        <v>4.4318823689073111E-2</v>
      </c>
      <c r="D43" t="s">
        <v>30</v>
      </c>
      <c r="E43" t="s">
        <v>19</v>
      </c>
      <c r="F43">
        <v>1</v>
      </c>
      <c r="G43">
        <f t="shared" si="15"/>
        <v>60</v>
      </c>
      <c r="I43">
        <v>2050</v>
      </c>
      <c r="J43" t="s">
        <v>31</v>
      </c>
      <c r="K43">
        <f t="shared" si="16"/>
        <v>62.5</v>
      </c>
      <c r="L43" cm="1">
        <f t="array" ref="L43">STOWA2024_NDJF_T(A43*60,K43,I43,J43,"")</f>
        <v>14.657823794998221</v>
      </c>
      <c r="M43">
        <f t="shared" si="17"/>
        <v>6.8222951372988686E-2</v>
      </c>
    </row>
    <row r="44" spans="1:13" x14ac:dyDescent="0.3">
      <c r="A44">
        <v>48</v>
      </c>
      <c r="B44">
        <f t="shared" si="14"/>
        <v>2.6297420005502718E-2</v>
      </c>
      <c r="C44">
        <f t="shared" si="10"/>
        <v>2.6297420005502718E-2</v>
      </c>
      <c r="D44" t="s">
        <v>30</v>
      </c>
      <c r="E44" t="s">
        <v>19</v>
      </c>
      <c r="F44">
        <v>1</v>
      </c>
      <c r="G44">
        <f t="shared" si="15"/>
        <v>65</v>
      </c>
      <c r="I44">
        <v>2050</v>
      </c>
      <c r="J44" t="s">
        <v>31</v>
      </c>
      <c r="K44">
        <f t="shared" si="16"/>
        <v>67.5</v>
      </c>
      <c r="L44" cm="1">
        <f t="array" ref="L44">STOWA2024_NDJF_T(A44*60,K44,I44,J44,"")</f>
        <v>23.851814571765182</v>
      </c>
      <c r="M44">
        <f t="shared" si="17"/>
        <v>4.1925531367485967E-2</v>
      </c>
    </row>
    <row r="45" spans="1:13" x14ac:dyDescent="0.3">
      <c r="A45">
        <v>48</v>
      </c>
      <c r="B45">
        <f t="shared" si="14"/>
        <v>1.5825671027073371E-2</v>
      </c>
      <c r="C45">
        <f t="shared" si="10"/>
        <v>1.5825671027073371E-2</v>
      </c>
      <c r="D45" t="s">
        <v>30</v>
      </c>
      <c r="E45" t="s">
        <v>19</v>
      </c>
      <c r="F45">
        <v>1</v>
      </c>
      <c r="G45">
        <f t="shared" si="15"/>
        <v>70</v>
      </c>
      <c r="I45">
        <v>2050</v>
      </c>
      <c r="J45" t="s">
        <v>31</v>
      </c>
      <c r="K45">
        <f t="shared" si="16"/>
        <v>72.5</v>
      </c>
      <c r="L45" cm="1">
        <f t="array" ref="L45">STOWA2024_NDJF_T(A45*60,K45,I45,J45,"")</f>
        <v>38.3143812632444</v>
      </c>
      <c r="M45">
        <f t="shared" si="17"/>
        <v>2.6099860340412596E-2</v>
      </c>
    </row>
    <row r="46" spans="1:13" x14ac:dyDescent="0.3">
      <c r="A46">
        <v>48</v>
      </c>
      <c r="B46">
        <f t="shared" si="14"/>
        <v>9.6516228417681815E-3</v>
      </c>
      <c r="C46">
        <f t="shared" si="10"/>
        <v>9.6516228417681815E-3</v>
      </c>
      <c r="D46" t="s">
        <v>30</v>
      </c>
      <c r="E46" t="s">
        <v>19</v>
      </c>
      <c r="F46">
        <v>1</v>
      </c>
      <c r="G46">
        <f t="shared" si="15"/>
        <v>75</v>
      </c>
      <c r="I46">
        <v>2050</v>
      </c>
      <c r="J46" t="s">
        <v>31</v>
      </c>
      <c r="K46">
        <f t="shared" si="16"/>
        <v>77.5</v>
      </c>
      <c r="L46" cm="1">
        <f t="array" ref="L46">STOWA2024_NDJF_T(A46*60,K46,I46,J46,"")</f>
        <v>60.796787502759202</v>
      </c>
      <c r="M46">
        <f t="shared" si="17"/>
        <v>1.6448237498644415E-2</v>
      </c>
    </row>
    <row r="47" spans="1:13" x14ac:dyDescent="0.3">
      <c r="A47">
        <v>48</v>
      </c>
      <c r="B47">
        <f t="shared" si="14"/>
        <v>5.9610693006253365E-3</v>
      </c>
      <c r="C47">
        <f t="shared" si="10"/>
        <v>5.9610693006253365E-3</v>
      </c>
      <c r="D47" t="s">
        <v>30</v>
      </c>
      <c r="E47" t="s">
        <v>19</v>
      </c>
      <c r="F47">
        <v>1</v>
      </c>
      <c r="G47">
        <f t="shared" si="15"/>
        <v>80</v>
      </c>
      <c r="I47">
        <v>2050</v>
      </c>
      <c r="J47" t="s">
        <v>31</v>
      </c>
      <c r="K47">
        <f t="shared" si="16"/>
        <v>82.5</v>
      </c>
      <c r="L47" cm="1">
        <f t="array" ref="L47">STOWA2024_NDJF_T(A47*60,K47,I47,J47,"")</f>
        <v>95.35462587401716</v>
      </c>
      <c r="M47">
        <f t="shared" si="17"/>
        <v>1.0487168198019078E-2</v>
      </c>
    </row>
    <row r="48" spans="1:13" x14ac:dyDescent="0.3">
      <c r="A48">
        <v>48</v>
      </c>
      <c r="B48">
        <f t="shared" si="14"/>
        <v>3.7263741290377963E-3</v>
      </c>
      <c r="C48">
        <f t="shared" si="10"/>
        <v>3.7263741290377963E-3</v>
      </c>
      <c r="D48" t="s">
        <v>30</v>
      </c>
      <c r="E48" t="s">
        <v>19</v>
      </c>
      <c r="F48">
        <v>1</v>
      </c>
      <c r="G48">
        <f t="shared" si="15"/>
        <v>85</v>
      </c>
      <c r="I48">
        <v>2050</v>
      </c>
      <c r="J48" t="s">
        <v>31</v>
      </c>
      <c r="K48">
        <f t="shared" si="16"/>
        <v>87.5</v>
      </c>
      <c r="L48" cm="1">
        <f t="array" ref="L48">STOWA2024_NDJF_T(A48*60,K48,I48,J48,"")</f>
        <v>147.91161952233227</v>
      </c>
      <c r="M48">
        <f t="shared" si="17"/>
        <v>6.7607940689812821E-3</v>
      </c>
    </row>
    <row r="49" spans="1:13" x14ac:dyDescent="0.3">
      <c r="A49">
        <v>48</v>
      </c>
      <c r="B49">
        <f t="shared" si="14"/>
        <v>2.3561010503805194E-3</v>
      </c>
      <c r="C49">
        <f t="shared" si="10"/>
        <v>2.3561010503805194E-3</v>
      </c>
      <c r="D49" t="s">
        <v>30</v>
      </c>
      <c r="E49" t="s">
        <v>19</v>
      </c>
      <c r="F49">
        <v>1</v>
      </c>
      <c r="G49">
        <f t="shared" si="15"/>
        <v>90</v>
      </c>
      <c r="I49">
        <v>2050</v>
      </c>
      <c r="J49" t="s">
        <v>31</v>
      </c>
      <c r="K49">
        <f t="shared" si="16"/>
        <v>92.5</v>
      </c>
      <c r="L49" cm="1">
        <f t="array" ref="L49">STOWA2024_NDJF_T(A49*60,K49,I49,J49,"")</f>
        <v>227.03057756285355</v>
      </c>
      <c r="M49">
        <f t="shared" si="17"/>
        <v>4.4046930186007627E-3</v>
      </c>
    </row>
    <row r="50" spans="1:13" x14ac:dyDescent="0.3">
      <c r="A50">
        <v>48</v>
      </c>
      <c r="B50">
        <f t="shared" si="14"/>
        <v>1.5060580073215264E-3</v>
      </c>
      <c r="C50">
        <f t="shared" si="10"/>
        <v>1.5060580073215264E-3</v>
      </c>
      <c r="D50" t="s">
        <v>30</v>
      </c>
      <c r="E50" t="s">
        <v>19</v>
      </c>
      <c r="F50">
        <v>1</v>
      </c>
      <c r="G50">
        <f t="shared" si="15"/>
        <v>95</v>
      </c>
      <c r="I50">
        <v>2050</v>
      </c>
      <c r="J50" t="s">
        <v>31</v>
      </c>
      <c r="K50">
        <f t="shared" si="16"/>
        <v>97.5</v>
      </c>
      <c r="L50" cm="1">
        <f t="array" ref="L50">STOWA2024_NDJF_T(A50*60,K50,I50,J50,"")</f>
        <v>344.98996807420616</v>
      </c>
      <c r="M50">
        <f t="shared" si="17"/>
        <v>2.8986350112792363E-3</v>
      </c>
    </row>
    <row r="51" spans="1:13" x14ac:dyDescent="0.3">
      <c r="A51">
        <v>48</v>
      </c>
      <c r="B51">
        <f t="shared" si="14"/>
        <v>9.7274380236450956E-4</v>
      </c>
      <c r="C51">
        <f t="shared" si="10"/>
        <v>9.7274380236450956E-4</v>
      </c>
      <c r="D51" t="s">
        <v>30</v>
      </c>
      <c r="E51" t="s">
        <v>19</v>
      </c>
      <c r="F51">
        <v>1</v>
      </c>
      <c r="G51">
        <f t="shared" si="15"/>
        <v>100</v>
      </c>
      <c r="I51">
        <v>2050</v>
      </c>
      <c r="J51" t="s">
        <v>31</v>
      </c>
      <c r="K51">
        <f t="shared" si="16"/>
        <v>102.5</v>
      </c>
      <c r="L51" cm="1">
        <f t="array" ref="L51">STOWA2024_NDJF_T(A51*60,K51,I51,J51,"")</f>
        <v>519.24012912625392</v>
      </c>
      <c r="M51">
        <f t="shared" si="17"/>
        <v>1.9258912089147268E-3</v>
      </c>
    </row>
    <row r="52" spans="1:13" x14ac:dyDescent="0.3">
      <c r="A52">
        <v>48</v>
      </c>
      <c r="B52">
        <f t="shared" si="14"/>
        <v>6.3454081871844141E-4</v>
      </c>
      <c r="C52">
        <f t="shared" si="10"/>
        <v>6.3454081871844141E-4</v>
      </c>
      <c r="D52" t="s">
        <v>30</v>
      </c>
      <c r="E52" t="s">
        <v>19</v>
      </c>
      <c r="F52">
        <v>1</v>
      </c>
      <c r="G52">
        <f t="shared" si="15"/>
        <v>105</v>
      </c>
      <c r="I52">
        <v>2050</v>
      </c>
      <c r="J52" t="s">
        <v>31</v>
      </c>
      <c r="K52">
        <f t="shared" si="16"/>
        <v>107.5</v>
      </c>
      <c r="L52" cm="1">
        <f t="array" ref="L52">STOWA2024_NDJF_T(A52*60,K52,I52,J52,"")</f>
        <v>774.38316323116601</v>
      </c>
      <c r="M52">
        <f t="shared" si="17"/>
        <v>1.2913503901962854E-3</v>
      </c>
    </row>
    <row r="53" spans="1:13" x14ac:dyDescent="0.3">
      <c r="A53">
        <v>48</v>
      </c>
      <c r="B53">
        <f t="shared" si="14"/>
        <v>4.1786305218631124E-4</v>
      </c>
      <c r="C53">
        <f t="shared" si="10"/>
        <v>4.1786305218631124E-4</v>
      </c>
      <c r="D53" t="s">
        <v>30</v>
      </c>
      <c r="E53" t="s">
        <v>19</v>
      </c>
      <c r="F53">
        <v>1</v>
      </c>
      <c r="G53">
        <f t="shared" si="15"/>
        <v>110</v>
      </c>
      <c r="I53">
        <v>2050</v>
      </c>
      <c r="J53" t="s">
        <v>31</v>
      </c>
      <c r="K53">
        <f t="shared" si="16"/>
        <v>112.5</v>
      </c>
      <c r="L53" cm="1">
        <f t="array" ref="L53">STOWA2024_NDJF_T(A53*60,K53,I53,J53,"")</f>
        <v>1144.8362860968928</v>
      </c>
      <c r="M53">
        <f t="shared" si="17"/>
        <v>8.7348733800997412E-4</v>
      </c>
    </row>
    <row r="54" spans="1:13" x14ac:dyDescent="0.3">
      <c r="A54">
        <v>48</v>
      </c>
      <c r="B54">
        <f t="shared" si="14"/>
        <v>2.7767907740696893E-4</v>
      </c>
      <c r="C54">
        <f t="shared" si="10"/>
        <v>2.7767907740696893E-4</v>
      </c>
      <c r="D54" t="s">
        <v>30</v>
      </c>
      <c r="E54" t="s">
        <v>19</v>
      </c>
      <c r="F54">
        <v>1</v>
      </c>
      <c r="G54">
        <f t="shared" si="15"/>
        <v>115</v>
      </c>
      <c r="I54">
        <v>2050</v>
      </c>
      <c r="J54" t="s">
        <v>31</v>
      </c>
      <c r="K54">
        <f t="shared" si="16"/>
        <v>117.5</v>
      </c>
      <c r="L54" cm="1">
        <f t="array" ref="L54">STOWA2024_NDJF_T(A54*60,K54,I54,J54,"")</f>
        <v>1678.39230524921</v>
      </c>
      <c r="M54">
        <f t="shared" si="17"/>
        <v>5.9580826060300518E-4</v>
      </c>
    </row>
    <row r="55" spans="1:13" x14ac:dyDescent="0.3">
      <c r="A55">
        <v>48</v>
      </c>
      <c r="B55">
        <f t="shared" si="14"/>
        <v>1.8613154496754133E-4</v>
      </c>
      <c r="C55">
        <f t="shared" si="10"/>
        <v>1.8613154496754133E-4</v>
      </c>
      <c r="D55" t="s">
        <v>30</v>
      </c>
      <c r="E55" t="s">
        <v>19</v>
      </c>
      <c r="F55">
        <v>1</v>
      </c>
      <c r="G55">
        <f t="shared" si="15"/>
        <v>120</v>
      </c>
      <c r="I55">
        <v>2050</v>
      </c>
      <c r="J55" t="s">
        <v>31</v>
      </c>
      <c r="K55">
        <f t="shared" si="16"/>
        <v>122.5</v>
      </c>
      <c r="L55" cm="1">
        <f t="array" ref="L55">STOWA2024_NDJF_T(A55*60,K55,I55,J55,"")</f>
        <v>2440.9490748061312</v>
      </c>
      <c r="M55">
        <f t="shared" si="17"/>
        <v>4.0967671563546385E-4</v>
      </c>
    </row>
    <row r="56" spans="1:13" x14ac:dyDescent="0.3">
      <c r="A56">
        <v>48</v>
      </c>
      <c r="B56">
        <f t="shared" si="14"/>
        <v>1.2580601410265704E-4</v>
      </c>
      <c r="C56">
        <f t="shared" si="10"/>
        <v>1.2580601410265704E-4</v>
      </c>
      <c r="D56" t="s">
        <v>30</v>
      </c>
      <c r="E56" t="s">
        <v>19</v>
      </c>
      <c r="F56">
        <v>1</v>
      </c>
      <c r="G56">
        <f t="shared" si="15"/>
        <v>125</v>
      </c>
      <c r="I56">
        <v>2050</v>
      </c>
      <c r="J56" t="s">
        <v>31</v>
      </c>
      <c r="K56">
        <f t="shared" si="16"/>
        <v>127.5</v>
      </c>
      <c r="L56" cm="1">
        <f t="array" ref="L56">STOWA2024_NDJF_T(A56*60,K56,I56,J56,"")</f>
        <v>3522.7305762811538</v>
      </c>
      <c r="M56">
        <f t="shared" si="17"/>
        <v>2.8387070153280681E-4</v>
      </c>
    </row>
    <row r="57" spans="1:13" x14ac:dyDescent="0.3">
      <c r="A57">
        <v>48</v>
      </c>
      <c r="B57">
        <f t="shared" si="14"/>
        <v>8.5716164915034595E-5</v>
      </c>
      <c r="C57">
        <f t="shared" si="10"/>
        <v>8.5716164915034595E-5</v>
      </c>
      <c r="D57" t="s">
        <v>30</v>
      </c>
      <c r="E57" t="s">
        <v>19</v>
      </c>
      <c r="F57">
        <v>1</v>
      </c>
      <c r="G57">
        <f t="shared" si="15"/>
        <v>130</v>
      </c>
      <c r="I57">
        <v>2050</v>
      </c>
      <c r="J57" t="s">
        <v>31</v>
      </c>
      <c r="K57">
        <f t="shared" si="16"/>
        <v>132.5</v>
      </c>
      <c r="L57" cm="1">
        <f t="array" ref="L57">STOWA2024_NDJF_T(A57*60,K57,I57,J57,"")</f>
        <v>5046.566266251768</v>
      </c>
      <c r="M57">
        <f t="shared" si="17"/>
        <v>1.9815453661777222E-4</v>
      </c>
    </row>
    <row r="58" spans="1:13" x14ac:dyDescent="0.3">
      <c r="A58">
        <v>48</v>
      </c>
      <c r="B58">
        <f t="shared" si="14"/>
        <v>5.8848238355018465E-5</v>
      </c>
      <c r="C58">
        <f t="shared" si="10"/>
        <v>5.8848238355018465E-5</v>
      </c>
      <c r="D58" t="s">
        <v>30</v>
      </c>
      <c r="E58" t="s">
        <v>19</v>
      </c>
      <c r="F58">
        <v>1</v>
      </c>
      <c r="G58">
        <f t="shared" si="15"/>
        <v>135</v>
      </c>
      <c r="I58">
        <v>2050</v>
      </c>
      <c r="J58" t="s">
        <v>31</v>
      </c>
      <c r="K58">
        <f t="shared" si="16"/>
        <v>137.5</v>
      </c>
      <c r="L58" cm="1">
        <f t="array" ref="L58">STOWA2024_NDJF_T(A58*60,K58,I58,J58,"")</f>
        <v>7178.4263344205838</v>
      </c>
      <c r="M58">
        <f t="shared" si="17"/>
        <v>1.3930629826275375E-4</v>
      </c>
    </row>
    <row r="59" spans="1:13" x14ac:dyDescent="0.3">
      <c r="A59">
        <v>48</v>
      </c>
      <c r="B59">
        <f t="shared" si="14"/>
        <v>4.0701346720369377E-5</v>
      </c>
      <c r="C59">
        <f t="shared" si="10"/>
        <v>4.0701346720369377E-5</v>
      </c>
      <c r="D59" t="s">
        <v>30</v>
      </c>
      <c r="E59" t="s">
        <v>19</v>
      </c>
      <c r="F59">
        <v>1</v>
      </c>
      <c r="G59">
        <f t="shared" si="15"/>
        <v>140</v>
      </c>
      <c r="I59">
        <v>2050</v>
      </c>
      <c r="J59" t="s">
        <v>31</v>
      </c>
      <c r="K59">
        <f t="shared" si="16"/>
        <v>142.5</v>
      </c>
      <c r="L59" cm="1">
        <f t="array" ref="L59">STOWA2024_NDJF_T(A59*60,K59,I59,J59,"")</f>
        <v>10141.478539951006</v>
      </c>
      <c r="M59">
        <f t="shared" si="17"/>
        <v>9.8604951542384376E-5</v>
      </c>
    </row>
    <row r="60" spans="1:13" x14ac:dyDescent="0.3">
      <c r="A60">
        <v>48</v>
      </c>
      <c r="B60">
        <f t="shared" si="14"/>
        <v>2.835065318659769E-5</v>
      </c>
      <c r="C60">
        <f t="shared" si="10"/>
        <v>2.835065318659769E-5</v>
      </c>
      <c r="D60" t="s">
        <v>30</v>
      </c>
      <c r="E60" t="s">
        <v>19</v>
      </c>
      <c r="F60">
        <v>1</v>
      </c>
      <c r="G60">
        <f t="shared" si="15"/>
        <v>145</v>
      </c>
      <c r="I60">
        <v>2050</v>
      </c>
      <c r="J60" t="s">
        <v>31</v>
      </c>
      <c r="K60">
        <f t="shared" si="16"/>
        <v>147.5</v>
      </c>
      <c r="L60" cm="1">
        <f t="array" ref="L60">STOWA2024_NDJF_T(A60*60,K60,I60,J60,"")</f>
        <v>14234.004515079358</v>
      </c>
      <c r="M60">
        <f t="shared" si="17"/>
        <v>7.0254298355786686E-5</v>
      </c>
    </row>
    <row r="61" spans="1:13" x14ac:dyDescent="0.3">
      <c r="A61">
        <v>48</v>
      </c>
      <c r="B61">
        <f t="shared" si="14"/>
        <v>1.988193083016358E-5</v>
      </c>
      <c r="C61">
        <f t="shared" si="10"/>
        <v>1.988193083016358E-5</v>
      </c>
      <c r="D61" t="s">
        <v>30</v>
      </c>
      <c r="E61" t="s">
        <v>19</v>
      </c>
      <c r="F61">
        <v>1</v>
      </c>
      <c r="G61">
        <f t="shared" si="15"/>
        <v>150</v>
      </c>
      <c r="I61">
        <v>2050</v>
      </c>
      <c r="J61" t="s">
        <v>31</v>
      </c>
      <c r="K61">
        <f t="shared" si="16"/>
        <v>152.5</v>
      </c>
      <c r="L61" cm="1">
        <f t="array" ref="L61">STOWA2024_NDJF_T(A61*60,K61,I61,J61,"")</f>
        <v>19852.154050359579</v>
      </c>
      <c r="M61">
        <f t="shared" si="17"/>
        <v>5.0372367525623106E-5</v>
      </c>
    </row>
    <row r="62" spans="1:13" x14ac:dyDescent="0.3">
      <c r="A62">
        <v>48</v>
      </c>
      <c r="B62">
        <f t="shared" si="14"/>
        <v>1.4034939776332513E-5</v>
      </c>
      <c r="C62">
        <f t="shared" si="10"/>
        <v>1.4034939776332513E-5</v>
      </c>
      <c r="D62" t="s">
        <v>30</v>
      </c>
      <c r="E62" t="s">
        <v>19</v>
      </c>
      <c r="F62">
        <v>1</v>
      </c>
      <c r="G62">
        <f t="shared" si="15"/>
        <v>155</v>
      </c>
      <c r="I62">
        <v>2050</v>
      </c>
      <c r="J62" t="s">
        <v>31</v>
      </c>
      <c r="K62">
        <f t="shared" si="16"/>
        <v>157.5</v>
      </c>
      <c r="L62" cm="1">
        <f t="array" ref="L62">STOWA2024_NDJF_T(A62*60,K62,I62,J62,"")</f>
        <v>27519.834560098239</v>
      </c>
      <c r="M62">
        <f t="shared" si="17"/>
        <v>3.6337427749290593E-5</v>
      </c>
    </row>
    <row r="63" spans="1:13" x14ac:dyDescent="0.3">
      <c r="A63">
        <v>48</v>
      </c>
      <c r="B63" s="1">
        <f>M62</f>
        <v>3.6337427749290593E-5</v>
      </c>
      <c r="C63">
        <f t="shared" si="10"/>
        <v>3.6337427749290593E-5</v>
      </c>
      <c r="D63" t="s">
        <v>30</v>
      </c>
      <c r="E63" t="s">
        <v>19</v>
      </c>
      <c r="F63">
        <v>1</v>
      </c>
      <c r="G63">
        <f t="shared" si="15"/>
        <v>160</v>
      </c>
      <c r="I63">
        <v>2050</v>
      </c>
      <c r="J63" t="s">
        <v>31</v>
      </c>
      <c r="K63">
        <f>AVERAGE(G63:G64)</f>
        <v>85</v>
      </c>
      <c r="L63" cm="1">
        <f t="array" ref="L63">STOWA2024_NDJF_T(A63*60,K63,I63,J63,"")</f>
        <v>118.92081685790053</v>
      </c>
      <c r="M63">
        <f>1/L63</f>
        <v>8.4089567026343938E-3</v>
      </c>
    </row>
    <row r="64" spans="1:13" x14ac:dyDescent="0.3">
      <c r="A64">
        <v>96</v>
      </c>
      <c r="B64" s="1">
        <f>365.25*24/A64 - M64</f>
        <v>69.0358511719962</v>
      </c>
      <c r="C64">
        <f>B64</f>
        <v>69.0358511719962</v>
      </c>
      <c r="D64" t="s">
        <v>30</v>
      </c>
      <c r="E64" t="s">
        <v>19</v>
      </c>
      <c r="F64">
        <v>1</v>
      </c>
      <c r="G64">
        <v>10</v>
      </c>
      <c r="I64">
        <v>2050</v>
      </c>
      <c r="J64" t="s">
        <v>31</v>
      </c>
      <c r="K64">
        <f>AVERAGE(G64:G66)</f>
        <v>15</v>
      </c>
      <c r="L64" cm="1">
        <f t="array" ref="L64">STOWA2024_NDJF_T(A64*60,K64,I64,J64,"")</f>
        <v>4.4890055399307079E-2</v>
      </c>
      <c r="M64">
        <f>1/L64</f>
        <v>22.276648828003808</v>
      </c>
    </row>
    <row r="65" spans="1:13" x14ac:dyDescent="0.3">
      <c r="A65">
        <v>96</v>
      </c>
      <c r="B65">
        <f t="shared" ref="B65:B69" si="18">M64-M65</f>
        <v>4.5184046239264788</v>
      </c>
      <c r="C65">
        <f t="shared" ref="C65:C94" si="19">B65</f>
        <v>4.5184046239264788</v>
      </c>
      <c r="D65" t="s">
        <v>30</v>
      </c>
      <c r="E65" t="s">
        <v>19</v>
      </c>
      <c r="F65">
        <v>1</v>
      </c>
      <c r="G65">
        <f t="shared" ref="G65:G69" si="20">G64+5</f>
        <v>15</v>
      </c>
      <c r="I65">
        <v>2050</v>
      </c>
      <c r="J65" t="s">
        <v>31</v>
      </c>
      <c r="K65">
        <f t="shared" ref="K65:K69" si="21">AVERAGE(G65:G66)</f>
        <v>17.5</v>
      </c>
      <c r="L65" cm="1">
        <f t="array" ref="L65">STOWA2024_NDJF_T(A65*60,K65,I65,J65,"")</f>
        <v>5.631187343230689E-2</v>
      </c>
      <c r="M65">
        <f t="shared" ref="M65:M69" si="22">1/L65</f>
        <v>17.758244204077329</v>
      </c>
    </row>
    <row r="66" spans="1:13" x14ac:dyDescent="0.3">
      <c r="A66">
        <v>96</v>
      </c>
      <c r="B66">
        <f t="shared" si="18"/>
        <v>6.4353568132077719</v>
      </c>
      <c r="C66">
        <f t="shared" si="19"/>
        <v>6.4353568132077719</v>
      </c>
      <c r="D66" t="s">
        <v>30</v>
      </c>
      <c r="E66" t="s">
        <v>19</v>
      </c>
      <c r="F66">
        <v>1</v>
      </c>
      <c r="G66">
        <f t="shared" si="20"/>
        <v>20</v>
      </c>
      <c r="I66">
        <v>2050</v>
      </c>
      <c r="J66" t="s">
        <v>31</v>
      </c>
      <c r="K66">
        <f t="shared" si="21"/>
        <v>22.5</v>
      </c>
      <c r="L66" cm="1">
        <f t="array" ref="L66">STOWA2024_NDJF_T(A66*60,K66,I66,J66,"")</f>
        <v>8.8316695687212302E-2</v>
      </c>
      <c r="M66">
        <f t="shared" si="22"/>
        <v>11.322887390869557</v>
      </c>
    </row>
    <row r="67" spans="1:13" x14ac:dyDescent="0.3">
      <c r="A67">
        <v>96</v>
      </c>
      <c r="B67">
        <f t="shared" si="18"/>
        <v>4.0714158606379991</v>
      </c>
      <c r="C67">
        <f t="shared" si="19"/>
        <v>4.0714158606379991</v>
      </c>
      <c r="D67" t="s">
        <v>30</v>
      </c>
      <c r="E67" t="s">
        <v>19</v>
      </c>
      <c r="F67">
        <v>1</v>
      </c>
      <c r="G67">
        <f t="shared" si="20"/>
        <v>25</v>
      </c>
      <c r="I67">
        <v>2050</v>
      </c>
      <c r="J67" t="s">
        <v>31</v>
      </c>
      <c r="K67">
        <f t="shared" si="21"/>
        <v>27.5</v>
      </c>
      <c r="L67" cm="1">
        <f t="array" ref="L67">STOWA2024_NDJF_T(A67*60,K67,I67,J67,"")</f>
        <v>0.1379030443449962</v>
      </c>
      <c r="M67">
        <f t="shared" si="22"/>
        <v>7.2514715302315578</v>
      </c>
    </row>
    <row r="68" spans="1:13" x14ac:dyDescent="0.3">
      <c r="A68">
        <v>96</v>
      </c>
      <c r="B68">
        <f t="shared" si="18"/>
        <v>2.5872108713234034</v>
      </c>
      <c r="C68">
        <f t="shared" si="19"/>
        <v>2.5872108713234034</v>
      </c>
      <c r="D68" t="s">
        <v>30</v>
      </c>
      <c r="E68" t="s">
        <v>19</v>
      </c>
      <c r="F68">
        <v>1</v>
      </c>
      <c r="G68">
        <f t="shared" si="20"/>
        <v>30</v>
      </c>
      <c r="I68">
        <v>2050</v>
      </c>
      <c r="J68" t="s">
        <v>31</v>
      </c>
      <c r="K68">
        <f t="shared" si="21"/>
        <v>32.5</v>
      </c>
      <c r="L68" cm="1">
        <f t="array" ref="L68">STOWA2024_NDJF_T(A68*60,K68,I68,J68,"")</f>
        <v>0.21439625122368003</v>
      </c>
      <c r="M68">
        <f t="shared" si="22"/>
        <v>4.6642606589081543</v>
      </c>
    </row>
    <row r="69" spans="1:13" x14ac:dyDescent="0.3">
      <c r="A69">
        <v>96</v>
      </c>
      <c r="B69">
        <f t="shared" si="18"/>
        <v>1.6513969630130267</v>
      </c>
      <c r="C69">
        <f t="shared" si="19"/>
        <v>1.6513969630130267</v>
      </c>
      <c r="D69" t="s">
        <v>30</v>
      </c>
      <c r="E69" t="s">
        <v>19</v>
      </c>
      <c r="F69">
        <v>1</v>
      </c>
      <c r="G69">
        <f t="shared" si="20"/>
        <v>35</v>
      </c>
      <c r="I69">
        <v>2050</v>
      </c>
      <c r="J69" t="s">
        <v>31</v>
      </c>
      <c r="K69">
        <f t="shared" si="21"/>
        <v>37.5</v>
      </c>
      <c r="L69" cm="1">
        <f t="array" ref="L69">STOWA2024_NDJF_T(A69*60,K69,I69,J69,"")</f>
        <v>0.3319101363139822</v>
      </c>
      <c r="M69">
        <f t="shared" si="22"/>
        <v>3.0128636958951276</v>
      </c>
    </row>
    <row r="70" spans="1:13" x14ac:dyDescent="0.3">
      <c r="A70">
        <v>96</v>
      </c>
      <c r="B70">
        <f>M69-M70</f>
        <v>1.0585992310790706</v>
      </c>
      <c r="C70">
        <f t="shared" si="19"/>
        <v>1.0585992310790706</v>
      </c>
      <c r="D70" t="s">
        <v>30</v>
      </c>
      <c r="E70" t="s">
        <v>19</v>
      </c>
      <c r="F70">
        <v>1</v>
      </c>
      <c r="G70">
        <f>G69+5</f>
        <v>40</v>
      </c>
      <c r="I70">
        <v>2050</v>
      </c>
      <c r="J70" t="s">
        <v>31</v>
      </c>
      <c r="K70">
        <f>AVERAGE(G70:G71)</f>
        <v>42.5</v>
      </c>
      <c r="L70" cm="1">
        <f t="array" ref="L70">STOWA2024_NDJF_T(A70*60,K70,I70,J70,"")</f>
        <v>0.51170147029927393</v>
      </c>
      <c r="M70">
        <f>1/L70</f>
        <v>1.954264464816057</v>
      </c>
    </row>
    <row r="71" spans="1:13" x14ac:dyDescent="0.3">
      <c r="A71">
        <v>96</v>
      </c>
      <c r="B71">
        <f t="shared" ref="B71:B93" si="23">M70-M71</f>
        <v>0.68147374843523423</v>
      </c>
      <c r="C71">
        <f t="shared" si="19"/>
        <v>0.68147374843523423</v>
      </c>
      <c r="D71" t="s">
        <v>30</v>
      </c>
      <c r="E71" t="s">
        <v>19</v>
      </c>
      <c r="F71">
        <v>1</v>
      </c>
      <c r="G71">
        <f t="shared" ref="G71:G94" si="24">G70+5</f>
        <v>45</v>
      </c>
      <c r="I71">
        <v>2050</v>
      </c>
      <c r="J71" t="s">
        <v>31</v>
      </c>
      <c r="K71">
        <f t="shared" ref="K71:K93" si="25">AVERAGE(G71:G72)</f>
        <v>47.5</v>
      </c>
      <c r="L71" cm="1">
        <f t="array" ref="L71">STOWA2024_NDJF_T(A71*60,K71,I71,J71,"")</f>
        <v>0.78567512092129144</v>
      </c>
      <c r="M71">
        <f t="shared" ref="M71:M93" si="26">1/L71</f>
        <v>1.2727907163808228</v>
      </c>
    </row>
    <row r="72" spans="1:13" x14ac:dyDescent="0.3">
      <c r="A72">
        <v>96</v>
      </c>
      <c r="B72">
        <f t="shared" si="23"/>
        <v>0.44041231277718307</v>
      </c>
      <c r="C72">
        <f t="shared" si="19"/>
        <v>0.44041231277718307</v>
      </c>
      <c r="D72" t="s">
        <v>30</v>
      </c>
      <c r="E72" t="s">
        <v>19</v>
      </c>
      <c r="F72">
        <v>1</v>
      </c>
      <c r="G72">
        <f t="shared" si="24"/>
        <v>50</v>
      </c>
      <c r="I72">
        <v>2050</v>
      </c>
      <c r="J72" t="s">
        <v>31</v>
      </c>
      <c r="K72">
        <f t="shared" si="25"/>
        <v>52.5</v>
      </c>
      <c r="L72" cm="1">
        <f t="array" ref="L72">STOWA2024_NDJF_T(A72*60,K72,I72,J72,"")</f>
        <v>1.2013766763657867</v>
      </c>
      <c r="M72">
        <f t="shared" si="26"/>
        <v>0.83237840360363968</v>
      </c>
    </row>
    <row r="73" spans="1:13" x14ac:dyDescent="0.3">
      <c r="A73">
        <v>96</v>
      </c>
      <c r="B73">
        <f t="shared" si="23"/>
        <v>0.28593080998655196</v>
      </c>
      <c r="C73">
        <f t="shared" si="19"/>
        <v>0.28593080998655196</v>
      </c>
      <c r="D73" t="s">
        <v>30</v>
      </c>
      <c r="E73" t="s">
        <v>19</v>
      </c>
      <c r="F73">
        <v>1</v>
      </c>
      <c r="G73">
        <f t="shared" si="24"/>
        <v>55</v>
      </c>
      <c r="I73">
        <v>2050</v>
      </c>
      <c r="J73" t="s">
        <v>31</v>
      </c>
      <c r="K73">
        <f t="shared" si="25"/>
        <v>57.5</v>
      </c>
      <c r="L73" cm="1">
        <f t="array" ref="L73">STOWA2024_NDJF_T(A73*60,K73,I73,J73,"")</f>
        <v>1.8300016537372292</v>
      </c>
      <c r="M73">
        <f t="shared" si="26"/>
        <v>0.54644759361708772</v>
      </c>
    </row>
    <row r="74" spans="1:13" x14ac:dyDescent="0.3">
      <c r="A74">
        <v>96</v>
      </c>
      <c r="B74">
        <f t="shared" si="23"/>
        <v>0.18632395304491567</v>
      </c>
      <c r="C74">
        <f t="shared" si="19"/>
        <v>0.18632395304491567</v>
      </c>
      <c r="D74" t="s">
        <v>30</v>
      </c>
      <c r="E74" t="s">
        <v>19</v>
      </c>
      <c r="F74">
        <v>1</v>
      </c>
      <c r="G74">
        <f t="shared" si="24"/>
        <v>60</v>
      </c>
      <c r="I74">
        <v>2050</v>
      </c>
      <c r="J74" t="s">
        <v>31</v>
      </c>
      <c r="K74">
        <f t="shared" si="25"/>
        <v>62.5</v>
      </c>
      <c r="L74" cm="1">
        <f t="array" ref="L74">STOWA2024_NDJF_T(A74*60,K74,I74,J74,"")</f>
        <v>2.7768240885579711</v>
      </c>
      <c r="M74">
        <f t="shared" si="26"/>
        <v>0.36012364057217205</v>
      </c>
    </row>
    <row r="75" spans="1:13" x14ac:dyDescent="0.3">
      <c r="A75">
        <v>96</v>
      </c>
      <c r="B75">
        <f t="shared" si="23"/>
        <v>0.12189014289375261</v>
      </c>
      <c r="C75">
        <f t="shared" si="19"/>
        <v>0.12189014289375261</v>
      </c>
      <c r="D75" t="s">
        <v>30</v>
      </c>
      <c r="E75" t="s">
        <v>19</v>
      </c>
      <c r="F75">
        <v>1</v>
      </c>
      <c r="G75">
        <f t="shared" si="24"/>
        <v>65</v>
      </c>
      <c r="I75">
        <v>2050</v>
      </c>
      <c r="J75" t="s">
        <v>31</v>
      </c>
      <c r="K75">
        <f t="shared" si="25"/>
        <v>67.5</v>
      </c>
      <c r="L75" cm="1">
        <f t="array" ref="L75">STOWA2024_NDJF_T(A75*60,K75,I75,J75,"")</f>
        <v>4.1975625163756547</v>
      </c>
      <c r="M75">
        <f t="shared" si="26"/>
        <v>0.23823349767841945</v>
      </c>
    </row>
    <row r="76" spans="1:13" x14ac:dyDescent="0.3">
      <c r="A76">
        <v>96</v>
      </c>
      <c r="B76">
        <f t="shared" si="23"/>
        <v>8.0045469086606258E-2</v>
      </c>
      <c r="C76">
        <f t="shared" si="19"/>
        <v>8.0045469086606258E-2</v>
      </c>
      <c r="D76" t="s">
        <v>30</v>
      </c>
      <c r="E76" t="s">
        <v>19</v>
      </c>
      <c r="F76">
        <v>1</v>
      </c>
      <c r="G76">
        <f t="shared" si="24"/>
        <v>70</v>
      </c>
      <c r="I76">
        <v>2050</v>
      </c>
      <c r="J76" t="s">
        <v>31</v>
      </c>
      <c r="K76">
        <f t="shared" si="25"/>
        <v>72.5</v>
      </c>
      <c r="L76" cm="1">
        <f t="array" ref="L76">STOWA2024_NDJF_T(A76*60,K76,I76,J76,"")</f>
        <v>6.321590887135903</v>
      </c>
      <c r="M76">
        <f t="shared" si="26"/>
        <v>0.15818802859181319</v>
      </c>
    </row>
    <row r="77" spans="1:13" x14ac:dyDescent="0.3">
      <c r="A77">
        <v>96</v>
      </c>
      <c r="B77">
        <f t="shared" si="23"/>
        <v>5.2767116021828653E-2</v>
      </c>
      <c r="C77">
        <f t="shared" si="19"/>
        <v>5.2767116021828653E-2</v>
      </c>
      <c r="D77" t="s">
        <v>30</v>
      </c>
      <c r="E77" t="s">
        <v>19</v>
      </c>
      <c r="F77">
        <v>1</v>
      </c>
      <c r="G77">
        <f t="shared" si="24"/>
        <v>75</v>
      </c>
      <c r="I77">
        <v>2050</v>
      </c>
      <c r="J77" t="s">
        <v>31</v>
      </c>
      <c r="K77">
        <f t="shared" si="25"/>
        <v>77.5</v>
      </c>
      <c r="L77" cm="1">
        <f t="array" ref="L77">STOWA2024_NDJF_T(A77*60,K77,I77,J77,"")</f>
        <v>9.4857839457246378</v>
      </c>
      <c r="M77">
        <f t="shared" si="26"/>
        <v>0.10542091256998454</v>
      </c>
    </row>
    <row r="78" spans="1:13" x14ac:dyDescent="0.3">
      <c r="A78">
        <v>96</v>
      </c>
      <c r="B78">
        <f t="shared" si="23"/>
        <v>3.4912130971739577E-2</v>
      </c>
      <c r="C78">
        <f t="shared" si="19"/>
        <v>3.4912130971739577E-2</v>
      </c>
      <c r="D78" t="s">
        <v>30</v>
      </c>
      <c r="E78" t="s">
        <v>19</v>
      </c>
      <c r="F78">
        <v>1</v>
      </c>
      <c r="G78">
        <f t="shared" si="24"/>
        <v>80</v>
      </c>
      <c r="I78">
        <v>2050</v>
      </c>
      <c r="J78" t="s">
        <v>31</v>
      </c>
      <c r="K78">
        <f t="shared" si="25"/>
        <v>82.5</v>
      </c>
      <c r="L78" cm="1">
        <f t="array" ref="L78">STOWA2024_NDJF_T(A78*60,K78,I78,J78,"")</f>
        <v>14.182630550871568</v>
      </c>
      <c r="M78">
        <f t="shared" si="26"/>
        <v>7.050878159824496E-2</v>
      </c>
    </row>
    <row r="79" spans="1:13" x14ac:dyDescent="0.3">
      <c r="A79">
        <v>96</v>
      </c>
      <c r="B79">
        <f t="shared" si="23"/>
        <v>2.318369919504501E-2</v>
      </c>
      <c r="C79">
        <f t="shared" si="19"/>
        <v>2.318369919504501E-2</v>
      </c>
      <c r="D79" t="s">
        <v>30</v>
      </c>
      <c r="E79" t="s">
        <v>19</v>
      </c>
      <c r="F79">
        <v>1</v>
      </c>
      <c r="G79">
        <f t="shared" si="24"/>
        <v>85</v>
      </c>
      <c r="I79">
        <v>2050</v>
      </c>
      <c r="J79" t="s">
        <v>31</v>
      </c>
      <c r="K79">
        <f t="shared" si="25"/>
        <v>87.5</v>
      </c>
      <c r="L79" cm="1">
        <f t="array" ref="L79">STOWA2024_NDJF_T(A79*60,K79,I79,J79,"")</f>
        <v>21.130443925701091</v>
      </c>
      <c r="M79">
        <f t="shared" si="26"/>
        <v>4.732508240319995E-2</v>
      </c>
    </row>
    <row r="80" spans="1:13" x14ac:dyDescent="0.3">
      <c r="A80">
        <v>96</v>
      </c>
      <c r="B80">
        <f t="shared" si="23"/>
        <v>1.5450767898225248E-2</v>
      </c>
      <c r="C80">
        <f t="shared" si="19"/>
        <v>1.5450767898225248E-2</v>
      </c>
      <c r="D80" t="s">
        <v>30</v>
      </c>
      <c r="E80" t="s">
        <v>19</v>
      </c>
      <c r="F80">
        <v>1</v>
      </c>
      <c r="G80">
        <f t="shared" si="24"/>
        <v>90</v>
      </c>
      <c r="I80">
        <v>2050</v>
      </c>
      <c r="J80" t="s">
        <v>31</v>
      </c>
      <c r="K80">
        <f t="shared" si="25"/>
        <v>92.5</v>
      </c>
      <c r="L80" cm="1">
        <f t="array" ref="L80">STOWA2024_NDJF_T(A80*60,K80,I80,J80,"")</f>
        <v>31.373223723569886</v>
      </c>
      <c r="M80">
        <f t="shared" si="26"/>
        <v>3.1874314504974702E-2</v>
      </c>
    </row>
    <row r="81" spans="1:13" x14ac:dyDescent="0.3">
      <c r="A81">
        <v>96</v>
      </c>
      <c r="B81">
        <f t="shared" si="23"/>
        <v>1.033293449450438E-2</v>
      </c>
      <c r="C81">
        <f t="shared" si="19"/>
        <v>1.033293449450438E-2</v>
      </c>
      <c r="D81" t="s">
        <v>30</v>
      </c>
      <c r="E81" t="s">
        <v>19</v>
      </c>
      <c r="F81">
        <v>1</v>
      </c>
      <c r="G81">
        <f t="shared" si="24"/>
        <v>95</v>
      </c>
      <c r="I81">
        <v>2050</v>
      </c>
      <c r="J81" t="s">
        <v>31</v>
      </c>
      <c r="K81">
        <f t="shared" si="25"/>
        <v>97.5</v>
      </c>
      <c r="L81" cm="1">
        <f t="array" ref="L81">STOWA2024_NDJF_T(A81*60,K81,I81,J81,"")</f>
        <v>46.42228118690371</v>
      </c>
      <c r="M81">
        <f t="shared" si="26"/>
        <v>2.1541380010470321E-2</v>
      </c>
    </row>
    <row r="82" spans="1:13" x14ac:dyDescent="0.3">
      <c r="A82">
        <v>96</v>
      </c>
      <c r="B82">
        <f t="shared" si="23"/>
        <v>6.9344062052708721E-3</v>
      </c>
      <c r="C82">
        <f t="shared" si="19"/>
        <v>6.9344062052708721E-3</v>
      </c>
      <c r="D82" t="s">
        <v>30</v>
      </c>
      <c r="E82" t="s">
        <v>19</v>
      </c>
      <c r="F82">
        <v>1</v>
      </c>
      <c r="G82">
        <f t="shared" si="24"/>
        <v>100</v>
      </c>
      <c r="I82">
        <v>2050</v>
      </c>
      <c r="J82" t="s">
        <v>31</v>
      </c>
      <c r="K82">
        <f t="shared" si="25"/>
        <v>102.5</v>
      </c>
      <c r="L82" cm="1">
        <f t="array" ref="L82">STOWA2024_NDJF_T(A82*60,K82,I82,J82,"")</f>
        <v>68.460450010805346</v>
      </c>
      <c r="M82">
        <f t="shared" si="26"/>
        <v>1.4606973805199449E-2</v>
      </c>
    </row>
    <row r="83" spans="1:13" x14ac:dyDescent="0.3">
      <c r="A83">
        <v>96</v>
      </c>
      <c r="B83">
        <f t="shared" si="23"/>
        <v>4.6694900747641741E-3</v>
      </c>
      <c r="C83">
        <f t="shared" si="19"/>
        <v>4.6694900747641741E-3</v>
      </c>
      <c r="D83" t="s">
        <v>30</v>
      </c>
      <c r="E83" t="s">
        <v>19</v>
      </c>
      <c r="F83">
        <v>1</v>
      </c>
      <c r="G83">
        <f t="shared" si="24"/>
        <v>105</v>
      </c>
      <c r="I83">
        <v>2050</v>
      </c>
      <c r="J83" t="s">
        <v>31</v>
      </c>
      <c r="K83">
        <f t="shared" si="25"/>
        <v>107.5</v>
      </c>
      <c r="L83" cm="1">
        <f t="array" ref="L83">STOWA2024_NDJF_T(A83*60,K83,I83,J83,"")</f>
        <v>100.62909556644865</v>
      </c>
      <c r="M83">
        <f t="shared" si="26"/>
        <v>9.9374837304352752E-3</v>
      </c>
    </row>
    <row r="84" spans="1:13" x14ac:dyDescent="0.3">
      <c r="A84">
        <v>96</v>
      </c>
      <c r="B84">
        <f t="shared" si="23"/>
        <v>3.1548545726118055E-3</v>
      </c>
      <c r="C84">
        <f t="shared" si="19"/>
        <v>3.1548545726118055E-3</v>
      </c>
      <c r="D84" t="s">
        <v>30</v>
      </c>
      <c r="E84" t="s">
        <v>19</v>
      </c>
      <c r="F84">
        <v>1</v>
      </c>
      <c r="G84">
        <f t="shared" si="24"/>
        <v>110</v>
      </c>
      <c r="I84">
        <v>2050</v>
      </c>
      <c r="J84" t="s">
        <v>31</v>
      </c>
      <c r="K84">
        <f t="shared" si="25"/>
        <v>112.5</v>
      </c>
      <c r="L84" cm="1">
        <f t="array" ref="L84">STOWA2024_NDJF_T(A84*60,K84,I84,J84,"")</f>
        <v>147.43545264398588</v>
      </c>
      <c r="M84">
        <f t="shared" si="26"/>
        <v>6.7826291578234697E-3</v>
      </c>
    </row>
    <row r="85" spans="1:13" x14ac:dyDescent="0.3">
      <c r="A85">
        <v>96</v>
      </c>
      <c r="B85">
        <f t="shared" si="23"/>
        <v>2.1385268044643232E-3</v>
      </c>
      <c r="C85">
        <f t="shared" si="19"/>
        <v>2.1385268044643232E-3</v>
      </c>
      <c r="D85" t="s">
        <v>30</v>
      </c>
      <c r="E85" t="s">
        <v>19</v>
      </c>
      <c r="F85">
        <v>1</v>
      </c>
      <c r="G85">
        <f t="shared" si="24"/>
        <v>115</v>
      </c>
      <c r="I85">
        <v>2050</v>
      </c>
      <c r="J85" t="s">
        <v>31</v>
      </c>
      <c r="K85">
        <f t="shared" si="25"/>
        <v>117.5</v>
      </c>
      <c r="L85" cm="1">
        <f t="array" ref="L85">STOWA2024_NDJF_T(A85*60,K85,I85,J85,"")</f>
        <v>215.32686489493184</v>
      </c>
      <c r="M85">
        <f t="shared" si="26"/>
        <v>4.6441023533591464E-3</v>
      </c>
    </row>
    <row r="86" spans="1:13" x14ac:dyDescent="0.3">
      <c r="A86">
        <v>96</v>
      </c>
      <c r="B86">
        <f t="shared" si="23"/>
        <v>1.4542928679685753E-3</v>
      </c>
      <c r="C86">
        <f t="shared" si="19"/>
        <v>1.4542928679685753E-3</v>
      </c>
      <c r="D86" t="s">
        <v>30</v>
      </c>
      <c r="E86" t="s">
        <v>19</v>
      </c>
      <c r="F86">
        <v>1</v>
      </c>
      <c r="G86">
        <f t="shared" si="24"/>
        <v>120</v>
      </c>
      <c r="I86">
        <v>2050</v>
      </c>
      <c r="J86" t="s">
        <v>31</v>
      </c>
      <c r="K86">
        <f t="shared" si="25"/>
        <v>122.5</v>
      </c>
      <c r="L86" cm="1">
        <f t="array" ref="L86">STOWA2024_NDJF_T(A86*60,K86,I86,J86,"")</f>
        <v>313.49834671319144</v>
      </c>
      <c r="M86">
        <f t="shared" si="26"/>
        <v>3.1898094853905711E-3</v>
      </c>
    </row>
    <row r="87" spans="1:13" x14ac:dyDescent="0.3">
      <c r="A87">
        <v>96</v>
      </c>
      <c r="B87">
        <f t="shared" si="23"/>
        <v>9.9211364335921679E-4</v>
      </c>
      <c r="C87">
        <f t="shared" si="19"/>
        <v>9.9211364335921679E-4</v>
      </c>
      <c r="D87" t="s">
        <v>30</v>
      </c>
      <c r="E87" t="s">
        <v>19</v>
      </c>
      <c r="F87">
        <v>1</v>
      </c>
      <c r="G87">
        <f t="shared" si="24"/>
        <v>125</v>
      </c>
      <c r="I87">
        <v>2050</v>
      </c>
      <c r="J87" t="s">
        <v>31</v>
      </c>
      <c r="K87">
        <f t="shared" si="25"/>
        <v>127.5</v>
      </c>
      <c r="L87" cm="1">
        <f t="array" ref="L87">STOWA2024_NDJF_T(A87*60,K87,I87,J87,"")</f>
        <v>455.02201936901741</v>
      </c>
      <c r="M87">
        <f t="shared" si="26"/>
        <v>2.1976958420313543E-3</v>
      </c>
    </row>
    <row r="88" spans="1:13" x14ac:dyDescent="0.3">
      <c r="A88">
        <v>96</v>
      </c>
      <c r="B88">
        <f t="shared" si="23"/>
        <v>6.7895855088115614E-4</v>
      </c>
      <c r="C88">
        <f t="shared" si="19"/>
        <v>6.7895855088115614E-4</v>
      </c>
      <c r="D88" t="s">
        <v>30</v>
      </c>
      <c r="E88" t="s">
        <v>19</v>
      </c>
      <c r="F88">
        <v>1</v>
      </c>
      <c r="G88">
        <f t="shared" si="24"/>
        <v>130</v>
      </c>
      <c r="I88">
        <v>2050</v>
      </c>
      <c r="J88" t="s">
        <v>31</v>
      </c>
      <c r="K88">
        <f t="shared" si="25"/>
        <v>132.5</v>
      </c>
      <c r="L88" cm="1">
        <f t="array" ref="L88">STOWA2024_NDJF_T(A88*60,K88,I88,J88,"")</f>
        <v>658.44172381035139</v>
      </c>
      <c r="M88">
        <f t="shared" si="26"/>
        <v>1.5187372911501982E-3</v>
      </c>
    </row>
    <row r="89" spans="1:13" x14ac:dyDescent="0.3">
      <c r="A89">
        <v>96</v>
      </c>
      <c r="B89">
        <f t="shared" si="23"/>
        <v>4.6606834241832962E-4</v>
      </c>
      <c r="C89">
        <f t="shared" si="19"/>
        <v>4.6606834241832962E-4</v>
      </c>
      <c r="D89" t="s">
        <v>30</v>
      </c>
      <c r="E89" t="s">
        <v>19</v>
      </c>
      <c r="F89">
        <v>1</v>
      </c>
      <c r="G89">
        <f t="shared" si="24"/>
        <v>135</v>
      </c>
      <c r="I89">
        <v>2050</v>
      </c>
      <c r="J89" t="s">
        <v>31</v>
      </c>
      <c r="K89">
        <f t="shared" si="25"/>
        <v>137.5</v>
      </c>
      <c r="L89" cm="1">
        <f t="array" ref="L89">STOWA2024_NDJF_T(A89*60,K89,I89,J89,"")</f>
        <v>949.96627496677092</v>
      </c>
      <c r="M89">
        <f t="shared" si="26"/>
        <v>1.0526689487318686E-3</v>
      </c>
    </row>
    <row r="90" spans="1:13" x14ac:dyDescent="0.3">
      <c r="A90">
        <v>96</v>
      </c>
      <c r="B90">
        <f t="shared" si="23"/>
        <v>3.2089934285168783E-4</v>
      </c>
      <c r="C90">
        <f t="shared" si="19"/>
        <v>3.2089934285168783E-4</v>
      </c>
      <c r="D90" t="s">
        <v>30</v>
      </c>
      <c r="E90" t="s">
        <v>19</v>
      </c>
      <c r="F90">
        <v>1</v>
      </c>
      <c r="G90">
        <f t="shared" si="24"/>
        <v>140</v>
      </c>
      <c r="I90">
        <v>2050</v>
      </c>
      <c r="J90" t="s">
        <v>31</v>
      </c>
      <c r="K90">
        <f t="shared" si="25"/>
        <v>142.5</v>
      </c>
      <c r="L90" cm="1">
        <f t="array" ref="L90">STOWA2024_NDJF_T(A90*60,K90,I90,J90,"")</f>
        <v>1366.5503349202222</v>
      </c>
      <c r="M90">
        <f t="shared" si="26"/>
        <v>7.3176960588018072E-4</v>
      </c>
    </row>
    <row r="91" spans="1:13" x14ac:dyDescent="0.3">
      <c r="A91">
        <v>96</v>
      </c>
      <c r="B91">
        <f t="shared" si="23"/>
        <v>2.2160231116627265E-4</v>
      </c>
      <c r="C91">
        <f t="shared" si="19"/>
        <v>2.2160231116627265E-4</v>
      </c>
      <c r="D91" t="s">
        <v>30</v>
      </c>
      <c r="E91" t="s">
        <v>19</v>
      </c>
      <c r="F91">
        <v>1</v>
      </c>
      <c r="G91">
        <f t="shared" si="24"/>
        <v>145</v>
      </c>
      <c r="I91">
        <v>2050</v>
      </c>
      <c r="J91" t="s">
        <v>31</v>
      </c>
      <c r="K91">
        <f t="shared" si="25"/>
        <v>147.5</v>
      </c>
      <c r="L91" cm="1">
        <f t="array" ref="L91">STOWA2024_NDJF_T(A91*60,K91,I91,J91,"")</f>
        <v>1960.1413308173364</v>
      </c>
      <c r="M91">
        <f t="shared" si="26"/>
        <v>5.1016729471390807E-4</v>
      </c>
    </row>
    <row r="92" spans="1:13" x14ac:dyDescent="0.3">
      <c r="A92">
        <v>96</v>
      </c>
      <c r="B92">
        <f t="shared" si="23"/>
        <v>1.5348488930435575E-4</v>
      </c>
      <c r="C92">
        <f t="shared" si="19"/>
        <v>1.5348488930435575E-4</v>
      </c>
      <c r="D92" t="s">
        <v>30</v>
      </c>
      <c r="E92" t="s">
        <v>19</v>
      </c>
      <c r="F92">
        <v>1</v>
      </c>
      <c r="G92">
        <f t="shared" si="24"/>
        <v>150</v>
      </c>
      <c r="I92">
        <v>2050</v>
      </c>
      <c r="J92" t="s">
        <v>31</v>
      </c>
      <c r="K92">
        <f t="shared" si="25"/>
        <v>152.5</v>
      </c>
      <c r="L92" cm="1">
        <f t="array" ref="L92">STOWA2024_NDJF_T(A92*60,K92,I92,J92,"")</f>
        <v>2803.6146017681281</v>
      </c>
      <c r="M92">
        <f t="shared" si="26"/>
        <v>3.5668240540955232E-4</v>
      </c>
    </row>
    <row r="93" spans="1:13" x14ac:dyDescent="0.3">
      <c r="A93">
        <v>96</v>
      </c>
      <c r="B93">
        <f t="shared" si="23"/>
        <v>1.0660908035800499E-4</v>
      </c>
      <c r="C93">
        <f t="shared" si="19"/>
        <v>1.0660908035800499E-4</v>
      </c>
      <c r="D93" t="s">
        <v>30</v>
      </c>
      <c r="E93" t="s">
        <v>19</v>
      </c>
      <c r="F93">
        <v>1</v>
      </c>
      <c r="G93">
        <f t="shared" si="24"/>
        <v>155</v>
      </c>
      <c r="I93">
        <v>2050</v>
      </c>
      <c r="J93" t="s">
        <v>31</v>
      </c>
      <c r="K93">
        <f t="shared" si="25"/>
        <v>157.5</v>
      </c>
      <c r="L93" cm="1">
        <f t="array" ref="L93">STOWA2024_NDJF_T(A93*60,K93,I93,J93,"")</f>
        <v>3998.8271431743919</v>
      </c>
      <c r="M93">
        <f t="shared" si="26"/>
        <v>2.5007332505154733E-4</v>
      </c>
    </row>
    <row r="94" spans="1:13" x14ac:dyDescent="0.3">
      <c r="A94">
        <v>96</v>
      </c>
      <c r="B94" s="1">
        <f>M93</f>
        <v>2.5007332505154733E-4</v>
      </c>
      <c r="C94">
        <f t="shared" si="19"/>
        <v>2.5007332505154733E-4</v>
      </c>
      <c r="D94" t="s">
        <v>30</v>
      </c>
      <c r="E94" t="s">
        <v>19</v>
      </c>
      <c r="F94">
        <v>1</v>
      </c>
      <c r="G94">
        <f t="shared" si="24"/>
        <v>160</v>
      </c>
      <c r="I94">
        <v>2050</v>
      </c>
      <c r="J94" t="s">
        <v>31</v>
      </c>
      <c r="K94">
        <f>AVERAGE(G94:G95)</f>
        <v>85</v>
      </c>
      <c r="L94" cm="1">
        <f t="array" ref="L94">STOWA2024_NDJF_T(A94*60,K94,I94,J94,"")</f>
        <v>17.318987335610974</v>
      </c>
      <c r="M94">
        <f>1/L94</f>
        <v>5.7740096497664095E-2</v>
      </c>
    </row>
    <row r="95" spans="1:13" x14ac:dyDescent="0.3">
      <c r="A95">
        <v>192</v>
      </c>
      <c r="B95" s="1">
        <f>365.25*24/A95 - M95</f>
        <v>22.948031989288769</v>
      </c>
      <c r="C95">
        <f>B95</f>
        <v>22.948031989288769</v>
      </c>
      <c r="D95" t="s">
        <v>30</v>
      </c>
      <c r="E95" t="s">
        <v>19</v>
      </c>
      <c r="F95">
        <v>1</v>
      </c>
      <c r="G95">
        <v>10</v>
      </c>
      <c r="I95">
        <v>2050</v>
      </c>
      <c r="J95" t="s">
        <v>31</v>
      </c>
      <c r="K95">
        <f>AVERAGE(G95:G97)</f>
        <v>15</v>
      </c>
      <c r="L95" cm="1">
        <f t="array" ref="L95">STOWA2024_NDJF_T(A95*60,K95,I95,J95,"")</f>
        <v>4.4036920886011854E-2</v>
      </c>
      <c r="M95">
        <f>1/L95</f>
        <v>22.708218010711231</v>
      </c>
    </row>
    <row r="96" spans="1:13" x14ac:dyDescent="0.3">
      <c r="A96">
        <v>192</v>
      </c>
      <c r="B96">
        <f t="shared" ref="B96:B100" si="27">M95-M96</f>
        <v>2.819044738975137</v>
      </c>
      <c r="C96">
        <f t="shared" ref="C96:C125" si="28">B96</f>
        <v>2.819044738975137</v>
      </c>
      <c r="D96" t="s">
        <v>30</v>
      </c>
      <c r="E96" t="s">
        <v>19</v>
      </c>
      <c r="F96">
        <v>1</v>
      </c>
      <c r="G96">
        <f t="shared" ref="G96:G100" si="29">G95+5</f>
        <v>15</v>
      </c>
      <c r="I96">
        <v>2050</v>
      </c>
      <c r="J96" t="s">
        <v>31</v>
      </c>
      <c r="K96">
        <f t="shared" ref="K96:K100" si="30">AVERAGE(G96:G97)</f>
        <v>17.5</v>
      </c>
      <c r="L96" cm="1">
        <f t="array" ref="L96">STOWA2024_NDJF_T(A96*60,K96,I96,J96,"")</f>
        <v>5.0278610696256033E-2</v>
      </c>
      <c r="M96">
        <f t="shared" ref="M96:M100" si="31">1/L96</f>
        <v>19.889173271736095</v>
      </c>
    </row>
    <row r="97" spans="1:13" x14ac:dyDescent="0.3">
      <c r="A97">
        <v>192</v>
      </c>
      <c r="B97">
        <f t="shared" si="27"/>
        <v>4.6689420048178025</v>
      </c>
      <c r="C97">
        <f t="shared" si="28"/>
        <v>4.6689420048178025</v>
      </c>
      <c r="D97" t="s">
        <v>30</v>
      </c>
      <c r="E97" t="s">
        <v>19</v>
      </c>
      <c r="F97">
        <v>1</v>
      </c>
      <c r="G97">
        <f t="shared" si="29"/>
        <v>20</v>
      </c>
      <c r="I97">
        <v>2050</v>
      </c>
      <c r="J97" t="s">
        <v>31</v>
      </c>
      <c r="K97">
        <f t="shared" si="30"/>
        <v>22.5</v>
      </c>
      <c r="L97" cm="1">
        <f t="array" ref="L97">STOWA2024_NDJF_T(A97*60,K97,I97,J97,"")</f>
        <v>6.5702024001010759E-2</v>
      </c>
      <c r="M97">
        <f t="shared" si="31"/>
        <v>15.220231266918292</v>
      </c>
    </row>
    <row r="98" spans="1:13" x14ac:dyDescent="0.3">
      <c r="A98">
        <v>192</v>
      </c>
      <c r="B98">
        <f t="shared" si="27"/>
        <v>3.6117110139696376</v>
      </c>
      <c r="C98">
        <f t="shared" si="28"/>
        <v>3.6117110139696376</v>
      </c>
      <c r="D98" t="s">
        <v>30</v>
      </c>
      <c r="E98" t="s">
        <v>19</v>
      </c>
      <c r="F98">
        <v>1</v>
      </c>
      <c r="G98">
        <f t="shared" si="29"/>
        <v>25</v>
      </c>
      <c r="I98">
        <v>2050</v>
      </c>
      <c r="J98" t="s">
        <v>31</v>
      </c>
      <c r="K98">
        <f t="shared" si="30"/>
        <v>27.5</v>
      </c>
      <c r="L98" cm="1">
        <f t="array" ref="L98">STOWA2024_NDJF_T(A98*60,K98,I98,J98,"")</f>
        <v>8.6143623666934829E-2</v>
      </c>
      <c r="M98">
        <f t="shared" si="31"/>
        <v>11.608520252948654</v>
      </c>
    </row>
    <row r="99" spans="1:13" x14ac:dyDescent="0.3">
      <c r="A99">
        <v>192</v>
      </c>
      <c r="B99">
        <f t="shared" si="27"/>
        <v>2.7848820083636898</v>
      </c>
      <c r="C99">
        <f t="shared" si="28"/>
        <v>2.7848820083636898</v>
      </c>
      <c r="D99" t="s">
        <v>30</v>
      </c>
      <c r="E99" t="s">
        <v>19</v>
      </c>
      <c r="F99">
        <v>1</v>
      </c>
      <c r="G99">
        <f t="shared" si="29"/>
        <v>30</v>
      </c>
      <c r="I99">
        <v>2050</v>
      </c>
      <c r="J99" t="s">
        <v>31</v>
      </c>
      <c r="K99">
        <f t="shared" si="30"/>
        <v>32.5</v>
      </c>
      <c r="L99" cm="1">
        <f t="array" ref="L99">STOWA2024_NDJF_T(A99*60,K99,I99,J99,"")</f>
        <v>0.11333193545346178</v>
      </c>
      <c r="M99">
        <f t="shared" si="31"/>
        <v>8.8236382445849646</v>
      </c>
    </row>
    <row r="100" spans="1:13" x14ac:dyDescent="0.3">
      <c r="A100">
        <v>192</v>
      </c>
      <c r="B100">
        <f t="shared" si="27"/>
        <v>2.1402553292921098</v>
      </c>
      <c r="C100">
        <f t="shared" si="28"/>
        <v>2.1402553292921098</v>
      </c>
      <c r="D100" t="s">
        <v>30</v>
      </c>
      <c r="E100" t="s">
        <v>19</v>
      </c>
      <c r="F100">
        <v>1</v>
      </c>
      <c r="G100">
        <f t="shared" si="29"/>
        <v>35</v>
      </c>
      <c r="I100">
        <v>2050</v>
      </c>
      <c r="J100" t="s">
        <v>31</v>
      </c>
      <c r="K100">
        <f t="shared" si="30"/>
        <v>37.5</v>
      </c>
      <c r="L100" cm="1">
        <f t="array" ref="L100">STOWA2024_NDJF_T(A100*60,K100,I100,J100,"")</f>
        <v>0.14962482513336312</v>
      </c>
      <c r="M100">
        <f t="shared" si="31"/>
        <v>6.6833829152928548</v>
      </c>
    </row>
    <row r="101" spans="1:13" x14ac:dyDescent="0.3">
      <c r="A101">
        <v>192</v>
      </c>
      <c r="B101">
        <f>M100-M101</f>
        <v>1.639284089522909</v>
      </c>
      <c r="C101">
        <f t="shared" si="28"/>
        <v>1.639284089522909</v>
      </c>
      <c r="D101" t="s">
        <v>30</v>
      </c>
      <c r="E101" t="s">
        <v>19</v>
      </c>
      <c r="F101">
        <v>1</v>
      </c>
      <c r="G101">
        <f>G100+5</f>
        <v>40</v>
      </c>
      <c r="I101">
        <v>2050</v>
      </c>
      <c r="J101" t="s">
        <v>31</v>
      </c>
      <c r="K101">
        <f>AVERAGE(G101:G102)</f>
        <v>42.5</v>
      </c>
      <c r="L101" cm="1">
        <f t="array" ref="L101">STOWA2024_NDJF_T(A101*60,K101,I101,J101,"")</f>
        <v>0.19825146860546633</v>
      </c>
      <c r="M101">
        <f>1/L101</f>
        <v>5.0440988257699457</v>
      </c>
    </row>
    <row r="102" spans="1:13" x14ac:dyDescent="0.3">
      <c r="A102">
        <v>192</v>
      </c>
      <c r="B102">
        <f t="shared" ref="B102:B124" si="32">M101-M102</f>
        <v>1.2512540275746522</v>
      </c>
      <c r="C102">
        <f t="shared" si="28"/>
        <v>1.2512540275746522</v>
      </c>
      <c r="D102" t="s">
        <v>30</v>
      </c>
      <c r="E102" t="s">
        <v>19</v>
      </c>
      <c r="F102">
        <v>1</v>
      </c>
      <c r="G102">
        <f t="shared" ref="G102:G125" si="33">G101+5</f>
        <v>45</v>
      </c>
      <c r="I102">
        <v>2050</v>
      </c>
      <c r="J102" t="s">
        <v>31</v>
      </c>
      <c r="K102">
        <f t="shared" ref="K102:K124" si="34">AVERAGE(G102:G103)</f>
        <v>47.5</v>
      </c>
      <c r="L102" cm="1">
        <f t="array" ref="L102">STOWA2024_NDJF_T(A102*60,K102,I102,J102,"")</f>
        <v>0.26365434211170957</v>
      </c>
      <c r="M102">
        <f t="shared" ref="M102:M124" si="35">1/L102</f>
        <v>3.7928447981952935</v>
      </c>
    </row>
    <row r="103" spans="1:13" x14ac:dyDescent="0.3">
      <c r="A103">
        <v>192</v>
      </c>
      <c r="B103">
        <f t="shared" si="32"/>
        <v>0.95161877814299611</v>
      </c>
      <c r="C103">
        <f t="shared" si="28"/>
        <v>0.95161877814299611</v>
      </c>
      <c r="D103" t="s">
        <v>30</v>
      </c>
      <c r="E103" t="s">
        <v>19</v>
      </c>
      <c r="F103">
        <v>1</v>
      </c>
      <c r="G103">
        <f t="shared" si="33"/>
        <v>50</v>
      </c>
      <c r="I103">
        <v>2050</v>
      </c>
      <c r="J103" t="s">
        <v>31</v>
      </c>
      <c r="K103">
        <f t="shared" si="34"/>
        <v>52.5</v>
      </c>
      <c r="L103" cm="1">
        <f t="array" ref="L103">STOWA2024_NDJF_T(A103*60,K103,I103,J103,"")</f>
        <v>0.35196073559174057</v>
      </c>
      <c r="M103">
        <f t="shared" si="35"/>
        <v>2.8412260200522974</v>
      </c>
    </row>
    <row r="104" spans="1:13" x14ac:dyDescent="0.3">
      <c r="A104">
        <v>192</v>
      </c>
      <c r="B104">
        <f t="shared" si="32"/>
        <v>0.72113546110395399</v>
      </c>
      <c r="C104">
        <f t="shared" si="28"/>
        <v>0.72113546110395399</v>
      </c>
      <c r="D104" t="s">
        <v>30</v>
      </c>
      <c r="E104" t="s">
        <v>19</v>
      </c>
      <c r="F104">
        <v>1</v>
      </c>
      <c r="G104">
        <f t="shared" si="33"/>
        <v>55</v>
      </c>
      <c r="I104">
        <v>2050</v>
      </c>
      <c r="J104" t="s">
        <v>31</v>
      </c>
      <c r="K104">
        <f t="shared" si="34"/>
        <v>57.5</v>
      </c>
      <c r="L104" cm="1">
        <f t="array" ref="L104">STOWA2024_NDJF_T(A104*60,K104,I104,J104,"")</f>
        <v>0.47167796478280777</v>
      </c>
      <c r="M104">
        <f t="shared" si="35"/>
        <v>2.1200905589483434</v>
      </c>
    </row>
    <row r="105" spans="1:13" x14ac:dyDescent="0.3">
      <c r="A105">
        <v>192</v>
      </c>
      <c r="B105">
        <f t="shared" si="32"/>
        <v>0.5444173893457589</v>
      </c>
      <c r="C105">
        <f t="shared" si="28"/>
        <v>0.5444173893457589</v>
      </c>
      <c r="D105" t="s">
        <v>30</v>
      </c>
      <c r="E105" t="s">
        <v>19</v>
      </c>
      <c r="F105">
        <v>1</v>
      </c>
      <c r="G105">
        <f t="shared" si="33"/>
        <v>60</v>
      </c>
      <c r="I105">
        <v>2050</v>
      </c>
      <c r="J105" t="s">
        <v>31</v>
      </c>
      <c r="K105">
        <f t="shared" si="34"/>
        <v>62.5</v>
      </c>
      <c r="L105" cm="1">
        <f t="array" ref="L105">STOWA2024_NDJF_T(A105*60,K105,I105,J105,"")</f>
        <v>0.63464937989152881</v>
      </c>
      <c r="M105">
        <f t="shared" si="35"/>
        <v>1.5756731696025845</v>
      </c>
    </row>
    <row r="106" spans="1:13" x14ac:dyDescent="0.3">
      <c r="A106">
        <v>192</v>
      </c>
      <c r="B106">
        <f t="shared" si="32"/>
        <v>0.40941259598314739</v>
      </c>
      <c r="C106">
        <f t="shared" si="28"/>
        <v>0.40941259598314739</v>
      </c>
      <c r="D106" t="s">
        <v>30</v>
      </c>
      <c r="E106" t="s">
        <v>19</v>
      </c>
      <c r="F106">
        <v>1</v>
      </c>
      <c r="G106">
        <f t="shared" si="33"/>
        <v>65</v>
      </c>
      <c r="I106">
        <v>2050</v>
      </c>
      <c r="J106" t="s">
        <v>31</v>
      </c>
      <c r="K106">
        <f t="shared" si="34"/>
        <v>67.5</v>
      </c>
      <c r="L106" cm="1">
        <f t="array" ref="L106">STOWA2024_NDJF_T(A106*60,K106,I106,J106,"")</f>
        <v>0.85744131510554711</v>
      </c>
      <c r="M106">
        <f t="shared" si="35"/>
        <v>1.1662605736194371</v>
      </c>
    </row>
    <row r="107" spans="1:13" x14ac:dyDescent="0.3">
      <c r="A107">
        <v>192</v>
      </c>
      <c r="B107">
        <f t="shared" si="32"/>
        <v>0.30660907065702148</v>
      </c>
      <c r="C107">
        <f t="shared" si="28"/>
        <v>0.30660907065702148</v>
      </c>
      <c r="D107" t="s">
        <v>30</v>
      </c>
      <c r="E107" t="s">
        <v>19</v>
      </c>
      <c r="F107">
        <v>1</v>
      </c>
      <c r="G107">
        <f t="shared" si="33"/>
        <v>70</v>
      </c>
      <c r="I107">
        <v>2050</v>
      </c>
      <c r="J107" t="s">
        <v>31</v>
      </c>
      <c r="K107">
        <f t="shared" si="34"/>
        <v>72.5</v>
      </c>
      <c r="L107" cm="1">
        <f t="array" ref="L107">STOWA2024_NDJF_T(A107*60,K107,I107,J107,"")</f>
        <v>1.1632620853379936</v>
      </c>
      <c r="M107">
        <f t="shared" si="35"/>
        <v>0.85965150296241566</v>
      </c>
    </row>
    <row r="108" spans="1:13" x14ac:dyDescent="0.3">
      <c r="A108">
        <v>192</v>
      </c>
      <c r="B108">
        <f t="shared" si="32"/>
        <v>0.22878700645543337</v>
      </c>
      <c r="C108">
        <f t="shared" si="28"/>
        <v>0.22878700645543337</v>
      </c>
      <c r="D108" t="s">
        <v>30</v>
      </c>
      <c r="E108" t="s">
        <v>19</v>
      </c>
      <c r="F108">
        <v>1</v>
      </c>
      <c r="G108">
        <f t="shared" si="33"/>
        <v>75</v>
      </c>
      <c r="I108">
        <v>2050</v>
      </c>
      <c r="J108" t="s">
        <v>31</v>
      </c>
      <c r="K108">
        <f t="shared" si="34"/>
        <v>77.5</v>
      </c>
      <c r="L108" cm="1">
        <f t="array" ref="L108">STOWA2024_NDJF_T(A108*60,K108,I108,J108,"")</f>
        <v>1.5851264503500748</v>
      </c>
      <c r="M108">
        <f t="shared" si="35"/>
        <v>0.63086449650698229</v>
      </c>
    </row>
    <row r="109" spans="1:13" x14ac:dyDescent="0.3">
      <c r="A109">
        <v>192</v>
      </c>
      <c r="B109">
        <f t="shared" si="32"/>
        <v>0.1699654795033671</v>
      </c>
      <c r="C109">
        <f t="shared" si="28"/>
        <v>0.1699654795033671</v>
      </c>
      <c r="D109" t="s">
        <v>30</v>
      </c>
      <c r="E109" t="s">
        <v>19</v>
      </c>
      <c r="F109">
        <v>1</v>
      </c>
      <c r="G109">
        <f t="shared" si="33"/>
        <v>80</v>
      </c>
      <c r="I109">
        <v>2050</v>
      </c>
      <c r="J109" t="s">
        <v>31</v>
      </c>
      <c r="K109">
        <f t="shared" si="34"/>
        <v>82.5</v>
      </c>
      <c r="L109" cm="1">
        <f t="array" ref="L109">STOWA2024_NDJF_T(A109*60,K109,I109,J109,"")</f>
        <v>2.1696726682152074</v>
      </c>
      <c r="M109">
        <f t="shared" si="35"/>
        <v>0.46089901700361519</v>
      </c>
    </row>
    <row r="110" spans="1:13" x14ac:dyDescent="0.3">
      <c r="A110">
        <v>192</v>
      </c>
      <c r="B110">
        <f t="shared" si="32"/>
        <v>0.12571737935431293</v>
      </c>
      <c r="C110">
        <f t="shared" si="28"/>
        <v>0.12571737935431293</v>
      </c>
      <c r="D110" t="s">
        <v>30</v>
      </c>
      <c r="E110" t="s">
        <v>19</v>
      </c>
      <c r="F110">
        <v>1</v>
      </c>
      <c r="G110">
        <f t="shared" si="33"/>
        <v>85</v>
      </c>
      <c r="I110">
        <v>2050</v>
      </c>
      <c r="J110" t="s">
        <v>31</v>
      </c>
      <c r="K110">
        <f t="shared" si="34"/>
        <v>87.5</v>
      </c>
      <c r="L110" cm="1">
        <f t="array" ref="L110">STOWA2024_NDJF_T(A110*60,K110,I110,J110,"")</f>
        <v>2.9834569907027295</v>
      </c>
      <c r="M110">
        <f t="shared" si="35"/>
        <v>0.33518163764930226</v>
      </c>
    </row>
    <row r="111" spans="1:13" x14ac:dyDescent="0.3">
      <c r="A111">
        <v>192</v>
      </c>
      <c r="B111">
        <f t="shared" si="32"/>
        <v>9.2577961107145612E-2</v>
      </c>
      <c r="C111">
        <f t="shared" si="28"/>
        <v>9.2577961107145612E-2</v>
      </c>
      <c r="D111" t="s">
        <v>30</v>
      </c>
      <c r="E111" t="s">
        <v>19</v>
      </c>
      <c r="F111">
        <v>1</v>
      </c>
      <c r="G111">
        <f t="shared" si="33"/>
        <v>90</v>
      </c>
      <c r="I111">
        <v>2050</v>
      </c>
      <c r="J111" t="s">
        <v>31</v>
      </c>
      <c r="K111">
        <f t="shared" si="34"/>
        <v>92.5</v>
      </c>
      <c r="L111" cm="1">
        <f t="array" ref="L111">STOWA2024_NDJF_T(A111*60,K111,I111,J111,"")</f>
        <v>4.1219490745278646</v>
      </c>
      <c r="M111">
        <f t="shared" si="35"/>
        <v>0.24260367654215664</v>
      </c>
    </row>
    <row r="112" spans="1:13" x14ac:dyDescent="0.3">
      <c r="A112">
        <v>192</v>
      </c>
      <c r="B112">
        <f t="shared" si="32"/>
        <v>6.7862368378778126E-2</v>
      </c>
      <c r="C112">
        <f t="shared" si="28"/>
        <v>6.7862368378778126E-2</v>
      </c>
      <c r="D112" t="s">
        <v>30</v>
      </c>
      <c r="E112" t="s">
        <v>19</v>
      </c>
      <c r="F112">
        <v>1</v>
      </c>
      <c r="G112">
        <f t="shared" si="33"/>
        <v>95</v>
      </c>
      <c r="I112">
        <v>2050</v>
      </c>
      <c r="J112" t="s">
        <v>31</v>
      </c>
      <c r="K112">
        <f t="shared" si="34"/>
        <v>97.5</v>
      </c>
      <c r="L112" cm="1">
        <f t="array" ref="L112">STOWA2024_NDJF_T(A112*60,K112,I112,J112,"")</f>
        <v>5.7227452999552133</v>
      </c>
      <c r="M112">
        <f t="shared" si="35"/>
        <v>0.17474130816337852</v>
      </c>
    </row>
    <row r="113" spans="1:13" x14ac:dyDescent="0.3">
      <c r="A113">
        <v>192</v>
      </c>
      <c r="B113">
        <f t="shared" si="32"/>
        <v>4.9510816582786527E-2</v>
      </c>
      <c r="C113">
        <f t="shared" si="28"/>
        <v>4.9510816582786527E-2</v>
      </c>
      <c r="D113" t="s">
        <v>30</v>
      </c>
      <c r="E113" t="s">
        <v>19</v>
      </c>
      <c r="F113">
        <v>1</v>
      </c>
      <c r="G113">
        <f t="shared" si="33"/>
        <v>100</v>
      </c>
      <c r="I113">
        <v>2050</v>
      </c>
      <c r="J113" t="s">
        <v>31</v>
      </c>
      <c r="K113">
        <f t="shared" si="34"/>
        <v>102.5</v>
      </c>
      <c r="L113" cm="1">
        <f t="array" ref="L113">STOWA2024_NDJF_T(A113*60,K113,I113,J113,"")</f>
        <v>7.9852756894789527</v>
      </c>
      <c r="M113">
        <f t="shared" si="35"/>
        <v>0.12523049158059199</v>
      </c>
    </row>
    <row r="114" spans="1:13" x14ac:dyDescent="0.3">
      <c r="A114">
        <v>192</v>
      </c>
      <c r="B114">
        <f t="shared" si="32"/>
        <v>3.5947296809340848E-2</v>
      </c>
      <c r="C114">
        <f t="shared" si="28"/>
        <v>3.5947296809340848E-2</v>
      </c>
      <c r="D114" t="s">
        <v>30</v>
      </c>
      <c r="E114" t="s">
        <v>19</v>
      </c>
      <c r="F114">
        <v>1</v>
      </c>
      <c r="G114">
        <f t="shared" si="33"/>
        <v>105</v>
      </c>
      <c r="I114">
        <v>2050</v>
      </c>
      <c r="J114" t="s">
        <v>31</v>
      </c>
      <c r="K114">
        <f t="shared" si="34"/>
        <v>107.5</v>
      </c>
      <c r="L114" cm="1">
        <f t="array" ref="L114">STOWA2024_NDJF_T(A114*60,K114,I114,J114,"")</f>
        <v>11.200316056812925</v>
      </c>
      <c r="M114">
        <f t="shared" si="35"/>
        <v>8.9283194771251143E-2</v>
      </c>
    </row>
    <row r="115" spans="1:13" x14ac:dyDescent="0.3">
      <c r="A115">
        <v>192</v>
      </c>
      <c r="B115">
        <f t="shared" si="32"/>
        <v>2.5967715908543618E-2</v>
      </c>
      <c r="C115">
        <f t="shared" si="28"/>
        <v>2.5967715908543618E-2</v>
      </c>
      <c r="D115" t="s">
        <v>30</v>
      </c>
      <c r="E115" t="s">
        <v>19</v>
      </c>
      <c r="F115">
        <v>1</v>
      </c>
      <c r="G115">
        <f t="shared" si="33"/>
        <v>110</v>
      </c>
      <c r="I115">
        <v>2050</v>
      </c>
      <c r="J115" t="s">
        <v>31</v>
      </c>
      <c r="K115">
        <f t="shared" si="34"/>
        <v>112.5</v>
      </c>
      <c r="L115" cm="1">
        <f t="array" ref="L115">STOWA2024_NDJF_T(A115*60,K115,I115,J115,"")</f>
        <v>15.793926192493737</v>
      </c>
      <c r="M115">
        <f t="shared" si="35"/>
        <v>6.3315478862707525E-2</v>
      </c>
    </row>
    <row r="116" spans="1:13" x14ac:dyDescent="0.3">
      <c r="A116">
        <v>192</v>
      </c>
      <c r="B116">
        <f t="shared" si="32"/>
        <v>1.8662575872219755E-2</v>
      </c>
      <c r="C116">
        <f t="shared" si="28"/>
        <v>1.8662575872219755E-2</v>
      </c>
      <c r="D116" t="s">
        <v>30</v>
      </c>
      <c r="E116" t="s">
        <v>19</v>
      </c>
      <c r="F116">
        <v>1</v>
      </c>
      <c r="G116">
        <f t="shared" si="33"/>
        <v>115</v>
      </c>
      <c r="I116">
        <v>2050</v>
      </c>
      <c r="J116" t="s">
        <v>31</v>
      </c>
      <c r="K116">
        <f t="shared" si="34"/>
        <v>117.5</v>
      </c>
      <c r="L116" cm="1">
        <f t="array" ref="L116">STOWA2024_NDJF_T(A116*60,K116,I116,J116,"")</f>
        <v>22.394960529509717</v>
      </c>
      <c r="M116">
        <f t="shared" si="35"/>
        <v>4.4652902990487769E-2</v>
      </c>
    </row>
    <row r="117" spans="1:13" x14ac:dyDescent="0.3">
      <c r="A117">
        <v>192</v>
      </c>
      <c r="B117">
        <f t="shared" si="32"/>
        <v>1.3340460382898406E-2</v>
      </c>
      <c r="C117">
        <f t="shared" si="28"/>
        <v>1.3340460382898406E-2</v>
      </c>
      <c r="D117" t="s">
        <v>30</v>
      </c>
      <c r="E117" t="s">
        <v>19</v>
      </c>
      <c r="F117">
        <v>1</v>
      </c>
      <c r="G117">
        <f t="shared" si="33"/>
        <v>120</v>
      </c>
      <c r="I117">
        <v>2050</v>
      </c>
      <c r="J117" t="s">
        <v>31</v>
      </c>
      <c r="K117">
        <f t="shared" si="34"/>
        <v>122.5</v>
      </c>
      <c r="L117" cm="1">
        <f t="array" ref="L117">STOWA2024_NDJF_T(A117*60,K117,I117,J117,"")</f>
        <v>31.93618628007081</v>
      </c>
      <c r="M117">
        <f t="shared" si="35"/>
        <v>3.1312442607589364E-2</v>
      </c>
    </row>
    <row r="118" spans="1:13" x14ac:dyDescent="0.3">
      <c r="A118">
        <v>192</v>
      </c>
      <c r="B118">
        <f t="shared" si="32"/>
        <v>9.4839642701069135E-3</v>
      </c>
      <c r="C118">
        <f t="shared" si="28"/>
        <v>9.4839642701069135E-3</v>
      </c>
      <c r="D118" t="s">
        <v>30</v>
      </c>
      <c r="E118" t="s">
        <v>19</v>
      </c>
      <c r="F118">
        <v>1</v>
      </c>
      <c r="G118">
        <f t="shared" si="33"/>
        <v>125</v>
      </c>
      <c r="I118">
        <v>2050</v>
      </c>
      <c r="J118" t="s">
        <v>31</v>
      </c>
      <c r="K118">
        <f t="shared" si="34"/>
        <v>127.5</v>
      </c>
      <c r="L118" cm="1">
        <f t="array" ref="L118">STOWA2024_NDJF_T(A118*60,K118,I118,J118,"")</f>
        <v>45.811713695263158</v>
      </c>
      <c r="M118">
        <f t="shared" si="35"/>
        <v>2.182847833748245E-2</v>
      </c>
    </row>
    <row r="119" spans="1:13" x14ac:dyDescent="0.3">
      <c r="A119">
        <v>192</v>
      </c>
      <c r="B119">
        <f t="shared" si="32"/>
        <v>6.703806597749112E-3</v>
      </c>
      <c r="C119">
        <f t="shared" si="28"/>
        <v>6.703806597749112E-3</v>
      </c>
      <c r="D119" t="s">
        <v>30</v>
      </c>
      <c r="E119" t="s">
        <v>19</v>
      </c>
      <c r="F119">
        <v>1</v>
      </c>
      <c r="G119">
        <f t="shared" si="33"/>
        <v>130</v>
      </c>
      <c r="I119">
        <v>2050</v>
      </c>
      <c r="J119" t="s">
        <v>31</v>
      </c>
      <c r="K119">
        <f t="shared" si="34"/>
        <v>132.5</v>
      </c>
      <c r="L119" cm="1">
        <f t="array" ref="L119">STOWA2024_NDJF_T(A119*60,K119,I119,J119,"")</f>
        <v>66.117137430027356</v>
      </c>
      <c r="M119">
        <f t="shared" si="35"/>
        <v>1.5124671739733338E-2</v>
      </c>
    </row>
    <row r="120" spans="1:13" x14ac:dyDescent="0.3">
      <c r="A120">
        <v>192</v>
      </c>
      <c r="B120">
        <f t="shared" si="32"/>
        <v>4.7108324578339581E-3</v>
      </c>
      <c r="C120">
        <f t="shared" si="28"/>
        <v>4.7108324578339581E-3</v>
      </c>
      <c r="D120" t="s">
        <v>30</v>
      </c>
      <c r="E120" t="s">
        <v>19</v>
      </c>
      <c r="F120">
        <v>1</v>
      </c>
      <c r="G120">
        <f t="shared" si="33"/>
        <v>135</v>
      </c>
      <c r="I120">
        <v>2050</v>
      </c>
      <c r="J120" t="s">
        <v>31</v>
      </c>
      <c r="K120">
        <f t="shared" si="34"/>
        <v>137.5</v>
      </c>
      <c r="L120" cm="1">
        <f t="array" ref="L120">STOWA2024_NDJF_T(A120*60,K120,I120,J120,"")</f>
        <v>96.026064252607711</v>
      </c>
      <c r="M120">
        <f t="shared" si="35"/>
        <v>1.041383928189938E-2</v>
      </c>
    </row>
    <row r="121" spans="1:13" x14ac:dyDescent="0.3">
      <c r="A121">
        <v>192</v>
      </c>
      <c r="B121">
        <f t="shared" si="32"/>
        <v>3.2900977689209786E-3</v>
      </c>
      <c r="C121">
        <f t="shared" si="28"/>
        <v>3.2900977689209786E-3</v>
      </c>
      <c r="D121" t="s">
        <v>30</v>
      </c>
      <c r="E121" t="s">
        <v>19</v>
      </c>
      <c r="F121">
        <v>1</v>
      </c>
      <c r="G121">
        <f t="shared" si="33"/>
        <v>140</v>
      </c>
      <c r="I121">
        <v>2050</v>
      </c>
      <c r="J121" t="s">
        <v>31</v>
      </c>
      <c r="K121">
        <f t="shared" si="34"/>
        <v>142.5</v>
      </c>
      <c r="L121" cm="1">
        <f t="array" ref="L121">STOWA2024_NDJF_T(A121*60,K121,I121,J121,"")</f>
        <v>140.37567171382457</v>
      </c>
      <c r="M121">
        <f t="shared" si="35"/>
        <v>7.1237415129784014E-3</v>
      </c>
    </row>
    <row r="122" spans="1:13" x14ac:dyDescent="0.3">
      <c r="A122">
        <v>192</v>
      </c>
      <c r="B122">
        <f t="shared" si="32"/>
        <v>2.2834470651508215E-3</v>
      </c>
      <c r="C122">
        <f t="shared" si="28"/>
        <v>2.2834470651508215E-3</v>
      </c>
      <c r="D122" t="s">
        <v>30</v>
      </c>
      <c r="E122" t="s">
        <v>19</v>
      </c>
      <c r="F122">
        <v>1</v>
      </c>
      <c r="G122">
        <f t="shared" si="33"/>
        <v>145</v>
      </c>
      <c r="I122">
        <v>2050</v>
      </c>
      <c r="J122" t="s">
        <v>31</v>
      </c>
      <c r="K122">
        <f t="shared" si="34"/>
        <v>147.5</v>
      </c>
      <c r="L122" cm="1">
        <f t="array" ref="L122">STOWA2024_NDJF_T(A122*60,K122,I122,J122,"")</f>
        <v>206.59900152331019</v>
      </c>
      <c r="M122">
        <f t="shared" si="35"/>
        <v>4.8402944478275799E-3</v>
      </c>
    </row>
    <row r="123" spans="1:13" x14ac:dyDescent="0.3">
      <c r="A123">
        <v>192</v>
      </c>
      <c r="B123">
        <f t="shared" si="32"/>
        <v>1.5744286423037411E-3</v>
      </c>
      <c r="C123">
        <f t="shared" si="28"/>
        <v>1.5744286423037411E-3</v>
      </c>
      <c r="D123" t="s">
        <v>30</v>
      </c>
      <c r="E123" t="s">
        <v>19</v>
      </c>
      <c r="F123">
        <v>1</v>
      </c>
      <c r="G123">
        <f t="shared" si="33"/>
        <v>150</v>
      </c>
      <c r="I123">
        <v>2050</v>
      </c>
      <c r="J123" t="s">
        <v>31</v>
      </c>
      <c r="K123">
        <f t="shared" si="34"/>
        <v>152.5</v>
      </c>
      <c r="L123" cm="1">
        <f t="array" ref="L123">STOWA2024_NDJF_T(A123*60,K123,I123,J123,"")</f>
        <v>306.19751684487903</v>
      </c>
      <c r="M123">
        <f t="shared" si="35"/>
        <v>3.2658658055238388E-3</v>
      </c>
    </row>
    <row r="124" spans="1:13" x14ac:dyDescent="0.3">
      <c r="A124">
        <v>192</v>
      </c>
      <c r="B124">
        <f t="shared" si="32"/>
        <v>1.0782260515680023E-3</v>
      </c>
      <c r="C124">
        <f t="shared" si="28"/>
        <v>1.0782260515680023E-3</v>
      </c>
      <c r="D124" t="s">
        <v>30</v>
      </c>
      <c r="E124" t="s">
        <v>19</v>
      </c>
      <c r="F124">
        <v>1</v>
      </c>
      <c r="G124">
        <f t="shared" si="33"/>
        <v>155</v>
      </c>
      <c r="I124">
        <v>2050</v>
      </c>
      <c r="J124" t="s">
        <v>31</v>
      </c>
      <c r="K124">
        <f t="shared" si="34"/>
        <v>157.5</v>
      </c>
      <c r="L124" cm="1">
        <f t="array" ref="L124">STOWA2024_NDJF_T(A124*60,K124,I124,J124,"")</f>
        <v>457.11365328397108</v>
      </c>
      <c r="M124">
        <f t="shared" si="35"/>
        <v>2.1876397539558365E-3</v>
      </c>
    </row>
    <row r="125" spans="1:13" x14ac:dyDescent="0.3">
      <c r="A125">
        <v>192</v>
      </c>
      <c r="B125" s="1">
        <f>M124</f>
        <v>2.1876397539558365E-3</v>
      </c>
      <c r="C125">
        <f t="shared" si="28"/>
        <v>2.1876397539558365E-3</v>
      </c>
      <c r="D125" t="s">
        <v>30</v>
      </c>
      <c r="E125" t="s">
        <v>19</v>
      </c>
      <c r="F125">
        <v>1</v>
      </c>
      <c r="G125">
        <f t="shared" si="33"/>
        <v>160</v>
      </c>
      <c r="I125">
        <v>2050</v>
      </c>
      <c r="J125" t="s">
        <v>31</v>
      </c>
      <c r="K125">
        <f>AVERAGE(G125:G126)</f>
        <v>85</v>
      </c>
      <c r="L125" cm="1">
        <f t="array" ref="L125">STOWA2024_NDJF_T(A125*60,K125,I125,J125,"")</f>
        <v>2.5427383199420555</v>
      </c>
      <c r="M125">
        <f>1/L125</f>
        <v>0.39327680404910415</v>
      </c>
    </row>
    <row r="126" spans="1:13" x14ac:dyDescent="0.3">
      <c r="A126">
        <v>216</v>
      </c>
      <c r="B126" s="1">
        <f>365.25*24/A126 - M126</f>
        <v>18.624431853216699</v>
      </c>
      <c r="C126">
        <f>B126</f>
        <v>18.624431853216699</v>
      </c>
      <c r="D126" t="s">
        <v>30</v>
      </c>
      <c r="E126" t="s">
        <v>19</v>
      </c>
      <c r="F126">
        <v>1</v>
      </c>
      <c r="G126">
        <v>10</v>
      </c>
      <c r="I126">
        <v>2050</v>
      </c>
      <c r="J126" t="s">
        <v>31</v>
      </c>
      <c r="K126">
        <f>AVERAGE(G126:G128)</f>
        <v>15</v>
      </c>
      <c r="L126" cm="1">
        <f t="array" ref="L126">STOWA2024_NDJF_T(A126*60,K126,I126,J126,"")</f>
        <v>4.5539618678351497E-2</v>
      </c>
      <c r="M126">
        <f>1/L126</f>
        <v>21.958901480116637</v>
      </c>
    </row>
    <row r="127" spans="1:13" x14ac:dyDescent="0.3">
      <c r="A127">
        <v>216</v>
      </c>
      <c r="B127">
        <f t="shared" ref="B127:B131" si="36">M126-M127</f>
        <v>2.461270002802614</v>
      </c>
      <c r="C127">
        <f t="shared" ref="C127:C156" si="37">B127</f>
        <v>2.461270002802614</v>
      </c>
      <c r="D127" t="s">
        <v>30</v>
      </c>
      <c r="E127" t="s">
        <v>19</v>
      </c>
      <c r="F127">
        <v>1</v>
      </c>
      <c r="G127">
        <f t="shared" ref="G127:G131" si="38">G126+5</f>
        <v>15</v>
      </c>
      <c r="I127">
        <v>2050</v>
      </c>
      <c r="J127" t="s">
        <v>31</v>
      </c>
      <c r="K127">
        <f t="shared" ref="K127:K131" si="39">AVERAGE(G127:G128)</f>
        <v>17.5</v>
      </c>
      <c r="L127" cm="1">
        <f t="array" ref="L127">STOWA2024_NDJF_T(A127*60,K127,I127,J127,"")</f>
        <v>5.1288280895221798E-2</v>
      </c>
      <c r="M127">
        <f t="shared" ref="M127:M131" si="40">1/L127</f>
        <v>19.497631477314023</v>
      </c>
    </row>
    <row r="128" spans="1:13" x14ac:dyDescent="0.3">
      <c r="A128">
        <v>216</v>
      </c>
      <c r="B128">
        <f t="shared" si="36"/>
        <v>4.1672058570403347</v>
      </c>
      <c r="C128">
        <f t="shared" si="37"/>
        <v>4.1672058570403347</v>
      </c>
      <c r="D128" t="s">
        <v>30</v>
      </c>
      <c r="E128" t="s">
        <v>19</v>
      </c>
      <c r="F128">
        <v>1</v>
      </c>
      <c r="G128">
        <f t="shared" si="38"/>
        <v>20</v>
      </c>
      <c r="I128">
        <v>2050</v>
      </c>
      <c r="J128" t="s">
        <v>31</v>
      </c>
      <c r="K128">
        <f t="shared" si="39"/>
        <v>22.5</v>
      </c>
      <c r="L128" cm="1">
        <f t="array" ref="L128">STOWA2024_NDJF_T(A128*60,K128,I128,J128,"")</f>
        <v>6.5229761049657498E-2</v>
      </c>
      <c r="M128">
        <f t="shared" si="40"/>
        <v>15.330425620273688</v>
      </c>
    </row>
    <row r="129" spans="1:13" x14ac:dyDescent="0.3">
      <c r="A129">
        <v>216</v>
      </c>
      <c r="B129">
        <f t="shared" si="36"/>
        <v>3.321080040924965</v>
      </c>
      <c r="C129">
        <f t="shared" si="37"/>
        <v>3.321080040924965</v>
      </c>
      <c r="D129" t="s">
        <v>30</v>
      </c>
      <c r="E129" t="s">
        <v>19</v>
      </c>
      <c r="F129">
        <v>1</v>
      </c>
      <c r="G129">
        <f t="shared" si="38"/>
        <v>25</v>
      </c>
      <c r="I129">
        <v>2050</v>
      </c>
      <c r="J129" t="s">
        <v>31</v>
      </c>
      <c r="K129">
        <f t="shared" si="39"/>
        <v>27.5</v>
      </c>
      <c r="L129" cm="1">
        <f t="array" ref="L129">STOWA2024_NDJF_T(A129*60,K129,I129,J129,"")</f>
        <v>8.3268483981308733E-2</v>
      </c>
      <c r="M129">
        <f t="shared" si="40"/>
        <v>12.009345579348723</v>
      </c>
    </row>
    <row r="130" spans="1:13" x14ac:dyDescent="0.3">
      <c r="A130">
        <v>216</v>
      </c>
      <c r="B130">
        <f t="shared" si="36"/>
        <v>2.6374412874392021</v>
      </c>
      <c r="C130">
        <f t="shared" si="37"/>
        <v>2.6374412874392021</v>
      </c>
      <c r="D130" t="s">
        <v>30</v>
      </c>
      <c r="E130" t="s">
        <v>19</v>
      </c>
      <c r="F130">
        <v>1</v>
      </c>
      <c r="G130">
        <f t="shared" si="38"/>
        <v>30</v>
      </c>
      <c r="I130">
        <v>2050</v>
      </c>
      <c r="J130" t="s">
        <v>31</v>
      </c>
      <c r="K130">
        <f t="shared" si="39"/>
        <v>32.5</v>
      </c>
      <c r="L130" cm="1">
        <f t="array" ref="L130">STOWA2024_NDJF_T(A130*60,K130,I130,J130,"")</f>
        <v>0.10670190057993545</v>
      </c>
      <c r="M130">
        <f t="shared" si="40"/>
        <v>9.3719042919095212</v>
      </c>
    </row>
    <row r="131" spans="1:13" x14ac:dyDescent="0.3">
      <c r="A131">
        <v>216</v>
      </c>
      <c r="B131">
        <f t="shared" si="36"/>
        <v>2.0869370564562351</v>
      </c>
      <c r="C131">
        <f t="shared" si="37"/>
        <v>2.0869370564562351</v>
      </c>
      <c r="D131" t="s">
        <v>30</v>
      </c>
      <c r="E131" t="s">
        <v>19</v>
      </c>
      <c r="F131">
        <v>1</v>
      </c>
      <c r="G131">
        <f t="shared" si="38"/>
        <v>35</v>
      </c>
      <c r="I131">
        <v>2050</v>
      </c>
      <c r="J131" t="s">
        <v>31</v>
      </c>
      <c r="K131">
        <f t="shared" si="39"/>
        <v>37.5</v>
      </c>
      <c r="L131" cm="1">
        <f t="array" ref="L131">STOWA2024_NDJF_T(A131*60,K131,I131,J131,"")</f>
        <v>0.13726897701521068</v>
      </c>
      <c r="M131">
        <f t="shared" si="40"/>
        <v>7.2849672354532862</v>
      </c>
    </row>
    <row r="132" spans="1:13" x14ac:dyDescent="0.3">
      <c r="A132">
        <v>216</v>
      </c>
      <c r="B132">
        <f>M131-M132</f>
        <v>1.6451701290207197</v>
      </c>
      <c r="C132">
        <f t="shared" si="37"/>
        <v>1.6451701290207197</v>
      </c>
      <c r="D132" t="s">
        <v>30</v>
      </c>
      <c r="E132" t="s">
        <v>19</v>
      </c>
      <c r="F132">
        <v>1</v>
      </c>
      <c r="G132">
        <f>G131+5</f>
        <v>40</v>
      </c>
      <c r="I132">
        <v>2050</v>
      </c>
      <c r="J132" t="s">
        <v>31</v>
      </c>
      <c r="K132">
        <f>AVERAGE(G132:G133)</f>
        <v>42.5</v>
      </c>
      <c r="L132" cm="1">
        <f t="array" ref="L132">STOWA2024_NDJF_T(A132*60,K132,I132,J132,"")</f>
        <v>0.17731134314378669</v>
      </c>
      <c r="M132">
        <f>1/L132</f>
        <v>5.6397971064325665</v>
      </c>
    </row>
    <row r="133" spans="1:13" x14ac:dyDescent="0.3">
      <c r="A133">
        <v>216</v>
      </c>
      <c r="B133">
        <f t="shared" ref="B133:B155" si="41">M132-M133</f>
        <v>1.2919488012243505</v>
      </c>
      <c r="C133">
        <f t="shared" si="37"/>
        <v>1.2919488012243505</v>
      </c>
      <c r="D133" t="s">
        <v>30</v>
      </c>
      <c r="E133" t="s">
        <v>19</v>
      </c>
      <c r="F133">
        <v>1</v>
      </c>
      <c r="G133">
        <f t="shared" ref="G133:G156" si="42">G132+5</f>
        <v>45</v>
      </c>
      <c r="I133">
        <v>2050</v>
      </c>
      <c r="J133" t="s">
        <v>31</v>
      </c>
      <c r="K133">
        <f t="shared" ref="K133:K155" si="43">AVERAGE(G133:G134)</f>
        <v>47.5</v>
      </c>
      <c r="L133" cm="1">
        <f t="array" ref="L133">STOWA2024_NDJF_T(A133*60,K133,I133,J133,"")</f>
        <v>0.2299988246604916</v>
      </c>
      <c r="M133">
        <f t="shared" ref="M133:M155" si="44">1/L133</f>
        <v>4.347848305208216</v>
      </c>
    </row>
    <row r="134" spans="1:13" x14ac:dyDescent="0.3">
      <c r="A134">
        <v>216</v>
      </c>
      <c r="B134">
        <f t="shared" si="41"/>
        <v>1.010461461898879</v>
      </c>
      <c r="C134">
        <f t="shared" si="37"/>
        <v>1.010461461898879</v>
      </c>
      <c r="D134" t="s">
        <v>30</v>
      </c>
      <c r="E134" t="s">
        <v>19</v>
      </c>
      <c r="F134">
        <v>1</v>
      </c>
      <c r="G134">
        <f t="shared" si="42"/>
        <v>50</v>
      </c>
      <c r="I134">
        <v>2050</v>
      </c>
      <c r="J134" t="s">
        <v>31</v>
      </c>
      <c r="K134">
        <f t="shared" si="43"/>
        <v>52.5</v>
      </c>
      <c r="L134" cm="1">
        <f t="array" ref="L134">STOWA2024_NDJF_T(A134*60,K134,I134,J134,"")</f>
        <v>0.29963562719879505</v>
      </c>
      <c r="M134">
        <f t="shared" si="44"/>
        <v>3.337386843309337</v>
      </c>
    </row>
    <row r="135" spans="1:13" x14ac:dyDescent="0.3">
      <c r="A135">
        <v>216</v>
      </c>
      <c r="B135">
        <f t="shared" si="41"/>
        <v>0.78709888491704216</v>
      </c>
      <c r="C135">
        <f t="shared" si="37"/>
        <v>0.78709888491704216</v>
      </c>
      <c r="D135" t="s">
        <v>30</v>
      </c>
      <c r="E135" t="s">
        <v>19</v>
      </c>
      <c r="F135">
        <v>1</v>
      </c>
      <c r="G135">
        <f t="shared" si="42"/>
        <v>55</v>
      </c>
      <c r="I135">
        <v>2050</v>
      </c>
      <c r="J135" t="s">
        <v>31</v>
      </c>
      <c r="K135">
        <f t="shared" si="43"/>
        <v>57.5</v>
      </c>
      <c r="L135" cm="1">
        <f t="array" ref="L135">STOWA2024_NDJF_T(A135*60,K135,I135,J135,"")</f>
        <v>0.39211258348661204</v>
      </c>
      <c r="M135">
        <f t="shared" si="44"/>
        <v>2.5502879583922948</v>
      </c>
    </row>
    <row r="136" spans="1:13" x14ac:dyDescent="0.3">
      <c r="A136">
        <v>216</v>
      </c>
      <c r="B136">
        <f t="shared" si="41"/>
        <v>0.61047590188865208</v>
      </c>
      <c r="C136">
        <f t="shared" si="37"/>
        <v>0.61047590188865208</v>
      </c>
      <c r="D136" t="s">
        <v>30</v>
      </c>
      <c r="E136" t="s">
        <v>19</v>
      </c>
      <c r="F136">
        <v>1</v>
      </c>
      <c r="G136">
        <f t="shared" si="42"/>
        <v>60</v>
      </c>
      <c r="I136">
        <v>2050</v>
      </c>
      <c r="J136" t="s">
        <v>31</v>
      </c>
      <c r="K136">
        <f t="shared" si="43"/>
        <v>62.5</v>
      </c>
      <c r="L136" cm="1">
        <f t="array" ref="L136">STOWA2024_NDJF_T(A136*60,K136,I136,J136,"")</f>
        <v>0.51551385952431938</v>
      </c>
      <c r="M136">
        <f t="shared" si="44"/>
        <v>1.9398120565036427</v>
      </c>
    </row>
    <row r="137" spans="1:13" x14ac:dyDescent="0.3">
      <c r="A137">
        <v>216</v>
      </c>
      <c r="B137">
        <f t="shared" si="41"/>
        <v>0.4714097372268109</v>
      </c>
      <c r="C137">
        <f t="shared" si="37"/>
        <v>0.4714097372268109</v>
      </c>
      <c r="D137" t="s">
        <v>30</v>
      </c>
      <c r="E137" t="s">
        <v>19</v>
      </c>
      <c r="F137">
        <v>1</v>
      </c>
      <c r="G137">
        <f t="shared" si="42"/>
        <v>65</v>
      </c>
      <c r="I137">
        <v>2050</v>
      </c>
      <c r="J137" t="s">
        <v>31</v>
      </c>
      <c r="K137">
        <f t="shared" si="43"/>
        <v>67.5</v>
      </c>
      <c r="L137" cm="1">
        <f t="array" ref="L137">STOWA2024_NDJF_T(A137*60,K137,I137,J137,"")</f>
        <v>0.6810122722310098</v>
      </c>
      <c r="M137">
        <f t="shared" si="44"/>
        <v>1.4684023192768318</v>
      </c>
    </row>
    <row r="138" spans="1:13" x14ac:dyDescent="0.3">
      <c r="A138">
        <v>216</v>
      </c>
      <c r="B138">
        <f t="shared" si="41"/>
        <v>0.36235800170873311</v>
      </c>
      <c r="C138">
        <f t="shared" si="37"/>
        <v>0.36235800170873311</v>
      </c>
      <c r="D138" t="s">
        <v>30</v>
      </c>
      <c r="E138" t="s">
        <v>19</v>
      </c>
      <c r="F138">
        <v>1</v>
      </c>
      <c r="G138">
        <f t="shared" si="42"/>
        <v>70</v>
      </c>
      <c r="I138">
        <v>2050</v>
      </c>
      <c r="J138" t="s">
        <v>31</v>
      </c>
      <c r="K138">
        <f t="shared" si="43"/>
        <v>72.5</v>
      </c>
      <c r="L138" cm="1">
        <f t="array" ref="L138">STOWA2024_NDJF_T(A138*60,K138,I138,J138,"")</f>
        <v>0.90412290368141635</v>
      </c>
      <c r="M138">
        <f t="shared" si="44"/>
        <v>1.1060443175680987</v>
      </c>
    </row>
    <row r="139" spans="1:13" x14ac:dyDescent="0.3">
      <c r="A139">
        <v>216</v>
      </c>
      <c r="B139">
        <f t="shared" si="41"/>
        <v>0.27715853461307016</v>
      </c>
      <c r="C139">
        <f t="shared" si="37"/>
        <v>0.27715853461307016</v>
      </c>
      <c r="D139" t="s">
        <v>30</v>
      </c>
      <c r="E139" t="s">
        <v>19</v>
      </c>
      <c r="F139">
        <v>1</v>
      </c>
      <c r="G139">
        <f t="shared" si="42"/>
        <v>75</v>
      </c>
      <c r="I139">
        <v>2050</v>
      </c>
      <c r="J139" t="s">
        <v>31</v>
      </c>
      <c r="K139">
        <f t="shared" si="43"/>
        <v>77.5</v>
      </c>
      <c r="L139" cm="1">
        <f t="array" ref="L139">STOWA2024_NDJF_T(A139*60,K139,I139,J139,"")</f>
        <v>1.2064388370071191</v>
      </c>
      <c r="M139">
        <f t="shared" si="44"/>
        <v>0.82888578295502857</v>
      </c>
    </row>
    <row r="140" spans="1:13" x14ac:dyDescent="0.3">
      <c r="A140">
        <v>216</v>
      </c>
      <c r="B140">
        <f t="shared" si="41"/>
        <v>0.2110589567732718</v>
      </c>
      <c r="C140">
        <f t="shared" si="37"/>
        <v>0.2110589567732718</v>
      </c>
      <c r="D140" t="s">
        <v>30</v>
      </c>
      <c r="E140" t="s">
        <v>19</v>
      </c>
      <c r="F140">
        <v>1</v>
      </c>
      <c r="G140">
        <f t="shared" si="42"/>
        <v>80</v>
      </c>
      <c r="I140">
        <v>2050</v>
      </c>
      <c r="J140" t="s">
        <v>31</v>
      </c>
      <c r="K140">
        <f t="shared" si="43"/>
        <v>82.5</v>
      </c>
      <c r="L140" cm="1">
        <f t="array" ref="L140">STOWA2024_NDJF_T(A140*60,K140,I140,J140,"")</f>
        <v>1.6185765292519247</v>
      </c>
      <c r="M140">
        <f t="shared" si="44"/>
        <v>0.61782682618175677</v>
      </c>
    </row>
    <row r="141" spans="1:13" x14ac:dyDescent="0.3">
      <c r="A141">
        <v>216</v>
      </c>
      <c r="B141">
        <f t="shared" si="41"/>
        <v>0.15986420414264119</v>
      </c>
      <c r="C141">
        <f t="shared" si="37"/>
        <v>0.15986420414264119</v>
      </c>
      <c r="D141" t="s">
        <v>30</v>
      </c>
      <c r="E141" t="s">
        <v>19</v>
      </c>
      <c r="F141">
        <v>1</v>
      </c>
      <c r="G141">
        <f t="shared" si="42"/>
        <v>85</v>
      </c>
      <c r="I141">
        <v>2050</v>
      </c>
      <c r="J141" t="s">
        <v>31</v>
      </c>
      <c r="K141">
        <f t="shared" si="43"/>
        <v>87.5</v>
      </c>
      <c r="L141" cm="1">
        <f t="array" ref="L141">STOWA2024_NDJF_T(A141*60,K141,I141,J141,"")</f>
        <v>2.183584318622815</v>
      </c>
      <c r="M141">
        <f t="shared" si="44"/>
        <v>0.45796262203911559</v>
      </c>
    </row>
    <row r="142" spans="1:13" x14ac:dyDescent="0.3">
      <c r="A142">
        <v>216</v>
      </c>
      <c r="B142">
        <f t="shared" si="41"/>
        <v>0.12044567450371541</v>
      </c>
      <c r="C142">
        <f t="shared" si="37"/>
        <v>0.12044567450371541</v>
      </c>
      <c r="D142" t="s">
        <v>30</v>
      </c>
      <c r="E142" t="s">
        <v>19</v>
      </c>
      <c r="F142">
        <v>1</v>
      </c>
      <c r="G142">
        <f t="shared" si="42"/>
        <v>90</v>
      </c>
      <c r="I142">
        <v>2050</v>
      </c>
      <c r="J142" t="s">
        <v>31</v>
      </c>
      <c r="K142">
        <f t="shared" si="43"/>
        <v>92.5</v>
      </c>
      <c r="L142" cm="1">
        <f t="array" ref="L142">STOWA2024_NDJF_T(A142*60,K142,I142,J142,"")</f>
        <v>2.9628141854865402</v>
      </c>
      <c r="M142">
        <f t="shared" si="44"/>
        <v>0.33751694753540018</v>
      </c>
    </row>
    <row r="143" spans="1:13" x14ac:dyDescent="0.3">
      <c r="A143">
        <v>216</v>
      </c>
      <c r="B143">
        <f t="shared" si="41"/>
        <v>9.0251855605559095E-2</v>
      </c>
      <c r="C143">
        <f t="shared" si="37"/>
        <v>9.0251855605559095E-2</v>
      </c>
      <c r="D143" t="s">
        <v>30</v>
      </c>
      <c r="E143" t="s">
        <v>19</v>
      </c>
      <c r="F143">
        <v>1</v>
      </c>
      <c r="G143">
        <f t="shared" si="42"/>
        <v>95</v>
      </c>
      <c r="I143">
        <v>2050</v>
      </c>
      <c r="J143" t="s">
        <v>31</v>
      </c>
      <c r="K143">
        <f t="shared" si="43"/>
        <v>97.5</v>
      </c>
      <c r="L143" cm="1">
        <f t="array" ref="L143">STOWA2024_NDJF_T(A143*60,K143,I143,J143,"")</f>
        <v>4.0442425260891239</v>
      </c>
      <c r="M143">
        <f t="shared" si="44"/>
        <v>0.24726509192984109</v>
      </c>
    </row>
    <row r="144" spans="1:13" x14ac:dyDescent="0.3">
      <c r="A144">
        <v>216</v>
      </c>
      <c r="B144">
        <f t="shared" si="41"/>
        <v>6.7243372456816275E-2</v>
      </c>
      <c r="C144">
        <f t="shared" si="37"/>
        <v>6.7243372456816275E-2</v>
      </c>
      <c r="D144" t="s">
        <v>30</v>
      </c>
      <c r="E144" t="s">
        <v>19</v>
      </c>
      <c r="F144">
        <v>1</v>
      </c>
      <c r="G144">
        <f t="shared" si="42"/>
        <v>100</v>
      </c>
      <c r="I144">
        <v>2050</v>
      </c>
      <c r="J144" t="s">
        <v>31</v>
      </c>
      <c r="K144">
        <f t="shared" si="43"/>
        <v>102.5</v>
      </c>
      <c r="L144" cm="1">
        <f t="array" ref="L144">STOWA2024_NDJF_T(A144*60,K144,I144,J144,"")</f>
        <v>5.5548852823275254</v>
      </c>
      <c r="M144">
        <f t="shared" si="44"/>
        <v>0.18002171947302481</v>
      </c>
    </row>
    <row r="145" spans="1:13" x14ac:dyDescent="0.3">
      <c r="A145">
        <v>216</v>
      </c>
      <c r="B145">
        <f t="shared" si="41"/>
        <v>4.9801565060079794E-2</v>
      </c>
      <c r="C145">
        <f t="shared" si="37"/>
        <v>4.9801565060079794E-2</v>
      </c>
      <c r="D145" t="s">
        <v>30</v>
      </c>
      <c r="E145" t="s">
        <v>19</v>
      </c>
      <c r="F145">
        <v>1</v>
      </c>
      <c r="G145">
        <f t="shared" si="42"/>
        <v>105</v>
      </c>
      <c r="I145">
        <v>2050</v>
      </c>
      <c r="J145" t="s">
        <v>31</v>
      </c>
      <c r="K145">
        <f t="shared" si="43"/>
        <v>107.5</v>
      </c>
      <c r="L145" cm="1">
        <f t="array" ref="L145">STOWA2024_NDJF_T(A145*60,K145,I145,J145,"")</f>
        <v>7.6793028276473247</v>
      </c>
      <c r="M145">
        <f t="shared" si="44"/>
        <v>0.13022015441294502</v>
      </c>
    </row>
    <row r="146" spans="1:13" x14ac:dyDescent="0.3">
      <c r="A146">
        <v>216</v>
      </c>
      <c r="B146">
        <f t="shared" si="41"/>
        <v>3.6657498419925147E-2</v>
      </c>
      <c r="C146">
        <f t="shared" si="37"/>
        <v>3.6657498419925147E-2</v>
      </c>
      <c r="D146" t="s">
        <v>30</v>
      </c>
      <c r="E146" t="s">
        <v>19</v>
      </c>
      <c r="F146">
        <v>1</v>
      </c>
      <c r="G146">
        <f t="shared" si="42"/>
        <v>110</v>
      </c>
      <c r="I146">
        <v>2050</v>
      </c>
      <c r="J146" t="s">
        <v>31</v>
      </c>
      <c r="K146">
        <f t="shared" si="43"/>
        <v>112.5</v>
      </c>
      <c r="L146" cm="1">
        <f t="array" ref="L146">STOWA2024_NDJF_T(A146*60,K146,I146,J146,"")</f>
        <v>10.68802493245386</v>
      </c>
      <c r="M146">
        <f t="shared" si="44"/>
        <v>9.3562655993019869E-2</v>
      </c>
    </row>
    <row r="147" spans="1:13" x14ac:dyDescent="0.3">
      <c r="A147">
        <v>216</v>
      </c>
      <c r="B147">
        <f t="shared" si="41"/>
        <v>2.680976116463453E-2</v>
      </c>
      <c r="C147">
        <f t="shared" si="37"/>
        <v>2.680976116463453E-2</v>
      </c>
      <c r="D147" t="s">
        <v>30</v>
      </c>
      <c r="E147" t="s">
        <v>19</v>
      </c>
      <c r="F147">
        <v>1</v>
      </c>
      <c r="G147">
        <f t="shared" si="42"/>
        <v>115</v>
      </c>
      <c r="I147">
        <v>2050</v>
      </c>
      <c r="J147" t="s">
        <v>31</v>
      </c>
      <c r="K147">
        <f t="shared" si="43"/>
        <v>117.5</v>
      </c>
      <c r="L147" cm="1">
        <f t="array" ref="L147">STOWA2024_NDJF_T(A147*60,K147,I147,J147,"")</f>
        <v>14.980623725321495</v>
      </c>
      <c r="M147">
        <f t="shared" si="44"/>
        <v>6.675289482838534E-2</v>
      </c>
    </row>
    <row r="148" spans="1:13" x14ac:dyDescent="0.3">
      <c r="A148">
        <v>216</v>
      </c>
      <c r="B148">
        <f t="shared" si="41"/>
        <v>1.9475725965788664E-2</v>
      </c>
      <c r="C148">
        <f t="shared" si="37"/>
        <v>1.9475725965788664E-2</v>
      </c>
      <c r="D148" t="s">
        <v>30</v>
      </c>
      <c r="E148" t="s">
        <v>19</v>
      </c>
      <c r="F148">
        <v>1</v>
      </c>
      <c r="G148">
        <f t="shared" si="42"/>
        <v>120</v>
      </c>
      <c r="I148">
        <v>2050</v>
      </c>
      <c r="J148" t="s">
        <v>31</v>
      </c>
      <c r="K148">
        <f t="shared" si="43"/>
        <v>122.5</v>
      </c>
      <c r="L148" cm="1">
        <f t="array" ref="L148">STOWA2024_NDJF_T(A148*60,K148,I148,J148,"")</f>
        <v>21.151858794809304</v>
      </c>
      <c r="M148">
        <f t="shared" si="44"/>
        <v>4.7277168862596676E-2</v>
      </c>
    </row>
    <row r="149" spans="1:13" x14ac:dyDescent="0.3">
      <c r="A149">
        <v>216</v>
      </c>
      <c r="B149">
        <f t="shared" si="41"/>
        <v>1.4049106869831234E-2</v>
      </c>
      <c r="C149">
        <f t="shared" si="37"/>
        <v>1.4049106869831234E-2</v>
      </c>
      <c r="D149" t="s">
        <v>30</v>
      </c>
      <c r="E149" t="s">
        <v>19</v>
      </c>
      <c r="F149">
        <v>1</v>
      </c>
      <c r="G149">
        <f t="shared" si="42"/>
        <v>125</v>
      </c>
      <c r="I149">
        <v>2050</v>
      </c>
      <c r="J149" t="s">
        <v>31</v>
      </c>
      <c r="K149">
        <f t="shared" si="43"/>
        <v>127.5</v>
      </c>
      <c r="L149" cm="1">
        <f t="array" ref="L149">STOWA2024_NDJF_T(A149*60,K149,I149,J149,"")</f>
        <v>30.09504436995827</v>
      </c>
      <c r="M149">
        <f t="shared" si="44"/>
        <v>3.3228061992765442E-2</v>
      </c>
    </row>
    <row r="150" spans="1:13" x14ac:dyDescent="0.3">
      <c r="A150">
        <v>216</v>
      </c>
      <c r="B150">
        <f t="shared" si="41"/>
        <v>1.0060699242426266E-2</v>
      </c>
      <c r="C150">
        <f t="shared" si="37"/>
        <v>1.0060699242426266E-2</v>
      </c>
      <c r="D150" t="s">
        <v>30</v>
      </c>
      <c r="E150" t="s">
        <v>19</v>
      </c>
      <c r="F150">
        <v>1</v>
      </c>
      <c r="G150">
        <f t="shared" si="42"/>
        <v>130</v>
      </c>
      <c r="I150">
        <v>2050</v>
      </c>
      <c r="J150" t="s">
        <v>31</v>
      </c>
      <c r="K150">
        <f t="shared" si="43"/>
        <v>132.5</v>
      </c>
      <c r="L150" cm="1">
        <f t="array" ref="L150">STOWA2024_NDJF_T(A150*60,K150,I150,J150,"")</f>
        <v>43.164170681678463</v>
      </c>
      <c r="M150">
        <f t="shared" si="44"/>
        <v>2.3167362750339177E-2</v>
      </c>
    </row>
    <row r="151" spans="1:13" x14ac:dyDescent="0.3">
      <c r="A151">
        <v>216</v>
      </c>
      <c r="B151">
        <f t="shared" si="41"/>
        <v>7.1493929385992167E-3</v>
      </c>
      <c r="C151">
        <f t="shared" si="37"/>
        <v>7.1493929385992167E-3</v>
      </c>
      <c r="D151" t="s">
        <v>30</v>
      </c>
      <c r="E151" t="s">
        <v>19</v>
      </c>
      <c r="F151">
        <v>1</v>
      </c>
      <c r="G151">
        <f t="shared" si="42"/>
        <v>135</v>
      </c>
      <c r="I151">
        <v>2050</v>
      </c>
      <c r="J151" t="s">
        <v>31</v>
      </c>
      <c r="K151">
        <f t="shared" si="43"/>
        <v>137.5</v>
      </c>
      <c r="L151" cm="1">
        <f t="array" ref="L151">STOWA2024_NDJF_T(A151*60,K151,I151,J151,"")</f>
        <v>62.429884170906334</v>
      </c>
      <c r="M151">
        <f t="shared" si="44"/>
        <v>1.601796981173996E-2</v>
      </c>
    </row>
    <row r="152" spans="1:13" x14ac:dyDescent="0.3">
      <c r="A152">
        <v>216</v>
      </c>
      <c r="B152">
        <f t="shared" si="41"/>
        <v>5.0399452569106669E-3</v>
      </c>
      <c r="C152">
        <f t="shared" si="37"/>
        <v>5.0399452569106669E-3</v>
      </c>
      <c r="D152" t="s">
        <v>30</v>
      </c>
      <c r="E152" t="s">
        <v>19</v>
      </c>
      <c r="F152">
        <v>1</v>
      </c>
      <c r="G152">
        <f t="shared" si="42"/>
        <v>140</v>
      </c>
      <c r="I152">
        <v>2050</v>
      </c>
      <c r="J152" t="s">
        <v>31</v>
      </c>
      <c r="K152">
        <f t="shared" si="43"/>
        <v>142.5</v>
      </c>
      <c r="L152" cm="1">
        <f t="array" ref="L152">STOWA2024_NDJF_T(A152*60,K152,I152,J152,"")</f>
        <v>91.091069709813553</v>
      </c>
      <c r="M152">
        <f t="shared" si="44"/>
        <v>1.0978024554829293E-2</v>
      </c>
    </row>
    <row r="153" spans="1:13" x14ac:dyDescent="0.3">
      <c r="A153">
        <v>216</v>
      </c>
      <c r="B153">
        <f t="shared" si="41"/>
        <v>3.5231429227010587E-3</v>
      </c>
      <c r="C153">
        <f t="shared" si="37"/>
        <v>3.5231429227010587E-3</v>
      </c>
      <c r="D153" t="s">
        <v>30</v>
      </c>
      <c r="E153" t="s">
        <v>19</v>
      </c>
      <c r="F153">
        <v>1</v>
      </c>
      <c r="G153">
        <f t="shared" si="42"/>
        <v>145</v>
      </c>
      <c r="I153">
        <v>2050</v>
      </c>
      <c r="J153" t="s">
        <v>31</v>
      </c>
      <c r="K153">
        <f t="shared" si="43"/>
        <v>147.5</v>
      </c>
      <c r="L153" cm="1">
        <f t="array" ref="L153">STOWA2024_NDJF_T(A153*60,K153,I153,J153,"")</f>
        <v>134.14029213962422</v>
      </c>
      <c r="M153">
        <f t="shared" si="44"/>
        <v>7.4548816321282343E-3</v>
      </c>
    </row>
    <row r="154" spans="1:13" x14ac:dyDescent="0.3">
      <c r="A154">
        <v>216</v>
      </c>
      <c r="B154">
        <f t="shared" si="41"/>
        <v>2.4412253804027119E-3</v>
      </c>
      <c r="C154">
        <f t="shared" si="37"/>
        <v>2.4412253804027119E-3</v>
      </c>
      <c r="D154" t="s">
        <v>30</v>
      </c>
      <c r="E154" t="s">
        <v>19</v>
      </c>
      <c r="F154">
        <v>1</v>
      </c>
      <c r="G154">
        <f t="shared" si="42"/>
        <v>150</v>
      </c>
      <c r="I154">
        <v>2050</v>
      </c>
      <c r="J154" t="s">
        <v>31</v>
      </c>
      <c r="K154">
        <f t="shared" si="43"/>
        <v>152.5</v>
      </c>
      <c r="L154" cm="1">
        <f t="array" ref="L154">STOWA2024_NDJF_T(A154*60,K154,I154,J154,"")</f>
        <v>199.45523781289066</v>
      </c>
      <c r="M154">
        <f t="shared" si="44"/>
        <v>5.0136562517255224E-3</v>
      </c>
    </row>
    <row r="155" spans="1:13" x14ac:dyDescent="0.3">
      <c r="A155">
        <v>216</v>
      </c>
      <c r="B155">
        <f t="shared" si="41"/>
        <v>1.6759130493154929E-3</v>
      </c>
      <c r="C155">
        <f t="shared" si="37"/>
        <v>1.6759130493154929E-3</v>
      </c>
      <c r="D155" t="s">
        <v>30</v>
      </c>
      <c r="E155" t="s">
        <v>19</v>
      </c>
      <c r="F155">
        <v>1</v>
      </c>
      <c r="G155">
        <f t="shared" si="42"/>
        <v>155</v>
      </c>
      <c r="I155">
        <v>2050</v>
      </c>
      <c r="J155" t="s">
        <v>31</v>
      </c>
      <c r="K155">
        <f t="shared" si="43"/>
        <v>157.5</v>
      </c>
      <c r="L155" cm="1">
        <f t="array" ref="L155">STOWA2024_NDJF_T(A155*60,K155,I155,J155,"")</f>
        <v>299.6036361568938</v>
      </c>
      <c r="M155">
        <f t="shared" si="44"/>
        <v>3.3377432024100295E-3</v>
      </c>
    </row>
    <row r="156" spans="1:13" x14ac:dyDescent="0.3">
      <c r="A156">
        <v>216</v>
      </c>
      <c r="B156" s="1">
        <f>M155</f>
        <v>3.3377432024100295E-3</v>
      </c>
      <c r="C156">
        <f t="shared" si="37"/>
        <v>3.3377432024100295E-3</v>
      </c>
      <c r="D156" t="s">
        <v>30</v>
      </c>
      <c r="E156" t="s">
        <v>19</v>
      </c>
      <c r="F156">
        <v>1</v>
      </c>
      <c r="G156">
        <f t="shared" si="42"/>
        <v>160</v>
      </c>
      <c r="I156">
        <v>2050</v>
      </c>
      <c r="J156" t="s">
        <v>31</v>
      </c>
      <c r="K156">
        <f>AVERAGE(G156:G157)</f>
        <v>160</v>
      </c>
      <c r="L156" cm="1">
        <f t="array" ref="L156">STOWA2024_NDJF_T(A156*60,K156,I156,J156,"")</f>
        <v>368.65963178177111</v>
      </c>
      <c r="M156">
        <f>1/L156</f>
        <v>2.7125291564115495E-3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56"/>
  <sheetViews>
    <sheetView workbookViewId="0">
      <selection activeCell="B23" sqref="B23"/>
    </sheetView>
  </sheetViews>
  <sheetFormatPr defaultRowHeight="14.4" x14ac:dyDescent="0.3"/>
  <cols>
    <col min="1" max="1" width="6" bestFit="1" customWidth="1"/>
    <col min="2" max="3" width="12.6640625" bestFit="1" customWidth="1"/>
    <col min="4" max="4" width="17.21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348.87010373762945</v>
      </c>
      <c r="C2">
        <f>B2</f>
        <v>348.87010373762945</v>
      </c>
      <c r="D2" t="s">
        <v>32</v>
      </c>
      <c r="E2" t="s">
        <v>21</v>
      </c>
      <c r="F2">
        <v>1</v>
      </c>
      <c r="G2">
        <v>10</v>
      </c>
      <c r="I2">
        <v>2100</v>
      </c>
      <c r="J2" t="s">
        <v>25</v>
      </c>
      <c r="K2">
        <f>AVERAGE(G2:G4)</f>
        <v>15</v>
      </c>
      <c r="L2" cm="1">
        <f t="array" ref="L2">STOWA2024_JAARROND_T(A2*60,K2,I2,J2,"")</f>
        <v>6.1050447694061011E-2</v>
      </c>
      <c r="M2">
        <f>1/L2</f>
        <v>16.379896262370572</v>
      </c>
    </row>
    <row r="3" spans="1:13" x14ac:dyDescent="0.3">
      <c r="A3">
        <v>24</v>
      </c>
      <c r="B3">
        <f t="shared" ref="B3:B7" si="0">M2-M3</f>
        <v>4.8856373680426302</v>
      </c>
      <c r="C3">
        <f t="shared" ref="C3:C32" si="1">B3</f>
        <v>4.8856373680426302</v>
      </c>
      <c r="D3" t="s">
        <v>32</v>
      </c>
      <c r="E3" t="s">
        <v>21</v>
      </c>
      <c r="F3">
        <v>1</v>
      </c>
      <c r="G3">
        <f t="shared" ref="G3:G7" si="2">G2+5</f>
        <v>15</v>
      </c>
      <c r="I3">
        <v>2100</v>
      </c>
      <c r="J3" t="s">
        <v>25</v>
      </c>
      <c r="K3">
        <f t="shared" ref="K3:K7" si="3">AVERAGE(G3:G4)</f>
        <v>17.5</v>
      </c>
      <c r="L3" cm="1">
        <f t="array" ref="L3">STOWA2024_JAARROND_T(A3*60,K3,I3,J3,"")</f>
        <v>8.6999954428855678E-2</v>
      </c>
      <c r="M3">
        <f t="shared" ref="M3:M7" si="4">1/L3</f>
        <v>11.494258894327942</v>
      </c>
    </row>
    <row r="4" spans="1:13" x14ac:dyDescent="0.3">
      <c r="A4">
        <v>24</v>
      </c>
      <c r="B4">
        <f t="shared" si="0"/>
        <v>5.5563673429923339</v>
      </c>
      <c r="C4">
        <f t="shared" si="1"/>
        <v>5.5563673429923339</v>
      </c>
      <c r="D4" t="s">
        <v>32</v>
      </c>
      <c r="E4" t="s">
        <v>21</v>
      </c>
      <c r="F4">
        <v>1</v>
      </c>
      <c r="G4">
        <f t="shared" si="2"/>
        <v>20</v>
      </c>
      <c r="I4">
        <v>2100</v>
      </c>
      <c r="J4" t="s">
        <v>25</v>
      </c>
      <c r="K4">
        <f t="shared" si="3"/>
        <v>22.5</v>
      </c>
      <c r="L4" cm="1">
        <f t="array" ref="L4">STOWA2024_JAARROND_T(A4*60,K4,I4,J4,"")</f>
        <v>0.16840994675543886</v>
      </c>
      <c r="M4">
        <f t="shared" si="4"/>
        <v>5.9378915513356079</v>
      </c>
    </row>
    <row r="5" spans="1:13" x14ac:dyDescent="0.3">
      <c r="A5">
        <v>24</v>
      </c>
      <c r="B5">
        <f t="shared" si="0"/>
        <v>2.6967849400457227</v>
      </c>
      <c r="C5">
        <f t="shared" si="1"/>
        <v>2.6967849400457227</v>
      </c>
      <c r="D5" t="s">
        <v>32</v>
      </c>
      <c r="E5" t="s">
        <v>21</v>
      </c>
      <c r="F5">
        <v>1</v>
      </c>
      <c r="G5">
        <f t="shared" si="2"/>
        <v>25</v>
      </c>
      <c r="I5">
        <v>2100</v>
      </c>
      <c r="J5" t="s">
        <v>25</v>
      </c>
      <c r="K5">
        <f t="shared" si="3"/>
        <v>27.5</v>
      </c>
      <c r="L5" cm="1">
        <f t="array" ref="L5">STOWA2024_JAARROND_T(A5*60,K5,I5,J5,"")</f>
        <v>0.30853659565429203</v>
      </c>
      <c r="M5">
        <f t="shared" si="4"/>
        <v>3.2411066112898852</v>
      </c>
    </row>
    <row r="6" spans="1:13" x14ac:dyDescent="0.3">
      <c r="A6">
        <v>24</v>
      </c>
      <c r="B6">
        <f t="shared" si="0"/>
        <v>1.3876332439795469</v>
      </c>
      <c r="C6">
        <f t="shared" si="1"/>
        <v>1.3876332439795469</v>
      </c>
      <c r="D6" t="s">
        <v>32</v>
      </c>
      <c r="E6" t="s">
        <v>21</v>
      </c>
      <c r="F6">
        <v>1</v>
      </c>
      <c r="G6">
        <f t="shared" si="2"/>
        <v>30</v>
      </c>
      <c r="I6">
        <v>2100</v>
      </c>
      <c r="J6" t="s">
        <v>25</v>
      </c>
      <c r="K6">
        <f t="shared" si="3"/>
        <v>32.5</v>
      </c>
      <c r="L6" cm="1">
        <f t="array" ref="L6">STOWA2024_JAARROND_T(A6*60,K6,I6,J6,"")</f>
        <v>0.53952757975214216</v>
      </c>
      <c r="M6">
        <f t="shared" si="4"/>
        <v>1.8534733673103383</v>
      </c>
    </row>
    <row r="7" spans="1:13" x14ac:dyDescent="0.3">
      <c r="A7">
        <v>24</v>
      </c>
      <c r="B7">
        <f t="shared" si="0"/>
        <v>0.75036150990582762</v>
      </c>
      <c r="C7">
        <f t="shared" si="1"/>
        <v>0.75036150990582762</v>
      </c>
      <c r="D7" t="s">
        <v>32</v>
      </c>
      <c r="E7" t="s">
        <v>21</v>
      </c>
      <c r="F7">
        <v>1</v>
      </c>
      <c r="G7">
        <f t="shared" si="2"/>
        <v>35</v>
      </c>
      <c r="I7">
        <v>2100</v>
      </c>
      <c r="J7" t="s">
        <v>25</v>
      </c>
      <c r="K7">
        <f t="shared" si="3"/>
        <v>37.5</v>
      </c>
      <c r="L7" cm="1">
        <f t="array" ref="L7">STOWA2024_JAARROND_T(A7*60,K7,I7,J7,"")</f>
        <v>0.90652638106246053</v>
      </c>
      <c r="M7">
        <f t="shared" si="4"/>
        <v>1.1031118574045107</v>
      </c>
    </row>
    <row r="8" spans="1:13" x14ac:dyDescent="0.3">
      <c r="A8">
        <v>24</v>
      </c>
      <c r="B8">
        <f>M7-M8</f>
        <v>0.4234026283805371</v>
      </c>
      <c r="C8">
        <f t="shared" si="1"/>
        <v>0.4234026283805371</v>
      </c>
      <c r="D8" t="s">
        <v>32</v>
      </c>
      <c r="E8" t="s">
        <v>21</v>
      </c>
      <c r="F8">
        <v>1</v>
      </c>
      <c r="G8">
        <f>G7+5</f>
        <v>40</v>
      </c>
      <c r="I8">
        <v>2100</v>
      </c>
      <c r="J8" t="s">
        <v>25</v>
      </c>
      <c r="K8">
        <f>AVERAGE(G8:G9)</f>
        <v>42.5</v>
      </c>
      <c r="L8" cm="1">
        <f t="array" ref="L8">STOWA2024_JAARROND_T(A8*60,K8,I8,J8,"")</f>
        <v>1.4712173342650459</v>
      </c>
      <c r="M8">
        <f>1/L8</f>
        <v>0.67970922902397357</v>
      </c>
    </row>
    <row r="9" spans="1:13" x14ac:dyDescent="0.3">
      <c r="A9">
        <v>24</v>
      </c>
      <c r="B9">
        <f t="shared" ref="B9:B31" si="5">M8-M9</f>
        <v>0.24807607694455541</v>
      </c>
      <c r="C9">
        <f t="shared" si="1"/>
        <v>0.24807607694455541</v>
      </c>
      <c r="D9" t="s">
        <v>32</v>
      </c>
      <c r="E9" t="s">
        <v>21</v>
      </c>
      <c r="F9">
        <v>1</v>
      </c>
      <c r="G9">
        <f t="shared" ref="G9:G32" si="6">G8+5</f>
        <v>45</v>
      </c>
      <c r="I9">
        <v>2100</v>
      </c>
      <c r="J9" t="s">
        <v>25</v>
      </c>
      <c r="K9">
        <f t="shared" ref="K9:K31" si="7">AVERAGE(G9:G10)</f>
        <v>47.5</v>
      </c>
      <c r="L9" cm="1">
        <f t="array" ref="L9">STOWA2024_JAARROND_T(A9*60,K9,I9,J9,"")</f>
        <v>2.316782191503227</v>
      </c>
      <c r="M9">
        <f t="shared" ref="M9:M31" si="8">1/L9</f>
        <v>0.43163315207941816</v>
      </c>
    </row>
    <row r="10" spans="1:13" x14ac:dyDescent="0.3">
      <c r="A10">
        <v>24</v>
      </c>
      <c r="B10">
        <f t="shared" si="5"/>
        <v>0.15011285292824839</v>
      </c>
      <c r="C10">
        <f t="shared" si="1"/>
        <v>0.15011285292824839</v>
      </c>
      <c r="D10" t="s">
        <v>32</v>
      </c>
      <c r="E10" t="s">
        <v>21</v>
      </c>
      <c r="F10">
        <v>1</v>
      </c>
      <c r="G10">
        <f t="shared" si="6"/>
        <v>50</v>
      </c>
      <c r="I10">
        <v>2100</v>
      </c>
      <c r="J10" t="s">
        <v>25</v>
      </c>
      <c r="K10">
        <f t="shared" si="7"/>
        <v>52.5</v>
      </c>
      <c r="L10" cm="1">
        <f t="array" ref="L10">STOWA2024_JAARROND_T(A10*60,K10,I10,J10,"")</f>
        <v>3.5521417212725521</v>
      </c>
      <c r="M10">
        <f t="shared" si="8"/>
        <v>0.28152029915116977</v>
      </c>
    </row>
    <row r="11" spans="1:13" x14ac:dyDescent="0.3">
      <c r="A11">
        <v>24</v>
      </c>
      <c r="B11">
        <f t="shared" si="5"/>
        <v>9.3497492589092068E-2</v>
      </c>
      <c r="C11">
        <f t="shared" si="1"/>
        <v>9.3497492589092068E-2</v>
      </c>
      <c r="D11" t="s">
        <v>32</v>
      </c>
      <c r="E11" t="s">
        <v>21</v>
      </c>
      <c r="F11">
        <v>1</v>
      </c>
      <c r="G11">
        <f t="shared" si="6"/>
        <v>55</v>
      </c>
      <c r="I11">
        <v>2100</v>
      </c>
      <c r="J11" t="s">
        <v>25</v>
      </c>
      <c r="K11">
        <f t="shared" si="7"/>
        <v>57.5</v>
      </c>
      <c r="L11" cm="1">
        <f t="array" ref="L11">STOWA2024_JAARROND_T(A11*60,K11,I11,J11,"")</f>
        <v>5.318503740501499</v>
      </c>
      <c r="M11">
        <f t="shared" si="8"/>
        <v>0.1880228065620777</v>
      </c>
    </row>
    <row r="12" spans="1:13" x14ac:dyDescent="0.3">
      <c r="A12">
        <v>24</v>
      </c>
      <c r="B12">
        <f t="shared" si="5"/>
        <v>5.9748565755463057E-2</v>
      </c>
      <c r="C12">
        <f t="shared" si="1"/>
        <v>5.9748565755463057E-2</v>
      </c>
      <c r="D12" t="s">
        <v>32</v>
      </c>
      <c r="E12" t="s">
        <v>21</v>
      </c>
      <c r="F12">
        <v>1</v>
      </c>
      <c r="G12">
        <f t="shared" si="6"/>
        <v>60</v>
      </c>
      <c r="I12">
        <v>2100</v>
      </c>
      <c r="J12" t="s">
        <v>25</v>
      </c>
      <c r="K12">
        <f t="shared" si="7"/>
        <v>62.5</v>
      </c>
      <c r="L12" cm="1">
        <f t="array" ref="L12">STOWA2024_JAARROND_T(A12*60,K12,I12,J12,"")</f>
        <v>7.7957974548264373</v>
      </c>
      <c r="M12">
        <f t="shared" si="8"/>
        <v>0.12827424080661465</v>
      </c>
    </row>
    <row r="13" spans="1:13" x14ac:dyDescent="0.3">
      <c r="A13">
        <v>24</v>
      </c>
      <c r="B13">
        <f t="shared" si="5"/>
        <v>3.9073466321025027E-2</v>
      </c>
      <c r="C13">
        <f t="shared" si="1"/>
        <v>3.9073466321025027E-2</v>
      </c>
      <c r="D13" t="s">
        <v>32</v>
      </c>
      <c r="E13" t="s">
        <v>21</v>
      </c>
      <c r="F13">
        <v>1</v>
      </c>
      <c r="G13">
        <f t="shared" si="6"/>
        <v>65</v>
      </c>
      <c r="I13">
        <v>2100</v>
      </c>
      <c r="J13" t="s">
        <v>25</v>
      </c>
      <c r="K13">
        <f t="shared" si="7"/>
        <v>67.5</v>
      </c>
      <c r="L13" cm="1">
        <f t="array" ref="L13">STOWA2024_JAARROND_T(A13*60,K13,I13,J13,"")</f>
        <v>11.210664994411568</v>
      </c>
      <c r="M13">
        <f t="shared" si="8"/>
        <v>8.9200774485589621E-2</v>
      </c>
    </row>
    <row r="14" spans="1:13" x14ac:dyDescent="0.3">
      <c r="A14">
        <v>24</v>
      </c>
      <c r="B14">
        <f t="shared" si="5"/>
        <v>2.6089366594114677E-2</v>
      </c>
      <c r="C14">
        <f t="shared" si="1"/>
        <v>2.6089366594114677E-2</v>
      </c>
      <c r="D14" t="s">
        <v>32</v>
      </c>
      <c r="E14" t="s">
        <v>21</v>
      </c>
      <c r="F14">
        <v>1</v>
      </c>
      <c r="G14">
        <f t="shared" si="6"/>
        <v>70</v>
      </c>
      <c r="I14">
        <v>2100</v>
      </c>
      <c r="J14" t="s">
        <v>25</v>
      </c>
      <c r="K14">
        <f t="shared" si="7"/>
        <v>72.5</v>
      </c>
      <c r="L14" cm="1">
        <f t="array" ref="L14">STOWA2024_JAARROND_T(A14*60,K14,I14,J14,"")</f>
        <v>15.844995911350592</v>
      </c>
      <c r="M14">
        <f t="shared" si="8"/>
        <v>6.3111407891474944E-2</v>
      </c>
    </row>
    <row r="15" spans="1:13" x14ac:dyDescent="0.3">
      <c r="A15">
        <v>24</v>
      </c>
      <c r="B15">
        <f t="shared" si="5"/>
        <v>1.7751225408804569E-2</v>
      </c>
      <c r="C15">
        <f t="shared" si="1"/>
        <v>1.7751225408804569E-2</v>
      </c>
      <c r="D15" t="s">
        <v>32</v>
      </c>
      <c r="E15" t="s">
        <v>21</v>
      </c>
      <c r="F15">
        <v>1</v>
      </c>
      <c r="G15">
        <f t="shared" si="6"/>
        <v>75</v>
      </c>
      <c r="I15">
        <v>2100</v>
      </c>
      <c r="J15" t="s">
        <v>25</v>
      </c>
      <c r="K15">
        <f t="shared" si="7"/>
        <v>77.5</v>
      </c>
      <c r="L15" cm="1">
        <f t="array" ref="L15">STOWA2024_JAARROND_T(A15*60,K15,I15,J15,"")</f>
        <v>22.04576668936561</v>
      </c>
      <c r="M15">
        <f t="shared" si="8"/>
        <v>4.5360182482670375E-2</v>
      </c>
    </row>
    <row r="16" spans="1:13" x14ac:dyDescent="0.3">
      <c r="A16">
        <v>24</v>
      </c>
      <c r="B16">
        <f t="shared" si="5"/>
        <v>1.2286998992383981E-2</v>
      </c>
      <c r="C16">
        <f t="shared" si="1"/>
        <v>1.2286998992383981E-2</v>
      </c>
      <c r="D16" t="s">
        <v>32</v>
      </c>
      <c r="E16" t="s">
        <v>21</v>
      </c>
      <c r="F16">
        <v>1</v>
      </c>
      <c r="G16">
        <f t="shared" si="6"/>
        <v>80</v>
      </c>
      <c r="I16">
        <v>2100</v>
      </c>
      <c r="J16" t="s">
        <v>25</v>
      </c>
      <c r="K16">
        <f t="shared" si="7"/>
        <v>82.5</v>
      </c>
      <c r="L16" cm="1">
        <f t="array" ref="L16">STOWA2024_JAARROND_T(A16*60,K16,I16,J16,"")</f>
        <v>30.235976536510325</v>
      </c>
      <c r="M16">
        <f t="shared" si="8"/>
        <v>3.3073183490286394E-2</v>
      </c>
    </row>
    <row r="17" spans="1:13" x14ac:dyDescent="0.3">
      <c r="A17">
        <v>24</v>
      </c>
      <c r="B17">
        <f t="shared" si="5"/>
        <v>8.6390939539302963E-3</v>
      </c>
      <c r="C17">
        <f t="shared" si="1"/>
        <v>8.6390939539302963E-3</v>
      </c>
      <c r="D17" t="s">
        <v>32</v>
      </c>
      <c r="E17" t="s">
        <v>21</v>
      </c>
      <c r="F17">
        <v>1</v>
      </c>
      <c r="G17">
        <f t="shared" si="6"/>
        <v>85</v>
      </c>
      <c r="I17">
        <v>2100</v>
      </c>
      <c r="J17" t="s">
        <v>25</v>
      </c>
      <c r="K17">
        <f t="shared" si="7"/>
        <v>87.5</v>
      </c>
      <c r="L17" cm="1">
        <f t="array" ref="L17">STOWA2024_JAARROND_T(A17*60,K17,I17,J17,"")</f>
        <v>40.926427748088372</v>
      </c>
      <c r="M17">
        <f t="shared" si="8"/>
        <v>2.4434089536356098E-2</v>
      </c>
    </row>
    <row r="18" spans="1:13" x14ac:dyDescent="0.3">
      <c r="A18">
        <v>24</v>
      </c>
      <c r="B18">
        <f t="shared" si="5"/>
        <v>6.1627752938429523E-3</v>
      </c>
      <c r="C18">
        <f t="shared" si="1"/>
        <v>6.1627752938429523E-3</v>
      </c>
      <c r="D18" t="s">
        <v>32</v>
      </c>
      <c r="E18" t="s">
        <v>21</v>
      </c>
      <c r="F18">
        <v>1</v>
      </c>
      <c r="G18">
        <f t="shared" si="6"/>
        <v>90</v>
      </c>
      <c r="I18">
        <v>2100</v>
      </c>
      <c r="J18" t="s">
        <v>25</v>
      </c>
      <c r="K18">
        <f t="shared" si="7"/>
        <v>92.5</v>
      </c>
      <c r="L18" cm="1">
        <f t="array" ref="L18">STOWA2024_JAARROND_T(A18*60,K18,I18,J18,"")</f>
        <v>54.730600477180239</v>
      </c>
      <c r="M18">
        <f t="shared" si="8"/>
        <v>1.8271314242513145E-2</v>
      </c>
    </row>
    <row r="19" spans="1:13" x14ac:dyDescent="0.3">
      <c r="A19">
        <v>24</v>
      </c>
      <c r="B19">
        <f t="shared" si="5"/>
        <v>4.4547337938611563E-3</v>
      </c>
      <c r="C19">
        <f t="shared" si="1"/>
        <v>4.4547337938611563E-3</v>
      </c>
      <c r="D19" t="s">
        <v>32</v>
      </c>
      <c r="E19" t="s">
        <v>21</v>
      </c>
      <c r="F19">
        <v>1</v>
      </c>
      <c r="G19">
        <f t="shared" si="6"/>
        <v>95</v>
      </c>
      <c r="I19">
        <v>2100</v>
      </c>
      <c r="J19" t="s">
        <v>25</v>
      </c>
      <c r="K19">
        <f t="shared" si="7"/>
        <v>97.5</v>
      </c>
      <c r="L19" cm="1">
        <f t="array" ref="L19">STOWA2024_JAARROND_T(A19*60,K19,I19,J19,"")</f>
        <v>72.376808698534717</v>
      </c>
      <c r="M19">
        <f t="shared" si="8"/>
        <v>1.3816580448651989E-2</v>
      </c>
    </row>
    <row r="20" spans="1:13" x14ac:dyDescent="0.3">
      <c r="A20">
        <v>24</v>
      </c>
      <c r="B20">
        <f t="shared" si="5"/>
        <v>3.2599548023264577E-3</v>
      </c>
      <c r="C20">
        <f t="shared" si="1"/>
        <v>3.2599548023264577E-3</v>
      </c>
      <c r="D20" t="s">
        <v>32</v>
      </c>
      <c r="E20" t="s">
        <v>21</v>
      </c>
      <c r="F20">
        <v>1</v>
      </c>
      <c r="G20">
        <f t="shared" si="6"/>
        <v>100</v>
      </c>
      <c r="I20">
        <v>2100</v>
      </c>
      <c r="J20" t="s">
        <v>25</v>
      </c>
      <c r="K20">
        <f t="shared" si="7"/>
        <v>102.5</v>
      </c>
      <c r="L20" cm="1">
        <f t="array" ref="L20">STOWA2024_JAARROND_T(A20*60,K20,I20,J20,"")</f>
        <v>94.727238940036898</v>
      </c>
      <c r="M20">
        <f t="shared" si="8"/>
        <v>1.0556625646325531E-2</v>
      </c>
    </row>
    <row r="21" spans="1:13" x14ac:dyDescent="0.3">
      <c r="A21">
        <v>24</v>
      </c>
      <c r="B21">
        <f t="shared" si="5"/>
        <v>2.4129117365821306E-3</v>
      </c>
      <c r="C21">
        <f t="shared" si="1"/>
        <v>2.4129117365821306E-3</v>
      </c>
      <c r="D21" t="s">
        <v>32</v>
      </c>
      <c r="E21" t="s">
        <v>21</v>
      </c>
      <c r="F21">
        <v>1</v>
      </c>
      <c r="G21">
        <f t="shared" si="6"/>
        <v>105</v>
      </c>
      <c r="I21">
        <v>2100</v>
      </c>
      <c r="J21" t="s">
        <v>25</v>
      </c>
      <c r="K21">
        <f t="shared" si="7"/>
        <v>107.5</v>
      </c>
      <c r="L21" cm="1">
        <f t="array" ref="L21">STOWA2024_JAARROND_T(A21*60,K21,I21,J21,"")</f>
        <v>122.79409751901622</v>
      </c>
      <c r="M21">
        <f t="shared" si="8"/>
        <v>8.1437139097434007E-3</v>
      </c>
    </row>
    <row r="22" spans="1:13" x14ac:dyDescent="0.3">
      <c r="A22">
        <v>24</v>
      </c>
      <c r="B22">
        <f t="shared" si="5"/>
        <v>1.804943706109661E-3</v>
      </c>
      <c r="C22">
        <f t="shared" si="1"/>
        <v>1.804943706109661E-3</v>
      </c>
      <c r="D22" t="s">
        <v>32</v>
      </c>
      <c r="E22" t="s">
        <v>21</v>
      </c>
      <c r="F22">
        <v>1</v>
      </c>
      <c r="G22">
        <f t="shared" si="6"/>
        <v>110</v>
      </c>
      <c r="I22">
        <v>2100</v>
      </c>
      <c r="J22" t="s">
        <v>25</v>
      </c>
      <c r="K22">
        <f t="shared" si="7"/>
        <v>112.5</v>
      </c>
      <c r="L22" cm="1">
        <f t="array" ref="L22">STOWA2024_JAARROND_T(A22*60,K22,I22,J22,"")</f>
        <v>157.75930785860382</v>
      </c>
      <c r="M22">
        <f t="shared" si="8"/>
        <v>6.3387702036337397E-3</v>
      </c>
    </row>
    <row r="23" spans="1:13" x14ac:dyDescent="0.3">
      <c r="A23">
        <v>24</v>
      </c>
      <c r="B23">
        <f t="shared" si="5"/>
        <v>1.3635708028832154E-3</v>
      </c>
      <c r="C23">
        <f t="shared" si="1"/>
        <v>1.3635708028832154E-3</v>
      </c>
      <c r="D23" t="s">
        <v>32</v>
      </c>
      <c r="E23" t="s">
        <v>21</v>
      </c>
      <c r="F23">
        <v>1</v>
      </c>
      <c r="G23">
        <f t="shared" si="6"/>
        <v>115</v>
      </c>
      <c r="I23">
        <v>2100</v>
      </c>
      <c r="J23" t="s">
        <v>25</v>
      </c>
      <c r="K23">
        <f t="shared" si="7"/>
        <v>117.5</v>
      </c>
      <c r="L23" cm="1">
        <f t="array" ref="L23">STOWA2024_JAARROND_T(A23*60,K23,I23,J23,"")</f>
        <v>200.99696905598333</v>
      </c>
      <c r="M23">
        <f t="shared" si="8"/>
        <v>4.9751994007505244E-3</v>
      </c>
    </row>
    <row r="24" spans="1:13" x14ac:dyDescent="0.3">
      <c r="A24">
        <v>24</v>
      </c>
      <c r="B24">
        <f t="shared" si="5"/>
        <v>1.0395662147261132E-3</v>
      </c>
      <c r="C24">
        <f t="shared" si="1"/>
        <v>1.0395662147261132E-3</v>
      </c>
      <c r="D24" t="s">
        <v>32</v>
      </c>
      <c r="E24" t="s">
        <v>21</v>
      </c>
      <c r="F24">
        <v>1</v>
      </c>
      <c r="G24">
        <f t="shared" si="6"/>
        <v>120</v>
      </c>
      <c r="I24">
        <v>2100</v>
      </c>
      <c r="J24" t="s">
        <v>25</v>
      </c>
      <c r="K24">
        <f t="shared" si="7"/>
        <v>122.5</v>
      </c>
      <c r="L24" cm="1">
        <f t="array" ref="L24">STOWA2024_JAARROND_T(A24*60,K24,I24,J24,"")</f>
        <v>254.08872034899989</v>
      </c>
      <c r="M24">
        <f t="shared" si="8"/>
        <v>3.9356331860244112E-3</v>
      </c>
    </row>
    <row r="25" spans="1:13" x14ac:dyDescent="0.3">
      <c r="A25">
        <v>24</v>
      </c>
      <c r="B25">
        <f t="shared" si="5"/>
        <v>7.9949005647653691E-4</v>
      </c>
      <c r="C25">
        <f t="shared" si="1"/>
        <v>7.9949005647653691E-4</v>
      </c>
      <c r="D25" t="s">
        <v>32</v>
      </c>
      <c r="E25" t="s">
        <v>21</v>
      </c>
      <c r="F25">
        <v>1</v>
      </c>
      <c r="G25">
        <f t="shared" si="6"/>
        <v>125</v>
      </c>
      <c r="I25">
        <v>2100</v>
      </c>
      <c r="J25" t="s">
        <v>25</v>
      </c>
      <c r="K25">
        <f t="shared" si="7"/>
        <v>127.5</v>
      </c>
      <c r="L25" cm="1">
        <f t="array" ref="L25">STOWA2024_JAARROND_T(A25*60,K25,I25,J25,"")</f>
        <v>318.86299785818966</v>
      </c>
      <c r="M25">
        <f t="shared" si="8"/>
        <v>3.1361431295478743E-3</v>
      </c>
    </row>
    <row r="26" spans="1:13" x14ac:dyDescent="0.3">
      <c r="A26">
        <v>24</v>
      </c>
      <c r="B26">
        <f t="shared" si="5"/>
        <v>6.1982953779003442E-4</v>
      </c>
      <c r="C26">
        <f t="shared" si="1"/>
        <v>6.1982953779003442E-4</v>
      </c>
      <c r="D26" t="s">
        <v>32</v>
      </c>
      <c r="E26" t="s">
        <v>21</v>
      </c>
      <c r="F26">
        <v>1</v>
      </c>
      <c r="G26">
        <f t="shared" si="6"/>
        <v>130</v>
      </c>
      <c r="I26">
        <v>2100</v>
      </c>
      <c r="J26" t="s">
        <v>25</v>
      </c>
      <c r="K26">
        <f t="shared" si="7"/>
        <v>132.5</v>
      </c>
      <c r="L26" cm="1">
        <f t="array" ref="L26">STOWA2024_JAARROND_T(A26*60,K26,I26,J26,"")</f>
        <v>397.40674742428371</v>
      </c>
      <c r="M26">
        <f t="shared" si="8"/>
        <v>2.5163135917578398E-3</v>
      </c>
    </row>
    <row r="27" spans="1:13" x14ac:dyDescent="0.3">
      <c r="A27">
        <v>24</v>
      </c>
      <c r="B27">
        <f t="shared" si="5"/>
        <v>4.8421119879190917E-4</v>
      </c>
      <c r="C27">
        <f t="shared" si="1"/>
        <v>4.8421119879190917E-4</v>
      </c>
      <c r="D27" t="s">
        <v>32</v>
      </c>
      <c r="E27" t="s">
        <v>21</v>
      </c>
      <c r="F27">
        <v>1</v>
      </c>
      <c r="G27">
        <f t="shared" si="6"/>
        <v>135</v>
      </c>
      <c r="I27">
        <v>2100</v>
      </c>
      <c r="J27" t="s">
        <v>25</v>
      </c>
      <c r="K27">
        <f t="shared" si="7"/>
        <v>137.5</v>
      </c>
      <c r="L27" cm="1">
        <f t="array" ref="L27">STOWA2024_JAARROND_T(A27*60,K27,I27,J27,"")</f>
        <v>492.10118715546713</v>
      </c>
      <c r="M27">
        <f t="shared" si="8"/>
        <v>2.0321023929659307E-3</v>
      </c>
    </row>
    <row r="28" spans="1:13" x14ac:dyDescent="0.3">
      <c r="A28">
        <v>24</v>
      </c>
      <c r="B28">
        <f t="shared" si="5"/>
        <v>3.80985915703779E-4</v>
      </c>
      <c r="C28">
        <f t="shared" si="1"/>
        <v>3.80985915703779E-4</v>
      </c>
      <c r="D28" t="s">
        <v>32</v>
      </c>
      <c r="E28" t="s">
        <v>21</v>
      </c>
      <c r="F28">
        <v>1</v>
      </c>
      <c r="G28">
        <f t="shared" si="6"/>
        <v>140</v>
      </c>
      <c r="I28">
        <v>2100</v>
      </c>
      <c r="J28" t="s">
        <v>25</v>
      </c>
      <c r="K28">
        <f t="shared" si="7"/>
        <v>142.5</v>
      </c>
      <c r="L28" cm="1">
        <f t="array" ref="L28">STOWA2024_JAARROND_T(A28*60,K28,I28,J28,"")</f>
        <v>605.65079070507488</v>
      </c>
      <c r="M28">
        <f t="shared" si="8"/>
        <v>1.6511164772621517E-3</v>
      </c>
    </row>
    <row r="29" spans="1:13" x14ac:dyDescent="0.3">
      <c r="A29">
        <v>24</v>
      </c>
      <c r="B29">
        <f t="shared" si="5"/>
        <v>3.0179981266463692E-4</v>
      </c>
      <c r="C29">
        <f t="shared" si="1"/>
        <v>3.0179981266463692E-4</v>
      </c>
      <c r="D29" t="s">
        <v>32</v>
      </c>
      <c r="E29" t="s">
        <v>21</v>
      </c>
      <c r="F29">
        <v>1</v>
      </c>
      <c r="G29">
        <f t="shared" si="6"/>
        <v>145</v>
      </c>
      <c r="I29">
        <v>2100</v>
      </c>
      <c r="J29" t="s">
        <v>25</v>
      </c>
      <c r="K29">
        <f t="shared" si="7"/>
        <v>147.5</v>
      </c>
      <c r="L29" cm="1">
        <f t="array" ref="L29">STOWA2024_JAARROND_T(A29*60,K29,I29,J29,"")</f>
        <v>741.11587460330384</v>
      </c>
      <c r="M29">
        <f t="shared" si="8"/>
        <v>1.3493166645975148E-3</v>
      </c>
    </row>
    <row r="30" spans="1:13" x14ac:dyDescent="0.3">
      <c r="A30">
        <v>24</v>
      </c>
      <c r="B30">
        <f t="shared" si="5"/>
        <v>2.4060455870118509E-4</v>
      </c>
      <c r="C30">
        <f t="shared" si="1"/>
        <v>2.4060455870118509E-4</v>
      </c>
      <c r="D30" t="s">
        <v>32</v>
      </c>
      <c r="E30" t="s">
        <v>21</v>
      </c>
      <c r="F30">
        <v>1</v>
      </c>
      <c r="G30">
        <f t="shared" si="6"/>
        <v>150</v>
      </c>
      <c r="I30">
        <v>2100</v>
      </c>
      <c r="J30" t="s">
        <v>25</v>
      </c>
      <c r="K30">
        <f t="shared" si="7"/>
        <v>152.5</v>
      </c>
      <c r="L30" cm="1">
        <f t="array" ref="L30">STOWA2024_JAARROND_T(A30*60,K30,I30,J30,"")</f>
        <v>901.94739886199568</v>
      </c>
      <c r="M30">
        <f t="shared" si="8"/>
        <v>1.1087121058963297E-3</v>
      </c>
    </row>
    <row r="31" spans="1:13" x14ac:dyDescent="0.3">
      <c r="A31">
        <v>24</v>
      </c>
      <c r="B31">
        <f t="shared" si="5"/>
        <v>1.9297655924016555E-4</v>
      </c>
      <c r="C31">
        <f t="shared" si="1"/>
        <v>1.9297655924016555E-4</v>
      </c>
      <c r="D31" t="s">
        <v>32</v>
      </c>
      <c r="E31" t="s">
        <v>21</v>
      </c>
      <c r="F31">
        <v>1</v>
      </c>
      <c r="G31">
        <f t="shared" si="6"/>
        <v>155</v>
      </c>
      <c r="I31">
        <v>2100</v>
      </c>
      <c r="J31" t="s">
        <v>25</v>
      </c>
      <c r="K31">
        <f t="shared" si="7"/>
        <v>157.5</v>
      </c>
      <c r="L31" cm="1">
        <f t="array" ref="L31">STOWA2024_JAARROND_T(A31*60,K31,I31,J31,"")</f>
        <v>1092.0183273997936</v>
      </c>
      <c r="M31">
        <f t="shared" si="8"/>
        <v>9.1573554665616412E-4</v>
      </c>
    </row>
    <row r="32" spans="1:13" x14ac:dyDescent="0.3">
      <c r="A32">
        <v>24</v>
      </c>
      <c r="B32" s="1">
        <f>M31</f>
        <v>9.1573554665616412E-4</v>
      </c>
      <c r="C32">
        <f t="shared" si="1"/>
        <v>9.1573554665616412E-4</v>
      </c>
      <c r="D32" t="s">
        <v>32</v>
      </c>
      <c r="E32" t="s">
        <v>21</v>
      </c>
      <c r="F32">
        <v>1</v>
      </c>
      <c r="G32">
        <f t="shared" si="6"/>
        <v>160</v>
      </c>
      <c r="I32">
        <v>2100</v>
      </c>
      <c r="J32" t="s">
        <v>25</v>
      </c>
      <c r="K32">
        <f>AVERAGE(G32:G33)</f>
        <v>85</v>
      </c>
      <c r="L32" cm="1">
        <f t="array" ref="L32">STOWA2024_JAARROND_T(A32*60,K32,I32,J32,"")</f>
        <v>35.232714062269046</v>
      </c>
      <c r="M32">
        <f>1/L32</f>
        <v>2.8382712675289096E-2</v>
      </c>
    </row>
    <row r="33" spans="1:13" x14ac:dyDescent="0.3">
      <c r="A33">
        <v>48</v>
      </c>
      <c r="B33" s="1">
        <f>365.25*24/A33 - M33</f>
        <v>154.77790917648761</v>
      </c>
      <c r="C33">
        <f>B33</f>
        <v>154.77790917648761</v>
      </c>
      <c r="D33" t="s">
        <v>32</v>
      </c>
      <c r="E33" t="s">
        <v>21</v>
      </c>
      <c r="F33">
        <v>1</v>
      </c>
      <c r="G33">
        <v>10</v>
      </c>
      <c r="I33">
        <v>2100</v>
      </c>
      <c r="J33" t="s">
        <v>25</v>
      </c>
      <c r="K33">
        <f>AVERAGE(G33:G35)</f>
        <v>15</v>
      </c>
      <c r="L33" cm="1">
        <f t="array" ref="L33">STOWA2024_JAARROND_T(A33*60,K33,I33,J33,"")</f>
        <v>3.5910393884148954E-2</v>
      </c>
      <c r="M33">
        <f>1/L33</f>
        <v>27.847090823512396</v>
      </c>
    </row>
    <row r="34" spans="1:13" x14ac:dyDescent="0.3">
      <c r="A34">
        <v>48</v>
      </c>
      <c r="B34">
        <f t="shared" ref="B34:B38" si="9">M33-M34</f>
        <v>7.1842782744438836</v>
      </c>
      <c r="C34">
        <f t="shared" ref="C34:C63" si="10">B34</f>
        <v>7.1842782744438836</v>
      </c>
      <c r="D34" t="s">
        <v>32</v>
      </c>
      <c r="E34" t="s">
        <v>21</v>
      </c>
      <c r="F34">
        <v>1</v>
      </c>
      <c r="G34">
        <f t="shared" ref="G34:G38" si="11">G33+5</f>
        <v>15</v>
      </c>
      <c r="I34">
        <v>2100</v>
      </c>
      <c r="J34" t="s">
        <v>25</v>
      </c>
      <c r="K34">
        <f t="shared" ref="K34:K38" si="12">AVERAGE(G34:G35)</f>
        <v>17.5</v>
      </c>
      <c r="L34" cm="1">
        <f t="array" ref="L34">STOWA2024_JAARROND_T(A34*60,K34,I34,J34,"")</f>
        <v>4.8396122145776349E-2</v>
      </c>
      <c r="M34">
        <f t="shared" ref="M34:M38" si="13">1/L34</f>
        <v>20.662812549068512</v>
      </c>
    </row>
    <row r="35" spans="1:13" x14ac:dyDescent="0.3">
      <c r="A35">
        <v>48</v>
      </c>
      <c r="B35">
        <f t="shared" si="9"/>
        <v>8.9902377725080278</v>
      </c>
      <c r="C35">
        <f t="shared" si="10"/>
        <v>8.9902377725080278</v>
      </c>
      <c r="D35" t="s">
        <v>32</v>
      </c>
      <c r="E35" t="s">
        <v>21</v>
      </c>
      <c r="F35">
        <v>1</v>
      </c>
      <c r="G35">
        <f t="shared" si="11"/>
        <v>20</v>
      </c>
      <c r="I35">
        <v>2100</v>
      </c>
      <c r="J35" t="s">
        <v>25</v>
      </c>
      <c r="K35">
        <f t="shared" si="12"/>
        <v>22.5</v>
      </c>
      <c r="L35" cm="1">
        <f t="array" ref="L35">STOWA2024_JAARROND_T(A35*60,K35,I35,J35,"")</f>
        <v>8.5670901162962304E-2</v>
      </c>
      <c r="M35">
        <f t="shared" si="13"/>
        <v>11.672574776560484</v>
      </c>
    </row>
    <row r="36" spans="1:13" x14ac:dyDescent="0.3">
      <c r="A36">
        <v>48</v>
      </c>
      <c r="B36">
        <f t="shared" si="9"/>
        <v>4.8702156250445983</v>
      </c>
      <c r="C36">
        <f t="shared" si="10"/>
        <v>4.8702156250445983</v>
      </c>
      <c r="D36" t="s">
        <v>32</v>
      </c>
      <c r="E36" t="s">
        <v>21</v>
      </c>
      <c r="F36">
        <v>1</v>
      </c>
      <c r="G36">
        <f t="shared" si="11"/>
        <v>25</v>
      </c>
      <c r="I36">
        <v>2100</v>
      </c>
      <c r="J36" t="s">
        <v>25</v>
      </c>
      <c r="K36">
        <f t="shared" si="12"/>
        <v>27.5</v>
      </c>
      <c r="L36" cm="1">
        <f t="array" ref="L36">STOWA2024_JAARROND_T(A36*60,K36,I36,J36,"")</f>
        <v>0.14700782151103459</v>
      </c>
      <c r="M36">
        <f t="shared" si="13"/>
        <v>6.8023591515158861</v>
      </c>
    </row>
    <row r="37" spans="1:13" x14ac:dyDescent="0.3">
      <c r="A37">
        <v>48</v>
      </c>
      <c r="B37">
        <f t="shared" si="9"/>
        <v>2.7259213610423272</v>
      </c>
      <c r="C37">
        <f t="shared" si="10"/>
        <v>2.7259213610423272</v>
      </c>
      <c r="D37" t="s">
        <v>32</v>
      </c>
      <c r="E37" t="s">
        <v>21</v>
      </c>
      <c r="F37">
        <v>1</v>
      </c>
      <c r="G37">
        <f t="shared" si="11"/>
        <v>30</v>
      </c>
      <c r="I37">
        <v>2100</v>
      </c>
      <c r="J37" t="s">
        <v>25</v>
      </c>
      <c r="K37">
        <f t="shared" si="12"/>
        <v>32.5</v>
      </c>
      <c r="L37" cm="1">
        <f t="array" ref="L37">STOWA2024_JAARROND_T(A37*60,K37,I37,J37,"")</f>
        <v>0.24531221900085229</v>
      </c>
      <c r="M37">
        <f t="shared" si="13"/>
        <v>4.0764377904735589</v>
      </c>
    </row>
    <row r="38" spans="1:13" x14ac:dyDescent="0.3">
      <c r="A38">
        <v>48</v>
      </c>
      <c r="B38">
        <f t="shared" si="9"/>
        <v>1.5713185996661112</v>
      </c>
      <c r="C38">
        <f t="shared" si="10"/>
        <v>1.5713185996661112</v>
      </c>
      <c r="D38" t="s">
        <v>32</v>
      </c>
      <c r="E38" t="s">
        <v>21</v>
      </c>
      <c r="F38">
        <v>1</v>
      </c>
      <c r="G38">
        <f t="shared" si="11"/>
        <v>35</v>
      </c>
      <c r="I38">
        <v>2100</v>
      </c>
      <c r="J38" t="s">
        <v>25</v>
      </c>
      <c r="K38">
        <f t="shared" si="12"/>
        <v>37.5</v>
      </c>
      <c r="L38" cm="1">
        <f t="array" ref="L38">STOWA2024_JAARROND_T(A38*60,K38,I38,J38,"")</f>
        <v>0.39918260323481092</v>
      </c>
      <c r="M38">
        <f t="shared" si="13"/>
        <v>2.5051191908074477</v>
      </c>
    </row>
    <row r="39" spans="1:13" x14ac:dyDescent="0.3">
      <c r="A39">
        <v>48</v>
      </c>
      <c r="B39">
        <f>M38-M39</f>
        <v>0.93013518324040012</v>
      </c>
      <c r="C39">
        <f t="shared" si="10"/>
        <v>0.93013518324040012</v>
      </c>
      <c r="D39" t="s">
        <v>32</v>
      </c>
      <c r="E39" t="s">
        <v>21</v>
      </c>
      <c r="F39">
        <v>1</v>
      </c>
      <c r="G39">
        <f>G38+5</f>
        <v>40</v>
      </c>
      <c r="I39">
        <v>2100</v>
      </c>
      <c r="J39" t="s">
        <v>25</v>
      </c>
      <c r="K39">
        <f>AVERAGE(G39:G40)</f>
        <v>42.5</v>
      </c>
      <c r="L39" cm="1">
        <f t="array" ref="L39">STOWA2024_JAARROND_T(A39*60,K39,I39,J39,"")</f>
        <v>0.63492708192303959</v>
      </c>
      <c r="M39">
        <f>1/L39</f>
        <v>1.5749840075670476</v>
      </c>
    </row>
    <row r="40" spans="1:13" x14ac:dyDescent="0.3">
      <c r="A40">
        <v>48</v>
      </c>
      <c r="B40">
        <f t="shared" ref="B40:B62" si="14">M39-M40</f>
        <v>0.56399763805963921</v>
      </c>
      <c r="C40">
        <f t="shared" si="10"/>
        <v>0.56399763805963921</v>
      </c>
      <c r="D40" t="s">
        <v>32</v>
      </c>
      <c r="E40" t="s">
        <v>21</v>
      </c>
      <c r="F40">
        <v>1</v>
      </c>
      <c r="G40">
        <f t="shared" ref="G40:G63" si="15">G39+5</f>
        <v>45</v>
      </c>
      <c r="I40">
        <v>2100</v>
      </c>
      <c r="J40" t="s">
        <v>25</v>
      </c>
      <c r="K40">
        <f t="shared" ref="K40:K62" si="16">AVERAGE(G40:G41)</f>
        <v>47.5</v>
      </c>
      <c r="L40" cm="1">
        <f t="array" ref="L40">STOWA2024_JAARROND_T(A40*60,K40,I40,J40,"")</f>
        <v>0.98913301915953489</v>
      </c>
      <c r="M40">
        <f t="shared" ref="M40:M62" si="17">1/L40</f>
        <v>1.0109863695074084</v>
      </c>
    </row>
    <row r="41" spans="1:13" x14ac:dyDescent="0.3">
      <c r="A41">
        <v>48</v>
      </c>
      <c r="B41">
        <f t="shared" si="14"/>
        <v>0.34951999833270098</v>
      </c>
      <c r="C41">
        <f t="shared" si="10"/>
        <v>0.34951999833270098</v>
      </c>
      <c r="D41" t="s">
        <v>32</v>
      </c>
      <c r="E41" t="s">
        <v>21</v>
      </c>
      <c r="F41">
        <v>1</v>
      </c>
      <c r="G41">
        <f t="shared" si="15"/>
        <v>50</v>
      </c>
      <c r="I41">
        <v>2100</v>
      </c>
      <c r="J41" t="s">
        <v>25</v>
      </c>
      <c r="K41">
        <f t="shared" si="16"/>
        <v>52.5</v>
      </c>
      <c r="L41" cm="1">
        <f t="array" ref="L41">STOWA2024_JAARROND_T(A41*60,K41,I41,J41,"")</f>
        <v>1.5117926527755083</v>
      </c>
      <c r="M41">
        <f t="shared" si="17"/>
        <v>0.66146637117470741</v>
      </c>
    </row>
    <row r="42" spans="1:13" x14ac:dyDescent="0.3">
      <c r="A42">
        <v>48</v>
      </c>
      <c r="B42">
        <f t="shared" si="14"/>
        <v>0.22112717680391175</v>
      </c>
      <c r="C42">
        <f t="shared" si="10"/>
        <v>0.22112717680391175</v>
      </c>
      <c r="D42" t="s">
        <v>32</v>
      </c>
      <c r="E42" t="s">
        <v>21</v>
      </c>
      <c r="F42">
        <v>1</v>
      </c>
      <c r="G42">
        <f t="shared" si="15"/>
        <v>55</v>
      </c>
      <c r="I42">
        <v>2100</v>
      </c>
      <c r="J42" t="s">
        <v>25</v>
      </c>
      <c r="K42">
        <f t="shared" si="16"/>
        <v>57.5</v>
      </c>
      <c r="L42" cm="1">
        <f t="array" ref="L42">STOWA2024_JAARROND_T(A42*60,K42,I42,J42,"")</f>
        <v>2.2709765852865047</v>
      </c>
      <c r="M42">
        <f t="shared" si="17"/>
        <v>0.44033919437079566</v>
      </c>
    </row>
    <row r="43" spans="1:13" x14ac:dyDescent="0.3">
      <c r="A43">
        <v>48</v>
      </c>
      <c r="B43">
        <f t="shared" si="14"/>
        <v>0.14245808004368449</v>
      </c>
      <c r="C43">
        <f t="shared" si="10"/>
        <v>0.14245808004368449</v>
      </c>
      <c r="D43" t="s">
        <v>32</v>
      </c>
      <c r="E43" t="s">
        <v>21</v>
      </c>
      <c r="F43">
        <v>1</v>
      </c>
      <c r="G43">
        <f t="shared" si="15"/>
        <v>60</v>
      </c>
      <c r="I43">
        <v>2100</v>
      </c>
      <c r="J43" t="s">
        <v>25</v>
      </c>
      <c r="K43">
        <f t="shared" si="16"/>
        <v>62.5</v>
      </c>
      <c r="L43" cm="1">
        <f t="array" ref="L43">STOWA2024_JAARROND_T(A43*60,K43,I43,J43,"")</f>
        <v>3.3570439746034837</v>
      </c>
      <c r="M43">
        <f t="shared" si="17"/>
        <v>0.29788111432711117</v>
      </c>
    </row>
    <row r="44" spans="1:13" x14ac:dyDescent="0.3">
      <c r="A44">
        <v>48</v>
      </c>
      <c r="B44">
        <f t="shared" si="14"/>
        <v>9.3360423295983569E-2</v>
      </c>
      <c r="C44">
        <f t="shared" si="10"/>
        <v>9.3360423295983569E-2</v>
      </c>
      <c r="D44" t="s">
        <v>32</v>
      </c>
      <c r="E44" t="s">
        <v>21</v>
      </c>
      <c r="F44">
        <v>1</v>
      </c>
      <c r="G44">
        <f t="shared" si="15"/>
        <v>65</v>
      </c>
      <c r="I44">
        <v>2100</v>
      </c>
      <c r="J44" t="s">
        <v>25</v>
      </c>
      <c r="K44">
        <f t="shared" si="16"/>
        <v>67.5</v>
      </c>
      <c r="L44" cm="1">
        <f t="array" ref="L44">STOWA2024_JAARROND_T(A44*60,K44,I44,J44,"")</f>
        <v>4.8894808391186304</v>
      </c>
      <c r="M44">
        <f t="shared" si="17"/>
        <v>0.2045206910311276</v>
      </c>
    </row>
    <row r="45" spans="1:13" x14ac:dyDescent="0.3">
      <c r="A45">
        <v>48</v>
      </c>
      <c r="B45">
        <f t="shared" si="14"/>
        <v>6.2156617903042E-2</v>
      </c>
      <c r="C45">
        <f t="shared" si="10"/>
        <v>6.2156617903042E-2</v>
      </c>
      <c r="D45" t="s">
        <v>32</v>
      </c>
      <c r="E45" t="s">
        <v>21</v>
      </c>
      <c r="F45">
        <v>1</v>
      </c>
      <c r="G45">
        <f t="shared" si="15"/>
        <v>70</v>
      </c>
      <c r="I45">
        <v>2100</v>
      </c>
      <c r="J45" t="s">
        <v>25</v>
      </c>
      <c r="K45">
        <f t="shared" si="16"/>
        <v>72.5</v>
      </c>
      <c r="L45" cm="1">
        <f t="array" ref="L45">STOWA2024_JAARROND_T(A45*60,K45,I45,J45,"")</f>
        <v>7.0242440949290303</v>
      </c>
      <c r="M45">
        <f t="shared" si="17"/>
        <v>0.14236407312808561</v>
      </c>
    </row>
    <row r="46" spans="1:13" x14ac:dyDescent="0.3">
      <c r="A46">
        <v>48</v>
      </c>
      <c r="B46">
        <f t="shared" si="14"/>
        <v>4.1992185212605365E-2</v>
      </c>
      <c r="C46">
        <f t="shared" si="10"/>
        <v>4.1992185212605365E-2</v>
      </c>
      <c r="D46" t="s">
        <v>32</v>
      </c>
      <c r="E46" t="s">
        <v>21</v>
      </c>
      <c r="F46">
        <v>1</v>
      </c>
      <c r="G46">
        <f t="shared" si="15"/>
        <v>75</v>
      </c>
      <c r="I46">
        <v>2100</v>
      </c>
      <c r="J46" t="s">
        <v>25</v>
      </c>
      <c r="K46">
        <f t="shared" si="16"/>
        <v>77.5</v>
      </c>
      <c r="L46" cm="1">
        <f t="array" ref="L46">STOWA2024_JAARROND_T(A46*60,K46,I46,J46,"")</f>
        <v>9.9629489966559763</v>
      </c>
      <c r="M46">
        <f t="shared" si="17"/>
        <v>0.10037188791548024</v>
      </c>
    </row>
    <row r="47" spans="1:13" x14ac:dyDescent="0.3">
      <c r="A47">
        <v>48</v>
      </c>
      <c r="B47">
        <f t="shared" si="14"/>
        <v>2.8757734251030814E-2</v>
      </c>
      <c r="C47">
        <f t="shared" si="10"/>
        <v>2.8757734251030814E-2</v>
      </c>
      <c r="D47" t="s">
        <v>32</v>
      </c>
      <c r="E47" t="s">
        <v>21</v>
      </c>
      <c r="F47">
        <v>1</v>
      </c>
      <c r="G47">
        <f t="shared" si="15"/>
        <v>80</v>
      </c>
      <c r="I47">
        <v>2100</v>
      </c>
      <c r="J47" t="s">
        <v>25</v>
      </c>
      <c r="K47">
        <f t="shared" si="16"/>
        <v>82.5</v>
      </c>
      <c r="L47" cm="1">
        <f t="array" ref="L47">STOWA2024_JAARROND_T(A47*60,K47,I47,J47,"")</f>
        <v>13.963720142327372</v>
      </c>
      <c r="M47">
        <f t="shared" si="17"/>
        <v>7.1614153664449426E-2</v>
      </c>
    </row>
    <row r="48" spans="1:13" x14ac:dyDescent="0.3">
      <c r="A48">
        <v>48</v>
      </c>
      <c r="B48">
        <f t="shared" si="14"/>
        <v>1.9946904221220751E-2</v>
      </c>
      <c r="C48">
        <f t="shared" si="10"/>
        <v>1.9946904221220751E-2</v>
      </c>
      <c r="D48" t="s">
        <v>32</v>
      </c>
      <c r="E48" t="s">
        <v>21</v>
      </c>
      <c r="F48">
        <v>1</v>
      </c>
      <c r="G48">
        <f t="shared" si="15"/>
        <v>85</v>
      </c>
      <c r="I48">
        <v>2100</v>
      </c>
      <c r="J48" t="s">
        <v>25</v>
      </c>
      <c r="K48">
        <f t="shared" si="16"/>
        <v>87.5</v>
      </c>
      <c r="L48" cm="1">
        <f t="array" ref="L48">STOWA2024_JAARROND_T(A48*60,K48,I48,J48,"")</f>
        <v>19.354620398339328</v>
      </c>
      <c r="M48">
        <f t="shared" si="17"/>
        <v>5.1667249443228674E-2</v>
      </c>
    </row>
    <row r="49" spans="1:13" x14ac:dyDescent="0.3">
      <c r="A49">
        <v>48</v>
      </c>
      <c r="B49">
        <f t="shared" si="14"/>
        <v>1.4000904099453114E-2</v>
      </c>
      <c r="C49">
        <f t="shared" si="10"/>
        <v>1.4000904099453114E-2</v>
      </c>
      <c r="D49" t="s">
        <v>32</v>
      </c>
      <c r="E49" t="s">
        <v>21</v>
      </c>
      <c r="F49">
        <v>1</v>
      </c>
      <c r="G49">
        <f t="shared" si="15"/>
        <v>90</v>
      </c>
      <c r="I49">
        <v>2100</v>
      </c>
      <c r="J49" t="s">
        <v>25</v>
      </c>
      <c r="K49">
        <f t="shared" si="16"/>
        <v>92.5</v>
      </c>
      <c r="L49" cm="1">
        <f t="array" ref="L49">STOWA2024_JAARROND_T(A49*60,K49,I49,J49,"")</f>
        <v>26.548899046964532</v>
      </c>
      <c r="M49">
        <f t="shared" si="17"/>
        <v>3.766634534377556E-2</v>
      </c>
    </row>
    <row r="50" spans="1:13" x14ac:dyDescent="0.3">
      <c r="A50">
        <v>48</v>
      </c>
      <c r="B50">
        <f t="shared" si="14"/>
        <v>9.9373690497020634E-3</v>
      </c>
      <c r="C50">
        <f t="shared" si="10"/>
        <v>9.9373690497020634E-3</v>
      </c>
      <c r="D50" t="s">
        <v>32</v>
      </c>
      <c r="E50" t="s">
        <v>21</v>
      </c>
      <c r="F50">
        <v>1</v>
      </c>
      <c r="G50">
        <f t="shared" si="15"/>
        <v>95</v>
      </c>
      <c r="I50">
        <v>2100</v>
      </c>
      <c r="J50" t="s">
        <v>25</v>
      </c>
      <c r="K50">
        <f t="shared" si="16"/>
        <v>97.5</v>
      </c>
      <c r="L50" cm="1">
        <f t="array" ref="L50">STOWA2024_JAARROND_T(A50*60,K50,I50,J50,"")</f>
        <v>36.063358033658446</v>
      </c>
      <c r="M50">
        <f t="shared" si="17"/>
        <v>2.7728976294073497E-2</v>
      </c>
    </row>
    <row r="51" spans="1:13" x14ac:dyDescent="0.3">
      <c r="A51">
        <v>48</v>
      </c>
      <c r="B51">
        <f t="shared" si="14"/>
        <v>7.1273220409000942E-3</v>
      </c>
      <c r="C51">
        <f t="shared" si="10"/>
        <v>7.1273220409000942E-3</v>
      </c>
      <c r="D51" t="s">
        <v>32</v>
      </c>
      <c r="E51" t="s">
        <v>21</v>
      </c>
      <c r="F51">
        <v>1</v>
      </c>
      <c r="G51">
        <f t="shared" si="15"/>
        <v>100</v>
      </c>
      <c r="I51">
        <v>2100</v>
      </c>
      <c r="J51" t="s">
        <v>25</v>
      </c>
      <c r="K51">
        <f t="shared" si="16"/>
        <v>102.5</v>
      </c>
      <c r="L51" cm="1">
        <f t="array" ref="L51">STOWA2024_JAARROND_T(A51*60,K51,I51,J51,"")</f>
        <v>48.539791402720184</v>
      </c>
      <c r="M51">
        <f t="shared" si="17"/>
        <v>2.0601654253173403E-2</v>
      </c>
    </row>
    <row r="52" spans="1:13" x14ac:dyDescent="0.3">
      <c r="A52">
        <v>48</v>
      </c>
      <c r="B52">
        <f t="shared" si="14"/>
        <v>5.162405600128258E-3</v>
      </c>
      <c r="C52">
        <f t="shared" si="10"/>
        <v>5.162405600128258E-3</v>
      </c>
      <c r="D52" t="s">
        <v>32</v>
      </c>
      <c r="E52" t="s">
        <v>21</v>
      </c>
      <c r="F52">
        <v>1</v>
      </c>
      <c r="G52">
        <f t="shared" si="15"/>
        <v>105</v>
      </c>
      <c r="I52">
        <v>2100</v>
      </c>
      <c r="J52" t="s">
        <v>25</v>
      </c>
      <c r="K52">
        <f t="shared" si="16"/>
        <v>107.5</v>
      </c>
      <c r="L52" cm="1">
        <f t="array" ref="L52">STOWA2024_JAARROND_T(A52*60,K52,I52,J52,"")</f>
        <v>64.769991239357751</v>
      </c>
      <c r="M52">
        <f t="shared" si="17"/>
        <v>1.5439248653045145E-2</v>
      </c>
    </row>
    <row r="53" spans="1:13" x14ac:dyDescent="0.3">
      <c r="A53">
        <v>48</v>
      </c>
      <c r="B53">
        <f t="shared" si="14"/>
        <v>3.7740098706767044E-3</v>
      </c>
      <c r="C53">
        <f t="shared" si="10"/>
        <v>3.7740098706767044E-3</v>
      </c>
      <c r="D53" t="s">
        <v>32</v>
      </c>
      <c r="E53" t="s">
        <v>21</v>
      </c>
      <c r="F53">
        <v>1</v>
      </c>
      <c r="G53">
        <f t="shared" si="15"/>
        <v>110</v>
      </c>
      <c r="I53">
        <v>2100</v>
      </c>
      <c r="J53" t="s">
        <v>25</v>
      </c>
      <c r="K53">
        <f t="shared" si="16"/>
        <v>112.5</v>
      </c>
      <c r="L53" cm="1">
        <f t="array" ref="L53">STOWA2024_JAARROND_T(A53*60,K53,I53,J53,"")</f>
        <v>85.724777576903222</v>
      </c>
      <c r="M53">
        <f t="shared" si="17"/>
        <v>1.1665238782368441E-2</v>
      </c>
    </row>
    <row r="54" spans="1:13" x14ac:dyDescent="0.3">
      <c r="A54">
        <v>48</v>
      </c>
      <c r="B54">
        <f t="shared" si="14"/>
        <v>2.7831986113056092E-3</v>
      </c>
      <c r="C54">
        <f t="shared" si="10"/>
        <v>2.7831986113056092E-3</v>
      </c>
      <c r="D54" t="s">
        <v>32</v>
      </c>
      <c r="E54" t="s">
        <v>21</v>
      </c>
      <c r="F54">
        <v>1</v>
      </c>
      <c r="G54">
        <f t="shared" si="15"/>
        <v>115</v>
      </c>
      <c r="I54">
        <v>2100</v>
      </c>
      <c r="J54" t="s">
        <v>25</v>
      </c>
      <c r="K54">
        <f t="shared" si="16"/>
        <v>117.5</v>
      </c>
      <c r="L54" cm="1">
        <f t="array" ref="L54">STOWA2024_JAARROND_T(A54*60,K54,I54,J54,"")</f>
        <v>112.58674592104883</v>
      </c>
      <c r="M54">
        <f t="shared" si="17"/>
        <v>8.8820401710628313E-3</v>
      </c>
    </row>
    <row r="55" spans="1:13" x14ac:dyDescent="0.3">
      <c r="A55">
        <v>48</v>
      </c>
      <c r="B55">
        <f t="shared" si="14"/>
        <v>2.069679215556018E-3</v>
      </c>
      <c r="C55">
        <f t="shared" si="10"/>
        <v>2.069679215556018E-3</v>
      </c>
      <c r="D55" t="s">
        <v>32</v>
      </c>
      <c r="E55" t="s">
        <v>21</v>
      </c>
      <c r="F55">
        <v>1</v>
      </c>
      <c r="G55">
        <f t="shared" si="15"/>
        <v>120</v>
      </c>
      <c r="I55">
        <v>2100</v>
      </c>
      <c r="J55" t="s">
        <v>25</v>
      </c>
      <c r="K55">
        <f t="shared" si="16"/>
        <v>122.5</v>
      </c>
      <c r="L55" cm="1">
        <f t="array" ref="L55">STOWA2024_JAARROND_T(A55*60,K55,I55,J55,"")</f>
        <v>146.79198687962122</v>
      </c>
      <c r="M55">
        <f t="shared" si="17"/>
        <v>6.8123609555068134E-3</v>
      </c>
    </row>
    <row r="56" spans="1:13" x14ac:dyDescent="0.3">
      <c r="A56">
        <v>48</v>
      </c>
      <c r="B56">
        <f t="shared" si="14"/>
        <v>1.5511040283754975E-3</v>
      </c>
      <c r="C56">
        <f t="shared" si="10"/>
        <v>1.5511040283754975E-3</v>
      </c>
      <c r="D56" t="s">
        <v>32</v>
      </c>
      <c r="E56" t="s">
        <v>21</v>
      </c>
      <c r="F56">
        <v>1</v>
      </c>
      <c r="G56">
        <f t="shared" si="15"/>
        <v>125</v>
      </c>
      <c r="I56">
        <v>2100</v>
      </c>
      <c r="J56" t="s">
        <v>25</v>
      </c>
      <c r="K56">
        <f t="shared" si="16"/>
        <v>127.5</v>
      </c>
      <c r="L56" cm="1">
        <f t="array" ref="L56">STOWA2024_JAARROND_T(A56*60,K56,I56,J56,"")</f>
        <v>190.0686497257314</v>
      </c>
      <c r="M56">
        <f t="shared" si="17"/>
        <v>5.2612569271313159E-3</v>
      </c>
    </row>
    <row r="57" spans="1:13" x14ac:dyDescent="0.3">
      <c r="A57">
        <v>48</v>
      </c>
      <c r="B57">
        <f t="shared" si="14"/>
        <v>1.1711980607316879E-3</v>
      </c>
      <c r="C57">
        <f t="shared" si="10"/>
        <v>1.1711980607316879E-3</v>
      </c>
      <c r="D57" t="s">
        <v>32</v>
      </c>
      <c r="E57" t="s">
        <v>21</v>
      </c>
      <c r="F57">
        <v>1</v>
      </c>
      <c r="G57">
        <f t="shared" si="15"/>
        <v>130</v>
      </c>
      <c r="I57">
        <v>2100</v>
      </c>
      <c r="J57" t="s">
        <v>25</v>
      </c>
      <c r="K57">
        <f t="shared" si="16"/>
        <v>132.5</v>
      </c>
      <c r="L57" cm="1">
        <f t="array" ref="L57">STOWA2024_JAARROND_T(A57*60,K57,I57,J57,"")</f>
        <v>244.49525854386394</v>
      </c>
      <c r="M57">
        <f t="shared" si="17"/>
        <v>4.090058866399628E-3</v>
      </c>
    </row>
    <row r="58" spans="1:13" x14ac:dyDescent="0.3">
      <c r="A58">
        <v>48</v>
      </c>
      <c r="B58">
        <f t="shared" si="14"/>
        <v>8.9055726630758768E-4</v>
      </c>
      <c r="C58">
        <f t="shared" si="10"/>
        <v>8.9055726630758768E-4</v>
      </c>
      <c r="D58" t="s">
        <v>32</v>
      </c>
      <c r="E58" t="s">
        <v>21</v>
      </c>
      <c r="F58">
        <v>1</v>
      </c>
      <c r="G58">
        <f t="shared" si="15"/>
        <v>135</v>
      </c>
      <c r="I58">
        <v>2100</v>
      </c>
      <c r="J58" t="s">
        <v>25</v>
      </c>
      <c r="K58">
        <f t="shared" si="16"/>
        <v>137.5</v>
      </c>
      <c r="L58" cm="1">
        <f t="array" ref="L58">STOWA2024_JAARROND_T(A58*60,K58,I58,J58,"")</f>
        <v>312.54867944783427</v>
      </c>
      <c r="M58">
        <f t="shared" si="17"/>
        <v>3.1995016000920403E-3</v>
      </c>
    </row>
    <row r="59" spans="1:13" x14ac:dyDescent="0.3">
      <c r="A59">
        <v>48</v>
      </c>
      <c r="B59">
        <f t="shared" si="14"/>
        <v>6.8174417071044206E-4</v>
      </c>
      <c r="C59">
        <f t="shared" si="10"/>
        <v>6.8174417071044206E-4</v>
      </c>
      <c r="D59" t="s">
        <v>32</v>
      </c>
      <c r="E59" t="s">
        <v>21</v>
      </c>
      <c r="F59">
        <v>1</v>
      </c>
      <c r="G59">
        <f t="shared" si="15"/>
        <v>140</v>
      </c>
      <c r="I59">
        <v>2100</v>
      </c>
      <c r="J59" t="s">
        <v>25</v>
      </c>
      <c r="K59">
        <f t="shared" si="16"/>
        <v>142.5</v>
      </c>
      <c r="L59" cm="1">
        <f t="array" ref="L59">STOWA2024_JAARROND_T(A59*60,K59,I59,J59,"")</f>
        <v>397.17884984877838</v>
      </c>
      <c r="M59">
        <f t="shared" si="17"/>
        <v>2.5177574293815982E-3</v>
      </c>
    </row>
    <row r="60" spans="1:13" x14ac:dyDescent="0.3">
      <c r="A60">
        <v>48</v>
      </c>
      <c r="B60">
        <f t="shared" si="14"/>
        <v>5.2525054518041351E-4</v>
      </c>
      <c r="C60">
        <f t="shared" si="10"/>
        <v>5.2525054518041351E-4</v>
      </c>
      <c r="D60" t="s">
        <v>32</v>
      </c>
      <c r="E60" t="s">
        <v>21</v>
      </c>
      <c r="F60">
        <v>1</v>
      </c>
      <c r="G60">
        <f t="shared" si="15"/>
        <v>145</v>
      </c>
      <c r="I60">
        <v>2100</v>
      </c>
      <c r="J60" t="s">
        <v>25</v>
      </c>
      <c r="K60">
        <f t="shared" si="16"/>
        <v>147.5</v>
      </c>
      <c r="L60" cm="1">
        <f t="array" ref="L60">STOWA2024_JAARROND_T(A60*60,K60,I60,J60,"")</f>
        <v>501.8803236912828</v>
      </c>
      <c r="M60">
        <f t="shared" si="17"/>
        <v>1.9925068842011847E-3</v>
      </c>
    </row>
    <row r="61" spans="1:13" x14ac:dyDescent="0.3">
      <c r="A61">
        <v>48</v>
      </c>
      <c r="B61">
        <f t="shared" si="14"/>
        <v>4.0713174883495328E-4</v>
      </c>
      <c r="C61">
        <f t="shared" si="10"/>
        <v>4.0713174883495328E-4</v>
      </c>
      <c r="D61" t="s">
        <v>32</v>
      </c>
      <c r="E61" t="s">
        <v>21</v>
      </c>
      <c r="F61">
        <v>1</v>
      </c>
      <c r="G61">
        <f t="shared" si="15"/>
        <v>150</v>
      </c>
      <c r="I61">
        <v>2100</v>
      </c>
      <c r="J61" t="s">
        <v>25</v>
      </c>
      <c r="K61">
        <f t="shared" si="16"/>
        <v>152.5</v>
      </c>
      <c r="L61" cm="1">
        <f t="array" ref="L61">STOWA2024_JAARROND_T(A61*60,K61,I61,J61,"")</f>
        <v>630.76553787945829</v>
      </c>
      <c r="M61">
        <f t="shared" si="17"/>
        <v>1.5853751353662314E-3</v>
      </c>
    </row>
    <row r="62" spans="1:13" x14ac:dyDescent="0.3">
      <c r="A62">
        <v>48</v>
      </c>
      <c r="B62">
        <f t="shared" si="14"/>
        <v>3.1742480452217107E-4</v>
      </c>
      <c r="C62">
        <f t="shared" si="10"/>
        <v>3.1742480452217107E-4</v>
      </c>
      <c r="D62" t="s">
        <v>32</v>
      </c>
      <c r="E62" t="s">
        <v>21</v>
      </c>
      <c r="F62">
        <v>1</v>
      </c>
      <c r="G62">
        <f t="shared" si="15"/>
        <v>155</v>
      </c>
      <c r="I62">
        <v>2100</v>
      </c>
      <c r="J62" t="s">
        <v>25</v>
      </c>
      <c r="K62">
        <f t="shared" si="16"/>
        <v>157.5</v>
      </c>
      <c r="L62" cm="1">
        <f t="array" ref="L62">STOWA2024_JAARROND_T(A62*60,K62,I62,J62,"")</f>
        <v>788.6744264929614</v>
      </c>
      <c r="M62">
        <f t="shared" si="17"/>
        <v>1.2679503308440604E-3</v>
      </c>
    </row>
    <row r="63" spans="1:13" x14ac:dyDescent="0.3">
      <c r="A63">
        <v>48</v>
      </c>
      <c r="B63" s="1">
        <f>M62</f>
        <v>1.2679503308440604E-3</v>
      </c>
      <c r="C63">
        <f t="shared" si="10"/>
        <v>1.2679503308440604E-3</v>
      </c>
      <c r="D63" t="s">
        <v>32</v>
      </c>
      <c r="E63" t="s">
        <v>21</v>
      </c>
      <c r="F63">
        <v>1</v>
      </c>
      <c r="G63">
        <f t="shared" si="15"/>
        <v>160</v>
      </c>
      <c r="I63">
        <v>2100</v>
      </c>
      <c r="J63" t="s">
        <v>25</v>
      </c>
      <c r="K63">
        <f>AVERAGE(G63:G64)</f>
        <v>85</v>
      </c>
      <c r="L63" cm="1">
        <f t="array" ref="L63">STOWA2024_JAARROND_T(A63*60,K63,I63,J63,"")</f>
        <v>16.461774316200621</v>
      </c>
      <c r="M63">
        <f>1/L63</f>
        <v>6.0746793194453176E-2</v>
      </c>
    </row>
    <row r="64" spans="1:13" x14ac:dyDescent="0.3">
      <c r="A64">
        <v>96</v>
      </c>
      <c r="B64" s="1">
        <f>365.25*24/A64 - M64</f>
        <v>48.942438640219869</v>
      </c>
      <c r="C64">
        <f>B64</f>
        <v>48.942438640219869</v>
      </c>
      <c r="D64" t="s">
        <v>32</v>
      </c>
      <c r="E64" t="s">
        <v>21</v>
      </c>
      <c r="F64">
        <v>1</v>
      </c>
      <c r="G64">
        <v>10</v>
      </c>
      <c r="I64">
        <v>2100</v>
      </c>
      <c r="J64" t="s">
        <v>25</v>
      </c>
      <c r="K64">
        <f>AVERAGE(G64:G66)</f>
        <v>15</v>
      </c>
      <c r="L64" cm="1">
        <f t="array" ref="L64">STOWA2024_JAARROND_T(A64*60,K64,I64,J64,"")</f>
        <v>2.360157072959191E-2</v>
      </c>
      <c r="M64">
        <f>1/L64</f>
        <v>42.370061359780131</v>
      </c>
    </row>
    <row r="65" spans="1:13" x14ac:dyDescent="0.3">
      <c r="A65">
        <v>96</v>
      </c>
      <c r="B65">
        <f t="shared" ref="B65:B69" si="18">M64-M65</f>
        <v>8.5448544315285631</v>
      </c>
      <c r="C65">
        <f t="shared" ref="C65:C94" si="19">B65</f>
        <v>8.5448544315285631</v>
      </c>
      <c r="D65" t="s">
        <v>32</v>
      </c>
      <c r="E65" t="s">
        <v>21</v>
      </c>
      <c r="F65">
        <v>1</v>
      </c>
      <c r="G65">
        <f t="shared" ref="G65:G69" si="20">G64+5</f>
        <v>15</v>
      </c>
      <c r="I65">
        <v>2100</v>
      </c>
      <c r="J65" t="s">
        <v>25</v>
      </c>
      <c r="K65">
        <f t="shared" ref="K65:K69" si="21">AVERAGE(G65:G66)</f>
        <v>17.5</v>
      </c>
      <c r="L65" cm="1">
        <f t="array" ref="L65">STOWA2024_JAARROND_T(A65*60,K65,I65,J65,"")</f>
        <v>2.95637511433752E-2</v>
      </c>
      <c r="M65">
        <f t="shared" ref="M65:M69" si="22">1/L65</f>
        <v>33.825206928251568</v>
      </c>
    </row>
    <row r="66" spans="1:13" x14ac:dyDescent="0.3">
      <c r="A66">
        <v>96</v>
      </c>
      <c r="B66">
        <f t="shared" si="18"/>
        <v>12.094170630840392</v>
      </c>
      <c r="C66">
        <f t="shared" si="19"/>
        <v>12.094170630840392</v>
      </c>
      <c r="D66" t="s">
        <v>32</v>
      </c>
      <c r="E66" t="s">
        <v>21</v>
      </c>
      <c r="F66">
        <v>1</v>
      </c>
      <c r="G66">
        <f t="shared" si="20"/>
        <v>20</v>
      </c>
      <c r="I66">
        <v>2100</v>
      </c>
      <c r="J66" t="s">
        <v>25</v>
      </c>
      <c r="K66">
        <f t="shared" si="21"/>
        <v>22.5</v>
      </c>
      <c r="L66" cm="1">
        <f t="array" ref="L66">STOWA2024_JAARROND_T(A66*60,K66,I66,J66,"")</f>
        <v>4.6017133574027036E-2</v>
      </c>
      <c r="M66">
        <f t="shared" si="22"/>
        <v>21.731036297411176</v>
      </c>
    </row>
    <row r="67" spans="1:13" x14ac:dyDescent="0.3">
      <c r="A67">
        <v>96</v>
      </c>
      <c r="B67">
        <f t="shared" si="18"/>
        <v>7.6261606502166845</v>
      </c>
      <c r="C67">
        <f t="shared" si="19"/>
        <v>7.6261606502166845</v>
      </c>
      <c r="D67" t="s">
        <v>32</v>
      </c>
      <c r="E67" t="s">
        <v>21</v>
      </c>
      <c r="F67">
        <v>1</v>
      </c>
      <c r="G67">
        <f t="shared" si="20"/>
        <v>25</v>
      </c>
      <c r="I67">
        <v>2100</v>
      </c>
      <c r="J67" t="s">
        <v>25</v>
      </c>
      <c r="K67">
        <f t="shared" si="21"/>
        <v>27.5</v>
      </c>
      <c r="L67" cm="1">
        <f t="array" ref="L67">STOWA2024_JAARROND_T(A67*60,K67,I67,J67,"")</f>
        <v>7.0897470138200289E-2</v>
      </c>
      <c r="M67">
        <f t="shared" si="22"/>
        <v>14.104875647194492</v>
      </c>
    </row>
    <row r="68" spans="1:13" x14ac:dyDescent="0.3">
      <c r="A68">
        <v>96</v>
      </c>
      <c r="B68">
        <f t="shared" si="18"/>
        <v>4.8595161045469126</v>
      </c>
      <c r="C68">
        <f t="shared" si="19"/>
        <v>4.8595161045469126</v>
      </c>
      <c r="D68" t="s">
        <v>32</v>
      </c>
      <c r="E68" t="s">
        <v>21</v>
      </c>
      <c r="F68">
        <v>1</v>
      </c>
      <c r="G68">
        <f t="shared" si="20"/>
        <v>30</v>
      </c>
      <c r="I68">
        <v>2100</v>
      </c>
      <c r="J68" t="s">
        <v>25</v>
      </c>
      <c r="K68">
        <f t="shared" si="21"/>
        <v>32.5</v>
      </c>
      <c r="L68" cm="1">
        <f t="array" ref="L68">STOWA2024_JAARROND_T(A68*60,K68,I68,J68,"")</f>
        <v>0.10816237003949243</v>
      </c>
      <c r="M68">
        <f t="shared" si="22"/>
        <v>9.245359542647579</v>
      </c>
    </row>
    <row r="69" spans="1:13" x14ac:dyDescent="0.3">
      <c r="A69">
        <v>96</v>
      </c>
      <c r="B69">
        <f t="shared" si="18"/>
        <v>3.1283932617656918</v>
      </c>
      <c r="C69">
        <f t="shared" si="19"/>
        <v>3.1283932617656918</v>
      </c>
      <c r="D69" t="s">
        <v>32</v>
      </c>
      <c r="E69" t="s">
        <v>21</v>
      </c>
      <c r="F69">
        <v>1</v>
      </c>
      <c r="G69">
        <f t="shared" si="20"/>
        <v>35</v>
      </c>
      <c r="I69">
        <v>2100</v>
      </c>
      <c r="J69" t="s">
        <v>25</v>
      </c>
      <c r="K69">
        <f t="shared" si="21"/>
        <v>37.5</v>
      </c>
      <c r="L69" cm="1">
        <f t="array" ref="L69">STOWA2024_JAARROND_T(A69*60,K69,I69,J69,"")</f>
        <v>0.16347973065102941</v>
      </c>
      <c r="M69">
        <f t="shared" si="22"/>
        <v>6.1169662808818872</v>
      </c>
    </row>
    <row r="70" spans="1:13" x14ac:dyDescent="0.3">
      <c r="A70">
        <v>96</v>
      </c>
      <c r="B70">
        <f>M69-M70</f>
        <v>2.0334719109475961</v>
      </c>
      <c r="C70">
        <f t="shared" si="19"/>
        <v>2.0334719109475961</v>
      </c>
      <c r="D70" t="s">
        <v>32</v>
      </c>
      <c r="E70" t="s">
        <v>21</v>
      </c>
      <c r="F70">
        <v>1</v>
      </c>
      <c r="G70">
        <f>G69+5</f>
        <v>40</v>
      </c>
      <c r="I70">
        <v>2100</v>
      </c>
      <c r="J70" t="s">
        <v>25</v>
      </c>
      <c r="K70">
        <f>AVERAGE(G70:G71)</f>
        <v>42.5</v>
      </c>
      <c r="L70" cm="1">
        <f t="array" ref="L70">STOWA2024_JAARROND_T(A70*60,K70,I70,J70,"")</f>
        <v>0.24488830139273374</v>
      </c>
      <c r="M70">
        <f>1/L70</f>
        <v>4.0834943699342912</v>
      </c>
    </row>
    <row r="71" spans="1:13" x14ac:dyDescent="0.3">
      <c r="A71">
        <v>96</v>
      </c>
      <c r="B71">
        <f t="shared" ref="B71:B93" si="23">M70-M71</f>
        <v>1.3339890527484917</v>
      </c>
      <c r="C71">
        <f t="shared" si="19"/>
        <v>1.3339890527484917</v>
      </c>
      <c r="D71" t="s">
        <v>32</v>
      </c>
      <c r="E71" t="s">
        <v>21</v>
      </c>
      <c r="F71">
        <v>1</v>
      </c>
      <c r="G71">
        <f t="shared" ref="G71:G94" si="24">G70+5</f>
        <v>45</v>
      </c>
      <c r="I71">
        <v>2100</v>
      </c>
      <c r="J71" t="s">
        <v>25</v>
      </c>
      <c r="K71">
        <f t="shared" ref="K71:K93" si="25">AVERAGE(G71:G72)</f>
        <v>47.5</v>
      </c>
      <c r="L71" cm="1">
        <f t="array" ref="L71">STOWA2024_JAARROND_T(A71*60,K71,I71,J71,"")</f>
        <v>0.36370178800873526</v>
      </c>
      <c r="M71">
        <f t="shared" ref="M71:M93" si="26">1/L71</f>
        <v>2.7495053171857995</v>
      </c>
    </row>
    <row r="72" spans="1:13" x14ac:dyDescent="0.3">
      <c r="A72">
        <v>96</v>
      </c>
      <c r="B72">
        <f t="shared" si="23"/>
        <v>0.88293598134327733</v>
      </c>
      <c r="C72">
        <f t="shared" si="19"/>
        <v>0.88293598134327733</v>
      </c>
      <c r="D72" t="s">
        <v>32</v>
      </c>
      <c r="E72" t="s">
        <v>21</v>
      </c>
      <c r="F72">
        <v>1</v>
      </c>
      <c r="G72">
        <f t="shared" si="24"/>
        <v>50</v>
      </c>
      <c r="I72">
        <v>2100</v>
      </c>
      <c r="J72" t="s">
        <v>25</v>
      </c>
      <c r="K72">
        <f t="shared" si="25"/>
        <v>52.5</v>
      </c>
      <c r="L72" cm="1">
        <f t="array" ref="L72">STOWA2024_JAARROND_T(A72*60,K72,I72,J72,"")</f>
        <v>0.53574222012418593</v>
      </c>
      <c r="M72">
        <f t="shared" si="26"/>
        <v>1.8665693358425222</v>
      </c>
    </row>
    <row r="73" spans="1:13" x14ac:dyDescent="0.3">
      <c r="A73">
        <v>96</v>
      </c>
      <c r="B73">
        <f t="shared" si="23"/>
        <v>0.58937436109744645</v>
      </c>
      <c r="C73">
        <f t="shared" si="19"/>
        <v>0.58937436109744645</v>
      </c>
      <c r="D73" t="s">
        <v>32</v>
      </c>
      <c r="E73" t="s">
        <v>21</v>
      </c>
      <c r="F73">
        <v>1</v>
      </c>
      <c r="G73">
        <f t="shared" si="24"/>
        <v>55</v>
      </c>
      <c r="I73">
        <v>2100</v>
      </c>
      <c r="J73" t="s">
        <v>25</v>
      </c>
      <c r="K73">
        <f t="shared" si="25"/>
        <v>57.5</v>
      </c>
      <c r="L73" cm="1">
        <f t="array" ref="L73">STOWA2024_JAARROND_T(A73*60,K73,I73,J73,"")</f>
        <v>0.78296581162135959</v>
      </c>
      <c r="M73">
        <f t="shared" si="26"/>
        <v>1.2771949747450757</v>
      </c>
    </row>
    <row r="74" spans="1:13" x14ac:dyDescent="0.3">
      <c r="A74">
        <v>96</v>
      </c>
      <c r="B74">
        <f t="shared" si="23"/>
        <v>0.39654765894080723</v>
      </c>
      <c r="C74">
        <f t="shared" si="19"/>
        <v>0.39654765894080723</v>
      </c>
      <c r="D74" t="s">
        <v>32</v>
      </c>
      <c r="E74" t="s">
        <v>21</v>
      </c>
      <c r="F74">
        <v>1</v>
      </c>
      <c r="G74">
        <f t="shared" si="24"/>
        <v>60</v>
      </c>
      <c r="I74">
        <v>2100</v>
      </c>
      <c r="J74" t="s">
        <v>25</v>
      </c>
      <c r="K74">
        <f t="shared" si="25"/>
        <v>62.5</v>
      </c>
      <c r="L74" cm="1">
        <f t="array" ref="L74">STOWA2024_JAARROND_T(A74*60,K74,I74,J74,"")</f>
        <v>1.1355283574409472</v>
      </c>
      <c r="M74">
        <f t="shared" si="26"/>
        <v>0.88064731580426847</v>
      </c>
    </row>
    <row r="75" spans="1:13" x14ac:dyDescent="0.3">
      <c r="A75">
        <v>96</v>
      </c>
      <c r="B75">
        <f t="shared" si="23"/>
        <v>0.26906004881022805</v>
      </c>
      <c r="C75">
        <f t="shared" si="19"/>
        <v>0.26906004881022805</v>
      </c>
      <c r="D75" t="s">
        <v>32</v>
      </c>
      <c r="E75" t="s">
        <v>21</v>
      </c>
      <c r="F75">
        <v>1</v>
      </c>
      <c r="G75">
        <f t="shared" si="24"/>
        <v>65</v>
      </c>
      <c r="I75">
        <v>2100</v>
      </c>
      <c r="J75" t="s">
        <v>25</v>
      </c>
      <c r="K75">
        <f t="shared" si="25"/>
        <v>67.5</v>
      </c>
      <c r="L75" cm="1">
        <f t="array" ref="L75">STOWA2024_JAARROND_T(A75*60,K75,I75,J75,"")</f>
        <v>1.6350896331034055</v>
      </c>
      <c r="M75">
        <f t="shared" si="26"/>
        <v>0.61158726699404042</v>
      </c>
    </row>
    <row r="76" spans="1:13" x14ac:dyDescent="0.3">
      <c r="A76">
        <v>96</v>
      </c>
      <c r="B76">
        <f t="shared" si="23"/>
        <v>0.18387091356168583</v>
      </c>
      <c r="C76">
        <f t="shared" si="19"/>
        <v>0.18387091356168583</v>
      </c>
      <c r="D76" t="s">
        <v>32</v>
      </c>
      <c r="E76" t="s">
        <v>21</v>
      </c>
      <c r="F76">
        <v>1</v>
      </c>
      <c r="G76">
        <f t="shared" si="24"/>
        <v>70</v>
      </c>
      <c r="I76">
        <v>2100</v>
      </c>
      <c r="J76" t="s">
        <v>25</v>
      </c>
      <c r="K76">
        <f t="shared" si="25"/>
        <v>72.5</v>
      </c>
      <c r="L76" cm="1">
        <f t="array" ref="L76">STOWA2024_JAARROND_T(A76*60,K76,I76,J76,"")</f>
        <v>2.3379980493501398</v>
      </c>
      <c r="M76">
        <f t="shared" si="26"/>
        <v>0.42771635343235459</v>
      </c>
    </row>
    <row r="77" spans="1:13" x14ac:dyDescent="0.3">
      <c r="A77">
        <v>96</v>
      </c>
      <c r="B77">
        <f t="shared" si="23"/>
        <v>0.12657433050694977</v>
      </c>
      <c r="C77">
        <f t="shared" si="19"/>
        <v>0.12657433050694977</v>
      </c>
      <c r="D77" t="s">
        <v>32</v>
      </c>
      <c r="E77" t="s">
        <v>21</v>
      </c>
      <c r="F77">
        <v>1</v>
      </c>
      <c r="G77">
        <f t="shared" si="24"/>
        <v>75</v>
      </c>
      <c r="I77">
        <v>2100</v>
      </c>
      <c r="J77" t="s">
        <v>25</v>
      </c>
      <c r="K77">
        <f t="shared" si="25"/>
        <v>77.5</v>
      </c>
      <c r="L77" cm="1">
        <f t="array" ref="L77">STOWA2024_JAARROND_T(A77*60,K77,I77,J77,"")</f>
        <v>3.320692310842674</v>
      </c>
      <c r="M77">
        <f t="shared" si="26"/>
        <v>0.30114202292540482</v>
      </c>
    </row>
    <row r="78" spans="1:13" x14ac:dyDescent="0.3">
      <c r="A78">
        <v>96</v>
      </c>
      <c r="B78">
        <f t="shared" si="23"/>
        <v>8.7739614207104105E-2</v>
      </c>
      <c r="C78">
        <f t="shared" si="19"/>
        <v>8.7739614207104105E-2</v>
      </c>
      <c r="D78" t="s">
        <v>32</v>
      </c>
      <c r="E78" t="s">
        <v>21</v>
      </c>
      <c r="F78">
        <v>1</v>
      </c>
      <c r="G78">
        <f t="shared" si="24"/>
        <v>80</v>
      </c>
      <c r="I78">
        <v>2100</v>
      </c>
      <c r="J78" t="s">
        <v>25</v>
      </c>
      <c r="K78">
        <f t="shared" si="25"/>
        <v>82.5</v>
      </c>
      <c r="L78" cm="1">
        <f t="array" ref="L78">STOWA2024_JAARROND_T(A78*60,K78,I78,J78,"")</f>
        <v>4.6859827215916665</v>
      </c>
      <c r="M78">
        <f t="shared" si="26"/>
        <v>0.21340240871830071</v>
      </c>
    </row>
    <row r="79" spans="1:13" x14ac:dyDescent="0.3">
      <c r="A79">
        <v>96</v>
      </c>
      <c r="B79">
        <f t="shared" si="23"/>
        <v>6.1227541478019981E-2</v>
      </c>
      <c r="C79">
        <f t="shared" si="19"/>
        <v>6.1227541478019981E-2</v>
      </c>
      <c r="D79" t="s">
        <v>32</v>
      </c>
      <c r="E79" t="s">
        <v>21</v>
      </c>
      <c r="F79">
        <v>1</v>
      </c>
      <c r="G79">
        <f t="shared" si="24"/>
        <v>85</v>
      </c>
      <c r="I79">
        <v>2100</v>
      </c>
      <c r="J79" t="s">
        <v>25</v>
      </c>
      <c r="K79">
        <f t="shared" si="25"/>
        <v>87.5</v>
      </c>
      <c r="L79" cm="1">
        <f t="array" ref="L79">STOWA2024_JAARROND_T(A79*60,K79,I79,J79,"")</f>
        <v>6.5713873659638038</v>
      </c>
      <c r="M79">
        <f t="shared" si="26"/>
        <v>0.15217486724028073</v>
      </c>
    </row>
    <row r="80" spans="1:13" x14ac:dyDescent="0.3">
      <c r="A80">
        <v>96</v>
      </c>
      <c r="B80">
        <f t="shared" si="23"/>
        <v>4.3006421401279055E-2</v>
      </c>
      <c r="C80">
        <f t="shared" si="19"/>
        <v>4.3006421401279055E-2</v>
      </c>
      <c r="D80" t="s">
        <v>32</v>
      </c>
      <c r="E80" t="s">
        <v>21</v>
      </c>
      <c r="F80">
        <v>1</v>
      </c>
      <c r="G80">
        <f t="shared" si="24"/>
        <v>90</v>
      </c>
      <c r="I80">
        <v>2100</v>
      </c>
      <c r="J80" t="s">
        <v>25</v>
      </c>
      <c r="K80">
        <f t="shared" si="25"/>
        <v>92.5</v>
      </c>
      <c r="L80" cm="1">
        <f t="array" ref="L80">STOWA2024_JAARROND_T(A80*60,K80,I80,J80,"")</f>
        <v>9.1601560534696063</v>
      </c>
      <c r="M80">
        <f t="shared" si="26"/>
        <v>0.10916844583900168</v>
      </c>
    </row>
    <row r="81" spans="1:13" x14ac:dyDescent="0.3">
      <c r="A81">
        <v>96</v>
      </c>
      <c r="B81">
        <f t="shared" si="23"/>
        <v>3.0395167537473997E-2</v>
      </c>
      <c r="C81">
        <f t="shared" si="19"/>
        <v>3.0395167537473997E-2</v>
      </c>
      <c r="D81" t="s">
        <v>32</v>
      </c>
      <c r="E81" t="s">
        <v>21</v>
      </c>
      <c r="F81">
        <v>1</v>
      </c>
      <c r="G81">
        <f t="shared" si="24"/>
        <v>95</v>
      </c>
      <c r="I81">
        <v>2100</v>
      </c>
      <c r="J81" t="s">
        <v>25</v>
      </c>
      <c r="K81">
        <f t="shared" si="25"/>
        <v>97.5</v>
      </c>
      <c r="L81" cm="1">
        <f t="array" ref="L81">STOWA2024_JAARROND_T(A81*60,K81,I81,J81,"")</f>
        <v>12.694660188855014</v>
      </c>
      <c r="M81">
        <f t="shared" si="26"/>
        <v>7.877327830152768E-2</v>
      </c>
    </row>
    <row r="82" spans="1:13" x14ac:dyDescent="0.3">
      <c r="A82">
        <v>96</v>
      </c>
      <c r="B82">
        <f t="shared" si="23"/>
        <v>2.161258646013732E-2</v>
      </c>
      <c r="C82">
        <f t="shared" si="19"/>
        <v>2.161258646013732E-2</v>
      </c>
      <c r="D82" t="s">
        <v>32</v>
      </c>
      <c r="E82" t="s">
        <v>21</v>
      </c>
      <c r="F82">
        <v>1</v>
      </c>
      <c r="G82">
        <f t="shared" si="24"/>
        <v>100</v>
      </c>
      <c r="I82">
        <v>2100</v>
      </c>
      <c r="J82" t="s">
        <v>25</v>
      </c>
      <c r="K82">
        <f t="shared" si="25"/>
        <v>102.5</v>
      </c>
      <c r="L82" cm="1">
        <f t="array" ref="L82">STOWA2024_JAARROND_T(A82*60,K82,I82,J82,"")</f>
        <v>17.494539827733412</v>
      </c>
      <c r="M82">
        <f t="shared" si="26"/>
        <v>5.716069184139036E-2</v>
      </c>
    </row>
    <row r="83" spans="1:13" x14ac:dyDescent="0.3">
      <c r="A83">
        <v>96</v>
      </c>
      <c r="B83">
        <f t="shared" si="23"/>
        <v>1.5457049590273379E-2</v>
      </c>
      <c r="C83">
        <f t="shared" si="19"/>
        <v>1.5457049590273379E-2</v>
      </c>
      <c r="D83" t="s">
        <v>32</v>
      </c>
      <c r="E83" t="s">
        <v>21</v>
      </c>
      <c r="F83">
        <v>1</v>
      </c>
      <c r="G83">
        <f t="shared" si="24"/>
        <v>105</v>
      </c>
      <c r="I83">
        <v>2100</v>
      </c>
      <c r="J83" t="s">
        <v>25</v>
      </c>
      <c r="K83">
        <f t="shared" si="25"/>
        <v>107.5</v>
      </c>
      <c r="L83" cm="1">
        <f t="array" ref="L83">STOWA2024_JAARROND_T(A83*60,K83,I83,J83,"")</f>
        <v>23.978720946687005</v>
      </c>
      <c r="M83">
        <f t="shared" si="26"/>
        <v>4.170364225111698E-2</v>
      </c>
    </row>
    <row r="84" spans="1:13" x14ac:dyDescent="0.3">
      <c r="A84">
        <v>96</v>
      </c>
      <c r="B84">
        <f t="shared" si="23"/>
        <v>1.1117620003126896E-2</v>
      </c>
      <c r="C84">
        <f t="shared" si="19"/>
        <v>1.1117620003126896E-2</v>
      </c>
      <c r="D84" t="s">
        <v>32</v>
      </c>
      <c r="E84" t="s">
        <v>21</v>
      </c>
      <c r="F84">
        <v>1</v>
      </c>
      <c r="G84">
        <f t="shared" si="24"/>
        <v>110</v>
      </c>
      <c r="I84">
        <v>2100</v>
      </c>
      <c r="J84" t="s">
        <v>25</v>
      </c>
      <c r="K84">
        <f t="shared" si="25"/>
        <v>112.5</v>
      </c>
      <c r="L84" cm="1">
        <f t="array" ref="L84">STOWA2024_JAARROND_T(A84*60,K84,I84,J84,"")</f>
        <v>32.694673138338985</v>
      </c>
      <c r="M84">
        <f t="shared" si="26"/>
        <v>3.0586022247990084E-2</v>
      </c>
    </row>
    <row r="85" spans="1:13" x14ac:dyDescent="0.3">
      <c r="A85">
        <v>96</v>
      </c>
      <c r="B85">
        <f t="shared" si="23"/>
        <v>8.0397945232196129E-3</v>
      </c>
      <c r="C85">
        <f t="shared" si="19"/>
        <v>8.0397945232196129E-3</v>
      </c>
      <c r="D85" t="s">
        <v>32</v>
      </c>
      <c r="E85" t="s">
        <v>21</v>
      </c>
      <c r="F85">
        <v>1</v>
      </c>
      <c r="G85">
        <f t="shared" si="24"/>
        <v>115</v>
      </c>
      <c r="I85">
        <v>2100</v>
      </c>
      <c r="J85" t="s">
        <v>25</v>
      </c>
      <c r="K85">
        <f t="shared" si="25"/>
        <v>117.5</v>
      </c>
      <c r="L85" cm="1">
        <f t="array" ref="L85">STOWA2024_JAARROND_T(A85*60,K85,I85,J85,"")</f>
        <v>44.353317646186433</v>
      </c>
      <c r="M85">
        <f t="shared" si="26"/>
        <v>2.2546227724770471E-2</v>
      </c>
    </row>
    <row r="86" spans="1:13" x14ac:dyDescent="0.3">
      <c r="A86">
        <v>96</v>
      </c>
      <c r="B86">
        <f t="shared" si="23"/>
        <v>5.8445944554219205E-3</v>
      </c>
      <c r="C86">
        <f t="shared" si="19"/>
        <v>5.8445944554219205E-3</v>
      </c>
      <c r="D86" t="s">
        <v>32</v>
      </c>
      <c r="E86" t="s">
        <v>21</v>
      </c>
      <c r="F86">
        <v>1</v>
      </c>
      <c r="G86">
        <f t="shared" si="24"/>
        <v>120</v>
      </c>
      <c r="I86">
        <v>2100</v>
      </c>
      <c r="J86" t="s">
        <v>25</v>
      </c>
      <c r="K86">
        <f t="shared" si="25"/>
        <v>122.5</v>
      </c>
      <c r="L86" cm="1">
        <f t="array" ref="L86">STOWA2024_JAARROND_T(A86*60,K86,I86,J86,"")</f>
        <v>59.874383772707823</v>
      </c>
      <c r="M86">
        <f t="shared" si="26"/>
        <v>1.6701633269348551E-2</v>
      </c>
    </row>
    <row r="87" spans="1:13" x14ac:dyDescent="0.3">
      <c r="A87">
        <v>96</v>
      </c>
      <c r="B87">
        <f t="shared" si="23"/>
        <v>4.2706855866795658E-3</v>
      </c>
      <c r="C87">
        <f t="shared" si="19"/>
        <v>4.2706855866795658E-3</v>
      </c>
      <c r="D87" t="s">
        <v>32</v>
      </c>
      <c r="E87" t="s">
        <v>21</v>
      </c>
      <c r="F87">
        <v>1</v>
      </c>
      <c r="G87">
        <f t="shared" si="24"/>
        <v>125</v>
      </c>
      <c r="I87">
        <v>2100</v>
      </c>
      <c r="J87" t="s">
        <v>25</v>
      </c>
      <c r="K87">
        <f t="shared" si="25"/>
        <v>127.5</v>
      </c>
      <c r="L87" cm="1">
        <f t="array" ref="L87">STOWA2024_JAARROND_T(A87*60,K87,I87,J87,"")</f>
        <v>80.444389722127369</v>
      </c>
      <c r="M87">
        <f t="shared" si="26"/>
        <v>1.2430947682668985E-2</v>
      </c>
    </row>
    <row r="88" spans="1:13" x14ac:dyDescent="0.3">
      <c r="A88">
        <v>96</v>
      </c>
      <c r="B88">
        <f t="shared" si="23"/>
        <v>3.1358975686864819E-3</v>
      </c>
      <c r="C88">
        <f t="shared" si="19"/>
        <v>3.1358975686864819E-3</v>
      </c>
      <c r="D88" t="s">
        <v>32</v>
      </c>
      <c r="E88" t="s">
        <v>21</v>
      </c>
      <c r="F88">
        <v>1</v>
      </c>
      <c r="G88">
        <f t="shared" si="24"/>
        <v>130</v>
      </c>
      <c r="I88">
        <v>2100</v>
      </c>
      <c r="J88" t="s">
        <v>25</v>
      </c>
      <c r="K88">
        <f t="shared" si="25"/>
        <v>132.5</v>
      </c>
      <c r="L88" cm="1">
        <f t="array" ref="L88">STOWA2024_JAARROND_T(A88*60,K88,I88,J88,"")</f>
        <v>107.58414292954745</v>
      </c>
      <c r="M88">
        <f t="shared" si="26"/>
        <v>9.2950501139825031E-3</v>
      </c>
    </row>
    <row r="89" spans="1:13" x14ac:dyDescent="0.3">
      <c r="A89">
        <v>96</v>
      </c>
      <c r="B89">
        <f t="shared" si="23"/>
        <v>2.3137857845034497E-3</v>
      </c>
      <c r="C89">
        <f t="shared" si="19"/>
        <v>2.3137857845034497E-3</v>
      </c>
      <c r="D89" t="s">
        <v>32</v>
      </c>
      <c r="E89" t="s">
        <v>21</v>
      </c>
      <c r="F89">
        <v>1</v>
      </c>
      <c r="G89">
        <f t="shared" si="24"/>
        <v>135</v>
      </c>
      <c r="I89">
        <v>2100</v>
      </c>
      <c r="J89" t="s">
        <v>25</v>
      </c>
      <c r="K89">
        <f t="shared" si="25"/>
        <v>137.5</v>
      </c>
      <c r="L89" cm="1">
        <f t="array" ref="L89">STOWA2024_JAARROND_T(A89*60,K89,I89,J89,"")</f>
        <v>143.24052962404028</v>
      </c>
      <c r="M89">
        <f t="shared" si="26"/>
        <v>6.9812643294790535E-3</v>
      </c>
    </row>
    <row r="90" spans="1:13" x14ac:dyDescent="0.3">
      <c r="A90">
        <v>96</v>
      </c>
      <c r="B90">
        <f t="shared" si="23"/>
        <v>1.7150510768884544E-3</v>
      </c>
      <c r="C90">
        <f t="shared" si="19"/>
        <v>1.7150510768884544E-3</v>
      </c>
      <c r="D90" t="s">
        <v>32</v>
      </c>
      <c r="E90" t="s">
        <v>21</v>
      </c>
      <c r="F90">
        <v>1</v>
      </c>
      <c r="G90">
        <f t="shared" si="24"/>
        <v>140</v>
      </c>
      <c r="I90">
        <v>2100</v>
      </c>
      <c r="J90" t="s">
        <v>25</v>
      </c>
      <c r="K90">
        <f t="shared" si="25"/>
        <v>142.5</v>
      </c>
      <c r="L90" cm="1">
        <f t="array" ref="L90">STOWA2024_JAARROND_T(A90*60,K90,I90,J90,"")</f>
        <v>189.88976557454671</v>
      </c>
      <c r="M90">
        <f t="shared" si="26"/>
        <v>5.2662132525905991E-3</v>
      </c>
    </row>
    <row r="91" spans="1:13" x14ac:dyDescent="0.3">
      <c r="A91">
        <v>96</v>
      </c>
      <c r="B91">
        <f t="shared" si="23"/>
        <v>1.2770114956135109E-3</v>
      </c>
      <c r="C91">
        <f t="shared" si="19"/>
        <v>1.2770114956135109E-3</v>
      </c>
      <c r="D91" t="s">
        <v>32</v>
      </c>
      <c r="E91" t="s">
        <v>21</v>
      </c>
      <c r="F91">
        <v>1</v>
      </c>
      <c r="G91">
        <f t="shared" si="24"/>
        <v>145</v>
      </c>
      <c r="I91">
        <v>2100</v>
      </c>
      <c r="J91" t="s">
        <v>25</v>
      </c>
      <c r="K91">
        <f t="shared" si="25"/>
        <v>147.5</v>
      </c>
      <c r="L91" cm="1">
        <f t="array" ref="L91">STOWA2024_JAARROND_T(A91*60,K91,I91,J91,"")</f>
        <v>250.67671702766259</v>
      </c>
      <c r="M91">
        <f t="shared" si="26"/>
        <v>3.9892017569770882E-3</v>
      </c>
    </row>
    <row r="92" spans="1:13" x14ac:dyDescent="0.3">
      <c r="A92">
        <v>96</v>
      </c>
      <c r="B92">
        <f t="shared" si="23"/>
        <v>9.5500836740425137E-4</v>
      </c>
      <c r="C92">
        <f t="shared" si="19"/>
        <v>9.5500836740425137E-4</v>
      </c>
      <c r="D92" t="s">
        <v>32</v>
      </c>
      <c r="E92" t="s">
        <v>21</v>
      </c>
      <c r="F92">
        <v>1</v>
      </c>
      <c r="G92">
        <f t="shared" si="24"/>
        <v>150</v>
      </c>
      <c r="I92">
        <v>2100</v>
      </c>
      <c r="J92" t="s">
        <v>25</v>
      </c>
      <c r="K92">
        <f t="shared" si="25"/>
        <v>152.5</v>
      </c>
      <c r="L92" cm="1">
        <f t="array" ref="L92">STOWA2024_JAARROND_T(A92*60,K92,I92,J92,"")</f>
        <v>329.57688308087148</v>
      </c>
      <c r="M92">
        <f t="shared" si="26"/>
        <v>3.0341933895728368E-3</v>
      </c>
    </row>
    <row r="93" spans="1:13" x14ac:dyDescent="0.3">
      <c r="A93">
        <v>96</v>
      </c>
      <c r="B93">
        <f t="shared" si="23"/>
        <v>7.1724407199319582E-4</v>
      </c>
      <c r="C93">
        <f t="shared" si="19"/>
        <v>7.1724407199319582E-4</v>
      </c>
      <c r="D93" t="s">
        <v>32</v>
      </c>
      <c r="E93" t="s">
        <v>21</v>
      </c>
      <c r="F93">
        <v>1</v>
      </c>
      <c r="G93">
        <f t="shared" si="24"/>
        <v>155</v>
      </c>
      <c r="I93">
        <v>2100</v>
      </c>
      <c r="J93" t="s">
        <v>25</v>
      </c>
      <c r="K93">
        <f t="shared" si="25"/>
        <v>157.5</v>
      </c>
      <c r="L93" cm="1">
        <f t="array" ref="L93">STOWA2024_JAARROND_T(A93*60,K93,I93,J93,"")</f>
        <v>431.60201753771281</v>
      </c>
      <c r="M93">
        <f t="shared" si="26"/>
        <v>2.316949317579641E-3</v>
      </c>
    </row>
    <row r="94" spans="1:13" x14ac:dyDescent="0.3">
      <c r="A94">
        <v>96</v>
      </c>
      <c r="B94" s="1">
        <f>M93</f>
        <v>2.316949317579641E-3</v>
      </c>
      <c r="C94">
        <f t="shared" si="19"/>
        <v>2.316949317579641E-3</v>
      </c>
      <c r="D94" t="s">
        <v>32</v>
      </c>
      <c r="E94" t="s">
        <v>21</v>
      </c>
      <c r="F94">
        <v>1</v>
      </c>
      <c r="G94">
        <f t="shared" si="24"/>
        <v>160</v>
      </c>
      <c r="I94">
        <v>2100</v>
      </c>
      <c r="J94" t="s">
        <v>25</v>
      </c>
      <c r="K94">
        <f>AVERAGE(G94:G95)</f>
        <v>85</v>
      </c>
      <c r="L94" cm="1">
        <f t="array" ref="L94">STOWA2024_JAARROND_T(A94*60,K94,I94,J94,"")</f>
        <v>5.5534615869648585</v>
      </c>
      <c r="M94">
        <f>1/L94</f>
        <v>0.18006787016357692</v>
      </c>
    </row>
    <row r="95" spans="1:13" x14ac:dyDescent="0.3">
      <c r="A95">
        <v>192</v>
      </c>
      <c r="B95" s="1">
        <f>365.25*24/A95 - M95</f>
        <v>-9.6226235937308431</v>
      </c>
      <c r="C95">
        <f>B95</f>
        <v>-9.6226235937308431</v>
      </c>
      <c r="D95" t="s">
        <v>32</v>
      </c>
      <c r="E95" t="s">
        <v>21</v>
      </c>
      <c r="F95">
        <v>1</v>
      </c>
      <c r="G95">
        <v>10</v>
      </c>
      <c r="I95">
        <v>2100</v>
      </c>
      <c r="J95" t="s">
        <v>25</v>
      </c>
      <c r="K95">
        <f>AVERAGE(G95:G97)</f>
        <v>15</v>
      </c>
      <c r="L95" cm="1">
        <f t="array" ref="L95">STOWA2024_JAARROND_T(A95*60,K95,I95,J95,"")</f>
        <v>1.8090093646796191E-2</v>
      </c>
      <c r="M95">
        <f>1/L95</f>
        <v>55.278873593730843</v>
      </c>
    </row>
    <row r="96" spans="1:13" x14ac:dyDescent="0.3">
      <c r="A96">
        <v>192</v>
      </c>
      <c r="B96">
        <f t="shared" ref="B96:B100" si="27">M95-M96</f>
        <v>7.7192942959269431</v>
      </c>
      <c r="C96">
        <f t="shared" ref="C96:C125" si="28">B96</f>
        <v>7.7192942959269431</v>
      </c>
      <c r="D96" t="s">
        <v>32</v>
      </c>
      <c r="E96" t="s">
        <v>21</v>
      </c>
      <c r="F96">
        <v>1</v>
      </c>
      <c r="G96">
        <f t="shared" ref="G96:G100" si="29">G95+5</f>
        <v>15</v>
      </c>
      <c r="I96">
        <v>2100</v>
      </c>
      <c r="J96" t="s">
        <v>25</v>
      </c>
      <c r="K96">
        <f t="shared" ref="K96:K100" si="30">AVERAGE(G96:G97)</f>
        <v>17.5</v>
      </c>
      <c r="L96" cm="1">
        <f t="array" ref="L96">STOWA2024_JAARROND_T(A96*60,K96,I96,J96,"")</f>
        <v>2.1026258321973336E-2</v>
      </c>
      <c r="M96">
        <f t="shared" ref="M96:M100" si="31">1/L96</f>
        <v>47.5595792978039</v>
      </c>
    </row>
    <row r="97" spans="1:13" x14ac:dyDescent="0.3">
      <c r="A97">
        <v>192</v>
      </c>
      <c r="B97">
        <f t="shared" si="27"/>
        <v>12.365782137448811</v>
      </c>
      <c r="C97">
        <f t="shared" si="28"/>
        <v>12.365782137448811</v>
      </c>
      <c r="D97" t="s">
        <v>32</v>
      </c>
      <c r="E97" t="s">
        <v>21</v>
      </c>
      <c r="F97">
        <v>1</v>
      </c>
      <c r="G97">
        <f t="shared" si="29"/>
        <v>20</v>
      </c>
      <c r="I97">
        <v>2100</v>
      </c>
      <c r="J97" t="s">
        <v>25</v>
      </c>
      <c r="K97">
        <f t="shared" si="30"/>
        <v>22.5</v>
      </c>
      <c r="L97" cm="1">
        <f t="array" ref="L97">STOWA2024_JAARROND_T(A97*60,K97,I97,J97,"")</f>
        <v>2.8414097957195548E-2</v>
      </c>
      <c r="M97">
        <f t="shared" si="31"/>
        <v>35.193797160355089</v>
      </c>
    </row>
    <row r="98" spans="1:13" x14ac:dyDescent="0.3">
      <c r="A98">
        <v>192</v>
      </c>
      <c r="B98">
        <f t="shared" si="27"/>
        <v>9.1608603098716941</v>
      </c>
      <c r="C98">
        <f t="shared" si="28"/>
        <v>9.1608603098716941</v>
      </c>
      <c r="D98" t="s">
        <v>32</v>
      </c>
      <c r="E98" t="s">
        <v>21</v>
      </c>
      <c r="F98">
        <v>1</v>
      </c>
      <c r="G98">
        <f t="shared" si="29"/>
        <v>25</v>
      </c>
      <c r="I98">
        <v>2100</v>
      </c>
      <c r="J98" t="s">
        <v>25</v>
      </c>
      <c r="K98">
        <f t="shared" si="30"/>
        <v>27.5</v>
      </c>
      <c r="L98" cm="1">
        <f t="array" ref="L98">STOWA2024_JAARROND_T(A98*60,K98,I98,J98,"")</f>
        <v>3.8412876954427501E-2</v>
      </c>
      <c r="M98">
        <f t="shared" si="31"/>
        <v>26.032936850483395</v>
      </c>
    </row>
    <row r="99" spans="1:13" x14ac:dyDescent="0.3">
      <c r="A99">
        <v>192</v>
      </c>
      <c r="B99">
        <f t="shared" si="27"/>
        <v>6.7837562164476424</v>
      </c>
      <c r="C99">
        <f t="shared" si="28"/>
        <v>6.7837562164476424</v>
      </c>
      <c r="D99" t="s">
        <v>32</v>
      </c>
      <c r="E99" t="s">
        <v>21</v>
      </c>
      <c r="F99">
        <v>1</v>
      </c>
      <c r="G99">
        <f t="shared" si="29"/>
        <v>30</v>
      </c>
      <c r="I99">
        <v>2100</v>
      </c>
      <c r="J99" t="s">
        <v>25</v>
      </c>
      <c r="K99">
        <f t="shared" si="30"/>
        <v>32.5</v>
      </c>
      <c r="L99" cm="1">
        <f t="array" ref="L99">STOWA2024_JAARROND_T(A99*60,K99,I99,J99,"")</f>
        <v>5.1950263183246026E-2</v>
      </c>
      <c r="M99">
        <f t="shared" si="31"/>
        <v>19.249180634035753</v>
      </c>
    </row>
    <row r="100" spans="1:13" x14ac:dyDescent="0.3">
      <c r="A100">
        <v>192</v>
      </c>
      <c r="B100">
        <f t="shared" si="27"/>
        <v>5.0215311613241607</v>
      </c>
      <c r="C100">
        <f t="shared" si="28"/>
        <v>5.0215311613241607</v>
      </c>
      <c r="D100" t="s">
        <v>32</v>
      </c>
      <c r="E100" t="s">
        <v>21</v>
      </c>
      <c r="F100">
        <v>1</v>
      </c>
      <c r="G100">
        <f t="shared" si="29"/>
        <v>35</v>
      </c>
      <c r="I100">
        <v>2100</v>
      </c>
      <c r="J100" t="s">
        <v>25</v>
      </c>
      <c r="K100">
        <f t="shared" si="30"/>
        <v>37.5</v>
      </c>
      <c r="L100" cm="1">
        <f t="array" ref="L100">STOWA2024_JAARROND_T(A100*60,K100,I100,J100,"")</f>
        <v>7.0285678735478002E-2</v>
      </c>
      <c r="M100">
        <f t="shared" si="31"/>
        <v>14.227649472711592</v>
      </c>
    </row>
    <row r="101" spans="1:13" x14ac:dyDescent="0.3">
      <c r="A101">
        <v>192</v>
      </c>
      <c r="B101">
        <f>M100-M101</f>
        <v>3.7156547080908577</v>
      </c>
      <c r="C101">
        <f t="shared" si="28"/>
        <v>3.7156547080908577</v>
      </c>
      <c r="D101" t="s">
        <v>32</v>
      </c>
      <c r="E101" t="s">
        <v>21</v>
      </c>
      <c r="F101">
        <v>1</v>
      </c>
      <c r="G101">
        <f>G100+5</f>
        <v>40</v>
      </c>
      <c r="I101">
        <v>2100</v>
      </c>
      <c r="J101" t="s">
        <v>25</v>
      </c>
      <c r="K101">
        <f>AVERAGE(G101:G102)</f>
        <v>42.5</v>
      </c>
      <c r="L101" cm="1">
        <f t="array" ref="L101">STOWA2024_JAARROND_T(A101*60,K101,I101,J101,"")</f>
        <v>9.5129423329395973E-2</v>
      </c>
      <c r="M101">
        <f>1/L101</f>
        <v>10.511994764620734</v>
      </c>
    </row>
    <row r="102" spans="1:13" x14ac:dyDescent="0.3">
      <c r="A102">
        <v>192</v>
      </c>
      <c r="B102">
        <f t="shared" ref="B102:B124" si="32">M101-M102</f>
        <v>2.7483181935877603</v>
      </c>
      <c r="C102">
        <f t="shared" si="28"/>
        <v>2.7483181935877603</v>
      </c>
      <c r="D102" t="s">
        <v>32</v>
      </c>
      <c r="E102" t="s">
        <v>21</v>
      </c>
      <c r="F102">
        <v>1</v>
      </c>
      <c r="G102">
        <f t="shared" ref="G102:G125" si="33">G101+5</f>
        <v>45</v>
      </c>
      <c r="I102">
        <v>2100</v>
      </c>
      <c r="J102" t="s">
        <v>25</v>
      </c>
      <c r="K102">
        <f t="shared" ref="K102:K124" si="34">AVERAGE(G102:G103)</f>
        <v>47.5</v>
      </c>
      <c r="L102" cm="1">
        <f t="array" ref="L102">STOWA2024_JAARROND_T(A102*60,K102,I102,J102,"")</f>
        <v>0.12880495353594409</v>
      </c>
      <c r="M102">
        <f t="shared" ref="M102:M124" si="35">1/L102</f>
        <v>7.763676571032974</v>
      </c>
    </row>
    <row r="103" spans="1:13" x14ac:dyDescent="0.3">
      <c r="A103">
        <v>192</v>
      </c>
      <c r="B103">
        <f t="shared" si="32"/>
        <v>2.0320303082490021</v>
      </c>
      <c r="C103">
        <f t="shared" si="28"/>
        <v>2.0320303082490021</v>
      </c>
      <c r="D103" t="s">
        <v>32</v>
      </c>
      <c r="E103" t="s">
        <v>21</v>
      </c>
      <c r="F103">
        <v>1</v>
      </c>
      <c r="G103">
        <f t="shared" si="33"/>
        <v>50</v>
      </c>
      <c r="I103">
        <v>2100</v>
      </c>
      <c r="J103" t="s">
        <v>25</v>
      </c>
      <c r="K103">
        <f t="shared" si="34"/>
        <v>52.5</v>
      </c>
      <c r="L103" cm="1">
        <f t="array" ref="L103">STOWA2024_JAARROND_T(A103*60,K103,I103,J103,"")</f>
        <v>0.17446994356457032</v>
      </c>
      <c r="M103">
        <f t="shared" si="35"/>
        <v>5.7316462627839719</v>
      </c>
    </row>
    <row r="104" spans="1:13" x14ac:dyDescent="0.3">
      <c r="A104">
        <v>192</v>
      </c>
      <c r="B104">
        <f t="shared" si="32"/>
        <v>1.5018890641174174</v>
      </c>
      <c r="C104">
        <f t="shared" si="28"/>
        <v>1.5018890641174174</v>
      </c>
      <c r="D104" t="s">
        <v>32</v>
      </c>
      <c r="E104" t="s">
        <v>21</v>
      </c>
      <c r="F104">
        <v>1</v>
      </c>
      <c r="G104">
        <f t="shared" si="33"/>
        <v>55</v>
      </c>
      <c r="I104">
        <v>2100</v>
      </c>
      <c r="J104" t="s">
        <v>25</v>
      </c>
      <c r="K104">
        <f t="shared" si="34"/>
        <v>57.5</v>
      </c>
      <c r="L104" cm="1">
        <f t="array" ref="L104">STOWA2024_JAARROND_T(A104*60,K104,I104,J104,"")</f>
        <v>0.23642018986698654</v>
      </c>
      <c r="M104">
        <f t="shared" si="35"/>
        <v>4.2297571986665545</v>
      </c>
    </row>
    <row r="105" spans="1:13" x14ac:dyDescent="0.3">
      <c r="A105">
        <v>192</v>
      </c>
      <c r="B105">
        <f t="shared" si="32"/>
        <v>1.1095664016427076</v>
      </c>
      <c r="C105">
        <f t="shared" si="28"/>
        <v>1.1095664016427076</v>
      </c>
      <c r="D105" t="s">
        <v>32</v>
      </c>
      <c r="E105" t="s">
        <v>21</v>
      </c>
      <c r="F105">
        <v>1</v>
      </c>
      <c r="G105">
        <f t="shared" si="33"/>
        <v>60</v>
      </c>
      <c r="I105">
        <v>2100</v>
      </c>
      <c r="J105" t="s">
        <v>25</v>
      </c>
      <c r="K105">
        <f t="shared" si="34"/>
        <v>62.5</v>
      </c>
      <c r="L105" cm="1">
        <f t="array" ref="L105">STOWA2024_JAARROND_T(A105*60,K105,I105,J105,"")</f>
        <v>0.32049322142538106</v>
      </c>
      <c r="M105">
        <f t="shared" si="35"/>
        <v>3.1201907970238469</v>
      </c>
    </row>
    <row r="106" spans="1:13" x14ac:dyDescent="0.3">
      <c r="A106">
        <v>192</v>
      </c>
      <c r="B106">
        <f t="shared" si="32"/>
        <v>0.81940160825346009</v>
      </c>
      <c r="C106">
        <f t="shared" si="28"/>
        <v>0.81940160825346009</v>
      </c>
      <c r="D106" t="s">
        <v>32</v>
      </c>
      <c r="E106" t="s">
        <v>21</v>
      </c>
      <c r="F106">
        <v>1</v>
      </c>
      <c r="G106">
        <f t="shared" si="33"/>
        <v>65</v>
      </c>
      <c r="I106">
        <v>2100</v>
      </c>
      <c r="J106" t="s">
        <v>25</v>
      </c>
      <c r="K106">
        <f t="shared" si="34"/>
        <v>67.5</v>
      </c>
      <c r="L106" cm="1">
        <f t="array" ref="L106">STOWA2024_JAARROND_T(A106*60,K106,I106,J106,"")</f>
        <v>0.4346334748445298</v>
      </c>
      <c r="M106">
        <f t="shared" si="35"/>
        <v>2.3007891887703869</v>
      </c>
    </row>
    <row r="107" spans="1:13" x14ac:dyDescent="0.3">
      <c r="A107">
        <v>192</v>
      </c>
      <c r="B107">
        <f t="shared" si="32"/>
        <v>0.60489663474589372</v>
      </c>
      <c r="C107">
        <f t="shared" si="28"/>
        <v>0.60489663474589372</v>
      </c>
      <c r="D107" t="s">
        <v>32</v>
      </c>
      <c r="E107" t="s">
        <v>21</v>
      </c>
      <c r="F107">
        <v>1</v>
      </c>
      <c r="G107">
        <f t="shared" si="33"/>
        <v>70</v>
      </c>
      <c r="I107">
        <v>2100</v>
      </c>
      <c r="J107" t="s">
        <v>25</v>
      </c>
      <c r="K107">
        <f t="shared" si="34"/>
        <v>72.5</v>
      </c>
      <c r="L107" cm="1">
        <f t="array" ref="L107">STOWA2024_JAARROND_T(A107*60,K107,I107,J107,"")</f>
        <v>0.58965999799156932</v>
      </c>
      <c r="M107">
        <f t="shared" si="35"/>
        <v>1.6958925540244931</v>
      </c>
    </row>
    <row r="108" spans="1:13" x14ac:dyDescent="0.3">
      <c r="A108">
        <v>192</v>
      </c>
      <c r="B108">
        <f t="shared" si="32"/>
        <v>0.44636289611090274</v>
      </c>
      <c r="C108">
        <f t="shared" si="28"/>
        <v>0.44636289611090274</v>
      </c>
      <c r="D108" t="s">
        <v>32</v>
      </c>
      <c r="E108" t="s">
        <v>21</v>
      </c>
      <c r="F108">
        <v>1</v>
      </c>
      <c r="G108">
        <f t="shared" si="33"/>
        <v>75</v>
      </c>
      <c r="I108">
        <v>2100</v>
      </c>
      <c r="J108" t="s">
        <v>25</v>
      </c>
      <c r="K108">
        <f t="shared" si="34"/>
        <v>77.5</v>
      </c>
      <c r="L108" cm="1">
        <f t="array" ref="L108">STOWA2024_JAARROND_T(A108*60,K108,I108,J108,"")</f>
        <v>0.80030113224343635</v>
      </c>
      <c r="M108">
        <f t="shared" si="35"/>
        <v>1.2495296579135904</v>
      </c>
    </row>
    <row r="109" spans="1:13" x14ac:dyDescent="0.3">
      <c r="A109">
        <v>192</v>
      </c>
      <c r="B109">
        <f t="shared" si="32"/>
        <v>0.32916307829263147</v>
      </c>
      <c r="C109">
        <f t="shared" si="28"/>
        <v>0.32916307829263147</v>
      </c>
      <c r="D109" t="s">
        <v>32</v>
      </c>
      <c r="E109" t="s">
        <v>21</v>
      </c>
      <c r="F109">
        <v>1</v>
      </c>
      <c r="G109">
        <f t="shared" si="33"/>
        <v>80</v>
      </c>
      <c r="I109">
        <v>2100</v>
      </c>
      <c r="J109" t="s">
        <v>25</v>
      </c>
      <c r="K109">
        <f t="shared" si="34"/>
        <v>82.5</v>
      </c>
      <c r="L109" cm="1">
        <f t="array" ref="L109">STOWA2024_JAARROND_T(A109*60,K109,I109,J109,"")</f>
        <v>1.0865235897764096</v>
      </c>
      <c r="M109">
        <f t="shared" si="35"/>
        <v>0.92036657962095891</v>
      </c>
    </row>
    <row r="110" spans="1:13" x14ac:dyDescent="0.3">
      <c r="A110">
        <v>192</v>
      </c>
      <c r="B110">
        <f t="shared" si="32"/>
        <v>0.24278698544653687</v>
      </c>
      <c r="C110">
        <f t="shared" si="28"/>
        <v>0.24278698544653687</v>
      </c>
      <c r="D110" t="s">
        <v>32</v>
      </c>
      <c r="E110" t="s">
        <v>21</v>
      </c>
      <c r="F110">
        <v>1</v>
      </c>
      <c r="G110">
        <f t="shared" si="33"/>
        <v>85</v>
      </c>
      <c r="I110">
        <v>2100</v>
      </c>
      <c r="J110" t="s">
        <v>25</v>
      </c>
      <c r="K110">
        <f t="shared" si="34"/>
        <v>87.5</v>
      </c>
      <c r="L110" cm="1">
        <f t="array" ref="L110">STOWA2024_JAARROND_T(A110*60,K110,I110,J110,"")</f>
        <v>1.4758413750910284</v>
      </c>
      <c r="M110">
        <f t="shared" si="35"/>
        <v>0.67757959417442204</v>
      </c>
    </row>
    <row r="111" spans="1:13" x14ac:dyDescent="0.3">
      <c r="A111">
        <v>192</v>
      </c>
      <c r="B111">
        <f t="shared" si="32"/>
        <v>0.17893739854476931</v>
      </c>
      <c r="C111">
        <f t="shared" si="28"/>
        <v>0.17893739854476931</v>
      </c>
      <c r="D111" t="s">
        <v>32</v>
      </c>
      <c r="E111" t="s">
        <v>21</v>
      </c>
      <c r="F111">
        <v>1</v>
      </c>
      <c r="G111">
        <f t="shared" si="33"/>
        <v>90</v>
      </c>
      <c r="I111">
        <v>2100</v>
      </c>
      <c r="J111" t="s">
        <v>25</v>
      </c>
      <c r="K111">
        <f t="shared" si="34"/>
        <v>92.5</v>
      </c>
      <c r="L111" cm="1">
        <f t="array" ref="L111">STOWA2024_JAARROND_T(A111*60,K111,I111,J111,"")</f>
        <v>2.0054460067047986</v>
      </c>
      <c r="M111">
        <f t="shared" si="35"/>
        <v>0.49864219562965273</v>
      </c>
    </row>
    <row r="112" spans="1:13" x14ac:dyDescent="0.3">
      <c r="A112">
        <v>192</v>
      </c>
      <c r="B112">
        <f t="shared" si="32"/>
        <v>0.13183375055119606</v>
      </c>
      <c r="C112">
        <f t="shared" si="28"/>
        <v>0.13183375055119606</v>
      </c>
      <c r="D112" t="s">
        <v>32</v>
      </c>
      <c r="E112" t="s">
        <v>21</v>
      </c>
      <c r="F112">
        <v>1</v>
      </c>
      <c r="G112">
        <f t="shared" si="33"/>
        <v>95</v>
      </c>
      <c r="I112">
        <v>2100</v>
      </c>
      <c r="J112" t="s">
        <v>25</v>
      </c>
      <c r="K112">
        <f t="shared" si="34"/>
        <v>97.5</v>
      </c>
      <c r="L112" cm="1">
        <f t="array" ref="L112">STOWA2024_JAARROND_T(A112*60,K112,I112,J112,"")</f>
        <v>2.7262185847060034</v>
      </c>
      <c r="M112">
        <f t="shared" si="35"/>
        <v>0.36680844507845667</v>
      </c>
    </row>
    <row r="113" spans="1:13" x14ac:dyDescent="0.3">
      <c r="A113">
        <v>192</v>
      </c>
      <c r="B113">
        <f t="shared" si="32"/>
        <v>9.7086355895060761E-2</v>
      </c>
      <c r="C113">
        <f t="shared" si="28"/>
        <v>9.7086355895060761E-2</v>
      </c>
      <c r="D113" t="s">
        <v>32</v>
      </c>
      <c r="E113" t="s">
        <v>21</v>
      </c>
      <c r="F113">
        <v>1</v>
      </c>
      <c r="G113">
        <f t="shared" si="33"/>
        <v>100</v>
      </c>
      <c r="I113">
        <v>2100</v>
      </c>
      <c r="J113" t="s">
        <v>25</v>
      </c>
      <c r="K113">
        <f t="shared" si="34"/>
        <v>102.5</v>
      </c>
      <c r="L113" cm="1">
        <f t="array" ref="L113">STOWA2024_JAARROND_T(A113*60,K113,I113,J113,"")</f>
        <v>3.7075198513684064</v>
      </c>
      <c r="M113">
        <f t="shared" si="35"/>
        <v>0.26972208918339591</v>
      </c>
    </row>
    <row r="114" spans="1:13" x14ac:dyDescent="0.3">
      <c r="A114">
        <v>192</v>
      </c>
      <c r="B114">
        <f t="shared" si="32"/>
        <v>7.1472024840065873E-2</v>
      </c>
      <c r="C114">
        <f t="shared" si="28"/>
        <v>7.1472024840065873E-2</v>
      </c>
      <c r="D114" t="s">
        <v>32</v>
      </c>
      <c r="E114" t="s">
        <v>21</v>
      </c>
      <c r="F114">
        <v>1</v>
      </c>
      <c r="G114">
        <f t="shared" si="33"/>
        <v>105</v>
      </c>
      <c r="I114">
        <v>2100</v>
      </c>
      <c r="J114" t="s">
        <v>25</v>
      </c>
      <c r="K114">
        <f t="shared" si="34"/>
        <v>107.5</v>
      </c>
      <c r="L114" cm="1">
        <f t="array" ref="L114">STOWA2024_JAARROND_T(A114*60,K114,I114,J114,"")</f>
        <v>5.0441345545704195</v>
      </c>
      <c r="M114">
        <f t="shared" si="35"/>
        <v>0.19825006434333003</v>
      </c>
    </row>
    <row r="115" spans="1:13" x14ac:dyDescent="0.3">
      <c r="A115">
        <v>192</v>
      </c>
      <c r="B115">
        <f t="shared" si="32"/>
        <v>5.2591244313769853E-2</v>
      </c>
      <c r="C115">
        <f t="shared" si="28"/>
        <v>5.2591244313769853E-2</v>
      </c>
      <c r="D115" t="s">
        <v>32</v>
      </c>
      <c r="E115" t="s">
        <v>21</v>
      </c>
      <c r="F115">
        <v>1</v>
      </c>
      <c r="G115">
        <f t="shared" si="33"/>
        <v>110</v>
      </c>
      <c r="I115">
        <v>2100</v>
      </c>
      <c r="J115" t="s">
        <v>25</v>
      </c>
      <c r="K115">
        <f t="shared" si="34"/>
        <v>112.5</v>
      </c>
      <c r="L115" cm="1">
        <f t="array" ref="L115">STOWA2024_JAARROND_T(A115*60,K115,I115,J115,"")</f>
        <v>6.8653583751197402</v>
      </c>
      <c r="M115">
        <f t="shared" si="35"/>
        <v>0.14565882002956018</v>
      </c>
    </row>
    <row r="116" spans="1:13" x14ac:dyDescent="0.3">
      <c r="A116">
        <v>192</v>
      </c>
      <c r="B116">
        <f t="shared" si="32"/>
        <v>3.8683650224887053E-2</v>
      </c>
      <c r="C116">
        <f t="shared" si="28"/>
        <v>3.8683650224887053E-2</v>
      </c>
      <c r="D116" t="s">
        <v>32</v>
      </c>
      <c r="E116" t="s">
        <v>21</v>
      </c>
      <c r="F116">
        <v>1</v>
      </c>
      <c r="G116">
        <f t="shared" si="33"/>
        <v>115</v>
      </c>
      <c r="I116">
        <v>2100</v>
      </c>
      <c r="J116" t="s">
        <v>25</v>
      </c>
      <c r="K116">
        <f t="shared" si="34"/>
        <v>117.5</v>
      </c>
      <c r="L116" cm="1">
        <f t="array" ref="L116">STOWA2024_JAARROND_T(A116*60,K116,I116,J116,"")</f>
        <v>9.3479636613422397</v>
      </c>
      <c r="M116">
        <f t="shared" si="35"/>
        <v>0.10697516980467313</v>
      </c>
    </row>
    <row r="117" spans="1:13" x14ac:dyDescent="0.3">
      <c r="A117">
        <v>192</v>
      </c>
      <c r="B117">
        <f t="shared" si="32"/>
        <v>2.8442286213215456E-2</v>
      </c>
      <c r="C117">
        <f t="shared" si="28"/>
        <v>2.8442286213215456E-2</v>
      </c>
      <c r="D117" t="s">
        <v>32</v>
      </c>
      <c r="E117" t="s">
        <v>21</v>
      </c>
      <c r="F117">
        <v>1</v>
      </c>
      <c r="G117">
        <f t="shared" si="33"/>
        <v>120</v>
      </c>
      <c r="I117">
        <v>2100</v>
      </c>
      <c r="J117" t="s">
        <v>25</v>
      </c>
      <c r="K117">
        <f t="shared" si="34"/>
        <v>122.5</v>
      </c>
      <c r="L117" cm="1">
        <f t="array" ref="L117">STOWA2024_JAARROND_T(A117*60,K117,I117,J117,"")</f>
        <v>12.733519441386893</v>
      </c>
      <c r="M117">
        <f t="shared" si="35"/>
        <v>7.8532883591457672E-2</v>
      </c>
    </row>
    <row r="118" spans="1:13" x14ac:dyDescent="0.3">
      <c r="A118">
        <v>192</v>
      </c>
      <c r="B118">
        <f t="shared" si="32"/>
        <v>2.0903755311664163E-2</v>
      </c>
      <c r="C118">
        <f t="shared" si="28"/>
        <v>2.0903755311664163E-2</v>
      </c>
      <c r="D118" t="s">
        <v>32</v>
      </c>
      <c r="E118" t="s">
        <v>21</v>
      </c>
      <c r="F118">
        <v>1</v>
      </c>
      <c r="G118">
        <f t="shared" si="33"/>
        <v>125</v>
      </c>
      <c r="I118">
        <v>2100</v>
      </c>
      <c r="J118" t="s">
        <v>25</v>
      </c>
      <c r="K118">
        <f t="shared" si="34"/>
        <v>127.5</v>
      </c>
      <c r="L118" cm="1">
        <f t="array" ref="L118">STOWA2024_JAARROND_T(A118*60,K118,I118,J118,"")</f>
        <v>17.352336046884641</v>
      </c>
      <c r="M118">
        <f t="shared" si="35"/>
        <v>5.7629128279793509E-2</v>
      </c>
    </row>
    <row r="119" spans="1:13" x14ac:dyDescent="0.3">
      <c r="A119">
        <v>192</v>
      </c>
      <c r="B119">
        <f t="shared" si="32"/>
        <v>1.5357004715438251E-2</v>
      </c>
      <c r="C119">
        <f t="shared" si="28"/>
        <v>1.5357004715438251E-2</v>
      </c>
      <c r="D119" t="s">
        <v>32</v>
      </c>
      <c r="E119" t="s">
        <v>21</v>
      </c>
      <c r="F119">
        <v>1</v>
      </c>
      <c r="G119">
        <f t="shared" si="33"/>
        <v>130</v>
      </c>
      <c r="I119">
        <v>2100</v>
      </c>
      <c r="J119" t="s">
        <v>25</v>
      </c>
      <c r="K119">
        <f t="shared" si="34"/>
        <v>132.5</v>
      </c>
      <c r="L119" cm="1">
        <f t="array" ref="L119">STOWA2024_JAARROND_T(A119*60,K119,I119,J119,"")</f>
        <v>23.656251819892507</v>
      </c>
      <c r="M119">
        <f t="shared" si="35"/>
        <v>4.2272123564355259E-2</v>
      </c>
    </row>
    <row r="120" spans="1:13" x14ac:dyDescent="0.3">
      <c r="A120">
        <v>192</v>
      </c>
      <c r="B120">
        <f t="shared" si="32"/>
        <v>1.1277444882655717E-2</v>
      </c>
      <c r="C120">
        <f t="shared" si="28"/>
        <v>1.1277444882655717E-2</v>
      </c>
      <c r="D120" t="s">
        <v>32</v>
      </c>
      <c r="E120" t="s">
        <v>21</v>
      </c>
      <c r="F120">
        <v>1</v>
      </c>
      <c r="G120">
        <f t="shared" si="33"/>
        <v>135</v>
      </c>
      <c r="I120">
        <v>2100</v>
      </c>
      <c r="J120" t="s">
        <v>25</v>
      </c>
      <c r="K120">
        <f t="shared" si="34"/>
        <v>137.5</v>
      </c>
      <c r="L120" cm="1">
        <f t="array" ref="L120">STOWA2024_JAARROND_T(A120*60,K120,I120,J120,"")</f>
        <v>32.263602738699745</v>
      </c>
      <c r="M120">
        <f t="shared" si="35"/>
        <v>3.0994678681699542E-2</v>
      </c>
    </row>
    <row r="121" spans="1:13" x14ac:dyDescent="0.3">
      <c r="A121">
        <v>192</v>
      </c>
      <c r="B121">
        <f t="shared" si="32"/>
        <v>8.2782106127219576E-3</v>
      </c>
      <c r="C121">
        <f t="shared" si="28"/>
        <v>8.2782106127219576E-3</v>
      </c>
      <c r="D121" t="s">
        <v>32</v>
      </c>
      <c r="E121" t="s">
        <v>21</v>
      </c>
      <c r="F121">
        <v>1</v>
      </c>
      <c r="G121">
        <f t="shared" si="33"/>
        <v>140</v>
      </c>
      <c r="I121">
        <v>2100</v>
      </c>
      <c r="J121" t="s">
        <v>25</v>
      </c>
      <c r="K121">
        <f t="shared" si="34"/>
        <v>142.5</v>
      </c>
      <c r="L121" cm="1">
        <f t="array" ref="L121">STOWA2024_JAARROND_T(A121*60,K121,I121,J121,"")</f>
        <v>44.02092776762403</v>
      </c>
      <c r="M121">
        <f t="shared" si="35"/>
        <v>2.2716468068977584E-2</v>
      </c>
    </row>
    <row r="122" spans="1:13" x14ac:dyDescent="0.3">
      <c r="A122">
        <v>192</v>
      </c>
      <c r="B122">
        <f t="shared" si="32"/>
        <v>6.0741197105863495E-3</v>
      </c>
      <c r="C122">
        <f t="shared" si="28"/>
        <v>6.0741197105863495E-3</v>
      </c>
      <c r="D122" t="s">
        <v>32</v>
      </c>
      <c r="E122" t="s">
        <v>21</v>
      </c>
      <c r="F122">
        <v>1</v>
      </c>
      <c r="G122">
        <f t="shared" si="33"/>
        <v>145</v>
      </c>
      <c r="I122">
        <v>2100</v>
      </c>
      <c r="J122" t="s">
        <v>25</v>
      </c>
      <c r="K122">
        <f t="shared" si="34"/>
        <v>147.5</v>
      </c>
      <c r="L122" cm="1">
        <f t="array" ref="L122">STOWA2024_JAARROND_T(A122*60,K122,I122,J122,"")</f>
        <v>60.087673834551737</v>
      </c>
      <c r="M122">
        <f t="shared" si="35"/>
        <v>1.6642348358391235E-2</v>
      </c>
    </row>
    <row r="123" spans="1:13" x14ac:dyDescent="0.3">
      <c r="A123">
        <v>192</v>
      </c>
      <c r="B123">
        <f t="shared" si="32"/>
        <v>4.4550325586146782E-3</v>
      </c>
      <c r="C123">
        <f t="shared" si="28"/>
        <v>4.4550325586146782E-3</v>
      </c>
      <c r="D123" t="s">
        <v>32</v>
      </c>
      <c r="E123" t="s">
        <v>21</v>
      </c>
      <c r="F123">
        <v>1</v>
      </c>
      <c r="G123">
        <f t="shared" si="33"/>
        <v>150</v>
      </c>
      <c r="I123">
        <v>2100</v>
      </c>
      <c r="J123" t="s">
        <v>25</v>
      </c>
      <c r="K123">
        <f t="shared" si="34"/>
        <v>152.5</v>
      </c>
      <c r="L123" cm="1">
        <f t="array" ref="L123">STOWA2024_JAARROND_T(A123*60,K123,I123,J123,"")</f>
        <v>82.052522181983178</v>
      </c>
      <c r="M123">
        <f t="shared" si="35"/>
        <v>1.2187315799776556E-2</v>
      </c>
    </row>
    <row r="124" spans="1:13" x14ac:dyDescent="0.3">
      <c r="A124">
        <v>192</v>
      </c>
      <c r="B124">
        <f t="shared" si="32"/>
        <v>3.2661686978249765E-3</v>
      </c>
      <c r="C124">
        <f t="shared" si="28"/>
        <v>3.2661686978249765E-3</v>
      </c>
      <c r="D124" t="s">
        <v>32</v>
      </c>
      <c r="E124" t="s">
        <v>21</v>
      </c>
      <c r="F124">
        <v>1</v>
      </c>
      <c r="G124">
        <f t="shared" si="33"/>
        <v>155</v>
      </c>
      <c r="I124">
        <v>2100</v>
      </c>
      <c r="J124" t="s">
        <v>25</v>
      </c>
      <c r="K124">
        <f t="shared" si="34"/>
        <v>157.5</v>
      </c>
      <c r="L124" cm="1">
        <f t="array" ref="L124">STOWA2024_JAARROND_T(A124*60,K124,I124,J124,"")</f>
        <v>112.09320825807717</v>
      </c>
      <c r="M124">
        <f t="shared" si="35"/>
        <v>8.9211471019515799E-3</v>
      </c>
    </row>
    <row r="125" spans="1:13" x14ac:dyDescent="0.3">
      <c r="A125">
        <v>192</v>
      </c>
      <c r="B125" s="1">
        <f>M124</f>
        <v>8.9211471019515799E-3</v>
      </c>
      <c r="C125">
        <f t="shared" si="28"/>
        <v>8.9211471019515799E-3</v>
      </c>
      <c r="D125" t="s">
        <v>32</v>
      </c>
      <c r="E125" t="s">
        <v>21</v>
      </c>
      <c r="F125">
        <v>1</v>
      </c>
      <c r="G125">
        <f t="shared" si="33"/>
        <v>160</v>
      </c>
      <c r="I125">
        <v>2100</v>
      </c>
      <c r="J125" t="s">
        <v>25</v>
      </c>
      <c r="K125">
        <f>AVERAGE(G125:G126)</f>
        <v>85</v>
      </c>
      <c r="L125" cm="1">
        <f t="array" ref="L125">STOWA2024_JAARROND_T(A125*60,K125,I125,J125,"")</f>
        <v>1.2662428369891918</v>
      </c>
      <c r="M125">
        <f>1/L125</f>
        <v>0.78973793239987788</v>
      </c>
    </row>
    <row r="126" spans="1:13" x14ac:dyDescent="0.3">
      <c r="A126">
        <v>216</v>
      </c>
      <c r="B126" s="1">
        <f>365.25*24/A126 - M126</f>
        <v>-16.303554311407034</v>
      </c>
      <c r="C126">
        <f>B126</f>
        <v>-16.303554311407034</v>
      </c>
      <c r="D126" t="s">
        <v>32</v>
      </c>
      <c r="E126" t="s">
        <v>21</v>
      </c>
      <c r="F126">
        <v>1</v>
      </c>
      <c r="G126">
        <v>10</v>
      </c>
      <c r="I126">
        <v>2100</v>
      </c>
      <c r="J126" t="s">
        <v>25</v>
      </c>
      <c r="K126">
        <f>AVERAGE(G126:G128)</f>
        <v>15</v>
      </c>
      <c r="L126" cm="1">
        <f t="array" ref="L126">STOWA2024_JAARROND_T(A126*60,K126,I126,J126,"")</f>
        <v>1.7578743387140775E-2</v>
      </c>
      <c r="M126">
        <f>1/L126</f>
        <v>56.886887644740369</v>
      </c>
    </row>
    <row r="127" spans="1:13" x14ac:dyDescent="0.3">
      <c r="A127">
        <v>216</v>
      </c>
      <c r="B127">
        <f t="shared" ref="B127:B131" si="36">M126-M127</f>
        <v>7.3730420387908708</v>
      </c>
      <c r="C127">
        <f t="shared" ref="C127:C156" si="37">B127</f>
        <v>7.3730420387908708</v>
      </c>
      <c r="D127" t="s">
        <v>32</v>
      </c>
      <c r="E127" t="s">
        <v>21</v>
      </c>
      <c r="F127">
        <v>1</v>
      </c>
      <c r="G127">
        <f t="shared" ref="G127:G131" si="38">G126+5</f>
        <v>15</v>
      </c>
      <c r="I127">
        <v>2100</v>
      </c>
      <c r="J127" t="s">
        <v>25</v>
      </c>
      <c r="K127">
        <f t="shared" ref="K127:K131" si="39">AVERAGE(G127:G128)</f>
        <v>17.5</v>
      </c>
      <c r="L127" cm="1">
        <f t="array" ref="L127">STOWA2024_JAARROND_T(A127*60,K127,I127,J127,"")</f>
        <v>2.0196371090995237E-2</v>
      </c>
      <c r="M127">
        <f t="shared" ref="M127:M131" si="40">1/L127</f>
        <v>49.513845605949498</v>
      </c>
    </row>
    <row r="128" spans="1:13" x14ac:dyDescent="0.3">
      <c r="A128">
        <v>216</v>
      </c>
      <c r="B128">
        <f t="shared" si="36"/>
        <v>12.036686028373644</v>
      </c>
      <c r="C128">
        <f t="shared" si="37"/>
        <v>12.036686028373644</v>
      </c>
      <c r="D128" t="s">
        <v>32</v>
      </c>
      <c r="E128" t="s">
        <v>21</v>
      </c>
      <c r="F128">
        <v>1</v>
      </c>
      <c r="G128">
        <f t="shared" si="38"/>
        <v>20</v>
      </c>
      <c r="I128">
        <v>2100</v>
      </c>
      <c r="J128" t="s">
        <v>25</v>
      </c>
      <c r="K128">
        <f t="shared" si="39"/>
        <v>22.5</v>
      </c>
      <c r="L128" cm="1">
        <f t="array" ref="L128">STOWA2024_JAARROND_T(A128*60,K128,I128,J128,"")</f>
        <v>2.668291864355541E-2</v>
      </c>
      <c r="M128">
        <f t="shared" si="40"/>
        <v>37.477159577575854</v>
      </c>
    </row>
    <row r="129" spans="1:13" x14ac:dyDescent="0.3">
      <c r="A129">
        <v>216</v>
      </c>
      <c r="B129">
        <f t="shared" si="36"/>
        <v>9.1442481941304301</v>
      </c>
      <c r="C129">
        <f t="shared" si="37"/>
        <v>9.1442481941304301</v>
      </c>
      <c r="D129" t="s">
        <v>32</v>
      </c>
      <c r="E129" t="s">
        <v>21</v>
      </c>
      <c r="F129">
        <v>1</v>
      </c>
      <c r="G129">
        <f t="shared" si="38"/>
        <v>25</v>
      </c>
      <c r="I129">
        <v>2100</v>
      </c>
      <c r="J129" t="s">
        <v>25</v>
      </c>
      <c r="K129">
        <f t="shared" si="39"/>
        <v>27.5</v>
      </c>
      <c r="L129" cm="1">
        <f t="array" ref="L129">STOWA2024_JAARROND_T(A129*60,K129,I129,J129,"")</f>
        <v>3.5294643267203663E-2</v>
      </c>
      <c r="M129">
        <f t="shared" si="40"/>
        <v>28.332911383445424</v>
      </c>
    </row>
    <row r="130" spans="1:13" x14ac:dyDescent="0.3">
      <c r="A130">
        <v>216</v>
      </c>
      <c r="B130">
        <f t="shared" si="36"/>
        <v>6.9385761872512646</v>
      </c>
      <c r="C130">
        <f t="shared" si="37"/>
        <v>6.9385761872512646</v>
      </c>
      <c r="D130" t="s">
        <v>32</v>
      </c>
      <c r="E130" t="s">
        <v>21</v>
      </c>
      <c r="F130">
        <v>1</v>
      </c>
      <c r="G130">
        <f t="shared" si="38"/>
        <v>30</v>
      </c>
      <c r="I130">
        <v>2100</v>
      </c>
      <c r="J130" t="s">
        <v>25</v>
      </c>
      <c r="K130">
        <f t="shared" si="39"/>
        <v>32.5</v>
      </c>
      <c r="L130" cm="1">
        <f t="array" ref="L130">STOWA2024_JAARROND_T(A130*60,K130,I130,J130,"")</f>
        <v>4.6741344885439115E-2</v>
      </c>
      <c r="M130">
        <f t="shared" si="40"/>
        <v>21.394335196194159</v>
      </c>
    </row>
    <row r="131" spans="1:13" x14ac:dyDescent="0.3">
      <c r="A131">
        <v>216</v>
      </c>
      <c r="B131">
        <f t="shared" si="36"/>
        <v>5.2587340867071646</v>
      </c>
      <c r="C131">
        <f t="shared" si="37"/>
        <v>5.2587340867071646</v>
      </c>
      <c r="D131" t="s">
        <v>32</v>
      </c>
      <c r="E131" t="s">
        <v>21</v>
      </c>
      <c r="F131">
        <v>1</v>
      </c>
      <c r="G131">
        <f t="shared" si="38"/>
        <v>35</v>
      </c>
      <c r="I131">
        <v>2100</v>
      </c>
      <c r="J131" t="s">
        <v>25</v>
      </c>
      <c r="K131">
        <f t="shared" si="39"/>
        <v>37.5</v>
      </c>
      <c r="L131" cm="1">
        <f t="array" ref="L131">STOWA2024_JAARROND_T(A131*60,K131,I131,J131,"")</f>
        <v>6.1974759614753107E-2</v>
      </c>
      <c r="M131">
        <f t="shared" si="40"/>
        <v>16.135601109486995</v>
      </c>
    </row>
    <row r="132" spans="1:13" x14ac:dyDescent="0.3">
      <c r="A132">
        <v>216</v>
      </c>
      <c r="B132">
        <f>M131-M132</f>
        <v>3.9808659955785775</v>
      </c>
      <c r="C132">
        <f t="shared" si="37"/>
        <v>3.9808659955785775</v>
      </c>
      <c r="D132" t="s">
        <v>32</v>
      </c>
      <c r="E132" t="s">
        <v>21</v>
      </c>
      <c r="F132">
        <v>1</v>
      </c>
      <c r="G132">
        <f>G131+5</f>
        <v>40</v>
      </c>
      <c r="I132">
        <v>2100</v>
      </c>
      <c r="J132" t="s">
        <v>25</v>
      </c>
      <c r="K132">
        <f>AVERAGE(G132:G133)</f>
        <v>42.5</v>
      </c>
      <c r="L132" cm="1">
        <f t="array" ref="L132">STOWA2024_JAARROND_T(A132*60,K132,I132,J132,"")</f>
        <v>8.2272463416806205E-2</v>
      </c>
      <c r="M132">
        <f>1/L132</f>
        <v>12.154735113908417</v>
      </c>
    </row>
    <row r="133" spans="1:13" x14ac:dyDescent="0.3">
      <c r="A133">
        <v>216</v>
      </c>
      <c r="B133">
        <f t="shared" ref="B133:B155" si="41">M132-M133</f>
        <v>3.0099169008030522</v>
      </c>
      <c r="C133">
        <f t="shared" si="37"/>
        <v>3.0099169008030522</v>
      </c>
      <c r="D133" t="s">
        <v>32</v>
      </c>
      <c r="E133" t="s">
        <v>21</v>
      </c>
      <c r="F133">
        <v>1</v>
      </c>
      <c r="G133">
        <f t="shared" ref="G133:G156" si="42">G132+5</f>
        <v>45</v>
      </c>
      <c r="I133">
        <v>2100</v>
      </c>
      <c r="J133" t="s">
        <v>25</v>
      </c>
      <c r="K133">
        <f t="shared" ref="K133:K155" si="43">AVERAGE(G133:G134)</f>
        <v>47.5</v>
      </c>
      <c r="L133" cm="1">
        <f t="array" ref="L133">STOWA2024_JAARROND_T(A133*60,K133,I133,J133,"")</f>
        <v>0.10935154496203195</v>
      </c>
      <c r="M133">
        <f t="shared" ref="M133:M155" si="44">1/L133</f>
        <v>9.1448182131053652</v>
      </c>
    </row>
    <row r="134" spans="1:13" x14ac:dyDescent="0.3">
      <c r="A134">
        <v>216</v>
      </c>
      <c r="B134">
        <f t="shared" si="41"/>
        <v>2.2731247735150042</v>
      </c>
      <c r="C134">
        <f t="shared" si="37"/>
        <v>2.2731247735150042</v>
      </c>
      <c r="D134" t="s">
        <v>32</v>
      </c>
      <c r="E134" t="s">
        <v>21</v>
      </c>
      <c r="F134">
        <v>1</v>
      </c>
      <c r="G134">
        <f t="shared" si="42"/>
        <v>50</v>
      </c>
      <c r="I134">
        <v>2100</v>
      </c>
      <c r="J134" t="s">
        <v>25</v>
      </c>
      <c r="K134">
        <f t="shared" si="43"/>
        <v>52.5</v>
      </c>
      <c r="L134" cm="1">
        <f t="array" ref="L134">STOWA2024_JAARROND_T(A134*60,K134,I134,J134,"")</f>
        <v>0.14552453609740956</v>
      </c>
      <c r="M134">
        <f t="shared" si="44"/>
        <v>6.8716934395903611</v>
      </c>
    </row>
    <row r="135" spans="1:13" x14ac:dyDescent="0.3">
      <c r="A135">
        <v>216</v>
      </c>
      <c r="B135">
        <f t="shared" si="41"/>
        <v>1.7144390153918865</v>
      </c>
      <c r="C135">
        <f t="shared" si="37"/>
        <v>1.7144390153918865</v>
      </c>
      <c r="D135" t="s">
        <v>32</v>
      </c>
      <c r="E135" t="s">
        <v>21</v>
      </c>
      <c r="F135">
        <v>1</v>
      </c>
      <c r="G135">
        <f t="shared" si="42"/>
        <v>55</v>
      </c>
      <c r="I135">
        <v>2100</v>
      </c>
      <c r="J135" t="s">
        <v>25</v>
      </c>
      <c r="K135">
        <f t="shared" si="43"/>
        <v>57.5</v>
      </c>
      <c r="L135" cm="1">
        <f t="array" ref="L135">STOWA2024_JAARROND_T(A135*60,K135,I135,J135,"")</f>
        <v>0.19390162240355577</v>
      </c>
      <c r="M135">
        <f t="shared" si="44"/>
        <v>5.1572544241984746</v>
      </c>
    </row>
    <row r="136" spans="1:13" x14ac:dyDescent="0.3">
      <c r="A136">
        <v>216</v>
      </c>
      <c r="B136">
        <f t="shared" si="41"/>
        <v>1.2915964659045325</v>
      </c>
      <c r="C136">
        <f t="shared" si="37"/>
        <v>1.2915964659045325</v>
      </c>
      <c r="D136" t="s">
        <v>32</v>
      </c>
      <c r="E136" t="s">
        <v>21</v>
      </c>
      <c r="F136">
        <v>1</v>
      </c>
      <c r="G136">
        <f t="shared" si="42"/>
        <v>60</v>
      </c>
      <c r="I136">
        <v>2100</v>
      </c>
      <c r="J136" t="s">
        <v>25</v>
      </c>
      <c r="K136">
        <f t="shared" si="43"/>
        <v>62.5</v>
      </c>
      <c r="L136" cm="1">
        <f t="array" ref="L136">STOWA2024_JAARROND_T(A136*60,K136,I136,J136,"")</f>
        <v>0.25868817437778097</v>
      </c>
      <c r="M136">
        <f t="shared" si="44"/>
        <v>3.8656579582939421</v>
      </c>
    </row>
    <row r="137" spans="1:13" x14ac:dyDescent="0.3">
      <c r="A137">
        <v>216</v>
      </c>
      <c r="B137">
        <f t="shared" si="41"/>
        <v>0.97178375301038233</v>
      </c>
      <c r="C137">
        <f t="shared" si="37"/>
        <v>0.97178375301038233</v>
      </c>
      <c r="D137" t="s">
        <v>32</v>
      </c>
      <c r="E137" t="s">
        <v>21</v>
      </c>
      <c r="F137">
        <v>1</v>
      </c>
      <c r="G137">
        <f t="shared" si="42"/>
        <v>65</v>
      </c>
      <c r="I137">
        <v>2100</v>
      </c>
      <c r="J137" t="s">
        <v>25</v>
      </c>
      <c r="K137">
        <f t="shared" si="43"/>
        <v>67.5</v>
      </c>
      <c r="L137" cm="1">
        <f t="array" ref="L137">STOWA2024_JAARROND_T(A137*60,K137,I137,J137,"")</f>
        <v>0.34555752222201858</v>
      </c>
      <c r="M137">
        <f t="shared" si="44"/>
        <v>2.8938742052835598</v>
      </c>
    </row>
    <row r="138" spans="1:13" x14ac:dyDescent="0.3">
      <c r="A138">
        <v>216</v>
      </c>
      <c r="B138">
        <f t="shared" si="41"/>
        <v>0.73024404232558737</v>
      </c>
      <c r="C138">
        <f t="shared" si="37"/>
        <v>0.73024404232558737</v>
      </c>
      <c r="D138" t="s">
        <v>32</v>
      </c>
      <c r="E138" t="s">
        <v>21</v>
      </c>
      <c r="F138">
        <v>1</v>
      </c>
      <c r="G138">
        <f t="shared" si="42"/>
        <v>70</v>
      </c>
      <c r="I138">
        <v>2100</v>
      </c>
      <c r="J138" t="s">
        <v>25</v>
      </c>
      <c r="K138">
        <f t="shared" si="43"/>
        <v>72.5</v>
      </c>
      <c r="L138" cm="1">
        <f t="array" ref="L138">STOWA2024_JAARROND_T(A138*60,K138,I138,J138,"")</f>
        <v>0.4621861985104081</v>
      </c>
      <c r="M138">
        <f t="shared" si="44"/>
        <v>2.1636301629579724</v>
      </c>
    </row>
    <row r="139" spans="1:13" x14ac:dyDescent="0.3">
      <c r="A139">
        <v>216</v>
      </c>
      <c r="B139">
        <f t="shared" si="41"/>
        <v>0.54806164378406885</v>
      </c>
      <c r="C139">
        <f t="shared" si="37"/>
        <v>0.54806164378406885</v>
      </c>
      <c r="D139" t="s">
        <v>32</v>
      </c>
      <c r="E139" t="s">
        <v>21</v>
      </c>
      <c r="F139">
        <v>1</v>
      </c>
      <c r="G139">
        <f t="shared" si="42"/>
        <v>75</v>
      </c>
      <c r="I139">
        <v>2100</v>
      </c>
      <c r="J139" t="s">
        <v>25</v>
      </c>
      <c r="K139">
        <f t="shared" si="43"/>
        <v>77.5</v>
      </c>
      <c r="L139" cm="1">
        <f t="array" ref="L139">STOWA2024_JAARROND_T(A139*60,K139,I139,J139,"")</f>
        <v>0.61897715146822418</v>
      </c>
      <c r="M139">
        <f t="shared" si="44"/>
        <v>1.6155685191739035</v>
      </c>
    </row>
    <row r="140" spans="1:13" x14ac:dyDescent="0.3">
      <c r="A140">
        <v>216</v>
      </c>
      <c r="B140">
        <f t="shared" si="41"/>
        <v>0.4108106592258125</v>
      </c>
      <c r="C140">
        <f t="shared" si="37"/>
        <v>0.4108106592258125</v>
      </c>
      <c r="D140" t="s">
        <v>32</v>
      </c>
      <c r="E140" t="s">
        <v>21</v>
      </c>
      <c r="F140">
        <v>1</v>
      </c>
      <c r="G140">
        <f t="shared" si="42"/>
        <v>80</v>
      </c>
      <c r="I140">
        <v>2100</v>
      </c>
      <c r="J140" t="s">
        <v>25</v>
      </c>
      <c r="K140">
        <f t="shared" si="43"/>
        <v>82.5</v>
      </c>
      <c r="L140" cm="1">
        <f t="array" ref="L140">STOWA2024_JAARROND_T(A140*60,K140,I140,J140,"")</f>
        <v>0.8300423124386892</v>
      </c>
      <c r="M140">
        <f t="shared" si="44"/>
        <v>1.204757859948091</v>
      </c>
    </row>
    <row r="141" spans="1:13" x14ac:dyDescent="0.3">
      <c r="A141">
        <v>216</v>
      </c>
      <c r="B141">
        <f t="shared" si="41"/>
        <v>0.30743695023144935</v>
      </c>
      <c r="C141">
        <f t="shared" si="37"/>
        <v>0.30743695023144935</v>
      </c>
      <c r="D141" t="s">
        <v>32</v>
      </c>
      <c r="E141" t="s">
        <v>21</v>
      </c>
      <c r="F141">
        <v>1</v>
      </c>
      <c r="G141">
        <f t="shared" si="42"/>
        <v>85</v>
      </c>
      <c r="I141">
        <v>2100</v>
      </c>
      <c r="J141" t="s">
        <v>25</v>
      </c>
      <c r="K141">
        <f t="shared" si="43"/>
        <v>87.5</v>
      </c>
      <c r="L141" cm="1">
        <f t="array" ref="L141">STOWA2024_JAARROND_T(A141*60,K141,I141,J141,"")</f>
        <v>1.1144285050883107</v>
      </c>
      <c r="M141">
        <f t="shared" si="44"/>
        <v>0.89732090971664169</v>
      </c>
    </row>
    <row r="142" spans="1:13" x14ac:dyDescent="0.3">
      <c r="A142">
        <v>216</v>
      </c>
      <c r="B142">
        <f t="shared" si="41"/>
        <v>0.22993130941557172</v>
      </c>
      <c r="C142">
        <f t="shared" si="37"/>
        <v>0.22993130941557172</v>
      </c>
      <c r="D142" t="s">
        <v>32</v>
      </c>
      <c r="E142" t="s">
        <v>21</v>
      </c>
      <c r="F142">
        <v>1</v>
      </c>
      <c r="G142">
        <f t="shared" si="42"/>
        <v>90</v>
      </c>
      <c r="I142">
        <v>2100</v>
      </c>
      <c r="J142" t="s">
        <v>25</v>
      </c>
      <c r="K142">
        <f t="shared" si="43"/>
        <v>92.5</v>
      </c>
      <c r="L142" cm="1">
        <f t="array" ref="L142">STOWA2024_JAARROND_T(A142*60,K142,I142,J142,"")</f>
        <v>1.4983751612984144</v>
      </c>
      <c r="M142">
        <f t="shared" si="44"/>
        <v>0.66738960030106997</v>
      </c>
    </row>
    <row r="143" spans="1:13" x14ac:dyDescent="0.3">
      <c r="A143">
        <v>216</v>
      </c>
      <c r="B143">
        <f t="shared" si="41"/>
        <v>0.1716767610608097</v>
      </c>
      <c r="C143">
        <f t="shared" si="37"/>
        <v>0.1716767610608097</v>
      </c>
      <c r="D143" t="s">
        <v>32</v>
      </c>
      <c r="E143" t="s">
        <v>21</v>
      </c>
      <c r="F143">
        <v>1</v>
      </c>
      <c r="G143">
        <f t="shared" si="42"/>
        <v>95</v>
      </c>
      <c r="I143">
        <v>2100</v>
      </c>
      <c r="J143" t="s">
        <v>25</v>
      </c>
      <c r="K143">
        <f t="shared" si="43"/>
        <v>97.5</v>
      </c>
      <c r="L143" cm="1">
        <f t="array" ref="L143">STOWA2024_JAARROND_T(A143*60,K143,I143,J143,"")</f>
        <v>2.01729695267248</v>
      </c>
      <c r="M143">
        <f t="shared" si="44"/>
        <v>0.49571283924026027</v>
      </c>
    </row>
    <row r="144" spans="1:13" x14ac:dyDescent="0.3">
      <c r="A144">
        <v>216</v>
      </c>
      <c r="B144">
        <f t="shared" si="41"/>
        <v>0.12800748592716249</v>
      </c>
      <c r="C144">
        <f t="shared" si="37"/>
        <v>0.12800748592716249</v>
      </c>
      <c r="D144" t="s">
        <v>32</v>
      </c>
      <c r="E144" t="s">
        <v>21</v>
      </c>
      <c r="F144">
        <v>1</v>
      </c>
      <c r="G144">
        <f t="shared" si="42"/>
        <v>100</v>
      </c>
      <c r="I144">
        <v>2100</v>
      </c>
      <c r="J144" t="s">
        <v>25</v>
      </c>
      <c r="K144">
        <f t="shared" si="43"/>
        <v>102.5</v>
      </c>
      <c r="L144" cm="1">
        <f t="array" ref="L144">STOWA2024_JAARROND_T(A144*60,K144,I144,J144,"")</f>
        <v>2.7195687824226726</v>
      </c>
      <c r="M144">
        <f t="shared" si="44"/>
        <v>0.36770535331309778</v>
      </c>
    </row>
    <row r="145" spans="1:13" x14ac:dyDescent="0.3">
      <c r="A145">
        <v>216</v>
      </c>
      <c r="B145">
        <f t="shared" si="41"/>
        <v>9.5326147481523515E-2</v>
      </c>
      <c r="C145">
        <f t="shared" si="37"/>
        <v>9.5326147481523515E-2</v>
      </c>
      <c r="D145" t="s">
        <v>32</v>
      </c>
      <c r="E145" t="s">
        <v>21</v>
      </c>
      <c r="F145">
        <v>1</v>
      </c>
      <c r="G145">
        <f t="shared" si="42"/>
        <v>105</v>
      </c>
      <c r="I145">
        <v>2100</v>
      </c>
      <c r="J145" t="s">
        <v>25</v>
      </c>
      <c r="K145">
        <f t="shared" si="43"/>
        <v>107.5</v>
      </c>
      <c r="L145" cm="1">
        <f t="array" ref="L145">STOWA2024_JAARROND_T(A145*60,K145,I145,J145,"")</f>
        <v>3.6713522126147553</v>
      </c>
      <c r="M145">
        <f t="shared" si="44"/>
        <v>0.27237920583157427</v>
      </c>
    </row>
    <row r="146" spans="1:13" x14ac:dyDescent="0.3">
      <c r="A146">
        <v>216</v>
      </c>
      <c r="B146">
        <f t="shared" si="41"/>
        <v>7.0888657085864781E-2</v>
      </c>
      <c r="C146">
        <f t="shared" si="37"/>
        <v>7.0888657085864781E-2</v>
      </c>
      <c r="D146" t="s">
        <v>32</v>
      </c>
      <c r="E146" t="s">
        <v>21</v>
      </c>
      <c r="F146">
        <v>1</v>
      </c>
      <c r="G146">
        <f t="shared" si="42"/>
        <v>110</v>
      </c>
      <c r="I146">
        <v>2100</v>
      </c>
      <c r="J146" t="s">
        <v>25</v>
      </c>
      <c r="K146">
        <f t="shared" si="43"/>
        <v>112.5</v>
      </c>
      <c r="L146" cm="1">
        <f t="array" ref="L146">STOWA2024_JAARROND_T(A146*60,K146,I146,J146,"")</f>
        <v>4.9630119438606863</v>
      </c>
      <c r="M146">
        <f t="shared" si="44"/>
        <v>0.20149054874570949</v>
      </c>
    </row>
    <row r="147" spans="1:13" x14ac:dyDescent="0.3">
      <c r="A147">
        <v>216</v>
      </c>
      <c r="B147">
        <f t="shared" si="41"/>
        <v>5.2647033107982327E-2</v>
      </c>
      <c r="C147">
        <f t="shared" si="37"/>
        <v>5.2647033107982327E-2</v>
      </c>
      <c r="D147" t="s">
        <v>32</v>
      </c>
      <c r="E147" t="s">
        <v>21</v>
      </c>
      <c r="F147">
        <v>1</v>
      </c>
      <c r="G147">
        <f t="shared" si="42"/>
        <v>115</v>
      </c>
      <c r="I147">
        <v>2100</v>
      </c>
      <c r="J147" t="s">
        <v>25</v>
      </c>
      <c r="K147">
        <f t="shared" si="43"/>
        <v>117.5</v>
      </c>
      <c r="L147" cm="1">
        <f t="array" ref="L147">STOWA2024_JAARROND_T(A147*60,K147,I147,J147,"")</f>
        <v>6.7184653339814782</v>
      </c>
      <c r="M147">
        <f t="shared" si="44"/>
        <v>0.14884351563772716</v>
      </c>
    </row>
    <row r="148" spans="1:13" x14ac:dyDescent="0.3">
      <c r="A148">
        <v>216</v>
      </c>
      <c r="B148">
        <f t="shared" si="41"/>
        <v>3.9043870347734988E-2</v>
      </c>
      <c r="C148">
        <f t="shared" si="37"/>
        <v>3.9043870347734988E-2</v>
      </c>
      <c r="D148" t="s">
        <v>32</v>
      </c>
      <c r="E148" t="s">
        <v>21</v>
      </c>
      <c r="F148">
        <v>1</v>
      </c>
      <c r="G148">
        <f t="shared" si="42"/>
        <v>120</v>
      </c>
      <c r="I148">
        <v>2100</v>
      </c>
      <c r="J148" t="s">
        <v>25</v>
      </c>
      <c r="K148">
        <f t="shared" si="43"/>
        <v>122.5</v>
      </c>
      <c r="L148" cm="1">
        <f t="array" ref="L148">STOWA2024_JAARROND_T(A148*60,K148,I148,J148,"")</f>
        <v>9.1074975457242786</v>
      </c>
      <c r="M148">
        <f t="shared" si="44"/>
        <v>0.10979964528999217</v>
      </c>
    </row>
    <row r="149" spans="1:13" x14ac:dyDescent="0.3">
      <c r="A149">
        <v>216</v>
      </c>
      <c r="B149">
        <f t="shared" si="41"/>
        <v>2.8916346217634628E-2</v>
      </c>
      <c r="C149">
        <f t="shared" si="37"/>
        <v>2.8916346217634628E-2</v>
      </c>
      <c r="D149" t="s">
        <v>32</v>
      </c>
      <c r="E149" t="s">
        <v>21</v>
      </c>
      <c r="F149">
        <v>1</v>
      </c>
      <c r="G149">
        <f t="shared" si="42"/>
        <v>125</v>
      </c>
      <c r="I149">
        <v>2100</v>
      </c>
      <c r="J149" t="s">
        <v>25</v>
      </c>
      <c r="K149">
        <f t="shared" si="43"/>
        <v>127.5</v>
      </c>
      <c r="L149" cm="1">
        <f t="array" ref="L149">STOWA2024_JAARROND_T(A149*60,K149,I149,J149,"")</f>
        <v>12.363491740184932</v>
      </c>
      <c r="M149">
        <f t="shared" si="44"/>
        <v>8.0883299072357542E-2</v>
      </c>
    </row>
    <row r="150" spans="1:13" x14ac:dyDescent="0.3">
      <c r="A150">
        <v>216</v>
      </c>
      <c r="B150">
        <f t="shared" si="41"/>
        <v>2.1386305477147087E-2</v>
      </c>
      <c r="C150">
        <f t="shared" si="37"/>
        <v>2.1386305477147087E-2</v>
      </c>
      <c r="D150" t="s">
        <v>32</v>
      </c>
      <c r="E150" t="s">
        <v>21</v>
      </c>
      <c r="F150">
        <v>1</v>
      </c>
      <c r="G150">
        <f t="shared" si="42"/>
        <v>130</v>
      </c>
      <c r="I150">
        <v>2100</v>
      </c>
      <c r="J150" t="s">
        <v>25</v>
      </c>
      <c r="K150">
        <f t="shared" si="43"/>
        <v>132.5</v>
      </c>
      <c r="L150" cm="1">
        <f t="array" ref="L150">STOWA2024_JAARROND_T(A150*60,K150,I150,J150,"")</f>
        <v>16.807571938903827</v>
      </c>
      <c r="M150">
        <f t="shared" si="44"/>
        <v>5.9496993595210455E-2</v>
      </c>
    </row>
    <row r="151" spans="1:13" x14ac:dyDescent="0.3">
      <c r="A151">
        <v>216</v>
      </c>
      <c r="B151">
        <f t="shared" si="41"/>
        <v>1.5794157371691514E-2</v>
      </c>
      <c r="C151">
        <f t="shared" si="37"/>
        <v>1.5794157371691514E-2</v>
      </c>
      <c r="D151" t="s">
        <v>32</v>
      </c>
      <c r="E151" t="s">
        <v>21</v>
      </c>
      <c r="F151">
        <v>1</v>
      </c>
      <c r="G151">
        <f t="shared" si="42"/>
        <v>135</v>
      </c>
      <c r="I151">
        <v>2100</v>
      </c>
      <c r="J151" t="s">
        <v>25</v>
      </c>
      <c r="K151">
        <f t="shared" si="43"/>
        <v>137.5</v>
      </c>
      <c r="L151" cm="1">
        <f t="array" ref="L151">STOWA2024_JAARROND_T(A151*60,K151,I151,J151,"")</f>
        <v>22.88181011606391</v>
      </c>
      <c r="M151">
        <f t="shared" si="44"/>
        <v>4.3702836223518941E-2</v>
      </c>
    </row>
    <row r="152" spans="1:13" x14ac:dyDescent="0.3">
      <c r="A152">
        <v>216</v>
      </c>
      <c r="B152">
        <f t="shared" si="41"/>
        <v>1.1647979449776247E-2</v>
      </c>
      <c r="C152">
        <f t="shared" si="37"/>
        <v>1.1647979449776247E-2</v>
      </c>
      <c r="D152" t="s">
        <v>32</v>
      </c>
      <c r="E152" t="s">
        <v>21</v>
      </c>
      <c r="F152">
        <v>1</v>
      </c>
      <c r="G152">
        <f t="shared" si="42"/>
        <v>140</v>
      </c>
      <c r="I152">
        <v>2100</v>
      </c>
      <c r="J152" t="s">
        <v>25</v>
      </c>
      <c r="K152">
        <f t="shared" si="43"/>
        <v>142.5</v>
      </c>
      <c r="L152" cm="1">
        <f t="array" ref="L152">STOWA2024_JAARROND_T(A152*60,K152,I152,J152,"")</f>
        <v>31.196520610228916</v>
      </c>
      <c r="M152">
        <f t="shared" si="44"/>
        <v>3.2054856773742695E-2</v>
      </c>
    </row>
    <row r="153" spans="1:13" x14ac:dyDescent="0.3">
      <c r="A153">
        <v>216</v>
      </c>
      <c r="B153">
        <f t="shared" si="41"/>
        <v>8.5780514164266047E-3</v>
      </c>
      <c r="C153">
        <f t="shared" si="37"/>
        <v>8.5780514164266047E-3</v>
      </c>
      <c r="D153" t="s">
        <v>32</v>
      </c>
      <c r="E153" t="s">
        <v>21</v>
      </c>
      <c r="F153">
        <v>1</v>
      </c>
      <c r="G153">
        <f t="shared" si="42"/>
        <v>145</v>
      </c>
      <c r="I153">
        <v>2100</v>
      </c>
      <c r="J153" t="s">
        <v>25</v>
      </c>
      <c r="K153">
        <f t="shared" si="43"/>
        <v>147.5</v>
      </c>
      <c r="L153" cm="1">
        <f t="array" ref="L153">STOWA2024_JAARROND_T(A153*60,K153,I153,J153,"")</f>
        <v>42.595233243196333</v>
      </c>
      <c r="M153">
        <f t="shared" si="44"/>
        <v>2.347680535731609E-2</v>
      </c>
    </row>
    <row r="154" spans="1:13" x14ac:dyDescent="0.3">
      <c r="A154">
        <v>216</v>
      </c>
      <c r="B154">
        <f t="shared" si="41"/>
        <v>6.3078255583049886E-3</v>
      </c>
      <c r="C154">
        <f t="shared" si="37"/>
        <v>6.3078255583049886E-3</v>
      </c>
      <c r="D154" t="s">
        <v>32</v>
      </c>
      <c r="E154" t="s">
        <v>21</v>
      </c>
      <c r="F154">
        <v>1</v>
      </c>
      <c r="G154">
        <f t="shared" si="42"/>
        <v>150</v>
      </c>
      <c r="I154">
        <v>2100</v>
      </c>
      <c r="J154" t="s">
        <v>25</v>
      </c>
      <c r="K154">
        <f t="shared" si="43"/>
        <v>152.5</v>
      </c>
      <c r="L154" cm="1">
        <f t="array" ref="L154">STOWA2024_JAARROND_T(A154*60,K154,I154,J154,"")</f>
        <v>58.244578985269584</v>
      </c>
      <c r="M154">
        <f t="shared" si="44"/>
        <v>1.7168979799011101E-2</v>
      </c>
    </row>
    <row r="155" spans="1:13" x14ac:dyDescent="0.3">
      <c r="A155">
        <v>216</v>
      </c>
      <c r="B155">
        <f t="shared" si="41"/>
        <v>4.6318257652479648E-3</v>
      </c>
      <c r="C155">
        <f t="shared" si="37"/>
        <v>4.6318257652479648E-3</v>
      </c>
      <c r="D155" t="s">
        <v>32</v>
      </c>
      <c r="E155" t="s">
        <v>21</v>
      </c>
      <c r="F155">
        <v>1</v>
      </c>
      <c r="G155">
        <f t="shared" si="42"/>
        <v>155</v>
      </c>
      <c r="I155">
        <v>2100</v>
      </c>
      <c r="J155" t="s">
        <v>25</v>
      </c>
      <c r="K155">
        <f t="shared" si="43"/>
        <v>157.5</v>
      </c>
      <c r="L155" cm="1">
        <f t="array" ref="L155">STOWA2024_JAARROND_T(A155*60,K155,I155,J155,"")</f>
        <v>79.762918865553829</v>
      </c>
      <c r="M155">
        <f t="shared" si="44"/>
        <v>1.2537154033763136E-2</v>
      </c>
    </row>
    <row r="156" spans="1:13" x14ac:dyDescent="0.3">
      <c r="A156">
        <v>216</v>
      </c>
      <c r="B156" s="1">
        <f>M155</f>
        <v>1.2537154033763136E-2</v>
      </c>
      <c r="C156">
        <f t="shared" si="37"/>
        <v>1.2537154033763136E-2</v>
      </c>
      <c r="D156" t="s">
        <v>32</v>
      </c>
      <c r="E156" t="s">
        <v>21</v>
      </c>
      <c r="F156">
        <v>1</v>
      </c>
      <c r="G156">
        <f t="shared" si="42"/>
        <v>160</v>
      </c>
      <c r="I156">
        <v>2100</v>
      </c>
      <c r="J156" t="s">
        <v>25</v>
      </c>
      <c r="K156">
        <f>AVERAGE(G156:G157)</f>
        <v>160</v>
      </c>
      <c r="L156" cm="1">
        <f t="array" ref="L156">STOWA2024_JAARROND_T(A156*60,K156,I156,J156,"")</f>
        <v>93.393721281559436</v>
      </c>
      <c r="M156">
        <f>1/L156</f>
        <v>1.0707357906697414E-2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56"/>
  <sheetViews>
    <sheetView workbookViewId="0">
      <selection activeCell="B23" sqref="B2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357.60049671996666</v>
      </c>
      <c r="C2">
        <f>B2</f>
        <v>357.60049671996666</v>
      </c>
      <c r="D2" t="s">
        <v>32</v>
      </c>
      <c r="E2" t="s">
        <v>19</v>
      </c>
      <c r="F2">
        <v>1</v>
      </c>
      <c r="G2">
        <v>10</v>
      </c>
      <c r="I2">
        <v>2100</v>
      </c>
      <c r="J2" t="s">
        <v>25</v>
      </c>
      <c r="K2">
        <f>AVERAGE(G2:G4)</f>
        <v>15</v>
      </c>
      <c r="L2" cm="1">
        <f t="array" ref="L2">STOWA2024_NDJF_T(A2*60,K2,I2,J2,"")</f>
        <v>0.13072744247462362</v>
      </c>
      <c r="M2">
        <f>1/L2</f>
        <v>7.6495032800333158</v>
      </c>
    </row>
    <row r="3" spans="1:13" x14ac:dyDescent="0.3">
      <c r="A3">
        <v>24</v>
      </c>
      <c r="B3">
        <f t="shared" ref="B3:B7" si="0">M2-M3</f>
        <v>2.7871889893967587</v>
      </c>
      <c r="C3">
        <f t="shared" ref="C3:C32" si="1">B3</f>
        <v>2.7871889893967587</v>
      </c>
      <c r="D3" t="s">
        <v>32</v>
      </c>
      <c r="E3" t="s">
        <v>19</v>
      </c>
      <c r="F3">
        <v>1</v>
      </c>
      <c r="G3">
        <f t="shared" ref="G3:G7" si="2">G2+5</f>
        <v>15</v>
      </c>
      <c r="I3">
        <v>2100</v>
      </c>
      <c r="J3" t="s">
        <v>25</v>
      </c>
      <c r="K3">
        <f t="shared" ref="K3:K7" si="3">AVERAGE(G3:G4)</f>
        <v>17.5</v>
      </c>
      <c r="L3" cm="1">
        <f t="array" ref="L3">STOWA2024_NDJF_T(A3*60,K3,I3,J3,"")</f>
        <v>0.20566338172045301</v>
      </c>
      <c r="M3">
        <f t="shared" ref="M3:M7" si="4">1/L3</f>
        <v>4.8623142906365571</v>
      </c>
    </row>
    <row r="4" spans="1:13" x14ac:dyDescent="0.3">
      <c r="A4">
        <v>24</v>
      </c>
      <c r="B4">
        <f t="shared" si="0"/>
        <v>2.8122501856208979</v>
      </c>
      <c r="C4">
        <f t="shared" si="1"/>
        <v>2.8122501856208979</v>
      </c>
      <c r="D4" t="s">
        <v>32</v>
      </c>
      <c r="E4" t="s">
        <v>19</v>
      </c>
      <c r="F4">
        <v>1</v>
      </c>
      <c r="G4">
        <f t="shared" si="2"/>
        <v>20</v>
      </c>
      <c r="I4">
        <v>2100</v>
      </c>
      <c r="J4" t="s">
        <v>25</v>
      </c>
      <c r="K4">
        <f t="shared" si="3"/>
        <v>22.5</v>
      </c>
      <c r="L4" cm="1">
        <f t="array" ref="L4">STOWA2024_NDJF_T(A4*60,K4,I4,J4,"")</f>
        <v>0.48778962450657687</v>
      </c>
      <c r="M4">
        <f t="shared" si="4"/>
        <v>2.0500641050156592</v>
      </c>
    </row>
    <row r="5" spans="1:13" x14ac:dyDescent="0.3">
      <c r="A5">
        <v>24</v>
      </c>
      <c r="B5">
        <f t="shared" si="0"/>
        <v>1.1401185691782971</v>
      </c>
      <c r="C5">
        <f t="shared" si="1"/>
        <v>1.1401185691782971</v>
      </c>
      <c r="D5" t="s">
        <v>32</v>
      </c>
      <c r="E5" t="s">
        <v>19</v>
      </c>
      <c r="F5">
        <v>1</v>
      </c>
      <c r="G5">
        <f t="shared" si="2"/>
        <v>25</v>
      </c>
      <c r="I5">
        <v>2100</v>
      </c>
      <c r="J5" t="s">
        <v>25</v>
      </c>
      <c r="K5">
        <f t="shared" si="3"/>
        <v>27.5</v>
      </c>
      <c r="L5" cm="1">
        <f t="array" ref="L5">STOWA2024_NDJF_T(A5*60,K5,I5,J5,"")</f>
        <v>1.0989668728686786</v>
      </c>
      <c r="M5">
        <f t="shared" si="4"/>
        <v>0.90994553583736215</v>
      </c>
    </row>
    <row r="6" spans="1:13" x14ac:dyDescent="0.3">
      <c r="A6">
        <v>24</v>
      </c>
      <c r="B6">
        <f t="shared" si="0"/>
        <v>0.48731382736729706</v>
      </c>
      <c r="C6">
        <f t="shared" si="1"/>
        <v>0.48731382736729706</v>
      </c>
      <c r="D6" t="s">
        <v>32</v>
      </c>
      <c r="E6" t="s">
        <v>19</v>
      </c>
      <c r="F6">
        <v>1</v>
      </c>
      <c r="G6">
        <f t="shared" si="2"/>
        <v>30</v>
      </c>
      <c r="I6">
        <v>2100</v>
      </c>
      <c r="J6" t="s">
        <v>25</v>
      </c>
      <c r="K6">
        <f t="shared" si="3"/>
        <v>32.5</v>
      </c>
      <c r="L6" cm="1">
        <f t="array" ref="L6">STOWA2024_NDJF_T(A6*60,K6,I6,J6,"")</f>
        <v>2.3661262985212805</v>
      </c>
      <c r="M6">
        <f t="shared" si="4"/>
        <v>0.42263170847006509</v>
      </c>
    </row>
    <row r="7" spans="1:13" x14ac:dyDescent="0.3">
      <c r="A7">
        <v>24</v>
      </c>
      <c r="B7">
        <f t="shared" si="0"/>
        <v>0.21819398109318006</v>
      </c>
      <c r="C7">
        <f t="shared" si="1"/>
        <v>0.21819398109318006</v>
      </c>
      <c r="D7" t="s">
        <v>32</v>
      </c>
      <c r="E7" t="s">
        <v>19</v>
      </c>
      <c r="F7">
        <v>1</v>
      </c>
      <c r="G7">
        <f t="shared" si="2"/>
        <v>35</v>
      </c>
      <c r="I7">
        <v>2100</v>
      </c>
      <c r="J7" t="s">
        <v>25</v>
      </c>
      <c r="K7">
        <f t="shared" si="3"/>
        <v>37.5</v>
      </c>
      <c r="L7" cm="1">
        <f t="array" ref="L7">STOWA2024_NDJF_T(A7*60,K7,I7,J7,"")</f>
        <v>4.8914650579952887</v>
      </c>
      <c r="M7">
        <f t="shared" si="4"/>
        <v>0.20443772737688504</v>
      </c>
    </row>
    <row r="8" spans="1:13" x14ac:dyDescent="0.3">
      <c r="A8">
        <v>24</v>
      </c>
      <c r="B8">
        <f>M7-M8</f>
        <v>0.10186276077392298</v>
      </c>
      <c r="C8">
        <f t="shared" si="1"/>
        <v>0.10186276077392298</v>
      </c>
      <c r="D8" t="s">
        <v>32</v>
      </c>
      <c r="E8" t="s">
        <v>19</v>
      </c>
      <c r="F8">
        <v>1</v>
      </c>
      <c r="G8">
        <f>G7+5</f>
        <v>40</v>
      </c>
      <c r="I8">
        <v>2100</v>
      </c>
      <c r="J8" t="s">
        <v>25</v>
      </c>
      <c r="K8">
        <f>AVERAGE(G8:G9)</f>
        <v>42.5</v>
      </c>
      <c r="L8" cm="1">
        <f t="array" ref="L8">STOWA2024_NDJF_T(A8*60,K8,I8,J8,"")</f>
        <v>9.7489673466890796</v>
      </c>
      <c r="M8">
        <f>1/L8</f>
        <v>0.10257496660296206</v>
      </c>
    </row>
    <row r="9" spans="1:13" x14ac:dyDescent="0.3">
      <c r="A9">
        <v>24</v>
      </c>
      <c r="B9">
        <f t="shared" ref="B9:B31" si="5">M8-M9</f>
        <v>4.9378396261652496E-2</v>
      </c>
      <c r="C9">
        <f t="shared" si="1"/>
        <v>4.9378396261652496E-2</v>
      </c>
      <c r="D9" t="s">
        <v>32</v>
      </c>
      <c r="E9" t="s">
        <v>19</v>
      </c>
      <c r="F9">
        <v>1</v>
      </c>
      <c r="G9">
        <f t="shared" ref="G9:G32" si="6">G8+5</f>
        <v>45</v>
      </c>
      <c r="I9">
        <v>2100</v>
      </c>
      <c r="J9" t="s">
        <v>25</v>
      </c>
      <c r="K9">
        <f t="shared" ref="K9:K31" si="7">AVERAGE(G9:G10)</f>
        <v>47.5</v>
      </c>
      <c r="L9" cm="1">
        <f t="array" ref="L9">STOWA2024_NDJF_T(A9*60,K9,I9,J9,"")</f>
        <v>18.798204350092366</v>
      </c>
      <c r="M9">
        <f t="shared" ref="M9:M31" si="8">1/L9</f>
        <v>5.3196570341309563E-2</v>
      </c>
    </row>
    <row r="10" spans="1:13" x14ac:dyDescent="0.3">
      <c r="A10">
        <v>24</v>
      </c>
      <c r="B10">
        <f t="shared" si="5"/>
        <v>2.4767154109384477E-2</v>
      </c>
      <c r="C10">
        <f t="shared" si="1"/>
        <v>2.4767154109384477E-2</v>
      </c>
      <c r="D10" t="s">
        <v>32</v>
      </c>
      <c r="E10" t="s">
        <v>19</v>
      </c>
      <c r="F10">
        <v>1</v>
      </c>
      <c r="G10">
        <f t="shared" si="6"/>
        <v>50</v>
      </c>
      <c r="I10">
        <v>2100</v>
      </c>
      <c r="J10" t="s">
        <v>25</v>
      </c>
      <c r="K10">
        <f t="shared" si="7"/>
        <v>52.5</v>
      </c>
      <c r="L10" cm="1">
        <f t="array" ref="L10">STOWA2024_NDJF_T(A10*60,K10,I10,J10,"")</f>
        <v>35.174834116960881</v>
      </c>
      <c r="M10">
        <f t="shared" si="8"/>
        <v>2.8429416231925086E-2</v>
      </c>
    </row>
    <row r="11" spans="1:13" x14ac:dyDescent="0.3">
      <c r="A11">
        <v>24</v>
      </c>
      <c r="B11">
        <f t="shared" si="5"/>
        <v>1.2813774942871198E-2</v>
      </c>
      <c r="C11">
        <f t="shared" si="1"/>
        <v>1.2813774942871198E-2</v>
      </c>
      <c r="D11" t="s">
        <v>32</v>
      </c>
      <c r="E11" t="s">
        <v>19</v>
      </c>
      <c r="F11">
        <v>1</v>
      </c>
      <c r="G11">
        <f t="shared" si="6"/>
        <v>55</v>
      </c>
      <c r="I11">
        <v>2100</v>
      </c>
      <c r="J11" t="s">
        <v>25</v>
      </c>
      <c r="K11">
        <f t="shared" si="7"/>
        <v>57.5</v>
      </c>
      <c r="L11" cm="1">
        <f t="array" ref="L11">STOWA2024_NDJF_T(A11*60,K11,I11,J11,"")</f>
        <v>64.038356253801183</v>
      </c>
      <c r="M11">
        <f t="shared" si="8"/>
        <v>1.5615641289053888E-2</v>
      </c>
    </row>
    <row r="12" spans="1:13" x14ac:dyDescent="0.3">
      <c r="A12">
        <v>24</v>
      </c>
      <c r="B12">
        <f t="shared" si="5"/>
        <v>6.8202436277004976E-3</v>
      </c>
      <c r="C12">
        <f t="shared" si="1"/>
        <v>6.8202436277004976E-3</v>
      </c>
      <c r="D12" t="s">
        <v>32</v>
      </c>
      <c r="E12" t="s">
        <v>19</v>
      </c>
      <c r="F12">
        <v>1</v>
      </c>
      <c r="G12">
        <f t="shared" si="6"/>
        <v>60</v>
      </c>
      <c r="I12">
        <v>2100</v>
      </c>
      <c r="J12" t="s">
        <v>25</v>
      </c>
      <c r="K12">
        <f t="shared" si="7"/>
        <v>62.5</v>
      </c>
      <c r="L12" cm="1">
        <f t="array" ref="L12">STOWA2024_NDJF_T(A12*60,K12,I12,J12,"")</f>
        <v>113.69582576055181</v>
      </c>
      <c r="M12">
        <f t="shared" si="8"/>
        <v>8.7953976613533904E-3</v>
      </c>
    </row>
    <row r="13" spans="1:13" x14ac:dyDescent="0.3">
      <c r="A13">
        <v>24</v>
      </c>
      <c r="B13">
        <f t="shared" si="5"/>
        <v>3.7257470708145007E-3</v>
      </c>
      <c r="C13">
        <f t="shared" si="1"/>
        <v>3.7257470708145007E-3</v>
      </c>
      <c r="D13" t="s">
        <v>32</v>
      </c>
      <c r="E13" t="s">
        <v>19</v>
      </c>
      <c r="F13">
        <v>1</v>
      </c>
      <c r="G13">
        <f t="shared" si="6"/>
        <v>65</v>
      </c>
      <c r="I13">
        <v>2100</v>
      </c>
      <c r="J13" t="s">
        <v>25</v>
      </c>
      <c r="K13">
        <f t="shared" si="7"/>
        <v>67.5</v>
      </c>
      <c r="L13" cm="1">
        <f t="array" ref="L13">STOWA2024_NDJF_T(A13*60,K13,I13,J13,"")</f>
        <v>197.25225282117574</v>
      </c>
      <c r="M13">
        <f t="shared" si="8"/>
        <v>5.0696505905388897E-3</v>
      </c>
    </row>
    <row r="14" spans="1:13" x14ac:dyDescent="0.3">
      <c r="A14">
        <v>24</v>
      </c>
      <c r="B14">
        <f t="shared" si="5"/>
        <v>2.0845638847955036E-3</v>
      </c>
      <c r="C14">
        <f t="shared" si="1"/>
        <v>2.0845638847955036E-3</v>
      </c>
      <c r="D14" t="s">
        <v>32</v>
      </c>
      <c r="E14" t="s">
        <v>19</v>
      </c>
      <c r="F14">
        <v>1</v>
      </c>
      <c r="G14">
        <f t="shared" si="6"/>
        <v>70</v>
      </c>
      <c r="I14">
        <v>2100</v>
      </c>
      <c r="J14" t="s">
        <v>25</v>
      </c>
      <c r="K14">
        <f t="shared" si="7"/>
        <v>72.5</v>
      </c>
      <c r="L14" cm="1">
        <f t="array" ref="L14">STOWA2024_NDJF_T(A14*60,K14,I14,J14,"")</f>
        <v>334.9986444534336</v>
      </c>
      <c r="M14">
        <f t="shared" si="8"/>
        <v>2.9850867057433861E-3</v>
      </c>
    </row>
    <row r="15" spans="1:13" x14ac:dyDescent="0.3">
      <c r="A15">
        <v>24</v>
      </c>
      <c r="B15">
        <f t="shared" si="5"/>
        <v>1.1924438134650981E-3</v>
      </c>
      <c r="C15">
        <f t="shared" si="1"/>
        <v>1.1924438134650981E-3</v>
      </c>
      <c r="D15" t="s">
        <v>32</v>
      </c>
      <c r="E15" t="s">
        <v>19</v>
      </c>
      <c r="F15">
        <v>1</v>
      </c>
      <c r="G15">
        <f t="shared" si="6"/>
        <v>75</v>
      </c>
      <c r="I15">
        <v>2100</v>
      </c>
      <c r="J15" t="s">
        <v>25</v>
      </c>
      <c r="K15">
        <f t="shared" si="7"/>
        <v>77.5</v>
      </c>
      <c r="L15" cm="1">
        <f t="array" ref="L15">STOWA2024_NDJF_T(A15*60,K15,I15,J15,"")</f>
        <v>557.83558694676208</v>
      </c>
      <c r="M15">
        <f t="shared" si="8"/>
        <v>1.792642892278288E-3</v>
      </c>
    </row>
    <row r="16" spans="1:13" x14ac:dyDescent="0.3">
      <c r="A16">
        <v>24</v>
      </c>
      <c r="B16">
        <f t="shared" si="5"/>
        <v>6.9620732224589784E-4</v>
      </c>
      <c r="C16">
        <f t="shared" si="1"/>
        <v>6.9620732224589784E-4</v>
      </c>
      <c r="D16" t="s">
        <v>32</v>
      </c>
      <c r="E16" t="s">
        <v>19</v>
      </c>
      <c r="F16">
        <v>1</v>
      </c>
      <c r="G16">
        <f t="shared" si="6"/>
        <v>80</v>
      </c>
      <c r="I16">
        <v>2100</v>
      </c>
      <c r="J16" t="s">
        <v>25</v>
      </c>
      <c r="K16">
        <f t="shared" si="7"/>
        <v>82.5</v>
      </c>
      <c r="L16" cm="1">
        <f t="array" ref="L16">STOWA2024_NDJF_T(A16*60,K16,I16,J16,"")</f>
        <v>912.04629558894976</v>
      </c>
      <c r="M16">
        <f t="shared" si="8"/>
        <v>1.0964355700323902E-3</v>
      </c>
    </row>
    <row r="17" spans="1:13" x14ac:dyDescent="0.3">
      <c r="A17">
        <v>24</v>
      </c>
      <c r="B17">
        <f t="shared" si="5"/>
        <v>4.1429536073706128E-4</v>
      </c>
      <c r="C17">
        <f t="shared" si="1"/>
        <v>4.1429536073706128E-4</v>
      </c>
      <c r="D17" t="s">
        <v>32</v>
      </c>
      <c r="E17" t="s">
        <v>19</v>
      </c>
      <c r="F17">
        <v>1</v>
      </c>
      <c r="G17">
        <f t="shared" si="6"/>
        <v>85</v>
      </c>
      <c r="I17">
        <v>2100</v>
      </c>
      <c r="J17" t="s">
        <v>25</v>
      </c>
      <c r="K17">
        <f t="shared" si="7"/>
        <v>87.5</v>
      </c>
      <c r="L17" cm="1">
        <f t="array" ref="L17">STOWA2024_NDJF_T(A17*60,K17,I17,J17,"")</f>
        <v>1465.9742768030485</v>
      </c>
      <c r="M17">
        <f t="shared" si="8"/>
        <v>6.8214020929532892E-4</v>
      </c>
    </row>
    <row r="18" spans="1:13" x14ac:dyDescent="0.3">
      <c r="A18">
        <v>24</v>
      </c>
      <c r="B18">
        <f t="shared" si="5"/>
        <v>2.5095713812625393E-4</v>
      </c>
      <c r="C18">
        <f t="shared" si="1"/>
        <v>2.5095713812625393E-4</v>
      </c>
      <c r="D18" t="s">
        <v>32</v>
      </c>
      <c r="E18" t="s">
        <v>19</v>
      </c>
      <c r="F18">
        <v>1</v>
      </c>
      <c r="G18">
        <f t="shared" si="6"/>
        <v>90</v>
      </c>
      <c r="I18">
        <v>2100</v>
      </c>
      <c r="J18" t="s">
        <v>25</v>
      </c>
      <c r="K18">
        <f t="shared" si="7"/>
        <v>92.5</v>
      </c>
      <c r="L18" cm="1">
        <f t="array" ref="L18">STOWA2024_NDJF_T(A18*60,K18,I18,J18,"")</f>
        <v>2319.2005133426983</v>
      </c>
      <c r="M18">
        <f t="shared" si="8"/>
        <v>4.31183071169075E-4</v>
      </c>
    </row>
    <row r="19" spans="1:13" x14ac:dyDescent="0.3">
      <c r="A19">
        <v>24</v>
      </c>
      <c r="B19">
        <f t="shared" si="5"/>
        <v>1.5454981335697116E-4</v>
      </c>
      <c r="C19">
        <f t="shared" si="1"/>
        <v>1.5454981335697116E-4</v>
      </c>
      <c r="D19" t="s">
        <v>32</v>
      </c>
      <c r="E19" t="s">
        <v>19</v>
      </c>
      <c r="F19">
        <v>1</v>
      </c>
      <c r="G19">
        <f t="shared" si="6"/>
        <v>95</v>
      </c>
      <c r="I19">
        <v>2100</v>
      </c>
      <c r="J19" t="s">
        <v>25</v>
      </c>
      <c r="K19">
        <f t="shared" si="7"/>
        <v>97.5</v>
      </c>
      <c r="L19" cm="1">
        <f t="array" ref="L19">STOWA2024_NDJF_T(A19*60,K19,I19,J19,"")</f>
        <v>3614.8943475163233</v>
      </c>
      <c r="M19">
        <f t="shared" si="8"/>
        <v>2.7663325781210384E-4</v>
      </c>
    </row>
    <row r="20" spans="1:13" x14ac:dyDescent="0.3">
      <c r="A20">
        <v>24</v>
      </c>
      <c r="B20">
        <f t="shared" si="5"/>
        <v>9.6663295657539229E-5</v>
      </c>
      <c r="C20">
        <f t="shared" si="1"/>
        <v>9.6663295657539229E-5</v>
      </c>
      <c r="D20" t="s">
        <v>32</v>
      </c>
      <c r="E20" t="s">
        <v>19</v>
      </c>
      <c r="F20">
        <v>1</v>
      </c>
      <c r="G20">
        <f t="shared" si="6"/>
        <v>100</v>
      </c>
      <c r="I20">
        <v>2100</v>
      </c>
      <c r="J20" t="s">
        <v>25</v>
      </c>
      <c r="K20">
        <f t="shared" si="7"/>
        <v>102.5</v>
      </c>
      <c r="L20" cm="1">
        <f t="array" ref="L20">STOWA2024_NDJF_T(A20*60,K20,I20,J20,"")</f>
        <v>5556.4828042868867</v>
      </c>
      <c r="M20">
        <f t="shared" si="8"/>
        <v>1.7996996215456461E-4</v>
      </c>
    </row>
    <row r="21" spans="1:13" x14ac:dyDescent="0.3">
      <c r="A21">
        <v>24</v>
      </c>
      <c r="B21">
        <f t="shared" si="5"/>
        <v>6.134574259666831E-5</v>
      </c>
      <c r="C21">
        <f t="shared" si="1"/>
        <v>6.134574259666831E-5</v>
      </c>
      <c r="D21" t="s">
        <v>32</v>
      </c>
      <c r="E21" t="s">
        <v>19</v>
      </c>
      <c r="F21">
        <v>1</v>
      </c>
      <c r="G21">
        <f t="shared" si="6"/>
        <v>105</v>
      </c>
      <c r="I21">
        <v>2100</v>
      </c>
      <c r="J21" t="s">
        <v>25</v>
      </c>
      <c r="K21">
        <f t="shared" si="7"/>
        <v>107.5</v>
      </c>
      <c r="L21" cm="1">
        <f t="array" ref="L21">STOWA2024_NDJF_T(A21*60,K21,I21,J21,"")</f>
        <v>8429.9816995797828</v>
      </c>
      <c r="M21">
        <f t="shared" si="8"/>
        <v>1.186242195578963E-4</v>
      </c>
    </row>
    <row r="22" spans="1:13" x14ac:dyDescent="0.3">
      <c r="A22">
        <v>24</v>
      </c>
      <c r="B22">
        <f t="shared" si="5"/>
        <v>3.9466067834288945E-5</v>
      </c>
      <c r="C22">
        <f t="shared" si="1"/>
        <v>3.9466067834288945E-5</v>
      </c>
      <c r="D22" t="s">
        <v>32</v>
      </c>
      <c r="E22" t="s">
        <v>19</v>
      </c>
      <c r="F22">
        <v>1</v>
      </c>
      <c r="G22">
        <f t="shared" si="6"/>
        <v>110</v>
      </c>
      <c r="I22">
        <v>2100</v>
      </c>
      <c r="J22" t="s">
        <v>25</v>
      </c>
      <c r="K22">
        <f t="shared" si="7"/>
        <v>112.5</v>
      </c>
      <c r="L22" cm="1">
        <f t="array" ref="L22">STOWA2024_NDJF_T(A22*60,K22,I22,J22,"")</f>
        <v>12632.937710466651</v>
      </c>
      <c r="M22">
        <f t="shared" si="8"/>
        <v>7.9158151723607355E-5</v>
      </c>
    </row>
    <row r="23" spans="1:13" x14ac:dyDescent="0.3">
      <c r="A23">
        <v>24</v>
      </c>
      <c r="B23">
        <f t="shared" si="5"/>
        <v>2.5719337082877191E-5</v>
      </c>
      <c r="C23">
        <f t="shared" si="1"/>
        <v>2.5719337082877191E-5</v>
      </c>
      <c r="D23" t="s">
        <v>32</v>
      </c>
      <c r="E23" t="s">
        <v>19</v>
      </c>
      <c r="F23">
        <v>1</v>
      </c>
      <c r="G23">
        <f t="shared" si="6"/>
        <v>115</v>
      </c>
      <c r="I23">
        <v>2100</v>
      </c>
      <c r="J23" t="s">
        <v>25</v>
      </c>
      <c r="K23">
        <f t="shared" si="7"/>
        <v>117.5</v>
      </c>
      <c r="L23" cm="1">
        <f t="array" ref="L23">STOWA2024_NDJF_T(A23*60,K23,I23,J23,"")</f>
        <v>18712.989925450496</v>
      </c>
      <c r="M23">
        <f t="shared" si="8"/>
        <v>5.3438814640730164E-5</v>
      </c>
    </row>
    <row r="24" spans="1:13" x14ac:dyDescent="0.3">
      <c r="A24">
        <v>24</v>
      </c>
      <c r="B24">
        <f t="shared" si="5"/>
        <v>1.6965445832728392E-5</v>
      </c>
      <c r="C24">
        <f t="shared" si="1"/>
        <v>1.6965445832728392E-5</v>
      </c>
      <c r="D24" t="s">
        <v>32</v>
      </c>
      <c r="E24" t="s">
        <v>19</v>
      </c>
      <c r="F24">
        <v>1</v>
      </c>
      <c r="G24">
        <f t="shared" si="6"/>
        <v>120</v>
      </c>
      <c r="I24">
        <v>2100</v>
      </c>
      <c r="J24" t="s">
        <v>25</v>
      </c>
      <c r="K24">
        <f t="shared" si="7"/>
        <v>122.5</v>
      </c>
      <c r="L24" cm="1">
        <f t="array" ref="L24">STOWA2024_NDJF_T(A24*60,K24,I24,J24,"")</f>
        <v>27417.264505071253</v>
      </c>
      <c r="M24">
        <f t="shared" si="8"/>
        <v>3.6473368808001772E-5</v>
      </c>
    </row>
    <row r="25" spans="1:13" x14ac:dyDescent="0.3">
      <c r="A25">
        <v>24</v>
      </c>
      <c r="B25">
        <f t="shared" si="5"/>
        <v>1.1320084222018438E-5</v>
      </c>
      <c r="C25">
        <f t="shared" si="1"/>
        <v>1.1320084222018438E-5</v>
      </c>
      <c r="D25" t="s">
        <v>32</v>
      </c>
      <c r="E25" t="s">
        <v>19</v>
      </c>
      <c r="F25">
        <v>1</v>
      </c>
      <c r="G25">
        <f t="shared" si="6"/>
        <v>125</v>
      </c>
      <c r="I25">
        <v>2100</v>
      </c>
      <c r="J25" t="s">
        <v>25</v>
      </c>
      <c r="K25">
        <f t="shared" si="7"/>
        <v>127.5</v>
      </c>
      <c r="L25" cm="1">
        <f t="array" ref="L25">STOWA2024_NDJF_T(A25*60,K25,I25,J25,"")</f>
        <v>39756.239253033775</v>
      </c>
      <c r="M25">
        <f t="shared" si="8"/>
        <v>2.5153284585983334E-5</v>
      </c>
    </row>
    <row r="26" spans="1:13" x14ac:dyDescent="0.3">
      <c r="A26">
        <v>24</v>
      </c>
      <c r="B26">
        <f t="shared" si="5"/>
        <v>7.6356434242727109E-6</v>
      </c>
      <c r="C26">
        <f t="shared" si="1"/>
        <v>7.6356434242727109E-6</v>
      </c>
      <c r="D26" t="s">
        <v>32</v>
      </c>
      <c r="E26" t="s">
        <v>19</v>
      </c>
      <c r="F26">
        <v>1</v>
      </c>
      <c r="G26">
        <f t="shared" si="6"/>
        <v>130</v>
      </c>
      <c r="I26">
        <v>2100</v>
      </c>
      <c r="J26" t="s">
        <v>25</v>
      </c>
      <c r="K26">
        <f t="shared" si="7"/>
        <v>132.5</v>
      </c>
      <c r="L26" cm="1">
        <f t="array" ref="L26">STOWA2024_NDJF_T(A26*60,K26,I26,J26,"")</f>
        <v>57085.311359486055</v>
      </c>
      <c r="M26">
        <f t="shared" si="8"/>
        <v>1.7517641161710623E-5</v>
      </c>
    </row>
    <row r="27" spans="1:13" x14ac:dyDescent="0.3">
      <c r="A27">
        <v>24</v>
      </c>
      <c r="B27">
        <f t="shared" si="5"/>
        <v>5.2035609690456676E-6</v>
      </c>
      <c r="C27">
        <f t="shared" si="1"/>
        <v>5.2035609690456676E-6</v>
      </c>
      <c r="D27" t="s">
        <v>32</v>
      </c>
      <c r="E27" t="s">
        <v>19</v>
      </c>
      <c r="F27">
        <v>1</v>
      </c>
      <c r="G27">
        <f t="shared" si="6"/>
        <v>135</v>
      </c>
      <c r="I27">
        <v>2100</v>
      </c>
      <c r="J27" t="s">
        <v>25</v>
      </c>
      <c r="K27">
        <f t="shared" si="7"/>
        <v>137.5</v>
      </c>
      <c r="L27" cm="1">
        <f t="array" ref="L27">STOWA2024_NDJF_T(A27*60,K27,I27,J27,"")</f>
        <v>81207.851853657994</v>
      </c>
      <c r="M27">
        <f t="shared" si="8"/>
        <v>1.2314080192664955E-5</v>
      </c>
    </row>
    <row r="28" spans="1:13" x14ac:dyDescent="0.3">
      <c r="A28">
        <v>24</v>
      </c>
      <c r="B28">
        <f t="shared" si="5"/>
        <v>3.5810398395822643E-6</v>
      </c>
      <c r="C28">
        <f t="shared" si="1"/>
        <v>3.5810398395822643E-6</v>
      </c>
      <c r="D28" t="s">
        <v>32</v>
      </c>
      <c r="E28" t="s">
        <v>19</v>
      </c>
      <c r="F28">
        <v>1</v>
      </c>
      <c r="G28">
        <f t="shared" si="6"/>
        <v>140</v>
      </c>
      <c r="I28">
        <v>2100</v>
      </c>
      <c r="J28" t="s">
        <v>25</v>
      </c>
      <c r="K28">
        <f t="shared" si="7"/>
        <v>142.5</v>
      </c>
      <c r="L28" cm="1">
        <f t="array" ref="L28">STOWA2024_NDJF_T(A28*60,K28,I28,J28,"")</f>
        <v>114507.65822317635</v>
      </c>
      <c r="M28">
        <f t="shared" si="8"/>
        <v>8.733040353082691E-6</v>
      </c>
    </row>
    <row r="29" spans="1:13" x14ac:dyDescent="0.3">
      <c r="A29">
        <v>24</v>
      </c>
      <c r="B29">
        <f t="shared" si="5"/>
        <v>2.4873421967583122E-6</v>
      </c>
      <c r="C29">
        <f t="shared" si="1"/>
        <v>2.4873421967583122E-6</v>
      </c>
      <c r="D29" t="s">
        <v>32</v>
      </c>
      <c r="E29" t="s">
        <v>19</v>
      </c>
      <c r="F29">
        <v>1</v>
      </c>
      <c r="G29">
        <f t="shared" si="6"/>
        <v>145</v>
      </c>
      <c r="I29">
        <v>2100</v>
      </c>
      <c r="J29" t="s">
        <v>25</v>
      </c>
      <c r="K29">
        <f t="shared" si="7"/>
        <v>147.5</v>
      </c>
      <c r="L29" cm="1">
        <f t="array" ref="L29">STOWA2024_NDJF_T(A29*60,K29,I29,J29,"")</f>
        <v>160110.2030503031</v>
      </c>
      <c r="M29">
        <f t="shared" si="8"/>
        <v>6.2456981563243787E-6</v>
      </c>
    </row>
    <row r="30" spans="1:13" x14ac:dyDescent="0.3">
      <c r="A30">
        <v>24</v>
      </c>
      <c r="B30">
        <f t="shared" si="5"/>
        <v>1.7429621286297748E-6</v>
      </c>
      <c r="C30">
        <f t="shared" si="1"/>
        <v>1.7429621286297748E-6</v>
      </c>
      <c r="D30" t="s">
        <v>32</v>
      </c>
      <c r="E30" t="s">
        <v>19</v>
      </c>
      <c r="F30">
        <v>1</v>
      </c>
      <c r="G30">
        <f t="shared" si="6"/>
        <v>150</v>
      </c>
      <c r="I30">
        <v>2100</v>
      </c>
      <c r="J30" t="s">
        <v>25</v>
      </c>
      <c r="K30">
        <f t="shared" si="7"/>
        <v>152.5</v>
      </c>
      <c r="L30" cm="1">
        <f t="array" ref="L30">STOWA2024_NDJF_T(A30*60,K30,I30,J30,"")</f>
        <v>222087.19184277806</v>
      </c>
      <c r="M30">
        <f t="shared" si="8"/>
        <v>4.5027360276946039E-6</v>
      </c>
    </row>
    <row r="31" spans="1:13" x14ac:dyDescent="0.3">
      <c r="A31">
        <v>24</v>
      </c>
      <c r="B31">
        <f t="shared" si="5"/>
        <v>1.2317044256633355E-6</v>
      </c>
      <c r="C31">
        <f t="shared" si="1"/>
        <v>1.2317044256633355E-6</v>
      </c>
      <c r="D31" t="s">
        <v>32</v>
      </c>
      <c r="E31" t="s">
        <v>19</v>
      </c>
      <c r="F31">
        <v>1</v>
      </c>
      <c r="G31">
        <f t="shared" si="6"/>
        <v>155</v>
      </c>
      <c r="I31">
        <v>2100</v>
      </c>
      <c r="J31" t="s">
        <v>25</v>
      </c>
      <c r="K31">
        <f t="shared" si="7"/>
        <v>157.5</v>
      </c>
      <c r="L31" cm="1">
        <f t="array" ref="L31">STOWA2024_NDJF_T(A31*60,K31,I31,J31,"")</f>
        <v>305713.95255827333</v>
      </c>
      <c r="M31">
        <f t="shared" si="8"/>
        <v>3.2710316020312684E-6</v>
      </c>
    </row>
    <row r="32" spans="1:13" x14ac:dyDescent="0.3">
      <c r="A32">
        <v>24</v>
      </c>
      <c r="B32" s="1">
        <f>M31</f>
        <v>3.2710316020312684E-6</v>
      </c>
      <c r="C32">
        <f t="shared" si="1"/>
        <v>3.2710316020312684E-6</v>
      </c>
      <c r="D32" t="s">
        <v>32</v>
      </c>
      <c r="E32" t="s">
        <v>19</v>
      </c>
      <c r="F32">
        <v>1</v>
      </c>
      <c r="G32">
        <f t="shared" si="6"/>
        <v>160</v>
      </c>
      <c r="I32">
        <v>2100</v>
      </c>
      <c r="J32" t="s">
        <v>25</v>
      </c>
      <c r="K32">
        <f>AVERAGE(G32:G33)</f>
        <v>85</v>
      </c>
      <c r="L32" cm="1">
        <f t="array" ref="L32">STOWA2024_NDJF_T(A32*60,K32,I32,J32,"")</f>
        <v>1158.6815586136599</v>
      </c>
      <c r="M32">
        <f>1/L32</f>
        <v>8.6304989715766311E-4</v>
      </c>
    </row>
    <row r="33" spans="1:13" x14ac:dyDescent="0.3">
      <c r="A33">
        <v>48</v>
      </c>
      <c r="B33" s="1">
        <f>365.25*24/A33 - M33</f>
        <v>168.02356450074973</v>
      </c>
      <c r="C33">
        <f>B33</f>
        <v>168.02356450074973</v>
      </c>
      <c r="D33" t="s">
        <v>32</v>
      </c>
      <c r="E33" t="s">
        <v>19</v>
      </c>
      <c r="F33">
        <v>1</v>
      </c>
      <c r="G33">
        <v>10</v>
      </c>
      <c r="I33">
        <v>2100</v>
      </c>
      <c r="J33" t="s">
        <v>25</v>
      </c>
      <c r="K33">
        <f>AVERAGE(G33:G35)</f>
        <v>15</v>
      </c>
      <c r="L33" cm="1">
        <f t="array" ref="L33">STOWA2024_NDJF_T(A33*60,K33,I33,J33,"")</f>
        <v>6.8486416972587838E-2</v>
      </c>
      <c r="M33">
        <f>1/L33</f>
        <v>14.601435499250266</v>
      </c>
    </row>
    <row r="34" spans="1:13" x14ac:dyDescent="0.3">
      <c r="A34">
        <v>48</v>
      </c>
      <c r="B34">
        <f t="shared" ref="B34:B38" si="9">M33-M34</f>
        <v>4.23150819120786</v>
      </c>
      <c r="C34">
        <f t="shared" ref="C34:C63" si="10">B34</f>
        <v>4.23150819120786</v>
      </c>
      <c r="D34" t="s">
        <v>32</v>
      </c>
      <c r="E34" t="s">
        <v>19</v>
      </c>
      <c r="F34">
        <v>1</v>
      </c>
      <c r="G34">
        <f t="shared" ref="G34:G38" si="11">G33+5</f>
        <v>15</v>
      </c>
      <c r="I34">
        <v>2100</v>
      </c>
      <c r="J34" t="s">
        <v>25</v>
      </c>
      <c r="K34">
        <f t="shared" ref="K34:K38" si="12">AVERAGE(G34:G35)</f>
        <v>17.5</v>
      </c>
      <c r="L34" cm="1">
        <f t="array" ref="L34">STOWA2024_NDJF_T(A34*60,K34,I34,J34,"")</f>
        <v>9.6432691406086249E-2</v>
      </c>
      <c r="M34">
        <f t="shared" ref="M34:M38" si="13">1/L34</f>
        <v>10.369927308042406</v>
      </c>
    </row>
    <row r="35" spans="1:13" x14ac:dyDescent="0.3">
      <c r="A35">
        <v>48</v>
      </c>
      <c r="B35">
        <f t="shared" si="9"/>
        <v>5.0386283569288626</v>
      </c>
      <c r="C35">
        <f t="shared" si="10"/>
        <v>5.0386283569288626</v>
      </c>
      <c r="D35" t="s">
        <v>32</v>
      </c>
      <c r="E35" t="s">
        <v>19</v>
      </c>
      <c r="F35">
        <v>1</v>
      </c>
      <c r="G35">
        <f t="shared" si="11"/>
        <v>20</v>
      </c>
      <c r="I35">
        <v>2100</v>
      </c>
      <c r="J35" t="s">
        <v>25</v>
      </c>
      <c r="K35">
        <f t="shared" si="12"/>
        <v>22.5</v>
      </c>
      <c r="L35" cm="1">
        <f t="array" ref="L35">STOWA2024_NDJF_T(A35*60,K35,I35,J35,"")</f>
        <v>0.18757154854186725</v>
      </c>
      <c r="M35">
        <f t="shared" si="13"/>
        <v>5.3312989511135438</v>
      </c>
    </row>
    <row r="36" spans="1:13" x14ac:dyDescent="0.3">
      <c r="A36">
        <v>48</v>
      </c>
      <c r="B36">
        <f t="shared" si="9"/>
        <v>2.5241588096480476</v>
      </c>
      <c r="C36">
        <f t="shared" si="10"/>
        <v>2.5241588096480476</v>
      </c>
      <c r="D36" t="s">
        <v>32</v>
      </c>
      <c r="E36" t="s">
        <v>19</v>
      </c>
      <c r="F36">
        <v>1</v>
      </c>
      <c r="G36">
        <f t="shared" si="11"/>
        <v>25</v>
      </c>
      <c r="I36">
        <v>2100</v>
      </c>
      <c r="J36" t="s">
        <v>25</v>
      </c>
      <c r="K36">
        <f t="shared" si="12"/>
        <v>27.5</v>
      </c>
      <c r="L36" cm="1">
        <f t="array" ref="L36">STOWA2024_NDJF_T(A36*60,K36,I36,J36,"")</f>
        <v>0.35623444131932075</v>
      </c>
      <c r="M36">
        <f t="shared" si="13"/>
        <v>2.8071401414654962</v>
      </c>
    </row>
    <row r="37" spans="1:13" x14ac:dyDescent="0.3">
      <c r="A37">
        <v>48</v>
      </c>
      <c r="B37">
        <f t="shared" si="9"/>
        <v>1.2958127288802077</v>
      </c>
      <c r="C37">
        <f t="shared" si="10"/>
        <v>1.2958127288802077</v>
      </c>
      <c r="D37" t="s">
        <v>32</v>
      </c>
      <c r="E37" t="s">
        <v>19</v>
      </c>
      <c r="F37">
        <v>1</v>
      </c>
      <c r="G37">
        <f t="shared" si="11"/>
        <v>30</v>
      </c>
      <c r="I37">
        <v>2100</v>
      </c>
      <c r="J37" t="s">
        <v>25</v>
      </c>
      <c r="K37">
        <f t="shared" si="12"/>
        <v>32.5</v>
      </c>
      <c r="L37" cm="1">
        <f t="array" ref="L37">STOWA2024_NDJF_T(A37*60,K37,I37,J37,"")</f>
        <v>0.66166999398852444</v>
      </c>
      <c r="M37">
        <f t="shared" si="13"/>
        <v>1.5113274125852885</v>
      </c>
    </row>
    <row r="38" spans="1:13" x14ac:dyDescent="0.3">
      <c r="A38">
        <v>48</v>
      </c>
      <c r="B38">
        <f t="shared" si="9"/>
        <v>0.68047108432739178</v>
      </c>
      <c r="C38">
        <f t="shared" si="10"/>
        <v>0.68047108432739178</v>
      </c>
      <c r="D38" t="s">
        <v>32</v>
      </c>
      <c r="E38" t="s">
        <v>19</v>
      </c>
      <c r="F38">
        <v>1</v>
      </c>
      <c r="G38">
        <f t="shared" si="11"/>
        <v>35</v>
      </c>
      <c r="I38">
        <v>2100</v>
      </c>
      <c r="J38" t="s">
        <v>25</v>
      </c>
      <c r="K38">
        <f t="shared" si="12"/>
        <v>37.5</v>
      </c>
      <c r="L38" cm="1">
        <f t="array" ref="L38">STOWA2024_NDJF_T(A38*60,K38,I38,J38,"")</f>
        <v>1.2035775211542967</v>
      </c>
      <c r="M38">
        <f t="shared" si="13"/>
        <v>0.83085632825789668</v>
      </c>
    </row>
    <row r="39" spans="1:13" x14ac:dyDescent="0.3">
      <c r="A39">
        <v>48</v>
      </c>
      <c r="B39">
        <f>M38-M39</f>
        <v>0.36520003520040911</v>
      </c>
      <c r="C39">
        <f t="shared" si="10"/>
        <v>0.36520003520040911</v>
      </c>
      <c r="D39" t="s">
        <v>32</v>
      </c>
      <c r="E39" t="s">
        <v>19</v>
      </c>
      <c r="F39">
        <v>1</v>
      </c>
      <c r="G39">
        <f>G38+5</f>
        <v>40</v>
      </c>
      <c r="I39">
        <v>2100</v>
      </c>
      <c r="J39" t="s">
        <v>25</v>
      </c>
      <c r="K39">
        <f>AVERAGE(G39:G40)</f>
        <v>42.5</v>
      </c>
      <c r="L39" cm="1">
        <f t="array" ref="L39">STOWA2024_NDJF_T(A39*60,K39,I39,J39,"")</f>
        <v>2.1475066801610798</v>
      </c>
      <c r="M39">
        <f>1/L39</f>
        <v>0.46565629305748757</v>
      </c>
    </row>
    <row r="40" spans="1:13" x14ac:dyDescent="0.3">
      <c r="A40">
        <v>48</v>
      </c>
      <c r="B40">
        <f t="shared" ref="B40:B62" si="14">M39-M40</f>
        <v>0.19988870728549202</v>
      </c>
      <c r="C40">
        <f t="shared" si="10"/>
        <v>0.19988870728549202</v>
      </c>
      <c r="D40" t="s">
        <v>32</v>
      </c>
      <c r="E40" t="s">
        <v>19</v>
      </c>
      <c r="F40">
        <v>1</v>
      </c>
      <c r="G40">
        <f t="shared" ref="G40:G63" si="15">G39+5</f>
        <v>45</v>
      </c>
      <c r="I40">
        <v>2100</v>
      </c>
      <c r="J40" t="s">
        <v>25</v>
      </c>
      <c r="K40">
        <f t="shared" ref="K40:K62" si="16">AVERAGE(G40:G41)</f>
        <v>47.5</v>
      </c>
      <c r="L40" cm="1">
        <f t="array" ref="L40">STOWA2024_NDJF_T(A40*60,K40,I40,J40,"")</f>
        <v>3.7626860969339924</v>
      </c>
      <c r="M40">
        <f t="shared" ref="M40:M62" si="17">1/L40</f>
        <v>0.26576758577199555</v>
      </c>
    </row>
    <row r="41" spans="1:13" x14ac:dyDescent="0.3">
      <c r="A41">
        <v>48</v>
      </c>
      <c r="B41">
        <f t="shared" si="14"/>
        <v>0.11147093496962798</v>
      </c>
      <c r="C41">
        <f t="shared" si="10"/>
        <v>0.11147093496962798</v>
      </c>
      <c r="D41" t="s">
        <v>32</v>
      </c>
      <c r="E41" t="s">
        <v>19</v>
      </c>
      <c r="F41">
        <v>1</v>
      </c>
      <c r="G41">
        <f t="shared" si="15"/>
        <v>50</v>
      </c>
      <c r="I41">
        <v>2100</v>
      </c>
      <c r="J41" t="s">
        <v>25</v>
      </c>
      <c r="K41">
        <f t="shared" si="16"/>
        <v>52.5</v>
      </c>
      <c r="L41" cm="1">
        <f t="array" ref="L41">STOWA2024_NDJF_T(A41*60,K41,I41,J41,"")</f>
        <v>6.4810220753324073</v>
      </c>
      <c r="M41">
        <f t="shared" si="17"/>
        <v>0.15429665080236757</v>
      </c>
    </row>
    <row r="42" spans="1:13" x14ac:dyDescent="0.3">
      <c r="A42">
        <v>48</v>
      </c>
      <c r="B42">
        <f t="shared" si="14"/>
        <v>6.3266199038058898E-2</v>
      </c>
      <c r="C42">
        <f t="shared" si="10"/>
        <v>6.3266199038058898E-2</v>
      </c>
      <c r="D42" t="s">
        <v>32</v>
      </c>
      <c r="E42" t="s">
        <v>19</v>
      </c>
      <c r="F42">
        <v>1</v>
      </c>
      <c r="G42">
        <f t="shared" si="15"/>
        <v>55</v>
      </c>
      <c r="I42">
        <v>2100</v>
      </c>
      <c r="J42" t="s">
        <v>25</v>
      </c>
      <c r="K42">
        <f t="shared" si="16"/>
        <v>57.5</v>
      </c>
      <c r="L42" cm="1">
        <f t="array" ref="L42">STOWA2024_NDJF_T(A42*60,K42,I42,J42,"")</f>
        <v>10.985334913959871</v>
      </c>
      <c r="M42">
        <f t="shared" si="17"/>
        <v>9.103045176430867E-2</v>
      </c>
    </row>
    <row r="43" spans="1:13" x14ac:dyDescent="0.3">
      <c r="A43">
        <v>48</v>
      </c>
      <c r="B43">
        <f t="shared" si="14"/>
        <v>3.6505738851019813E-2</v>
      </c>
      <c r="C43">
        <f t="shared" si="10"/>
        <v>3.6505738851019813E-2</v>
      </c>
      <c r="D43" t="s">
        <v>32</v>
      </c>
      <c r="E43" t="s">
        <v>19</v>
      </c>
      <c r="F43">
        <v>1</v>
      </c>
      <c r="G43">
        <f t="shared" si="15"/>
        <v>60</v>
      </c>
      <c r="I43">
        <v>2100</v>
      </c>
      <c r="J43" t="s">
        <v>25</v>
      </c>
      <c r="K43">
        <f t="shared" si="16"/>
        <v>62.5</v>
      </c>
      <c r="L43" cm="1">
        <f t="array" ref="L43">STOWA2024_NDJF_T(A43*60,K43,I43,J43,"")</f>
        <v>18.340307478377905</v>
      </c>
      <c r="M43">
        <f t="shared" si="17"/>
        <v>5.4524712913288857E-2</v>
      </c>
    </row>
    <row r="44" spans="1:13" x14ac:dyDescent="0.3">
      <c r="A44">
        <v>48</v>
      </c>
      <c r="B44">
        <f t="shared" si="14"/>
        <v>2.1395221997834835E-2</v>
      </c>
      <c r="C44">
        <f t="shared" si="10"/>
        <v>2.1395221997834835E-2</v>
      </c>
      <c r="D44" t="s">
        <v>32</v>
      </c>
      <c r="E44" t="s">
        <v>19</v>
      </c>
      <c r="F44">
        <v>1</v>
      </c>
      <c r="G44">
        <f t="shared" si="15"/>
        <v>65</v>
      </c>
      <c r="I44">
        <v>2100</v>
      </c>
      <c r="J44" t="s">
        <v>25</v>
      </c>
      <c r="K44">
        <f t="shared" si="16"/>
        <v>67.5</v>
      </c>
      <c r="L44" cm="1">
        <f t="array" ref="L44">STOWA2024_NDJF_T(A44*60,K44,I44,J44,"")</f>
        <v>30.184586975754783</v>
      </c>
      <c r="M44">
        <f t="shared" si="17"/>
        <v>3.3129490915454023E-2</v>
      </c>
    </row>
    <row r="45" spans="1:13" x14ac:dyDescent="0.3">
      <c r="A45">
        <v>48</v>
      </c>
      <c r="B45">
        <f t="shared" si="14"/>
        <v>1.2725802841615536E-2</v>
      </c>
      <c r="C45">
        <f t="shared" si="10"/>
        <v>1.2725802841615536E-2</v>
      </c>
      <c r="D45" t="s">
        <v>32</v>
      </c>
      <c r="E45" t="s">
        <v>19</v>
      </c>
      <c r="F45">
        <v>1</v>
      </c>
      <c r="G45">
        <f t="shared" si="15"/>
        <v>70</v>
      </c>
      <c r="I45">
        <v>2100</v>
      </c>
      <c r="J45" t="s">
        <v>25</v>
      </c>
      <c r="K45">
        <f t="shared" si="16"/>
        <v>72.5</v>
      </c>
      <c r="L45" cm="1">
        <f t="array" ref="L45">STOWA2024_NDJF_T(A45*60,K45,I45,J45,"")</f>
        <v>49.010747291426952</v>
      </c>
      <c r="M45">
        <f t="shared" si="17"/>
        <v>2.0403688073838487E-2</v>
      </c>
    </row>
    <row r="46" spans="1:13" x14ac:dyDescent="0.3">
      <c r="A46">
        <v>48</v>
      </c>
      <c r="B46">
        <f t="shared" si="14"/>
        <v>7.6755483056634172E-3</v>
      </c>
      <c r="C46">
        <f t="shared" si="10"/>
        <v>7.6755483056634172E-3</v>
      </c>
      <c r="D46" t="s">
        <v>32</v>
      </c>
      <c r="E46" t="s">
        <v>19</v>
      </c>
      <c r="F46">
        <v>1</v>
      </c>
      <c r="G46">
        <f t="shared" si="15"/>
        <v>75</v>
      </c>
      <c r="I46">
        <v>2100</v>
      </c>
      <c r="J46" t="s">
        <v>25</v>
      </c>
      <c r="K46">
        <f t="shared" si="16"/>
        <v>77.5</v>
      </c>
      <c r="L46" cm="1">
        <f t="array" ref="L46">STOWA2024_NDJF_T(A46*60,K46,I46,J46,"")</f>
        <v>78.566076285582582</v>
      </c>
      <c r="M46">
        <f t="shared" si="17"/>
        <v>1.272813976817507E-2</v>
      </c>
    </row>
    <row r="47" spans="1:13" x14ac:dyDescent="0.3">
      <c r="A47">
        <v>48</v>
      </c>
      <c r="B47">
        <f t="shared" si="14"/>
        <v>4.6910021522979049E-3</v>
      </c>
      <c r="C47">
        <f t="shared" si="10"/>
        <v>4.6910021522979049E-3</v>
      </c>
      <c r="D47" t="s">
        <v>32</v>
      </c>
      <c r="E47" t="s">
        <v>19</v>
      </c>
      <c r="F47">
        <v>1</v>
      </c>
      <c r="G47">
        <f t="shared" si="15"/>
        <v>80</v>
      </c>
      <c r="I47">
        <v>2100</v>
      </c>
      <c r="J47" t="s">
        <v>25</v>
      </c>
      <c r="K47">
        <f t="shared" si="16"/>
        <v>82.5</v>
      </c>
      <c r="L47" cm="1">
        <f t="array" ref="L47">STOWA2024_NDJF_T(A47*60,K47,I47,J47,"")</f>
        <v>124.42240605965547</v>
      </c>
      <c r="M47">
        <f t="shared" si="17"/>
        <v>8.037137615877165E-3</v>
      </c>
    </row>
    <row r="48" spans="1:13" x14ac:dyDescent="0.3">
      <c r="A48">
        <v>48</v>
      </c>
      <c r="B48">
        <f t="shared" si="14"/>
        <v>2.9032689147720971E-3</v>
      </c>
      <c r="C48">
        <f t="shared" si="10"/>
        <v>2.9032689147720971E-3</v>
      </c>
      <c r="D48" t="s">
        <v>32</v>
      </c>
      <c r="E48" t="s">
        <v>19</v>
      </c>
      <c r="F48">
        <v>1</v>
      </c>
      <c r="G48">
        <f t="shared" si="15"/>
        <v>85</v>
      </c>
      <c r="I48">
        <v>2100</v>
      </c>
      <c r="J48" t="s">
        <v>25</v>
      </c>
      <c r="K48">
        <f t="shared" si="16"/>
        <v>87.5</v>
      </c>
      <c r="L48" cm="1">
        <f t="array" ref="L48">STOWA2024_NDJF_T(A48*60,K48,I48,J48,"")</f>
        <v>194.78488021806041</v>
      </c>
      <c r="M48">
        <f t="shared" si="17"/>
        <v>5.1338687011050679E-3</v>
      </c>
    </row>
    <row r="49" spans="1:13" x14ac:dyDescent="0.3">
      <c r="A49">
        <v>48</v>
      </c>
      <c r="B49">
        <f t="shared" si="14"/>
        <v>1.8183008408345766E-3</v>
      </c>
      <c r="C49">
        <f t="shared" si="10"/>
        <v>1.8183008408345766E-3</v>
      </c>
      <c r="D49" t="s">
        <v>32</v>
      </c>
      <c r="E49" t="s">
        <v>19</v>
      </c>
      <c r="F49">
        <v>1</v>
      </c>
      <c r="G49">
        <f t="shared" si="15"/>
        <v>90</v>
      </c>
      <c r="I49">
        <v>2100</v>
      </c>
      <c r="J49" t="s">
        <v>25</v>
      </c>
      <c r="K49">
        <f t="shared" si="16"/>
        <v>92.5</v>
      </c>
      <c r="L49" cm="1">
        <f t="array" ref="L49">STOWA2024_NDJF_T(A49*60,K49,I49,J49,"")</f>
        <v>301.60745976057865</v>
      </c>
      <c r="M49">
        <f t="shared" si="17"/>
        <v>3.3155678602704913E-3</v>
      </c>
    </row>
    <row r="50" spans="1:13" x14ac:dyDescent="0.3">
      <c r="A50">
        <v>48</v>
      </c>
      <c r="B50">
        <f t="shared" si="14"/>
        <v>1.1518261631833352E-3</v>
      </c>
      <c r="C50">
        <f t="shared" si="10"/>
        <v>1.1518261631833352E-3</v>
      </c>
      <c r="D50" t="s">
        <v>32</v>
      </c>
      <c r="E50" t="s">
        <v>19</v>
      </c>
      <c r="F50">
        <v>1</v>
      </c>
      <c r="G50">
        <f t="shared" si="15"/>
        <v>95</v>
      </c>
      <c r="I50">
        <v>2100</v>
      </c>
      <c r="J50" t="s">
        <v>25</v>
      </c>
      <c r="K50">
        <f t="shared" si="16"/>
        <v>97.5</v>
      </c>
      <c r="L50" cm="1">
        <f t="array" ref="L50">STOWA2024_NDJF_T(A50*60,K50,I50,J50,"")</f>
        <v>462.16237425484144</v>
      </c>
      <c r="M50">
        <f t="shared" si="17"/>
        <v>2.1637416970871561E-3</v>
      </c>
    </row>
    <row r="51" spans="1:13" x14ac:dyDescent="0.3">
      <c r="A51">
        <v>48</v>
      </c>
      <c r="B51">
        <f t="shared" si="14"/>
        <v>7.3753424860751064E-4</v>
      </c>
      <c r="C51">
        <f t="shared" si="10"/>
        <v>7.3753424860751064E-4</v>
      </c>
      <c r="D51" t="s">
        <v>32</v>
      </c>
      <c r="E51" t="s">
        <v>19</v>
      </c>
      <c r="F51">
        <v>1</v>
      </c>
      <c r="G51">
        <f t="shared" si="15"/>
        <v>100</v>
      </c>
      <c r="I51">
        <v>2100</v>
      </c>
      <c r="J51" t="s">
        <v>25</v>
      </c>
      <c r="K51">
        <f t="shared" si="16"/>
        <v>102.5</v>
      </c>
      <c r="L51" cm="1">
        <f t="array" ref="L51">STOWA2024_NDJF_T(A51*60,K51,I51,J51,"")</f>
        <v>701.16027024400432</v>
      </c>
      <c r="M51">
        <f t="shared" si="17"/>
        <v>1.4262074484796454E-3</v>
      </c>
    </row>
    <row r="52" spans="1:13" x14ac:dyDescent="0.3">
      <c r="A52">
        <v>48</v>
      </c>
      <c r="B52">
        <f t="shared" si="14"/>
        <v>4.7715807169822807E-4</v>
      </c>
      <c r="C52">
        <f t="shared" si="10"/>
        <v>4.7715807169822807E-4</v>
      </c>
      <c r="D52" t="s">
        <v>32</v>
      </c>
      <c r="E52" t="s">
        <v>19</v>
      </c>
      <c r="F52">
        <v>1</v>
      </c>
      <c r="G52">
        <f t="shared" si="15"/>
        <v>105</v>
      </c>
      <c r="I52">
        <v>2100</v>
      </c>
      <c r="J52" t="s">
        <v>25</v>
      </c>
      <c r="K52">
        <f t="shared" si="16"/>
        <v>107.5</v>
      </c>
      <c r="L52" cm="1">
        <f t="array" ref="L52">STOWA2024_NDJF_T(A52*60,K52,I52,J52,"")</f>
        <v>1053.6859561421086</v>
      </c>
      <c r="M52">
        <f t="shared" si="17"/>
        <v>9.4904937678141736E-4</v>
      </c>
    </row>
    <row r="53" spans="1:13" x14ac:dyDescent="0.3">
      <c r="A53">
        <v>48</v>
      </c>
      <c r="B53">
        <f t="shared" si="14"/>
        <v>3.1175105792489511E-4</v>
      </c>
      <c r="C53">
        <f t="shared" si="10"/>
        <v>3.1175105792489511E-4</v>
      </c>
      <c r="D53" t="s">
        <v>32</v>
      </c>
      <c r="E53" t="s">
        <v>19</v>
      </c>
      <c r="F53">
        <v>1</v>
      </c>
      <c r="G53">
        <f t="shared" si="15"/>
        <v>110</v>
      </c>
      <c r="I53">
        <v>2100</v>
      </c>
      <c r="J53" t="s">
        <v>25</v>
      </c>
      <c r="K53">
        <f t="shared" si="16"/>
        <v>112.5</v>
      </c>
      <c r="L53" cm="1">
        <f t="array" ref="L53">STOWA2024_NDJF_T(A53*60,K53,I53,J53,"")</f>
        <v>1569.1238630509151</v>
      </c>
      <c r="M53">
        <f t="shared" si="17"/>
        <v>6.3729831885652225E-4</v>
      </c>
    </row>
    <row r="54" spans="1:13" x14ac:dyDescent="0.3">
      <c r="A54">
        <v>48</v>
      </c>
      <c r="B54">
        <f t="shared" si="14"/>
        <v>2.0561423412253089E-4</v>
      </c>
      <c r="C54">
        <f t="shared" si="10"/>
        <v>2.0561423412253089E-4</v>
      </c>
      <c r="D54" t="s">
        <v>32</v>
      </c>
      <c r="E54" t="s">
        <v>19</v>
      </c>
      <c r="F54">
        <v>1</v>
      </c>
      <c r="G54">
        <f t="shared" si="15"/>
        <v>115</v>
      </c>
      <c r="I54">
        <v>2100</v>
      </c>
      <c r="J54" t="s">
        <v>25</v>
      </c>
      <c r="K54">
        <f t="shared" si="16"/>
        <v>117.5</v>
      </c>
      <c r="L54" cm="1">
        <f t="array" ref="L54">STOWA2024_NDJF_T(A54*60,K54,I54,J54,"")</f>
        <v>2316.5088437675699</v>
      </c>
      <c r="M54">
        <f t="shared" si="17"/>
        <v>4.3168408473399136E-4</v>
      </c>
    </row>
    <row r="55" spans="1:13" x14ac:dyDescent="0.3">
      <c r="A55">
        <v>48</v>
      </c>
      <c r="B55">
        <f t="shared" si="14"/>
        <v>1.3683424287684934E-4</v>
      </c>
      <c r="C55">
        <f t="shared" si="10"/>
        <v>1.3683424287684934E-4</v>
      </c>
      <c r="D55" t="s">
        <v>32</v>
      </c>
      <c r="E55" t="s">
        <v>19</v>
      </c>
      <c r="F55">
        <v>1</v>
      </c>
      <c r="G55">
        <f t="shared" si="15"/>
        <v>120</v>
      </c>
      <c r="I55">
        <v>2100</v>
      </c>
      <c r="J55" t="s">
        <v>25</v>
      </c>
      <c r="K55">
        <f t="shared" si="16"/>
        <v>122.5</v>
      </c>
      <c r="L55" cm="1">
        <f t="array" ref="L55">STOWA2024_NDJF_T(A55*60,K55,I55,J55,"")</f>
        <v>3391.5568470425396</v>
      </c>
      <c r="M55">
        <f t="shared" si="17"/>
        <v>2.9484984185714202E-4</v>
      </c>
    </row>
    <row r="56" spans="1:13" x14ac:dyDescent="0.3">
      <c r="A56">
        <v>48</v>
      </c>
      <c r="B56">
        <f t="shared" si="14"/>
        <v>9.1848342228932021E-5</v>
      </c>
      <c r="C56">
        <f t="shared" si="10"/>
        <v>9.1848342228932021E-5</v>
      </c>
      <c r="D56" t="s">
        <v>32</v>
      </c>
      <c r="E56" t="s">
        <v>19</v>
      </c>
      <c r="F56">
        <v>1</v>
      </c>
      <c r="G56">
        <f t="shared" si="15"/>
        <v>125</v>
      </c>
      <c r="I56">
        <v>2100</v>
      </c>
      <c r="J56" t="s">
        <v>25</v>
      </c>
      <c r="K56">
        <f t="shared" si="16"/>
        <v>127.5</v>
      </c>
      <c r="L56" cm="1">
        <f t="array" ref="L56">STOWA2024_NDJF_T(A56*60,K56,I56,J56,"")</f>
        <v>4926.0719838595496</v>
      </c>
      <c r="M56">
        <f t="shared" si="17"/>
        <v>2.0300149962821E-4</v>
      </c>
    </row>
    <row r="57" spans="1:13" x14ac:dyDescent="0.3">
      <c r="A57">
        <v>48</v>
      </c>
      <c r="B57">
        <f t="shared" si="14"/>
        <v>6.216555314108308E-5</v>
      </c>
      <c r="C57">
        <f t="shared" si="10"/>
        <v>6.216555314108308E-5</v>
      </c>
      <c r="D57" t="s">
        <v>32</v>
      </c>
      <c r="E57" t="s">
        <v>19</v>
      </c>
      <c r="F57">
        <v>1</v>
      </c>
      <c r="G57">
        <f t="shared" si="15"/>
        <v>130</v>
      </c>
      <c r="I57">
        <v>2100</v>
      </c>
      <c r="J57" t="s">
        <v>25</v>
      </c>
      <c r="K57">
        <f t="shared" si="16"/>
        <v>132.5</v>
      </c>
      <c r="L57" cm="1">
        <f t="array" ref="L57">STOWA2024_NDJF_T(A57*60,K57,I57,J57,"")</f>
        <v>7100.4599673805924</v>
      </c>
      <c r="M57">
        <f t="shared" si="17"/>
        <v>1.4083594648712692E-4</v>
      </c>
    </row>
    <row r="58" spans="1:13" x14ac:dyDescent="0.3">
      <c r="A58">
        <v>48</v>
      </c>
      <c r="B58">
        <f t="shared" si="14"/>
        <v>4.2408492406045644E-5</v>
      </c>
      <c r="C58">
        <f t="shared" si="10"/>
        <v>4.2408492406045644E-5</v>
      </c>
      <c r="D58" t="s">
        <v>32</v>
      </c>
      <c r="E58" t="s">
        <v>19</v>
      </c>
      <c r="F58">
        <v>1</v>
      </c>
      <c r="G58">
        <f t="shared" si="15"/>
        <v>135</v>
      </c>
      <c r="I58">
        <v>2100</v>
      </c>
      <c r="J58" t="s">
        <v>25</v>
      </c>
      <c r="K58">
        <f t="shared" si="16"/>
        <v>137.5</v>
      </c>
      <c r="L58" cm="1">
        <f t="array" ref="L58">STOWA2024_NDJF_T(A58*60,K58,I58,J58,"")</f>
        <v>10159.767001351403</v>
      </c>
      <c r="M58">
        <f t="shared" si="17"/>
        <v>9.8427454081081273E-5</v>
      </c>
    </row>
    <row r="59" spans="1:13" x14ac:dyDescent="0.3">
      <c r="A59">
        <v>48</v>
      </c>
      <c r="B59">
        <f t="shared" si="14"/>
        <v>2.9152431223124003E-5</v>
      </c>
      <c r="C59">
        <f t="shared" si="10"/>
        <v>2.9152431223124003E-5</v>
      </c>
      <c r="D59" t="s">
        <v>32</v>
      </c>
      <c r="E59" t="s">
        <v>19</v>
      </c>
      <c r="F59">
        <v>1</v>
      </c>
      <c r="G59">
        <f t="shared" si="15"/>
        <v>140</v>
      </c>
      <c r="I59">
        <v>2100</v>
      </c>
      <c r="J59" t="s">
        <v>25</v>
      </c>
      <c r="K59">
        <f t="shared" si="16"/>
        <v>142.5</v>
      </c>
      <c r="L59" cm="1">
        <f t="array" ref="L59">STOWA2024_NDJF_T(A59*60,K59,I59,J59,"")</f>
        <v>14435.217178497618</v>
      </c>
      <c r="M59">
        <f t="shared" si="17"/>
        <v>6.927502285795727E-5</v>
      </c>
    </row>
    <row r="60" spans="1:13" x14ac:dyDescent="0.3">
      <c r="A60">
        <v>48</v>
      </c>
      <c r="B60">
        <f t="shared" si="14"/>
        <v>2.0186271983441214E-5</v>
      </c>
      <c r="C60">
        <f t="shared" si="10"/>
        <v>2.0186271983441214E-5</v>
      </c>
      <c r="D60" t="s">
        <v>32</v>
      </c>
      <c r="E60" t="s">
        <v>19</v>
      </c>
      <c r="F60">
        <v>1</v>
      </c>
      <c r="G60">
        <f t="shared" si="15"/>
        <v>145</v>
      </c>
      <c r="I60">
        <v>2100</v>
      </c>
      <c r="J60" t="s">
        <v>25</v>
      </c>
      <c r="K60">
        <f t="shared" si="16"/>
        <v>147.5</v>
      </c>
      <c r="L60" cm="1">
        <f t="array" ref="L60">STOWA2024_NDJF_T(A60*60,K60,I60,J60,"")</f>
        <v>20371.265965929073</v>
      </c>
      <c r="M60">
        <f t="shared" si="17"/>
        <v>4.9088750874516056E-5</v>
      </c>
    </row>
    <row r="61" spans="1:13" x14ac:dyDescent="0.3">
      <c r="A61">
        <v>48</v>
      </c>
      <c r="B61">
        <f t="shared" si="14"/>
        <v>1.4076648787886715E-5</v>
      </c>
      <c r="C61">
        <f t="shared" si="10"/>
        <v>1.4076648787886715E-5</v>
      </c>
      <c r="D61" t="s">
        <v>32</v>
      </c>
      <c r="E61" t="s">
        <v>19</v>
      </c>
      <c r="F61">
        <v>1</v>
      </c>
      <c r="G61">
        <f t="shared" si="15"/>
        <v>150</v>
      </c>
      <c r="I61">
        <v>2100</v>
      </c>
      <c r="J61" t="s">
        <v>25</v>
      </c>
      <c r="K61">
        <f t="shared" si="16"/>
        <v>152.5</v>
      </c>
      <c r="L61" cm="1">
        <f t="array" ref="L61">STOWA2024_NDJF_T(A61*60,K61,I61,J61,"")</f>
        <v>28561.55273184488</v>
      </c>
      <c r="M61">
        <f t="shared" si="17"/>
        <v>3.5012102086629341E-5</v>
      </c>
    </row>
    <row r="62" spans="1:13" x14ac:dyDescent="0.3">
      <c r="A62">
        <v>48</v>
      </c>
      <c r="B62">
        <f t="shared" si="14"/>
        <v>9.8828166983108957E-6</v>
      </c>
      <c r="C62">
        <f t="shared" si="10"/>
        <v>9.8828166983108957E-6</v>
      </c>
      <c r="D62" t="s">
        <v>32</v>
      </c>
      <c r="E62" t="s">
        <v>19</v>
      </c>
      <c r="F62">
        <v>1</v>
      </c>
      <c r="G62">
        <f t="shared" si="15"/>
        <v>155</v>
      </c>
      <c r="I62">
        <v>2100</v>
      </c>
      <c r="J62" t="s">
        <v>25</v>
      </c>
      <c r="K62">
        <f t="shared" si="16"/>
        <v>157.5</v>
      </c>
      <c r="L62" cm="1">
        <f t="array" ref="L62">STOWA2024_NDJF_T(A62*60,K62,I62,J62,"")</f>
        <v>39794.207616618427</v>
      </c>
      <c r="M62">
        <f t="shared" si="17"/>
        <v>2.5129285388318445E-5</v>
      </c>
    </row>
    <row r="63" spans="1:13" x14ac:dyDescent="0.3">
      <c r="A63">
        <v>48</v>
      </c>
      <c r="B63" s="1">
        <f>M62</f>
        <v>2.5129285388318445E-5</v>
      </c>
      <c r="C63">
        <f t="shared" si="10"/>
        <v>2.5129285388318445E-5</v>
      </c>
      <c r="D63" t="s">
        <v>32</v>
      </c>
      <c r="E63" t="s">
        <v>19</v>
      </c>
      <c r="F63">
        <v>1</v>
      </c>
      <c r="G63">
        <f t="shared" si="15"/>
        <v>160</v>
      </c>
      <c r="I63">
        <v>2100</v>
      </c>
      <c r="J63" t="s">
        <v>25</v>
      </c>
      <c r="K63">
        <f>AVERAGE(G63:G64)</f>
        <v>85</v>
      </c>
      <c r="L63" cm="1">
        <f t="array" ref="L63">STOWA2024_NDJF_T(A63*60,K63,I63,J63,"")</f>
        <v>155.89693823192289</v>
      </c>
      <c r="M63">
        <f>1/L63</f>
        <v>6.4144941609586455E-3</v>
      </c>
    </row>
    <row r="64" spans="1:13" x14ac:dyDescent="0.3">
      <c r="A64">
        <v>96</v>
      </c>
      <c r="B64" s="1">
        <f>365.25*24/A64 - M64</f>
        <v>69.970469269498849</v>
      </c>
      <c r="C64">
        <f>B64</f>
        <v>69.970469269498849</v>
      </c>
      <c r="D64" t="s">
        <v>32</v>
      </c>
      <c r="E64" t="s">
        <v>19</v>
      </c>
      <c r="F64">
        <v>1</v>
      </c>
      <c r="G64">
        <v>10</v>
      </c>
      <c r="I64">
        <v>2100</v>
      </c>
      <c r="J64" t="s">
        <v>25</v>
      </c>
      <c r="K64">
        <f>AVERAGE(G64:G66)</f>
        <v>15</v>
      </c>
      <c r="L64" cm="1">
        <f t="array" ref="L64">STOWA2024_NDJF_T(A64*60,K64,I64,J64,"")</f>
        <v>4.6855897296166904E-2</v>
      </c>
      <c r="M64">
        <f>1/L64</f>
        <v>21.342030730501154</v>
      </c>
    </row>
    <row r="65" spans="1:13" x14ac:dyDescent="0.3">
      <c r="A65">
        <v>96</v>
      </c>
      <c r="B65">
        <f t="shared" ref="B65:B69" si="18">M64-M65</f>
        <v>4.4457773267694236</v>
      </c>
      <c r="C65">
        <f t="shared" ref="C65:C94" si="19">B65</f>
        <v>4.4457773267694236</v>
      </c>
      <c r="D65" t="s">
        <v>32</v>
      </c>
      <c r="E65" t="s">
        <v>19</v>
      </c>
      <c r="F65">
        <v>1</v>
      </c>
      <c r="G65">
        <f t="shared" ref="G65:G69" si="20">G64+5</f>
        <v>15</v>
      </c>
      <c r="I65">
        <v>2100</v>
      </c>
      <c r="J65" t="s">
        <v>25</v>
      </c>
      <c r="K65">
        <f t="shared" ref="K65:K69" si="21">AVERAGE(G65:G66)</f>
        <v>17.5</v>
      </c>
      <c r="L65" cm="1">
        <f t="array" ref="L65">STOWA2024_NDJF_T(A65*60,K65,I65,J65,"")</f>
        <v>5.9184718416873325E-2</v>
      </c>
      <c r="M65">
        <f t="shared" ref="M65:M69" si="22">1/L65</f>
        <v>16.89625340373173</v>
      </c>
    </row>
    <row r="66" spans="1:13" x14ac:dyDescent="0.3">
      <c r="A66">
        <v>96</v>
      </c>
      <c r="B66">
        <f t="shared" si="18"/>
        <v>6.2682882967697857</v>
      </c>
      <c r="C66">
        <f t="shared" si="19"/>
        <v>6.2682882967697857</v>
      </c>
      <c r="D66" t="s">
        <v>32</v>
      </c>
      <c r="E66" t="s">
        <v>19</v>
      </c>
      <c r="F66">
        <v>1</v>
      </c>
      <c r="G66">
        <f t="shared" si="20"/>
        <v>20</v>
      </c>
      <c r="I66">
        <v>2100</v>
      </c>
      <c r="J66" t="s">
        <v>25</v>
      </c>
      <c r="K66">
        <f t="shared" si="21"/>
        <v>22.5</v>
      </c>
      <c r="L66" cm="1">
        <f t="array" ref="L66">STOWA2024_NDJF_T(A66*60,K66,I66,J66,"")</f>
        <v>9.409138907926419E-2</v>
      </c>
      <c r="M66">
        <f t="shared" si="22"/>
        <v>10.627965106961945</v>
      </c>
    </row>
    <row r="67" spans="1:13" x14ac:dyDescent="0.3">
      <c r="A67">
        <v>96</v>
      </c>
      <c r="B67">
        <f t="shared" si="18"/>
        <v>3.9114302385165489</v>
      </c>
      <c r="C67">
        <f t="shared" si="19"/>
        <v>3.9114302385165489</v>
      </c>
      <c r="D67" t="s">
        <v>32</v>
      </c>
      <c r="E67" t="s">
        <v>19</v>
      </c>
      <c r="F67">
        <v>1</v>
      </c>
      <c r="G67">
        <f t="shared" si="20"/>
        <v>25</v>
      </c>
      <c r="I67">
        <v>2100</v>
      </c>
      <c r="J67" t="s">
        <v>25</v>
      </c>
      <c r="K67">
        <f t="shared" si="21"/>
        <v>27.5</v>
      </c>
      <c r="L67" cm="1">
        <f t="array" ref="L67">STOWA2024_NDJF_T(A67*60,K67,I67,J67,"")</f>
        <v>0.1488862962206968</v>
      </c>
      <c r="M67">
        <f t="shared" si="22"/>
        <v>6.7165348684453958</v>
      </c>
    </row>
    <row r="68" spans="1:13" x14ac:dyDescent="0.3">
      <c r="A68">
        <v>96</v>
      </c>
      <c r="B68">
        <f t="shared" si="18"/>
        <v>2.4524138087428149</v>
      </c>
      <c r="C68">
        <f t="shared" si="19"/>
        <v>2.4524138087428149</v>
      </c>
      <c r="D68" t="s">
        <v>32</v>
      </c>
      <c r="E68" t="s">
        <v>19</v>
      </c>
      <c r="F68">
        <v>1</v>
      </c>
      <c r="G68">
        <f t="shared" si="20"/>
        <v>30</v>
      </c>
      <c r="I68">
        <v>2100</v>
      </c>
      <c r="J68" t="s">
        <v>25</v>
      </c>
      <c r="K68">
        <f t="shared" si="21"/>
        <v>32.5</v>
      </c>
      <c r="L68" cm="1">
        <f t="array" ref="L68">STOWA2024_NDJF_T(A68*60,K68,I68,J68,"")</f>
        <v>0.23451491784563669</v>
      </c>
      <c r="M68">
        <f t="shared" si="22"/>
        <v>4.2641210597025809</v>
      </c>
    </row>
    <row r="69" spans="1:13" x14ac:dyDescent="0.3">
      <c r="A69">
        <v>96</v>
      </c>
      <c r="B69">
        <f t="shared" si="18"/>
        <v>1.544733598626816</v>
      </c>
      <c r="C69">
        <f t="shared" si="19"/>
        <v>1.544733598626816</v>
      </c>
      <c r="D69" t="s">
        <v>32</v>
      </c>
      <c r="E69" t="s">
        <v>19</v>
      </c>
      <c r="F69">
        <v>1</v>
      </c>
      <c r="G69">
        <f t="shared" si="20"/>
        <v>35</v>
      </c>
      <c r="I69">
        <v>2100</v>
      </c>
      <c r="J69" t="s">
        <v>25</v>
      </c>
      <c r="K69">
        <f t="shared" si="21"/>
        <v>37.5</v>
      </c>
      <c r="L69" cm="1">
        <f t="array" ref="L69">STOWA2024_NDJF_T(A69*60,K69,I69,J69,"")</f>
        <v>0.36772987090423997</v>
      </c>
      <c r="M69">
        <f t="shared" si="22"/>
        <v>2.7193874610757649</v>
      </c>
    </row>
    <row r="70" spans="1:13" x14ac:dyDescent="0.3">
      <c r="A70">
        <v>96</v>
      </c>
      <c r="B70">
        <f>M69-M70</f>
        <v>0.97746893713848482</v>
      </c>
      <c r="C70">
        <f t="shared" si="19"/>
        <v>0.97746893713848482</v>
      </c>
      <c r="D70" t="s">
        <v>32</v>
      </c>
      <c r="E70" t="s">
        <v>19</v>
      </c>
      <c r="F70">
        <v>1</v>
      </c>
      <c r="G70">
        <f>G69+5</f>
        <v>40</v>
      </c>
      <c r="I70">
        <v>2100</v>
      </c>
      <c r="J70" t="s">
        <v>25</v>
      </c>
      <c r="K70">
        <f>AVERAGE(G70:G71)</f>
        <v>42.5</v>
      </c>
      <c r="L70" cm="1">
        <f t="array" ref="L70">STOWA2024_NDJF_T(A70*60,K70,I70,J70,"")</f>
        <v>0.57407966346192107</v>
      </c>
      <c r="M70">
        <f>1/L70</f>
        <v>1.7419185239372801</v>
      </c>
    </row>
    <row r="71" spans="1:13" x14ac:dyDescent="0.3">
      <c r="A71">
        <v>96</v>
      </c>
      <c r="B71">
        <f t="shared" ref="B71:B93" si="23">M70-M71</f>
        <v>0.62128723680175457</v>
      </c>
      <c r="C71">
        <f t="shared" si="19"/>
        <v>0.62128723680175457</v>
      </c>
      <c r="D71" t="s">
        <v>32</v>
      </c>
      <c r="E71" t="s">
        <v>19</v>
      </c>
      <c r="F71">
        <v>1</v>
      </c>
      <c r="G71">
        <f t="shared" ref="G71:G94" si="24">G70+5</f>
        <v>45</v>
      </c>
      <c r="I71">
        <v>2100</v>
      </c>
      <c r="J71" t="s">
        <v>25</v>
      </c>
      <c r="K71">
        <f t="shared" ref="K71:K93" si="25">AVERAGE(G71:G72)</f>
        <v>47.5</v>
      </c>
      <c r="L71" cm="1">
        <f t="array" ref="L71">STOWA2024_NDJF_T(A71*60,K71,I71,J71,"")</f>
        <v>0.89235416811904811</v>
      </c>
      <c r="M71">
        <f t="shared" ref="M71:M93" si="26">1/L71</f>
        <v>1.1206312871355255</v>
      </c>
    </row>
    <row r="72" spans="1:13" x14ac:dyDescent="0.3">
      <c r="A72">
        <v>96</v>
      </c>
      <c r="B72">
        <f t="shared" si="23"/>
        <v>0.39656363985520071</v>
      </c>
      <c r="C72">
        <f t="shared" si="19"/>
        <v>0.39656363985520071</v>
      </c>
      <c r="D72" t="s">
        <v>32</v>
      </c>
      <c r="E72" t="s">
        <v>19</v>
      </c>
      <c r="F72">
        <v>1</v>
      </c>
      <c r="G72">
        <f t="shared" si="24"/>
        <v>50</v>
      </c>
      <c r="I72">
        <v>2100</v>
      </c>
      <c r="J72" t="s">
        <v>25</v>
      </c>
      <c r="K72">
        <f t="shared" si="25"/>
        <v>52.5</v>
      </c>
      <c r="L72" cm="1">
        <f t="array" ref="L72">STOWA2024_NDJF_T(A72*60,K72,I72,J72,"")</f>
        <v>1.3810864271537424</v>
      </c>
      <c r="M72">
        <f t="shared" si="26"/>
        <v>0.7240676472803248</v>
      </c>
    </row>
    <row r="73" spans="1:13" x14ac:dyDescent="0.3">
      <c r="A73">
        <v>96</v>
      </c>
      <c r="B73">
        <f t="shared" si="23"/>
        <v>0.25432491336960944</v>
      </c>
      <c r="C73">
        <f t="shared" si="19"/>
        <v>0.25432491336960944</v>
      </c>
      <c r="D73" t="s">
        <v>32</v>
      </c>
      <c r="E73" t="s">
        <v>19</v>
      </c>
      <c r="F73">
        <v>1</v>
      </c>
      <c r="G73">
        <f t="shared" si="24"/>
        <v>55</v>
      </c>
      <c r="I73">
        <v>2100</v>
      </c>
      <c r="J73" t="s">
        <v>25</v>
      </c>
      <c r="K73">
        <f t="shared" si="25"/>
        <v>57.5</v>
      </c>
      <c r="L73" cm="1">
        <f t="array" ref="L73">STOWA2024_NDJF_T(A73*60,K73,I73,J73,"")</f>
        <v>2.1288248392365157</v>
      </c>
      <c r="M73">
        <f t="shared" si="26"/>
        <v>0.46974273391071536</v>
      </c>
    </row>
    <row r="74" spans="1:13" x14ac:dyDescent="0.3">
      <c r="A74">
        <v>96</v>
      </c>
      <c r="B74">
        <f t="shared" si="23"/>
        <v>0.16374972174207664</v>
      </c>
      <c r="C74">
        <f t="shared" si="19"/>
        <v>0.16374972174207664</v>
      </c>
      <c r="D74" t="s">
        <v>32</v>
      </c>
      <c r="E74" t="s">
        <v>19</v>
      </c>
      <c r="F74">
        <v>1</v>
      </c>
      <c r="G74">
        <f t="shared" si="24"/>
        <v>60</v>
      </c>
      <c r="I74">
        <v>2100</v>
      </c>
      <c r="J74" t="s">
        <v>25</v>
      </c>
      <c r="K74">
        <f t="shared" si="25"/>
        <v>62.5</v>
      </c>
      <c r="L74" cm="1">
        <f t="array" ref="L74">STOWA2024_NDJF_T(A74*60,K74,I74,J74,"")</f>
        <v>3.2680484855284226</v>
      </c>
      <c r="M74">
        <f t="shared" si="26"/>
        <v>0.30599301216863872</v>
      </c>
    </row>
    <row r="75" spans="1:13" x14ac:dyDescent="0.3">
      <c r="A75">
        <v>96</v>
      </c>
      <c r="B75">
        <f t="shared" si="23"/>
        <v>0.10586661797369445</v>
      </c>
      <c r="C75">
        <f t="shared" si="19"/>
        <v>0.10586661797369445</v>
      </c>
      <c r="D75" t="s">
        <v>32</v>
      </c>
      <c r="E75" t="s">
        <v>19</v>
      </c>
      <c r="F75">
        <v>1</v>
      </c>
      <c r="G75">
        <f t="shared" si="24"/>
        <v>65</v>
      </c>
      <c r="I75">
        <v>2100</v>
      </c>
      <c r="J75" t="s">
        <v>25</v>
      </c>
      <c r="K75">
        <f t="shared" si="25"/>
        <v>67.5</v>
      </c>
      <c r="L75" cm="1">
        <f t="array" ref="L75">STOWA2024_NDJF_T(A75*60,K75,I75,J75,"")</f>
        <v>4.9968421408017489</v>
      </c>
      <c r="M75">
        <f t="shared" si="26"/>
        <v>0.20012639419494427</v>
      </c>
    </row>
    <row r="76" spans="1:13" x14ac:dyDescent="0.3">
      <c r="A76">
        <v>96</v>
      </c>
      <c r="B76">
        <f t="shared" si="23"/>
        <v>6.8722836730476911E-2</v>
      </c>
      <c r="C76">
        <f t="shared" si="19"/>
        <v>6.8722836730476911E-2</v>
      </c>
      <c r="D76" t="s">
        <v>32</v>
      </c>
      <c r="E76" t="s">
        <v>19</v>
      </c>
      <c r="F76">
        <v>1</v>
      </c>
      <c r="G76">
        <f t="shared" si="24"/>
        <v>70</v>
      </c>
      <c r="I76">
        <v>2100</v>
      </c>
      <c r="J76" t="s">
        <v>25</v>
      </c>
      <c r="K76">
        <f t="shared" si="25"/>
        <v>72.5</v>
      </c>
      <c r="L76" cm="1">
        <f t="array" ref="L76">STOWA2024_NDJF_T(A76*60,K76,I76,J76,"")</f>
        <v>7.6101440424884128</v>
      </c>
      <c r="M76">
        <f t="shared" si="26"/>
        <v>0.13140355746446736</v>
      </c>
    </row>
    <row r="77" spans="1:13" x14ac:dyDescent="0.3">
      <c r="A77">
        <v>96</v>
      </c>
      <c r="B77">
        <f t="shared" si="23"/>
        <v>4.4791161015371159E-2</v>
      </c>
      <c r="C77">
        <f t="shared" si="19"/>
        <v>4.4791161015371159E-2</v>
      </c>
      <c r="D77" t="s">
        <v>32</v>
      </c>
      <c r="E77" t="s">
        <v>19</v>
      </c>
      <c r="F77">
        <v>1</v>
      </c>
      <c r="G77">
        <f t="shared" si="24"/>
        <v>75</v>
      </c>
      <c r="I77">
        <v>2100</v>
      </c>
      <c r="J77" t="s">
        <v>25</v>
      </c>
      <c r="K77">
        <f t="shared" si="25"/>
        <v>77.5</v>
      </c>
      <c r="L77" cm="1">
        <f t="array" ref="L77">STOWA2024_NDJF_T(A77*60,K77,I77,J77,"")</f>
        <v>11.545691390581943</v>
      </c>
      <c r="M77">
        <f t="shared" si="26"/>
        <v>8.6612396449096199E-2</v>
      </c>
    </row>
    <row r="78" spans="1:13" x14ac:dyDescent="0.3">
      <c r="A78">
        <v>96</v>
      </c>
      <c r="B78">
        <f t="shared" si="23"/>
        <v>2.9306191343752459E-2</v>
      </c>
      <c r="C78">
        <f t="shared" si="19"/>
        <v>2.9306191343752459E-2</v>
      </c>
      <c r="D78" t="s">
        <v>32</v>
      </c>
      <c r="E78" t="s">
        <v>19</v>
      </c>
      <c r="F78">
        <v>1</v>
      </c>
      <c r="G78">
        <f t="shared" si="24"/>
        <v>80</v>
      </c>
      <c r="I78">
        <v>2100</v>
      </c>
      <c r="J78" t="s">
        <v>25</v>
      </c>
      <c r="K78">
        <f t="shared" si="25"/>
        <v>82.5</v>
      </c>
      <c r="L78" cm="1">
        <f t="array" ref="L78">STOWA2024_NDJF_T(A78*60,K78,I78,J78,"")</f>
        <v>17.450117280698301</v>
      </c>
      <c r="M78">
        <f t="shared" si="26"/>
        <v>5.730620510534374E-2</v>
      </c>
    </row>
    <row r="79" spans="1:13" x14ac:dyDescent="0.3">
      <c r="A79">
        <v>96</v>
      </c>
      <c r="B79">
        <f t="shared" si="23"/>
        <v>1.9249245498312063E-2</v>
      </c>
      <c r="C79">
        <f t="shared" si="19"/>
        <v>1.9249245498312063E-2</v>
      </c>
      <c r="D79" t="s">
        <v>32</v>
      </c>
      <c r="E79" t="s">
        <v>19</v>
      </c>
      <c r="F79">
        <v>1</v>
      </c>
      <c r="G79">
        <f t="shared" si="24"/>
        <v>85</v>
      </c>
      <c r="I79">
        <v>2100</v>
      </c>
      <c r="J79" t="s">
        <v>25</v>
      </c>
      <c r="K79">
        <f t="shared" si="25"/>
        <v>87.5</v>
      </c>
      <c r="L79" cm="1">
        <f t="array" ref="L79">STOWA2024_NDJF_T(A79*60,K79,I79,J79,"")</f>
        <v>26.276402800586119</v>
      </c>
      <c r="M79">
        <f t="shared" si="26"/>
        <v>3.8056959607031676E-2</v>
      </c>
    </row>
    <row r="80" spans="1:13" x14ac:dyDescent="0.3">
      <c r="A80">
        <v>96</v>
      </c>
      <c r="B80">
        <f t="shared" si="23"/>
        <v>1.2690691474306483E-2</v>
      </c>
      <c r="C80">
        <f t="shared" si="19"/>
        <v>1.2690691474306483E-2</v>
      </c>
      <c r="D80" t="s">
        <v>32</v>
      </c>
      <c r="E80" t="s">
        <v>19</v>
      </c>
      <c r="F80">
        <v>1</v>
      </c>
      <c r="G80">
        <f t="shared" si="24"/>
        <v>90</v>
      </c>
      <c r="I80">
        <v>2100</v>
      </c>
      <c r="J80" t="s">
        <v>25</v>
      </c>
      <c r="K80">
        <f t="shared" si="25"/>
        <v>92.5</v>
      </c>
      <c r="L80" cm="1">
        <f t="array" ref="L80">STOWA2024_NDJF_T(A80*60,K80,I80,J80,"")</f>
        <v>39.422432766524821</v>
      </c>
      <c r="M80">
        <f t="shared" si="26"/>
        <v>2.5366268132725193E-2</v>
      </c>
    </row>
    <row r="81" spans="1:13" x14ac:dyDescent="0.3">
      <c r="A81">
        <v>96</v>
      </c>
      <c r="B81">
        <f t="shared" si="23"/>
        <v>8.3980142299567087E-3</v>
      </c>
      <c r="C81">
        <f t="shared" si="19"/>
        <v>8.3980142299567087E-3</v>
      </c>
      <c r="D81" t="s">
        <v>32</v>
      </c>
      <c r="E81" t="s">
        <v>19</v>
      </c>
      <c r="F81">
        <v>1</v>
      </c>
      <c r="G81">
        <f t="shared" si="24"/>
        <v>95</v>
      </c>
      <c r="I81">
        <v>2100</v>
      </c>
      <c r="J81" t="s">
        <v>25</v>
      </c>
      <c r="K81">
        <f t="shared" si="25"/>
        <v>97.5</v>
      </c>
      <c r="L81" cm="1">
        <f t="array" ref="L81">STOWA2024_NDJF_T(A81*60,K81,I81,J81,"")</f>
        <v>58.933583015094044</v>
      </c>
      <c r="M81">
        <f t="shared" si="26"/>
        <v>1.6968253902768484E-2</v>
      </c>
    </row>
    <row r="82" spans="1:13" x14ac:dyDescent="0.3">
      <c r="A82">
        <v>96</v>
      </c>
      <c r="B82">
        <f t="shared" si="23"/>
        <v>5.5776035068091628E-3</v>
      </c>
      <c r="C82">
        <f t="shared" si="19"/>
        <v>5.5776035068091628E-3</v>
      </c>
      <c r="D82" t="s">
        <v>32</v>
      </c>
      <c r="E82" t="s">
        <v>19</v>
      </c>
      <c r="F82">
        <v>1</v>
      </c>
      <c r="G82">
        <f t="shared" si="24"/>
        <v>100</v>
      </c>
      <c r="I82">
        <v>2100</v>
      </c>
      <c r="J82" t="s">
        <v>25</v>
      </c>
      <c r="K82">
        <f t="shared" si="25"/>
        <v>102.5</v>
      </c>
      <c r="L82" cm="1">
        <f t="array" ref="L82">STOWA2024_NDJF_T(A82*60,K82,I82,J82,"")</f>
        <v>87.791299463877536</v>
      </c>
      <c r="M82">
        <f t="shared" si="26"/>
        <v>1.1390650395959321E-2</v>
      </c>
    </row>
    <row r="83" spans="1:13" x14ac:dyDescent="0.3">
      <c r="A83">
        <v>96</v>
      </c>
      <c r="B83">
        <f t="shared" si="23"/>
        <v>3.7177279479832159E-3</v>
      </c>
      <c r="C83">
        <f t="shared" si="19"/>
        <v>3.7177279479832159E-3</v>
      </c>
      <c r="D83" t="s">
        <v>32</v>
      </c>
      <c r="E83" t="s">
        <v>19</v>
      </c>
      <c r="F83">
        <v>1</v>
      </c>
      <c r="G83">
        <f t="shared" si="24"/>
        <v>105</v>
      </c>
      <c r="I83">
        <v>2100</v>
      </c>
      <c r="J83" t="s">
        <v>25</v>
      </c>
      <c r="K83">
        <f t="shared" si="25"/>
        <v>107.5</v>
      </c>
      <c r="L83" cm="1">
        <f t="array" ref="L83">STOWA2024_NDJF_T(A83*60,K83,I83,J83,"")</f>
        <v>130.32843832062593</v>
      </c>
      <c r="M83">
        <f t="shared" si="26"/>
        <v>7.6729224479761054E-3</v>
      </c>
    </row>
    <row r="84" spans="1:13" x14ac:dyDescent="0.3">
      <c r="A84">
        <v>96</v>
      </c>
      <c r="B84">
        <f t="shared" si="23"/>
        <v>2.4866561554868277E-3</v>
      </c>
      <c r="C84">
        <f t="shared" si="19"/>
        <v>2.4866561554868277E-3</v>
      </c>
      <c r="D84" t="s">
        <v>32</v>
      </c>
      <c r="E84" t="s">
        <v>19</v>
      </c>
      <c r="F84">
        <v>1</v>
      </c>
      <c r="G84">
        <f t="shared" si="24"/>
        <v>110</v>
      </c>
      <c r="I84">
        <v>2100</v>
      </c>
      <c r="J84" t="s">
        <v>25</v>
      </c>
      <c r="K84">
        <f t="shared" si="25"/>
        <v>112.5</v>
      </c>
      <c r="L84" cm="1">
        <f t="array" ref="L84">STOWA2024_NDJF_T(A84*60,K84,I84,J84,"")</f>
        <v>192.81694066658213</v>
      </c>
      <c r="M84">
        <f t="shared" si="26"/>
        <v>5.1862662924892777E-3</v>
      </c>
    </row>
    <row r="85" spans="1:13" x14ac:dyDescent="0.3">
      <c r="A85">
        <v>96</v>
      </c>
      <c r="B85">
        <f t="shared" si="23"/>
        <v>1.6690269847382116E-3</v>
      </c>
      <c r="C85">
        <f t="shared" si="19"/>
        <v>1.6690269847382116E-3</v>
      </c>
      <c r="D85" t="s">
        <v>32</v>
      </c>
      <c r="E85" t="s">
        <v>19</v>
      </c>
      <c r="F85">
        <v>1</v>
      </c>
      <c r="G85">
        <f t="shared" si="24"/>
        <v>115</v>
      </c>
      <c r="I85">
        <v>2100</v>
      </c>
      <c r="J85" t="s">
        <v>25</v>
      </c>
      <c r="K85">
        <f t="shared" si="25"/>
        <v>117.5</v>
      </c>
      <c r="L85" cm="1">
        <f t="array" ref="L85">STOWA2024_NDJF_T(A85*60,K85,I85,J85,"")</f>
        <v>284.31389294332752</v>
      </c>
      <c r="M85">
        <f t="shared" si="26"/>
        <v>3.5172393077510661E-3</v>
      </c>
    </row>
    <row r="86" spans="1:13" x14ac:dyDescent="0.3">
      <c r="A86">
        <v>96</v>
      </c>
      <c r="B86">
        <f t="shared" si="23"/>
        <v>1.1240473740306597E-3</v>
      </c>
      <c r="C86">
        <f t="shared" si="19"/>
        <v>1.1240473740306597E-3</v>
      </c>
      <c r="D86" t="s">
        <v>32</v>
      </c>
      <c r="E86" t="s">
        <v>19</v>
      </c>
      <c r="F86">
        <v>1</v>
      </c>
      <c r="G86">
        <f t="shared" si="24"/>
        <v>120</v>
      </c>
      <c r="I86">
        <v>2100</v>
      </c>
      <c r="J86" t="s">
        <v>25</v>
      </c>
      <c r="K86">
        <f t="shared" si="25"/>
        <v>122.5</v>
      </c>
      <c r="L86" cm="1">
        <f t="array" ref="L86">STOWA2024_NDJF_T(A86*60,K86,I86,J86,"")</f>
        <v>417.85198500373548</v>
      </c>
      <c r="M86">
        <f t="shared" si="26"/>
        <v>2.3931919337204064E-3</v>
      </c>
    </row>
    <row r="87" spans="1:13" x14ac:dyDescent="0.3">
      <c r="A87">
        <v>96</v>
      </c>
      <c r="B87">
        <f t="shared" si="23"/>
        <v>7.5953639968469474E-4</v>
      </c>
      <c r="C87">
        <f t="shared" si="19"/>
        <v>7.5953639968469474E-4</v>
      </c>
      <c r="D87" t="s">
        <v>32</v>
      </c>
      <c r="E87" t="s">
        <v>19</v>
      </c>
      <c r="F87">
        <v>1</v>
      </c>
      <c r="G87">
        <f t="shared" si="24"/>
        <v>125</v>
      </c>
      <c r="I87">
        <v>2100</v>
      </c>
      <c r="J87" t="s">
        <v>25</v>
      </c>
      <c r="K87">
        <f t="shared" si="25"/>
        <v>127.5</v>
      </c>
      <c r="L87" cm="1">
        <f t="array" ref="L87">STOWA2024_NDJF_T(A87*60,K87,I87,J87,"")</f>
        <v>612.12414683874238</v>
      </c>
      <c r="M87">
        <f t="shared" si="26"/>
        <v>1.6336555340357116E-3</v>
      </c>
    </row>
    <row r="88" spans="1:13" x14ac:dyDescent="0.3">
      <c r="A88">
        <v>96</v>
      </c>
      <c r="B88">
        <f t="shared" si="23"/>
        <v>5.1493491440837095E-4</v>
      </c>
      <c r="C88">
        <f t="shared" si="19"/>
        <v>5.1493491440837095E-4</v>
      </c>
      <c r="D88" t="s">
        <v>32</v>
      </c>
      <c r="E88" t="s">
        <v>19</v>
      </c>
      <c r="F88">
        <v>1</v>
      </c>
      <c r="G88">
        <f t="shared" si="24"/>
        <v>130</v>
      </c>
      <c r="I88">
        <v>2100</v>
      </c>
      <c r="J88" t="s">
        <v>25</v>
      </c>
      <c r="K88">
        <f t="shared" si="25"/>
        <v>132.5</v>
      </c>
      <c r="L88" cm="1">
        <f t="array" ref="L88">STOWA2024_NDJF_T(A88*60,K88,I88,J88,"")</f>
        <v>893.87822344162396</v>
      </c>
      <c r="M88">
        <f t="shared" si="26"/>
        <v>1.1187206196273407E-3</v>
      </c>
    </row>
    <row r="89" spans="1:13" x14ac:dyDescent="0.3">
      <c r="A89">
        <v>96</v>
      </c>
      <c r="B89">
        <f t="shared" si="23"/>
        <v>3.5022544612334325E-4</v>
      </c>
      <c r="C89">
        <f t="shared" si="19"/>
        <v>3.5022544612334325E-4</v>
      </c>
      <c r="D89" t="s">
        <v>32</v>
      </c>
      <c r="E89" t="s">
        <v>19</v>
      </c>
      <c r="F89">
        <v>1</v>
      </c>
      <c r="G89">
        <f t="shared" si="24"/>
        <v>135</v>
      </c>
      <c r="I89">
        <v>2100</v>
      </c>
      <c r="J89" t="s">
        <v>25</v>
      </c>
      <c r="K89">
        <f t="shared" si="25"/>
        <v>137.5</v>
      </c>
      <c r="L89" cm="1">
        <f t="array" ref="L89">STOWA2024_NDJF_T(A89*60,K89,I89,J89,"")</f>
        <v>1301.2443467152086</v>
      </c>
      <c r="M89">
        <f t="shared" si="26"/>
        <v>7.6849517350399742E-4</v>
      </c>
    </row>
    <row r="90" spans="1:13" x14ac:dyDescent="0.3">
      <c r="A90">
        <v>96</v>
      </c>
      <c r="B90">
        <f t="shared" si="23"/>
        <v>2.389576355172362E-4</v>
      </c>
      <c r="C90">
        <f t="shared" si="19"/>
        <v>2.389576355172362E-4</v>
      </c>
      <c r="D90" t="s">
        <v>32</v>
      </c>
      <c r="E90" t="s">
        <v>19</v>
      </c>
      <c r="F90">
        <v>1</v>
      </c>
      <c r="G90">
        <f t="shared" si="24"/>
        <v>140</v>
      </c>
      <c r="I90">
        <v>2100</v>
      </c>
      <c r="J90" t="s">
        <v>25</v>
      </c>
      <c r="K90">
        <f t="shared" si="25"/>
        <v>142.5</v>
      </c>
      <c r="L90" cm="1">
        <f t="array" ref="L90">STOWA2024_NDJF_T(A90*60,K90,I90,J90,"")</f>
        <v>1888.4402488289709</v>
      </c>
      <c r="M90">
        <f t="shared" si="26"/>
        <v>5.2953753798676121E-4</v>
      </c>
    </row>
    <row r="91" spans="1:13" x14ac:dyDescent="0.3">
      <c r="A91">
        <v>96</v>
      </c>
      <c r="B91">
        <f t="shared" si="23"/>
        <v>1.6354749765370774E-4</v>
      </c>
      <c r="C91">
        <f t="shared" si="19"/>
        <v>1.6354749765370774E-4</v>
      </c>
      <c r="D91" t="s">
        <v>32</v>
      </c>
      <c r="E91" t="s">
        <v>19</v>
      </c>
      <c r="F91">
        <v>1</v>
      </c>
      <c r="G91">
        <f t="shared" si="24"/>
        <v>145</v>
      </c>
      <c r="I91">
        <v>2100</v>
      </c>
      <c r="J91" t="s">
        <v>25</v>
      </c>
      <c r="K91">
        <f t="shared" si="25"/>
        <v>147.5</v>
      </c>
      <c r="L91" cm="1">
        <f t="array" ref="L91">STOWA2024_NDJF_T(A91*60,K91,I91,J91,"")</f>
        <v>2732.3147894680224</v>
      </c>
      <c r="M91">
        <f t="shared" si="26"/>
        <v>3.6599004033305348E-4</v>
      </c>
    </row>
    <row r="92" spans="1:13" x14ac:dyDescent="0.3">
      <c r="A92">
        <v>96</v>
      </c>
      <c r="B92">
        <f t="shared" si="23"/>
        <v>1.1228309388008136E-4</v>
      </c>
      <c r="C92">
        <f t="shared" si="19"/>
        <v>1.1228309388008136E-4</v>
      </c>
      <c r="D92" t="s">
        <v>32</v>
      </c>
      <c r="E92" t="s">
        <v>19</v>
      </c>
      <c r="F92">
        <v>1</v>
      </c>
      <c r="G92">
        <f t="shared" si="24"/>
        <v>150</v>
      </c>
      <c r="I92">
        <v>2100</v>
      </c>
      <c r="J92" t="s">
        <v>25</v>
      </c>
      <c r="K92">
        <f t="shared" si="25"/>
        <v>152.5</v>
      </c>
      <c r="L92" cm="1">
        <f t="array" ref="L92">STOWA2024_NDJF_T(A92*60,K92,I92,J92,"")</f>
        <v>3941.5554598752897</v>
      </c>
      <c r="M92">
        <f t="shared" si="26"/>
        <v>2.5370694645297212E-4</v>
      </c>
    </row>
    <row r="93" spans="1:13" x14ac:dyDescent="0.3">
      <c r="A93">
        <v>96</v>
      </c>
      <c r="B93">
        <f t="shared" si="23"/>
        <v>7.7319362044105019E-5</v>
      </c>
      <c r="C93">
        <f t="shared" si="19"/>
        <v>7.7319362044105019E-5</v>
      </c>
      <c r="D93" t="s">
        <v>32</v>
      </c>
      <c r="E93" t="s">
        <v>19</v>
      </c>
      <c r="F93">
        <v>1</v>
      </c>
      <c r="G93">
        <f t="shared" si="24"/>
        <v>155</v>
      </c>
      <c r="I93">
        <v>2100</v>
      </c>
      <c r="J93" t="s">
        <v>25</v>
      </c>
      <c r="K93">
        <f t="shared" si="25"/>
        <v>157.5</v>
      </c>
      <c r="L93" cm="1">
        <f t="array" ref="L93">STOWA2024_NDJF_T(A93*60,K93,I93,J93,"")</f>
        <v>5669.3332660080887</v>
      </c>
      <c r="M93">
        <f t="shared" si="26"/>
        <v>1.763875844088671E-4</v>
      </c>
    </row>
    <row r="94" spans="1:13" x14ac:dyDescent="0.3">
      <c r="A94">
        <v>96</v>
      </c>
      <c r="B94" s="1">
        <f>M93</f>
        <v>1.763875844088671E-4</v>
      </c>
      <c r="C94">
        <f t="shared" si="19"/>
        <v>1.763875844088671E-4</v>
      </c>
      <c r="D94" t="s">
        <v>32</v>
      </c>
      <c r="E94" t="s">
        <v>19</v>
      </c>
      <c r="F94">
        <v>1</v>
      </c>
      <c r="G94">
        <f t="shared" si="24"/>
        <v>160</v>
      </c>
      <c r="I94">
        <v>2100</v>
      </c>
      <c r="J94" t="s">
        <v>25</v>
      </c>
      <c r="K94">
        <f>AVERAGE(G94:G95)</f>
        <v>85</v>
      </c>
      <c r="L94" cm="1">
        <f t="array" ref="L94">STOWA2024_NDJF_T(A94*60,K94,I94,J94,"")</f>
        <v>21.42319017272531</v>
      </c>
      <c r="M94">
        <f>1/L94</f>
        <v>4.6678388789786245E-2</v>
      </c>
    </row>
    <row r="95" spans="1:13" x14ac:dyDescent="0.3">
      <c r="A95">
        <v>192</v>
      </c>
      <c r="B95" s="1">
        <f>365.25*24/A95 - M95</f>
        <v>23.492108467684417</v>
      </c>
      <c r="C95">
        <f>B95</f>
        <v>23.492108467684417</v>
      </c>
      <c r="D95" t="s">
        <v>32</v>
      </c>
      <c r="E95" t="s">
        <v>19</v>
      </c>
      <c r="F95">
        <v>1</v>
      </c>
      <c r="G95">
        <v>10</v>
      </c>
      <c r="I95">
        <v>2100</v>
      </c>
      <c r="J95" t="s">
        <v>25</v>
      </c>
      <c r="K95">
        <f>AVERAGE(G95:G97)</f>
        <v>15</v>
      </c>
      <c r="L95" cm="1">
        <f t="array" ref="L95">STOWA2024_NDJF_T(A95*60,K95,I95,J95,"")</f>
        <v>4.511792160061729E-2</v>
      </c>
      <c r="M95">
        <f>1/L95</f>
        <v>22.164141532315583</v>
      </c>
    </row>
    <row r="96" spans="1:13" x14ac:dyDescent="0.3">
      <c r="A96">
        <v>192</v>
      </c>
      <c r="B96">
        <f t="shared" ref="B96:B100" si="27">M95-M96</f>
        <v>2.833194326139715</v>
      </c>
      <c r="C96">
        <f t="shared" ref="C96:C125" si="28">B96</f>
        <v>2.833194326139715</v>
      </c>
      <c r="D96" t="s">
        <v>32</v>
      </c>
      <c r="E96" t="s">
        <v>19</v>
      </c>
      <c r="F96">
        <v>1</v>
      </c>
      <c r="G96">
        <f t="shared" ref="G96:G100" si="29">G95+5</f>
        <v>15</v>
      </c>
      <c r="I96">
        <v>2100</v>
      </c>
      <c r="J96" t="s">
        <v>25</v>
      </c>
      <c r="K96">
        <f t="shared" ref="K96:K100" si="30">AVERAGE(G96:G97)</f>
        <v>17.5</v>
      </c>
      <c r="L96" cm="1">
        <f t="array" ref="L96">STOWA2024_NDJF_T(A96*60,K96,I96,J96,"")</f>
        <v>5.1730522531276642E-2</v>
      </c>
      <c r="M96">
        <f t="shared" ref="M96:M100" si="31">1/L96</f>
        <v>19.330947206175868</v>
      </c>
    </row>
    <row r="97" spans="1:13" x14ac:dyDescent="0.3">
      <c r="A97">
        <v>192</v>
      </c>
      <c r="B97">
        <f t="shared" si="27"/>
        <v>4.664504102018709</v>
      </c>
      <c r="C97">
        <f t="shared" si="28"/>
        <v>4.664504102018709</v>
      </c>
      <c r="D97" t="s">
        <v>32</v>
      </c>
      <c r="E97" t="s">
        <v>19</v>
      </c>
      <c r="F97">
        <v>1</v>
      </c>
      <c r="G97">
        <f t="shared" si="29"/>
        <v>20</v>
      </c>
      <c r="I97">
        <v>2100</v>
      </c>
      <c r="J97" t="s">
        <v>25</v>
      </c>
      <c r="K97">
        <f t="shared" si="30"/>
        <v>22.5</v>
      </c>
      <c r="L97" cm="1">
        <f t="array" ref="L97">STOWA2024_NDJF_T(A97*60,K97,I97,J97,"")</f>
        <v>6.8182857486185799E-2</v>
      </c>
      <c r="M97">
        <f t="shared" si="31"/>
        <v>14.666443104157159</v>
      </c>
    </row>
    <row r="98" spans="1:13" x14ac:dyDescent="0.3">
      <c r="A98">
        <v>192</v>
      </c>
      <c r="B98">
        <f t="shared" si="27"/>
        <v>3.5784798242979363</v>
      </c>
      <c r="C98">
        <f t="shared" si="28"/>
        <v>3.5784798242979363</v>
      </c>
      <c r="D98" t="s">
        <v>32</v>
      </c>
      <c r="E98" t="s">
        <v>19</v>
      </c>
      <c r="F98">
        <v>1</v>
      </c>
      <c r="G98">
        <f t="shared" si="29"/>
        <v>25</v>
      </c>
      <c r="I98">
        <v>2100</v>
      </c>
      <c r="J98" t="s">
        <v>25</v>
      </c>
      <c r="K98">
        <f t="shared" si="30"/>
        <v>27.5</v>
      </c>
      <c r="L98" cm="1">
        <f t="array" ref="L98">STOWA2024_NDJF_T(A98*60,K98,I98,J98,"")</f>
        <v>9.0187888862912652E-2</v>
      </c>
      <c r="M98">
        <f t="shared" si="31"/>
        <v>11.087963279859222</v>
      </c>
    </row>
    <row r="99" spans="1:13" x14ac:dyDescent="0.3">
      <c r="A99">
        <v>192</v>
      </c>
      <c r="B99">
        <f t="shared" si="27"/>
        <v>2.7358694972722102</v>
      </c>
      <c r="C99">
        <f t="shared" si="28"/>
        <v>2.7358694972722102</v>
      </c>
      <c r="D99" t="s">
        <v>32</v>
      </c>
      <c r="E99" t="s">
        <v>19</v>
      </c>
      <c r="F99">
        <v>1</v>
      </c>
      <c r="G99">
        <f t="shared" si="29"/>
        <v>30</v>
      </c>
      <c r="I99">
        <v>2100</v>
      </c>
      <c r="J99" t="s">
        <v>25</v>
      </c>
      <c r="K99">
        <f t="shared" si="30"/>
        <v>32.5</v>
      </c>
      <c r="L99" cm="1">
        <f t="array" ref="L99">STOWA2024_NDJF_T(A99*60,K99,I99,J99,"")</f>
        <v>0.11973045634196122</v>
      </c>
      <c r="M99">
        <f t="shared" si="31"/>
        <v>8.3520937825870121</v>
      </c>
    </row>
    <row r="100" spans="1:13" x14ac:dyDescent="0.3">
      <c r="A100">
        <v>192</v>
      </c>
      <c r="B100">
        <f t="shared" si="27"/>
        <v>2.0843045691493485</v>
      </c>
      <c r="C100">
        <f t="shared" si="28"/>
        <v>2.0843045691493485</v>
      </c>
      <c r="D100" t="s">
        <v>32</v>
      </c>
      <c r="E100" t="s">
        <v>19</v>
      </c>
      <c r="F100">
        <v>1</v>
      </c>
      <c r="G100">
        <f t="shared" si="29"/>
        <v>35</v>
      </c>
      <c r="I100">
        <v>2100</v>
      </c>
      <c r="J100" t="s">
        <v>25</v>
      </c>
      <c r="K100">
        <f t="shared" si="30"/>
        <v>37.5</v>
      </c>
      <c r="L100" cm="1">
        <f t="array" ref="L100">STOWA2024_NDJF_T(A100*60,K100,I100,J100,"")</f>
        <v>0.15954588866136021</v>
      </c>
      <c r="M100">
        <f t="shared" si="31"/>
        <v>6.2677892134376636</v>
      </c>
    </row>
    <row r="101" spans="1:13" x14ac:dyDescent="0.3">
      <c r="A101">
        <v>192</v>
      </c>
      <c r="B101">
        <f>M100-M101</f>
        <v>1.5821859063028567</v>
      </c>
      <c r="C101">
        <f t="shared" si="28"/>
        <v>1.5821859063028567</v>
      </c>
      <c r="D101" t="s">
        <v>32</v>
      </c>
      <c r="E101" t="s">
        <v>19</v>
      </c>
      <c r="F101">
        <v>1</v>
      </c>
      <c r="G101">
        <f>G100+5</f>
        <v>40</v>
      </c>
      <c r="I101">
        <v>2100</v>
      </c>
      <c r="J101" t="s">
        <v>25</v>
      </c>
      <c r="K101">
        <f>AVERAGE(G101:G102)</f>
        <v>42.5</v>
      </c>
      <c r="L101" cm="1">
        <f t="array" ref="L101">STOWA2024_NDJF_T(A101*60,K101,I101,J101,"")</f>
        <v>0.21341968887491855</v>
      </c>
      <c r="M101">
        <f>1/L101</f>
        <v>4.6856033071348069</v>
      </c>
    </row>
    <row r="102" spans="1:13" x14ac:dyDescent="0.3">
      <c r="A102">
        <v>192</v>
      </c>
      <c r="B102">
        <f t="shared" ref="B102:B124" si="32">M101-M102</f>
        <v>1.196582258944161</v>
      </c>
      <c r="C102">
        <f t="shared" si="28"/>
        <v>1.196582258944161</v>
      </c>
      <c r="D102" t="s">
        <v>32</v>
      </c>
      <c r="E102" t="s">
        <v>19</v>
      </c>
      <c r="F102">
        <v>1</v>
      </c>
      <c r="G102">
        <f t="shared" ref="G102:G125" si="33">G101+5</f>
        <v>45</v>
      </c>
      <c r="I102">
        <v>2100</v>
      </c>
      <c r="J102" t="s">
        <v>25</v>
      </c>
      <c r="K102">
        <f t="shared" ref="K102:K124" si="34">AVERAGE(G102:G103)</f>
        <v>47.5</v>
      </c>
      <c r="L102" cm="1">
        <f t="array" ref="L102">STOWA2024_NDJF_T(A102*60,K102,I102,J102,"")</f>
        <v>0.28661334689241413</v>
      </c>
      <c r="M102">
        <f t="shared" ref="M102:M124" si="35">1/L102</f>
        <v>3.4890210481906458</v>
      </c>
    </row>
    <row r="103" spans="1:13" x14ac:dyDescent="0.3">
      <c r="A103">
        <v>192</v>
      </c>
      <c r="B103">
        <f t="shared" si="32"/>
        <v>0.90153729489347878</v>
      </c>
      <c r="C103">
        <f t="shared" si="28"/>
        <v>0.90153729489347878</v>
      </c>
      <c r="D103" t="s">
        <v>32</v>
      </c>
      <c r="E103" t="s">
        <v>19</v>
      </c>
      <c r="F103">
        <v>1</v>
      </c>
      <c r="G103">
        <f t="shared" si="33"/>
        <v>50</v>
      </c>
      <c r="I103">
        <v>2100</v>
      </c>
      <c r="J103" t="s">
        <v>25</v>
      </c>
      <c r="K103">
        <f t="shared" si="34"/>
        <v>52.5</v>
      </c>
      <c r="L103" cm="1">
        <f t="array" ref="L103">STOWA2024_NDJF_T(A103*60,K103,I103,J103,"")</f>
        <v>0.38647585660227801</v>
      </c>
      <c r="M103">
        <f t="shared" si="35"/>
        <v>2.5874837532971671</v>
      </c>
    </row>
    <row r="104" spans="1:13" x14ac:dyDescent="0.3">
      <c r="A104">
        <v>192</v>
      </c>
      <c r="B104">
        <f t="shared" si="32"/>
        <v>0.67655850465735168</v>
      </c>
      <c r="C104">
        <f t="shared" si="28"/>
        <v>0.67655850465735168</v>
      </c>
      <c r="D104" t="s">
        <v>32</v>
      </c>
      <c r="E104" t="s">
        <v>19</v>
      </c>
      <c r="F104">
        <v>1</v>
      </c>
      <c r="G104">
        <f t="shared" si="33"/>
        <v>55</v>
      </c>
      <c r="I104">
        <v>2100</v>
      </c>
      <c r="J104" t="s">
        <v>25</v>
      </c>
      <c r="K104">
        <f t="shared" si="34"/>
        <v>57.5</v>
      </c>
      <c r="L104" cm="1">
        <f t="array" ref="L104">STOWA2024_NDJF_T(A104*60,K104,I104,J104,"")</f>
        <v>0.52330670742447605</v>
      </c>
      <c r="M104">
        <f t="shared" si="35"/>
        <v>1.9109252486398154</v>
      </c>
    </row>
    <row r="105" spans="1:13" x14ac:dyDescent="0.3">
      <c r="A105">
        <v>192</v>
      </c>
      <c r="B105">
        <f t="shared" si="32"/>
        <v>0.50569021172650386</v>
      </c>
      <c r="C105">
        <f t="shared" si="28"/>
        <v>0.50569021172650386</v>
      </c>
      <c r="D105" t="s">
        <v>32</v>
      </c>
      <c r="E105" t="s">
        <v>19</v>
      </c>
      <c r="F105">
        <v>1</v>
      </c>
      <c r="G105">
        <f t="shared" si="33"/>
        <v>60</v>
      </c>
      <c r="I105">
        <v>2100</v>
      </c>
      <c r="J105" t="s">
        <v>25</v>
      </c>
      <c r="K105">
        <f t="shared" si="34"/>
        <v>62.5</v>
      </c>
      <c r="L105" cm="1">
        <f t="array" ref="L105">STOWA2024_NDJF_T(A105*60,K105,I105,J105,"")</f>
        <v>0.71162472734565729</v>
      </c>
      <c r="M105">
        <f t="shared" si="35"/>
        <v>1.4052350369133115</v>
      </c>
    </row>
    <row r="106" spans="1:13" x14ac:dyDescent="0.3">
      <c r="A106">
        <v>192</v>
      </c>
      <c r="B106">
        <f t="shared" si="32"/>
        <v>0.3764120520330434</v>
      </c>
      <c r="C106">
        <f t="shared" si="28"/>
        <v>0.3764120520330434</v>
      </c>
      <c r="D106" t="s">
        <v>32</v>
      </c>
      <c r="E106" t="s">
        <v>19</v>
      </c>
      <c r="F106">
        <v>1</v>
      </c>
      <c r="G106">
        <f t="shared" si="33"/>
        <v>65</v>
      </c>
      <c r="I106">
        <v>2100</v>
      </c>
      <c r="J106" t="s">
        <v>25</v>
      </c>
      <c r="K106">
        <f t="shared" si="34"/>
        <v>67.5</v>
      </c>
      <c r="L106" cm="1">
        <f t="array" ref="L106">STOWA2024_NDJF_T(A106*60,K106,I106,J106,"")</f>
        <v>0.97198450529988656</v>
      </c>
      <c r="M106">
        <f t="shared" si="35"/>
        <v>1.0288229848802681</v>
      </c>
    </row>
    <row r="107" spans="1:13" x14ac:dyDescent="0.3">
      <c r="A107">
        <v>192</v>
      </c>
      <c r="B107">
        <f t="shared" si="32"/>
        <v>0.27894398697207656</v>
      </c>
      <c r="C107">
        <f t="shared" si="28"/>
        <v>0.27894398697207656</v>
      </c>
      <c r="D107" t="s">
        <v>32</v>
      </c>
      <c r="E107" t="s">
        <v>19</v>
      </c>
      <c r="F107">
        <v>1</v>
      </c>
      <c r="G107">
        <f t="shared" si="33"/>
        <v>70</v>
      </c>
      <c r="I107">
        <v>2100</v>
      </c>
      <c r="J107" t="s">
        <v>25</v>
      </c>
      <c r="K107">
        <f t="shared" si="34"/>
        <v>72.5</v>
      </c>
      <c r="L107" cm="1">
        <f t="array" ref="L107">STOWA2024_NDJF_T(A107*60,K107,I107,J107,"")</f>
        <v>1.3335484828746078</v>
      </c>
      <c r="M107">
        <f t="shared" si="35"/>
        <v>0.74987899790819157</v>
      </c>
    </row>
    <row r="108" spans="1:13" x14ac:dyDescent="0.3">
      <c r="A108">
        <v>192</v>
      </c>
      <c r="B108">
        <f t="shared" si="32"/>
        <v>0.20589466118898447</v>
      </c>
      <c r="C108">
        <f t="shared" si="28"/>
        <v>0.20589466118898447</v>
      </c>
      <c r="D108" t="s">
        <v>32</v>
      </c>
      <c r="E108" t="s">
        <v>19</v>
      </c>
      <c r="F108">
        <v>1</v>
      </c>
      <c r="G108">
        <f t="shared" si="33"/>
        <v>75</v>
      </c>
      <c r="I108">
        <v>2100</v>
      </c>
      <c r="J108" t="s">
        <v>25</v>
      </c>
      <c r="K108">
        <f t="shared" si="34"/>
        <v>77.5</v>
      </c>
      <c r="L108" cm="1">
        <f t="array" ref="L108">STOWA2024_NDJF_T(A108*60,K108,I108,J108,"")</f>
        <v>1.8382882235746767</v>
      </c>
      <c r="M108">
        <f t="shared" si="35"/>
        <v>0.5439843367192071</v>
      </c>
    </row>
    <row r="109" spans="1:13" x14ac:dyDescent="0.3">
      <c r="A109">
        <v>192</v>
      </c>
      <c r="B109">
        <f t="shared" si="32"/>
        <v>0.15125888760892925</v>
      </c>
      <c r="C109">
        <f t="shared" si="28"/>
        <v>0.15125888760892925</v>
      </c>
      <c r="D109" t="s">
        <v>32</v>
      </c>
      <c r="E109" t="s">
        <v>19</v>
      </c>
      <c r="F109">
        <v>1</v>
      </c>
      <c r="G109">
        <f t="shared" si="33"/>
        <v>80</v>
      </c>
      <c r="I109">
        <v>2100</v>
      </c>
      <c r="J109" t="s">
        <v>25</v>
      </c>
      <c r="K109">
        <f t="shared" si="34"/>
        <v>82.5</v>
      </c>
      <c r="L109" cm="1">
        <f t="array" ref="L109">STOWA2024_NDJF_T(A109*60,K109,I109,J109,"")</f>
        <v>2.5463081199996251</v>
      </c>
      <c r="M109">
        <f t="shared" si="35"/>
        <v>0.39272544911027785</v>
      </c>
    </row>
    <row r="110" spans="1:13" x14ac:dyDescent="0.3">
      <c r="A110">
        <v>192</v>
      </c>
      <c r="B110">
        <f t="shared" si="32"/>
        <v>0.1106005585301203</v>
      </c>
      <c r="C110">
        <f t="shared" si="28"/>
        <v>0.1106005585301203</v>
      </c>
      <c r="D110" t="s">
        <v>32</v>
      </c>
      <c r="E110" t="s">
        <v>19</v>
      </c>
      <c r="F110">
        <v>1</v>
      </c>
      <c r="G110">
        <f t="shared" si="33"/>
        <v>85</v>
      </c>
      <c r="I110">
        <v>2100</v>
      </c>
      <c r="J110" t="s">
        <v>25</v>
      </c>
      <c r="K110">
        <f t="shared" si="34"/>
        <v>87.5</v>
      </c>
      <c r="L110" cm="1">
        <f t="array" ref="L110">STOWA2024_NDJF_T(A110*60,K110,I110,J110,"")</f>
        <v>3.5445295094084557</v>
      </c>
      <c r="M110">
        <f t="shared" si="35"/>
        <v>0.28212489058015755</v>
      </c>
    </row>
    <row r="111" spans="1:13" x14ac:dyDescent="0.3">
      <c r="A111">
        <v>192</v>
      </c>
      <c r="B111">
        <f t="shared" si="32"/>
        <v>8.0486066080469515E-2</v>
      </c>
      <c r="C111">
        <f t="shared" si="28"/>
        <v>8.0486066080469515E-2</v>
      </c>
      <c r="D111" t="s">
        <v>32</v>
      </c>
      <c r="E111" t="s">
        <v>19</v>
      </c>
      <c r="F111">
        <v>1</v>
      </c>
      <c r="G111">
        <f t="shared" si="33"/>
        <v>90</v>
      </c>
      <c r="I111">
        <v>2100</v>
      </c>
      <c r="J111" t="s">
        <v>25</v>
      </c>
      <c r="K111">
        <f t="shared" si="34"/>
        <v>92.5</v>
      </c>
      <c r="L111" cm="1">
        <f t="array" ref="L111">STOWA2024_NDJF_T(A111*60,K111,I111,J111,"")</f>
        <v>4.9593623771673352</v>
      </c>
      <c r="M111">
        <f t="shared" si="35"/>
        <v>0.20163882449968804</v>
      </c>
    </row>
    <row r="112" spans="1:13" x14ac:dyDescent="0.3">
      <c r="A112">
        <v>192</v>
      </c>
      <c r="B112">
        <f t="shared" si="32"/>
        <v>5.8282147581317223E-2</v>
      </c>
      <c r="C112">
        <f t="shared" si="28"/>
        <v>5.8282147581317223E-2</v>
      </c>
      <c r="D112" t="s">
        <v>32</v>
      </c>
      <c r="E112" t="s">
        <v>19</v>
      </c>
      <c r="F112">
        <v>1</v>
      </c>
      <c r="G112">
        <f t="shared" si="33"/>
        <v>95</v>
      </c>
      <c r="I112">
        <v>2100</v>
      </c>
      <c r="J112" t="s">
        <v>25</v>
      </c>
      <c r="K112">
        <f t="shared" si="34"/>
        <v>97.5</v>
      </c>
      <c r="L112" cm="1">
        <f t="array" ref="L112">STOWA2024_NDJF_T(A112*60,K112,I112,J112,"")</f>
        <v>6.9756081230134352</v>
      </c>
      <c r="M112">
        <f t="shared" si="35"/>
        <v>0.14335667691837081</v>
      </c>
    </row>
    <row r="113" spans="1:13" x14ac:dyDescent="0.3">
      <c r="A113">
        <v>192</v>
      </c>
      <c r="B113">
        <f t="shared" si="32"/>
        <v>4.1989690204316255E-2</v>
      </c>
      <c r="C113">
        <f t="shared" si="28"/>
        <v>4.1989690204316255E-2</v>
      </c>
      <c r="D113" t="s">
        <v>32</v>
      </c>
      <c r="E113" t="s">
        <v>19</v>
      </c>
      <c r="F113">
        <v>1</v>
      </c>
      <c r="G113">
        <f t="shared" si="33"/>
        <v>100</v>
      </c>
      <c r="I113">
        <v>2100</v>
      </c>
      <c r="J113" t="s">
        <v>25</v>
      </c>
      <c r="K113">
        <f t="shared" si="34"/>
        <v>102.5</v>
      </c>
      <c r="L113" cm="1">
        <f t="array" ref="L113">STOWA2024_NDJF_T(A113*60,K113,I113,J113,"")</f>
        <v>9.8651447815144504</v>
      </c>
      <c r="M113">
        <f t="shared" si="35"/>
        <v>0.10136698671405456</v>
      </c>
    </row>
    <row r="114" spans="1:13" x14ac:dyDescent="0.3">
      <c r="A114">
        <v>192</v>
      </c>
      <c r="B114">
        <f t="shared" si="32"/>
        <v>3.0091510802157218E-2</v>
      </c>
      <c r="C114">
        <f t="shared" si="28"/>
        <v>3.0091510802157218E-2</v>
      </c>
      <c r="D114" t="s">
        <v>32</v>
      </c>
      <c r="E114" t="s">
        <v>19</v>
      </c>
      <c r="F114">
        <v>1</v>
      </c>
      <c r="G114">
        <f t="shared" si="33"/>
        <v>105</v>
      </c>
      <c r="I114">
        <v>2100</v>
      </c>
      <c r="J114" t="s">
        <v>25</v>
      </c>
      <c r="K114">
        <f t="shared" si="34"/>
        <v>107.5</v>
      </c>
      <c r="L114" cm="1">
        <f t="array" ref="L114">STOWA2024_NDJF_T(A114*60,K114,I114,J114,"")</f>
        <v>14.030071173934868</v>
      </c>
      <c r="M114">
        <f t="shared" si="35"/>
        <v>7.127547591189734E-2</v>
      </c>
    </row>
    <row r="115" spans="1:13" x14ac:dyDescent="0.3">
      <c r="A115">
        <v>192</v>
      </c>
      <c r="B115">
        <f t="shared" si="32"/>
        <v>2.1448788998976322E-2</v>
      </c>
      <c r="C115">
        <f t="shared" si="28"/>
        <v>2.1448788998976322E-2</v>
      </c>
      <c r="D115" t="s">
        <v>32</v>
      </c>
      <c r="E115" t="s">
        <v>19</v>
      </c>
      <c r="F115">
        <v>1</v>
      </c>
      <c r="G115">
        <f t="shared" si="33"/>
        <v>110</v>
      </c>
      <c r="I115">
        <v>2100</v>
      </c>
      <c r="J115" t="s">
        <v>25</v>
      </c>
      <c r="K115">
        <f t="shared" si="34"/>
        <v>112.5</v>
      </c>
      <c r="L115" cm="1">
        <f t="array" ref="L115">STOWA2024_NDJF_T(A115*60,K115,I115,J115,"")</f>
        <v>20.069566370078697</v>
      </c>
      <c r="M115">
        <f t="shared" si="35"/>
        <v>4.9826686912921019E-2</v>
      </c>
    </row>
    <row r="116" spans="1:13" x14ac:dyDescent="0.3">
      <c r="A116">
        <v>192</v>
      </c>
      <c r="B116">
        <f t="shared" si="32"/>
        <v>1.5202378447120357E-2</v>
      </c>
      <c r="C116">
        <f t="shared" si="28"/>
        <v>1.5202378447120357E-2</v>
      </c>
      <c r="D116" t="s">
        <v>32</v>
      </c>
      <c r="E116" t="s">
        <v>19</v>
      </c>
      <c r="F116">
        <v>1</v>
      </c>
      <c r="G116">
        <f t="shared" si="33"/>
        <v>115</v>
      </c>
      <c r="I116">
        <v>2100</v>
      </c>
      <c r="J116" t="s">
        <v>25</v>
      </c>
      <c r="K116">
        <f t="shared" si="34"/>
        <v>117.5</v>
      </c>
      <c r="L116" cm="1">
        <f t="array" ref="L116">STOWA2024_NDJF_T(A116*60,K116,I116,J116,"")</f>
        <v>28.88144324926305</v>
      </c>
      <c r="M116">
        <f t="shared" si="35"/>
        <v>3.4624308465800661E-2</v>
      </c>
    </row>
    <row r="117" spans="1:13" x14ac:dyDescent="0.3">
      <c r="A117">
        <v>192</v>
      </c>
      <c r="B117">
        <f t="shared" si="32"/>
        <v>1.0712703966617776E-2</v>
      </c>
      <c r="C117">
        <f t="shared" si="28"/>
        <v>1.0712703966617776E-2</v>
      </c>
      <c r="D117" t="s">
        <v>32</v>
      </c>
      <c r="E117" t="s">
        <v>19</v>
      </c>
      <c r="F117">
        <v>1</v>
      </c>
      <c r="G117">
        <f t="shared" si="33"/>
        <v>120</v>
      </c>
      <c r="I117">
        <v>2100</v>
      </c>
      <c r="J117" t="s">
        <v>25</v>
      </c>
      <c r="K117">
        <f t="shared" si="34"/>
        <v>122.5</v>
      </c>
      <c r="L117" cm="1">
        <f t="array" ref="L117">STOWA2024_NDJF_T(A117*60,K117,I117,J117,"")</f>
        <v>41.820698399146416</v>
      </c>
      <c r="M117">
        <f t="shared" si="35"/>
        <v>2.3911604499182885E-2</v>
      </c>
    </row>
    <row r="118" spans="1:13" x14ac:dyDescent="0.3">
      <c r="A118">
        <v>192</v>
      </c>
      <c r="B118">
        <f t="shared" si="32"/>
        <v>7.5037585374405219E-3</v>
      </c>
      <c r="C118">
        <f t="shared" si="28"/>
        <v>7.5037585374405219E-3</v>
      </c>
      <c r="D118" t="s">
        <v>32</v>
      </c>
      <c r="E118" t="s">
        <v>19</v>
      </c>
      <c r="F118">
        <v>1</v>
      </c>
      <c r="G118">
        <f t="shared" si="33"/>
        <v>125</v>
      </c>
      <c r="I118">
        <v>2100</v>
      </c>
      <c r="J118" t="s">
        <v>25</v>
      </c>
      <c r="K118">
        <f t="shared" si="34"/>
        <v>127.5</v>
      </c>
      <c r="L118" cm="1">
        <f t="array" ref="L118">STOWA2024_NDJF_T(A118*60,K118,I118,J118,"")</f>
        <v>60.946452223629308</v>
      </c>
      <c r="M118">
        <f t="shared" si="35"/>
        <v>1.6407845961742364E-2</v>
      </c>
    </row>
    <row r="119" spans="1:13" x14ac:dyDescent="0.3">
      <c r="A119">
        <v>192</v>
      </c>
      <c r="B119">
        <f t="shared" si="32"/>
        <v>5.2234769631038791E-3</v>
      </c>
      <c r="C119">
        <f t="shared" si="28"/>
        <v>5.2234769631038791E-3</v>
      </c>
      <c r="D119" t="s">
        <v>32</v>
      </c>
      <c r="E119" t="s">
        <v>19</v>
      </c>
      <c r="F119">
        <v>1</v>
      </c>
      <c r="G119">
        <f t="shared" si="33"/>
        <v>130</v>
      </c>
      <c r="I119">
        <v>2100</v>
      </c>
      <c r="J119" t="s">
        <v>25</v>
      </c>
      <c r="K119">
        <f t="shared" si="34"/>
        <v>132.5</v>
      </c>
      <c r="L119" cm="1">
        <f t="array" ref="L119">STOWA2024_NDJF_T(A119*60,K119,I119,J119,"")</f>
        <v>89.410497822607056</v>
      </c>
      <c r="M119">
        <f t="shared" si="35"/>
        <v>1.1184368998638484E-2</v>
      </c>
    </row>
    <row r="120" spans="1:13" x14ac:dyDescent="0.3">
      <c r="A120">
        <v>192</v>
      </c>
      <c r="B120">
        <f t="shared" si="32"/>
        <v>3.6128640308186587E-3</v>
      </c>
      <c r="C120">
        <f t="shared" si="28"/>
        <v>3.6128640308186587E-3</v>
      </c>
      <c r="D120" t="s">
        <v>32</v>
      </c>
      <c r="E120" t="s">
        <v>19</v>
      </c>
      <c r="F120">
        <v>1</v>
      </c>
      <c r="G120">
        <f t="shared" si="33"/>
        <v>135</v>
      </c>
      <c r="I120">
        <v>2100</v>
      </c>
      <c r="J120" t="s">
        <v>25</v>
      </c>
      <c r="K120">
        <f t="shared" si="34"/>
        <v>137.5</v>
      </c>
      <c r="L120" cm="1">
        <f t="array" ref="L120">STOWA2024_NDJF_T(A120*60,K120,I120,J120,"")</f>
        <v>132.07413905824123</v>
      </c>
      <c r="M120">
        <f t="shared" si="35"/>
        <v>7.5715049678198258E-3</v>
      </c>
    </row>
    <row r="121" spans="1:13" x14ac:dyDescent="0.3">
      <c r="A121">
        <v>192</v>
      </c>
      <c r="B121">
        <f t="shared" si="32"/>
        <v>2.4822120336698882E-3</v>
      </c>
      <c r="C121">
        <f t="shared" si="28"/>
        <v>2.4822120336698882E-3</v>
      </c>
      <c r="D121" t="s">
        <v>32</v>
      </c>
      <c r="E121" t="s">
        <v>19</v>
      </c>
      <c r="F121">
        <v>1</v>
      </c>
      <c r="G121">
        <f t="shared" si="33"/>
        <v>140</v>
      </c>
      <c r="I121">
        <v>2100</v>
      </c>
      <c r="J121" t="s">
        <v>25</v>
      </c>
      <c r="K121">
        <f t="shared" si="34"/>
        <v>142.5</v>
      </c>
      <c r="L121" cm="1">
        <f t="array" ref="L121">STOWA2024_NDJF_T(A121*60,K121,I121,J121,"")</f>
        <v>196.4909493202575</v>
      </c>
      <c r="M121">
        <f t="shared" si="35"/>
        <v>5.0892929341499376E-3</v>
      </c>
    </row>
    <row r="122" spans="1:13" x14ac:dyDescent="0.3">
      <c r="A122">
        <v>192</v>
      </c>
      <c r="B122">
        <f t="shared" si="32"/>
        <v>1.693650942908517E-3</v>
      </c>
      <c r="C122">
        <f t="shared" si="28"/>
        <v>1.693650942908517E-3</v>
      </c>
      <c r="D122" t="s">
        <v>32</v>
      </c>
      <c r="E122" t="s">
        <v>19</v>
      </c>
      <c r="F122">
        <v>1</v>
      </c>
      <c r="G122">
        <f t="shared" si="33"/>
        <v>145</v>
      </c>
      <c r="I122">
        <v>2100</v>
      </c>
      <c r="J122" t="s">
        <v>25</v>
      </c>
      <c r="K122">
        <f t="shared" si="34"/>
        <v>147.5</v>
      </c>
      <c r="L122" cm="1">
        <f t="array" ref="L122">STOWA2024_NDJF_T(A122*60,K122,I122,J122,"")</f>
        <v>294.49512126995688</v>
      </c>
      <c r="M122">
        <f t="shared" si="35"/>
        <v>3.3956419912414206E-3</v>
      </c>
    </row>
    <row r="123" spans="1:13" x14ac:dyDescent="0.3">
      <c r="A123">
        <v>192</v>
      </c>
      <c r="B123">
        <f t="shared" si="32"/>
        <v>1.1473447114109048E-3</v>
      </c>
      <c r="C123">
        <f t="shared" si="28"/>
        <v>1.1473447114109048E-3</v>
      </c>
      <c r="D123" t="s">
        <v>32</v>
      </c>
      <c r="E123" t="s">
        <v>19</v>
      </c>
      <c r="F123">
        <v>1</v>
      </c>
      <c r="G123">
        <f t="shared" si="33"/>
        <v>150</v>
      </c>
      <c r="I123">
        <v>2100</v>
      </c>
      <c r="J123" t="s">
        <v>25</v>
      </c>
      <c r="K123">
        <f t="shared" si="34"/>
        <v>152.5</v>
      </c>
      <c r="L123" cm="1">
        <f t="array" ref="L123">STOWA2024_NDJF_T(A123*60,K123,I123,J123,"")</f>
        <v>444.78103895379149</v>
      </c>
      <c r="M123">
        <f t="shared" si="35"/>
        <v>2.2482972798305158E-3</v>
      </c>
    </row>
    <row r="124" spans="1:13" x14ac:dyDescent="0.3">
      <c r="A124">
        <v>192</v>
      </c>
      <c r="B124">
        <f t="shared" si="32"/>
        <v>7.7149763381403934E-4</v>
      </c>
      <c r="C124">
        <f t="shared" si="28"/>
        <v>7.7149763381403934E-4</v>
      </c>
      <c r="D124" t="s">
        <v>32</v>
      </c>
      <c r="E124" t="s">
        <v>19</v>
      </c>
      <c r="F124">
        <v>1</v>
      </c>
      <c r="G124">
        <f t="shared" si="33"/>
        <v>155</v>
      </c>
      <c r="I124">
        <v>2100</v>
      </c>
      <c r="J124" t="s">
        <v>25</v>
      </c>
      <c r="K124">
        <f t="shared" si="34"/>
        <v>157.5</v>
      </c>
      <c r="L124" cm="1">
        <f t="array" ref="L124">STOWA2024_NDJF_T(A124*60,K124,I124,J124,"")</f>
        <v>677.139923954751</v>
      </c>
      <c r="M124">
        <f t="shared" si="35"/>
        <v>1.4767996460164764E-3</v>
      </c>
    </row>
    <row r="125" spans="1:13" x14ac:dyDescent="0.3">
      <c r="A125">
        <v>192</v>
      </c>
      <c r="B125" s="1">
        <f>M124</f>
        <v>1.4767996460164764E-3</v>
      </c>
      <c r="C125">
        <f t="shared" si="28"/>
        <v>1.4767996460164764E-3</v>
      </c>
      <c r="D125" t="s">
        <v>32</v>
      </c>
      <c r="E125" t="s">
        <v>19</v>
      </c>
      <c r="F125">
        <v>1</v>
      </c>
      <c r="G125">
        <f t="shared" si="33"/>
        <v>160</v>
      </c>
      <c r="I125">
        <v>2100</v>
      </c>
      <c r="J125" t="s">
        <v>25</v>
      </c>
      <c r="K125">
        <f>AVERAGE(G125:G126)</f>
        <v>85</v>
      </c>
      <c r="L125" cm="1">
        <f t="array" ref="L125">STOWA2024_NDJF_T(A125*60,K125,I125,J125,"")</f>
        <v>3.0023393018830205</v>
      </c>
      <c r="M125">
        <f>1/L125</f>
        <v>0.33307361342297842</v>
      </c>
    </row>
    <row r="126" spans="1:13" x14ac:dyDescent="0.3">
      <c r="A126">
        <v>216</v>
      </c>
      <c r="B126" s="1">
        <f>365.25*24/A126 - M126</f>
        <v>19.096782395742242</v>
      </c>
      <c r="C126">
        <f>B126</f>
        <v>19.096782395742242</v>
      </c>
      <c r="D126" t="s">
        <v>32</v>
      </c>
      <c r="E126" t="s">
        <v>19</v>
      </c>
      <c r="F126">
        <v>1</v>
      </c>
      <c r="G126">
        <v>10</v>
      </c>
      <c r="I126">
        <v>2100</v>
      </c>
      <c r="J126" t="s">
        <v>25</v>
      </c>
      <c r="K126">
        <f>AVERAGE(G126:G128)</f>
        <v>15</v>
      </c>
      <c r="L126" cm="1">
        <f t="array" ref="L126">STOWA2024_NDJF_T(A126*60,K126,I126,J126,"")</f>
        <v>4.6540740899018961E-2</v>
      </c>
      <c r="M126">
        <f>1/L126</f>
        <v>21.486550937591094</v>
      </c>
    </row>
    <row r="127" spans="1:13" x14ac:dyDescent="0.3">
      <c r="A127">
        <v>216</v>
      </c>
      <c r="B127">
        <f t="shared" ref="B127:B131" si="36">M126-M127</f>
        <v>2.4808460238270733</v>
      </c>
      <c r="C127">
        <f t="shared" ref="C127:C156" si="37">B127</f>
        <v>2.4808460238270733</v>
      </c>
      <c r="D127" t="s">
        <v>32</v>
      </c>
      <c r="E127" t="s">
        <v>19</v>
      </c>
      <c r="F127">
        <v>1</v>
      </c>
      <c r="G127">
        <f t="shared" ref="G127:G131" si="38">G126+5</f>
        <v>15</v>
      </c>
      <c r="I127">
        <v>2100</v>
      </c>
      <c r="J127" t="s">
        <v>25</v>
      </c>
      <c r="K127">
        <f t="shared" ref="K127:K131" si="39">AVERAGE(G127:G128)</f>
        <v>17.5</v>
      </c>
      <c r="L127" cm="1">
        <f t="array" ref="L127">STOWA2024_NDJF_T(A127*60,K127,I127,J127,"")</f>
        <v>5.2615780605737766E-2</v>
      </c>
      <c r="M127">
        <f t="shared" ref="M127:M131" si="40">1/L127</f>
        <v>19.005704913764021</v>
      </c>
    </row>
    <row r="128" spans="1:13" x14ac:dyDescent="0.3">
      <c r="A128">
        <v>216</v>
      </c>
      <c r="B128">
        <f t="shared" si="36"/>
        <v>4.1783101052167204</v>
      </c>
      <c r="C128">
        <f t="shared" si="37"/>
        <v>4.1783101052167204</v>
      </c>
      <c r="D128" t="s">
        <v>32</v>
      </c>
      <c r="E128" t="s">
        <v>19</v>
      </c>
      <c r="F128">
        <v>1</v>
      </c>
      <c r="G128">
        <f t="shared" si="38"/>
        <v>20</v>
      </c>
      <c r="I128">
        <v>2100</v>
      </c>
      <c r="J128" t="s">
        <v>25</v>
      </c>
      <c r="K128">
        <f t="shared" si="39"/>
        <v>22.5</v>
      </c>
      <c r="L128" cm="1">
        <f t="array" ref="L128">STOWA2024_NDJF_T(A128*60,K128,I128,J128,"")</f>
        <v>6.7442731033475062E-2</v>
      </c>
      <c r="M128">
        <f t="shared" si="40"/>
        <v>14.8273948085473</v>
      </c>
    </row>
    <row r="129" spans="1:13" x14ac:dyDescent="0.3">
      <c r="A129">
        <v>216</v>
      </c>
      <c r="B129">
        <f t="shared" si="36"/>
        <v>3.3052989900720249</v>
      </c>
      <c r="C129">
        <f t="shared" si="37"/>
        <v>3.3052989900720249</v>
      </c>
      <c r="D129" t="s">
        <v>32</v>
      </c>
      <c r="E129" t="s">
        <v>19</v>
      </c>
      <c r="F129">
        <v>1</v>
      </c>
      <c r="G129">
        <f t="shared" si="38"/>
        <v>25</v>
      </c>
      <c r="I129">
        <v>2100</v>
      </c>
      <c r="J129" t="s">
        <v>25</v>
      </c>
      <c r="K129">
        <f t="shared" si="39"/>
        <v>27.5</v>
      </c>
      <c r="L129" cm="1">
        <f t="array" ref="L129">STOWA2024_NDJF_T(A129*60,K129,I129,J129,"")</f>
        <v>8.6789766007372995E-2</v>
      </c>
      <c r="M129">
        <f t="shared" si="40"/>
        <v>11.522095818475275</v>
      </c>
    </row>
    <row r="130" spans="1:13" x14ac:dyDescent="0.3">
      <c r="A130">
        <v>216</v>
      </c>
      <c r="B130">
        <f t="shared" si="36"/>
        <v>2.6048815761804764</v>
      </c>
      <c r="C130">
        <f t="shared" si="37"/>
        <v>2.6048815761804764</v>
      </c>
      <c r="D130" t="s">
        <v>32</v>
      </c>
      <c r="E130" t="s">
        <v>19</v>
      </c>
      <c r="F130">
        <v>1</v>
      </c>
      <c r="G130">
        <f t="shared" si="38"/>
        <v>30</v>
      </c>
      <c r="I130">
        <v>2100</v>
      </c>
      <c r="J130" t="s">
        <v>25</v>
      </c>
      <c r="K130">
        <f t="shared" si="39"/>
        <v>32.5</v>
      </c>
      <c r="L130" cm="1">
        <f t="array" ref="L130">STOWA2024_NDJF_T(A130*60,K130,I130,J130,"")</f>
        <v>0.11214264599104834</v>
      </c>
      <c r="M130">
        <f t="shared" si="40"/>
        <v>8.9172142422947989</v>
      </c>
    </row>
    <row r="131" spans="1:13" x14ac:dyDescent="0.3">
      <c r="A131">
        <v>216</v>
      </c>
      <c r="B131">
        <f t="shared" si="36"/>
        <v>2.0449410931880374</v>
      </c>
      <c r="C131">
        <f t="shared" si="37"/>
        <v>2.0449410931880374</v>
      </c>
      <c r="D131" t="s">
        <v>32</v>
      </c>
      <c r="E131" t="s">
        <v>19</v>
      </c>
      <c r="F131">
        <v>1</v>
      </c>
      <c r="G131">
        <f t="shared" si="38"/>
        <v>35</v>
      </c>
      <c r="I131">
        <v>2100</v>
      </c>
      <c r="J131" t="s">
        <v>25</v>
      </c>
      <c r="K131">
        <f t="shared" si="39"/>
        <v>37.5</v>
      </c>
      <c r="L131" cm="1">
        <f t="array" ref="L131">STOWA2024_NDJF_T(A131*60,K131,I131,J131,"")</f>
        <v>0.14551226039814455</v>
      </c>
      <c r="M131">
        <f t="shared" si="40"/>
        <v>6.8722731491067615</v>
      </c>
    </row>
    <row r="132" spans="1:13" x14ac:dyDescent="0.3">
      <c r="A132">
        <v>216</v>
      </c>
      <c r="B132">
        <f>M131-M132</f>
        <v>1.5989889728780682</v>
      </c>
      <c r="C132">
        <f t="shared" si="37"/>
        <v>1.5989889728780682</v>
      </c>
      <c r="D132" t="s">
        <v>32</v>
      </c>
      <c r="E132" t="s">
        <v>19</v>
      </c>
      <c r="F132">
        <v>1</v>
      </c>
      <c r="G132">
        <f>G131+5</f>
        <v>40</v>
      </c>
      <c r="I132">
        <v>2100</v>
      </c>
      <c r="J132" t="s">
        <v>25</v>
      </c>
      <c r="K132">
        <f>AVERAGE(G132:G133)</f>
        <v>42.5</v>
      </c>
      <c r="L132" cm="1">
        <f t="array" ref="L132">STOWA2024_NDJF_T(A132*60,K132,I132,J132,"")</f>
        <v>0.18963514322021088</v>
      </c>
      <c r="M132">
        <f>1/L132</f>
        <v>5.2732841762286933</v>
      </c>
    </row>
    <row r="133" spans="1:13" x14ac:dyDescent="0.3">
      <c r="A133">
        <v>216</v>
      </c>
      <c r="B133">
        <f t="shared" ref="B133:B155" si="41">M132-M133</f>
        <v>1.245056859641835</v>
      </c>
      <c r="C133">
        <f t="shared" si="37"/>
        <v>1.245056859641835</v>
      </c>
      <c r="D133" t="s">
        <v>32</v>
      </c>
      <c r="E133" t="s">
        <v>19</v>
      </c>
      <c r="F133">
        <v>1</v>
      </c>
      <c r="G133">
        <f t="shared" ref="G133:G156" si="42">G132+5</f>
        <v>45</v>
      </c>
      <c r="I133">
        <v>2100</v>
      </c>
      <c r="J133" t="s">
        <v>25</v>
      </c>
      <c r="K133">
        <f t="shared" ref="K133:K155" si="43">AVERAGE(G133:G134)</f>
        <v>47.5</v>
      </c>
      <c r="L133" cm="1">
        <f t="array" ref="L133">STOWA2024_NDJF_T(A133*60,K133,I133,J133,"")</f>
        <v>0.24824815518288726</v>
      </c>
      <c r="M133">
        <f t="shared" ref="M133:M155" si="44">1/L133</f>
        <v>4.0282273165868583</v>
      </c>
    </row>
    <row r="134" spans="1:13" x14ac:dyDescent="0.3">
      <c r="A134">
        <v>216</v>
      </c>
      <c r="B134">
        <f t="shared" si="41"/>
        <v>0.96535922321760248</v>
      </c>
      <c r="C134">
        <f t="shared" si="37"/>
        <v>0.96535922321760248</v>
      </c>
      <c r="D134" t="s">
        <v>32</v>
      </c>
      <c r="E134" t="s">
        <v>19</v>
      </c>
      <c r="F134">
        <v>1</v>
      </c>
      <c r="G134">
        <f t="shared" si="42"/>
        <v>50</v>
      </c>
      <c r="I134">
        <v>2100</v>
      </c>
      <c r="J134" t="s">
        <v>25</v>
      </c>
      <c r="K134">
        <f t="shared" si="43"/>
        <v>52.5</v>
      </c>
      <c r="L134" cm="1">
        <f t="array" ref="L134">STOWA2024_NDJF_T(A134*60,K134,I134,J134,"")</f>
        <v>0.326491370021739</v>
      </c>
      <c r="M134">
        <f t="shared" si="44"/>
        <v>3.0628680933692558</v>
      </c>
    </row>
    <row r="135" spans="1:13" x14ac:dyDescent="0.3">
      <c r="A135">
        <v>216</v>
      </c>
      <c r="B135">
        <f t="shared" si="41"/>
        <v>0.74520534403526328</v>
      </c>
      <c r="C135">
        <f t="shared" si="37"/>
        <v>0.74520534403526328</v>
      </c>
      <c r="D135" t="s">
        <v>32</v>
      </c>
      <c r="E135" t="s">
        <v>19</v>
      </c>
      <c r="F135">
        <v>1</v>
      </c>
      <c r="G135">
        <f t="shared" si="42"/>
        <v>55</v>
      </c>
      <c r="I135">
        <v>2100</v>
      </c>
      <c r="J135" t="s">
        <v>25</v>
      </c>
      <c r="K135">
        <f t="shared" si="43"/>
        <v>57.5</v>
      </c>
      <c r="L135" cm="1">
        <f t="array" ref="L135">STOWA2024_NDJF_T(A135*60,K135,I135,J135,"")</f>
        <v>0.43146916016463638</v>
      </c>
      <c r="M135">
        <f t="shared" si="44"/>
        <v>2.3176627493339925</v>
      </c>
    </row>
    <row r="136" spans="1:13" x14ac:dyDescent="0.3">
      <c r="A136">
        <v>216</v>
      </c>
      <c r="B136">
        <f t="shared" si="41"/>
        <v>0.57260674433512682</v>
      </c>
      <c r="C136">
        <f t="shared" si="37"/>
        <v>0.57260674433512682</v>
      </c>
      <c r="D136" t="s">
        <v>32</v>
      </c>
      <c r="E136" t="s">
        <v>19</v>
      </c>
      <c r="F136">
        <v>1</v>
      </c>
      <c r="G136">
        <f t="shared" si="42"/>
        <v>60</v>
      </c>
      <c r="I136">
        <v>2100</v>
      </c>
      <c r="J136" t="s">
        <v>25</v>
      </c>
      <c r="K136">
        <f t="shared" si="43"/>
        <v>62.5</v>
      </c>
      <c r="L136" cm="1">
        <f t="array" ref="L136">STOWA2024_NDJF_T(A136*60,K136,I136,J136,"")</f>
        <v>0.57304751087381289</v>
      </c>
      <c r="M136">
        <f t="shared" si="44"/>
        <v>1.7450560049988657</v>
      </c>
    </row>
    <row r="137" spans="1:13" x14ac:dyDescent="0.3">
      <c r="A137">
        <v>216</v>
      </c>
      <c r="B137">
        <f t="shared" si="41"/>
        <v>0.4379147540944559</v>
      </c>
      <c r="C137">
        <f t="shared" si="37"/>
        <v>0.4379147540944559</v>
      </c>
      <c r="D137" t="s">
        <v>32</v>
      </c>
      <c r="E137" t="s">
        <v>19</v>
      </c>
      <c r="F137">
        <v>1</v>
      </c>
      <c r="G137">
        <f t="shared" si="42"/>
        <v>65</v>
      </c>
      <c r="I137">
        <v>2100</v>
      </c>
      <c r="J137" t="s">
        <v>25</v>
      </c>
      <c r="K137">
        <f t="shared" si="43"/>
        <v>67.5</v>
      </c>
      <c r="L137" cm="1">
        <f t="array" ref="L137">STOWA2024_NDJF_T(A137*60,K137,I137,J137,"")</f>
        <v>0.76502826248356937</v>
      </c>
      <c r="M137">
        <f t="shared" si="44"/>
        <v>1.3071412509044098</v>
      </c>
    </row>
    <row r="138" spans="1:13" x14ac:dyDescent="0.3">
      <c r="A138">
        <v>216</v>
      </c>
      <c r="B138">
        <f t="shared" si="41"/>
        <v>0.33317984909210963</v>
      </c>
      <c r="C138">
        <f t="shared" si="37"/>
        <v>0.33317984909210963</v>
      </c>
      <c r="D138" t="s">
        <v>32</v>
      </c>
      <c r="E138" t="s">
        <v>19</v>
      </c>
      <c r="F138">
        <v>1</v>
      </c>
      <c r="G138">
        <f t="shared" si="42"/>
        <v>70</v>
      </c>
      <c r="I138">
        <v>2100</v>
      </c>
      <c r="J138" t="s">
        <v>25</v>
      </c>
      <c r="K138">
        <f t="shared" si="43"/>
        <v>72.5</v>
      </c>
      <c r="L138" cm="1">
        <f t="array" ref="L138">STOWA2024_NDJF_T(A138*60,K138,I138,J138,"")</f>
        <v>1.0267347331621648</v>
      </c>
      <c r="M138">
        <f t="shared" si="44"/>
        <v>0.97396140181230018</v>
      </c>
    </row>
    <row r="139" spans="1:13" x14ac:dyDescent="0.3">
      <c r="A139">
        <v>216</v>
      </c>
      <c r="B139">
        <f t="shared" si="41"/>
        <v>0.25232832998505517</v>
      </c>
      <c r="C139">
        <f t="shared" si="37"/>
        <v>0.25232832998505517</v>
      </c>
      <c r="D139" t="s">
        <v>32</v>
      </c>
      <c r="E139" t="s">
        <v>19</v>
      </c>
      <c r="F139">
        <v>1</v>
      </c>
      <c r="G139">
        <f t="shared" si="42"/>
        <v>75</v>
      </c>
      <c r="I139">
        <v>2100</v>
      </c>
      <c r="J139" t="s">
        <v>25</v>
      </c>
      <c r="K139">
        <f t="shared" si="43"/>
        <v>77.5</v>
      </c>
      <c r="L139" cm="1">
        <f t="array" ref="L139">STOWA2024_NDJF_T(A139*60,K139,I139,J139,"")</f>
        <v>1.3857458021815754</v>
      </c>
      <c r="M139">
        <f t="shared" si="44"/>
        <v>0.72163307182724501</v>
      </c>
    </row>
    <row r="140" spans="1:13" x14ac:dyDescent="0.3">
      <c r="A140">
        <v>216</v>
      </c>
      <c r="B140">
        <f t="shared" si="41"/>
        <v>0.19003196743208184</v>
      </c>
      <c r="C140">
        <f t="shared" si="37"/>
        <v>0.19003196743208184</v>
      </c>
      <c r="D140" t="s">
        <v>32</v>
      </c>
      <c r="E140" t="s">
        <v>19</v>
      </c>
      <c r="F140">
        <v>1</v>
      </c>
      <c r="G140">
        <f t="shared" si="42"/>
        <v>80</v>
      </c>
      <c r="I140">
        <v>2100</v>
      </c>
      <c r="J140" t="s">
        <v>25</v>
      </c>
      <c r="K140">
        <f t="shared" si="43"/>
        <v>82.5</v>
      </c>
      <c r="L140" cm="1">
        <f t="array" ref="L140">STOWA2024_NDJF_T(A140*60,K140,I140,J140,"")</f>
        <v>1.8811097112707551</v>
      </c>
      <c r="M140">
        <f t="shared" si="44"/>
        <v>0.53160110439516317</v>
      </c>
    </row>
    <row r="141" spans="1:13" x14ac:dyDescent="0.3">
      <c r="A141">
        <v>216</v>
      </c>
      <c r="B141">
        <f t="shared" si="41"/>
        <v>0.142334488883962</v>
      </c>
      <c r="C141">
        <f t="shared" si="37"/>
        <v>0.142334488883962</v>
      </c>
      <c r="D141" t="s">
        <v>32</v>
      </c>
      <c r="E141" t="s">
        <v>19</v>
      </c>
      <c r="F141">
        <v>1</v>
      </c>
      <c r="G141">
        <f t="shared" si="42"/>
        <v>85</v>
      </c>
      <c r="I141">
        <v>2100</v>
      </c>
      <c r="J141" t="s">
        <v>25</v>
      </c>
      <c r="K141">
        <f t="shared" si="43"/>
        <v>87.5</v>
      </c>
      <c r="L141" cm="1">
        <f t="array" ref="L141">STOWA2024_NDJF_T(A141*60,K141,I141,J141,"")</f>
        <v>2.5689333740751392</v>
      </c>
      <c r="M141">
        <f t="shared" si="44"/>
        <v>0.38926661551120117</v>
      </c>
    </row>
    <row r="142" spans="1:13" x14ac:dyDescent="0.3">
      <c r="A142">
        <v>216</v>
      </c>
      <c r="B142">
        <f t="shared" si="41"/>
        <v>0.1059963536691913</v>
      </c>
      <c r="C142">
        <f t="shared" si="37"/>
        <v>0.1059963536691913</v>
      </c>
      <c r="D142" t="s">
        <v>32</v>
      </c>
      <c r="E142" t="s">
        <v>19</v>
      </c>
      <c r="F142">
        <v>1</v>
      </c>
      <c r="G142">
        <f t="shared" si="42"/>
        <v>90</v>
      </c>
      <c r="I142">
        <v>2100</v>
      </c>
      <c r="J142" t="s">
        <v>25</v>
      </c>
      <c r="K142">
        <f t="shared" si="43"/>
        <v>92.5</v>
      </c>
      <c r="L142" cm="1">
        <f t="array" ref="L142">STOWA2024_NDJF_T(A142*60,K142,I142,J142,"")</f>
        <v>3.5301976052739921</v>
      </c>
      <c r="M142">
        <f t="shared" si="44"/>
        <v>0.28327026184200987</v>
      </c>
    </row>
    <row r="143" spans="1:13" x14ac:dyDescent="0.3">
      <c r="A143">
        <v>216</v>
      </c>
      <c r="B143">
        <f t="shared" si="41"/>
        <v>7.8468430072805739E-2</v>
      </c>
      <c r="C143">
        <f t="shared" si="37"/>
        <v>7.8468430072805739E-2</v>
      </c>
      <c r="D143" t="s">
        <v>32</v>
      </c>
      <c r="E143" t="s">
        <v>19</v>
      </c>
      <c r="F143">
        <v>1</v>
      </c>
      <c r="G143">
        <f t="shared" si="42"/>
        <v>95</v>
      </c>
      <c r="I143">
        <v>2100</v>
      </c>
      <c r="J143" t="s">
        <v>25</v>
      </c>
      <c r="K143">
        <f t="shared" si="43"/>
        <v>97.5</v>
      </c>
      <c r="L143" cm="1">
        <f t="array" ref="L143">STOWA2024_NDJF_T(A143*60,K143,I143,J143,"")</f>
        <v>4.8827688276095245</v>
      </c>
      <c r="M143">
        <f t="shared" si="44"/>
        <v>0.20480183176920413</v>
      </c>
    </row>
    <row r="144" spans="1:13" x14ac:dyDescent="0.3">
      <c r="A144">
        <v>216</v>
      </c>
      <c r="B144">
        <f t="shared" si="41"/>
        <v>5.7731559609901117E-2</v>
      </c>
      <c r="C144">
        <f t="shared" si="37"/>
        <v>5.7731559609901117E-2</v>
      </c>
      <c r="D144" t="s">
        <v>32</v>
      </c>
      <c r="E144" t="s">
        <v>19</v>
      </c>
      <c r="F144">
        <v>1</v>
      </c>
      <c r="G144">
        <f t="shared" si="42"/>
        <v>100</v>
      </c>
      <c r="I144">
        <v>2100</v>
      </c>
      <c r="J144" t="s">
        <v>25</v>
      </c>
      <c r="K144">
        <f t="shared" si="43"/>
        <v>102.5</v>
      </c>
      <c r="L144" cm="1">
        <f t="array" ref="L144">STOWA2024_NDJF_T(A144*60,K144,I144,J144,"")</f>
        <v>6.7994706565635763</v>
      </c>
      <c r="M144">
        <f t="shared" si="44"/>
        <v>0.14707027215930302</v>
      </c>
    </row>
    <row r="145" spans="1:13" x14ac:dyDescent="0.3">
      <c r="A145">
        <v>216</v>
      </c>
      <c r="B145">
        <f t="shared" si="41"/>
        <v>4.219996195810384E-2</v>
      </c>
      <c r="C145">
        <f t="shared" si="37"/>
        <v>4.219996195810384E-2</v>
      </c>
      <c r="D145" t="s">
        <v>32</v>
      </c>
      <c r="E145" t="s">
        <v>19</v>
      </c>
      <c r="F145">
        <v>1</v>
      </c>
      <c r="G145">
        <f t="shared" si="42"/>
        <v>105</v>
      </c>
      <c r="I145">
        <v>2100</v>
      </c>
      <c r="J145" t="s">
        <v>25</v>
      </c>
      <c r="K145">
        <f t="shared" si="43"/>
        <v>107.5</v>
      </c>
      <c r="L145" cm="1">
        <f t="array" ref="L145">STOWA2024_NDJF_T(A145*60,K145,I145,J145,"")</f>
        <v>9.5355873181022126</v>
      </c>
      <c r="M145">
        <f t="shared" si="44"/>
        <v>0.10487031020119918</v>
      </c>
    </row>
    <row r="146" spans="1:13" x14ac:dyDescent="0.3">
      <c r="A146">
        <v>216</v>
      </c>
      <c r="B146">
        <f t="shared" si="41"/>
        <v>3.0639126782798343E-2</v>
      </c>
      <c r="C146">
        <f t="shared" si="37"/>
        <v>3.0639126782798343E-2</v>
      </c>
      <c r="D146" t="s">
        <v>32</v>
      </c>
      <c r="E146" t="s">
        <v>19</v>
      </c>
      <c r="F146">
        <v>1</v>
      </c>
      <c r="G146">
        <f t="shared" si="42"/>
        <v>110</v>
      </c>
      <c r="I146">
        <v>2100</v>
      </c>
      <c r="J146" t="s">
        <v>25</v>
      </c>
      <c r="K146">
        <f t="shared" si="43"/>
        <v>112.5</v>
      </c>
      <c r="L146" cm="1">
        <f t="array" ref="L146">STOWA2024_NDJF_T(A146*60,K146,I146,J146,"")</f>
        <v>13.471427423749175</v>
      </c>
      <c r="M146">
        <f t="shared" si="44"/>
        <v>7.4231183418400834E-2</v>
      </c>
    </row>
    <row r="147" spans="1:13" x14ac:dyDescent="0.3">
      <c r="A147">
        <v>216</v>
      </c>
      <c r="B147">
        <f t="shared" si="41"/>
        <v>2.2090703448069689E-2</v>
      </c>
      <c r="C147">
        <f t="shared" si="37"/>
        <v>2.2090703448069689E-2</v>
      </c>
      <c r="D147" t="s">
        <v>32</v>
      </c>
      <c r="E147" t="s">
        <v>19</v>
      </c>
      <c r="F147">
        <v>1</v>
      </c>
      <c r="G147">
        <f t="shared" si="42"/>
        <v>115</v>
      </c>
      <c r="I147">
        <v>2100</v>
      </c>
      <c r="J147" t="s">
        <v>25</v>
      </c>
      <c r="K147">
        <f t="shared" si="43"/>
        <v>117.5</v>
      </c>
      <c r="L147" cm="1">
        <f t="array" ref="L147">STOWA2024_NDJF_T(A147*60,K147,I147,J147,"")</f>
        <v>19.178956552931957</v>
      </c>
      <c r="M147">
        <f t="shared" si="44"/>
        <v>5.2140479970331145E-2</v>
      </c>
    </row>
    <row r="148" spans="1:13" x14ac:dyDescent="0.3">
      <c r="A148">
        <v>216</v>
      </c>
      <c r="B148">
        <f t="shared" si="41"/>
        <v>1.5809631182408662E-2</v>
      </c>
      <c r="C148">
        <f t="shared" si="37"/>
        <v>1.5809631182408662E-2</v>
      </c>
      <c r="D148" t="s">
        <v>32</v>
      </c>
      <c r="E148" t="s">
        <v>19</v>
      </c>
      <c r="F148">
        <v>1</v>
      </c>
      <c r="G148">
        <f t="shared" si="42"/>
        <v>120</v>
      </c>
      <c r="I148">
        <v>2100</v>
      </c>
      <c r="J148" t="s">
        <v>25</v>
      </c>
      <c r="K148">
        <f t="shared" si="43"/>
        <v>122.5</v>
      </c>
      <c r="L148" cm="1">
        <f t="array" ref="L148">STOWA2024_NDJF_T(A148*60,K148,I148,J148,"")</f>
        <v>27.524817981473404</v>
      </c>
      <c r="M148">
        <f t="shared" si="44"/>
        <v>3.6330848787922483E-2</v>
      </c>
    </row>
    <row r="149" spans="1:13" x14ac:dyDescent="0.3">
      <c r="A149">
        <v>216</v>
      </c>
      <c r="B149">
        <f t="shared" si="41"/>
        <v>1.1228200877982313E-2</v>
      </c>
      <c r="C149">
        <f t="shared" si="37"/>
        <v>1.1228200877982313E-2</v>
      </c>
      <c r="D149" t="s">
        <v>32</v>
      </c>
      <c r="E149" t="s">
        <v>19</v>
      </c>
      <c r="F149">
        <v>1</v>
      </c>
      <c r="G149">
        <f t="shared" si="42"/>
        <v>125</v>
      </c>
      <c r="I149">
        <v>2100</v>
      </c>
      <c r="J149" t="s">
        <v>25</v>
      </c>
      <c r="K149">
        <f t="shared" si="43"/>
        <v>127.5</v>
      </c>
      <c r="L149" cm="1">
        <f t="array" ref="L149">STOWA2024_NDJF_T(A149*60,K149,I149,J149,"")</f>
        <v>39.836434928604447</v>
      </c>
      <c r="M149">
        <f t="shared" si="44"/>
        <v>2.5102647909940171E-2</v>
      </c>
    </row>
    <row r="150" spans="1:13" x14ac:dyDescent="0.3">
      <c r="A150">
        <v>216</v>
      </c>
      <c r="B150">
        <f t="shared" si="41"/>
        <v>7.9101766631796168E-3</v>
      </c>
      <c r="C150">
        <f t="shared" si="37"/>
        <v>7.9101766631796168E-3</v>
      </c>
      <c r="D150" t="s">
        <v>32</v>
      </c>
      <c r="E150" t="s">
        <v>19</v>
      </c>
      <c r="F150">
        <v>1</v>
      </c>
      <c r="G150">
        <f t="shared" si="42"/>
        <v>130</v>
      </c>
      <c r="I150">
        <v>2100</v>
      </c>
      <c r="J150" t="s">
        <v>25</v>
      </c>
      <c r="K150">
        <f t="shared" si="43"/>
        <v>132.5</v>
      </c>
      <c r="L150" cm="1">
        <f t="array" ref="L150">STOWA2024_NDJF_T(A150*60,K150,I150,J150,"")</f>
        <v>58.164994761205278</v>
      </c>
      <c r="M150">
        <f t="shared" si="44"/>
        <v>1.7192471246760554E-2</v>
      </c>
    </row>
    <row r="151" spans="1:13" x14ac:dyDescent="0.3">
      <c r="A151">
        <v>216</v>
      </c>
      <c r="B151">
        <f t="shared" si="41"/>
        <v>5.5260795027701412E-3</v>
      </c>
      <c r="C151">
        <f t="shared" si="37"/>
        <v>5.5260795027701412E-3</v>
      </c>
      <c r="D151" t="s">
        <v>32</v>
      </c>
      <c r="E151" t="s">
        <v>19</v>
      </c>
      <c r="F151">
        <v>1</v>
      </c>
      <c r="G151">
        <f t="shared" si="42"/>
        <v>135</v>
      </c>
      <c r="I151">
        <v>2100</v>
      </c>
      <c r="J151" t="s">
        <v>25</v>
      </c>
      <c r="K151">
        <f t="shared" si="43"/>
        <v>137.5</v>
      </c>
      <c r="L151" cm="1">
        <f t="array" ref="L151">STOWA2024_NDJF_T(A151*60,K151,I151,J151,"")</f>
        <v>85.716305601954403</v>
      </c>
      <c r="M151">
        <f t="shared" si="44"/>
        <v>1.1666391743990413E-2</v>
      </c>
    </row>
    <row r="152" spans="1:13" x14ac:dyDescent="0.3">
      <c r="A152">
        <v>216</v>
      </c>
      <c r="B152">
        <f t="shared" si="41"/>
        <v>3.8262947524031598E-3</v>
      </c>
      <c r="C152">
        <f t="shared" si="37"/>
        <v>3.8262947524031598E-3</v>
      </c>
      <c r="D152" t="s">
        <v>32</v>
      </c>
      <c r="E152" t="s">
        <v>19</v>
      </c>
      <c r="F152">
        <v>1</v>
      </c>
      <c r="G152">
        <f t="shared" si="42"/>
        <v>140</v>
      </c>
      <c r="I152">
        <v>2100</v>
      </c>
      <c r="J152" t="s">
        <v>25</v>
      </c>
      <c r="K152">
        <f t="shared" si="43"/>
        <v>142.5</v>
      </c>
      <c r="L152" cm="1">
        <f t="array" ref="L152">STOWA2024_NDJF_T(A152*60,K152,I152,J152,"")</f>
        <v>127.54944244606172</v>
      </c>
      <c r="M152">
        <f t="shared" si="44"/>
        <v>7.8400969915872528E-3</v>
      </c>
    </row>
    <row r="153" spans="1:13" x14ac:dyDescent="0.3">
      <c r="A153">
        <v>216</v>
      </c>
      <c r="B153">
        <f t="shared" si="41"/>
        <v>2.6248967117988471E-3</v>
      </c>
      <c r="C153">
        <f t="shared" si="37"/>
        <v>2.6248967117988471E-3</v>
      </c>
      <c r="D153" t="s">
        <v>32</v>
      </c>
      <c r="E153" t="s">
        <v>19</v>
      </c>
      <c r="F153">
        <v>1</v>
      </c>
      <c r="G153">
        <f t="shared" si="42"/>
        <v>145</v>
      </c>
      <c r="I153">
        <v>2100</v>
      </c>
      <c r="J153" t="s">
        <v>25</v>
      </c>
      <c r="K153">
        <f t="shared" si="43"/>
        <v>147.5</v>
      </c>
      <c r="L153" cm="1">
        <f t="array" ref="L153">STOWA2024_NDJF_T(A153*60,K153,I153,J153,"")</f>
        <v>191.7471902038962</v>
      </c>
      <c r="M153">
        <f t="shared" si="44"/>
        <v>5.2152002797884057E-3</v>
      </c>
    </row>
    <row r="154" spans="1:13" x14ac:dyDescent="0.3">
      <c r="A154">
        <v>216</v>
      </c>
      <c r="B154">
        <f t="shared" si="41"/>
        <v>1.7831657239119145E-3</v>
      </c>
      <c r="C154">
        <f t="shared" si="37"/>
        <v>1.7831657239119145E-3</v>
      </c>
      <c r="D154" t="s">
        <v>32</v>
      </c>
      <c r="E154" t="s">
        <v>19</v>
      </c>
      <c r="F154">
        <v>1</v>
      </c>
      <c r="G154">
        <f t="shared" si="42"/>
        <v>150</v>
      </c>
      <c r="I154">
        <v>2100</v>
      </c>
      <c r="J154" t="s">
        <v>25</v>
      </c>
      <c r="K154">
        <f t="shared" si="43"/>
        <v>152.5</v>
      </c>
      <c r="L154" cm="1">
        <f t="array" ref="L154">STOWA2024_NDJF_T(A154*60,K154,I154,J154,"")</f>
        <v>291.37235762610635</v>
      </c>
      <c r="M154">
        <f t="shared" si="44"/>
        <v>3.4320345558764911E-3</v>
      </c>
    </row>
    <row r="155" spans="1:13" x14ac:dyDescent="0.3">
      <c r="A155">
        <v>216</v>
      </c>
      <c r="B155">
        <f t="shared" si="41"/>
        <v>1.1988957375759306E-3</v>
      </c>
      <c r="C155">
        <f t="shared" si="37"/>
        <v>1.1988957375759306E-3</v>
      </c>
      <c r="D155" t="s">
        <v>32</v>
      </c>
      <c r="E155" t="s">
        <v>19</v>
      </c>
      <c r="F155">
        <v>1</v>
      </c>
      <c r="G155">
        <f t="shared" si="42"/>
        <v>155</v>
      </c>
      <c r="I155">
        <v>2100</v>
      </c>
      <c r="J155" t="s">
        <v>25</v>
      </c>
      <c r="K155">
        <f t="shared" si="43"/>
        <v>157.5</v>
      </c>
      <c r="L155" cm="1">
        <f t="array" ref="L155">STOWA2024_NDJF_T(A155*60,K155,I155,J155,"")</f>
        <v>447.80019576257661</v>
      </c>
      <c r="M155">
        <f t="shared" si="44"/>
        <v>2.2331388183005605E-3</v>
      </c>
    </row>
    <row r="156" spans="1:13" x14ac:dyDescent="0.3">
      <c r="A156">
        <v>216</v>
      </c>
      <c r="B156" s="1">
        <f>M155</f>
        <v>2.2331388183005605E-3</v>
      </c>
      <c r="C156">
        <f t="shared" si="37"/>
        <v>2.2331388183005605E-3</v>
      </c>
      <c r="D156" t="s">
        <v>32</v>
      </c>
      <c r="E156" t="s">
        <v>19</v>
      </c>
      <c r="F156">
        <v>1</v>
      </c>
      <c r="G156">
        <f t="shared" si="42"/>
        <v>160</v>
      </c>
      <c r="I156">
        <v>2100</v>
      </c>
      <c r="J156" t="s">
        <v>25</v>
      </c>
      <c r="K156">
        <f>AVERAGE(G156:G157)</f>
        <v>160</v>
      </c>
      <c r="L156" cm="1">
        <f t="array" ref="L156">STOWA2024_NDJF_T(A156*60,K156,I156,J156,"")</f>
        <v>557.61449844368167</v>
      </c>
      <c r="M156">
        <f>1/L156</f>
        <v>1.7933536570355132E-3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56"/>
  <sheetViews>
    <sheetView workbookViewId="0">
      <selection activeCell="B23" sqref="B2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346.64775324123724</v>
      </c>
      <c r="C2">
        <f>B2</f>
        <v>346.64775324123724</v>
      </c>
      <c r="D2" t="s">
        <v>33</v>
      </c>
      <c r="E2" t="s">
        <v>21</v>
      </c>
      <c r="F2">
        <v>1</v>
      </c>
      <c r="G2">
        <v>10</v>
      </c>
      <c r="I2">
        <v>2100</v>
      </c>
      <c r="J2" t="s">
        <v>28</v>
      </c>
      <c r="K2">
        <f>AVERAGE(G2:G4)</f>
        <v>15</v>
      </c>
      <c r="L2" cm="1">
        <f t="array" ref="L2">STOWA2024_JAARROND_T(A2*60,K2,I2,J2,"")</f>
        <v>5.3756947371367395E-2</v>
      </c>
      <c r="M2">
        <f>1/L2</f>
        <v>18.602246758762771</v>
      </c>
    </row>
    <row r="3" spans="1:13" x14ac:dyDescent="0.3">
      <c r="A3">
        <v>24</v>
      </c>
      <c r="B3">
        <f t="shared" ref="B3:B7" si="0">M2-M3</f>
        <v>5.3607038779633402</v>
      </c>
      <c r="C3">
        <f t="shared" ref="C3:C32" si="1">B3</f>
        <v>5.3607038779633402</v>
      </c>
      <c r="D3" t="s">
        <v>33</v>
      </c>
      <c r="E3" t="s">
        <v>21</v>
      </c>
      <c r="F3">
        <v>1</v>
      </c>
      <c r="G3">
        <f t="shared" ref="G3:G7" si="2">G2+5</f>
        <v>15</v>
      </c>
      <c r="I3">
        <v>2100</v>
      </c>
      <c r="J3" t="s">
        <v>28</v>
      </c>
      <c r="K3">
        <f t="shared" ref="K3:K7" si="3">AVERAGE(G3:G4)</f>
        <v>17.5</v>
      </c>
      <c r="L3" cm="1">
        <f t="array" ref="L3">STOWA2024_JAARROND_T(A3*60,K3,I3,J3,"")</f>
        <v>7.5519900437737139E-2</v>
      </c>
      <c r="M3">
        <f t="shared" ref="M3:M7" si="4">1/L3</f>
        <v>13.241542880799431</v>
      </c>
    </row>
    <row r="4" spans="1:13" x14ac:dyDescent="0.3">
      <c r="A4">
        <v>24</v>
      </c>
      <c r="B4">
        <f t="shared" si="0"/>
        <v>6.2284727888240452</v>
      </c>
      <c r="C4">
        <f t="shared" si="1"/>
        <v>6.2284727888240452</v>
      </c>
      <c r="D4" t="s">
        <v>33</v>
      </c>
      <c r="E4" t="s">
        <v>21</v>
      </c>
      <c r="F4">
        <v>1</v>
      </c>
      <c r="G4">
        <f t="shared" si="2"/>
        <v>20</v>
      </c>
      <c r="I4">
        <v>2100</v>
      </c>
      <c r="J4" t="s">
        <v>28</v>
      </c>
      <c r="K4">
        <f t="shared" si="3"/>
        <v>22.5</v>
      </c>
      <c r="L4" cm="1">
        <f t="array" ref="L4">STOWA2024_JAARROND_T(A4*60,K4,I4,J4,"")</f>
        <v>0.14259090339682146</v>
      </c>
      <c r="M4">
        <f t="shared" si="4"/>
        <v>7.0130700919753854</v>
      </c>
    </row>
    <row r="5" spans="1:13" x14ac:dyDescent="0.3">
      <c r="A5">
        <v>24</v>
      </c>
      <c r="B5">
        <f t="shared" si="0"/>
        <v>3.1037766448373296</v>
      </c>
      <c r="C5">
        <f t="shared" si="1"/>
        <v>3.1037766448373296</v>
      </c>
      <c r="D5" t="s">
        <v>33</v>
      </c>
      <c r="E5" t="s">
        <v>21</v>
      </c>
      <c r="F5">
        <v>1</v>
      </c>
      <c r="G5">
        <f t="shared" si="2"/>
        <v>25</v>
      </c>
      <c r="I5">
        <v>2100</v>
      </c>
      <c r="J5" t="s">
        <v>28</v>
      </c>
      <c r="K5">
        <f t="shared" si="3"/>
        <v>27.5</v>
      </c>
      <c r="L5" cm="1">
        <f t="array" ref="L5">STOWA2024_JAARROND_T(A5*60,K5,I5,J5,"")</f>
        <v>0.25580069992752458</v>
      </c>
      <c r="M5">
        <f t="shared" si="4"/>
        <v>3.9092934471380558</v>
      </c>
    </row>
    <row r="6" spans="1:13" x14ac:dyDescent="0.3">
      <c r="A6">
        <v>24</v>
      </c>
      <c r="B6">
        <f t="shared" si="0"/>
        <v>1.6332760682271283</v>
      </c>
      <c r="C6">
        <f t="shared" si="1"/>
        <v>1.6332760682271283</v>
      </c>
      <c r="D6" t="s">
        <v>33</v>
      </c>
      <c r="E6" t="s">
        <v>21</v>
      </c>
      <c r="F6">
        <v>1</v>
      </c>
      <c r="G6">
        <f t="shared" si="2"/>
        <v>30</v>
      </c>
      <c r="I6">
        <v>2100</v>
      </c>
      <c r="J6" t="s">
        <v>28</v>
      </c>
      <c r="K6">
        <f t="shared" si="3"/>
        <v>32.5</v>
      </c>
      <c r="L6" cm="1">
        <f t="array" ref="L6">STOWA2024_JAARROND_T(A6*60,K6,I6,J6,"")</f>
        <v>0.43936395620955199</v>
      </c>
      <c r="M6">
        <f t="shared" si="4"/>
        <v>2.2760173789109275</v>
      </c>
    </row>
    <row r="7" spans="1:13" x14ac:dyDescent="0.3">
      <c r="A7">
        <v>24</v>
      </c>
      <c r="B7">
        <f t="shared" si="0"/>
        <v>0.9002647628859608</v>
      </c>
      <c r="C7">
        <f t="shared" si="1"/>
        <v>0.9002647628859608</v>
      </c>
      <c r="D7" t="s">
        <v>33</v>
      </c>
      <c r="E7" t="s">
        <v>21</v>
      </c>
      <c r="F7">
        <v>1</v>
      </c>
      <c r="G7">
        <f t="shared" si="2"/>
        <v>35</v>
      </c>
      <c r="I7">
        <v>2100</v>
      </c>
      <c r="J7" t="s">
        <v>28</v>
      </c>
      <c r="K7">
        <f t="shared" si="3"/>
        <v>37.5</v>
      </c>
      <c r="L7" cm="1">
        <f t="array" ref="L7">STOWA2024_JAARROND_T(A7*60,K7,I7,J7,"")</f>
        <v>0.72687486714679261</v>
      </c>
      <c r="M7">
        <f t="shared" si="4"/>
        <v>1.3757526160249667</v>
      </c>
    </row>
    <row r="8" spans="1:13" x14ac:dyDescent="0.3">
      <c r="A8">
        <v>24</v>
      </c>
      <c r="B8">
        <f>M7-M8</f>
        <v>0.51650330114711451</v>
      </c>
      <c r="C8">
        <f t="shared" si="1"/>
        <v>0.51650330114711451</v>
      </c>
      <c r="D8" t="s">
        <v>33</v>
      </c>
      <c r="E8" t="s">
        <v>21</v>
      </c>
      <c r="F8">
        <v>1</v>
      </c>
      <c r="G8">
        <f>G7+5</f>
        <v>40</v>
      </c>
      <c r="I8">
        <v>2100</v>
      </c>
      <c r="J8" t="s">
        <v>28</v>
      </c>
      <c r="K8">
        <f>AVERAGE(G8:G9)</f>
        <v>42.5</v>
      </c>
      <c r="L8" cm="1">
        <f t="array" ref="L8">STOWA2024_JAARROND_T(A8*60,K8,I8,J8,"")</f>
        <v>1.1638065724174089</v>
      </c>
      <c r="M8">
        <f>1/L8</f>
        <v>0.85924931487785217</v>
      </c>
    </row>
    <row r="9" spans="1:13" x14ac:dyDescent="0.3">
      <c r="A9">
        <v>24</v>
      </c>
      <c r="B9">
        <f t="shared" ref="B9:B31" si="5">M8-M9</f>
        <v>0.30705716342665268</v>
      </c>
      <c r="C9">
        <f t="shared" si="1"/>
        <v>0.30705716342665268</v>
      </c>
      <c r="D9" t="s">
        <v>33</v>
      </c>
      <c r="E9" t="s">
        <v>21</v>
      </c>
      <c r="F9">
        <v>1</v>
      </c>
      <c r="G9">
        <f t="shared" ref="G9:G32" si="6">G8+5</f>
        <v>45</v>
      </c>
      <c r="I9">
        <v>2100</v>
      </c>
      <c r="J9" t="s">
        <v>28</v>
      </c>
      <c r="K9">
        <f t="shared" ref="K9:K31" si="7">AVERAGE(G9:G10)</f>
        <v>47.5</v>
      </c>
      <c r="L9" cm="1">
        <f t="array" ref="L9">STOWA2024_JAARROND_T(A9*60,K9,I9,J9,"")</f>
        <v>1.8109638055737123</v>
      </c>
      <c r="M9">
        <f t="shared" ref="M9:M31" si="8">1/L9</f>
        <v>0.55219215145119949</v>
      </c>
    </row>
    <row r="10" spans="1:13" x14ac:dyDescent="0.3">
      <c r="A10">
        <v>24</v>
      </c>
      <c r="B10">
        <f t="shared" si="5"/>
        <v>0.18821866928168463</v>
      </c>
      <c r="C10">
        <f t="shared" si="1"/>
        <v>0.18821866928168463</v>
      </c>
      <c r="D10" t="s">
        <v>33</v>
      </c>
      <c r="E10" t="s">
        <v>21</v>
      </c>
      <c r="F10">
        <v>1</v>
      </c>
      <c r="G10">
        <f t="shared" si="6"/>
        <v>50</v>
      </c>
      <c r="I10">
        <v>2100</v>
      </c>
      <c r="J10" t="s">
        <v>28</v>
      </c>
      <c r="K10">
        <f t="shared" si="7"/>
        <v>52.5</v>
      </c>
      <c r="L10" cm="1">
        <f t="array" ref="L10">STOWA2024_JAARROND_T(A10*60,K10,I10,J10,"")</f>
        <v>2.7474529024459695</v>
      </c>
      <c r="M10">
        <f t="shared" si="8"/>
        <v>0.36397348216951486</v>
      </c>
    </row>
    <row r="11" spans="1:13" x14ac:dyDescent="0.3">
      <c r="A11">
        <v>24</v>
      </c>
      <c r="B11">
        <f t="shared" si="5"/>
        <v>0.11857565921736299</v>
      </c>
      <c r="C11">
        <f t="shared" si="1"/>
        <v>0.11857565921736299</v>
      </c>
      <c r="D11" t="s">
        <v>33</v>
      </c>
      <c r="E11" t="s">
        <v>21</v>
      </c>
      <c r="F11">
        <v>1</v>
      </c>
      <c r="G11">
        <f t="shared" si="6"/>
        <v>55</v>
      </c>
      <c r="I11">
        <v>2100</v>
      </c>
      <c r="J11" t="s">
        <v>28</v>
      </c>
      <c r="K11">
        <f t="shared" si="7"/>
        <v>57.5</v>
      </c>
      <c r="L11" cm="1">
        <f t="array" ref="L11">STOWA2024_JAARROND_T(A11*60,K11,I11,J11,"")</f>
        <v>4.0750157763012504</v>
      </c>
      <c r="M11">
        <f t="shared" si="8"/>
        <v>0.24539782295215187</v>
      </c>
    </row>
    <row r="12" spans="1:13" x14ac:dyDescent="0.3">
      <c r="A12">
        <v>24</v>
      </c>
      <c r="B12">
        <f t="shared" si="5"/>
        <v>7.6554429726068213E-2</v>
      </c>
      <c r="C12">
        <f t="shared" si="1"/>
        <v>7.6554429726068213E-2</v>
      </c>
      <c r="D12" t="s">
        <v>33</v>
      </c>
      <c r="E12" t="s">
        <v>21</v>
      </c>
      <c r="F12">
        <v>1</v>
      </c>
      <c r="G12">
        <f t="shared" si="6"/>
        <v>60</v>
      </c>
      <c r="I12">
        <v>2100</v>
      </c>
      <c r="J12" t="s">
        <v>28</v>
      </c>
      <c r="K12">
        <f t="shared" si="7"/>
        <v>62.5</v>
      </c>
      <c r="L12" cm="1">
        <f t="array" ref="L12">STOWA2024_JAARROND_T(A12*60,K12,I12,J12,"")</f>
        <v>5.9226480876334087</v>
      </c>
      <c r="M12">
        <f t="shared" si="8"/>
        <v>0.16884339322608366</v>
      </c>
    </row>
    <row r="13" spans="1:13" x14ac:dyDescent="0.3">
      <c r="A13">
        <v>24</v>
      </c>
      <c r="B13">
        <f t="shared" si="5"/>
        <v>5.0529422606231542E-2</v>
      </c>
      <c r="C13">
        <f t="shared" si="1"/>
        <v>5.0529422606231542E-2</v>
      </c>
      <c r="D13" t="s">
        <v>33</v>
      </c>
      <c r="E13" t="s">
        <v>21</v>
      </c>
      <c r="F13">
        <v>1</v>
      </c>
      <c r="G13">
        <f t="shared" si="6"/>
        <v>65</v>
      </c>
      <c r="I13">
        <v>2100</v>
      </c>
      <c r="J13" t="s">
        <v>28</v>
      </c>
      <c r="K13">
        <f t="shared" si="7"/>
        <v>67.5</v>
      </c>
      <c r="L13" cm="1">
        <f t="array" ref="L13">STOWA2024_JAARROND_T(A13*60,K13,I13,J13,"")</f>
        <v>8.452087228253399</v>
      </c>
      <c r="M13">
        <f t="shared" si="8"/>
        <v>0.11831397061985212</v>
      </c>
    </row>
    <row r="14" spans="1:13" x14ac:dyDescent="0.3">
      <c r="A14">
        <v>24</v>
      </c>
      <c r="B14">
        <f t="shared" si="5"/>
        <v>3.4019788686899241E-2</v>
      </c>
      <c r="C14">
        <f t="shared" si="1"/>
        <v>3.4019788686899241E-2</v>
      </c>
      <c r="D14" t="s">
        <v>33</v>
      </c>
      <c r="E14" t="s">
        <v>21</v>
      </c>
      <c r="F14">
        <v>1</v>
      </c>
      <c r="G14">
        <f t="shared" si="6"/>
        <v>70</v>
      </c>
      <c r="I14">
        <v>2100</v>
      </c>
      <c r="J14" t="s">
        <v>28</v>
      </c>
      <c r="K14">
        <f t="shared" si="7"/>
        <v>72.5</v>
      </c>
      <c r="L14" cm="1">
        <f t="array" ref="L14">STOWA2024_JAARROND_T(A14*60,K14,I14,J14,"")</f>
        <v>11.863214958244621</v>
      </c>
      <c r="M14">
        <f t="shared" si="8"/>
        <v>8.4294181932952877E-2</v>
      </c>
    </row>
    <row r="15" spans="1:13" x14ac:dyDescent="0.3">
      <c r="A15">
        <v>24</v>
      </c>
      <c r="B15">
        <f t="shared" si="5"/>
        <v>2.3322837215589934E-2</v>
      </c>
      <c r="C15">
        <f t="shared" si="1"/>
        <v>2.3322837215589934E-2</v>
      </c>
      <c r="D15" t="s">
        <v>33</v>
      </c>
      <c r="E15" t="s">
        <v>21</v>
      </c>
      <c r="F15">
        <v>1</v>
      </c>
      <c r="G15">
        <f t="shared" si="6"/>
        <v>75</v>
      </c>
      <c r="I15">
        <v>2100</v>
      </c>
      <c r="J15" t="s">
        <v>28</v>
      </c>
      <c r="K15">
        <f t="shared" si="7"/>
        <v>77.5</v>
      </c>
      <c r="L15" cm="1">
        <f t="array" ref="L15">STOWA2024_JAARROND_T(A15*60,K15,I15,J15,"")</f>
        <v>16.401147205061196</v>
      </c>
      <c r="M15">
        <f t="shared" si="8"/>
        <v>6.0971344717362944E-2</v>
      </c>
    </row>
    <row r="16" spans="1:13" x14ac:dyDescent="0.3">
      <c r="A16">
        <v>24</v>
      </c>
      <c r="B16">
        <f t="shared" si="5"/>
        <v>1.6256638204509975E-2</v>
      </c>
      <c r="C16">
        <f t="shared" si="1"/>
        <v>1.6256638204509975E-2</v>
      </c>
      <c r="D16" t="s">
        <v>33</v>
      </c>
      <c r="E16" t="s">
        <v>21</v>
      </c>
      <c r="F16">
        <v>1</v>
      </c>
      <c r="G16">
        <f t="shared" si="6"/>
        <v>80</v>
      </c>
      <c r="I16">
        <v>2100</v>
      </c>
      <c r="J16" t="s">
        <v>28</v>
      </c>
      <c r="K16">
        <f t="shared" si="7"/>
        <v>82.5</v>
      </c>
      <c r="L16" cm="1">
        <f t="array" ref="L16">STOWA2024_JAARROND_T(A16*60,K16,I16,J16,"")</f>
        <v>22.364006788517244</v>
      </c>
      <c r="M16">
        <f t="shared" si="8"/>
        <v>4.4714706512852968E-2</v>
      </c>
    </row>
    <row r="17" spans="1:13" x14ac:dyDescent="0.3">
      <c r="A17">
        <v>24</v>
      </c>
      <c r="B17">
        <f t="shared" si="5"/>
        <v>1.150340941096941E-2</v>
      </c>
      <c r="C17">
        <f t="shared" si="1"/>
        <v>1.150340941096941E-2</v>
      </c>
      <c r="D17" t="s">
        <v>33</v>
      </c>
      <c r="E17" t="s">
        <v>21</v>
      </c>
      <c r="F17">
        <v>1</v>
      </c>
      <c r="G17">
        <f t="shared" si="6"/>
        <v>85</v>
      </c>
      <c r="I17">
        <v>2100</v>
      </c>
      <c r="J17" t="s">
        <v>28</v>
      </c>
      <c r="K17">
        <f t="shared" si="7"/>
        <v>87.5</v>
      </c>
      <c r="L17" cm="1">
        <f t="array" ref="L17">STOWA2024_JAARROND_T(A17*60,K17,I17,J17,"")</f>
        <v>30.11023619259019</v>
      </c>
      <c r="M17">
        <f t="shared" si="8"/>
        <v>3.3211297101883558E-2</v>
      </c>
    </row>
    <row r="18" spans="1:13" x14ac:dyDescent="0.3">
      <c r="A18">
        <v>24</v>
      </c>
      <c r="B18">
        <f t="shared" si="5"/>
        <v>8.2536960858153111E-3</v>
      </c>
      <c r="C18">
        <f t="shared" si="1"/>
        <v>8.2536960858153111E-3</v>
      </c>
      <c r="D18" t="s">
        <v>33</v>
      </c>
      <c r="E18" t="s">
        <v>21</v>
      </c>
      <c r="F18">
        <v>1</v>
      </c>
      <c r="G18">
        <f t="shared" si="6"/>
        <v>90</v>
      </c>
      <c r="I18">
        <v>2100</v>
      </c>
      <c r="J18" t="s">
        <v>28</v>
      </c>
      <c r="K18">
        <f t="shared" si="7"/>
        <v>92.5</v>
      </c>
      <c r="L18" cm="1">
        <f t="array" ref="L18">STOWA2024_JAARROND_T(A18*60,K18,I18,J18,"")</f>
        <v>40.067953620869979</v>
      </c>
      <c r="M18">
        <f t="shared" si="8"/>
        <v>2.4957601016068247E-2</v>
      </c>
    </row>
    <row r="19" spans="1:13" x14ac:dyDescent="0.3">
      <c r="A19">
        <v>24</v>
      </c>
      <c r="B19">
        <f t="shared" si="5"/>
        <v>5.9987102249115902E-3</v>
      </c>
      <c r="C19">
        <f t="shared" si="1"/>
        <v>5.9987102249115902E-3</v>
      </c>
      <c r="D19" t="s">
        <v>33</v>
      </c>
      <c r="E19" t="s">
        <v>21</v>
      </c>
      <c r="F19">
        <v>1</v>
      </c>
      <c r="G19">
        <f t="shared" si="6"/>
        <v>95</v>
      </c>
      <c r="I19">
        <v>2100</v>
      </c>
      <c r="J19" t="s">
        <v>28</v>
      </c>
      <c r="K19">
        <f t="shared" si="7"/>
        <v>97.5</v>
      </c>
      <c r="L19" cm="1">
        <f t="array" ref="L19">STOWA2024_JAARROND_T(A19*60,K19,I19,J19,"")</f>
        <v>52.745701793189731</v>
      </c>
      <c r="M19">
        <f t="shared" si="8"/>
        <v>1.8958890791156657E-2</v>
      </c>
    </row>
    <row r="20" spans="1:13" x14ac:dyDescent="0.3">
      <c r="A20">
        <v>24</v>
      </c>
      <c r="B20">
        <f t="shared" si="5"/>
        <v>4.4120067817603921E-3</v>
      </c>
      <c r="C20">
        <f t="shared" si="1"/>
        <v>4.4120067817603921E-3</v>
      </c>
      <c r="D20" t="s">
        <v>33</v>
      </c>
      <c r="E20" t="s">
        <v>21</v>
      </c>
      <c r="F20">
        <v>1</v>
      </c>
      <c r="G20">
        <f t="shared" si="6"/>
        <v>100</v>
      </c>
      <c r="I20">
        <v>2100</v>
      </c>
      <c r="J20" t="s">
        <v>28</v>
      </c>
      <c r="K20">
        <f t="shared" si="7"/>
        <v>102.5</v>
      </c>
      <c r="L20" cm="1">
        <f t="array" ref="L20">STOWA2024_JAARROND_T(A20*60,K20,I20,J20,"")</f>
        <v>68.743244213267275</v>
      </c>
      <c r="M20">
        <f t="shared" si="8"/>
        <v>1.4546884009396265E-2</v>
      </c>
    </row>
    <row r="21" spans="1:13" x14ac:dyDescent="0.3">
      <c r="A21">
        <v>24</v>
      </c>
      <c r="B21">
        <f t="shared" si="5"/>
        <v>3.2807224033730587E-3</v>
      </c>
      <c r="C21">
        <f t="shared" si="1"/>
        <v>3.2807224033730587E-3</v>
      </c>
      <c r="D21" t="s">
        <v>33</v>
      </c>
      <c r="E21" t="s">
        <v>21</v>
      </c>
      <c r="F21">
        <v>1</v>
      </c>
      <c r="G21">
        <f t="shared" si="6"/>
        <v>105</v>
      </c>
      <c r="I21">
        <v>2100</v>
      </c>
      <c r="J21" t="s">
        <v>28</v>
      </c>
      <c r="K21">
        <f t="shared" si="7"/>
        <v>107.5</v>
      </c>
      <c r="L21" cm="1">
        <f t="array" ref="L21">STOWA2024_JAARROND_T(A21*60,K21,I21,J21,"")</f>
        <v>88.761375432904487</v>
      </c>
      <c r="M21">
        <f t="shared" si="8"/>
        <v>1.1266161606023206E-2</v>
      </c>
    </row>
    <row r="22" spans="1:13" x14ac:dyDescent="0.3">
      <c r="A22">
        <v>24</v>
      </c>
      <c r="B22">
        <f t="shared" si="5"/>
        <v>2.4647538278031143E-3</v>
      </c>
      <c r="C22">
        <f t="shared" si="1"/>
        <v>2.4647538278031143E-3</v>
      </c>
      <c r="D22" t="s">
        <v>33</v>
      </c>
      <c r="E22" t="s">
        <v>21</v>
      </c>
      <c r="F22">
        <v>1</v>
      </c>
      <c r="G22">
        <f t="shared" si="6"/>
        <v>110</v>
      </c>
      <c r="I22">
        <v>2100</v>
      </c>
      <c r="J22" t="s">
        <v>28</v>
      </c>
      <c r="K22">
        <f t="shared" si="7"/>
        <v>112.5</v>
      </c>
      <c r="L22" cm="1">
        <f t="array" ref="L22">STOWA2024_JAARROND_T(A22*60,K22,I22,J22,"")</f>
        <v>113.61818758978464</v>
      </c>
      <c r="M22">
        <f t="shared" si="8"/>
        <v>8.8014077782200915E-3</v>
      </c>
    </row>
    <row r="23" spans="1:13" x14ac:dyDescent="0.3">
      <c r="A23">
        <v>24</v>
      </c>
      <c r="B23">
        <f t="shared" si="5"/>
        <v>1.8695323979057389E-3</v>
      </c>
      <c r="C23">
        <f t="shared" si="1"/>
        <v>1.8695323979057389E-3</v>
      </c>
      <c r="D23" t="s">
        <v>33</v>
      </c>
      <c r="E23" t="s">
        <v>21</v>
      </c>
      <c r="F23">
        <v>1</v>
      </c>
      <c r="G23">
        <f t="shared" si="6"/>
        <v>115</v>
      </c>
      <c r="I23">
        <v>2100</v>
      </c>
      <c r="J23" t="s">
        <v>28</v>
      </c>
      <c r="K23">
        <f t="shared" si="7"/>
        <v>117.5</v>
      </c>
      <c r="L23" cm="1">
        <f t="array" ref="L23">STOWA2024_JAARROND_T(A23*60,K23,I23,J23,"")</f>
        <v>144.26110469900732</v>
      </c>
      <c r="M23">
        <f t="shared" si="8"/>
        <v>6.9318753803143526E-3</v>
      </c>
    </row>
    <row r="24" spans="1:13" x14ac:dyDescent="0.3">
      <c r="A24">
        <v>24</v>
      </c>
      <c r="B24">
        <f t="shared" si="5"/>
        <v>1.430798593978249E-3</v>
      </c>
      <c r="C24">
        <f t="shared" si="1"/>
        <v>1.430798593978249E-3</v>
      </c>
      <c r="D24" t="s">
        <v>33</v>
      </c>
      <c r="E24" t="s">
        <v>21</v>
      </c>
      <c r="F24">
        <v>1</v>
      </c>
      <c r="G24">
        <f t="shared" si="6"/>
        <v>120</v>
      </c>
      <c r="I24">
        <v>2100</v>
      </c>
      <c r="J24" t="s">
        <v>28</v>
      </c>
      <c r="K24">
        <f t="shared" si="7"/>
        <v>122.5</v>
      </c>
      <c r="L24" cm="1">
        <f t="array" ref="L24">STOWA2024_JAARROND_T(A24*60,K24,I24,J24,"")</f>
        <v>181.78259254331053</v>
      </c>
      <c r="M24">
        <f t="shared" si="8"/>
        <v>5.5010767863361036E-3</v>
      </c>
    </row>
    <row r="25" spans="1:13" x14ac:dyDescent="0.3">
      <c r="A25">
        <v>24</v>
      </c>
      <c r="B25">
        <f t="shared" si="5"/>
        <v>1.1042468022244879E-3</v>
      </c>
      <c r="C25">
        <f t="shared" si="1"/>
        <v>1.1042468022244879E-3</v>
      </c>
      <c r="D25" t="s">
        <v>33</v>
      </c>
      <c r="E25" t="s">
        <v>21</v>
      </c>
      <c r="F25">
        <v>1</v>
      </c>
      <c r="G25">
        <f t="shared" si="6"/>
        <v>125</v>
      </c>
      <c r="I25">
        <v>2100</v>
      </c>
      <c r="J25" t="s">
        <v>28</v>
      </c>
      <c r="K25">
        <f t="shared" si="7"/>
        <v>127.5</v>
      </c>
      <c r="L25" cm="1">
        <f t="array" ref="L25">STOWA2024_JAARROND_T(A25*60,K25,I25,J25,"")</f>
        <v>227.43658581605379</v>
      </c>
      <c r="M25">
        <f t="shared" si="8"/>
        <v>4.3968299841116157E-3</v>
      </c>
    </row>
    <row r="26" spans="1:13" x14ac:dyDescent="0.3">
      <c r="A26">
        <v>24</v>
      </c>
      <c r="B26">
        <f t="shared" si="5"/>
        <v>8.5896268599356578E-4</v>
      </c>
      <c r="C26">
        <f t="shared" si="1"/>
        <v>8.5896268599356578E-4</v>
      </c>
      <c r="D26" t="s">
        <v>33</v>
      </c>
      <c r="E26" t="s">
        <v>21</v>
      </c>
      <c r="F26">
        <v>1</v>
      </c>
      <c r="G26">
        <f t="shared" si="6"/>
        <v>130</v>
      </c>
      <c r="I26">
        <v>2100</v>
      </c>
      <c r="J26" t="s">
        <v>28</v>
      </c>
      <c r="K26">
        <f t="shared" si="7"/>
        <v>132.5</v>
      </c>
      <c r="L26" cm="1">
        <f t="array" ref="L26">STOWA2024_JAARROND_T(A26*60,K26,I26,J26,"")</f>
        <v>282.6561642184671</v>
      </c>
      <c r="M26">
        <f t="shared" si="8"/>
        <v>3.5378672981180499E-3</v>
      </c>
    </row>
    <row r="27" spans="1:13" x14ac:dyDescent="0.3">
      <c r="A27">
        <v>24</v>
      </c>
      <c r="B27">
        <f t="shared" si="5"/>
        <v>6.7313313238831539E-4</v>
      </c>
      <c r="C27">
        <f t="shared" si="1"/>
        <v>6.7313313238831539E-4</v>
      </c>
      <c r="D27" t="s">
        <v>33</v>
      </c>
      <c r="E27" t="s">
        <v>21</v>
      </c>
      <c r="F27">
        <v>1</v>
      </c>
      <c r="G27">
        <f t="shared" si="6"/>
        <v>135</v>
      </c>
      <c r="I27">
        <v>2100</v>
      </c>
      <c r="J27" t="s">
        <v>28</v>
      </c>
      <c r="K27">
        <f t="shared" si="7"/>
        <v>137.5</v>
      </c>
      <c r="L27" cm="1">
        <f t="array" ref="L27">STOWA2024_JAARROND_T(A27*60,K27,I27,J27,"")</f>
        <v>349.07252894973931</v>
      </c>
      <c r="M27">
        <f t="shared" si="8"/>
        <v>2.8647341657297345E-3</v>
      </c>
    </row>
    <row r="28" spans="1:13" x14ac:dyDescent="0.3">
      <c r="A28">
        <v>24</v>
      </c>
      <c r="B28">
        <f t="shared" si="5"/>
        <v>5.3120428715911633E-4</v>
      </c>
      <c r="C28">
        <f t="shared" si="1"/>
        <v>5.3120428715911633E-4</v>
      </c>
      <c r="D28" t="s">
        <v>33</v>
      </c>
      <c r="E28" t="s">
        <v>21</v>
      </c>
      <c r="F28">
        <v>1</v>
      </c>
      <c r="G28">
        <f t="shared" si="6"/>
        <v>140</v>
      </c>
      <c r="I28">
        <v>2100</v>
      </c>
      <c r="J28" t="s">
        <v>28</v>
      </c>
      <c r="K28">
        <f t="shared" si="7"/>
        <v>142.5</v>
      </c>
      <c r="L28" cm="1">
        <f t="array" ref="L28">STOWA2024_JAARROND_T(A28*60,K28,I28,J28,"")</f>
        <v>428.53533146639654</v>
      </c>
      <c r="M28">
        <f t="shared" si="8"/>
        <v>2.3335298785706182E-3</v>
      </c>
    </row>
    <row r="29" spans="1:13" x14ac:dyDescent="0.3">
      <c r="A29">
        <v>24</v>
      </c>
      <c r="B29">
        <f t="shared" si="5"/>
        <v>4.2196351113009357E-4</v>
      </c>
      <c r="C29">
        <f t="shared" si="1"/>
        <v>4.2196351113009357E-4</v>
      </c>
      <c r="D29" t="s">
        <v>33</v>
      </c>
      <c r="E29" t="s">
        <v>21</v>
      </c>
      <c r="F29">
        <v>1</v>
      </c>
      <c r="G29">
        <f t="shared" si="6"/>
        <v>145</v>
      </c>
      <c r="I29">
        <v>2100</v>
      </c>
      <c r="J29" t="s">
        <v>28</v>
      </c>
      <c r="K29">
        <f t="shared" si="7"/>
        <v>147.5</v>
      </c>
      <c r="L29" cm="1">
        <f t="array" ref="L29">STOWA2024_JAARROND_T(A29*60,K29,I29,J29,"")</f>
        <v>523.13119598297885</v>
      </c>
      <c r="M29">
        <f t="shared" si="8"/>
        <v>1.9115663674405246E-3</v>
      </c>
    </row>
    <row r="30" spans="1:13" x14ac:dyDescent="0.3">
      <c r="A30">
        <v>24</v>
      </c>
      <c r="B30">
        <f t="shared" si="5"/>
        <v>3.3730703521280231E-4</v>
      </c>
      <c r="C30">
        <f t="shared" si="1"/>
        <v>3.3730703521280231E-4</v>
      </c>
      <c r="D30" t="s">
        <v>33</v>
      </c>
      <c r="E30" t="s">
        <v>21</v>
      </c>
      <c r="F30">
        <v>1</v>
      </c>
      <c r="G30">
        <f t="shared" si="6"/>
        <v>150</v>
      </c>
      <c r="I30">
        <v>2100</v>
      </c>
      <c r="J30" t="s">
        <v>28</v>
      </c>
      <c r="K30">
        <f t="shared" si="7"/>
        <v>152.5</v>
      </c>
      <c r="L30" cm="1">
        <f t="array" ref="L30">STOWA2024_JAARROND_T(A30*60,K30,I30,J30,"")</f>
        <v>635.21935651155241</v>
      </c>
      <c r="M30">
        <f t="shared" si="8"/>
        <v>1.5742593322277223E-3</v>
      </c>
    </row>
    <row r="31" spans="1:13" x14ac:dyDescent="0.3">
      <c r="A31">
        <v>24</v>
      </c>
      <c r="B31">
        <f t="shared" si="5"/>
        <v>2.7122293628371982E-4</v>
      </c>
      <c r="C31">
        <f t="shared" si="1"/>
        <v>2.7122293628371982E-4</v>
      </c>
      <c r="D31" t="s">
        <v>33</v>
      </c>
      <c r="E31" t="s">
        <v>21</v>
      </c>
      <c r="F31">
        <v>1</v>
      </c>
      <c r="G31">
        <f t="shared" si="6"/>
        <v>155</v>
      </c>
      <c r="I31">
        <v>2100</v>
      </c>
      <c r="J31" t="s">
        <v>28</v>
      </c>
      <c r="K31">
        <f t="shared" si="7"/>
        <v>157.5</v>
      </c>
      <c r="L31" cm="1">
        <f t="array" ref="L31">STOWA2024_JAARROND_T(A31*60,K31,I31,J31,"")</f>
        <v>767.43827195673714</v>
      </c>
      <c r="M31">
        <f t="shared" si="8"/>
        <v>1.3030363959440024E-3</v>
      </c>
    </row>
    <row r="32" spans="1:13" x14ac:dyDescent="0.3">
      <c r="A32">
        <v>24</v>
      </c>
      <c r="B32" s="1">
        <f>M31</f>
        <v>1.3030363959440024E-3</v>
      </c>
      <c r="C32">
        <f t="shared" si="1"/>
        <v>1.3030363959440024E-3</v>
      </c>
      <c r="D32" t="s">
        <v>33</v>
      </c>
      <c r="E32" t="s">
        <v>21</v>
      </c>
      <c r="F32">
        <v>1</v>
      </c>
      <c r="G32">
        <f t="shared" si="6"/>
        <v>160</v>
      </c>
      <c r="I32">
        <v>2100</v>
      </c>
      <c r="J32" t="s">
        <v>28</v>
      </c>
      <c r="K32">
        <f>AVERAGE(G32:G33)</f>
        <v>85</v>
      </c>
      <c r="L32" cm="1">
        <f t="array" ref="L32">STOWA2024_JAARROND_T(A32*60,K32,I32,J32,"")</f>
        <v>25.989171022140038</v>
      </c>
      <c r="M32">
        <f>1/L32</f>
        <v>3.8477564334318523E-2</v>
      </c>
    </row>
    <row r="33" spans="1:13" x14ac:dyDescent="0.3">
      <c r="A33">
        <v>48</v>
      </c>
      <c r="B33" s="1">
        <f>365.25*24/A33 - M33</f>
        <v>152.4359530953389</v>
      </c>
      <c r="C33">
        <f>B33</f>
        <v>152.4359530953389</v>
      </c>
      <c r="D33" t="s">
        <v>33</v>
      </c>
      <c r="E33" t="s">
        <v>21</v>
      </c>
      <c r="F33">
        <v>1</v>
      </c>
      <c r="G33">
        <v>10</v>
      </c>
      <c r="I33">
        <v>2100</v>
      </c>
      <c r="J33" t="s">
        <v>28</v>
      </c>
      <c r="K33">
        <f>AVERAGE(G33:G35)</f>
        <v>15</v>
      </c>
      <c r="L33" cm="1">
        <f t="array" ref="L33">STOWA2024_JAARROND_T(A33*60,K33,I33,J33,"")</f>
        <v>3.3124596584915809E-2</v>
      </c>
      <c r="M33">
        <f>1/L33</f>
        <v>30.189046904661094</v>
      </c>
    </row>
    <row r="34" spans="1:13" x14ac:dyDescent="0.3">
      <c r="A34">
        <v>48</v>
      </c>
      <c r="B34">
        <f t="shared" ref="B34:B38" si="9">M33-M34</f>
        <v>7.5471948298460205</v>
      </c>
      <c r="C34">
        <f t="shared" ref="C34:C63" si="10">B34</f>
        <v>7.5471948298460205</v>
      </c>
      <c r="D34" t="s">
        <v>33</v>
      </c>
      <c r="E34" t="s">
        <v>21</v>
      </c>
      <c r="F34">
        <v>1</v>
      </c>
      <c r="G34">
        <f t="shared" ref="G34:G38" si="11">G33+5</f>
        <v>15</v>
      </c>
      <c r="I34">
        <v>2100</v>
      </c>
      <c r="J34" t="s">
        <v>28</v>
      </c>
      <c r="K34">
        <f t="shared" ref="K34:K38" si="12">AVERAGE(G34:G35)</f>
        <v>17.5</v>
      </c>
      <c r="L34" cm="1">
        <f t="array" ref="L34">STOWA2024_JAARROND_T(A34*60,K34,I34,J34,"")</f>
        <v>4.4165998289173412E-2</v>
      </c>
      <c r="M34">
        <f t="shared" ref="M34:M38" si="13">1/L34</f>
        <v>22.641852074815073</v>
      </c>
    </row>
    <row r="35" spans="1:13" x14ac:dyDescent="0.3">
      <c r="A35">
        <v>48</v>
      </c>
      <c r="B35">
        <f t="shared" si="9"/>
        <v>9.597327679677722</v>
      </c>
      <c r="C35">
        <f t="shared" si="10"/>
        <v>9.597327679677722</v>
      </c>
      <c r="D35" t="s">
        <v>33</v>
      </c>
      <c r="E35" t="s">
        <v>21</v>
      </c>
      <c r="F35">
        <v>1</v>
      </c>
      <c r="G35">
        <f t="shared" si="11"/>
        <v>20</v>
      </c>
      <c r="I35">
        <v>2100</v>
      </c>
      <c r="J35" t="s">
        <v>28</v>
      </c>
      <c r="K35">
        <f t="shared" si="12"/>
        <v>22.5</v>
      </c>
      <c r="L35" cm="1">
        <f t="array" ref="L35">STOWA2024_JAARROND_T(A35*60,K35,I35,J35,"")</f>
        <v>7.6660518215043022E-2</v>
      </c>
      <c r="M35">
        <f t="shared" si="13"/>
        <v>13.044524395137351</v>
      </c>
    </row>
    <row r="36" spans="1:13" x14ac:dyDescent="0.3">
      <c r="A36">
        <v>48</v>
      </c>
      <c r="B36">
        <f t="shared" si="9"/>
        <v>5.3074112909276803</v>
      </c>
      <c r="C36">
        <f t="shared" si="10"/>
        <v>5.3074112909276803</v>
      </c>
      <c r="D36" t="s">
        <v>33</v>
      </c>
      <c r="E36" t="s">
        <v>21</v>
      </c>
      <c r="F36">
        <v>1</v>
      </c>
      <c r="G36">
        <f t="shared" si="11"/>
        <v>25</v>
      </c>
      <c r="I36">
        <v>2100</v>
      </c>
      <c r="J36" t="s">
        <v>28</v>
      </c>
      <c r="K36">
        <f t="shared" si="12"/>
        <v>27.5</v>
      </c>
      <c r="L36" cm="1">
        <f t="array" ref="L36">STOWA2024_JAARROND_T(A36*60,K36,I36,J36,"")</f>
        <v>0.12924717352986761</v>
      </c>
      <c r="M36">
        <f t="shared" si="13"/>
        <v>7.737113104209671</v>
      </c>
    </row>
    <row r="37" spans="1:13" x14ac:dyDescent="0.3">
      <c r="A37">
        <v>48</v>
      </c>
      <c r="B37">
        <f t="shared" si="9"/>
        <v>3.0265008943664595</v>
      </c>
      <c r="C37">
        <f t="shared" si="10"/>
        <v>3.0265008943664595</v>
      </c>
      <c r="D37" t="s">
        <v>33</v>
      </c>
      <c r="E37" t="s">
        <v>21</v>
      </c>
      <c r="F37">
        <v>1</v>
      </c>
      <c r="G37">
        <f t="shared" si="11"/>
        <v>30</v>
      </c>
      <c r="I37">
        <v>2100</v>
      </c>
      <c r="J37" t="s">
        <v>28</v>
      </c>
      <c r="K37">
        <f t="shared" si="12"/>
        <v>32.5</v>
      </c>
      <c r="L37" cm="1">
        <f t="array" ref="L37">STOWA2024_JAARROND_T(A37*60,K37,I37,J37,"")</f>
        <v>0.21228663185443664</v>
      </c>
      <c r="M37">
        <f t="shared" si="13"/>
        <v>4.7106122098432115</v>
      </c>
    </row>
    <row r="38" spans="1:13" x14ac:dyDescent="0.3">
      <c r="A38">
        <v>48</v>
      </c>
      <c r="B38">
        <f t="shared" si="9"/>
        <v>1.7739031069726185</v>
      </c>
      <c r="C38">
        <f t="shared" si="10"/>
        <v>1.7739031069726185</v>
      </c>
      <c r="D38" t="s">
        <v>33</v>
      </c>
      <c r="E38" t="s">
        <v>21</v>
      </c>
      <c r="F38">
        <v>1</v>
      </c>
      <c r="G38">
        <f t="shared" si="11"/>
        <v>35</v>
      </c>
      <c r="I38">
        <v>2100</v>
      </c>
      <c r="J38" t="s">
        <v>28</v>
      </c>
      <c r="K38">
        <f t="shared" si="12"/>
        <v>37.5</v>
      </c>
      <c r="L38" cm="1">
        <f t="array" ref="L38">STOWA2024_JAARROND_T(A38*60,K38,I38,J38,"")</f>
        <v>0.34051721330604851</v>
      </c>
      <c r="M38">
        <f t="shared" si="13"/>
        <v>2.9367091028705929</v>
      </c>
    </row>
    <row r="39" spans="1:13" x14ac:dyDescent="0.3">
      <c r="A39">
        <v>48</v>
      </c>
      <c r="B39">
        <f>M38-M39</f>
        <v>1.0660856551351292</v>
      </c>
      <c r="C39">
        <f t="shared" si="10"/>
        <v>1.0660856551351292</v>
      </c>
      <c r="D39" t="s">
        <v>33</v>
      </c>
      <c r="E39" t="s">
        <v>21</v>
      </c>
      <c r="F39">
        <v>1</v>
      </c>
      <c r="G39">
        <f>G38+5</f>
        <v>40</v>
      </c>
      <c r="I39">
        <v>2100</v>
      </c>
      <c r="J39" t="s">
        <v>28</v>
      </c>
      <c r="K39">
        <f>AVERAGE(G39:G40)</f>
        <v>42.5</v>
      </c>
      <c r="L39" cm="1">
        <f t="array" ref="L39">STOWA2024_JAARROND_T(A39*60,K39,I39,J39,"")</f>
        <v>0.53458113187374956</v>
      </c>
      <c r="M39">
        <f>1/L39</f>
        <v>1.8706234477354637</v>
      </c>
    </row>
    <row r="40" spans="1:13" x14ac:dyDescent="0.3">
      <c r="A40">
        <v>48</v>
      </c>
      <c r="B40">
        <f t="shared" ref="B40:B62" si="14">M39-M40</f>
        <v>0.65545290656328414</v>
      </c>
      <c r="C40">
        <f t="shared" si="10"/>
        <v>0.65545290656328414</v>
      </c>
      <c r="D40" t="s">
        <v>33</v>
      </c>
      <c r="E40" t="s">
        <v>21</v>
      </c>
      <c r="F40">
        <v>1</v>
      </c>
      <c r="G40">
        <f t="shared" ref="G40:G63" si="15">G39+5</f>
        <v>45</v>
      </c>
      <c r="I40">
        <v>2100</v>
      </c>
      <c r="J40" t="s">
        <v>28</v>
      </c>
      <c r="K40">
        <f t="shared" ref="K40:K62" si="16">AVERAGE(G40:G41)</f>
        <v>47.5</v>
      </c>
      <c r="L40" cm="1">
        <f t="array" ref="L40">STOWA2024_JAARROND_T(A40*60,K40,I40,J40,"")</f>
        <v>0.82292975851387784</v>
      </c>
      <c r="M40">
        <f t="shared" ref="M40:M62" si="17">1/L40</f>
        <v>1.2151705411721796</v>
      </c>
    </row>
    <row r="41" spans="1:13" x14ac:dyDescent="0.3">
      <c r="A41">
        <v>48</v>
      </c>
      <c r="B41">
        <f t="shared" si="14"/>
        <v>0.41135400982911119</v>
      </c>
      <c r="C41">
        <f t="shared" si="10"/>
        <v>0.41135400982911119</v>
      </c>
      <c r="D41" t="s">
        <v>33</v>
      </c>
      <c r="E41" t="s">
        <v>21</v>
      </c>
      <c r="F41">
        <v>1</v>
      </c>
      <c r="G41">
        <f t="shared" si="15"/>
        <v>50</v>
      </c>
      <c r="I41">
        <v>2100</v>
      </c>
      <c r="J41" t="s">
        <v>28</v>
      </c>
      <c r="K41">
        <f t="shared" si="16"/>
        <v>52.5</v>
      </c>
      <c r="L41" cm="1">
        <f t="array" ref="L41">STOWA2024_JAARROND_T(A41*60,K41,I41,J41,"")</f>
        <v>1.2440649837458999</v>
      </c>
      <c r="M41">
        <f t="shared" si="17"/>
        <v>0.80381653134306841</v>
      </c>
    </row>
    <row r="42" spans="1:13" x14ac:dyDescent="0.3">
      <c r="A42">
        <v>48</v>
      </c>
      <c r="B42">
        <f t="shared" si="14"/>
        <v>0.26328481094075895</v>
      </c>
      <c r="C42">
        <f t="shared" si="10"/>
        <v>0.26328481094075895</v>
      </c>
      <c r="D42" t="s">
        <v>33</v>
      </c>
      <c r="E42" t="s">
        <v>21</v>
      </c>
      <c r="F42">
        <v>1</v>
      </c>
      <c r="G42">
        <f t="shared" si="15"/>
        <v>55</v>
      </c>
      <c r="I42">
        <v>2100</v>
      </c>
      <c r="J42" t="s">
        <v>28</v>
      </c>
      <c r="K42">
        <f t="shared" si="16"/>
        <v>57.5</v>
      </c>
      <c r="L42" cm="1">
        <f t="array" ref="L42">STOWA2024_JAARROND_T(A42*60,K42,I42,J42,"")</f>
        <v>1.8500301874156715</v>
      </c>
      <c r="M42">
        <f t="shared" si="17"/>
        <v>0.54053172040230946</v>
      </c>
    </row>
    <row r="43" spans="1:13" x14ac:dyDescent="0.3">
      <c r="A43">
        <v>48</v>
      </c>
      <c r="B43">
        <f t="shared" si="14"/>
        <v>0.17145642701892744</v>
      </c>
      <c r="C43">
        <f t="shared" si="10"/>
        <v>0.17145642701892744</v>
      </c>
      <c r="D43" t="s">
        <v>33</v>
      </c>
      <c r="E43" t="s">
        <v>21</v>
      </c>
      <c r="F43">
        <v>1</v>
      </c>
      <c r="G43">
        <f t="shared" si="15"/>
        <v>60</v>
      </c>
      <c r="I43">
        <v>2100</v>
      </c>
      <c r="J43" t="s">
        <v>28</v>
      </c>
      <c r="K43">
        <f t="shared" si="16"/>
        <v>62.5</v>
      </c>
      <c r="L43" cm="1">
        <f t="array" ref="L43">STOWA2024_JAARROND_T(A43*60,K43,I43,J43,"")</f>
        <v>2.7094742398842619</v>
      </c>
      <c r="M43">
        <f t="shared" si="17"/>
        <v>0.36907529338338202</v>
      </c>
    </row>
    <row r="44" spans="1:13" x14ac:dyDescent="0.3">
      <c r="A44">
        <v>48</v>
      </c>
      <c r="B44">
        <f t="shared" si="14"/>
        <v>0.11348204777369414</v>
      </c>
      <c r="C44">
        <f t="shared" si="10"/>
        <v>0.11348204777369414</v>
      </c>
      <c r="D44" t="s">
        <v>33</v>
      </c>
      <c r="E44" t="s">
        <v>21</v>
      </c>
      <c r="F44">
        <v>1</v>
      </c>
      <c r="G44">
        <f t="shared" si="15"/>
        <v>65</v>
      </c>
      <c r="I44">
        <v>2100</v>
      </c>
      <c r="J44" t="s">
        <v>28</v>
      </c>
      <c r="K44">
        <f t="shared" si="16"/>
        <v>67.5</v>
      </c>
      <c r="L44" cm="1">
        <f t="array" ref="L44">STOWA2024_JAARROND_T(A44*60,K44,I44,J44,"")</f>
        <v>3.9124664566726586</v>
      </c>
      <c r="M44">
        <f t="shared" si="17"/>
        <v>0.25559324560968788</v>
      </c>
    </row>
    <row r="45" spans="1:13" x14ac:dyDescent="0.3">
      <c r="A45">
        <v>48</v>
      </c>
      <c r="B45">
        <f t="shared" si="14"/>
        <v>7.6244877214239365E-2</v>
      </c>
      <c r="C45">
        <f t="shared" si="10"/>
        <v>7.6244877214239365E-2</v>
      </c>
      <c r="D45" t="s">
        <v>33</v>
      </c>
      <c r="E45" t="s">
        <v>21</v>
      </c>
      <c r="F45">
        <v>1</v>
      </c>
      <c r="G45">
        <f t="shared" si="15"/>
        <v>70</v>
      </c>
      <c r="I45">
        <v>2100</v>
      </c>
      <c r="J45" t="s">
        <v>28</v>
      </c>
      <c r="K45">
        <f t="shared" si="16"/>
        <v>72.5</v>
      </c>
      <c r="L45" cm="1">
        <f t="array" ref="L45">STOWA2024_JAARROND_T(A45*60,K45,I45,J45,"")</f>
        <v>5.5757407159405075</v>
      </c>
      <c r="M45">
        <f t="shared" si="17"/>
        <v>0.17934836839544852</v>
      </c>
    </row>
    <row r="46" spans="1:13" x14ac:dyDescent="0.3">
      <c r="A46">
        <v>48</v>
      </c>
      <c r="B46">
        <f t="shared" si="14"/>
        <v>5.1954206728816205E-2</v>
      </c>
      <c r="C46">
        <f t="shared" si="10"/>
        <v>5.1954206728816205E-2</v>
      </c>
      <c r="D46" t="s">
        <v>33</v>
      </c>
      <c r="E46" t="s">
        <v>21</v>
      </c>
      <c r="F46">
        <v>1</v>
      </c>
      <c r="G46">
        <f t="shared" si="15"/>
        <v>75</v>
      </c>
      <c r="I46">
        <v>2100</v>
      </c>
      <c r="J46" t="s">
        <v>28</v>
      </c>
      <c r="K46">
        <f t="shared" si="16"/>
        <v>77.5</v>
      </c>
      <c r="L46" cm="1">
        <f t="array" ref="L46">STOWA2024_JAARROND_T(A46*60,K46,I46,J46,"")</f>
        <v>7.8496532880119005</v>
      </c>
      <c r="M46">
        <f t="shared" si="17"/>
        <v>0.12739416166663231</v>
      </c>
    </row>
    <row r="47" spans="1:13" x14ac:dyDescent="0.3">
      <c r="A47">
        <v>48</v>
      </c>
      <c r="B47">
        <f t="shared" si="14"/>
        <v>3.5864437194530419E-2</v>
      </c>
      <c r="C47">
        <f t="shared" si="10"/>
        <v>3.5864437194530419E-2</v>
      </c>
      <c r="D47" t="s">
        <v>33</v>
      </c>
      <c r="E47" t="s">
        <v>21</v>
      </c>
      <c r="F47">
        <v>1</v>
      </c>
      <c r="G47">
        <f t="shared" si="15"/>
        <v>80</v>
      </c>
      <c r="I47">
        <v>2100</v>
      </c>
      <c r="J47" t="s">
        <v>28</v>
      </c>
      <c r="K47">
        <f t="shared" si="16"/>
        <v>82.5</v>
      </c>
      <c r="L47" cm="1">
        <f t="array" ref="L47">STOWA2024_JAARROND_T(A47*60,K47,I47,J47,"")</f>
        <v>10.925412545132247</v>
      </c>
      <c r="M47">
        <f t="shared" si="17"/>
        <v>9.1529724472101892E-2</v>
      </c>
    </row>
    <row r="48" spans="1:13" x14ac:dyDescent="0.3">
      <c r="A48">
        <v>48</v>
      </c>
      <c r="B48">
        <f t="shared" si="14"/>
        <v>2.5062786530482675E-2</v>
      </c>
      <c r="C48">
        <f t="shared" si="10"/>
        <v>2.5062786530482675E-2</v>
      </c>
      <c r="D48" t="s">
        <v>33</v>
      </c>
      <c r="E48" t="s">
        <v>21</v>
      </c>
      <c r="F48">
        <v>1</v>
      </c>
      <c r="G48">
        <f t="shared" si="15"/>
        <v>85</v>
      </c>
      <c r="I48">
        <v>2100</v>
      </c>
      <c r="J48" t="s">
        <v>28</v>
      </c>
      <c r="K48">
        <f t="shared" si="16"/>
        <v>87.5</v>
      </c>
      <c r="L48" cm="1">
        <f t="array" ref="L48">STOWA2024_JAARROND_T(A48*60,K48,I48,J48,"")</f>
        <v>15.04507400172915</v>
      </c>
      <c r="M48">
        <f t="shared" si="17"/>
        <v>6.6466937941619217E-2</v>
      </c>
    </row>
    <row r="49" spans="1:13" x14ac:dyDescent="0.3">
      <c r="A49">
        <v>48</v>
      </c>
      <c r="B49">
        <f t="shared" si="14"/>
        <v>1.771415799121686E-2</v>
      </c>
      <c r="C49">
        <f t="shared" si="10"/>
        <v>1.771415799121686E-2</v>
      </c>
      <c r="D49" t="s">
        <v>33</v>
      </c>
      <c r="E49" t="s">
        <v>21</v>
      </c>
      <c r="F49">
        <v>1</v>
      </c>
      <c r="G49">
        <f t="shared" si="15"/>
        <v>90</v>
      </c>
      <c r="I49">
        <v>2100</v>
      </c>
      <c r="J49" t="s">
        <v>28</v>
      </c>
      <c r="K49">
        <f t="shared" si="16"/>
        <v>92.5</v>
      </c>
      <c r="L49" cm="1">
        <f t="array" ref="L49">STOWA2024_JAARROND_T(A49*60,K49,I49,J49,"")</f>
        <v>20.511650843650958</v>
      </c>
      <c r="M49">
        <f t="shared" si="17"/>
        <v>4.8752779950402357E-2</v>
      </c>
    </row>
    <row r="50" spans="1:13" x14ac:dyDescent="0.3">
      <c r="A50">
        <v>48</v>
      </c>
      <c r="B50">
        <f t="shared" si="14"/>
        <v>1.2655440633619362E-2</v>
      </c>
      <c r="C50">
        <f t="shared" si="10"/>
        <v>1.2655440633619362E-2</v>
      </c>
      <c r="D50" t="s">
        <v>33</v>
      </c>
      <c r="E50" t="s">
        <v>21</v>
      </c>
      <c r="F50">
        <v>1</v>
      </c>
      <c r="G50">
        <f t="shared" si="15"/>
        <v>95</v>
      </c>
      <c r="I50">
        <v>2100</v>
      </c>
      <c r="J50" t="s">
        <v>28</v>
      </c>
      <c r="K50">
        <f t="shared" si="16"/>
        <v>97.5</v>
      </c>
      <c r="L50" cm="1">
        <f t="array" ref="L50">STOWA2024_JAARROND_T(A50*60,K50,I50,J50,"")</f>
        <v>27.702872813538999</v>
      </c>
      <c r="M50">
        <f t="shared" si="17"/>
        <v>3.6097339316782995E-2</v>
      </c>
    </row>
    <row r="51" spans="1:13" x14ac:dyDescent="0.3">
      <c r="A51">
        <v>48</v>
      </c>
      <c r="B51">
        <f t="shared" si="14"/>
        <v>9.1328102952952621E-3</v>
      </c>
      <c r="C51">
        <f t="shared" si="10"/>
        <v>9.1328102952952621E-3</v>
      </c>
      <c r="D51" t="s">
        <v>33</v>
      </c>
      <c r="E51" t="s">
        <v>21</v>
      </c>
      <c r="F51">
        <v>1</v>
      </c>
      <c r="G51">
        <f t="shared" si="15"/>
        <v>100</v>
      </c>
      <c r="I51">
        <v>2100</v>
      </c>
      <c r="J51" t="s">
        <v>28</v>
      </c>
      <c r="K51">
        <f t="shared" si="16"/>
        <v>102.5</v>
      </c>
      <c r="L51" cm="1">
        <f t="array" ref="L51">STOWA2024_JAARROND_T(A51*60,K51,I51,J51,"")</f>
        <v>37.085758078812027</v>
      </c>
      <c r="M51">
        <f t="shared" si="17"/>
        <v>2.6964529021487733E-2</v>
      </c>
    </row>
    <row r="52" spans="1:13" x14ac:dyDescent="0.3">
      <c r="A52">
        <v>48</v>
      </c>
      <c r="B52">
        <f t="shared" si="14"/>
        <v>6.6532985857448469E-3</v>
      </c>
      <c r="C52">
        <f t="shared" si="10"/>
        <v>6.6532985857448469E-3</v>
      </c>
      <c r="D52" t="s">
        <v>33</v>
      </c>
      <c r="E52" t="s">
        <v>21</v>
      </c>
      <c r="F52">
        <v>1</v>
      </c>
      <c r="G52">
        <f t="shared" si="15"/>
        <v>105</v>
      </c>
      <c r="I52">
        <v>2100</v>
      </c>
      <c r="J52" t="s">
        <v>28</v>
      </c>
      <c r="K52">
        <f t="shared" si="16"/>
        <v>107.5</v>
      </c>
      <c r="L52" cm="1">
        <f t="array" ref="L52">STOWA2024_JAARROND_T(A52*60,K52,I52,J52,"")</f>
        <v>49.233846426174175</v>
      </c>
      <c r="M52">
        <f t="shared" si="17"/>
        <v>2.0311230435742886E-2</v>
      </c>
    </row>
    <row r="53" spans="1:13" x14ac:dyDescent="0.3">
      <c r="A53">
        <v>48</v>
      </c>
      <c r="B53">
        <f t="shared" si="14"/>
        <v>4.8907957016375778E-3</v>
      </c>
      <c r="C53">
        <f t="shared" si="10"/>
        <v>4.8907957016375778E-3</v>
      </c>
      <c r="D53" t="s">
        <v>33</v>
      </c>
      <c r="E53" t="s">
        <v>21</v>
      </c>
      <c r="F53">
        <v>1</v>
      </c>
      <c r="G53">
        <f t="shared" si="15"/>
        <v>110</v>
      </c>
      <c r="I53">
        <v>2100</v>
      </c>
      <c r="J53" t="s">
        <v>28</v>
      </c>
      <c r="K53">
        <f t="shared" si="16"/>
        <v>112.5</v>
      </c>
      <c r="L53" cm="1">
        <f t="array" ref="L53">STOWA2024_JAARROND_T(A53*60,K53,I53,J53,"")</f>
        <v>64.849014780906558</v>
      </c>
      <c r="M53">
        <f t="shared" si="17"/>
        <v>1.5420434734105308E-2</v>
      </c>
    </row>
    <row r="54" spans="1:13" x14ac:dyDescent="0.3">
      <c r="A54">
        <v>48</v>
      </c>
      <c r="B54">
        <f t="shared" si="14"/>
        <v>3.6255724252699986E-3</v>
      </c>
      <c r="C54">
        <f t="shared" si="10"/>
        <v>3.6255724252699986E-3</v>
      </c>
      <c r="D54" t="s">
        <v>33</v>
      </c>
      <c r="E54" t="s">
        <v>21</v>
      </c>
      <c r="F54">
        <v>1</v>
      </c>
      <c r="G54">
        <f t="shared" si="15"/>
        <v>115</v>
      </c>
      <c r="I54">
        <v>2100</v>
      </c>
      <c r="J54" t="s">
        <v>28</v>
      </c>
      <c r="K54">
        <f t="shared" si="16"/>
        <v>117.5</v>
      </c>
      <c r="L54" cm="1">
        <f t="array" ref="L54">STOWA2024_JAARROND_T(A54*60,K54,I54,J54,"")</f>
        <v>84.782676882198004</v>
      </c>
      <c r="M54">
        <f t="shared" si="17"/>
        <v>1.1794862308835309E-2</v>
      </c>
    </row>
    <row r="55" spans="1:13" x14ac:dyDescent="0.3">
      <c r="A55">
        <v>48</v>
      </c>
      <c r="B55">
        <f t="shared" si="14"/>
        <v>2.7091773089230504E-3</v>
      </c>
      <c r="C55">
        <f t="shared" si="10"/>
        <v>2.7091773089230504E-3</v>
      </c>
      <c r="D55" t="s">
        <v>33</v>
      </c>
      <c r="E55" t="s">
        <v>21</v>
      </c>
      <c r="F55">
        <v>1</v>
      </c>
      <c r="G55">
        <f t="shared" si="15"/>
        <v>120</v>
      </c>
      <c r="I55">
        <v>2100</v>
      </c>
      <c r="J55" t="s">
        <v>28</v>
      </c>
      <c r="K55">
        <f t="shared" si="16"/>
        <v>122.5</v>
      </c>
      <c r="L55" cm="1">
        <f t="array" ref="L55">STOWA2024_JAARROND_T(A55*60,K55,I55,J55,"")</f>
        <v>110.06324784643722</v>
      </c>
      <c r="M55">
        <f t="shared" si="17"/>
        <v>9.085684999912259E-3</v>
      </c>
    </row>
    <row r="56" spans="1:13" x14ac:dyDescent="0.3">
      <c r="A56">
        <v>48</v>
      </c>
      <c r="B56">
        <f t="shared" si="14"/>
        <v>2.0399342194675927E-3</v>
      </c>
      <c r="C56">
        <f t="shared" si="10"/>
        <v>2.0399342194675927E-3</v>
      </c>
      <c r="D56" t="s">
        <v>33</v>
      </c>
      <c r="E56" t="s">
        <v>21</v>
      </c>
      <c r="F56">
        <v>1</v>
      </c>
      <c r="G56">
        <f t="shared" si="15"/>
        <v>125</v>
      </c>
      <c r="I56">
        <v>2100</v>
      </c>
      <c r="J56" t="s">
        <v>28</v>
      </c>
      <c r="K56">
        <f t="shared" si="16"/>
        <v>127.5</v>
      </c>
      <c r="L56" cm="1">
        <f t="array" ref="L56">STOWA2024_JAARROND_T(A56*60,K56,I56,J56,"")</f>
        <v>141.92951626609886</v>
      </c>
      <c r="M56">
        <f t="shared" si="17"/>
        <v>7.0457507804446663E-3</v>
      </c>
    </row>
    <row r="57" spans="1:13" x14ac:dyDescent="0.3">
      <c r="A57">
        <v>48</v>
      </c>
      <c r="B57">
        <f t="shared" si="14"/>
        <v>1.5470205055884102E-3</v>
      </c>
      <c r="C57">
        <f t="shared" si="10"/>
        <v>1.5470205055884102E-3</v>
      </c>
      <c r="D57" t="s">
        <v>33</v>
      </c>
      <c r="E57" t="s">
        <v>21</v>
      </c>
      <c r="F57">
        <v>1</v>
      </c>
      <c r="G57">
        <f t="shared" si="15"/>
        <v>130</v>
      </c>
      <c r="I57">
        <v>2100</v>
      </c>
      <c r="J57" t="s">
        <v>28</v>
      </c>
      <c r="K57">
        <f t="shared" si="16"/>
        <v>132.5</v>
      </c>
      <c r="L57" cm="1">
        <f t="array" ref="L57">STOWA2024_JAARROND_T(A57*60,K57,I57,J57,"")</f>
        <v>181.86016589550599</v>
      </c>
      <c r="M57">
        <f t="shared" si="17"/>
        <v>5.4987302748562561E-3</v>
      </c>
    </row>
    <row r="58" spans="1:13" x14ac:dyDescent="0.3">
      <c r="A58">
        <v>48</v>
      </c>
      <c r="B58">
        <f t="shared" si="14"/>
        <v>1.1813015176624277E-3</v>
      </c>
      <c r="C58">
        <f t="shared" si="10"/>
        <v>1.1813015176624277E-3</v>
      </c>
      <c r="D58" t="s">
        <v>33</v>
      </c>
      <c r="E58" t="s">
        <v>21</v>
      </c>
      <c r="F58">
        <v>1</v>
      </c>
      <c r="G58">
        <f t="shared" si="15"/>
        <v>135</v>
      </c>
      <c r="I58">
        <v>2100</v>
      </c>
      <c r="J58" t="s">
        <v>28</v>
      </c>
      <c r="K58">
        <f t="shared" si="16"/>
        <v>137.5</v>
      </c>
      <c r="L58" cm="1">
        <f t="array" ref="L58">STOWA2024_JAARROND_T(A58*60,K58,I58,J58,"")</f>
        <v>231.61934017643495</v>
      </c>
      <c r="M58">
        <f t="shared" si="17"/>
        <v>4.3174287571938284E-3</v>
      </c>
    </row>
    <row r="59" spans="1:13" x14ac:dyDescent="0.3">
      <c r="A59">
        <v>48</v>
      </c>
      <c r="B59">
        <f t="shared" si="14"/>
        <v>9.0795410681846107E-4</v>
      </c>
      <c r="C59">
        <f t="shared" si="10"/>
        <v>9.0795410681846107E-4</v>
      </c>
      <c r="D59" t="s">
        <v>33</v>
      </c>
      <c r="E59" t="s">
        <v>21</v>
      </c>
      <c r="F59">
        <v>1</v>
      </c>
      <c r="G59">
        <f t="shared" si="15"/>
        <v>140</v>
      </c>
      <c r="I59">
        <v>2100</v>
      </c>
      <c r="J59" t="s">
        <v>28</v>
      </c>
      <c r="K59">
        <f t="shared" si="16"/>
        <v>142.5</v>
      </c>
      <c r="L59" cm="1">
        <f t="array" ref="L59">STOWA2024_JAARROND_T(A59*60,K59,I59,J59,"")</f>
        <v>293.3003182440159</v>
      </c>
      <c r="M59">
        <f t="shared" si="17"/>
        <v>3.4094746503753673E-3</v>
      </c>
    </row>
    <row r="60" spans="1:13" x14ac:dyDescent="0.3">
      <c r="A60">
        <v>48</v>
      </c>
      <c r="B60">
        <f t="shared" si="14"/>
        <v>7.0216117542566377E-4</v>
      </c>
      <c r="C60">
        <f t="shared" si="10"/>
        <v>7.0216117542566377E-4</v>
      </c>
      <c r="D60" t="s">
        <v>33</v>
      </c>
      <c r="E60" t="s">
        <v>21</v>
      </c>
      <c r="F60">
        <v>1</v>
      </c>
      <c r="G60">
        <f t="shared" si="15"/>
        <v>145</v>
      </c>
      <c r="I60">
        <v>2100</v>
      </c>
      <c r="J60" t="s">
        <v>28</v>
      </c>
      <c r="K60">
        <f t="shared" si="16"/>
        <v>147.5</v>
      </c>
      <c r="L60" cm="1">
        <f t="array" ref="L60">STOWA2024_JAARROND_T(A60*60,K60,I60,J60,"")</f>
        <v>369.36986028874179</v>
      </c>
      <c r="M60">
        <f t="shared" si="17"/>
        <v>2.7073134749497035E-3</v>
      </c>
    </row>
    <row r="61" spans="1:13" x14ac:dyDescent="0.3">
      <c r="A61">
        <v>48</v>
      </c>
      <c r="B61">
        <f t="shared" si="14"/>
        <v>5.4625234522784382E-4</v>
      </c>
      <c r="C61">
        <f t="shared" si="10"/>
        <v>5.4625234522784382E-4</v>
      </c>
      <c r="D61" t="s">
        <v>33</v>
      </c>
      <c r="E61" t="s">
        <v>21</v>
      </c>
      <c r="F61">
        <v>1</v>
      </c>
      <c r="G61">
        <f t="shared" si="15"/>
        <v>150</v>
      </c>
      <c r="I61">
        <v>2100</v>
      </c>
      <c r="J61" t="s">
        <v>28</v>
      </c>
      <c r="K61">
        <f t="shared" si="16"/>
        <v>152.5</v>
      </c>
      <c r="L61" cm="1">
        <f t="array" ref="L61">STOWA2024_JAARROND_T(A61*60,K61,I61,J61,"")</f>
        <v>462.73563771363814</v>
      </c>
      <c r="M61">
        <f t="shared" si="17"/>
        <v>2.1610611297218597E-3</v>
      </c>
    </row>
    <row r="62" spans="1:13" x14ac:dyDescent="0.3">
      <c r="A62">
        <v>48</v>
      </c>
      <c r="B62">
        <f t="shared" si="14"/>
        <v>4.2737009117170153E-4</v>
      </c>
      <c r="C62">
        <f t="shared" si="10"/>
        <v>4.2737009117170153E-4</v>
      </c>
      <c r="D62" t="s">
        <v>33</v>
      </c>
      <c r="E62" t="s">
        <v>21</v>
      </c>
      <c r="F62">
        <v>1</v>
      </c>
      <c r="G62">
        <f t="shared" si="15"/>
        <v>155</v>
      </c>
      <c r="I62">
        <v>2100</v>
      </c>
      <c r="J62" t="s">
        <v>28</v>
      </c>
      <c r="K62">
        <f t="shared" si="16"/>
        <v>157.5</v>
      </c>
      <c r="L62" cm="1">
        <f t="array" ref="L62">STOWA2024_JAARROND_T(A62*60,K62,I62,J62,"")</f>
        <v>576.80404279892605</v>
      </c>
      <c r="M62">
        <f t="shared" si="17"/>
        <v>1.7336910385501582E-3</v>
      </c>
    </row>
    <row r="63" spans="1:13" x14ac:dyDescent="0.3">
      <c r="A63">
        <v>48</v>
      </c>
      <c r="B63" s="1">
        <f>M62</f>
        <v>1.7336910385501582E-3</v>
      </c>
      <c r="C63">
        <f t="shared" si="10"/>
        <v>1.7336910385501582E-3</v>
      </c>
      <c r="D63" t="s">
        <v>33</v>
      </c>
      <c r="E63" t="s">
        <v>21</v>
      </c>
      <c r="F63">
        <v>1</v>
      </c>
      <c r="G63">
        <f t="shared" si="15"/>
        <v>160</v>
      </c>
      <c r="I63">
        <v>2100</v>
      </c>
      <c r="J63" t="s">
        <v>28</v>
      </c>
      <c r="K63">
        <f>AVERAGE(G63:G64)</f>
        <v>85</v>
      </c>
      <c r="L63" cm="1">
        <f t="array" ref="L63">STOWA2024_JAARROND_T(A63*60,K63,I63,J63,"")</f>
        <v>12.837457981936044</v>
      </c>
      <c r="M63">
        <f>1/L63</f>
        <v>7.7897041720185467E-2</v>
      </c>
    </row>
    <row r="64" spans="1:13" x14ac:dyDescent="0.3">
      <c r="A64">
        <v>96</v>
      </c>
      <c r="B64" s="1">
        <f>365.25*24/A64 - M64</f>
        <v>47.05640017581257</v>
      </c>
      <c r="C64">
        <f>B64</f>
        <v>47.05640017581257</v>
      </c>
      <c r="D64" t="s">
        <v>33</v>
      </c>
      <c r="E64" t="s">
        <v>21</v>
      </c>
      <c r="F64">
        <v>1</v>
      </c>
      <c r="G64">
        <v>10</v>
      </c>
      <c r="I64">
        <v>2100</v>
      </c>
      <c r="J64" t="s">
        <v>28</v>
      </c>
      <c r="K64">
        <f>AVERAGE(G64:G66)</f>
        <v>15</v>
      </c>
      <c r="L64" cm="1">
        <f t="array" ref="L64">STOWA2024_JAARROND_T(A64*60,K64,I64,J64,"")</f>
        <v>2.2595755251199671E-2</v>
      </c>
      <c r="M64">
        <f>1/L64</f>
        <v>44.25609982418743</v>
      </c>
    </row>
    <row r="65" spans="1:13" x14ac:dyDescent="0.3">
      <c r="A65">
        <v>96</v>
      </c>
      <c r="B65">
        <f t="shared" ref="B65:B69" si="18">M64-M65</f>
        <v>8.6892928917007879</v>
      </c>
      <c r="C65">
        <f t="shared" ref="C65:C94" si="19">B65</f>
        <v>8.6892928917007879</v>
      </c>
      <c r="D65" t="s">
        <v>33</v>
      </c>
      <c r="E65" t="s">
        <v>21</v>
      </c>
      <c r="F65">
        <v>1</v>
      </c>
      <c r="G65">
        <f t="shared" ref="G65:G69" si="20">G64+5</f>
        <v>15</v>
      </c>
      <c r="I65">
        <v>2100</v>
      </c>
      <c r="J65" t="s">
        <v>28</v>
      </c>
      <c r="K65">
        <f t="shared" ref="K65:K69" si="21">AVERAGE(G65:G66)</f>
        <v>17.5</v>
      </c>
      <c r="L65" cm="1">
        <f t="array" ref="L65">STOWA2024_JAARROND_T(A65*60,K65,I65,J65,"")</f>
        <v>2.8116102800518825E-2</v>
      </c>
      <c r="M65">
        <f t="shared" ref="M65:M69" si="22">1/L65</f>
        <v>35.566806932486642</v>
      </c>
    </row>
    <row r="66" spans="1:13" x14ac:dyDescent="0.3">
      <c r="A66">
        <v>96</v>
      </c>
      <c r="B66">
        <f t="shared" si="18"/>
        <v>12.421214129736242</v>
      </c>
      <c r="C66">
        <f t="shared" si="19"/>
        <v>12.421214129736242</v>
      </c>
      <c r="D66" t="s">
        <v>33</v>
      </c>
      <c r="E66" t="s">
        <v>21</v>
      </c>
      <c r="F66">
        <v>1</v>
      </c>
      <c r="G66">
        <f t="shared" si="20"/>
        <v>20</v>
      </c>
      <c r="I66">
        <v>2100</v>
      </c>
      <c r="J66" t="s">
        <v>28</v>
      </c>
      <c r="K66">
        <f t="shared" si="21"/>
        <v>22.5</v>
      </c>
      <c r="L66" cm="1">
        <f t="array" ref="L66">STOWA2024_JAARROND_T(A66*60,K66,I66,J66,"")</f>
        <v>4.320476941429513E-2</v>
      </c>
      <c r="M66">
        <f t="shared" si="22"/>
        <v>23.1455928027504</v>
      </c>
    </row>
    <row r="67" spans="1:13" x14ac:dyDescent="0.3">
      <c r="A67">
        <v>96</v>
      </c>
      <c r="B67">
        <f t="shared" si="18"/>
        <v>7.9366773274913474</v>
      </c>
      <c r="C67">
        <f t="shared" si="19"/>
        <v>7.9366773274913474</v>
      </c>
      <c r="D67" t="s">
        <v>33</v>
      </c>
      <c r="E67" t="s">
        <v>21</v>
      </c>
      <c r="F67">
        <v>1</v>
      </c>
      <c r="G67">
        <f t="shared" si="20"/>
        <v>25</v>
      </c>
      <c r="I67">
        <v>2100</v>
      </c>
      <c r="J67" t="s">
        <v>28</v>
      </c>
      <c r="K67">
        <f t="shared" si="21"/>
        <v>27.5</v>
      </c>
      <c r="L67" cm="1">
        <f t="array" ref="L67">STOWA2024_JAARROND_T(A67*60,K67,I67,J67,"")</f>
        <v>6.575090785577313E-2</v>
      </c>
      <c r="M67">
        <f t="shared" si="22"/>
        <v>15.208915475259053</v>
      </c>
    </row>
    <row r="68" spans="1:13" x14ac:dyDescent="0.3">
      <c r="A68">
        <v>96</v>
      </c>
      <c r="B68">
        <f t="shared" si="18"/>
        <v>5.1224459651082732</v>
      </c>
      <c r="C68">
        <f t="shared" si="19"/>
        <v>5.1224459651082732</v>
      </c>
      <c r="D68" t="s">
        <v>33</v>
      </c>
      <c r="E68" t="s">
        <v>21</v>
      </c>
      <c r="F68">
        <v>1</v>
      </c>
      <c r="G68">
        <f t="shared" si="20"/>
        <v>30</v>
      </c>
      <c r="I68">
        <v>2100</v>
      </c>
      <c r="J68" t="s">
        <v>28</v>
      </c>
      <c r="K68">
        <f t="shared" si="21"/>
        <v>32.5</v>
      </c>
      <c r="L68" cm="1">
        <f t="array" ref="L68">STOWA2024_JAARROND_T(A68*60,K68,I68,J68,"")</f>
        <v>9.9142717775890177E-2</v>
      </c>
      <c r="M68">
        <f t="shared" si="22"/>
        <v>10.08646951015078</v>
      </c>
    </row>
    <row r="69" spans="1:13" x14ac:dyDescent="0.3">
      <c r="A69">
        <v>96</v>
      </c>
      <c r="B69">
        <f t="shared" si="18"/>
        <v>3.3376648866417371</v>
      </c>
      <c r="C69">
        <f t="shared" si="19"/>
        <v>3.3376648866417371</v>
      </c>
      <c r="D69" t="s">
        <v>33</v>
      </c>
      <c r="E69" t="s">
        <v>21</v>
      </c>
      <c r="F69">
        <v>1</v>
      </c>
      <c r="G69">
        <f t="shared" si="20"/>
        <v>35</v>
      </c>
      <c r="I69">
        <v>2100</v>
      </c>
      <c r="J69" t="s">
        <v>28</v>
      </c>
      <c r="K69">
        <f t="shared" si="21"/>
        <v>37.5</v>
      </c>
      <c r="L69" cm="1">
        <f t="array" ref="L69">STOWA2024_JAARROND_T(A69*60,K69,I69,J69,"")</f>
        <v>0.14817438876753997</v>
      </c>
      <c r="M69">
        <f t="shared" si="22"/>
        <v>6.7488046235090424</v>
      </c>
    </row>
    <row r="70" spans="1:13" x14ac:dyDescent="0.3">
      <c r="A70">
        <v>96</v>
      </c>
      <c r="B70">
        <f>M69-M70</f>
        <v>2.1948273268664868</v>
      </c>
      <c r="C70">
        <f t="shared" si="19"/>
        <v>2.1948273268664868</v>
      </c>
      <c r="D70" t="s">
        <v>33</v>
      </c>
      <c r="E70" t="s">
        <v>21</v>
      </c>
      <c r="F70">
        <v>1</v>
      </c>
      <c r="G70">
        <f>G69+5</f>
        <v>40</v>
      </c>
      <c r="I70">
        <v>2100</v>
      </c>
      <c r="J70" t="s">
        <v>28</v>
      </c>
      <c r="K70">
        <f>AVERAGE(G70:G71)</f>
        <v>42.5</v>
      </c>
      <c r="L70" cm="1">
        <f t="array" ref="L70">STOWA2024_JAARROND_T(A70*60,K70,I70,J70,"")</f>
        <v>0.21958827083684748</v>
      </c>
      <c r="M70">
        <f>1/L70</f>
        <v>4.5539772966425556</v>
      </c>
    </row>
    <row r="71" spans="1:13" x14ac:dyDescent="0.3">
      <c r="A71">
        <v>96</v>
      </c>
      <c r="B71">
        <f t="shared" ref="B71:B93" si="23">M70-M71</f>
        <v>1.4558776992290632</v>
      </c>
      <c r="C71">
        <f t="shared" si="19"/>
        <v>1.4558776992290632</v>
      </c>
      <c r="D71" t="s">
        <v>33</v>
      </c>
      <c r="E71" t="s">
        <v>21</v>
      </c>
      <c r="F71">
        <v>1</v>
      </c>
      <c r="G71">
        <f t="shared" ref="G71:G94" si="24">G70+5</f>
        <v>45</v>
      </c>
      <c r="I71">
        <v>2100</v>
      </c>
      <c r="J71" t="s">
        <v>28</v>
      </c>
      <c r="K71">
        <f t="shared" ref="K71:K93" si="25">AVERAGE(G71:G72)</f>
        <v>47.5</v>
      </c>
      <c r="L71" cm="1">
        <f t="array" ref="L71">STOWA2024_JAARROND_T(A71*60,K71,I71,J71,"")</f>
        <v>0.32277851907500621</v>
      </c>
      <c r="M71">
        <f t="shared" ref="M71:M93" si="26">1/L71</f>
        <v>3.0980995974134924</v>
      </c>
    </row>
    <row r="72" spans="1:13" x14ac:dyDescent="0.3">
      <c r="A72">
        <v>96</v>
      </c>
      <c r="B72">
        <f t="shared" si="23"/>
        <v>0.97399089478539613</v>
      </c>
      <c r="C72">
        <f t="shared" si="19"/>
        <v>0.97399089478539613</v>
      </c>
      <c r="D72" t="s">
        <v>33</v>
      </c>
      <c r="E72" t="s">
        <v>21</v>
      </c>
      <c r="F72">
        <v>1</v>
      </c>
      <c r="G72">
        <f t="shared" si="24"/>
        <v>50</v>
      </c>
      <c r="I72">
        <v>2100</v>
      </c>
      <c r="J72" t="s">
        <v>28</v>
      </c>
      <c r="K72">
        <f t="shared" si="25"/>
        <v>52.5</v>
      </c>
      <c r="L72" cm="1">
        <f t="array" ref="L72">STOWA2024_JAARROND_T(A72*60,K72,I72,J72,"")</f>
        <v>0.47078569884993643</v>
      </c>
      <c r="M72">
        <f t="shared" si="26"/>
        <v>2.1241087026280963</v>
      </c>
    </row>
    <row r="73" spans="1:13" x14ac:dyDescent="0.3">
      <c r="A73">
        <v>96</v>
      </c>
      <c r="B73">
        <f t="shared" si="23"/>
        <v>0.65683147064604941</v>
      </c>
      <c r="C73">
        <f t="shared" si="19"/>
        <v>0.65683147064604941</v>
      </c>
      <c r="D73" t="s">
        <v>33</v>
      </c>
      <c r="E73" t="s">
        <v>21</v>
      </c>
      <c r="F73">
        <v>1</v>
      </c>
      <c r="G73">
        <f t="shared" si="24"/>
        <v>55</v>
      </c>
      <c r="I73">
        <v>2100</v>
      </c>
      <c r="J73" t="s">
        <v>28</v>
      </c>
      <c r="K73">
        <f t="shared" si="25"/>
        <v>57.5</v>
      </c>
      <c r="L73" cm="1">
        <f t="array" ref="L73">STOWA2024_JAARROND_T(A73*60,K73,I73,J73,"")</f>
        <v>0.68153446274714335</v>
      </c>
      <c r="M73">
        <f t="shared" si="26"/>
        <v>1.4672772319820468</v>
      </c>
    </row>
    <row r="74" spans="1:13" x14ac:dyDescent="0.3">
      <c r="A74">
        <v>96</v>
      </c>
      <c r="B74">
        <f t="shared" si="23"/>
        <v>0.44639624123159449</v>
      </c>
      <c r="C74">
        <f t="shared" si="19"/>
        <v>0.44639624123159449</v>
      </c>
      <c r="D74" t="s">
        <v>33</v>
      </c>
      <c r="E74" t="s">
        <v>21</v>
      </c>
      <c r="F74">
        <v>1</v>
      </c>
      <c r="G74">
        <f t="shared" si="24"/>
        <v>60</v>
      </c>
      <c r="I74">
        <v>2100</v>
      </c>
      <c r="J74" t="s">
        <v>28</v>
      </c>
      <c r="K74">
        <f t="shared" si="25"/>
        <v>62.5</v>
      </c>
      <c r="L74" cm="1">
        <f t="array" ref="L74">STOWA2024_JAARROND_T(A74*60,K74,I74,J74,"")</f>
        <v>0.97954610680418019</v>
      </c>
      <c r="M74">
        <f t="shared" si="26"/>
        <v>1.0208809907504524</v>
      </c>
    </row>
    <row r="75" spans="1:13" x14ac:dyDescent="0.3">
      <c r="A75">
        <v>96</v>
      </c>
      <c r="B75">
        <f t="shared" si="23"/>
        <v>0.30558347412763409</v>
      </c>
      <c r="C75">
        <f t="shared" si="19"/>
        <v>0.30558347412763409</v>
      </c>
      <c r="D75" t="s">
        <v>33</v>
      </c>
      <c r="E75" t="s">
        <v>21</v>
      </c>
      <c r="F75">
        <v>1</v>
      </c>
      <c r="G75">
        <f t="shared" si="24"/>
        <v>65</v>
      </c>
      <c r="I75">
        <v>2100</v>
      </c>
      <c r="J75" t="s">
        <v>28</v>
      </c>
      <c r="K75">
        <f t="shared" si="25"/>
        <v>67.5</v>
      </c>
      <c r="L75" cm="1">
        <f t="array" ref="L75">STOWA2024_JAARROND_T(A75*60,K75,I75,J75,"")</f>
        <v>1.3980196725991256</v>
      </c>
      <c r="M75">
        <f t="shared" si="26"/>
        <v>0.71529751662281826</v>
      </c>
    </row>
    <row r="76" spans="1:13" x14ac:dyDescent="0.3">
      <c r="A76">
        <v>96</v>
      </c>
      <c r="B76">
        <f t="shared" si="23"/>
        <v>0.21081121576108408</v>
      </c>
      <c r="C76">
        <f t="shared" si="19"/>
        <v>0.21081121576108408</v>
      </c>
      <c r="D76" t="s">
        <v>33</v>
      </c>
      <c r="E76" t="s">
        <v>21</v>
      </c>
      <c r="F76">
        <v>1</v>
      </c>
      <c r="G76">
        <f t="shared" si="24"/>
        <v>70</v>
      </c>
      <c r="I76">
        <v>2100</v>
      </c>
      <c r="J76" t="s">
        <v>28</v>
      </c>
      <c r="K76">
        <f t="shared" si="25"/>
        <v>72.5</v>
      </c>
      <c r="L76" cm="1">
        <f t="array" ref="L76">STOWA2024_JAARROND_T(A76*60,K76,I76,J76,"")</f>
        <v>1.9822143798391714</v>
      </c>
      <c r="M76">
        <f t="shared" si="26"/>
        <v>0.50448630086173418</v>
      </c>
    </row>
    <row r="77" spans="1:13" x14ac:dyDescent="0.3">
      <c r="A77">
        <v>96</v>
      </c>
      <c r="B77">
        <f t="shared" si="23"/>
        <v>0.14639149013340769</v>
      </c>
      <c r="C77">
        <f t="shared" si="19"/>
        <v>0.14639149013340769</v>
      </c>
      <c r="D77" t="s">
        <v>33</v>
      </c>
      <c r="E77" t="s">
        <v>21</v>
      </c>
      <c r="F77">
        <v>1</v>
      </c>
      <c r="G77">
        <f t="shared" si="24"/>
        <v>75</v>
      </c>
      <c r="I77">
        <v>2100</v>
      </c>
      <c r="J77" t="s">
        <v>28</v>
      </c>
      <c r="K77">
        <f t="shared" si="25"/>
        <v>77.5</v>
      </c>
      <c r="L77" cm="1">
        <f t="array" ref="L77">STOWA2024_JAARROND_T(A77*60,K77,I77,J77,"")</f>
        <v>2.7925565242515162</v>
      </c>
      <c r="M77">
        <f t="shared" si="26"/>
        <v>0.3580948107283265</v>
      </c>
    </row>
    <row r="78" spans="1:13" x14ac:dyDescent="0.3">
      <c r="A78">
        <v>96</v>
      </c>
      <c r="B78">
        <f t="shared" si="23"/>
        <v>0.10233598654970882</v>
      </c>
      <c r="C78">
        <f t="shared" si="19"/>
        <v>0.10233598654970882</v>
      </c>
      <c r="D78" t="s">
        <v>33</v>
      </c>
      <c r="E78" t="s">
        <v>21</v>
      </c>
      <c r="F78">
        <v>1</v>
      </c>
      <c r="G78">
        <f t="shared" si="24"/>
        <v>80</v>
      </c>
      <c r="I78">
        <v>2100</v>
      </c>
      <c r="J78" t="s">
        <v>28</v>
      </c>
      <c r="K78">
        <f t="shared" si="25"/>
        <v>82.5</v>
      </c>
      <c r="L78" cm="1">
        <f t="array" ref="L78">STOWA2024_JAARROND_T(A78*60,K78,I78,J78,"")</f>
        <v>3.9099335212051831</v>
      </c>
      <c r="M78">
        <f t="shared" si="26"/>
        <v>0.25575882417861767</v>
      </c>
    </row>
    <row r="79" spans="1:13" x14ac:dyDescent="0.3">
      <c r="A79">
        <v>96</v>
      </c>
      <c r="B79">
        <f t="shared" si="23"/>
        <v>7.1997761922935555E-2</v>
      </c>
      <c r="C79">
        <f t="shared" si="19"/>
        <v>7.1997761922935555E-2</v>
      </c>
      <c r="D79" t="s">
        <v>33</v>
      </c>
      <c r="E79" t="s">
        <v>21</v>
      </c>
      <c r="F79">
        <v>1</v>
      </c>
      <c r="G79">
        <f t="shared" si="24"/>
        <v>85</v>
      </c>
      <c r="I79">
        <v>2100</v>
      </c>
      <c r="J79" t="s">
        <v>28</v>
      </c>
      <c r="K79">
        <f t="shared" si="25"/>
        <v>87.5</v>
      </c>
      <c r="L79" cm="1">
        <f t="array" ref="L79">STOWA2024_JAARROND_T(A79*60,K79,I79,J79,"")</f>
        <v>5.4418492564470293</v>
      </c>
      <c r="M79">
        <f t="shared" si="26"/>
        <v>0.18376106225568212</v>
      </c>
    </row>
    <row r="80" spans="1:13" x14ac:dyDescent="0.3">
      <c r="A80">
        <v>96</v>
      </c>
      <c r="B80">
        <f t="shared" si="23"/>
        <v>5.0966380076122336E-2</v>
      </c>
      <c r="C80">
        <f t="shared" si="19"/>
        <v>5.0966380076122336E-2</v>
      </c>
      <c r="D80" t="s">
        <v>33</v>
      </c>
      <c r="E80" t="s">
        <v>21</v>
      </c>
      <c r="F80">
        <v>1</v>
      </c>
      <c r="G80">
        <f t="shared" si="24"/>
        <v>90</v>
      </c>
      <c r="I80">
        <v>2100</v>
      </c>
      <c r="J80" t="s">
        <v>28</v>
      </c>
      <c r="K80">
        <f t="shared" si="25"/>
        <v>92.5</v>
      </c>
      <c r="L80" cm="1">
        <f t="array" ref="L80">STOWA2024_JAARROND_T(A80*60,K80,I80,J80,"")</f>
        <v>7.530422028856842</v>
      </c>
      <c r="M80">
        <f t="shared" si="26"/>
        <v>0.13279468217955978</v>
      </c>
    </row>
    <row r="81" spans="1:13" x14ac:dyDescent="0.3">
      <c r="A81">
        <v>96</v>
      </c>
      <c r="B81">
        <f t="shared" si="23"/>
        <v>3.6295750914203201E-2</v>
      </c>
      <c r="C81">
        <f t="shared" si="19"/>
        <v>3.6295750914203201E-2</v>
      </c>
      <c r="D81" t="s">
        <v>33</v>
      </c>
      <c r="E81" t="s">
        <v>21</v>
      </c>
      <c r="F81">
        <v>1</v>
      </c>
      <c r="G81">
        <f t="shared" si="24"/>
        <v>95</v>
      </c>
      <c r="I81">
        <v>2100</v>
      </c>
      <c r="J81" t="s">
        <v>28</v>
      </c>
      <c r="K81">
        <f t="shared" si="25"/>
        <v>97.5</v>
      </c>
      <c r="L81" cm="1">
        <f t="array" ref="L81">STOWA2024_JAARROND_T(A81*60,K81,I81,J81,"")</f>
        <v>10.362809068321807</v>
      </c>
      <c r="M81">
        <f t="shared" si="26"/>
        <v>9.649893126535658E-2</v>
      </c>
    </row>
    <row r="82" spans="1:13" x14ac:dyDescent="0.3">
      <c r="A82">
        <v>96</v>
      </c>
      <c r="B82">
        <f t="shared" si="23"/>
        <v>2.5997520893832379E-2</v>
      </c>
      <c r="C82">
        <f t="shared" si="19"/>
        <v>2.5997520893832379E-2</v>
      </c>
      <c r="D82" t="s">
        <v>33</v>
      </c>
      <c r="E82" t="s">
        <v>21</v>
      </c>
      <c r="F82">
        <v>1</v>
      </c>
      <c r="G82">
        <f t="shared" si="24"/>
        <v>100</v>
      </c>
      <c r="I82">
        <v>2100</v>
      </c>
      <c r="J82" t="s">
        <v>28</v>
      </c>
      <c r="K82">
        <f t="shared" si="25"/>
        <v>102.5</v>
      </c>
      <c r="L82" cm="1">
        <f t="array" ref="L82">STOWA2024_JAARROND_T(A82*60,K82,I82,J82,"")</f>
        <v>14.184113406104341</v>
      </c>
      <c r="M82">
        <f t="shared" si="26"/>
        <v>7.0501410371524201E-2</v>
      </c>
    </row>
    <row r="83" spans="1:13" x14ac:dyDescent="0.3">
      <c r="A83">
        <v>96</v>
      </c>
      <c r="B83">
        <f t="shared" si="23"/>
        <v>1.8724864433564338E-2</v>
      </c>
      <c r="C83">
        <f t="shared" si="19"/>
        <v>1.8724864433564338E-2</v>
      </c>
      <c r="D83" t="s">
        <v>33</v>
      </c>
      <c r="E83" t="s">
        <v>21</v>
      </c>
      <c r="F83">
        <v>1</v>
      </c>
      <c r="G83">
        <f t="shared" si="24"/>
        <v>105</v>
      </c>
      <c r="I83">
        <v>2100</v>
      </c>
      <c r="J83" t="s">
        <v>28</v>
      </c>
      <c r="K83">
        <f t="shared" si="25"/>
        <v>107.5</v>
      </c>
      <c r="L83" cm="1">
        <f t="array" ref="L83">STOWA2024_JAARROND_T(A83*60,K83,I83,J83,"")</f>
        <v>19.313764212820001</v>
      </c>
      <c r="M83">
        <f t="shared" si="26"/>
        <v>5.1776545937959863E-2</v>
      </c>
    </row>
    <row r="84" spans="1:13" x14ac:dyDescent="0.3">
      <c r="A84">
        <v>96</v>
      </c>
      <c r="B84">
        <f t="shared" si="23"/>
        <v>1.3560357090023442E-2</v>
      </c>
      <c r="C84">
        <f t="shared" si="19"/>
        <v>1.3560357090023442E-2</v>
      </c>
      <c r="D84" t="s">
        <v>33</v>
      </c>
      <c r="E84" t="s">
        <v>21</v>
      </c>
      <c r="F84">
        <v>1</v>
      </c>
      <c r="G84">
        <f t="shared" si="24"/>
        <v>110</v>
      </c>
      <c r="I84">
        <v>2100</v>
      </c>
      <c r="J84" t="s">
        <v>28</v>
      </c>
      <c r="K84">
        <f t="shared" si="25"/>
        <v>112.5</v>
      </c>
      <c r="L84" cm="1">
        <f t="array" ref="L84">STOWA2024_JAARROND_T(A84*60,K84,I84,J84,"")</f>
        <v>26.166921143786357</v>
      </c>
      <c r="M84">
        <f t="shared" si="26"/>
        <v>3.8216188847936421E-2</v>
      </c>
    </row>
    <row r="85" spans="1:13" x14ac:dyDescent="0.3">
      <c r="A85">
        <v>96</v>
      </c>
      <c r="B85">
        <f t="shared" si="23"/>
        <v>9.8713007717386482E-3</v>
      </c>
      <c r="C85">
        <f t="shared" si="19"/>
        <v>9.8713007717386482E-3</v>
      </c>
      <c r="D85" t="s">
        <v>33</v>
      </c>
      <c r="E85" t="s">
        <v>21</v>
      </c>
      <c r="F85">
        <v>1</v>
      </c>
      <c r="G85">
        <f t="shared" si="24"/>
        <v>115</v>
      </c>
      <c r="I85">
        <v>2100</v>
      </c>
      <c r="J85" t="s">
        <v>28</v>
      </c>
      <c r="K85">
        <f t="shared" si="25"/>
        <v>117.5</v>
      </c>
      <c r="L85" cm="1">
        <f t="array" ref="L85">STOWA2024_JAARROND_T(A85*60,K85,I85,J85,"")</f>
        <v>35.279730063204454</v>
      </c>
      <c r="M85">
        <f t="shared" si="26"/>
        <v>2.8344888076197772E-2</v>
      </c>
    </row>
    <row r="86" spans="1:13" x14ac:dyDescent="0.3">
      <c r="A86">
        <v>96</v>
      </c>
      <c r="B86">
        <f t="shared" si="23"/>
        <v>7.2220737004890061E-3</v>
      </c>
      <c r="C86">
        <f t="shared" si="19"/>
        <v>7.2220737004890061E-3</v>
      </c>
      <c r="D86" t="s">
        <v>33</v>
      </c>
      <c r="E86" t="s">
        <v>21</v>
      </c>
      <c r="F86">
        <v>1</v>
      </c>
      <c r="G86">
        <f t="shared" si="24"/>
        <v>120</v>
      </c>
      <c r="I86">
        <v>2100</v>
      </c>
      <c r="J86" t="s">
        <v>28</v>
      </c>
      <c r="K86">
        <f t="shared" si="25"/>
        <v>122.5</v>
      </c>
      <c r="L86" cm="1">
        <f t="array" ref="L86">STOWA2024_JAARROND_T(A86*60,K86,I86,J86,"")</f>
        <v>47.342176199304191</v>
      </c>
      <c r="M86">
        <f t="shared" si="26"/>
        <v>2.1122814375708766E-2</v>
      </c>
    </row>
    <row r="87" spans="1:13" x14ac:dyDescent="0.3">
      <c r="A87">
        <v>96</v>
      </c>
      <c r="B87">
        <f t="shared" si="23"/>
        <v>5.3100312853661194E-3</v>
      </c>
      <c r="C87">
        <f t="shared" si="19"/>
        <v>5.3100312853661194E-3</v>
      </c>
      <c r="D87" t="s">
        <v>33</v>
      </c>
      <c r="E87" t="s">
        <v>21</v>
      </c>
      <c r="F87">
        <v>1</v>
      </c>
      <c r="G87">
        <f t="shared" si="24"/>
        <v>125</v>
      </c>
      <c r="I87">
        <v>2100</v>
      </c>
      <c r="J87" t="s">
        <v>28</v>
      </c>
      <c r="K87">
        <f t="shared" si="25"/>
        <v>127.5</v>
      </c>
      <c r="L87" cm="1">
        <f t="array" ref="L87">STOWA2024_JAARROND_T(A87*60,K87,I87,J87,"")</f>
        <v>63.239974537482325</v>
      </c>
      <c r="M87">
        <f t="shared" si="26"/>
        <v>1.5812783090342647E-2</v>
      </c>
    </row>
    <row r="88" spans="1:13" x14ac:dyDescent="0.3">
      <c r="A88">
        <v>96</v>
      </c>
      <c r="B88">
        <f t="shared" si="23"/>
        <v>3.9225551229973444E-3</v>
      </c>
      <c r="C88">
        <f t="shared" si="19"/>
        <v>3.9225551229973444E-3</v>
      </c>
      <c r="D88" t="s">
        <v>33</v>
      </c>
      <c r="E88" t="s">
        <v>21</v>
      </c>
      <c r="F88">
        <v>1</v>
      </c>
      <c r="G88">
        <f t="shared" si="24"/>
        <v>130</v>
      </c>
      <c r="I88">
        <v>2100</v>
      </c>
      <c r="J88" t="s">
        <v>28</v>
      </c>
      <c r="K88">
        <f t="shared" si="25"/>
        <v>132.5</v>
      </c>
      <c r="L88" cm="1">
        <f t="array" ref="L88">STOWA2024_JAARROND_T(A88*60,K88,I88,J88,"")</f>
        <v>84.102676815478006</v>
      </c>
      <c r="M88">
        <f t="shared" si="26"/>
        <v>1.1890227967345303E-2</v>
      </c>
    </row>
    <row r="89" spans="1:13" x14ac:dyDescent="0.3">
      <c r="A89">
        <v>96</v>
      </c>
      <c r="B89">
        <f t="shared" si="23"/>
        <v>2.9111162822060763E-3</v>
      </c>
      <c r="C89">
        <f t="shared" si="19"/>
        <v>2.9111162822060763E-3</v>
      </c>
      <c r="D89" t="s">
        <v>33</v>
      </c>
      <c r="E89" t="s">
        <v>21</v>
      </c>
      <c r="F89">
        <v>1</v>
      </c>
      <c r="G89">
        <f t="shared" si="24"/>
        <v>135</v>
      </c>
      <c r="I89">
        <v>2100</v>
      </c>
      <c r="J89" t="s">
        <v>28</v>
      </c>
      <c r="K89">
        <f t="shared" si="25"/>
        <v>137.5</v>
      </c>
      <c r="L89" cm="1">
        <f t="array" ref="L89">STOWA2024_JAARROND_T(A89*60,K89,I89,J89,"")</f>
        <v>111.36959145469126</v>
      </c>
      <c r="M89">
        <f t="shared" si="26"/>
        <v>8.9791116851392263E-3</v>
      </c>
    </row>
    <row r="90" spans="1:13" x14ac:dyDescent="0.3">
      <c r="A90">
        <v>96</v>
      </c>
      <c r="B90">
        <f t="shared" si="23"/>
        <v>2.1700314484430928E-3</v>
      </c>
      <c r="C90">
        <f t="shared" si="19"/>
        <v>2.1700314484430928E-3</v>
      </c>
      <c r="D90" t="s">
        <v>33</v>
      </c>
      <c r="E90" t="s">
        <v>21</v>
      </c>
      <c r="F90">
        <v>1</v>
      </c>
      <c r="G90">
        <f t="shared" si="24"/>
        <v>140</v>
      </c>
      <c r="I90">
        <v>2100</v>
      </c>
      <c r="J90" t="s">
        <v>28</v>
      </c>
      <c r="K90">
        <f t="shared" si="25"/>
        <v>142.5</v>
      </c>
      <c r="L90" cm="1">
        <f t="array" ref="L90">STOWA2024_JAARROND_T(A90*60,K90,I90,J90,"")</f>
        <v>146.86271349993885</v>
      </c>
      <c r="M90">
        <f t="shared" si="26"/>
        <v>6.8090802366961335E-3</v>
      </c>
    </row>
    <row r="91" spans="1:13" x14ac:dyDescent="0.3">
      <c r="A91">
        <v>96</v>
      </c>
      <c r="B91">
        <f t="shared" si="23"/>
        <v>1.6246668111459727E-3</v>
      </c>
      <c r="C91">
        <f t="shared" si="19"/>
        <v>1.6246668111459727E-3</v>
      </c>
      <c r="D91" t="s">
        <v>33</v>
      </c>
      <c r="E91" t="s">
        <v>21</v>
      </c>
      <c r="F91">
        <v>1</v>
      </c>
      <c r="G91">
        <f t="shared" si="24"/>
        <v>145</v>
      </c>
      <c r="I91">
        <v>2100</v>
      </c>
      <c r="J91" t="s">
        <v>28</v>
      </c>
      <c r="K91">
        <f t="shared" si="25"/>
        <v>147.5</v>
      </c>
      <c r="L91" cm="1">
        <f t="array" ref="L91">STOWA2024_JAARROND_T(A91*60,K91,I91,J91,"")</f>
        <v>192.88585186353686</v>
      </c>
      <c r="M91">
        <f t="shared" si="26"/>
        <v>5.1844134255501608E-3</v>
      </c>
    </row>
    <row r="92" spans="1:13" x14ac:dyDescent="0.3">
      <c r="A92">
        <v>96</v>
      </c>
      <c r="B92">
        <f t="shared" si="23"/>
        <v>1.2214843426952724E-3</v>
      </c>
      <c r="C92">
        <f t="shared" si="19"/>
        <v>1.2214843426952724E-3</v>
      </c>
      <c r="D92" t="s">
        <v>33</v>
      </c>
      <c r="E92" t="s">
        <v>21</v>
      </c>
      <c r="F92">
        <v>1</v>
      </c>
      <c r="G92">
        <f t="shared" si="24"/>
        <v>150</v>
      </c>
      <c r="I92">
        <v>2100</v>
      </c>
      <c r="J92" t="s">
        <v>28</v>
      </c>
      <c r="K92">
        <f t="shared" si="25"/>
        <v>152.5</v>
      </c>
      <c r="L92" cm="1">
        <f t="array" ref="L92">STOWA2024_JAARROND_T(A92*60,K92,I92,J92,"")</f>
        <v>252.33860588784535</v>
      </c>
      <c r="M92">
        <f t="shared" si="26"/>
        <v>3.9629290828548883E-3</v>
      </c>
    </row>
    <row r="93" spans="1:13" x14ac:dyDescent="0.3">
      <c r="A93">
        <v>96</v>
      </c>
      <c r="B93">
        <f t="shared" si="23"/>
        <v>9.2211382612321672E-4</v>
      </c>
      <c r="C93">
        <f t="shared" si="19"/>
        <v>9.2211382612321672E-4</v>
      </c>
      <c r="D93" t="s">
        <v>33</v>
      </c>
      <c r="E93" t="s">
        <v>21</v>
      </c>
      <c r="F93">
        <v>1</v>
      </c>
      <c r="G93">
        <f t="shared" si="24"/>
        <v>155</v>
      </c>
      <c r="I93">
        <v>2100</v>
      </c>
      <c r="J93" t="s">
        <v>28</v>
      </c>
      <c r="K93">
        <f t="shared" si="25"/>
        <v>157.5</v>
      </c>
      <c r="L93" cm="1">
        <f t="array" ref="L93">STOWA2024_JAARROND_T(A93*60,K93,I93,J93,"")</f>
        <v>328.85917609964235</v>
      </c>
      <c r="M93">
        <f t="shared" si="26"/>
        <v>3.0408152567316716E-3</v>
      </c>
    </row>
    <row r="94" spans="1:13" x14ac:dyDescent="0.3">
      <c r="A94">
        <v>96</v>
      </c>
      <c r="B94" s="1">
        <f>M93</f>
        <v>3.0408152567316716E-3</v>
      </c>
      <c r="C94">
        <f t="shared" si="19"/>
        <v>3.0408152567316716E-3</v>
      </c>
      <c r="D94" t="s">
        <v>33</v>
      </c>
      <c r="E94" t="s">
        <v>21</v>
      </c>
      <c r="F94">
        <v>1</v>
      </c>
      <c r="G94">
        <f t="shared" si="24"/>
        <v>160</v>
      </c>
      <c r="I94">
        <v>2100</v>
      </c>
      <c r="J94" t="s">
        <v>28</v>
      </c>
      <c r="K94">
        <f>AVERAGE(G94:G95)</f>
        <v>85</v>
      </c>
      <c r="L94" cm="1">
        <f t="array" ref="L94">STOWA2024_JAARROND_T(A94*60,K94,I94,J94,"")</f>
        <v>4.6161087110056096</v>
      </c>
      <c r="M94">
        <f>1/L94</f>
        <v>0.21663267973213571</v>
      </c>
    </row>
    <row r="95" spans="1:13" x14ac:dyDescent="0.3">
      <c r="A95">
        <v>192</v>
      </c>
      <c r="B95" s="1">
        <f>365.25*24/A95 - M95</f>
        <v>-11.062745406357038</v>
      </c>
      <c r="C95">
        <f>B95</f>
        <v>-11.062745406357038</v>
      </c>
      <c r="D95" t="s">
        <v>33</v>
      </c>
      <c r="E95" t="s">
        <v>21</v>
      </c>
      <c r="F95">
        <v>1</v>
      </c>
      <c r="G95">
        <v>10</v>
      </c>
      <c r="I95">
        <v>2100</v>
      </c>
      <c r="J95" t="s">
        <v>28</v>
      </c>
      <c r="K95">
        <f>AVERAGE(G95:G97)</f>
        <v>15</v>
      </c>
      <c r="L95" cm="1">
        <f t="array" ref="L95">STOWA2024_JAARROND_T(A95*60,K95,I95,J95,"")</f>
        <v>1.7630777710987464E-2</v>
      </c>
      <c r="M95">
        <f>1/L95</f>
        <v>56.718995406357038</v>
      </c>
    </row>
    <row r="96" spans="1:13" x14ac:dyDescent="0.3">
      <c r="A96">
        <v>192</v>
      </c>
      <c r="B96">
        <f t="shared" ref="B96:B100" si="27">M95-M96</f>
        <v>7.710300844842692</v>
      </c>
      <c r="C96">
        <f t="shared" ref="C96:C125" si="28">B96</f>
        <v>7.710300844842692</v>
      </c>
      <c r="D96" t="s">
        <v>33</v>
      </c>
      <c r="E96" t="s">
        <v>21</v>
      </c>
      <c r="F96">
        <v>1</v>
      </c>
      <c r="G96">
        <f t="shared" ref="G96:G100" si="29">G95+5</f>
        <v>15</v>
      </c>
      <c r="I96">
        <v>2100</v>
      </c>
      <c r="J96" t="s">
        <v>28</v>
      </c>
      <c r="K96">
        <f t="shared" ref="K96:K100" si="30">AVERAGE(G96:G97)</f>
        <v>17.5</v>
      </c>
      <c r="L96" cm="1">
        <f t="array" ref="L96">STOWA2024_JAARROND_T(A96*60,K96,I96,J96,"")</f>
        <v>2.0404542682621915E-2</v>
      </c>
      <c r="M96">
        <f t="shared" ref="M96:M100" si="31">1/L96</f>
        <v>49.008694561514346</v>
      </c>
    </row>
    <row r="97" spans="1:13" x14ac:dyDescent="0.3">
      <c r="A97">
        <v>192</v>
      </c>
      <c r="B97">
        <f t="shared" si="27"/>
        <v>12.42873036613117</v>
      </c>
      <c r="C97">
        <f t="shared" si="28"/>
        <v>12.42873036613117</v>
      </c>
      <c r="D97" t="s">
        <v>33</v>
      </c>
      <c r="E97" t="s">
        <v>21</v>
      </c>
      <c r="F97">
        <v>1</v>
      </c>
      <c r="G97">
        <f t="shared" si="29"/>
        <v>20</v>
      </c>
      <c r="I97">
        <v>2100</v>
      </c>
      <c r="J97" t="s">
        <v>28</v>
      </c>
      <c r="K97">
        <f t="shared" si="30"/>
        <v>22.5</v>
      </c>
      <c r="L97" cm="1">
        <f t="array" ref="L97">STOWA2024_JAARROND_T(A97*60,K97,I97,J97,"")</f>
        <v>2.7337369568180492E-2</v>
      </c>
      <c r="M97">
        <f t="shared" si="31"/>
        <v>36.579964195383177</v>
      </c>
    </row>
    <row r="98" spans="1:13" x14ac:dyDescent="0.3">
      <c r="A98">
        <v>192</v>
      </c>
      <c r="B98">
        <f t="shared" si="27"/>
        <v>9.2862914733742983</v>
      </c>
      <c r="C98">
        <f t="shared" si="28"/>
        <v>9.2862914733742983</v>
      </c>
      <c r="D98" t="s">
        <v>33</v>
      </c>
      <c r="E98" t="s">
        <v>21</v>
      </c>
      <c r="F98">
        <v>1</v>
      </c>
      <c r="G98">
        <f t="shared" si="29"/>
        <v>25</v>
      </c>
      <c r="I98">
        <v>2100</v>
      </c>
      <c r="J98" t="s">
        <v>28</v>
      </c>
      <c r="K98">
        <f t="shared" si="30"/>
        <v>27.5</v>
      </c>
      <c r="L98" cm="1">
        <f t="array" ref="L98">STOWA2024_JAARROND_T(A98*60,K98,I98,J98,"")</f>
        <v>3.6638528284016064E-2</v>
      </c>
      <c r="M98">
        <f t="shared" si="31"/>
        <v>27.293672722008878</v>
      </c>
    </row>
    <row r="99" spans="1:13" x14ac:dyDescent="0.3">
      <c r="A99">
        <v>192</v>
      </c>
      <c r="B99">
        <f t="shared" si="27"/>
        <v>6.9365392236171814</v>
      </c>
      <c r="C99">
        <f t="shared" si="28"/>
        <v>6.9365392236171814</v>
      </c>
      <c r="D99" t="s">
        <v>33</v>
      </c>
      <c r="E99" t="s">
        <v>21</v>
      </c>
      <c r="F99">
        <v>1</v>
      </c>
      <c r="G99">
        <f t="shared" si="29"/>
        <v>30</v>
      </c>
      <c r="I99">
        <v>2100</v>
      </c>
      <c r="J99" t="s">
        <v>28</v>
      </c>
      <c r="K99">
        <f t="shared" si="30"/>
        <v>32.5</v>
      </c>
      <c r="L99" cm="1">
        <f t="array" ref="L99">STOWA2024_JAARROND_T(A99*60,K99,I99,J99,"")</f>
        <v>4.9122829600690317E-2</v>
      </c>
      <c r="M99">
        <f t="shared" si="31"/>
        <v>20.357133498391697</v>
      </c>
    </row>
    <row r="100" spans="1:13" x14ac:dyDescent="0.3">
      <c r="A100">
        <v>192</v>
      </c>
      <c r="B100">
        <f t="shared" si="27"/>
        <v>5.1792186091638523</v>
      </c>
      <c r="C100">
        <f t="shared" si="28"/>
        <v>5.1792186091638523</v>
      </c>
      <c r="D100" t="s">
        <v>33</v>
      </c>
      <c r="E100" t="s">
        <v>21</v>
      </c>
      <c r="F100">
        <v>1</v>
      </c>
      <c r="G100">
        <f t="shared" si="29"/>
        <v>35</v>
      </c>
      <c r="I100">
        <v>2100</v>
      </c>
      <c r="J100" t="s">
        <v>28</v>
      </c>
      <c r="K100">
        <f t="shared" si="30"/>
        <v>37.5</v>
      </c>
      <c r="L100" cm="1">
        <f t="array" ref="L100">STOWA2024_JAARROND_T(A100*60,K100,I100,J100,"")</f>
        <v>6.5885202763241585E-2</v>
      </c>
      <c r="M100">
        <f t="shared" si="31"/>
        <v>15.177914889227845</v>
      </c>
    </row>
    <row r="101" spans="1:13" x14ac:dyDescent="0.3">
      <c r="A101">
        <v>192</v>
      </c>
      <c r="B101">
        <f>M100-M101</f>
        <v>3.8656925160866287</v>
      </c>
      <c r="C101">
        <f t="shared" si="28"/>
        <v>3.8656925160866287</v>
      </c>
      <c r="D101" t="s">
        <v>33</v>
      </c>
      <c r="E101" t="s">
        <v>21</v>
      </c>
      <c r="F101">
        <v>1</v>
      </c>
      <c r="G101">
        <f>G100+5</f>
        <v>40</v>
      </c>
      <c r="I101">
        <v>2100</v>
      </c>
      <c r="J101" t="s">
        <v>28</v>
      </c>
      <c r="K101">
        <f>AVERAGE(G101:G102)</f>
        <v>42.5</v>
      </c>
      <c r="L101" cm="1">
        <f t="array" ref="L101">STOWA2024_JAARROND_T(A101*60,K101,I101,J101,"")</f>
        <v>8.8399959531764105E-2</v>
      </c>
      <c r="M101">
        <f>1/L101</f>
        <v>11.312222373141216</v>
      </c>
    </row>
    <row r="102" spans="1:13" x14ac:dyDescent="0.3">
      <c r="A102">
        <v>192</v>
      </c>
      <c r="B102">
        <f t="shared" ref="B102:B124" si="32">M101-M102</f>
        <v>2.8843542062043035</v>
      </c>
      <c r="C102">
        <f t="shared" si="28"/>
        <v>2.8843542062043035</v>
      </c>
      <c r="D102" t="s">
        <v>33</v>
      </c>
      <c r="E102" t="s">
        <v>21</v>
      </c>
      <c r="F102">
        <v>1</v>
      </c>
      <c r="G102">
        <f t="shared" ref="G102:G125" si="33">G101+5</f>
        <v>45</v>
      </c>
      <c r="I102">
        <v>2100</v>
      </c>
      <c r="J102" t="s">
        <v>28</v>
      </c>
      <c r="K102">
        <f t="shared" ref="K102:K124" si="34">AVERAGE(G102:G103)</f>
        <v>47.5</v>
      </c>
      <c r="L102" cm="1">
        <f t="array" ref="L102">STOWA2024_JAARROND_T(A102*60,K102,I102,J102,"")</f>
        <v>0.11865396802516044</v>
      </c>
      <c r="M102">
        <f t="shared" ref="M102:M124" si="35">1/L102</f>
        <v>8.4278681669369124</v>
      </c>
    </row>
    <row r="103" spans="1:13" x14ac:dyDescent="0.3">
      <c r="A103">
        <v>192</v>
      </c>
      <c r="B103">
        <f t="shared" si="32"/>
        <v>2.1511373328546179</v>
      </c>
      <c r="C103">
        <f t="shared" si="28"/>
        <v>2.1511373328546179</v>
      </c>
      <c r="D103" t="s">
        <v>33</v>
      </c>
      <c r="E103" t="s">
        <v>21</v>
      </c>
      <c r="F103">
        <v>1</v>
      </c>
      <c r="G103">
        <f t="shared" si="33"/>
        <v>50</v>
      </c>
      <c r="I103">
        <v>2100</v>
      </c>
      <c r="J103" t="s">
        <v>28</v>
      </c>
      <c r="K103">
        <f t="shared" si="34"/>
        <v>52.5</v>
      </c>
      <c r="L103" cm="1">
        <f t="array" ref="L103">STOWA2024_JAARROND_T(A103*60,K103,I103,J103,"")</f>
        <v>0.15931860492886782</v>
      </c>
      <c r="M103">
        <f t="shared" si="35"/>
        <v>6.2767308340822945</v>
      </c>
    </row>
    <row r="104" spans="1:13" x14ac:dyDescent="0.3">
      <c r="A104">
        <v>192</v>
      </c>
      <c r="B104">
        <f t="shared" si="32"/>
        <v>1.603873909968657</v>
      </c>
      <c r="C104">
        <f t="shared" si="28"/>
        <v>1.603873909968657</v>
      </c>
      <c r="D104" t="s">
        <v>33</v>
      </c>
      <c r="E104" t="s">
        <v>21</v>
      </c>
      <c r="F104">
        <v>1</v>
      </c>
      <c r="G104">
        <f t="shared" si="33"/>
        <v>55</v>
      </c>
      <c r="I104">
        <v>2100</v>
      </c>
      <c r="J104" t="s">
        <v>28</v>
      </c>
      <c r="K104">
        <f t="shared" si="34"/>
        <v>57.5</v>
      </c>
      <c r="L104" cm="1">
        <f t="array" ref="L104">STOWA2024_JAARROND_T(A104*60,K104,I104,J104,"")</f>
        <v>0.21400184431918665</v>
      </c>
      <c r="M104">
        <f t="shared" si="35"/>
        <v>4.6728569241136375</v>
      </c>
    </row>
    <row r="105" spans="1:13" x14ac:dyDescent="0.3">
      <c r="A105">
        <v>192</v>
      </c>
      <c r="B105">
        <f t="shared" si="32"/>
        <v>1.1952833815887787</v>
      </c>
      <c r="C105">
        <f t="shared" si="28"/>
        <v>1.1952833815887787</v>
      </c>
      <c r="D105" t="s">
        <v>33</v>
      </c>
      <c r="E105" t="s">
        <v>21</v>
      </c>
      <c r="F105">
        <v>1</v>
      </c>
      <c r="G105">
        <f t="shared" si="33"/>
        <v>60</v>
      </c>
      <c r="I105">
        <v>2100</v>
      </c>
      <c r="J105" t="s">
        <v>28</v>
      </c>
      <c r="K105">
        <f t="shared" si="34"/>
        <v>62.5</v>
      </c>
      <c r="L105" cm="1">
        <f t="array" ref="L105">STOWA2024_JAARROND_T(A105*60,K105,I105,J105,"")</f>
        <v>0.28755682310429576</v>
      </c>
      <c r="M105">
        <f t="shared" si="35"/>
        <v>3.4775735425248588</v>
      </c>
    </row>
    <row r="106" spans="1:13" x14ac:dyDescent="0.3">
      <c r="A106">
        <v>192</v>
      </c>
      <c r="B106">
        <f t="shared" si="32"/>
        <v>0.89055982636518172</v>
      </c>
      <c r="C106">
        <f t="shared" si="28"/>
        <v>0.89055982636518172</v>
      </c>
      <c r="D106" t="s">
        <v>33</v>
      </c>
      <c r="E106" t="s">
        <v>21</v>
      </c>
      <c r="F106">
        <v>1</v>
      </c>
      <c r="G106">
        <f t="shared" si="33"/>
        <v>65</v>
      </c>
      <c r="I106">
        <v>2100</v>
      </c>
      <c r="J106" t="s">
        <v>28</v>
      </c>
      <c r="K106">
        <f t="shared" si="34"/>
        <v>67.5</v>
      </c>
      <c r="L106" cm="1">
        <f t="array" ref="L106">STOWA2024_JAARROND_T(A106*60,K106,I106,J106,"")</f>
        <v>0.38654607579138073</v>
      </c>
      <c r="M106">
        <f t="shared" si="35"/>
        <v>2.5870137161596771</v>
      </c>
    </row>
    <row r="107" spans="1:13" x14ac:dyDescent="0.3">
      <c r="A107">
        <v>192</v>
      </c>
      <c r="B107">
        <f t="shared" si="32"/>
        <v>0.66318533346040787</v>
      </c>
      <c r="C107">
        <f t="shared" si="28"/>
        <v>0.66318533346040787</v>
      </c>
      <c r="D107" t="s">
        <v>33</v>
      </c>
      <c r="E107" t="s">
        <v>21</v>
      </c>
      <c r="F107">
        <v>1</v>
      </c>
      <c r="G107">
        <f t="shared" si="33"/>
        <v>70</v>
      </c>
      <c r="I107">
        <v>2100</v>
      </c>
      <c r="J107" t="s">
        <v>28</v>
      </c>
      <c r="K107">
        <f t="shared" si="34"/>
        <v>72.5</v>
      </c>
      <c r="L107" cm="1">
        <f t="array" ref="L107">STOWA2024_JAARROND_T(A107*60,K107,I107,J107,"")</f>
        <v>0.51979688468725482</v>
      </c>
      <c r="M107">
        <f t="shared" si="35"/>
        <v>1.9238283826992693</v>
      </c>
    </row>
    <row r="108" spans="1:13" x14ac:dyDescent="0.3">
      <c r="A108">
        <v>192</v>
      </c>
      <c r="B108">
        <f t="shared" si="32"/>
        <v>0.49372882523863515</v>
      </c>
      <c r="C108">
        <f t="shared" si="28"/>
        <v>0.49372882523863515</v>
      </c>
      <c r="D108" t="s">
        <v>33</v>
      </c>
      <c r="E108" t="s">
        <v>21</v>
      </c>
      <c r="F108">
        <v>1</v>
      </c>
      <c r="G108">
        <f t="shared" si="33"/>
        <v>75</v>
      </c>
      <c r="I108">
        <v>2100</v>
      </c>
      <c r="J108" t="s">
        <v>28</v>
      </c>
      <c r="K108">
        <f t="shared" si="34"/>
        <v>77.5</v>
      </c>
      <c r="L108" cm="1">
        <f t="array" ref="L108">STOWA2024_JAARROND_T(A108*60,K108,I108,J108,"")</f>
        <v>0.69925201695443973</v>
      </c>
      <c r="M108">
        <f t="shared" si="35"/>
        <v>1.4300995574606341</v>
      </c>
    </row>
    <row r="109" spans="1:13" x14ac:dyDescent="0.3">
      <c r="A109">
        <v>192</v>
      </c>
      <c r="B109">
        <f t="shared" si="32"/>
        <v>0.36741449929822823</v>
      </c>
      <c r="C109">
        <f t="shared" si="28"/>
        <v>0.36741449929822823</v>
      </c>
      <c r="D109" t="s">
        <v>33</v>
      </c>
      <c r="E109" t="s">
        <v>21</v>
      </c>
      <c r="F109">
        <v>1</v>
      </c>
      <c r="G109">
        <f t="shared" si="33"/>
        <v>80</v>
      </c>
      <c r="I109">
        <v>2100</v>
      </c>
      <c r="J109" t="s">
        <v>28</v>
      </c>
      <c r="K109">
        <f t="shared" si="34"/>
        <v>82.5</v>
      </c>
      <c r="L109" cm="1">
        <f t="array" ref="L109">STOWA2024_JAARROND_T(A109*60,K109,I109,J109,"")</f>
        <v>0.94101257218126233</v>
      </c>
      <c r="M109">
        <f t="shared" si="35"/>
        <v>1.0626850581624059</v>
      </c>
    </row>
    <row r="110" spans="1:13" x14ac:dyDescent="0.3">
      <c r="A110">
        <v>192</v>
      </c>
      <c r="B110">
        <f t="shared" si="32"/>
        <v>0.27325166256120037</v>
      </c>
      <c r="C110">
        <f t="shared" si="28"/>
        <v>0.27325166256120037</v>
      </c>
      <c r="D110" t="s">
        <v>33</v>
      </c>
      <c r="E110" t="s">
        <v>21</v>
      </c>
      <c r="F110">
        <v>1</v>
      </c>
      <c r="G110">
        <f t="shared" si="33"/>
        <v>85</v>
      </c>
      <c r="I110">
        <v>2100</v>
      </c>
      <c r="J110" t="s">
        <v>28</v>
      </c>
      <c r="K110">
        <f t="shared" si="34"/>
        <v>87.5</v>
      </c>
      <c r="L110" cm="1">
        <f t="array" ref="L110">STOWA2024_JAARROND_T(A110*60,K110,I110,J110,"")</f>
        <v>1.2667313108010008</v>
      </c>
      <c r="M110">
        <f t="shared" si="35"/>
        <v>0.78943339560120551</v>
      </c>
    </row>
    <row r="111" spans="1:13" x14ac:dyDescent="0.3">
      <c r="A111">
        <v>192</v>
      </c>
      <c r="B111">
        <f t="shared" si="32"/>
        <v>0.20325987581331584</v>
      </c>
      <c r="C111">
        <f t="shared" si="28"/>
        <v>0.20325987581331584</v>
      </c>
      <c r="D111" t="s">
        <v>33</v>
      </c>
      <c r="E111" t="s">
        <v>21</v>
      </c>
      <c r="F111">
        <v>1</v>
      </c>
      <c r="G111">
        <f t="shared" si="33"/>
        <v>90</v>
      </c>
      <c r="I111">
        <v>2100</v>
      </c>
      <c r="J111" t="s">
        <v>28</v>
      </c>
      <c r="K111">
        <f t="shared" si="34"/>
        <v>92.5</v>
      </c>
      <c r="L111" cm="1">
        <f t="array" ref="L111">STOWA2024_JAARROND_T(A111*60,K111,I111,J111,"")</f>
        <v>1.7059794860092892</v>
      </c>
      <c r="M111">
        <f t="shared" si="35"/>
        <v>0.58617351978788967</v>
      </c>
    </row>
    <row r="112" spans="1:13" x14ac:dyDescent="0.3">
      <c r="A112">
        <v>192</v>
      </c>
      <c r="B112">
        <f t="shared" si="32"/>
        <v>0.15109290228393807</v>
      </c>
      <c r="C112">
        <f t="shared" si="28"/>
        <v>0.15109290228393807</v>
      </c>
      <c r="D112" t="s">
        <v>33</v>
      </c>
      <c r="E112" t="s">
        <v>21</v>
      </c>
      <c r="F112">
        <v>1</v>
      </c>
      <c r="G112">
        <f t="shared" si="33"/>
        <v>95</v>
      </c>
      <c r="I112">
        <v>2100</v>
      </c>
      <c r="J112" t="s">
        <v>28</v>
      </c>
      <c r="K112">
        <f t="shared" si="34"/>
        <v>97.5</v>
      </c>
      <c r="L112" cm="1">
        <f t="array" ref="L112">STOWA2024_JAARROND_T(A112*60,K112,I112,J112,"")</f>
        <v>2.2984246132061203</v>
      </c>
      <c r="M112">
        <f t="shared" si="35"/>
        <v>0.43508061750395161</v>
      </c>
    </row>
    <row r="113" spans="1:13" x14ac:dyDescent="0.3">
      <c r="A113">
        <v>192</v>
      </c>
      <c r="B113">
        <f t="shared" si="32"/>
        <v>0.11227141302630589</v>
      </c>
      <c r="C113">
        <f t="shared" si="28"/>
        <v>0.11227141302630589</v>
      </c>
      <c r="D113" t="s">
        <v>33</v>
      </c>
      <c r="E113" t="s">
        <v>21</v>
      </c>
      <c r="F113">
        <v>1</v>
      </c>
      <c r="G113">
        <f t="shared" si="33"/>
        <v>100</v>
      </c>
      <c r="I113">
        <v>2100</v>
      </c>
      <c r="J113" t="s">
        <v>28</v>
      </c>
      <c r="K113">
        <f t="shared" si="34"/>
        <v>102.5</v>
      </c>
      <c r="L113" cm="1">
        <f t="array" ref="L113">STOWA2024_JAARROND_T(A113*60,K113,I113,J113,"")</f>
        <v>3.0978051001307469</v>
      </c>
      <c r="M113">
        <f t="shared" si="35"/>
        <v>0.32280920447764572</v>
      </c>
    </row>
    <row r="114" spans="1:13" x14ac:dyDescent="0.3">
      <c r="A114">
        <v>192</v>
      </c>
      <c r="B114">
        <f t="shared" si="32"/>
        <v>8.3389971709368294E-2</v>
      </c>
      <c r="C114">
        <f t="shared" si="28"/>
        <v>8.3389971709368294E-2</v>
      </c>
      <c r="D114" t="s">
        <v>33</v>
      </c>
      <c r="E114" t="s">
        <v>21</v>
      </c>
      <c r="F114">
        <v>1</v>
      </c>
      <c r="G114">
        <f t="shared" si="33"/>
        <v>105</v>
      </c>
      <c r="I114">
        <v>2100</v>
      </c>
      <c r="J114" t="s">
        <v>28</v>
      </c>
      <c r="K114">
        <f t="shared" si="34"/>
        <v>107.5</v>
      </c>
      <c r="L114" cm="1">
        <f t="array" ref="L114">STOWA2024_JAARROND_T(A114*60,K114,I114,J114,"")</f>
        <v>4.1767738892048527</v>
      </c>
      <c r="M114">
        <f t="shared" si="35"/>
        <v>0.23941923276827742</v>
      </c>
    </row>
    <row r="115" spans="1:13" x14ac:dyDescent="0.3">
      <c r="A115">
        <v>192</v>
      </c>
      <c r="B115">
        <f t="shared" si="32"/>
        <v>6.1916401055070069E-2</v>
      </c>
      <c r="C115">
        <f t="shared" si="28"/>
        <v>6.1916401055070069E-2</v>
      </c>
      <c r="D115" t="s">
        <v>33</v>
      </c>
      <c r="E115" t="s">
        <v>21</v>
      </c>
      <c r="F115">
        <v>1</v>
      </c>
      <c r="G115">
        <f t="shared" si="33"/>
        <v>110</v>
      </c>
      <c r="I115">
        <v>2100</v>
      </c>
      <c r="J115" t="s">
        <v>28</v>
      </c>
      <c r="K115">
        <f t="shared" si="34"/>
        <v>112.5</v>
      </c>
      <c r="L115" cm="1">
        <f t="array" ref="L115">STOWA2024_JAARROND_T(A115*60,K115,I115,J115,"")</f>
        <v>5.63371294051076</v>
      </c>
      <c r="M115">
        <f t="shared" si="35"/>
        <v>0.17750283171320735</v>
      </c>
    </row>
    <row r="116" spans="1:13" x14ac:dyDescent="0.3">
      <c r="A116">
        <v>192</v>
      </c>
      <c r="B116">
        <f t="shared" si="32"/>
        <v>4.5954772343233141E-2</v>
      </c>
      <c r="C116">
        <f t="shared" si="28"/>
        <v>4.5954772343233141E-2</v>
      </c>
      <c r="D116" t="s">
        <v>33</v>
      </c>
      <c r="E116" t="s">
        <v>21</v>
      </c>
      <c r="F116">
        <v>1</v>
      </c>
      <c r="G116">
        <f t="shared" si="33"/>
        <v>115</v>
      </c>
      <c r="I116">
        <v>2100</v>
      </c>
      <c r="J116" t="s">
        <v>28</v>
      </c>
      <c r="K116">
        <f t="shared" si="34"/>
        <v>117.5</v>
      </c>
      <c r="L116" cm="1">
        <f t="array" ref="L116">STOWA2024_JAARROND_T(A116*60,K116,I116,J116,"")</f>
        <v>7.6017845097017789</v>
      </c>
      <c r="M116">
        <f t="shared" si="35"/>
        <v>0.13154805936997421</v>
      </c>
    </row>
    <row r="117" spans="1:13" x14ac:dyDescent="0.3">
      <c r="A117">
        <v>192</v>
      </c>
      <c r="B117">
        <f t="shared" si="32"/>
        <v>3.4094835646837546E-2</v>
      </c>
      <c r="C117">
        <f t="shared" si="28"/>
        <v>3.4094835646837546E-2</v>
      </c>
      <c r="D117" t="s">
        <v>33</v>
      </c>
      <c r="E117" t="s">
        <v>21</v>
      </c>
      <c r="F117">
        <v>1</v>
      </c>
      <c r="G117">
        <f t="shared" si="33"/>
        <v>120</v>
      </c>
      <c r="I117">
        <v>2100</v>
      </c>
      <c r="J117" t="s">
        <v>28</v>
      </c>
      <c r="K117">
        <f t="shared" si="34"/>
        <v>122.5</v>
      </c>
      <c r="L117" cm="1">
        <f t="array" ref="L117">STOWA2024_JAARROND_T(A117*60,K117,I117,J117,"")</f>
        <v>10.261333199617766</v>
      </c>
      <c r="M117">
        <f t="shared" si="35"/>
        <v>9.7453223723136667E-2</v>
      </c>
    </row>
    <row r="118" spans="1:13" x14ac:dyDescent="0.3">
      <c r="A118">
        <v>192</v>
      </c>
      <c r="B118">
        <f t="shared" si="32"/>
        <v>2.5285962561233347E-2</v>
      </c>
      <c r="C118">
        <f t="shared" si="28"/>
        <v>2.5285962561233347E-2</v>
      </c>
      <c r="D118" t="s">
        <v>33</v>
      </c>
      <c r="E118" t="s">
        <v>21</v>
      </c>
      <c r="F118">
        <v>1</v>
      </c>
      <c r="G118">
        <f t="shared" si="33"/>
        <v>125</v>
      </c>
      <c r="I118">
        <v>2100</v>
      </c>
      <c r="J118" t="s">
        <v>28</v>
      </c>
      <c r="K118">
        <f t="shared" si="34"/>
        <v>127.5</v>
      </c>
      <c r="L118" cm="1">
        <f t="array" ref="L118">STOWA2024_JAARROND_T(A118*60,K118,I118,J118,"")</f>
        <v>13.856698784183516</v>
      </c>
      <c r="M118">
        <f t="shared" si="35"/>
        <v>7.2167261161903321E-2</v>
      </c>
    </row>
    <row r="119" spans="1:13" x14ac:dyDescent="0.3">
      <c r="A119">
        <v>192</v>
      </c>
      <c r="B119">
        <f t="shared" si="32"/>
        <v>1.874575844795353E-2</v>
      </c>
      <c r="C119">
        <f t="shared" si="28"/>
        <v>1.874575844795353E-2</v>
      </c>
      <c r="D119" t="s">
        <v>33</v>
      </c>
      <c r="E119" t="s">
        <v>21</v>
      </c>
      <c r="F119">
        <v>1</v>
      </c>
      <c r="G119">
        <f t="shared" si="33"/>
        <v>130</v>
      </c>
      <c r="I119">
        <v>2100</v>
      </c>
      <c r="J119" t="s">
        <v>28</v>
      </c>
      <c r="K119">
        <f t="shared" si="34"/>
        <v>132.5</v>
      </c>
      <c r="L119" cm="1">
        <f t="array" ref="L119">STOWA2024_JAARROND_T(A119*60,K119,I119,J119,"")</f>
        <v>18.719054111124304</v>
      </c>
      <c r="M119">
        <f t="shared" si="35"/>
        <v>5.3421502713949791E-2</v>
      </c>
    </row>
    <row r="120" spans="1:13" x14ac:dyDescent="0.3">
      <c r="A120">
        <v>192</v>
      </c>
      <c r="B120">
        <f t="shared" si="32"/>
        <v>1.3891810319046162E-2</v>
      </c>
      <c r="C120">
        <f t="shared" si="28"/>
        <v>1.3891810319046162E-2</v>
      </c>
      <c r="D120" t="s">
        <v>33</v>
      </c>
      <c r="E120" t="s">
        <v>21</v>
      </c>
      <c r="F120">
        <v>1</v>
      </c>
      <c r="G120">
        <f t="shared" si="33"/>
        <v>135</v>
      </c>
      <c r="I120">
        <v>2100</v>
      </c>
      <c r="J120" t="s">
        <v>28</v>
      </c>
      <c r="K120">
        <f t="shared" si="34"/>
        <v>137.5</v>
      </c>
      <c r="L120" cm="1">
        <f t="array" ref="L120">STOWA2024_JAARROND_T(A120*60,K120,I120,J120,"")</f>
        <v>25.297439454118422</v>
      </c>
      <c r="M120">
        <f t="shared" si="35"/>
        <v>3.9529692394903629E-2</v>
      </c>
    </row>
    <row r="121" spans="1:13" x14ac:dyDescent="0.3">
      <c r="A121">
        <v>192</v>
      </c>
      <c r="B121">
        <f t="shared" si="32"/>
        <v>1.0290739913641517E-2</v>
      </c>
      <c r="C121">
        <f t="shared" si="28"/>
        <v>1.0290739913641517E-2</v>
      </c>
      <c r="D121" t="s">
        <v>33</v>
      </c>
      <c r="E121" t="s">
        <v>21</v>
      </c>
      <c r="F121">
        <v>1</v>
      </c>
      <c r="G121">
        <f t="shared" si="33"/>
        <v>140</v>
      </c>
      <c r="I121">
        <v>2100</v>
      </c>
      <c r="J121" t="s">
        <v>28</v>
      </c>
      <c r="K121">
        <f t="shared" si="34"/>
        <v>142.5</v>
      </c>
      <c r="L121" cm="1">
        <f t="array" ref="L121">STOWA2024_JAARROND_T(A121*60,K121,I121,J121,"")</f>
        <v>34.200951646296275</v>
      </c>
      <c r="M121">
        <f t="shared" si="35"/>
        <v>2.9238952481262112E-2</v>
      </c>
    </row>
    <row r="122" spans="1:13" x14ac:dyDescent="0.3">
      <c r="A122">
        <v>192</v>
      </c>
      <c r="B122">
        <f t="shared" si="32"/>
        <v>7.6201915976211905E-3</v>
      </c>
      <c r="C122">
        <f t="shared" si="28"/>
        <v>7.6201915976211905E-3</v>
      </c>
      <c r="D122" t="s">
        <v>33</v>
      </c>
      <c r="E122" t="s">
        <v>21</v>
      </c>
      <c r="F122">
        <v>1</v>
      </c>
      <c r="G122">
        <f t="shared" si="33"/>
        <v>145</v>
      </c>
      <c r="I122">
        <v>2100</v>
      </c>
      <c r="J122" t="s">
        <v>28</v>
      </c>
      <c r="K122">
        <f t="shared" si="34"/>
        <v>147.5</v>
      </c>
      <c r="L122" cm="1">
        <f t="array" ref="L122">STOWA2024_JAARROND_T(A122*60,K122,I122,J122,"")</f>
        <v>46.256120107082893</v>
      </c>
      <c r="M122">
        <f t="shared" si="35"/>
        <v>2.1618760883640922E-2</v>
      </c>
    </row>
    <row r="123" spans="1:13" x14ac:dyDescent="0.3">
      <c r="A123">
        <v>192</v>
      </c>
      <c r="B123">
        <f t="shared" si="32"/>
        <v>5.6404830574442906E-3</v>
      </c>
      <c r="C123">
        <f t="shared" si="28"/>
        <v>5.6404830574442906E-3</v>
      </c>
      <c r="D123" t="s">
        <v>33</v>
      </c>
      <c r="E123" t="s">
        <v>21</v>
      </c>
      <c r="F123">
        <v>1</v>
      </c>
      <c r="G123">
        <f t="shared" si="33"/>
        <v>150</v>
      </c>
      <c r="I123">
        <v>2100</v>
      </c>
      <c r="J123" t="s">
        <v>28</v>
      </c>
      <c r="K123">
        <f t="shared" si="34"/>
        <v>152.5</v>
      </c>
      <c r="L123" cm="1">
        <f t="array" ref="L123">STOWA2024_JAARROND_T(A123*60,K123,I123,J123,"")</f>
        <v>62.584967596475551</v>
      </c>
      <c r="M123">
        <f t="shared" si="35"/>
        <v>1.5978277826196631E-2</v>
      </c>
    </row>
    <row r="124" spans="1:13" x14ac:dyDescent="0.3">
      <c r="A124">
        <v>192</v>
      </c>
      <c r="B124">
        <f t="shared" si="32"/>
        <v>4.1734710238262342E-3</v>
      </c>
      <c r="C124">
        <f t="shared" si="28"/>
        <v>4.1734710238262342E-3</v>
      </c>
      <c r="D124" t="s">
        <v>33</v>
      </c>
      <c r="E124" t="s">
        <v>21</v>
      </c>
      <c r="F124">
        <v>1</v>
      </c>
      <c r="G124">
        <f t="shared" si="33"/>
        <v>155</v>
      </c>
      <c r="I124">
        <v>2100</v>
      </c>
      <c r="J124" t="s">
        <v>28</v>
      </c>
      <c r="K124">
        <f t="shared" si="34"/>
        <v>157.5</v>
      </c>
      <c r="L124" cm="1">
        <f t="array" ref="L124">STOWA2024_JAARROND_T(A124*60,K124,I124,J124,"")</f>
        <v>84.711255062573386</v>
      </c>
      <c r="M124">
        <f t="shared" si="35"/>
        <v>1.1804806802370397E-2</v>
      </c>
    </row>
    <row r="125" spans="1:13" x14ac:dyDescent="0.3">
      <c r="A125">
        <v>192</v>
      </c>
      <c r="B125" s="1">
        <f>M124</f>
        <v>1.1804806802370397E-2</v>
      </c>
      <c r="C125">
        <f t="shared" si="28"/>
        <v>1.1804806802370397E-2</v>
      </c>
      <c r="D125" t="s">
        <v>33</v>
      </c>
      <c r="E125" t="s">
        <v>21</v>
      </c>
      <c r="F125">
        <v>1</v>
      </c>
      <c r="G125">
        <f t="shared" si="33"/>
        <v>160</v>
      </c>
      <c r="I125">
        <v>2100</v>
      </c>
      <c r="J125" t="s">
        <v>28</v>
      </c>
      <c r="K125">
        <f>AVERAGE(G125:G126)</f>
        <v>85</v>
      </c>
      <c r="L125" cm="1">
        <f t="array" ref="L125">STOWA2024_JAARROND_T(A125*60,K125,I125,J125,"")</f>
        <v>1.0916899170411474</v>
      </c>
      <c r="M125">
        <f>1/L125</f>
        <v>0.91601102509982102</v>
      </c>
    </row>
    <row r="126" spans="1:13" x14ac:dyDescent="0.3">
      <c r="A126">
        <v>216</v>
      </c>
      <c r="B126" s="1">
        <f>365.25*24/A126 - M126</f>
        <v>-17.668883274362145</v>
      </c>
      <c r="C126">
        <f>B126</f>
        <v>-17.668883274362145</v>
      </c>
      <c r="D126" t="s">
        <v>33</v>
      </c>
      <c r="E126" t="s">
        <v>21</v>
      </c>
      <c r="F126">
        <v>1</v>
      </c>
      <c r="G126">
        <v>10</v>
      </c>
      <c r="I126">
        <v>2100</v>
      </c>
      <c r="J126" t="s">
        <v>28</v>
      </c>
      <c r="K126">
        <f>AVERAGE(G126:G128)</f>
        <v>15</v>
      </c>
      <c r="L126" cm="1">
        <f t="array" ref="L126">STOWA2024_JAARROND_T(A126*60,K126,I126,J126,"")</f>
        <v>1.7166728722695399E-2</v>
      </c>
      <c r="M126">
        <f>1/L126</f>
        <v>58.25221660769548</v>
      </c>
    </row>
    <row r="127" spans="1:13" x14ac:dyDescent="0.3">
      <c r="A127">
        <v>216</v>
      </c>
      <c r="B127">
        <f t="shared" ref="B127:B131" si="36">M126-M127</f>
        <v>7.3468222241813024</v>
      </c>
      <c r="C127">
        <f t="shared" ref="C127:C156" si="37">B127</f>
        <v>7.3468222241813024</v>
      </c>
      <c r="D127" t="s">
        <v>33</v>
      </c>
      <c r="E127" t="s">
        <v>21</v>
      </c>
      <c r="F127">
        <v>1</v>
      </c>
      <c r="G127">
        <f t="shared" ref="G127:G131" si="38">G126+5</f>
        <v>15</v>
      </c>
      <c r="I127">
        <v>2100</v>
      </c>
      <c r="J127" t="s">
        <v>28</v>
      </c>
      <c r="K127">
        <f t="shared" ref="K127:K131" si="39">AVERAGE(G127:G128)</f>
        <v>17.5</v>
      </c>
      <c r="L127" cm="1">
        <f t="array" ref="L127">STOWA2024_JAARROND_T(A127*60,K127,I127,J127,"")</f>
        <v>1.964428352064496E-2</v>
      </c>
      <c r="M127">
        <f t="shared" ref="M127:M131" si="40">1/L127</f>
        <v>50.905394383514178</v>
      </c>
    </row>
    <row r="128" spans="1:13" x14ac:dyDescent="0.3">
      <c r="A128">
        <v>216</v>
      </c>
      <c r="B128">
        <f t="shared" si="36"/>
        <v>12.063012054345499</v>
      </c>
      <c r="C128">
        <f t="shared" si="37"/>
        <v>12.063012054345499</v>
      </c>
      <c r="D128" t="s">
        <v>33</v>
      </c>
      <c r="E128" t="s">
        <v>21</v>
      </c>
      <c r="F128">
        <v>1</v>
      </c>
      <c r="G128">
        <f t="shared" si="38"/>
        <v>20</v>
      </c>
      <c r="I128">
        <v>2100</v>
      </c>
      <c r="J128" t="s">
        <v>28</v>
      </c>
      <c r="K128">
        <f t="shared" si="39"/>
        <v>22.5</v>
      </c>
      <c r="L128" cm="1">
        <f t="array" ref="L128">STOWA2024_JAARROND_T(A128*60,K128,I128,J128,"")</f>
        <v>2.5745073809467403E-2</v>
      </c>
      <c r="M128">
        <f t="shared" si="40"/>
        <v>38.842382329168679</v>
      </c>
    </row>
    <row r="129" spans="1:13" x14ac:dyDescent="0.3">
      <c r="A129">
        <v>216</v>
      </c>
      <c r="B129">
        <f t="shared" si="36"/>
        <v>9.2371680821172291</v>
      </c>
      <c r="C129">
        <f t="shared" si="37"/>
        <v>9.2371680821172291</v>
      </c>
      <c r="D129" t="s">
        <v>33</v>
      </c>
      <c r="E129" t="s">
        <v>21</v>
      </c>
      <c r="F129">
        <v>1</v>
      </c>
      <c r="G129">
        <f t="shared" si="38"/>
        <v>25</v>
      </c>
      <c r="I129">
        <v>2100</v>
      </c>
      <c r="J129" t="s">
        <v>28</v>
      </c>
      <c r="K129">
        <f t="shared" si="39"/>
        <v>27.5</v>
      </c>
      <c r="L129" cm="1">
        <f t="array" ref="L129">STOWA2024_JAARROND_T(A129*60,K129,I129,J129,"")</f>
        <v>3.3777833582122975E-2</v>
      </c>
      <c r="M129">
        <f t="shared" si="40"/>
        <v>29.60521424705145</v>
      </c>
    </row>
    <row r="130" spans="1:13" x14ac:dyDescent="0.3">
      <c r="A130">
        <v>216</v>
      </c>
      <c r="B130">
        <f t="shared" si="36"/>
        <v>7.0659588787562448</v>
      </c>
      <c r="C130">
        <f t="shared" si="37"/>
        <v>7.0659588787562448</v>
      </c>
      <c r="D130" t="s">
        <v>33</v>
      </c>
      <c r="E130" t="s">
        <v>21</v>
      </c>
      <c r="F130">
        <v>1</v>
      </c>
      <c r="G130">
        <f t="shared" si="38"/>
        <v>30</v>
      </c>
      <c r="I130">
        <v>2100</v>
      </c>
      <c r="J130" t="s">
        <v>28</v>
      </c>
      <c r="K130">
        <f t="shared" si="39"/>
        <v>32.5</v>
      </c>
      <c r="L130" cm="1">
        <f t="array" ref="L130">STOWA2024_JAARROND_T(A130*60,K130,I130,J130,"")</f>
        <v>4.4367038025872316E-2</v>
      </c>
      <c r="M130">
        <f t="shared" si="40"/>
        <v>22.539255368295205</v>
      </c>
    </row>
    <row r="131" spans="1:13" x14ac:dyDescent="0.3">
      <c r="A131">
        <v>216</v>
      </c>
      <c r="B131">
        <f t="shared" si="36"/>
        <v>5.3991559767790598</v>
      </c>
      <c r="C131">
        <f t="shared" si="37"/>
        <v>5.3991559767790598</v>
      </c>
      <c r="D131" t="s">
        <v>33</v>
      </c>
      <c r="E131" t="s">
        <v>21</v>
      </c>
      <c r="F131">
        <v>1</v>
      </c>
      <c r="G131">
        <f t="shared" si="38"/>
        <v>35</v>
      </c>
      <c r="I131">
        <v>2100</v>
      </c>
      <c r="J131" t="s">
        <v>28</v>
      </c>
      <c r="K131">
        <f t="shared" si="39"/>
        <v>37.5</v>
      </c>
      <c r="L131" cm="1">
        <f t="array" ref="L131">STOWA2024_JAARROND_T(A131*60,K131,I131,J131,"")</f>
        <v>5.8342718858151503E-2</v>
      </c>
      <c r="M131">
        <f t="shared" si="40"/>
        <v>17.140099391516145</v>
      </c>
    </row>
    <row r="132" spans="1:13" x14ac:dyDescent="0.3">
      <c r="A132">
        <v>216</v>
      </c>
      <c r="B132">
        <f>M131-M132</f>
        <v>4.1204873799779804</v>
      </c>
      <c r="C132">
        <f t="shared" si="37"/>
        <v>4.1204873799779804</v>
      </c>
      <c r="D132" t="s">
        <v>33</v>
      </c>
      <c r="E132" t="s">
        <v>21</v>
      </c>
      <c r="F132">
        <v>1</v>
      </c>
      <c r="G132">
        <f>G131+5</f>
        <v>40</v>
      </c>
      <c r="I132">
        <v>2100</v>
      </c>
      <c r="J132" t="s">
        <v>28</v>
      </c>
      <c r="K132">
        <f>AVERAGE(G132:G133)</f>
        <v>42.5</v>
      </c>
      <c r="L132" cm="1">
        <f t="array" ref="L132">STOWA2024_JAARROND_T(A132*60,K132,I132,J132,"")</f>
        <v>7.6807204324812889E-2</v>
      </c>
      <c r="M132">
        <f>1/L132</f>
        <v>13.019612011538165</v>
      </c>
    </row>
    <row r="133" spans="1:13" x14ac:dyDescent="0.3">
      <c r="A133">
        <v>216</v>
      </c>
      <c r="B133">
        <f t="shared" ref="B133:B155" si="41">M132-M133</f>
        <v>3.1412999369444741</v>
      </c>
      <c r="C133">
        <f t="shared" si="37"/>
        <v>3.1412999369444741</v>
      </c>
      <c r="D133" t="s">
        <v>33</v>
      </c>
      <c r="E133" t="s">
        <v>21</v>
      </c>
      <c r="F133">
        <v>1</v>
      </c>
      <c r="G133">
        <f t="shared" ref="G133:G156" si="42">G132+5</f>
        <v>45</v>
      </c>
      <c r="I133">
        <v>2100</v>
      </c>
      <c r="J133" t="s">
        <v>28</v>
      </c>
      <c r="K133">
        <f t="shared" ref="K133:K155" si="43">AVERAGE(G133:G134)</f>
        <v>47.5</v>
      </c>
      <c r="L133" cm="1">
        <f t="array" ref="L133">STOWA2024_JAARROND_T(A133*60,K133,I133,J133,"")</f>
        <v>0.10123186961990482</v>
      </c>
      <c r="M133">
        <f t="shared" ref="M133:M155" si="44">1/L133</f>
        <v>9.8783120745936905</v>
      </c>
    </row>
    <row r="134" spans="1:13" x14ac:dyDescent="0.3">
      <c r="A134">
        <v>216</v>
      </c>
      <c r="B134">
        <f t="shared" si="41"/>
        <v>2.3920838616312707</v>
      </c>
      <c r="C134">
        <f t="shared" si="37"/>
        <v>2.3920838616312707</v>
      </c>
      <c r="D134" t="s">
        <v>33</v>
      </c>
      <c r="E134" t="s">
        <v>21</v>
      </c>
      <c r="F134">
        <v>1</v>
      </c>
      <c r="G134">
        <f t="shared" si="42"/>
        <v>50</v>
      </c>
      <c r="I134">
        <v>2100</v>
      </c>
      <c r="J134" t="s">
        <v>28</v>
      </c>
      <c r="K134">
        <f t="shared" si="43"/>
        <v>52.5</v>
      </c>
      <c r="L134" cm="1">
        <f t="array" ref="L134">STOWA2024_JAARROND_T(A134*60,K134,I134,J134,"")</f>
        <v>0.13357861549939098</v>
      </c>
      <c r="M134">
        <f t="shared" si="44"/>
        <v>7.4862282129624198</v>
      </c>
    </row>
    <row r="135" spans="1:13" x14ac:dyDescent="0.3">
      <c r="A135">
        <v>216</v>
      </c>
      <c r="B135">
        <f t="shared" si="41"/>
        <v>1.8195316739529632</v>
      </c>
      <c r="C135">
        <f t="shared" si="37"/>
        <v>1.8195316739529632</v>
      </c>
      <c r="D135" t="s">
        <v>33</v>
      </c>
      <c r="E135" t="s">
        <v>21</v>
      </c>
      <c r="F135">
        <v>1</v>
      </c>
      <c r="G135">
        <f t="shared" si="42"/>
        <v>55</v>
      </c>
      <c r="I135">
        <v>2100</v>
      </c>
      <c r="J135" t="s">
        <v>28</v>
      </c>
      <c r="K135">
        <f t="shared" si="43"/>
        <v>57.5</v>
      </c>
      <c r="L135" cm="1">
        <f t="array" ref="L135">STOWA2024_JAARROND_T(A135*60,K135,I135,J135,"")</f>
        <v>0.17646965795962682</v>
      </c>
      <c r="M135">
        <f t="shared" si="44"/>
        <v>5.6666965390094566</v>
      </c>
    </row>
    <row r="136" spans="1:13" x14ac:dyDescent="0.3">
      <c r="A136">
        <v>216</v>
      </c>
      <c r="B136">
        <f t="shared" si="41"/>
        <v>1.3823523278794463</v>
      </c>
      <c r="C136">
        <f t="shared" si="37"/>
        <v>1.3823523278794463</v>
      </c>
      <c r="D136" t="s">
        <v>33</v>
      </c>
      <c r="E136" t="s">
        <v>21</v>
      </c>
      <c r="F136">
        <v>1</v>
      </c>
      <c r="G136">
        <f t="shared" si="42"/>
        <v>60</v>
      </c>
      <c r="I136">
        <v>2100</v>
      </c>
      <c r="J136" t="s">
        <v>28</v>
      </c>
      <c r="K136">
        <f t="shared" si="43"/>
        <v>62.5</v>
      </c>
      <c r="L136" cm="1">
        <f t="array" ref="L136">STOWA2024_JAARROND_T(A136*60,K136,I136,J136,"")</f>
        <v>0.23340795013672502</v>
      </c>
      <c r="M136">
        <f t="shared" si="44"/>
        <v>4.2843442111300103</v>
      </c>
    </row>
    <row r="137" spans="1:13" x14ac:dyDescent="0.3">
      <c r="A137">
        <v>216</v>
      </c>
      <c r="B137">
        <f t="shared" si="41"/>
        <v>1.048946870531501</v>
      </c>
      <c r="C137">
        <f t="shared" si="37"/>
        <v>1.048946870531501</v>
      </c>
      <c r="D137" t="s">
        <v>33</v>
      </c>
      <c r="E137" t="s">
        <v>21</v>
      </c>
      <c r="F137">
        <v>1</v>
      </c>
      <c r="G137">
        <f t="shared" si="42"/>
        <v>65</v>
      </c>
      <c r="I137">
        <v>2100</v>
      </c>
      <c r="J137" t="s">
        <v>28</v>
      </c>
      <c r="K137">
        <f t="shared" si="43"/>
        <v>67.5</v>
      </c>
      <c r="L137" cm="1">
        <f t="array" ref="L137">STOWA2024_JAARROND_T(A137*60,K137,I137,J137,"")</f>
        <v>0.3090810477748035</v>
      </c>
      <c r="M137">
        <f t="shared" si="44"/>
        <v>3.2353973405985093</v>
      </c>
    </row>
    <row r="138" spans="1:13" x14ac:dyDescent="0.3">
      <c r="A138">
        <v>216</v>
      </c>
      <c r="B138">
        <f t="shared" si="41"/>
        <v>0.79511272611413464</v>
      </c>
      <c r="C138">
        <f t="shared" si="37"/>
        <v>0.79511272611413464</v>
      </c>
      <c r="D138" t="s">
        <v>33</v>
      </c>
      <c r="E138" t="s">
        <v>21</v>
      </c>
      <c r="F138">
        <v>1</v>
      </c>
      <c r="G138">
        <f t="shared" si="42"/>
        <v>70</v>
      </c>
      <c r="I138">
        <v>2100</v>
      </c>
      <c r="J138" t="s">
        <v>28</v>
      </c>
      <c r="K138">
        <f t="shared" si="43"/>
        <v>72.5</v>
      </c>
      <c r="L138" cm="1">
        <f t="array" ref="L138">STOWA2024_JAARROND_T(A138*60,K138,I138,J138,"")</f>
        <v>0.40978826570657917</v>
      </c>
      <c r="M138">
        <f t="shared" si="44"/>
        <v>2.4402846144843746</v>
      </c>
    </row>
    <row r="139" spans="1:13" x14ac:dyDescent="0.3">
      <c r="A139">
        <v>216</v>
      </c>
      <c r="B139">
        <f t="shared" si="41"/>
        <v>0.6019087863188175</v>
      </c>
      <c r="C139">
        <f t="shared" si="37"/>
        <v>0.6019087863188175</v>
      </c>
      <c r="D139" t="s">
        <v>33</v>
      </c>
      <c r="E139" t="s">
        <v>21</v>
      </c>
      <c r="F139">
        <v>1</v>
      </c>
      <c r="G139">
        <f t="shared" si="42"/>
        <v>75</v>
      </c>
      <c r="I139">
        <v>2100</v>
      </c>
      <c r="J139" t="s">
        <v>28</v>
      </c>
      <c r="K139">
        <f t="shared" si="43"/>
        <v>77.5</v>
      </c>
      <c r="L139" cm="1">
        <f t="array" ref="L139">STOWA2024_JAARROND_T(A139*60,K139,I139,J139,"")</f>
        <v>0.5439584140952618</v>
      </c>
      <c r="M139">
        <f t="shared" si="44"/>
        <v>1.8383758281655571</v>
      </c>
    </row>
    <row r="140" spans="1:13" x14ac:dyDescent="0.3">
      <c r="A140">
        <v>216</v>
      </c>
      <c r="B140">
        <f t="shared" si="41"/>
        <v>0.45514888868373449</v>
      </c>
      <c r="C140">
        <f t="shared" si="37"/>
        <v>0.45514888868373449</v>
      </c>
      <c r="D140" t="s">
        <v>33</v>
      </c>
      <c r="E140" t="s">
        <v>21</v>
      </c>
      <c r="F140">
        <v>1</v>
      </c>
      <c r="G140">
        <f t="shared" si="42"/>
        <v>80</v>
      </c>
      <c r="I140">
        <v>2100</v>
      </c>
      <c r="J140" t="s">
        <v>28</v>
      </c>
      <c r="K140">
        <f t="shared" si="43"/>
        <v>82.5</v>
      </c>
      <c r="L140" cm="1">
        <f t="array" ref="L140">STOWA2024_JAARROND_T(A140*60,K140,I140,J140,"")</f>
        <v>0.72294716901234934</v>
      </c>
      <c r="M140">
        <f t="shared" si="44"/>
        <v>1.3832269394818226</v>
      </c>
    </row>
    <row r="141" spans="1:13" x14ac:dyDescent="0.3">
      <c r="A141">
        <v>216</v>
      </c>
      <c r="B141">
        <f t="shared" si="41"/>
        <v>0.34374438449269773</v>
      </c>
      <c r="C141">
        <f t="shared" si="37"/>
        <v>0.34374438449269773</v>
      </c>
      <c r="D141" t="s">
        <v>33</v>
      </c>
      <c r="E141" t="s">
        <v>21</v>
      </c>
      <c r="F141">
        <v>1</v>
      </c>
      <c r="G141">
        <f t="shared" si="42"/>
        <v>85</v>
      </c>
      <c r="I141">
        <v>2100</v>
      </c>
      <c r="J141" t="s">
        <v>28</v>
      </c>
      <c r="K141">
        <f t="shared" si="43"/>
        <v>87.5</v>
      </c>
      <c r="L141" cm="1">
        <f t="array" ref="L141">STOWA2024_JAARROND_T(A141*60,K141,I141,J141,"")</f>
        <v>0.96201710668483709</v>
      </c>
      <c r="M141">
        <f t="shared" si="44"/>
        <v>1.0394825549891249</v>
      </c>
    </row>
    <row r="142" spans="1:13" x14ac:dyDescent="0.3">
      <c r="A142">
        <v>216</v>
      </c>
      <c r="B142">
        <f t="shared" si="41"/>
        <v>0.25922438044385665</v>
      </c>
      <c r="C142">
        <f t="shared" si="37"/>
        <v>0.25922438044385665</v>
      </c>
      <c r="D142" t="s">
        <v>33</v>
      </c>
      <c r="E142" t="s">
        <v>21</v>
      </c>
      <c r="F142">
        <v>1</v>
      </c>
      <c r="G142">
        <f t="shared" si="42"/>
        <v>90</v>
      </c>
      <c r="I142">
        <v>2100</v>
      </c>
      <c r="J142" t="s">
        <v>28</v>
      </c>
      <c r="K142">
        <f t="shared" si="43"/>
        <v>92.5</v>
      </c>
      <c r="L142" cm="1">
        <f t="array" ref="L142">STOWA2024_JAARROND_T(A142*60,K142,I142,J142,"")</f>
        <v>1.2816270724530332</v>
      </c>
      <c r="M142">
        <f t="shared" si="44"/>
        <v>0.78025817454526825</v>
      </c>
    </row>
    <row r="143" spans="1:13" x14ac:dyDescent="0.3">
      <c r="A143">
        <v>216</v>
      </c>
      <c r="B143">
        <f t="shared" si="41"/>
        <v>0.19536749829379041</v>
      </c>
      <c r="C143">
        <f t="shared" si="37"/>
        <v>0.19536749829379041</v>
      </c>
      <c r="D143" t="s">
        <v>33</v>
      </c>
      <c r="E143" t="s">
        <v>21</v>
      </c>
      <c r="F143">
        <v>1</v>
      </c>
      <c r="G143">
        <f t="shared" si="42"/>
        <v>95</v>
      </c>
      <c r="I143">
        <v>2100</v>
      </c>
      <c r="J143" t="s">
        <v>28</v>
      </c>
      <c r="K143">
        <f t="shared" si="43"/>
        <v>97.5</v>
      </c>
      <c r="L143" cm="1">
        <f t="array" ref="L143">STOWA2024_JAARROND_T(A143*60,K143,I143,J143,"")</f>
        <v>1.7097212190300721</v>
      </c>
      <c r="M143">
        <f t="shared" si="44"/>
        <v>0.58489067625147784</v>
      </c>
    </row>
    <row r="144" spans="1:13" x14ac:dyDescent="0.3">
      <c r="A144">
        <v>216</v>
      </c>
      <c r="B144">
        <f t="shared" si="41"/>
        <v>0.14700198439209222</v>
      </c>
      <c r="C144">
        <f t="shared" si="37"/>
        <v>0.14700198439209222</v>
      </c>
      <c r="D144" t="s">
        <v>33</v>
      </c>
      <c r="E144" t="s">
        <v>21</v>
      </c>
      <c r="F144">
        <v>1</v>
      </c>
      <c r="G144">
        <f t="shared" si="42"/>
        <v>100</v>
      </c>
      <c r="I144">
        <v>2100</v>
      </c>
      <c r="J144" t="s">
        <v>28</v>
      </c>
      <c r="K144">
        <f t="shared" si="43"/>
        <v>102.5</v>
      </c>
      <c r="L144" cm="1">
        <f t="array" ref="L144">STOWA2024_JAARROND_T(A144*60,K144,I144,J144,"")</f>
        <v>2.2836853716266301</v>
      </c>
      <c r="M144">
        <f t="shared" si="44"/>
        <v>0.43788869185938561</v>
      </c>
    </row>
    <row r="145" spans="1:13" x14ac:dyDescent="0.3">
      <c r="A145">
        <v>216</v>
      </c>
      <c r="B145">
        <f t="shared" si="41"/>
        <v>0.11047271134317505</v>
      </c>
      <c r="C145">
        <f t="shared" si="37"/>
        <v>0.11047271134317505</v>
      </c>
      <c r="D145" t="s">
        <v>33</v>
      </c>
      <c r="E145" t="s">
        <v>21</v>
      </c>
      <c r="F145">
        <v>1</v>
      </c>
      <c r="G145">
        <f t="shared" si="42"/>
        <v>105</v>
      </c>
      <c r="I145">
        <v>2100</v>
      </c>
      <c r="J145" t="s">
        <v>28</v>
      </c>
      <c r="K145">
        <f t="shared" si="43"/>
        <v>107.5</v>
      </c>
      <c r="L145" cm="1">
        <f t="array" ref="L145">STOWA2024_JAARROND_T(A145*60,K145,I145,J145,"")</f>
        <v>3.0542186683233359</v>
      </c>
      <c r="M145">
        <f t="shared" si="44"/>
        <v>0.32741598051621057</v>
      </c>
    </row>
    <row r="146" spans="1:13" x14ac:dyDescent="0.3">
      <c r="A146">
        <v>216</v>
      </c>
      <c r="B146">
        <f t="shared" si="41"/>
        <v>8.2919822179704394E-2</v>
      </c>
      <c r="C146">
        <f t="shared" si="37"/>
        <v>8.2919822179704394E-2</v>
      </c>
      <c r="D146" t="s">
        <v>33</v>
      </c>
      <c r="E146" t="s">
        <v>21</v>
      </c>
      <c r="F146">
        <v>1</v>
      </c>
      <c r="G146">
        <f t="shared" si="42"/>
        <v>110</v>
      </c>
      <c r="I146">
        <v>2100</v>
      </c>
      <c r="J146" t="s">
        <v>28</v>
      </c>
      <c r="K146">
        <f t="shared" si="43"/>
        <v>112.5</v>
      </c>
      <c r="L146" cm="1">
        <f t="array" ref="L146">STOWA2024_JAARROND_T(A146*60,K146,I146,J146,"")</f>
        <v>4.0900438142004463</v>
      </c>
      <c r="M146">
        <f t="shared" si="44"/>
        <v>0.24449615833650618</v>
      </c>
    </row>
    <row r="147" spans="1:13" x14ac:dyDescent="0.3">
      <c r="A147">
        <v>216</v>
      </c>
      <c r="B147">
        <f t="shared" si="41"/>
        <v>6.2155906726611782E-2</v>
      </c>
      <c r="C147">
        <f t="shared" si="37"/>
        <v>6.2155906726611782E-2</v>
      </c>
      <c r="D147" t="s">
        <v>33</v>
      </c>
      <c r="E147" t="s">
        <v>21</v>
      </c>
      <c r="F147">
        <v>1</v>
      </c>
      <c r="G147">
        <f t="shared" si="42"/>
        <v>115</v>
      </c>
      <c r="I147">
        <v>2100</v>
      </c>
      <c r="J147" t="s">
        <v>28</v>
      </c>
      <c r="K147">
        <f t="shared" si="43"/>
        <v>117.5</v>
      </c>
      <c r="L147" cm="1">
        <f t="array" ref="L147">STOWA2024_JAARROND_T(A147*60,K147,I147,J147,"")</f>
        <v>5.4842526056146816</v>
      </c>
      <c r="M147">
        <f t="shared" si="44"/>
        <v>0.18234025160989439</v>
      </c>
    </row>
    <row r="148" spans="1:13" x14ac:dyDescent="0.3">
      <c r="A148">
        <v>216</v>
      </c>
      <c r="B148">
        <f t="shared" si="41"/>
        <v>4.6532954794220566E-2</v>
      </c>
      <c r="C148">
        <f t="shared" si="37"/>
        <v>4.6532954794220566E-2</v>
      </c>
      <c r="D148" t="s">
        <v>33</v>
      </c>
      <c r="E148" t="s">
        <v>21</v>
      </c>
      <c r="F148">
        <v>1</v>
      </c>
      <c r="G148">
        <f t="shared" si="42"/>
        <v>120</v>
      </c>
      <c r="I148">
        <v>2100</v>
      </c>
      <c r="J148" t="s">
        <v>28</v>
      </c>
      <c r="K148">
        <f t="shared" si="43"/>
        <v>122.5</v>
      </c>
      <c r="L148" cm="1">
        <f t="array" ref="L148">STOWA2024_JAARROND_T(A148*60,K148,I148,J148,"")</f>
        <v>7.3633746009779033</v>
      </c>
      <c r="M148">
        <f t="shared" si="44"/>
        <v>0.13580729681567383</v>
      </c>
    </row>
    <row r="149" spans="1:13" x14ac:dyDescent="0.3">
      <c r="A149">
        <v>216</v>
      </c>
      <c r="B149">
        <f t="shared" si="41"/>
        <v>3.4791641942539711E-2</v>
      </c>
      <c r="C149">
        <f t="shared" si="37"/>
        <v>3.4791641942539711E-2</v>
      </c>
      <c r="D149" t="s">
        <v>33</v>
      </c>
      <c r="E149" t="s">
        <v>21</v>
      </c>
      <c r="F149">
        <v>1</v>
      </c>
      <c r="G149">
        <f t="shared" si="42"/>
        <v>125</v>
      </c>
      <c r="I149">
        <v>2100</v>
      </c>
      <c r="J149" t="s">
        <v>28</v>
      </c>
      <c r="K149">
        <f t="shared" si="43"/>
        <v>127.5</v>
      </c>
      <c r="L149" cm="1">
        <f t="array" ref="L149">STOWA2024_JAARROND_T(A149*60,K149,I149,J149,"")</f>
        <v>9.899455695811735</v>
      </c>
      <c r="M149">
        <f t="shared" si="44"/>
        <v>0.10101565487313412</v>
      </c>
    </row>
    <row r="150" spans="1:13" x14ac:dyDescent="0.3">
      <c r="A150">
        <v>216</v>
      </c>
      <c r="B150">
        <f t="shared" si="41"/>
        <v>2.5978879956294637E-2</v>
      </c>
      <c r="C150">
        <f t="shared" si="37"/>
        <v>2.5978879956294637E-2</v>
      </c>
      <c r="D150" t="s">
        <v>33</v>
      </c>
      <c r="E150" t="s">
        <v>21</v>
      </c>
      <c r="F150">
        <v>1</v>
      </c>
      <c r="G150">
        <f t="shared" si="42"/>
        <v>130</v>
      </c>
      <c r="I150">
        <v>2100</v>
      </c>
      <c r="J150" t="s">
        <v>28</v>
      </c>
      <c r="K150">
        <f t="shared" si="43"/>
        <v>132.5</v>
      </c>
      <c r="L150" cm="1">
        <f t="array" ref="L150">STOWA2024_JAARROND_T(A150*60,K150,I150,J150,"")</f>
        <v>13.326798774444445</v>
      </c>
      <c r="M150">
        <f t="shared" si="44"/>
        <v>7.503677491683948E-2</v>
      </c>
    </row>
    <row r="151" spans="1:13" x14ac:dyDescent="0.3">
      <c r="A151">
        <v>216</v>
      </c>
      <c r="B151">
        <f t="shared" si="41"/>
        <v>1.9373164429987773E-2</v>
      </c>
      <c r="C151">
        <f t="shared" si="37"/>
        <v>1.9373164429987773E-2</v>
      </c>
      <c r="D151" t="s">
        <v>33</v>
      </c>
      <c r="E151" t="s">
        <v>21</v>
      </c>
      <c r="F151">
        <v>1</v>
      </c>
      <c r="G151">
        <f t="shared" si="42"/>
        <v>135</v>
      </c>
      <c r="I151">
        <v>2100</v>
      </c>
      <c r="J151" t="s">
        <v>28</v>
      </c>
      <c r="K151">
        <f t="shared" si="43"/>
        <v>137.5</v>
      </c>
      <c r="L151" cm="1">
        <f t="array" ref="L151">STOWA2024_JAARROND_T(A151*60,K151,I151,J151,"")</f>
        <v>17.965058163738945</v>
      </c>
      <c r="M151">
        <f t="shared" si="44"/>
        <v>5.5663610486851707E-2</v>
      </c>
    </row>
    <row r="152" spans="1:13" x14ac:dyDescent="0.3">
      <c r="A152">
        <v>216</v>
      </c>
      <c r="B152">
        <f t="shared" si="41"/>
        <v>1.4427193736624017E-2</v>
      </c>
      <c r="C152">
        <f t="shared" si="37"/>
        <v>1.4427193736624017E-2</v>
      </c>
      <c r="D152" t="s">
        <v>33</v>
      </c>
      <c r="E152" t="s">
        <v>21</v>
      </c>
      <c r="F152">
        <v>1</v>
      </c>
      <c r="G152">
        <f t="shared" si="42"/>
        <v>140</v>
      </c>
      <c r="I152">
        <v>2100</v>
      </c>
      <c r="J152" t="s">
        <v>28</v>
      </c>
      <c r="K152">
        <f t="shared" si="43"/>
        <v>142.5</v>
      </c>
      <c r="L152" cm="1">
        <f t="array" ref="L152">STOWA2024_JAARROND_T(A152*60,K152,I152,J152,"")</f>
        <v>24.250409681740312</v>
      </c>
      <c r="M152">
        <f t="shared" si="44"/>
        <v>4.123641675022769E-2</v>
      </c>
    </row>
    <row r="153" spans="1:13" x14ac:dyDescent="0.3">
      <c r="A153">
        <v>216</v>
      </c>
      <c r="B153">
        <f t="shared" si="41"/>
        <v>1.0729771370286356E-2</v>
      </c>
      <c r="C153">
        <f t="shared" si="37"/>
        <v>1.0729771370286356E-2</v>
      </c>
      <c r="D153" t="s">
        <v>33</v>
      </c>
      <c r="E153" t="s">
        <v>21</v>
      </c>
      <c r="F153">
        <v>1</v>
      </c>
      <c r="G153">
        <f t="shared" si="42"/>
        <v>145</v>
      </c>
      <c r="I153">
        <v>2100</v>
      </c>
      <c r="J153" t="s">
        <v>28</v>
      </c>
      <c r="K153">
        <f t="shared" si="43"/>
        <v>147.5</v>
      </c>
      <c r="L153" cm="1">
        <f t="array" ref="L153">STOWA2024_JAARROND_T(A153*60,K153,I153,J153,"")</f>
        <v>32.779743152536788</v>
      </c>
      <c r="M153">
        <f t="shared" si="44"/>
        <v>3.0506645379941334E-2</v>
      </c>
    </row>
    <row r="154" spans="1:13" x14ac:dyDescent="0.3">
      <c r="A154">
        <v>216</v>
      </c>
      <c r="B154">
        <f t="shared" si="41"/>
        <v>7.9691055278623309E-3</v>
      </c>
      <c r="C154">
        <f t="shared" si="37"/>
        <v>7.9691055278623309E-3</v>
      </c>
      <c r="D154" t="s">
        <v>33</v>
      </c>
      <c r="E154" t="s">
        <v>21</v>
      </c>
      <c r="F154">
        <v>1</v>
      </c>
      <c r="G154">
        <f t="shared" si="42"/>
        <v>150</v>
      </c>
      <c r="I154">
        <v>2100</v>
      </c>
      <c r="J154" t="s">
        <v>28</v>
      </c>
      <c r="K154">
        <f t="shared" si="43"/>
        <v>152.5</v>
      </c>
      <c r="L154" cm="1">
        <f t="array" ref="L154">STOWA2024_JAARROND_T(A154*60,K154,I154,J154,"")</f>
        <v>44.370415163470192</v>
      </c>
      <c r="M154">
        <f t="shared" si="44"/>
        <v>2.2537539852079003E-2</v>
      </c>
    </row>
    <row r="155" spans="1:13" x14ac:dyDescent="0.3">
      <c r="A155">
        <v>216</v>
      </c>
      <c r="B155">
        <f t="shared" si="41"/>
        <v>5.9107298203770371E-3</v>
      </c>
      <c r="C155">
        <f t="shared" si="37"/>
        <v>5.9107298203770371E-3</v>
      </c>
      <c r="D155" t="s">
        <v>33</v>
      </c>
      <c r="E155" t="s">
        <v>21</v>
      </c>
      <c r="F155">
        <v>1</v>
      </c>
      <c r="G155">
        <f t="shared" si="42"/>
        <v>155</v>
      </c>
      <c r="I155">
        <v>2100</v>
      </c>
      <c r="J155" t="s">
        <v>28</v>
      </c>
      <c r="K155">
        <f t="shared" si="43"/>
        <v>157.5</v>
      </c>
      <c r="L155" cm="1">
        <f t="array" ref="L155">STOWA2024_JAARROND_T(A155*60,K155,I155,J155,"")</f>
        <v>60.143827835485119</v>
      </c>
      <c r="M155">
        <f t="shared" si="44"/>
        <v>1.6626810031701966E-2</v>
      </c>
    </row>
    <row r="156" spans="1:13" x14ac:dyDescent="0.3">
      <c r="A156">
        <v>216</v>
      </c>
      <c r="B156" s="1">
        <f>M155</f>
        <v>1.6626810031701966E-2</v>
      </c>
      <c r="C156">
        <f t="shared" si="37"/>
        <v>1.6626810031701966E-2</v>
      </c>
      <c r="D156" t="s">
        <v>33</v>
      </c>
      <c r="E156" t="s">
        <v>21</v>
      </c>
      <c r="F156">
        <v>1</v>
      </c>
      <c r="G156">
        <f t="shared" si="42"/>
        <v>160</v>
      </c>
      <c r="I156">
        <v>2100</v>
      </c>
      <c r="J156" t="s">
        <v>28</v>
      </c>
      <c r="K156">
        <f>AVERAGE(G156:G157)</f>
        <v>160</v>
      </c>
      <c r="L156" cm="1">
        <f t="array" ref="L156">STOWA2024_JAARROND_T(A156*60,K156,I156,J156,"")</f>
        <v>70.059647116809742</v>
      </c>
      <c r="M156">
        <f>1/L156</f>
        <v>1.4273551768433975E-2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56"/>
  <sheetViews>
    <sheetView workbookViewId="0">
      <selection activeCell="B23" sqref="B2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356.20801726297447</v>
      </c>
      <c r="C2">
        <f>B2</f>
        <v>356.20801726297447</v>
      </c>
      <c r="D2" t="s">
        <v>33</v>
      </c>
      <c r="E2" t="s">
        <v>19</v>
      </c>
      <c r="F2">
        <v>1</v>
      </c>
      <c r="G2">
        <v>10</v>
      </c>
      <c r="I2">
        <v>2100</v>
      </c>
      <c r="J2" t="s">
        <v>28</v>
      </c>
      <c r="K2">
        <f>AVERAGE(G2:G4)</f>
        <v>15</v>
      </c>
      <c r="L2" cm="1">
        <f t="array" ref="L2">STOWA2024_NDJF_T(A2*60,K2,I2,J2,"")</f>
        <v>0.1105952122541832</v>
      </c>
      <c r="M2">
        <f>1/L2</f>
        <v>9.0419827370255401</v>
      </c>
    </row>
    <row r="3" spans="1:13" x14ac:dyDescent="0.3">
      <c r="A3">
        <v>24</v>
      </c>
      <c r="B3">
        <f t="shared" ref="B3:B7" si="0">M2-M3</f>
        <v>3.1686398097640884</v>
      </c>
      <c r="C3">
        <f t="shared" ref="C3:C32" si="1">B3</f>
        <v>3.1686398097640884</v>
      </c>
      <c r="D3" t="s">
        <v>33</v>
      </c>
      <c r="E3" t="s">
        <v>19</v>
      </c>
      <c r="F3">
        <v>1</v>
      </c>
      <c r="G3">
        <f t="shared" ref="G3:G7" si="2">G2+5</f>
        <v>15</v>
      </c>
      <c r="I3">
        <v>2100</v>
      </c>
      <c r="J3" t="s">
        <v>28</v>
      </c>
      <c r="K3">
        <f t="shared" ref="K3:K7" si="3">AVERAGE(G3:G4)</f>
        <v>17.5</v>
      </c>
      <c r="L3" cm="1">
        <f t="array" ref="L3">STOWA2024_NDJF_T(A3*60,K3,I3,J3,"")</f>
        <v>0.17026078885304716</v>
      </c>
      <c r="M3">
        <f t="shared" ref="M3:M7" si="4">1/L3</f>
        <v>5.8733429272614517</v>
      </c>
    </row>
    <row r="4" spans="1:13" x14ac:dyDescent="0.3">
      <c r="A4">
        <v>24</v>
      </c>
      <c r="B4">
        <f t="shared" si="0"/>
        <v>3.2973687044251525</v>
      </c>
      <c r="C4">
        <f t="shared" si="1"/>
        <v>3.2973687044251525</v>
      </c>
      <c r="D4" t="s">
        <v>33</v>
      </c>
      <c r="E4" t="s">
        <v>19</v>
      </c>
      <c r="F4">
        <v>1</v>
      </c>
      <c r="G4">
        <f t="shared" si="2"/>
        <v>20</v>
      </c>
      <c r="I4">
        <v>2100</v>
      </c>
      <c r="J4" t="s">
        <v>28</v>
      </c>
      <c r="K4">
        <f t="shared" si="3"/>
        <v>22.5</v>
      </c>
      <c r="L4" cm="1">
        <f t="array" ref="L4">STOWA2024_NDJF_T(A4*60,K4,I4,J4,"")</f>
        <v>0.38820264237696489</v>
      </c>
      <c r="M4">
        <f t="shared" si="4"/>
        <v>2.5759742228362992</v>
      </c>
    </row>
    <row r="5" spans="1:13" x14ac:dyDescent="0.3">
      <c r="A5">
        <v>24</v>
      </c>
      <c r="B5">
        <f t="shared" si="0"/>
        <v>1.3920291333597261</v>
      </c>
      <c r="C5">
        <f t="shared" si="1"/>
        <v>1.3920291333597261</v>
      </c>
      <c r="D5" t="s">
        <v>33</v>
      </c>
      <c r="E5" t="s">
        <v>19</v>
      </c>
      <c r="F5">
        <v>1</v>
      </c>
      <c r="G5">
        <f t="shared" si="2"/>
        <v>25</v>
      </c>
      <c r="I5">
        <v>2100</v>
      </c>
      <c r="J5" t="s">
        <v>28</v>
      </c>
      <c r="K5">
        <f t="shared" si="3"/>
        <v>27.5</v>
      </c>
      <c r="L5" cm="1">
        <f t="array" ref="L5">STOWA2024_NDJF_T(A5*60,K5,I5,J5,"")</f>
        <v>0.84463376628565101</v>
      </c>
      <c r="M5">
        <f t="shared" si="4"/>
        <v>1.1839450894765731</v>
      </c>
    </row>
    <row r="6" spans="1:13" x14ac:dyDescent="0.3">
      <c r="A6">
        <v>24</v>
      </c>
      <c r="B6">
        <f t="shared" si="0"/>
        <v>0.61649832219216538</v>
      </c>
      <c r="C6">
        <f t="shared" si="1"/>
        <v>0.61649832219216538</v>
      </c>
      <c r="D6" t="s">
        <v>33</v>
      </c>
      <c r="E6" t="s">
        <v>19</v>
      </c>
      <c r="F6">
        <v>1</v>
      </c>
      <c r="G6">
        <f t="shared" si="2"/>
        <v>30</v>
      </c>
      <c r="I6">
        <v>2100</v>
      </c>
      <c r="J6" t="s">
        <v>28</v>
      </c>
      <c r="K6">
        <f t="shared" si="3"/>
        <v>32.5</v>
      </c>
      <c r="L6" cm="1">
        <f t="array" ref="L6">STOWA2024_NDJF_T(A6*60,K6,I6,J6,"")</f>
        <v>1.7622798430690401</v>
      </c>
      <c r="M6">
        <f t="shared" si="4"/>
        <v>0.56744676728440768</v>
      </c>
    </row>
    <row r="7" spans="1:13" x14ac:dyDescent="0.3">
      <c r="A7">
        <v>24</v>
      </c>
      <c r="B7">
        <f t="shared" si="0"/>
        <v>0.28513095660229448</v>
      </c>
      <c r="C7">
        <f t="shared" si="1"/>
        <v>0.28513095660229448</v>
      </c>
      <c r="D7" t="s">
        <v>33</v>
      </c>
      <c r="E7" t="s">
        <v>19</v>
      </c>
      <c r="F7">
        <v>1</v>
      </c>
      <c r="G7">
        <f t="shared" si="2"/>
        <v>35</v>
      </c>
      <c r="I7">
        <v>2100</v>
      </c>
      <c r="J7" t="s">
        <v>28</v>
      </c>
      <c r="K7">
        <f t="shared" si="3"/>
        <v>37.5</v>
      </c>
      <c r="L7" cm="1">
        <f t="array" ref="L7">STOWA2024_NDJF_T(A7*60,K7,I7,J7,"")</f>
        <v>3.5421324706677413</v>
      </c>
      <c r="M7">
        <f t="shared" si="4"/>
        <v>0.2823158106821132</v>
      </c>
    </row>
    <row r="8" spans="1:13" x14ac:dyDescent="0.3">
      <c r="A8">
        <v>24</v>
      </c>
      <c r="B8">
        <f>M7-M8</f>
        <v>0.13702262575907101</v>
      </c>
      <c r="C8">
        <f t="shared" si="1"/>
        <v>0.13702262575907101</v>
      </c>
      <c r="D8" t="s">
        <v>33</v>
      </c>
      <c r="E8" t="s">
        <v>19</v>
      </c>
      <c r="F8">
        <v>1</v>
      </c>
      <c r="G8">
        <f>G7+5</f>
        <v>40</v>
      </c>
      <c r="I8">
        <v>2100</v>
      </c>
      <c r="J8" t="s">
        <v>28</v>
      </c>
      <c r="K8">
        <f>AVERAGE(G8:G9)</f>
        <v>42.5</v>
      </c>
      <c r="L8" cm="1">
        <f t="array" ref="L8">STOWA2024_NDJF_T(A8*60,K8,I8,J8,"")</f>
        <v>6.882635276593823</v>
      </c>
      <c r="M8">
        <f>1/L8</f>
        <v>0.14529318492304219</v>
      </c>
    </row>
    <row r="9" spans="1:13" x14ac:dyDescent="0.3">
      <c r="A9">
        <v>24</v>
      </c>
      <c r="B9">
        <f t="shared" ref="B9:B31" si="5">M8-M9</f>
        <v>6.8184716873761625E-2</v>
      </c>
      <c r="C9">
        <f t="shared" si="1"/>
        <v>6.8184716873761625E-2</v>
      </c>
      <c r="D9" t="s">
        <v>33</v>
      </c>
      <c r="E9" t="s">
        <v>19</v>
      </c>
      <c r="F9">
        <v>1</v>
      </c>
      <c r="G9">
        <f t="shared" ref="G9:G32" si="6">G8+5</f>
        <v>45</v>
      </c>
      <c r="I9">
        <v>2100</v>
      </c>
      <c r="J9" t="s">
        <v>28</v>
      </c>
      <c r="K9">
        <f t="shared" ref="K9:K31" si="7">AVERAGE(G9:G10)</f>
        <v>47.5</v>
      </c>
      <c r="L9" cm="1">
        <f t="array" ref="L9">STOWA2024_NDJF_T(A9*60,K9,I9,J9,"")</f>
        <v>12.968744228725864</v>
      </c>
      <c r="M9">
        <f t="shared" ref="M9:M31" si="8">1/L9</f>
        <v>7.7108468049280565E-2</v>
      </c>
    </row>
    <row r="10" spans="1:13" x14ac:dyDescent="0.3">
      <c r="A10">
        <v>24</v>
      </c>
      <c r="B10">
        <f t="shared" si="5"/>
        <v>3.5024195187976781E-2</v>
      </c>
      <c r="C10">
        <f t="shared" si="1"/>
        <v>3.5024195187976781E-2</v>
      </c>
      <c r="D10" t="s">
        <v>33</v>
      </c>
      <c r="E10" t="s">
        <v>19</v>
      </c>
      <c r="F10">
        <v>1</v>
      </c>
      <c r="G10">
        <f t="shared" si="6"/>
        <v>50</v>
      </c>
      <c r="I10">
        <v>2100</v>
      </c>
      <c r="J10" t="s">
        <v>28</v>
      </c>
      <c r="K10">
        <f t="shared" si="7"/>
        <v>52.5</v>
      </c>
      <c r="L10" cm="1">
        <f t="array" ref="L10">STOWA2024_NDJF_T(A10*60,K10,I10,J10,"")</f>
        <v>23.761845744505983</v>
      </c>
      <c r="M10">
        <f t="shared" si="8"/>
        <v>4.2084272861303784E-2</v>
      </c>
    </row>
    <row r="11" spans="1:13" x14ac:dyDescent="0.3">
      <c r="A11">
        <v>24</v>
      </c>
      <c r="B11">
        <f t="shared" si="5"/>
        <v>1.8518810376996094E-2</v>
      </c>
      <c r="C11">
        <f t="shared" si="1"/>
        <v>1.8518810376996094E-2</v>
      </c>
      <c r="D11" t="s">
        <v>33</v>
      </c>
      <c r="E11" t="s">
        <v>19</v>
      </c>
      <c r="F11">
        <v>1</v>
      </c>
      <c r="G11">
        <f t="shared" si="6"/>
        <v>55</v>
      </c>
      <c r="I11">
        <v>2100</v>
      </c>
      <c r="J11" t="s">
        <v>28</v>
      </c>
      <c r="K11">
        <f t="shared" si="7"/>
        <v>57.5</v>
      </c>
      <c r="L11" cm="1">
        <f t="array" ref="L11">STOWA2024_NDJF_T(A11*60,K11,I11,J11,"")</f>
        <v>42.434983003872844</v>
      </c>
      <c r="M11">
        <f t="shared" si="8"/>
        <v>2.356546248430769E-2</v>
      </c>
    </row>
    <row r="12" spans="1:13" x14ac:dyDescent="0.3">
      <c r="A12">
        <v>24</v>
      </c>
      <c r="B12">
        <f t="shared" si="5"/>
        <v>1.0055329621073633E-2</v>
      </c>
      <c r="C12">
        <f t="shared" si="1"/>
        <v>1.0055329621073633E-2</v>
      </c>
      <c r="D12" t="s">
        <v>33</v>
      </c>
      <c r="E12" t="s">
        <v>19</v>
      </c>
      <c r="F12">
        <v>1</v>
      </c>
      <c r="G12">
        <f t="shared" si="6"/>
        <v>60</v>
      </c>
      <c r="I12">
        <v>2100</v>
      </c>
      <c r="J12" t="s">
        <v>28</v>
      </c>
      <c r="K12">
        <f t="shared" si="7"/>
        <v>62.5</v>
      </c>
      <c r="L12" cm="1">
        <f t="array" ref="L12">STOWA2024_NDJF_T(A12*60,K12,I12,J12,"")</f>
        <v>74.018517073311742</v>
      </c>
      <c r="M12">
        <f t="shared" si="8"/>
        <v>1.3510132863234057E-2</v>
      </c>
    </row>
    <row r="13" spans="1:13" x14ac:dyDescent="0.3">
      <c r="A13">
        <v>24</v>
      </c>
      <c r="B13">
        <f t="shared" si="5"/>
        <v>5.5947344785364003E-3</v>
      </c>
      <c r="C13">
        <f t="shared" si="1"/>
        <v>5.5947344785364003E-3</v>
      </c>
      <c r="D13" t="s">
        <v>33</v>
      </c>
      <c r="E13" t="s">
        <v>19</v>
      </c>
      <c r="F13">
        <v>1</v>
      </c>
      <c r="G13">
        <f t="shared" si="6"/>
        <v>65</v>
      </c>
      <c r="I13">
        <v>2100</v>
      </c>
      <c r="J13" t="s">
        <v>28</v>
      </c>
      <c r="K13">
        <f t="shared" si="7"/>
        <v>67.5</v>
      </c>
      <c r="L13" cm="1">
        <f t="array" ref="L13">STOWA2024_NDJF_T(A13*60,K13,I13,J13,"")</f>
        <v>126.33602901570153</v>
      </c>
      <c r="M13">
        <f t="shared" si="8"/>
        <v>7.9153983846976562E-3</v>
      </c>
    </row>
    <row r="14" spans="1:13" x14ac:dyDescent="0.3">
      <c r="A14">
        <v>24</v>
      </c>
      <c r="B14">
        <f t="shared" si="5"/>
        <v>3.1837526036936669E-3</v>
      </c>
      <c r="C14">
        <f t="shared" si="1"/>
        <v>3.1837526036936669E-3</v>
      </c>
      <c r="D14" t="s">
        <v>33</v>
      </c>
      <c r="E14" t="s">
        <v>19</v>
      </c>
      <c r="F14">
        <v>1</v>
      </c>
      <c r="G14">
        <f t="shared" si="6"/>
        <v>70</v>
      </c>
      <c r="I14">
        <v>2100</v>
      </c>
      <c r="J14" t="s">
        <v>28</v>
      </c>
      <c r="K14">
        <f t="shared" si="7"/>
        <v>72.5</v>
      </c>
      <c r="L14" cm="1">
        <f t="array" ref="L14">STOWA2024_NDJF_T(A14*60,K14,I14,J14,"")</f>
        <v>211.34295471031942</v>
      </c>
      <c r="M14">
        <f t="shared" si="8"/>
        <v>4.7316457810039894E-3</v>
      </c>
    </row>
    <row r="15" spans="1:13" x14ac:dyDescent="0.3">
      <c r="A15">
        <v>24</v>
      </c>
      <c r="B15">
        <f t="shared" si="5"/>
        <v>1.8500283137992358E-3</v>
      </c>
      <c r="C15">
        <f t="shared" si="1"/>
        <v>1.8500283137992358E-3</v>
      </c>
      <c r="D15" t="s">
        <v>33</v>
      </c>
      <c r="E15" t="s">
        <v>19</v>
      </c>
      <c r="F15">
        <v>1</v>
      </c>
      <c r="G15">
        <f t="shared" si="6"/>
        <v>75</v>
      </c>
      <c r="I15">
        <v>2100</v>
      </c>
      <c r="J15" t="s">
        <v>28</v>
      </c>
      <c r="K15">
        <f t="shared" si="7"/>
        <v>77.5</v>
      </c>
      <c r="L15" cm="1">
        <f t="array" ref="L15">STOWA2024_NDJF_T(A15*60,K15,I15,J15,"")</f>
        <v>347.02732454284671</v>
      </c>
      <c r="M15">
        <f t="shared" si="8"/>
        <v>2.8816174672047536E-3</v>
      </c>
    </row>
    <row r="16" spans="1:13" x14ac:dyDescent="0.3">
      <c r="A16">
        <v>24</v>
      </c>
      <c r="B16">
        <f t="shared" si="5"/>
        <v>1.0959954014100194E-3</v>
      </c>
      <c r="C16">
        <f t="shared" si="1"/>
        <v>1.0959954014100194E-3</v>
      </c>
      <c r="D16" t="s">
        <v>33</v>
      </c>
      <c r="E16" t="s">
        <v>19</v>
      </c>
      <c r="F16">
        <v>1</v>
      </c>
      <c r="G16">
        <f t="shared" si="6"/>
        <v>80</v>
      </c>
      <c r="I16">
        <v>2100</v>
      </c>
      <c r="J16" t="s">
        <v>28</v>
      </c>
      <c r="K16">
        <f t="shared" si="7"/>
        <v>82.5</v>
      </c>
      <c r="L16" cm="1">
        <f t="array" ref="L16">STOWA2024_NDJF_T(A16*60,K16,I16,J16,"")</f>
        <v>560.02892166037714</v>
      </c>
      <c r="M16">
        <f t="shared" si="8"/>
        <v>1.7856220657947342E-3</v>
      </c>
    </row>
    <row r="17" spans="1:13" x14ac:dyDescent="0.3">
      <c r="A17">
        <v>24</v>
      </c>
      <c r="B17">
        <f t="shared" si="5"/>
        <v>6.6111219419715808E-4</v>
      </c>
      <c r="C17">
        <f t="shared" si="1"/>
        <v>6.6111219419715808E-4</v>
      </c>
      <c r="D17" t="s">
        <v>33</v>
      </c>
      <c r="E17" t="s">
        <v>19</v>
      </c>
      <c r="F17">
        <v>1</v>
      </c>
      <c r="G17">
        <f t="shared" si="6"/>
        <v>85</v>
      </c>
      <c r="I17">
        <v>2100</v>
      </c>
      <c r="J17" t="s">
        <v>28</v>
      </c>
      <c r="K17">
        <f t="shared" si="7"/>
        <v>87.5</v>
      </c>
      <c r="L17" cm="1">
        <f t="array" ref="L17">STOWA2024_NDJF_T(A17*60,K17,I17,J17,"")</f>
        <v>889.27631962831367</v>
      </c>
      <c r="M17">
        <f t="shared" si="8"/>
        <v>1.1245098715975761E-3</v>
      </c>
    </row>
    <row r="18" spans="1:13" x14ac:dyDescent="0.3">
      <c r="A18">
        <v>24</v>
      </c>
      <c r="B18">
        <f t="shared" si="5"/>
        <v>4.0557330063376994E-4</v>
      </c>
      <c r="C18">
        <f t="shared" si="1"/>
        <v>4.0557330063376994E-4</v>
      </c>
      <c r="D18" t="s">
        <v>33</v>
      </c>
      <c r="E18" t="s">
        <v>19</v>
      </c>
      <c r="F18">
        <v>1</v>
      </c>
      <c r="G18">
        <f t="shared" si="6"/>
        <v>90</v>
      </c>
      <c r="I18">
        <v>2100</v>
      </c>
      <c r="J18" t="s">
        <v>28</v>
      </c>
      <c r="K18">
        <f t="shared" si="7"/>
        <v>92.5</v>
      </c>
      <c r="L18" cm="1">
        <f t="array" ref="L18">STOWA2024_NDJF_T(A18*60,K18,I18,J18,"")</f>
        <v>1390.9432909490197</v>
      </c>
      <c r="M18">
        <f t="shared" si="8"/>
        <v>7.1893657096380617E-4</v>
      </c>
    </row>
    <row r="19" spans="1:13" x14ac:dyDescent="0.3">
      <c r="A19">
        <v>24</v>
      </c>
      <c r="B19">
        <f t="shared" si="5"/>
        <v>2.5274835544889846E-4</v>
      </c>
      <c r="C19">
        <f t="shared" si="1"/>
        <v>2.5274835544889846E-4</v>
      </c>
      <c r="D19" t="s">
        <v>33</v>
      </c>
      <c r="E19" t="s">
        <v>19</v>
      </c>
      <c r="F19">
        <v>1</v>
      </c>
      <c r="G19">
        <f t="shared" si="6"/>
        <v>95</v>
      </c>
      <c r="I19">
        <v>2100</v>
      </c>
      <c r="J19" t="s">
        <v>28</v>
      </c>
      <c r="K19">
        <f t="shared" si="7"/>
        <v>97.5</v>
      </c>
      <c r="L19" cm="1">
        <f t="array" ref="L19">STOWA2024_NDJF_T(A19*60,K19,I19,J19,"")</f>
        <v>2145.056367191723</v>
      </c>
      <c r="M19">
        <f t="shared" si="8"/>
        <v>4.6618821551490771E-4</v>
      </c>
    </row>
    <row r="20" spans="1:13" x14ac:dyDescent="0.3">
      <c r="A20">
        <v>24</v>
      </c>
      <c r="B20">
        <f t="shared" si="5"/>
        <v>1.5984912440195835E-4</v>
      </c>
      <c r="C20">
        <f t="shared" si="1"/>
        <v>1.5984912440195835E-4</v>
      </c>
      <c r="D20" t="s">
        <v>33</v>
      </c>
      <c r="E20" t="s">
        <v>19</v>
      </c>
      <c r="F20">
        <v>1</v>
      </c>
      <c r="G20">
        <f t="shared" si="6"/>
        <v>100</v>
      </c>
      <c r="I20">
        <v>2100</v>
      </c>
      <c r="J20" t="s">
        <v>28</v>
      </c>
      <c r="K20">
        <f t="shared" si="7"/>
        <v>102.5</v>
      </c>
      <c r="L20" cm="1">
        <f t="array" ref="L20">STOWA2024_NDJF_T(A20*60,K20,I20,J20,"")</f>
        <v>3264.3564892973227</v>
      </c>
      <c r="M20">
        <f t="shared" si="8"/>
        <v>3.0633909111294936E-4</v>
      </c>
    </row>
    <row r="21" spans="1:13" x14ac:dyDescent="0.3">
      <c r="A21">
        <v>24</v>
      </c>
      <c r="B21">
        <f t="shared" si="5"/>
        <v>1.0251125490977683E-4</v>
      </c>
      <c r="C21">
        <f t="shared" si="1"/>
        <v>1.0251125490977683E-4</v>
      </c>
      <c r="D21" t="s">
        <v>33</v>
      </c>
      <c r="E21" t="s">
        <v>19</v>
      </c>
      <c r="F21">
        <v>1</v>
      </c>
      <c r="G21">
        <f t="shared" si="6"/>
        <v>105</v>
      </c>
      <c r="I21">
        <v>2100</v>
      </c>
      <c r="J21" t="s">
        <v>28</v>
      </c>
      <c r="K21">
        <f t="shared" si="7"/>
        <v>107.5</v>
      </c>
      <c r="L21" cm="1">
        <f t="array" ref="L21">STOWA2024_NDJF_T(A21*60,K21,I21,J21,"")</f>
        <v>4906.1012402801307</v>
      </c>
      <c r="M21">
        <f t="shared" si="8"/>
        <v>2.0382783620317253E-4</v>
      </c>
    </row>
    <row r="22" spans="1:13" x14ac:dyDescent="0.3">
      <c r="A22">
        <v>24</v>
      </c>
      <c r="B22">
        <f t="shared" si="5"/>
        <v>6.6601225060854971E-5</v>
      </c>
      <c r="C22">
        <f t="shared" si="1"/>
        <v>6.6601225060854971E-5</v>
      </c>
      <c r="D22" t="s">
        <v>33</v>
      </c>
      <c r="E22" t="s">
        <v>19</v>
      </c>
      <c r="F22">
        <v>1</v>
      </c>
      <c r="G22">
        <f t="shared" si="6"/>
        <v>110</v>
      </c>
      <c r="I22">
        <v>2100</v>
      </c>
      <c r="J22" t="s">
        <v>28</v>
      </c>
      <c r="K22">
        <f t="shared" si="7"/>
        <v>112.5</v>
      </c>
      <c r="L22" cm="1">
        <f t="array" ref="L22">STOWA2024_NDJF_T(A22*60,K22,I22,J22,"")</f>
        <v>7287.2163181447449</v>
      </c>
      <c r="M22">
        <f t="shared" si="8"/>
        <v>1.3722661114231756E-4</v>
      </c>
    </row>
    <row r="23" spans="1:13" x14ac:dyDescent="0.3">
      <c r="A23">
        <v>24</v>
      </c>
      <c r="B23">
        <f t="shared" si="5"/>
        <v>4.3807336667808306E-5</v>
      </c>
      <c r="C23">
        <f t="shared" si="1"/>
        <v>4.3807336667808306E-5</v>
      </c>
      <c r="D23" t="s">
        <v>33</v>
      </c>
      <c r="E23" t="s">
        <v>19</v>
      </c>
      <c r="F23">
        <v>1</v>
      </c>
      <c r="G23">
        <f t="shared" si="6"/>
        <v>115</v>
      </c>
      <c r="I23">
        <v>2100</v>
      </c>
      <c r="J23" t="s">
        <v>28</v>
      </c>
      <c r="K23">
        <f t="shared" si="7"/>
        <v>117.5</v>
      </c>
      <c r="L23" cm="1">
        <f t="array" ref="L23">STOWA2024_NDJF_T(A23*60,K23,I23,J23,"")</f>
        <v>10704.42909801086</v>
      </c>
      <c r="M23">
        <f t="shared" si="8"/>
        <v>9.341927447450925E-5</v>
      </c>
    </row>
    <row r="24" spans="1:13" x14ac:dyDescent="0.3">
      <c r="A24">
        <v>24</v>
      </c>
      <c r="B24">
        <f t="shared" si="5"/>
        <v>2.9151309485327291E-5</v>
      </c>
      <c r="C24">
        <f t="shared" si="1"/>
        <v>2.9151309485327291E-5</v>
      </c>
      <c r="D24" t="s">
        <v>33</v>
      </c>
      <c r="E24" t="s">
        <v>19</v>
      </c>
      <c r="F24">
        <v>1</v>
      </c>
      <c r="G24">
        <f t="shared" si="6"/>
        <v>120</v>
      </c>
      <c r="I24">
        <v>2100</v>
      </c>
      <c r="J24" t="s">
        <v>28</v>
      </c>
      <c r="K24">
        <f t="shared" si="7"/>
        <v>122.5</v>
      </c>
      <c r="L24" cm="1">
        <f t="array" ref="L24">STOWA2024_NDJF_T(A24*60,K24,I24,J24,"")</f>
        <v>15559.851633209906</v>
      </c>
      <c r="M24">
        <f t="shared" si="8"/>
        <v>6.4267964989181959E-5</v>
      </c>
    </row>
    <row r="25" spans="1:13" x14ac:dyDescent="0.3">
      <c r="A25">
        <v>24</v>
      </c>
      <c r="B25">
        <f t="shared" si="5"/>
        <v>1.9612961849763439E-5</v>
      </c>
      <c r="C25">
        <f t="shared" si="1"/>
        <v>1.9612961849763439E-5</v>
      </c>
      <c r="D25" t="s">
        <v>33</v>
      </c>
      <c r="E25" t="s">
        <v>19</v>
      </c>
      <c r="F25">
        <v>1</v>
      </c>
      <c r="G25">
        <f t="shared" si="6"/>
        <v>125</v>
      </c>
      <c r="I25">
        <v>2100</v>
      </c>
      <c r="J25" t="s">
        <v>28</v>
      </c>
      <c r="K25">
        <f t="shared" si="7"/>
        <v>127.5</v>
      </c>
      <c r="L25" cm="1">
        <f t="array" ref="L25">STOWA2024_NDJF_T(A25*60,K25,I25,J25,"")</f>
        <v>22393.907282413005</v>
      </c>
      <c r="M25">
        <f t="shared" si="8"/>
        <v>4.465500313941852E-5</v>
      </c>
    </row>
    <row r="26" spans="1:13" x14ac:dyDescent="0.3">
      <c r="A26">
        <v>24</v>
      </c>
      <c r="B26">
        <f t="shared" si="5"/>
        <v>1.3333711676049454E-5</v>
      </c>
      <c r="C26">
        <f t="shared" si="1"/>
        <v>1.3333711676049454E-5</v>
      </c>
      <c r="D26" t="s">
        <v>33</v>
      </c>
      <c r="E26" t="s">
        <v>19</v>
      </c>
      <c r="F26">
        <v>1</v>
      </c>
      <c r="G26">
        <f t="shared" si="6"/>
        <v>130</v>
      </c>
      <c r="I26">
        <v>2100</v>
      </c>
      <c r="J26" t="s">
        <v>28</v>
      </c>
      <c r="K26">
        <f t="shared" si="7"/>
        <v>132.5</v>
      </c>
      <c r="L26" cm="1">
        <f t="array" ref="L26">STOWA2024_NDJF_T(A26*60,K26,I26,J26,"")</f>
        <v>31927.16370490412</v>
      </c>
      <c r="M26">
        <f t="shared" si="8"/>
        <v>3.1321291463369065E-5</v>
      </c>
    </row>
    <row r="27" spans="1:13" x14ac:dyDescent="0.3">
      <c r="A27">
        <v>24</v>
      </c>
      <c r="B27">
        <f t="shared" si="5"/>
        <v>9.154821787837677E-6</v>
      </c>
      <c r="C27">
        <f t="shared" si="1"/>
        <v>9.154821787837677E-6</v>
      </c>
      <c r="D27" t="s">
        <v>33</v>
      </c>
      <c r="E27" t="s">
        <v>19</v>
      </c>
      <c r="F27">
        <v>1</v>
      </c>
      <c r="G27">
        <f t="shared" si="6"/>
        <v>135</v>
      </c>
      <c r="I27">
        <v>2100</v>
      </c>
      <c r="J27" t="s">
        <v>28</v>
      </c>
      <c r="K27">
        <f t="shared" si="7"/>
        <v>137.5</v>
      </c>
      <c r="L27" cm="1">
        <f t="array" ref="L27">STOWA2024_NDJF_T(A27*60,K27,I27,J27,"")</f>
        <v>45113.182867538759</v>
      </c>
      <c r="M27">
        <f t="shared" si="8"/>
        <v>2.2166469675531388E-5</v>
      </c>
    </row>
    <row r="28" spans="1:13" x14ac:dyDescent="0.3">
      <c r="A28">
        <v>24</v>
      </c>
      <c r="B28">
        <f t="shared" si="5"/>
        <v>6.3448109960563847E-6</v>
      </c>
      <c r="C28">
        <f t="shared" si="1"/>
        <v>6.3448109960563847E-6</v>
      </c>
      <c r="D28" t="s">
        <v>33</v>
      </c>
      <c r="E28" t="s">
        <v>19</v>
      </c>
      <c r="F28">
        <v>1</v>
      </c>
      <c r="G28">
        <f t="shared" si="6"/>
        <v>140</v>
      </c>
      <c r="I28">
        <v>2100</v>
      </c>
      <c r="J28" t="s">
        <v>28</v>
      </c>
      <c r="K28">
        <f t="shared" si="7"/>
        <v>142.5</v>
      </c>
      <c r="L28" cm="1">
        <f t="array" ref="L28">STOWA2024_NDJF_T(A28*60,K28,I28,J28,"")</f>
        <v>63204.498356248332</v>
      </c>
      <c r="M28">
        <f t="shared" si="8"/>
        <v>1.5821658679475004E-5</v>
      </c>
    </row>
    <row r="29" spans="1:13" x14ac:dyDescent="0.3">
      <c r="A29">
        <v>24</v>
      </c>
      <c r="B29">
        <f t="shared" si="5"/>
        <v>4.4369201222480771E-6</v>
      </c>
      <c r="C29">
        <f t="shared" si="1"/>
        <v>4.4369201222480771E-6</v>
      </c>
      <c r="D29" t="s">
        <v>33</v>
      </c>
      <c r="E29" t="s">
        <v>19</v>
      </c>
      <c r="F29">
        <v>1</v>
      </c>
      <c r="G29">
        <f t="shared" si="6"/>
        <v>145</v>
      </c>
      <c r="I29">
        <v>2100</v>
      </c>
      <c r="J29" t="s">
        <v>28</v>
      </c>
      <c r="K29">
        <f t="shared" si="7"/>
        <v>147.5</v>
      </c>
      <c r="L29" cm="1">
        <f t="array" ref="L29">STOWA2024_NDJF_T(A29*60,K29,I29,J29,"")</f>
        <v>87836.887511589739</v>
      </c>
      <c r="M29">
        <f t="shared" si="8"/>
        <v>1.1384738557226927E-5</v>
      </c>
    </row>
    <row r="30" spans="1:13" x14ac:dyDescent="0.3">
      <c r="A30">
        <v>24</v>
      </c>
      <c r="B30">
        <f t="shared" si="5"/>
        <v>3.1291131553732449E-6</v>
      </c>
      <c r="C30">
        <f t="shared" si="1"/>
        <v>3.1291131553732449E-6</v>
      </c>
      <c r="D30" t="s">
        <v>33</v>
      </c>
      <c r="E30" t="s">
        <v>19</v>
      </c>
      <c r="F30">
        <v>1</v>
      </c>
      <c r="G30">
        <f t="shared" si="6"/>
        <v>150</v>
      </c>
      <c r="I30">
        <v>2100</v>
      </c>
      <c r="J30" t="s">
        <v>28</v>
      </c>
      <c r="K30">
        <f t="shared" si="7"/>
        <v>152.5</v>
      </c>
      <c r="L30" cm="1">
        <f t="array" ref="L30">STOWA2024_NDJF_T(A30*60,K30,I30,J30,"")</f>
        <v>121129.52699809567</v>
      </c>
      <c r="M30">
        <f t="shared" si="8"/>
        <v>8.2556254018536816E-6</v>
      </c>
    </row>
    <row r="31" spans="1:13" x14ac:dyDescent="0.3">
      <c r="A31">
        <v>24</v>
      </c>
      <c r="B31">
        <f t="shared" si="5"/>
        <v>2.2248418389929638E-6</v>
      </c>
      <c r="C31">
        <f t="shared" si="1"/>
        <v>2.2248418389929638E-6</v>
      </c>
      <c r="D31" t="s">
        <v>33</v>
      </c>
      <c r="E31" t="s">
        <v>19</v>
      </c>
      <c r="F31">
        <v>1</v>
      </c>
      <c r="G31">
        <f t="shared" si="6"/>
        <v>155</v>
      </c>
      <c r="I31">
        <v>2100</v>
      </c>
      <c r="J31" t="s">
        <v>28</v>
      </c>
      <c r="K31">
        <f t="shared" si="7"/>
        <v>157.5</v>
      </c>
      <c r="L31" cm="1">
        <f t="array" ref="L31">STOWA2024_NDJF_T(A31*60,K31,I31,J31,"")</f>
        <v>165815.93246991729</v>
      </c>
      <c r="M31">
        <f t="shared" si="8"/>
        <v>6.0307835628607178E-6</v>
      </c>
    </row>
    <row r="32" spans="1:13" x14ac:dyDescent="0.3">
      <c r="A32">
        <v>24</v>
      </c>
      <c r="B32" s="1">
        <f>M31</f>
        <v>6.0307835628607178E-6</v>
      </c>
      <c r="C32">
        <f t="shared" si="1"/>
        <v>6.0307835628607178E-6</v>
      </c>
      <c r="D32" t="s">
        <v>33</v>
      </c>
      <c r="E32" t="s">
        <v>19</v>
      </c>
      <c r="F32">
        <v>1</v>
      </c>
      <c r="G32">
        <f t="shared" si="6"/>
        <v>160</v>
      </c>
      <c r="I32">
        <v>2100</v>
      </c>
      <c r="J32" t="s">
        <v>28</v>
      </c>
      <c r="K32">
        <f>AVERAGE(G32:G33)</f>
        <v>85</v>
      </c>
      <c r="L32" cm="1">
        <f t="array" ref="L32">STOWA2024_NDJF_T(A32*60,K32,I32,J32,"")</f>
        <v>707.08382366765136</v>
      </c>
      <c r="M32">
        <f>1/L32</f>
        <v>1.4142594789016518E-3</v>
      </c>
    </row>
    <row r="33" spans="1:13" x14ac:dyDescent="0.3">
      <c r="A33">
        <v>48</v>
      </c>
      <c r="B33" s="1">
        <f>365.25*24/A33 - M33</f>
        <v>166.27731984608801</v>
      </c>
      <c r="C33">
        <f>B33</f>
        <v>166.27731984608801</v>
      </c>
      <c r="D33" t="s">
        <v>33</v>
      </c>
      <c r="E33" t="s">
        <v>19</v>
      </c>
      <c r="F33">
        <v>1</v>
      </c>
      <c r="G33">
        <v>10</v>
      </c>
      <c r="I33">
        <v>2100</v>
      </c>
      <c r="J33" t="s">
        <v>28</v>
      </c>
      <c r="K33">
        <f>AVERAGE(G33:G35)</f>
        <v>15</v>
      </c>
      <c r="L33" cm="1">
        <f t="array" ref="L33">STOWA2024_NDJF_T(A33*60,K33,I33,J33,"")</f>
        <v>6.1170758822358041E-2</v>
      </c>
      <c r="M33">
        <f>1/L33</f>
        <v>16.347680153912002</v>
      </c>
    </row>
    <row r="34" spans="1:13" x14ac:dyDescent="0.3">
      <c r="A34">
        <v>48</v>
      </c>
      <c r="B34">
        <f t="shared" ref="B34:B38" si="9">M33-M34</f>
        <v>4.545758191794949</v>
      </c>
      <c r="C34">
        <f t="shared" ref="C34:C63" si="10">B34</f>
        <v>4.545758191794949</v>
      </c>
      <c r="D34" t="s">
        <v>33</v>
      </c>
      <c r="E34" t="s">
        <v>19</v>
      </c>
      <c r="F34">
        <v>1</v>
      </c>
      <c r="G34">
        <f t="shared" ref="G34:G38" si="11">G33+5</f>
        <v>15</v>
      </c>
      <c r="I34">
        <v>2100</v>
      </c>
      <c r="J34" t="s">
        <v>28</v>
      </c>
      <c r="K34">
        <f t="shared" ref="K34:K38" si="12">AVERAGE(G34:G35)</f>
        <v>17.5</v>
      </c>
      <c r="L34" cm="1">
        <f t="array" ref="L34">STOWA2024_NDJF_T(A34*60,K34,I34,J34,"")</f>
        <v>8.4731961727072633E-2</v>
      </c>
      <c r="M34">
        <f t="shared" ref="M34:M38" si="13">1/L34</f>
        <v>11.801921962117053</v>
      </c>
    </row>
    <row r="35" spans="1:13" x14ac:dyDescent="0.3">
      <c r="A35">
        <v>48</v>
      </c>
      <c r="B35">
        <f t="shared" si="9"/>
        <v>5.5432883271313127</v>
      </c>
      <c r="C35">
        <f t="shared" si="10"/>
        <v>5.5432883271313127</v>
      </c>
      <c r="D35" t="s">
        <v>33</v>
      </c>
      <c r="E35" t="s">
        <v>19</v>
      </c>
      <c r="F35">
        <v>1</v>
      </c>
      <c r="G35">
        <f t="shared" si="11"/>
        <v>20</v>
      </c>
      <c r="I35">
        <v>2100</v>
      </c>
      <c r="J35" t="s">
        <v>28</v>
      </c>
      <c r="K35">
        <f t="shared" si="12"/>
        <v>22.5</v>
      </c>
      <c r="L35" cm="1">
        <f t="array" ref="L35">STOWA2024_NDJF_T(A35*60,K35,I35,J35,"")</f>
        <v>0.15977928383761009</v>
      </c>
      <c r="M35">
        <f t="shared" si="13"/>
        <v>6.2586336349857401</v>
      </c>
    </row>
    <row r="36" spans="1:13" x14ac:dyDescent="0.3">
      <c r="A36">
        <v>48</v>
      </c>
      <c r="B36">
        <f t="shared" si="9"/>
        <v>2.8666902070017559</v>
      </c>
      <c r="C36">
        <f t="shared" si="10"/>
        <v>2.8666902070017559</v>
      </c>
      <c r="D36" t="s">
        <v>33</v>
      </c>
      <c r="E36" t="s">
        <v>19</v>
      </c>
      <c r="F36">
        <v>1</v>
      </c>
      <c r="G36">
        <f t="shared" si="11"/>
        <v>25</v>
      </c>
      <c r="I36">
        <v>2100</v>
      </c>
      <c r="J36" t="s">
        <v>28</v>
      </c>
      <c r="K36">
        <f t="shared" si="12"/>
        <v>27.5</v>
      </c>
      <c r="L36" cm="1">
        <f t="array" ref="L36">STOWA2024_NDJF_T(A36*60,K36,I36,J36,"")</f>
        <v>0.29481623772079069</v>
      </c>
      <c r="M36">
        <f t="shared" si="13"/>
        <v>3.3919434279839842</v>
      </c>
    </row>
    <row r="37" spans="1:13" x14ac:dyDescent="0.3">
      <c r="A37">
        <v>48</v>
      </c>
      <c r="B37">
        <f t="shared" si="9"/>
        <v>1.5158818507169625</v>
      </c>
      <c r="C37">
        <f t="shared" si="10"/>
        <v>1.5158818507169625</v>
      </c>
      <c r="D37" t="s">
        <v>33</v>
      </c>
      <c r="E37" t="s">
        <v>19</v>
      </c>
      <c r="F37">
        <v>1</v>
      </c>
      <c r="G37">
        <f t="shared" si="11"/>
        <v>30</v>
      </c>
      <c r="I37">
        <v>2100</v>
      </c>
      <c r="J37" t="s">
        <v>28</v>
      </c>
      <c r="K37">
        <f t="shared" si="12"/>
        <v>32.5</v>
      </c>
      <c r="L37" cm="1">
        <f t="array" ref="L37">STOWA2024_NDJF_T(A37*60,K37,I37,J37,"")</f>
        <v>0.53303154444256762</v>
      </c>
      <c r="M37">
        <f t="shared" si="13"/>
        <v>1.8760615772670217</v>
      </c>
    </row>
    <row r="38" spans="1:13" x14ac:dyDescent="0.3">
      <c r="A38">
        <v>48</v>
      </c>
      <c r="B38">
        <f t="shared" si="9"/>
        <v>0.81849925218996811</v>
      </c>
      <c r="C38">
        <f t="shared" si="10"/>
        <v>0.81849925218996811</v>
      </c>
      <c r="D38" t="s">
        <v>33</v>
      </c>
      <c r="E38" t="s">
        <v>19</v>
      </c>
      <c r="F38">
        <v>1</v>
      </c>
      <c r="G38">
        <f t="shared" si="11"/>
        <v>35</v>
      </c>
      <c r="I38">
        <v>2100</v>
      </c>
      <c r="J38" t="s">
        <v>28</v>
      </c>
      <c r="K38">
        <f t="shared" si="12"/>
        <v>37.5</v>
      </c>
      <c r="L38" cm="1">
        <f t="array" ref="L38">STOWA2024_NDJF_T(A38*60,K38,I38,J38,"")</f>
        <v>0.94557074915385275</v>
      </c>
      <c r="M38">
        <f t="shared" si="13"/>
        <v>1.0575623250770536</v>
      </c>
    </row>
    <row r="39" spans="1:13" x14ac:dyDescent="0.3">
      <c r="A39">
        <v>48</v>
      </c>
      <c r="B39">
        <f>M38-M39</f>
        <v>0.45059954766210375</v>
      </c>
      <c r="C39">
        <f t="shared" si="10"/>
        <v>0.45059954766210375</v>
      </c>
      <c r="D39" t="s">
        <v>33</v>
      </c>
      <c r="E39" t="s">
        <v>19</v>
      </c>
      <c r="F39">
        <v>1</v>
      </c>
      <c r="G39">
        <f>G38+5</f>
        <v>40</v>
      </c>
      <c r="I39">
        <v>2100</v>
      </c>
      <c r="J39" t="s">
        <v>28</v>
      </c>
      <c r="K39">
        <f>AVERAGE(G39:G40)</f>
        <v>42.5</v>
      </c>
      <c r="L39" cm="1">
        <f t="array" ref="L39">STOWA2024_NDJF_T(A39*60,K39,I39,J39,"")</f>
        <v>1.6475474892529536</v>
      </c>
      <c r="M39">
        <f>1/L39</f>
        <v>0.60696277741494986</v>
      </c>
    </row>
    <row r="40" spans="1:13" x14ac:dyDescent="0.3">
      <c r="A40">
        <v>48</v>
      </c>
      <c r="B40">
        <f t="shared" ref="B40:B62" si="14">M39-M40</f>
        <v>0.25276747453108228</v>
      </c>
      <c r="C40">
        <f t="shared" si="10"/>
        <v>0.25276747453108228</v>
      </c>
      <c r="D40" t="s">
        <v>33</v>
      </c>
      <c r="E40" t="s">
        <v>19</v>
      </c>
      <c r="F40">
        <v>1</v>
      </c>
      <c r="G40">
        <f t="shared" ref="G40:G63" si="15">G39+5</f>
        <v>45</v>
      </c>
      <c r="I40">
        <v>2100</v>
      </c>
      <c r="J40" t="s">
        <v>28</v>
      </c>
      <c r="K40">
        <f t="shared" ref="K40:K62" si="16">AVERAGE(G40:G41)</f>
        <v>47.5</v>
      </c>
      <c r="L40" cm="1">
        <f t="array" ref="L40">STOWA2024_NDJF_T(A40*60,K40,I40,J40,"")</f>
        <v>2.8233011331826634</v>
      </c>
      <c r="M40">
        <f t="shared" ref="M40:M62" si="17">1/L40</f>
        <v>0.35419530288386758</v>
      </c>
    </row>
    <row r="41" spans="1:13" x14ac:dyDescent="0.3">
      <c r="A41">
        <v>48</v>
      </c>
      <c r="B41">
        <f t="shared" si="14"/>
        <v>0.14421837167302143</v>
      </c>
      <c r="C41">
        <f t="shared" si="10"/>
        <v>0.14421837167302143</v>
      </c>
      <c r="D41" t="s">
        <v>33</v>
      </c>
      <c r="E41" t="s">
        <v>19</v>
      </c>
      <c r="F41">
        <v>1</v>
      </c>
      <c r="G41">
        <f t="shared" si="15"/>
        <v>50</v>
      </c>
      <c r="I41">
        <v>2100</v>
      </c>
      <c r="J41" t="s">
        <v>28</v>
      </c>
      <c r="K41">
        <f t="shared" si="16"/>
        <v>52.5</v>
      </c>
      <c r="L41" cm="1">
        <f t="array" ref="L41">STOWA2024_NDJF_T(A41*60,K41,I41,J41,"")</f>
        <v>4.7624279211693992</v>
      </c>
      <c r="M41">
        <f t="shared" si="17"/>
        <v>0.20997693121084615</v>
      </c>
    </row>
    <row r="42" spans="1:13" x14ac:dyDescent="0.3">
      <c r="A42">
        <v>48</v>
      </c>
      <c r="B42">
        <f t="shared" si="14"/>
        <v>8.3632339991779381E-2</v>
      </c>
      <c r="C42">
        <f t="shared" si="10"/>
        <v>8.3632339991779381E-2</v>
      </c>
      <c r="D42" t="s">
        <v>33</v>
      </c>
      <c r="E42" t="s">
        <v>19</v>
      </c>
      <c r="F42">
        <v>1</v>
      </c>
      <c r="G42">
        <f t="shared" si="15"/>
        <v>55</v>
      </c>
      <c r="I42">
        <v>2100</v>
      </c>
      <c r="J42" t="s">
        <v>28</v>
      </c>
      <c r="K42">
        <f t="shared" si="16"/>
        <v>57.5</v>
      </c>
      <c r="L42" cm="1">
        <f t="array" ref="L42">STOWA2024_NDJF_T(A42*60,K42,I42,J42,"")</f>
        <v>7.9148619687732955</v>
      </c>
      <c r="M42">
        <f t="shared" si="17"/>
        <v>0.12634459121906677</v>
      </c>
    </row>
    <row r="43" spans="1:13" x14ac:dyDescent="0.3">
      <c r="A43">
        <v>48</v>
      </c>
      <c r="B43">
        <f t="shared" si="14"/>
        <v>4.9246682802465969E-2</v>
      </c>
      <c r="C43">
        <f t="shared" si="10"/>
        <v>4.9246682802465969E-2</v>
      </c>
      <c r="D43" t="s">
        <v>33</v>
      </c>
      <c r="E43" t="s">
        <v>19</v>
      </c>
      <c r="F43">
        <v>1</v>
      </c>
      <c r="G43">
        <f t="shared" si="15"/>
        <v>60</v>
      </c>
      <c r="I43">
        <v>2100</v>
      </c>
      <c r="J43" t="s">
        <v>28</v>
      </c>
      <c r="K43">
        <f t="shared" si="16"/>
        <v>62.5</v>
      </c>
      <c r="L43" cm="1">
        <f t="array" ref="L43">STOWA2024_NDJF_T(A43*60,K43,I43,J43,"")</f>
        <v>12.970520478927531</v>
      </c>
      <c r="M43">
        <f t="shared" si="17"/>
        <v>7.7097908416600802E-2</v>
      </c>
    </row>
    <row r="44" spans="1:13" x14ac:dyDescent="0.3">
      <c r="A44">
        <v>48</v>
      </c>
      <c r="B44">
        <f t="shared" si="14"/>
        <v>2.9421174745498942E-2</v>
      </c>
      <c r="C44">
        <f t="shared" si="10"/>
        <v>2.9421174745498942E-2</v>
      </c>
      <c r="D44" t="s">
        <v>33</v>
      </c>
      <c r="E44" t="s">
        <v>19</v>
      </c>
      <c r="F44">
        <v>1</v>
      </c>
      <c r="G44">
        <f t="shared" si="15"/>
        <v>65</v>
      </c>
      <c r="I44">
        <v>2100</v>
      </c>
      <c r="J44" t="s">
        <v>28</v>
      </c>
      <c r="K44">
        <f t="shared" si="16"/>
        <v>67.5</v>
      </c>
      <c r="L44" cm="1">
        <f t="array" ref="L44">STOWA2024_NDJF_T(A44*60,K44,I44,J44,"")</f>
        <v>20.974591231406581</v>
      </c>
      <c r="M44">
        <f t="shared" si="17"/>
        <v>4.7676733671101861E-2</v>
      </c>
    </row>
    <row r="45" spans="1:13" x14ac:dyDescent="0.3">
      <c r="A45">
        <v>48</v>
      </c>
      <c r="B45">
        <f t="shared" si="14"/>
        <v>1.7820120906347322E-2</v>
      </c>
      <c r="C45">
        <f t="shared" si="10"/>
        <v>1.7820120906347322E-2</v>
      </c>
      <c r="D45" t="s">
        <v>33</v>
      </c>
      <c r="E45" t="s">
        <v>19</v>
      </c>
      <c r="F45">
        <v>1</v>
      </c>
      <c r="G45">
        <f t="shared" si="15"/>
        <v>70</v>
      </c>
      <c r="I45">
        <v>2100</v>
      </c>
      <c r="J45" t="s">
        <v>28</v>
      </c>
      <c r="K45">
        <f t="shared" si="16"/>
        <v>72.5</v>
      </c>
      <c r="L45" cm="1">
        <f t="array" ref="L45">STOWA2024_NDJF_T(A45*60,K45,I45,J45,"")</f>
        <v>33.493417618374011</v>
      </c>
      <c r="M45">
        <f t="shared" si="17"/>
        <v>2.9856612764754539E-2</v>
      </c>
    </row>
    <row r="46" spans="1:13" x14ac:dyDescent="0.3">
      <c r="A46">
        <v>48</v>
      </c>
      <c r="B46">
        <f t="shared" si="14"/>
        <v>1.0934678270559283E-2</v>
      </c>
      <c r="C46">
        <f t="shared" si="10"/>
        <v>1.0934678270559283E-2</v>
      </c>
      <c r="D46" t="s">
        <v>33</v>
      </c>
      <c r="E46" t="s">
        <v>19</v>
      </c>
      <c r="F46">
        <v>1</v>
      </c>
      <c r="G46">
        <f t="shared" si="15"/>
        <v>75</v>
      </c>
      <c r="I46">
        <v>2100</v>
      </c>
      <c r="J46" t="s">
        <v>28</v>
      </c>
      <c r="K46">
        <f t="shared" si="16"/>
        <v>77.5</v>
      </c>
      <c r="L46" cm="1">
        <f t="array" ref="L46">STOWA2024_NDJF_T(A46*60,K46,I46,J46,"")</f>
        <v>52.848719051784755</v>
      </c>
      <c r="M46">
        <f t="shared" si="17"/>
        <v>1.8921934494195256E-2</v>
      </c>
    </row>
    <row r="47" spans="1:13" x14ac:dyDescent="0.3">
      <c r="A47">
        <v>48</v>
      </c>
      <c r="B47">
        <f t="shared" si="14"/>
        <v>6.7928711638896317E-3</v>
      </c>
      <c r="C47">
        <f t="shared" si="10"/>
        <v>6.7928711638896317E-3</v>
      </c>
      <c r="D47" t="s">
        <v>33</v>
      </c>
      <c r="E47" t="s">
        <v>19</v>
      </c>
      <c r="F47">
        <v>1</v>
      </c>
      <c r="G47">
        <f t="shared" si="15"/>
        <v>80</v>
      </c>
      <c r="I47">
        <v>2100</v>
      </c>
      <c r="J47" t="s">
        <v>28</v>
      </c>
      <c r="K47">
        <f t="shared" si="16"/>
        <v>82.5</v>
      </c>
      <c r="L47" cm="1">
        <f t="array" ref="L47">STOWA2024_NDJF_T(A47*60,K47,I47,J47,"")</f>
        <v>82.446597298358924</v>
      </c>
      <c r="M47">
        <f t="shared" si="17"/>
        <v>1.2129063330305624E-2</v>
      </c>
    </row>
    <row r="48" spans="1:13" x14ac:dyDescent="0.3">
      <c r="A48">
        <v>48</v>
      </c>
      <c r="B48">
        <f t="shared" si="14"/>
        <v>4.2698790598135871E-3</v>
      </c>
      <c r="C48">
        <f t="shared" si="10"/>
        <v>4.2698790598135871E-3</v>
      </c>
      <c r="D48" t="s">
        <v>33</v>
      </c>
      <c r="E48" t="s">
        <v>19</v>
      </c>
      <c r="F48">
        <v>1</v>
      </c>
      <c r="G48">
        <f t="shared" si="15"/>
        <v>85</v>
      </c>
      <c r="I48">
        <v>2100</v>
      </c>
      <c r="J48" t="s">
        <v>28</v>
      </c>
      <c r="K48">
        <f t="shared" si="16"/>
        <v>87.5</v>
      </c>
      <c r="L48" cm="1">
        <f t="array" ref="L48">STOWA2024_NDJF_T(A48*60,K48,I48,J48,"")</f>
        <v>127.23966833995526</v>
      </c>
      <c r="M48">
        <f t="shared" si="17"/>
        <v>7.8591842704920367E-3</v>
      </c>
    </row>
    <row r="49" spans="1:13" x14ac:dyDescent="0.3">
      <c r="A49">
        <v>48</v>
      </c>
      <c r="B49">
        <f t="shared" si="14"/>
        <v>2.713988793911307E-3</v>
      </c>
      <c r="C49">
        <f t="shared" si="10"/>
        <v>2.713988793911307E-3</v>
      </c>
      <c r="D49" t="s">
        <v>33</v>
      </c>
      <c r="E49" t="s">
        <v>19</v>
      </c>
      <c r="F49">
        <v>1</v>
      </c>
      <c r="G49">
        <f t="shared" si="15"/>
        <v>90</v>
      </c>
      <c r="I49">
        <v>2100</v>
      </c>
      <c r="J49" t="s">
        <v>28</v>
      </c>
      <c r="K49">
        <f t="shared" si="16"/>
        <v>92.5</v>
      </c>
      <c r="L49" cm="1">
        <f t="array" ref="L49">STOWA2024_NDJF_T(A49*60,K49,I49,J49,"")</f>
        <v>194.35607540115384</v>
      </c>
      <c r="M49">
        <f t="shared" si="17"/>
        <v>5.1451954765807297E-3</v>
      </c>
    </row>
    <row r="50" spans="1:13" x14ac:dyDescent="0.3">
      <c r="A50">
        <v>48</v>
      </c>
      <c r="B50">
        <f t="shared" si="14"/>
        <v>1.7435487513867238E-3</v>
      </c>
      <c r="C50">
        <f t="shared" si="10"/>
        <v>1.7435487513867238E-3</v>
      </c>
      <c r="D50" t="s">
        <v>33</v>
      </c>
      <c r="E50" t="s">
        <v>19</v>
      </c>
      <c r="F50">
        <v>1</v>
      </c>
      <c r="G50">
        <f t="shared" si="15"/>
        <v>95</v>
      </c>
      <c r="I50">
        <v>2100</v>
      </c>
      <c r="J50" t="s">
        <v>28</v>
      </c>
      <c r="K50">
        <f t="shared" si="16"/>
        <v>97.5</v>
      </c>
      <c r="L50" cm="1">
        <f t="array" ref="L50">STOWA2024_NDJF_T(A50*60,K50,I50,J50,"")</f>
        <v>293.97526574220228</v>
      </c>
      <c r="M50">
        <f t="shared" si="17"/>
        <v>3.4016467251940059E-3</v>
      </c>
    </row>
    <row r="51" spans="1:13" x14ac:dyDescent="0.3">
      <c r="A51">
        <v>48</v>
      </c>
      <c r="B51">
        <f t="shared" si="14"/>
        <v>1.131539379539687E-3</v>
      </c>
      <c r="C51">
        <f t="shared" si="10"/>
        <v>1.131539379539687E-3</v>
      </c>
      <c r="D51" t="s">
        <v>33</v>
      </c>
      <c r="E51" t="s">
        <v>19</v>
      </c>
      <c r="F51">
        <v>1</v>
      </c>
      <c r="G51">
        <f t="shared" si="15"/>
        <v>100</v>
      </c>
      <c r="I51">
        <v>2100</v>
      </c>
      <c r="J51" t="s">
        <v>28</v>
      </c>
      <c r="K51">
        <f t="shared" si="16"/>
        <v>102.5</v>
      </c>
      <c r="L51" cm="1">
        <f t="array" ref="L51">STOWA2024_NDJF_T(A51*60,K51,I51,J51,"")</f>
        <v>440.50780326062835</v>
      </c>
      <c r="M51">
        <f t="shared" si="17"/>
        <v>2.2701073456543189E-3</v>
      </c>
    </row>
    <row r="52" spans="1:13" x14ac:dyDescent="0.3">
      <c r="A52">
        <v>48</v>
      </c>
      <c r="B52">
        <f t="shared" si="14"/>
        <v>7.4150960672438645E-4</v>
      </c>
      <c r="C52">
        <f t="shared" si="10"/>
        <v>7.4150960672438645E-4</v>
      </c>
      <c r="D52" t="s">
        <v>33</v>
      </c>
      <c r="E52" t="s">
        <v>19</v>
      </c>
      <c r="F52">
        <v>1</v>
      </c>
      <c r="G52">
        <f t="shared" si="15"/>
        <v>105</v>
      </c>
      <c r="I52">
        <v>2100</v>
      </c>
      <c r="J52" t="s">
        <v>28</v>
      </c>
      <c r="K52">
        <f t="shared" si="16"/>
        <v>107.5</v>
      </c>
      <c r="L52" cm="1">
        <f t="array" ref="L52">STOWA2024_NDJF_T(A52*60,K52,I52,J52,"")</f>
        <v>654.19434723227585</v>
      </c>
      <c r="M52">
        <f t="shared" si="17"/>
        <v>1.5285977389299325E-3</v>
      </c>
    </row>
    <row r="53" spans="1:13" x14ac:dyDescent="0.3">
      <c r="A53">
        <v>48</v>
      </c>
      <c r="B53">
        <f t="shared" si="14"/>
        <v>4.9044521503373425E-4</v>
      </c>
      <c r="C53">
        <f t="shared" si="10"/>
        <v>4.9044521503373425E-4</v>
      </c>
      <c r="D53" t="s">
        <v>33</v>
      </c>
      <c r="E53" t="s">
        <v>19</v>
      </c>
      <c r="F53">
        <v>1</v>
      </c>
      <c r="G53">
        <f t="shared" si="15"/>
        <v>110</v>
      </c>
      <c r="I53">
        <v>2100</v>
      </c>
      <c r="J53" t="s">
        <v>28</v>
      </c>
      <c r="K53">
        <f t="shared" si="16"/>
        <v>112.5</v>
      </c>
      <c r="L53" cm="1">
        <f t="array" ref="L53">STOWA2024_NDJF_T(A53*60,K53,I53,J53,"")</f>
        <v>963.2495967422866</v>
      </c>
      <c r="M53">
        <f t="shared" si="17"/>
        <v>1.0381525238961982E-3</v>
      </c>
    </row>
    <row r="54" spans="1:13" x14ac:dyDescent="0.3">
      <c r="A54">
        <v>48</v>
      </c>
      <c r="B54">
        <f t="shared" si="14"/>
        <v>3.2727878659326033E-4</v>
      </c>
      <c r="C54">
        <f t="shared" si="10"/>
        <v>3.2727878659326033E-4</v>
      </c>
      <c r="D54" t="s">
        <v>33</v>
      </c>
      <c r="E54" t="s">
        <v>19</v>
      </c>
      <c r="F54">
        <v>1</v>
      </c>
      <c r="G54">
        <f t="shared" si="15"/>
        <v>115</v>
      </c>
      <c r="I54">
        <v>2100</v>
      </c>
      <c r="J54" t="s">
        <v>28</v>
      </c>
      <c r="K54">
        <f t="shared" si="16"/>
        <v>117.5</v>
      </c>
      <c r="L54" cm="1">
        <f t="array" ref="L54">STOWA2024_NDJF_T(A54*60,K54,I54,J54,"")</f>
        <v>1406.7195727247008</v>
      </c>
      <c r="M54">
        <f t="shared" si="17"/>
        <v>7.1087373730293788E-4</v>
      </c>
    </row>
    <row r="55" spans="1:13" x14ac:dyDescent="0.3">
      <c r="A55">
        <v>48</v>
      </c>
      <c r="B55">
        <f t="shared" si="14"/>
        <v>2.2025718116444311E-4</v>
      </c>
      <c r="C55">
        <f t="shared" si="10"/>
        <v>2.2025718116444311E-4</v>
      </c>
      <c r="D55" t="s">
        <v>33</v>
      </c>
      <c r="E55" t="s">
        <v>19</v>
      </c>
      <c r="F55">
        <v>1</v>
      </c>
      <c r="G55">
        <f t="shared" si="15"/>
        <v>120</v>
      </c>
      <c r="I55">
        <v>2100</v>
      </c>
      <c r="J55" t="s">
        <v>28</v>
      </c>
      <c r="K55">
        <f t="shared" si="16"/>
        <v>122.5</v>
      </c>
      <c r="L55" cm="1">
        <f t="array" ref="L55">STOWA2024_NDJF_T(A55*60,K55,I55,J55,"")</f>
        <v>2038.2516396729848</v>
      </c>
      <c r="M55">
        <f t="shared" si="17"/>
        <v>4.9061655613849477E-4</v>
      </c>
    </row>
    <row r="56" spans="1:13" x14ac:dyDescent="0.3">
      <c r="A56">
        <v>48</v>
      </c>
      <c r="B56">
        <f t="shared" si="14"/>
        <v>1.494510275237972E-4</v>
      </c>
      <c r="C56">
        <f t="shared" si="10"/>
        <v>1.494510275237972E-4</v>
      </c>
      <c r="D56" t="s">
        <v>33</v>
      </c>
      <c r="E56" t="s">
        <v>19</v>
      </c>
      <c r="F56">
        <v>1</v>
      </c>
      <c r="G56">
        <f t="shared" si="15"/>
        <v>125</v>
      </c>
      <c r="I56">
        <v>2100</v>
      </c>
      <c r="J56" t="s">
        <v>28</v>
      </c>
      <c r="K56">
        <f t="shared" si="16"/>
        <v>127.5</v>
      </c>
      <c r="L56" cm="1">
        <f t="array" ref="L56">STOWA2024_NDJF_T(A56*60,K56,I56,J56,"")</f>
        <v>2931.1284878648185</v>
      </c>
      <c r="M56">
        <f t="shared" si="17"/>
        <v>3.4116552861469758E-4</v>
      </c>
    </row>
    <row r="57" spans="1:13" x14ac:dyDescent="0.3">
      <c r="A57">
        <v>48</v>
      </c>
      <c r="B57">
        <f t="shared" si="14"/>
        <v>1.0219915948023276E-4</v>
      </c>
      <c r="C57">
        <f t="shared" si="10"/>
        <v>1.0219915948023276E-4</v>
      </c>
      <c r="D57" t="s">
        <v>33</v>
      </c>
      <c r="E57" t="s">
        <v>19</v>
      </c>
      <c r="F57">
        <v>1</v>
      </c>
      <c r="G57">
        <f t="shared" si="15"/>
        <v>130</v>
      </c>
      <c r="I57">
        <v>2100</v>
      </c>
      <c r="J57" t="s">
        <v>28</v>
      </c>
      <c r="K57">
        <f t="shared" si="16"/>
        <v>132.5</v>
      </c>
      <c r="L57" cm="1">
        <f t="array" ref="L57">STOWA2024_NDJF_T(A57*60,K57,I57,J57,"")</f>
        <v>4184.6892666193817</v>
      </c>
      <c r="M57">
        <f t="shared" si="17"/>
        <v>2.3896636913446482E-4</v>
      </c>
    </row>
    <row r="58" spans="1:13" x14ac:dyDescent="0.3">
      <c r="A58">
        <v>48</v>
      </c>
      <c r="B58">
        <f t="shared" si="14"/>
        <v>7.0416570362694938E-5</v>
      </c>
      <c r="C58">
        <f t="shared" si="10"/>
        <v>7.0416570362694938E-5</v>
      </c>
      <c r="D58" t="s">
        <v>33</v>
      </c>
      <c r="E58" t="s">
        <v>19</v>
      </c>
      <c r="F58">
        <v>1</v>
      </c>
      <c r="G58">
        <f t="shared" si="15"/>
        <v>135</v>
      </c>
      <c r="I58">
        <v>2100</v>
      </c>
      <c r="J58" t="s">
        <v>28</v>
      </c>
      <c r="K58">
        <f t="shared" si="16"/>
        <v>137.5</v>
      </c>
      <c r="L58" cm="1">
        <f t="array" ref="L58">STOWA2024_NDJF_T(A58*60,K58,I58,J58,"")</f>
        <v>5932.9646625925743</v>
      </c>
      <c r="M58">
        <f t="shared" si="17"/>
        <v>1.6854979877176988E-4</v>
      </c>
    </row>
    <row r="59" spans="1:13" x14ac:dyDescent="0.3">
      <c r="A59">
        <v>48</v>
      </c>
      <c r="B59">
        <f t="shared" si="14"/>
        <v>4.8867672900435911E-5</v>
      </c>
      <c r="C59">
        <f t="shared" si="10"/>
        <v>4.8867672900435911E-5</v>
      </c>
      <c r="D59" t="s">
        <v>33</v>
      </c>
      <c r="E59" t="s">
        <v>19</v>
      </c>
      <c r="F59">
        <v>1</v>
      </c>
      <c r="G59">
        <f t="shared" si="15"/>
        <v>140</v>
      </c>
      <c r="I59">
        <v>2100</v>
      </c>
      <c r="J59" t="s">
        <v>28</v>
      </c>
      <c r="K59">
        <f t="shared" si="16"/>
        <v>142.5</v>
      </c>
      <c r="L59" cm="1">
        <f t="array" ref="L59">STOWA2024_NDJF_T(A59*60,K59,I59,J59,"")</f>
        <v>8355.4665554241965</v>
      </c>
      <c r="M59">
        <f t="shared" si="17"/>
        <v>1.1968212587133397E-4</v>
      </c>
    </row>
    <row r="60" spans="1:13" x14ac:dyDescent="0.3">
      <c r="A60">
        <v>48</v>
      </c>
      <c r="B60">
        <f t="shared" si="14"/>
        <v>3.4150298846336746E-5</v>
      </c>
      <c r="C60">
        <f t="shared" si="10"/>
        <v>3.4150298846336746E-5</v>
      </c>
      <c r="D60" t="s">
        <v>33</v>
      </c>
      <c r="E60" t="s">
        <v>19</v>
      </c>
      <c r="F60">
        <v>1</v>
      </c>
      <c r="G60">
        <f t="shared" si="15"/>
        <v>145</v>
      </c>
      <c r="I60">
        <v>2100</v>
      </c>
      <c r="J60" t="s">
        <v>28</v>
      </c>
      <c r="K60">
        <f t="shared" si="16"/>
        <v>147.5</v>
      </c>
      <c r="L60" cm="1">
        <f t="array" ref="L60">STOWA2024_NDJF_T(A60*60,K60,I60,J60,"")</f>
        <v>11691.554299521085</v>
      </c>
      <c r="M60">
        <f t="shared" si="17"/>
        <v>8.5531827024997223E-5</v>
      </c>
    </row>
    <row r="61" spans="1:13" x14ac:dyDescent="0.3">
      <c r="A61">
        <v>48</v>
      </c>
      <c r="B61">
        <f t="shared" si="14"/>
        <v>2.4025429862204535E-5</v>
      </c>
      <c r="C61">
        <f t="shared" si="10"/>
        <v>2.4025429862204535E-5</v>
      </c>
      <c r="D61" t="s">
        <v>33</v>
      </c>
      <c r="E61" t="s">
        <v>19</v>
      </c>
      <c r="F61">
        <v>1</v>
      </c>
      <c r="G61">
        <f t="shared" si="15"/>
        <v>150</v>
      </c>
      <c r="I61">
        <v>2100</v>
      </c>
      <c r="J61" t="s">
        <v>28</v>
      </c>
      <c r="K61">
        <f t="shared" si="16"/>
        <v>152.5</v>
      </c>
      <c r="L61" cm="1">
        <f t="array" ref="L61">STOWA2024_NDJF_T(A61*60,K61,I61,J61,"")</f>
        <v>16258.471413196901</v>
      </c>
      <c r="M61">
        <f t="shared" si="17"/>
        <v>6.1506397162792688E-5</v>
      </c>
    </row>
    <row r="62" spans="1:13" x14ac:dyDescent="0.3">
      <c r="A62">
        <v>48</v>
      </c>
      <c r="B62">
        <f t="shared" si="14"/>
        <v>1.7011856147051342E-5</v>
      </c>
      <c r="C62">
        <f t="shared" si="10"/>
        <v>1.7011856147051342E-5</v>
      </c>
      <c r="D62" t="s">
        <v>33</v>
      </c>
      <c r="E62" t="s">
        <v>19</v>
      </c>
      <c r="F62">
        <v>1</v>
      </c>
      <c r="G62">
        <f t="shared" si="15"/>
        <v>155</v>
      </c>
      <c r="I62">
        <v>2100</v>
      </c>
      <c r="J62" t="s">
        <v>28</v>
      </c>
      <c r="K62">
        <f t="shared" si="16"/>
        <v>157.5</v>
      </c>
      <c r="L62" cm="1">
        <f t="array" ref="L62">STOWA2024_NDJF_T(A62*60,K62,I62,J62,"")</f>
        <v>22474.667165264578</v>
      </c>
      <c r="M62">
        <f t="shared" si="17"/>
        <v>4.4494541015741346E-5</v>
      </c>
    </row>
    <row r="63" spans="1:13" x14ac:dyDescent="0.3">
      <c r="A63">
        <v>48</v>
      </c>
      <c r="B63" s="1">
        <f>M62</f>
        <v>4.4494541015741346E-5</v>
      </c>
      <c r="C63">
        <f t="shared" si="10"/>
        <v>4.4494541015741346E-5</v>
      </c>
      <c r="D63" t="s">
        <v>33</v>
      </c>
      <c r="E63" t="s">
        <v>19</v>
      </c>
      <c r="F63">
        <v>1</v>
      </c>
      <c r="G63">
        <f t="shared" si="15"/>
        <v>160</v>
      </c>
      <c r="I63">
        <v>2100</v>
      </c>
      <c r="J63" t="s">
        <v>28</v>
      </c>
      <c r="K63">
        <f>AVERAGE(G63:G64)</f>
        <v>85</v>
      </c>
      <c r="L63" cm="1">
        <f t="array" ref="L63">STOWA2024_NDJF_T(A63*60,K63,I63,J63,"")</f>
        <v>102.55810349339778</v>
      </c>
      <c r="M63">
        <f>1/L63</f>
        <v>9.7505703200174276E-3</v>
      </c>
    </row>
    <row r="64" spans="1:13" x14ac:dyDescent="0.3">
      <c r="A64">
        <v>96</v>
      </c>
      <c r="B64" s="1">
        <f>365.25*24/A64 - M64</f>
        <v>68.509381247653181</v>
      </c>
      <c r="C64">
        <f>B64</f>
        <v>68.509381247653181</v>
      </c>
      <c r="D64" t="s">
        <v>33</v>
      </c>
      <c r="E64" t="s">
        <v>19</v>
      </c>
      <c r="F64">
        <v>1</v>
      </c>
      <c r="G64">
        <v>10</v>
      </c>
      <c r="I64">
        <v>2100</v>
      </c>
      <c r="J64" t="s">
        <v>28</v>
      </c>
      <c r="K64">
        <f>AVERAGE(G64:G66)</f>
        <v>15</v>
      </c>
      <c r="L64" cm="1">
        <f t="array" ref="L64">STOWA2024_NDJF_T(A64*60,K64,I64,J64,"")</f>
        <v>4.3853650496692854E-2</v>
      </c>
      <c r="M64">
        <f>1/L64</f>
        <v>22.803118752346816</v>
      </c>
    </row>
    <row r="65" spans="1:13" x14ac:dyDescent="0.3">
      <c r="A65">
        <v>96</v>
      </c>
      <c r="B65">
        <f t="shared" ref="B65:B69" si="18">M64-M65</f>
        <v>4.5568614649922026</v>
      </c>
      <c r="C65">
        <f t="shared" ref="C65:C94" si="19">B65</f>
        <v>4.5568614649922026</v>
      </c>
      <c r="D65" t="s">
        <v>33</v>
      </c>
      <c r="E65" t="s">
        <v>19</v>
      </c>
      <c r="F65">
        <v>1</v>
      </c>
      <c r="G65">
        <f t="shared" ref="G65:G69" si="20">G64+5</f>
        <v>15</v>
      </c>
      <c r="I65">
        <v>2100</v>
      </c>
      <c r="J65" t="s">
        <v>28</v>
      </c>
      <c r="K65">
        <f t="shared" ref="K65:K69" si="21">AVERAGE(G65:G66)</f>
        <v>17.5</v>
      </c>
      <c r="L65" cm="1">
        <f t="array" ref="L65">STOWA2024_NDJF_T(A65*60,K65,I65,J65,"")</f>
        <v>5.48057601211751E-2</v>
      </c>
      <c r="M65">
        <f t="shared" ref="M65:M69" si="22">1/L65</f>
        <v>18.246257287354613</v>
      </c>
    </row>
    <row r="66" spans="1:13" x14ac:dyDescent="0.3">
      <c r="A66">
        <v>96</v>
      </c>
      <c r="B66">
        <f t="shared" si="18"/>
        <v>6.5257529034619104</v>
      </c>
      <c r="C66">
        <f t="shared" si="19"/>
        <v>6.5257529034619104</v>
      </c>
      <c r="D66" t="s">
        <v>33</v>
      </c>
      <c r="E66" t="s">
        <v>19</v>
      </c>
      <c r="F66">
        <v>1</v>
      </c>
      <c r="G66">
        <f t="shared" si="20"/>
        <v>20</v>
      </c>
      <c r="I66">
        <v>2100</v>
      </c>
      <c r="J66" t="s">
        <v>28</v>
      </c>
      <c r="K66">
        <f t="shared" si="21"/>
        <v>22.5</v>
      </c>
      <c r="L66" cm="1">
        <f t="array" ref="L66">STOWA2024_NDJF_T(A66*60,K66,I66,J66,"")</f>
        <v>8.5320560211920887E-2</v>
      </c>
      <c r="M66">
        <f t="shared" si="22"/>
        <v>11.720504383892703</v>
      </c>
    </row>
    <row r="67" spans="1:13" x14ac:dyDescent="0.3">
      <c r="A67">
        <v>96</v>
      </c>
      <c r="B67">
        <f t="shared" si="18"/>
        <v>4.1595697237513649</v>
      </c>
      <c r="C67">
        <f t="shared" si="19"/>
        <v>4.1595697237513649</v>
      </c>
      <c r="D67" t="s">
        <v>33</v>
      </c>
      <c r="E67" t="s">
        <v>19</v>
      </c>
      <c r="F67">
        <v>1</v>
      </c>
      <c r="G67">
        <f t="shared" si="20"/>
        <v>25</v>
      </c>
      <c r="I67">
        <v>2100</v>
      </c>
      <c r="J67" t="s">
        <v>28</v>
      </c>
      <c r="K67">
        <f t="shared" si="21"/>
        <v>27.5</v>
      </c>
      <c r="L67" cm="1">
        <f t="array" ref="L67">STOWA2024_NDJF_T(A67*60,K67,I67,J67,"")</f>
        <v>0.13225878081868081</v>
      </c>
      <c r="M67">
        <f t="shared" si="22"/>
        <v>7.5609346601413376</v>
      </c>
    </row>
    <row r="68" spans="1:13" x14ac:dyDescent="0.3">
      <c r="A68">
        <v>96</v>
      </c>
      <c r="B68">
        <f t="shared" si="18"/>
        <v>2.6629256653039981</v>
      </c>
      <c r="C68">
        <f t="shared" si="19"/>
        <v>2.6629256653039981</v>
      </c>
      <c r="D68" t="s">
        <v>33</v>
      </c>
      <c r="E68" t="s">
        <v>19</v>
      </c>
      <c r="F68">
        <v>1</v>
      </c>
      <c r="G68">
        <f t="shared" si="20"/>
        <v>30</v>
      </c>
      <c r="I68">
        <v>2100</v>
      </c>
      <c r="J68" t="s">
        <v>28</v>
      </c>
      <c r="K68">
        <f t="shared" si="21"/>
        <v>32.5</v>
      </c>
      <c r="L68" cm="1">
        <f t="array" ref="L68">STOWA2024_NDJF_T(A68*60,K68,I68,J68,"")</f>
        <v>0.20416459035784387</v>
      </c>
      <c r="M68">
        <f t="shared" si="22"/>
        <v>4.8980089948373395</v>
      </c>
    </row>
    <row r="69" spans="1:13" x14ac:dyDescent="0.3">
      <c r="A69">
        <v>96</v>
      </c>
      <c r="B69">
        <f t="shared" si="18"/>
        <v>1.7119671556814899</v>
      </c>
      <c r="C69">
        <f t="shared" si="19"/>
        <v>1.7119671556814899</v>
      </c>
      <c r="D69" t="s">
        <v>33</v>
      </c>
      <c r="E69" t="s">
        <v>19</v>
      </c>
      <c r="F69">
        <v>1</v>
      </c>
      <c r="G69">
        <f t="shared" si="20"/>
        <v>35</v>
      </c>
      <c r="I69">
        <v>2100</v>
      </c>
      <c r="J69" t="s">
        <v>28</v>
      </c>
      <c r="K69">
        <f t="shared" si="21"/>
        <v>37.5</v>
      </c>
      <c r="L69" cm="1">
        <f t="array" ref="L69">STOWA2024_NDJF_T(A69*60,K69,I69,J69,"")</f>
        <v>0.31386907344096671</v>
      </c>
      <c r="M69">
        <f t="shared" si="22"/>
        <v>3.1860418391558496</v>
      </c>
    </row>
    <row r="70" spans="1:13" x14ac:dyDescent="0.3">
      <c r="A70">
        <v>96</v>
      </c>
      <c r="B70">
        <f>M69-M70</f>
        <v>1.1052027400915927</v>
      </c>
      <c r="C70">
        <f t="shared" si="19"/>
        <v>1.1052027400915927</v>
      </c>
      <c r="D70" t="s">
        <v>33</v>
      </c>
      <c r="E70" t="s">
        <v>19</v>
      </c>
      <c r="F70">
        <v>1</v>
      </c>
      <c r="G70">
        <f>G69+5</f>
        <v>40</v>
      </c>
      <c r="I70">
        <v>2100</v>
      </c>
      <c r="J70" t="s">
        <v>28</v>
      </c>
      <c r="K70">
        <f>AVERAGE(G70:G71)</f>
        <v>42.5</v>
      </c>
      <c r="L70" cm="1">
        <f t="array" ref="L70">STOWA2024_NDJF_T(A70*60,K70,I70,J70,"")</f>
        <v>0.48057536041575494</v>
      </c>
      <c r="M70">
        <f>1/L70</f>
        <v>2.0808390990642569</v>
      </c>
    </row>
    <row r="71" spans="1:13" x14ac:dyDescent="0.3">
      <c r="A71">
        <v>96</v>
      </c>
      <c r="B71">
        <f t="shared" ref="B71:B93" si="23">M70-M71</f>
        <v>0.71645372295159482</v>
      </c>
      <c r="C71">
        <f t="shared" si="19"/>
        <v>0.71645372295159482</v>
      </c>
      <c r="D71" t="s">
        <v>33</v>
      </c>
      <c r="E71" t="s">
        <v>19</v>
      </c>
      <c r="F71">
        <v>1</v>
      </c>
      <c r="G71">
        <f t="shared" ref="G71:G94" si="24">G70+5</f>
        <v>45</v>
      </c>
      <c r="I71">
        <v>2100</v>
      </c>
      <c r="J71" t="s">
        <v>28</v>
      </c>
      <c r="K71">
        <f t="shared" ref="K71:K93" si="25">AVERAGE(G71:G72)</f>
        <v>47.5</v>
      </c>
      <c r="L71" cm="1">
        <f t="array" ref="L71">STOWA2024_NDJF_T(A71*60,K71,I71,J71,"")</f>
        <v>0.73293075219638415</v>
      </c>
      <c r="M71">
        <f t="shared" ref="M71:M93" si="26">1/L71</f>
        <v>1.3643853761126621</v>
      </c>
    </row>
    <row r="72" spans="1:13" x14ac:dyDescent="0.3">
      <c r="A72">
        <v>96</v>
      </c>
      <c r="B72">
        <f t="shared" si="23"/>
        <v>0.46620678375078339</v>
      </c>
      <c r="C72">
        <f t="shared" si="19"/>
        <v>0.46620678375078339</v>
      </c>
      <c r="D72" t="s">
        <v>33</v>
      </c>
      <c r="E72" t="s">
        <v>19</v>
      </c>
      <c r="F72">
        <v>1</v>
      </c>
      <c r="G72">
        <f t="shared" si="24"/>
        <v>50</v>
      </c>
      <c r="I72">
        <v>2100</v>
      </c>
      <c r="J72" t="s">
        <v>28</v>
      </c>
      <c r="K72">
        <f t="shared" si="25"/>
        <v>52.5</v>
      </c>
      <c r="L72" cm="1">
        <f t="array" ref="L72">STOWA2024_NDJF_T(A72*60,K72,I72,J72,"")</f>
        <v>1.1133643225345291</v>
      </c>
      <c r="M72">
        <f t="shared" si="26"/>
        <v>0.89817859236187869</v>
      </c>
    </row>
    <row r="73" spans="1:13" x14ac:dyDescent="0.3">
      <c r="A73">
        <v>96</v>
      </c>
      <c r="B73">
        <f t="shared" si="23"/>
        <v>0.30469556828923816</v>
      </c>
      <c r="C73">
        <f t="shared" si="19"/>
        <v>0.30469556828923816</v>
      </c>
      <c r="D73" t="s">
        <v>33</v>
      </c>
      <c r="E73" t="s">
        <v>19</v>
      </c>
      <c r="F73">
        <v>1</v>
      </c>
      <c r="G73">
        <f t="shared" si="24"/>
        <v>55</v>
      </c>
      <c r="I73">
        <v>2100</v>
      </c>
      <c r="J73" t="s">
        <v>28</v>
      </c>
      <c r="K73">
        <f t="shared" si="25"/>
        <v>57.5</v>
      </c>
      <c r="L73" cm="1">
        <f t="array" ref="L73">STOWA2024_NDJF_T(A73*60,K73,I73,J73,"")</f>
        <v>1.684968161578962</v>
      </c>
      <c r="M73">
        <f t="shared" si="26"/>
        <v>0.59348302407264053</v>
      </c>
    </row>
    <row r="74" spans="1:13" x14ac:dyDescent="0.3">
      <c r="A74">
        <v>96</v>
      </c>
      <c r="B74">
        <f t="shared" si="23"/>
        <v>0.19986298676638342</v>
      </c>
      <c r="C74">
        <f t="shared" si="19"/>
        <v>0.19986298676638342</v>
      </c>
      <c r="D74" t="s">
        <v>33</v>
      </c>
      <c r="E74" t="s">
        <v>19</v>
      </c>
      <c r="F74">
        <v>1</v>
      </c>
      <c r="G74">
        <f t="shared" si="24"/>
        <v>60</v>
      </c>
      <c r="I74">
        <v>2100</v>
      </c>
      <c r="J74" t="s">
        <v>28</v>
      </c>
      <c r="K74">
        <f t="shared" si="25"/>
        <v>62.5</v>
      </c>
      <c r="L74" cm="1">
        <f t="array" ref="L74">STOWA2024_NDJF_T(A74*60,K74,I74,J74,"")</f>
        <v>2.5405210741899995</v>
      </c>
      <c r="M74">
        <f t="shared" si="26"/>
        <v>0.39362003730625711</v>
      </c>
    </row>
    <row r="75" spans="1:13" x14ac:dyDescent="0.3">
      <c r="A75">
        <v>96</v>
      </c>
      <c r="B75">
        <f t="shared" si="23"/>
        <v>0.13159432906036922</v>
      </c>
      <c r="C75">
        <f t="shared" si="19"/>
        <v>0.13159432906036922</v>
      </c>
      <c r="D75" t="s">
        <v>33</v>
      </c>
      <c r="E75" t="s">
        <v>19</v>
      </c>
      <c r="F75">
        <v>1</v>
      </c>
      <c r="G75">
        <f t="shared" si="24"/>
        <v>65</v>
      </c>
      <c r="I75">
        <v>2100</v>
      </c>
      <c r="J75" t="s">
        <v>28</v>
      </c>
      <c r="K75">
        <f t="shared" si="25"/>
        <v>67.5</v>
      </c>
      <c r="L75" cm="1">
        <f t="array" ref="L75">STOWA2024_NDJF_T(A75*60,K75,I75,J75,"")</f>
        <v>3.8164194143178833</v>
      </c>
      <c r="M75">
        <f t="shared" si="26"/>
        <v>0.26202570824588789</v>
      </c>
    </row>
    <row r="76" spans="1:13" x14ac:dyDescent="0.3">
      <c r="A76">
        <v>96</v>
      </c>
      <c r="B76">
        <f t="shared" si="23"/>
        <v>8.6967823869118416E-2</v>
      </c>
      <c r="C76">
        <f t="shared" si="19"/>
        <v>8.6967823869118416E-2</v>
      </c>
      <c r="D76" t="s">
        <v>33</v>
      </c>
      <c r="E76" t="s">
        <v>19</v>
      </c>
      <c r="F76">
        <v>1</v>
      </c>
      <c r="G76">
        <f t="shared" si="24"/>
        <v>70</v>
      </c>
      <c r="I76">
        <v>2100</v>
      </c>
      <c r="J76" t="s">
        <v>28</v>
      </c>
      <c r="K76">
        <f t="shared" si="25"/>
        <v>72.5</v>
      </c>
      <c r="L76" cm="1">
        <f t="array" ref="L76">STOWA2024_NDJF_T(A76*60,K76,I76,J76,"")</f>
        <v>5.7123962371654367</v>
      </c>
      <c r="M76">
        <f t="shared" si="26"/>
        <v>0.17505788437676947</v>
      </c>
    </row>
    <row r="77" spans="1:13" x14ac:dyDescent="0.3">
      <c r="A77">
        <v>96</v>
      </c>
      <c r="B77">
        <f t="shared" si="23"/>
        <v>5.7688508534190955E-2</v>
      </c>
      <c r="C77">
        <f t="shared" si="19"/>
        <v>5.7688508534190955E-2</v>
      </c>
      <c r="D77" t="s">
        <v>33</v>
      </c>
      <c r="E77" t="s">
        <v>19</v>
      </c>
      <c r="F77">
        <v>1</v>
      </c>
      <c r="G77">
        <f t="shared" si="24"/>
        <v>75</v>
      </c>
      <c r="I77">
        <v>2100</v>
      </c>
      <c r="J77" t="s">
        <v>28</v>
      </c>
      <c r="K77">
        <f t="shared" si="25"/>
        <v>77.5</v>
      </c>
      <c r="L77" cm="1">
        <f t="array" ref="L77">STOWA2024_NDJF_T(A77*60,K77,I77,J77,"")</f>
        <v>8.5201100612586398</v>
      </c>
      <c r="M77">
        <f t="shared" si="26"/>
        <v>0.11736937584257852</v>
      </c>
    </row>
    <row r="78" spans="1:13" x14ac:dyDescent="0.3">
      <c r="A78">
        <v>96</v>
      </c>
      <c r="B78">
        <f t="shared" si="23"/>
        <v>3.84024406123495E-2</v>
      </c>
      <c r="C78">
        <f t="shared" si="19"/>
        <v>3.84024406123495E-2</v>
      </c>
      <c r="D78" t="s">
        <v>33</v>
      </c>
      <c r="E78" t="s">
        <v>19</v>
      </c>
      <c r="F78">
        <v>1</v>
      </c>
      <c r="G78">
        <f t="shared" si="24"/>
        <v>80</v>
      </c>
      <c r="I78">
        <v>2100</v>
      </c>
      <c r="J78" t="s">
        <v>28</v>
      </c>
      <c r="K78">
        <f t="shared" si="25"/>
        <v>82.5</v>
      </c>
      <c r="L78" cm="1">
        <f t="array" ref="L78">STOWA2024_NDJF_T(A78*60,K78,I78,J78,"")</f>
        <v>12.663528058731016</v>
      </c>
      <c r="M78">
        <f t="shared" si="26"/>
        <v>7.8966935230229018E-2</v>
      </c>
    </row>
    <row r="79" spans="1:13" x14ac:dyDescent="0.3">
      <c r="A79">
        <v>96</v>
      </c>
      <c r="B79">
        <f t="shared" si="23"/>
        <v>2.5655194003104023E-2</v>
      </c>
      <c r="C79">
        <f t="shared" si="19"/>
        <v>2.5655194003104023E-2</v>
      </c>
      <c r="D79" t="s">
        <v>33</v>
      </c>
      <c r="E79" t="s">
        <v>19</v>
      </c>
      <c r="F79">
        <v>1</v>
      </c>
      <c r="G79">
        <f t="shared" si="24"/>
        <v>85</v>
      </c>
      <c r="I79">
        <v>2100</v>
      </c>
      <c r="J79" t="s">
        <v>28</v>
      </c>
      <c r="K79">
        <f t="shared" si="25"/>
        <v>87.5</v>
      </c>
      <c r="L79" cm="1">
        <f t="array" ref="L79">STOWA2024_NDJF_T(A79*60,K79,I79,J79,"")</f>
        <v>18.757594049304853</v>
      </c>
      <c r="M79">
        <f t="shared" si="26"/>
        <v>5.3311741227124995E-2</v>
      </c>
    </row>
    <row r="80" spans="1:13" x14ac:dyDescent="0.3">
      <c r="A80">
        <v>96</v>
      </c>
      <c r="B80">
        <f t="shared" si="23"/>
        <v>1.7198860413306399E-2</v>
      </c>
      <c r="C80">
        <f t="shared" si="19"/>
        <v>1.7198860413306399E-2</v>
      </c>
      <c r="D80" t="s">
        <v>33</v>
      </c>
      <c r="E80" t="s">
        <v>19</v>
      </c>
      <c r="F80">
        <v>1</v>
      </c>
      <c r="G80">
        <f t="shared" si="24"/>
        <v>90</v>
      </c>
      <c r="I80">
        <v>2100</v>
      </c>
      <c r="J80" t="s">
        <v>28</v>
      </c>
      <c r="K80">
        <f t="shared" si="25"/>
        <v>92.5</v>
      </c>
      <c r="L80" cm="1">
        <f t="array" ref="L80">STOWA2024_NDJF_T(A80*60,K80,I80,J80,"")</f>
        <v>27.690950637683549</v>
      </c>
      <c r="M80">
        <f t="shared" si="26"/>
        <v>3.6112880813818596E-2</v>
      </c>
    </row>
    <row r="81" spans="1:13" x14ac:dyDescent="0.3">
      <c r="A81">
        <v>96</v>
      </c>
      <c r="B81">
        <f t="shared" si="23"/>
        <v>1.1569278278237696E-2</v>
      </c>
      <c r="C81">
        <f t="shared" si="19"/>
        <v>1.1569278278237696E-2</v>
      </c>
      <c r="D81" t="s">
        <v>33</v>
      </c>
      <c r="E81" t="s">
        <v>19</v>
      </c>
      <c r="F81">
        <v>1</v>
      </c>
      <c r="G81">
        <f t="shared" si="24"/>
        <v>95</v>
      </c>
      <c r="I81">
        <v>2100</v>
      </c>
      <c r="J81" t="s">
        <v>28</v>
      </c>
      <c r="K81">
        <f t="shared" si="25"/>
        <v>97.5</v>
      </c>
      <c r="L81" cm="1">
        <f t="array" ref="L81">STOWA2024_NDJF_T(A81*60,K81,I81,J81,"")</f>
        <v>40.743814953420078</v>
      </c>
      <c r="M81">
        <f t="shared" si="26"/>
        <v>2.45436025355809E-2</v>
      </c>
    </row>
    <row r="82" spans="1:13" x14ac:dyDescent="0.3">
      <c r="A82">
        <v>96</v>
      </c>
      <c r="B82">
        <f t="shared" si="23"/>
        <v>7.8085440638334044E-3</v>
      </c>
      <c r="C82">
        <f t="shared" si="19"/>
        <v>7.8085440638334044E-3</v>
      </c>
      <c r="D82" t="s">
        <v>33</v>
      </c>
      <c r="E82" t="s">
        <v>19</v>
      </c>
      <c r="F82">
        <v>1</v>
      </c>
      <c r="G82">
        <f t="shared" si="24"/>
        <v>100</v>
      </c>
      <c r="I82">
        <v>2100</v>
      </c>
      <c r="J82" t="s">
        <v>28</v>
      </c>
      <c r="K82">
        <f t="shared" si="25"/>
        <v>102.5</v>
      </c>
      <c r="L82" cm="1">
        <f t="array" ref="L82">STOWA2024_NDJF_T(A82*60,K82,I82,J82,"")</f>
        <v>59.75479569959213</v>
      </c>
      <c r="M82">
        <f t="shared" si="26"/>
        <v>1.6735058471747496E-2</v>
      </c>
    </row>
    <row r="83" spans="1:13" x14ac:dyDescent="0.3">
      <c r="A83">
        <v>96</v>
      </c>
      <c r="B83">
        <f t="shared" si="23"/>
        <v>5.2876982265881462E-3</v>
      </c>
      <c r="C83">
        <f t="shared" si="19"/>
        <v>5.2876982265881462E-3</v>
      </c>
      <c r="D83" t="s">
        <v>33</v>
      </c>
      <c r="E83" t="s">
        <v>19</v>
      </c>
      <c r="F83">
        <v>1</v>
      </c>
      <c r="G83">
        <f t="shared" si="24"/>
        <v>105</v>
      </c>
      <c r="I83">
        <v>2100</v>
      </c>
      <c r="J83" t="s">
        <v>28</v>
      </c>
      <c r="K83">
        <f t="shared" si="25"/>
        <v>107.5</v>
      </c>
      <c r="L83" cm="1">
        <f t="array" ref="L83">STOWA2024_NDJF_T(A83*60,K83,I83,J83,"")</f>
        <v>87.356384230404714</v>
      </c>
      <c r="M83">
        <f t="shared" si="26"/>
        <v>1.144736024515935E-2</v>
      </c>
    </row>
    <row r="84" spans="1:13" x14ac:dyDescent="0.3">
      <c r="A84">
        <v>96</v>
      </c>
      <c r="B84">
        <f t="shared" si="23"/>
        <v>3.5922971457286509E-3</v>
      </c>
      <c r="C84">
        <f t="shared" si="19"/>
        <v>3.5922971457286509E-3</v>
      </c>
      <c r="D84" t="s">
        <v>33</v>
      </c>
      <c r="E84" t="s">
        <v>19</v>
      </c>
      <c r="F84">
        <v>1</v>
      </c>
      <c r="G84">
        <f t="shared" si="24"/>
        <v>110</v>
      </c>
      <c r="I84">
        <v>2100</v>
      </c>
      <c r="J84" t="s">
        <v>28</v>
      </c>
      <c r="K84">
        <f t="shared" si="25"/>
        <v>112.5</v>
      </c>
      <c r="L84" cm="1">
        <f t="array" ref="L84">STOWA2024_NDJF_T(A84*60,K84,I84,J84,"")</f>
        <v>127.30642482967141</v>
      </c>
      <c r="M84">
        <f t="shared" si="26"/>
        <v>7.8550630994306987E-3</v>
      </c>
    </row>
    <row r="85" spans="1:13" x14ac:dyDescent="0.3">
      <c r="A85">
        <v>96</v>
      </c>
      <c r="B85">
        <f t="shared" si="23"/>
        <v>2.4482942902829541E-3</v>
      </c>
      <c r="C85">
        <f t="shared" si="19"/>
        <v>2.4482942902829541E-3</v>
      </c>
      <c r="D85" t="s">
        <v>33</v>
      </c>
      <c r="E85" t="s">
        <v>19</v>
      </c>
      <c r="F85">
        <v>1</v>
      </c>
      <c r="G85">
        <f t="shared" si="24"/>
        <v>115</v>
      </c>
      <c r="I85">
        <v>2100</v>
      </c>
      <c r="J85" t="s">
        <v>28</v>
      </c>
      <c r="K85">
        <f t="shared" si="25"/>
        <v>117.5</v>
      </c>
      <c r="L85" cm="1">
        <f t="array" ref="L85">STOWA2024_NDJF_T(A85*60,K85,I85,J85,"")</f>
        <v>184.95334927361679</v>
      </c>
      <c r="M85">
        <f t="shared" si="26"/>
        <v>5.4067688091477446E-3</v>
      </c>
    </row>
    <row r="86" spans="1:13" x14ac:dyDescent="0.3">
      <c r="A86">
        <v>96</v>
      </c>
      <c r="B86">
        <f t="shared" si="23"/>
        <v>1.6738560455528489E-3</v>
      </c>
      <c r="C86">
        <f t="shared" si="19"/>
        <v>1.6738560455528489E-3</v>
      </c>
      <c r="D86" t="s">
        <v>33</v>
      </c>
      <c r="E86" t="s">
        <v>19</v>
      </c>
      <c r="F86">
        <v>1</v>
      </c>
      <c r="G86">
        <f t="shared" si="24"/>
        <v>120</v>
      </c>
      <c r="I86">
        <v>2100</v>
      </c>
      <c r="J86" t="s">
        <v>28</v>
      </c>
      <c r="K86">
        <f t="shared" si="25"/>
        <v>122.5</v>
      </c>
      <c r="L86" cm="1">
        <f t="array" ref="L86">STOWA2024_NDJF_T(A86*60,K86,I86,J86,"")</f>
        <v>267.88732106264735</v>
      </c>
      <c r="M86">
        <f t="shared" si="26"/>
        <v>3.7329127635948958E-3</v>
      </c>
    </row>
    <row r="87" spans="1:13" x14ac:dyDescent="0.3">
      <c r="A87">
        <v>96</v>
      </c>
      <c r="B87">
        <f t="shared" si="23"/>
        <v>1.1479252277823162E-3</v>
      </c>
      <c r="C87">
        <f t="shared" si="19"/>
        <v>1.1479252277823162E-3</v>
      </c>
      <c r="D87" t="s">
        <v>33</v>
      </c>
      <c r="E87" t="s">
        <v>19</v>
      </c>
      <c r="F87">
        <v>1</v>
      </c>
      <c r="G87">
        <f t="shared" si="24"/>
        <v>125</v>
      </c>
      <c r="I87">
        <v>2100</v>
      </c>
      <c r="J87" t="s">
        <v>28</v>
      </c>
      <c r="K87">
        <f t="shared" si="25"/>
        <v>127.5</v>
      </c>
      <c r="L87" cm="1">
        <f t="array" ref="L87">STOWA2024_NDJF_T(A87*60,K87,I87,J87,"")</f>
        <v>386.84906064185503</v>
      </c>
      <c r="M87">
        <f t="shared" si="26"/>
        <v>2.5849875358125796E-3</v>
      </c>
    </row>
    <row r="88" spans="1:13" x14ac:dyDescent="0.3">
      <c r="A88">
        <v>96</v>
      </c>
      <c r="B88">
        <f t="shared" si="23"/>
        <v>7.8962709209448329E-4</v>
      </c>
      <c r="C88">
        <f t="shared" si="19"/>
        <v>7.8962709209448329E-4</v>
      </c>
      <c r="D88" t="s">
        <v>33</v>
      </c>
      <c r="E88" t="s">
        <v>19</v>
      </c>
      <c r="F88">
        <v>1</v>
      </c>
      <c r="G88">
        <f t="shared" si="24"/>
        <v>130</v>
      </c>
      <c r="I88">
        <v>2100</v>
      </c>
      <c r="J88" t="s">
        <v>28</v>
      </c>
      <c r="K88">
        <f t="shared" si="25"/>
        <v>132.5</v>
      </c>
      <c r="L88" cm="1">
        <f t="array" ref="L88">STOWA2024_NDJF_T(A88*60,K88,I88,J88,"")</f>
        <v>556.99121783537407</v>
      </c>
      <c r="M88">
        <f t="shared" si="26"/>
        <v>1.7953604437180963E-3</v>
      </c>
    </row>
    <row r="89" spans="1:13" x14ac:dyDescent="0.3">
      <c r="A89">
        <v>96</v>
      </c>
      <c r="B89">
        <f t="shared" si="23"/>
        <v>5.4481002472948556E-4</v>
      </c>
      <c r="C89">
        <f t="shared" si="19"/>
        <v>5.4481002472948556E-4</v>
      </c>
      <c r="D89" t="s">
        <v>33</v>
      </c>
      <c r="E89" t="s">
        <v>19</v>
      </c>
      <c r="F89">
        <v>1</v>
      </c>
      <c r="G89">
        <f t="shared" si="24"/>
        <v>135</v>
      </c>
      <c r="I89">
        <v>2100</v>
      </c>
      <c r="J89" t="s">
        <v>28</v>
      </c>
      <c r="K89">
        <f t="shared" si="25"/>
        <v>137.5</v>
      </c>
      <c r="L89" cm="1">
        <f t="array" ref="L89">STOWA2024_NDJF_T(A89*60,K89,I89,J89,"")</f>
        <v>799.64788689508043</v>
      </c>
      <c r="M89">
        <f t="shared" si="26"/>
        <v>1.2505504189886107E-3</v>
      </c>
    </row>
    <row r="90" spans="1:13" x14ac:dyDescent="0.3">
      <c r="A90">
        <v>96</v>
      </c>
      <c r="B90">
        <f t="shared" si="23"/>
        <v>3.7699533844012063E-4</v>
      </c>
      <c r="C90">
        <f t="shared" si="19"/>
        <v>3.7699533844012063E-4</v>
      </c>
      <c r="D90" t="s">
        <v>33</v>
      </c>
      <c r="E90" t="s">
        <v>19</v>
      </c>
      <c r="F90">
        <v>1</v>
      </c>
      <c r="G90">
        <f t="shared" si="24"/>
        <v>140</v>
      </c>
      <c r="I90">
        <v>2100</v>
      </c>
      <c r="J90" t="s">
        <v>28</v>
      </c>
      <c r="K90">
        <f t="shared" si="25"/>
        <v>142.5</v>
      </c>
      <c r="L90" cm="1">
        <f t="array" ref="L90">STOWA2024_NDJF_T(A90*60,K90,I90,J90,"")</f>
        <v>1144.7475062157698</v>
      </c>
      <c r="M90">
        <f t="shared" si="26"/>
        <v>8.7355508054849011E-4</v>
      </c>
    </row>
    <row r="91" spans="1:13" x14ac:dyDescent="0.3">
      <c r="A91">
        <v>96</v>
      </c>
      <c r="B91">
        <f t="shared" si="23"/>
        <v>2.6162459774912376E-4</v>
      </c>
      <c r="C91">
        <f t="shared" si="19"/>
        <v>2.6162459774912376E-4</v>
      </c>
      <c r="D91" t="s">
        <v>33</v>
      </c>
      <c r="E91" t="s">
        <v>19</v>
      </c>
      <c r="F91">
        <v>1</v>
      </c>
      <c r="G91">
        <f t="shared" si="24"/>
        <v>145</v>
      </c>
      <c r="I91">
        <v>2100</v>
      </c>
      <c r="J91" t="s">
        <v>28</v>
      </c>
      <c r="K91">
        <f t="shared" si="25"/>
        <v>147.5</v>
      </c>
      <c r="L91" cm="1">
        <f t="array" ref="L91">STOWA2024_NDJF_T(A91*60,K91,I91,J91,"")</f>
        <v>1634.1725540871118</v>
      </c>
      <c r="M91">
        <f t="shared" si="26"/>
        <v>6.1193048279936635E-4</v>
      </c>
    </row>
    <row r="92" spans="1:13" x14ac:dyDescent="0.3">
      <c r="A92">
        <v>96</v>
      </c>
      <c r="B92">
        <f t="shared" si="23"/>
        <v>1.8208505251594587E-4</v>
      </c>
      <c r="C92">
        <f t="shared" si="19"/>
        <v>1.8208505251594587E-4</v>
      </c>
      <c r="D92" t="s">
        <v>33</v>
      </c>
      <c r="E92" t="s">
        <v>19</v>
      </c>
      <c r="F92">
        <v>1</v>
      </c>
      <c r="G92">
        <f t="shared" si="24"/>
        <v>150</v>
      </c>
      <c r="I92">
        <v>2100</v>
      </c>
      <c r="J92" t="s">
        <v>28</v>
      </c>
      <c r="K92">
        <f t="shared" si="25"/>
        <v>152.5</v>
      </c>
      <c r="L92" cm="1">
        <f t="array" ref="L92">STOWA2024_NDJF_T(A92*60,K92,I92,J92,"")</f>
        <v>2326.4176598100521</v>
      </c>
      <c r="M92">
        <f t="shared" si="26"/>
        <v>4.2984543028342048E-4</v>
      </c>
    </row>
    <row r="93" spans="1:13" x14ac:dyDescent="0.3">
      <c r="A93">
        <v>96</v>
      </c>
      <c r="B93">
        <f t="shared" si="23"/>
        <v>1.2707904000142426E-4</v>
      </c>
      <c r="C93">
        <f t="shared" si="19"/>
        <v>1.2707904000142426E-4</v>
      </c>
      <c r="D93" t="s">
        <v>33</v>
      </c>
      <c r="E93" t="s">
        <v>19</v>
      </c>
      <c r="F93">
        <v>1</v>
      </c>
      <c r="G93">
        <f t="shared" si="24"/>
        <v>155</v>
      </c>
      <c r="I93">
        <v>2100</v>
      </c>
      <c r="J93" t="s">
        <v>28</v>
      </c>
      <c r="K93">
        <f t="shared" si="25"/>
        <v>157.5</v>
      </c>
      <c r="L93" cm="1">
        <f t="array" ref="L93">STOWA2024_NDJF_T(A93*60,K93,I93,J93,"")</f>
        <v>3302.8765150207105</v>
      </c>
      <c r="M93">
        <f t="shared" si="26"/>
        <v>3.0276639028199622E-4</v>
      </c>
    </row>
    <row r="94" spans="1:13" x14ac:dyDescent="0.3">
      <c r="A94">
        <v>96</v>
      </c>
      <c r="B94" s="1">
        <f>M93</f>
        <v>3.0276639028199622E-4</v>
      </c>
      <c r="C94">
        <f t="shared" si="19"/>
        <v>3.0276639028199622E-4</v>
      </c>
      <c r="D94" t="s">
        <v>33</v>
      </c>
      <c r="E94" t="s">
        <v>19</v>
      </c>
      <c r="F94">
        <v>1</v>
      </c>
      <c r="G94">
        <f t="shared" si="24"/>
        <v>160</v>
      </c>
      <c r="I94">
        <v>2100</v>
      </c>
      <c r="J94" t="s">
        <v>28</v>
      </c>
      <c r="K94">
        <f>AVERAGE(G94:G95)</f>
        <v>85</v>
      </c>
      <c r="L94" cm="1">
        <f t="array" ref="L94">STOWA2024_NDJF_T(A94*60,K94,I94,J94,"")</f>
        <v>15.418786975917023</v>
      </c>
      <c r="M94">
        <f>1/L94</f>
        <v>6.4855944995019663E-2</v>
      </c>
    </row>
    <row r="95" spans="1:13" x14ac:dyDescent="0.3">
      <c r="A95">
        <v>192</v>
      </c>
      <c r="B95" s="1">
        <f>365.25*24/A95 - M95</f>
        <v>22.646165688698851</v>
      </c>
      <c r="C95">
        <f>B95</f>
        <v>22.646165688698851</v>
      </c>
      <c r="D95" t="s">
        <v>33</v>
      </c>
      <c r="E95" t="s">
        <v>19</v>
      </c>
      <c r="F95">
        <v>1</v>
      </c>
      <c r="G95">
        <v>10</v>
      </c>
      <c r="I95">
        <v>2100</v>
      </c>
      <c r="J95" t="s">
        <v>28</v>
      </c>
      <c r="K95">
        <f>AVERAGE(G95:G97)</f>
        <v>15</v>
      </c>
      <c r="L95" cm="1">
        <f t="array" ref="L95">STOWA2024_NDJF_T(A95*60,K95,I95,J95,"")</f>
        <v>4.3459206253705945E-2</v>
      </c>
      <c r="M95">
        <f>1/L95</f>
        <v>23.010084311301149</v>
      </c>
    </row>
    <row r="96" spans="1:13" x14ac:dyDescent="0.3">
      <c r="A96">
        <v>192</v>
      </c>
      <c r="B96">
        <f t="shared" ref="B96:B100" si="27">M95-M96</f>
        <v>2.8100966892789323</v>
      </c>
      <c r="C96">
        <f t="shared" ref="C96:C125" si="28">B96</f>
        <v>2.8100966892789323</v>
      </c>
      <c r="D96" t="s">
        <v>33</v>
      </c>
      <c r="E96" t="s">
        <v>19</v>
      </c>
      <c r="F96">
        <v>1</v>
      </c>
      <c r="G96">
        <f t="shared" ref="G96:G100" si="29">G95+5</f>
        <v>15</v>
      </c>
      <c r="I96">
        <v>2100</v>
      </c>
      <c r="J96" t="s">
        <v>28</v>
      </c>
      <c r="K96">
        <f t="shared" ref="K96:K100" si="30">AVERAGE(G96:G97)</f>
        <v>17.5</v>
      </c>
      <c r="L96" cm="1">
        <f t="array" ref="L96">STOWA2024_NDJF_T(A96*60,K96,I96,J96,"")</f>
        <v>4.9504980830274894E-2</v>
      </c>
      <c r="M96">
        <f t="shared" ref="M96:M100" si="31">1/L96</f>
        <v>20.199987622022217</v>
      </c>
    </row>
    <row r="97" spans="1:13" x14ac:dyDescent="0.3">
      <c r="A97">
        <v>192</v>
      </c>
      <c r="B97">
        <f t="shared" si="27"/>
        <v>4.6694860401022869</v>
      </c>
      <c r="C97">
        <f t="shared" si="28"/>
        <v>4.6694860401022869</v>
      </c>
      <c r="D97" t="s">
        <v>33</v>
      </c>
      <c r="E97" t="s">
        <v>19</v>
      </c>
      <c r="F97">
        <v>1</v>
      </c>
      <c r="G97">
        <f t="shared" si="29"/>
        <v>20</v>
      </c>
      <c r="I97">
        <v>2100</v>
      </c>
      <c r="J97" t="s">
        <v>28</v>
      </c>
      <c r="K97">
        <f t="shared" si="30"/>
        <v>22.5</v>
      </c>
      <c r="L97" cm="1">
        <f t="array" ref="L97">STOWA2024_NDJF_T(A97*60,K97,I97,J97,"")</f>
        <v>6.4389420697407815E-2</v>
      </c>
      <c r="M97">
        <f t="shared" si="31"/>
        <v>15.53050158191993</v>
      </c>
    </row>
    <row r="98" spans="1:13" x14ac:dyDescent="0.3">
      <c r="A98">
        <v>192</v>
      </c>
      <c r="B98">
        <f t="shared" si="27"/>
        <v>3.6284236595366242</v>
      </c>
      <c r="C98">
        <f t="shared" si="28"/>
        <v>3.6284236595366242</v>
      </c>
      <c r="D98" t="s">
        <v>33</v>
      </c>
      <c r="E98" t="s">
        <v>19</v>
      </c>
      <c r="F98">
        <v>1</v>
      </c>
      <c r="G98">
        <f t="shared" si="29"/>
        <v>25</v>
      </c>
      <c r="I98">
        <v>2100</v>
      </c>
      <c r="J98" t="s">
        <v>28</v>
      </c>
      <c r="K98">
        <f t="shared" si="30"/>
        <v>27.5</v>
      </c>
      <c r="L98" cm="1">
        <f t="array" ref="L98">STOWA2024_NDJF_T(A98*60,K98,I98,J98,"")</f>
        <v>8.401894245032443E-2</v>
      </c>
      <c r="M98">
        <f t="shared" si="31"/>
        <v>11.902077922383306</v>
      </c>
    </row>
    <row r="99" spans="1:13" x14ac:dyDescent="0.3">
      <c r="A99">
        <v>192</v>
      </c>
      <c r="B99">
        <f t="shared" si="27"/>
        <v>2.8107533069715416</v>
      </c>
      <c r="C99">
        <f t="shared" si="28"/>
        <v>2.8107533069715416</v>
      </c>
      <c r="D99" t="s">
        <v>33</v>
      </c>
      <c r="E99" t="s">
        <v>19</v>
      </c>
      <c r="F99">
        <v>1</v>
      </c>
      <c r="G99">
        <f t="shared" si="29"/>
        <v>30</v>
      </c>
      <c r="I99">
        <v>2100</v>
      </c>
      <c r="J99" t="s">
        <v>28</v>
      </c>
      <c r="K99">
        <f t="shared" si="30"/>
        <v>32.5</v>
      </c>
      <c r="L99" cm="1">
        <f t="array" ref="L99">STOWA2024_NDJF_T(A99*60,K99,I99,J99,"")</f>
        <v>0.10999497238331843</v>
      </c>
      <c r="M99">
        <f t="shared" si="31"/>
        <v>9.0913246154117644</v>
      </c>
    </row>
    <row r="100" spans="1:13" x14ac:dyDescent="0.3">
      <c r="A100">
        <v>192</v>
      </c>
      <c r="B100">
        <f t="shared" si="27"/>
        <v>2.1704578171527773</v>
      </c>
      <c r="C100">
        <f t="shared" si="28"/>
        <v>2.1704578171527773</v>
      </c>
      <c r="D100" t="s">
        <v>33</v>
      </c>
      <c r="E100" t="s">
        <v>19</v>
      </c>
      <c r="F100">
        <v>1</v>
      </c>
      <c r="G100">
        <f t="shared" si="29"/>
        <v>35</v>
      </c>
      <c r="I100">
        <v>2100</v>
      </c>
      <c r="J100" t="s">
        <v>28</v>
      </c>
      <c r="K100">
        <f t="shared" si="30"/>
        <v>37.5</v>
      </c>
      <c r="L100" cm="1">
        <f t="array" ref="L100">STOWA2024_NDJF_T(A100*60,K100,I100,J100,"")</f>
        <v>0.1444905716508747</v>
      </c>
      <c r="M100">
        <f t="shared" si="31"/>
        <v>6.9208667982589871</v>
      </c>
    </row>
    <row r="101" spans="1:13" x14ac:dyDescent="0.3">
      <c r="A101">
        <v>192</v>
      </c>
      <c r="B101">
        <f>M100-M101</f>
        <v>1.6704723035699534</v>
      </c>
      <c r="C101">
        <f t="shared" si="28"/>
        <v>1.6704723035699534</v>
      </c>
      <c r="D101" t="s">
        <v>33</v>
      </c>
      <c r="E101" t="s">
        <v>19</v>
      </c>
      <c r="F101">
        <v>1</v>
      </c>
      <c r="G101">
        <f>G100+5</f>
        <v>40</v>
      </c>
      <c r="I101">
        <v>2100</v>
      </c>
      <c r="J101" t="s">
        <v>28</v>
      </c>
      <c r="K101">
        <f>AVERAGE(G101:G102)</f>
        <v>42.5</v>
      </c>
      <c r="L101" cm="1">
        <f t="array" ref="L101">STOWA2024_NDJF_T(A101*60,K101,I101,J101,"")</f>
        <v>0.19046187881911286</v>
      </c>
      <c r="M101">
        <f>1/L101</f>
        <v>5.2503944946890337</v>
      </c>
    </row>
    <row r="102" spans="1:13" x14ac:dyDescent="0.3">
      <c r="A102">
        <v>192</v>
      </c>
      <c r="B102">
        <f t="shared" ref="B102:B124" si="32">M101-M102</f>
        <v>1.281405672449865</v>
      </c>
      <c r="C102">
        <f t="shared" si="28"/>
        <v>1.281405672449865</v>
      </c>
      <c r="D102" t="s">
        <v>33</v>
      </c>
      <c r="E102" t="s">
        <v>19</v>
      </c>
      <c r="F102">
        <v>1</v>
      </c>
      <c r="G102">
        <f t="shared" ref="G102:G125" si="33">G101+5</f>
        <v>45</v>
      </c>
      <c r="I102">
        <v>2100</v>
      </c>
      <c r="J102" t="s">
        <v>28</v>
      </c>
      <c r="K102">
        <f t="shared" ref="K102:K124" si="34">AVERAGE(G102:G103)</f>
        <v>47.5</v>
      </c>
      <c r="L102" cm="1">
        <f t="array" ref="L102">STOWA2024_NDJF_T(A102*60,K102,I102,J102,"")</f>
        <v>0.25195334247271423</v>
      </c>
      <c r="M102">
        <f t="shared" ref="M102:M124" si="35">1/L102</f>
        <v>3.9689888222391687</v>
      </c>
    </row>
    <row r="103" spans="1:13" x14ac:dyDescent="0.3">
      <c r="A103">
        <v>192</v>
      </c>
      <c r="B103">
        <f t="shared" si="32"/>
        <v>0.9796139996543709</v>
      </c>
      <c r="C103">
        <f t="shared" si="28"/>
        <v>0.9796139996543709</v>
      </c>
      <c r="D103" t="s">
        <v>33</v>
      </c>
      <c r="E103" t="s">
        <v>19</v>
      </c>
      <c r="F103">
        <v>1</v>
      </c>
      <c r="G103">
        <f t="shared" si="33"/>
        <v>50</v>
      </c>
      <c r="I103">
        <v>2100</v>
      </c>
      <c r="J103" t="s">
        <v>28</v>
      </c>
      <c r="K103">
        <f t="shared" si="34"/>
        <v>52.5</v>
      </c>
      <c r="L103" cm="1">
        <f t="array" ref="L103">STOWA2024_NDJF_T(A103*60,K103,I103,J103,"")</f>
        <v>0.33451810473714311</v>
      </c>
      <c r="M103">
        <f t="shared" si="35"/>
        <v>2.9893748225847978</v>
      </c>
    </row>
    <row r="104" spans="1:13" x14ac:dyDescent="0.3">
      <c r="A104">
        <v>192</v>
      </c>
      <c r="B104">
        <f t="shared" si="32"/>
        <v>0.74623732039622004</v>
      </c>
      <c r="C104">
        <f t="shared" si="28"/>
        <v>0.74623732039622004</v>
      </c>
      <c r="D104" t="s">
        <v>33</v>
      </c>
      <c r="E104" t="s">
        <v>19</v>
      </c>
      <c r="F104">
        <v>1</v>
      </c>
      <c r="G104">
        <f t="shared" si="33"/>
        <v>55</v>
      </c>
      <c r="I104">
        <v>2100</v>
      </c>
      <c r="J104" t="s">
        <v>28</v>
      </c>
      <c r="K104">
        <f t="shared" si="34"/>
        <v>57.5</v>
      </c>
      <c r="L104" cm="1">
        <f t="array" ref="L104">STOWA2024_NDJF_T(A104*60,K104,I104,J104,"")</f>
        <v>0.44580414665811746</v>
      </c>
      <c r="M104">
        <f t="shared" si="35"/>
        <v>2.2431375021885778</v>
      </c>
    </row>
    <row r="105" spans="1:13" x14ac:dyDescent="0.3">
      <c r="A105">
        <v>192</v>
      </c>
      <c r="B105">
        <f t="shared" si="32"/>
        <v>0.56640249040181878</v>
      </c>
      <c r="C105">
        <f t="shared" si="28"/>
        <v>0.56640249040181878</v>
      </c>
      <c r="D105" t="s">
        <v>33</v>
      </c>
      <c r="E105" t="s">
        <v>19</v>
      </c>
      <c r="F105">
        <v>1</v>
      </c>
      <c r="G105">
        <f t="shared" si="33"/>
        <v>60</v>
      </c>
      <c r="I105">
        <v>2100</v>
      </c>
      <c r="J105" t="s">
        <v>28</v>
      </c>
      <c r="K105">
        <f t="shared" si="34"/>
        <v>62.5</v>
      </c>
      <c r="L105" cm="1">
        <f t="array" ref="L105">STOWA2024_NDJF_T(A105*60,K105,I105,J105,"")</f>
        <v>0.59639716053545155</v>
      </c>
      <c r="M105">
        <f t="shared" si="35"/>
        <v>1.676735011786759</v>
      </c>
    </row>
    <row r="106" spans="1:13" x14ac:dyDescent="0.3">
      <c r="A106">
        <v>192</v>
      </c>
      <c r="B106">
        <f t="shared" si="32"/>
        <v>0.42832743262010942</v>
      </c>
      <c r="C106">
        <f t="shared" si="28"/>
        <v>0.42832743262010942</v>
      </c>
      <c r="D106" t="s">
        <v>33</v>
      </c>
      <c r="E106" t="s">
        <v>19</v>
      </c>
      <c r="F106">
        <v>1</v>
      </c>
      <c r="G106">
        <f t="shared" si="33"/>
        <v>65</v>
      </c>
      <c r="I106">
        <v>2100</v>
      </c>
      <c r="J106" t="s">
        <v>28</v>
      </c>
      <c r="K106">
        <f t="shared" si="34"/>
        <v>67.5</v>
      </c>
      <c r="L106" cm="1">
        <f t="array" ref="L106">STOWA2024_NDJF_T(A106*60,K106,I106,J106,"")</f>
        <v>0.80102044932115091</v>
      </c>
      <c r="M106">
        <f t="shared" si="35"/>
        <v>1.2484075791666496</v>
      </c>
    </row>
    <row r="107" spans="1:13" x14ac:dyDescent="0.3">
      <c r="A107">
        <v>192</v>
      </c>
      <c r="B107">
        <f t="shared" si="32"/>
        <v>0.32261333258316449</v>
      </c>
      <c r="C107">
        <f t="shared" si="28"/>
        <v>0.32261333258316449</v>
      </c>
      <c r="D107" t="s">
        <v>33</v>
      </c>
      <c r="E107" t="s">
        <v>19</v>
      </c>
      <c r="F107">
        <v>1</v>
      </c>
      <c r="G107">
        <f t="shared" si="33"/>
        <v>70</v>
      </c>
      <c r="I107">
        <v>2100</v>
      </c>
      <c r="J107" t="s">
        <v>28</v>
      </c>
      <c r="K107">
        <f t="shared" si="34"/>
        <v>72.5</v>
      </c>
      <c r="L107" cm="1">
        <f t="array" ref="L107">STOWA2024_NDJF_T(A107*60,K107,I107,J107,"")</f>
        <v>1.080153612630842</v>
      </c>
      <c r="M107">
        <f t="shared" si="35"/>
        <v>0.92579424658348508</v>
      </c>
    </row>
    <row r="108" spans="1:13" x14ac:dyDescent="0.3">
      <c r="A108">
        <v>192</v>
      </c>
      <c r="B108">
        <f t="shared" si="32"/>
        <v>0.24214206679051153</v>
      </c>
      <c r="C108">
        <f t="shared" si="28"/>
        <v>0.24214206679051153</v>
      </c>
      <c r="D108" t="s">
        <v>33</v>
      </c>
      <c r="E108" t="s">
        <v>19</v>
      </c>
      <c r="F108">
        <v>1</v>
      </c>
      <c r="G108">
        <f t="shared" si="33"/>
        <v>75</v>
      </c>
      <c r="I108">
        <v>2100</v>
      </c>
      <c r="J108" t="s">
        <v>28</v>
      </c>
      <c r="K108">
        <f t="shared" si="34"/>
        <v>77.5</v>
      </c>
      <c r="L108" cm="1">
        <f t="array" ref="L108">STOWA2024_NDJF_T(A108*60,K108,I108,J108,"")</f>
        <v>1.462732116648592</v>
      </c>
      <c r="M108">
        <f t="shared" si="35"/>
        <v>0.68365217979297355</v>
      </c>
    </row>
    <row r="109" spans="1:13" x14ac:dyDescent="0.3">
      <c r="A109">
        <v>192</v>
      </c>
      <c r="B109">
        <f t="shared" si="32"/>
        <v>0.18096741467911359</v>
      </c>
      <c r="C109">
        <f t="shared" si="28"/>
        <v>0.18096741467911359</v>
      </c>
      <c r="D109" t="s">
        <v>33</v>
      </c>
      <c r="E109" t="s">
        <v>19</v>
      </c>
      <c r="F109">
        <v>1</v>
      </c>
      <c r="G109">
        <f t="shared" si="33"/>
        <v>80</v>
      </c>
      <c r="I109">
        <v>2100</v>
      </c>
      <c r="J109" t="s">
        <v>28</v>
      </c>
      <c r="K109">
        <f t="shared" si="34"/>
        <v>82.5</v>
      </c>
      <c r="L109" cm="1">
        <f t="array" ref="L109">STOWA2024_NDJF_T(A109*60,K109,I109,J109,"")</f>
        <v>1.9893182952809327</v>
      </c>
      <c r="M109">
        <f t="shared" si="35"/>
        <v>0.50268476511385995</v>
      </c>
    </row>
    <row r="110" spans="1:13" x14ac:dyDescent="0.3">
      <c r="A110">
        <v>192</v>
      </c>
      <c r="B110">
        <f t="shared" si="32"/>
        <v>0.13469616076441043</v>
      </c>
      <c r="C110">
        <f t="shared" si="28"/>
        <v>0.13469616076441043</v>
      </c>
      <c r="D110" t="s">
        <v>33</v>
      </c>
      <c r="E110" t="s">
        <v>19</v>
      </c>
      <c r="F110">
        <v>1</v>
      </c>
      <c r="G110">
        <f t="shared" si="33"/>
        <v>85</v>
      </c>
      <c r="I110">
        <v>2100</v>
      </c>
      <c r="J110" t="s">
        <v>28</v>
      </c>
      <c r="K110">
        <f t="shared" si="34"/>
        <v>87.5</v>
      </c>
      <c r="L110" cm="1">
        <f t="array" ref="L110">STOWA2024_NDJF_T(A110*60,K110,I110,J110,"")</f>
        <v>2.717475454893107</v>
      </c>
      <c r="M110">
        <f t="shared" si="35"/>
        <v>0.36798860434944952</v>
      </c>
    </row>
    <row r="111" spans="1:13" x14ac:dyDescent="0.3">
      <c r="A111">
        <v>192</v>
      </c>
      <c r="B111">
        <f t="shared" si="32"/>
        <v>9.9822270224634413E-2</v>
      </c>
      <c r="C111">
        <f t="shared" si="28"/>
        <v>9.9822270224634413E-2</v>
      </c>
      <c r="D111" t="s">
        <v>33</v>
      </c>
      <c r="E111" t="s">
        <v>19</v>
      </c>
      <c r="F111">
        <v>1</v>
      </c>
      <c r="G111">
        <f t="shared" si="33"/>
        <v>90</v>
      </c>
      <c r="I111">
        <v>2100</v>
      </c>
      <c r="J111" t="s">
        <v>28</v>
      </c>
      <c r="K111">
        <f t="shared" si="34"/>
        <v>92.5</v>
      </c>
      <c r="L111" cm="1">
        <f t="array" ref="L111">STOWA2024_NDJF_T(A111*60,K111,I111,J111,"")</f>
        <v>3.7290288628644968</v>
      </c>
      <c r="M111">
        <f t="shared" si="35"/>
        <v>0.26816633412481511</v>
      </c>
    </row>
    <row r="112" spans="1:13" x14ac:dyDescent="0.3">
      <c r="A112">
        <v>192</v>
      </c>
      <c r="B112">
        <f t="shared" si="32"/>
        <v>7.365542588964219E-2</v>
      </c>
      <c r="C112">
        <f t="shared" si="28"/>
        <v>7.365542588964219E-2</v>
      </c>
      <c r="D112" t="s">
        <v>33</v>
      </c>
      <c r="E112" t="s">
        <v>19</v>
      </c>
      <c r="F112">
        <v>1</v>
      </c>
      <c r="G112">
        <f t="shared" si="33"/>
        <v>95</v>
      </c>
      <c r="I112">
        <v>2100</v>
      </c>
      <c r="J112" t="s">
        <v>28</v>
      </c>
      <c r="K112">
        <f t="shared" si="34"/>
        <v>97.5</v>
      </c>
      <c r="L112" cm="1">
        <f t="array" ref="L112">STOWA2024_NDJF_T(A112*60,K112,I112,J112,"")</f>
        <v>5.1410998440815083</v>
      </c>
      <c r="M112">
        <f t="shared" si="35"/>
        <v>0.19451090823517292</v>
      </c>
    </row>
    <row r="113" spans="1:13" x14ac:dyDescent="0.3">
      <c r="A113">
        <v>192</v>
      </c>
      <c r="B113">
        <f t="shared" si="32"/>
        <v>5.4102594106219065E-2</v>
      </c>
      <c r="C113">
        <f t="shared" si="28"/>
        <v>5.4102594106219065E-2</v>
      </c>
      <c r="D113" t="s">
        <v>33</v>
      </c>
      <c r="E113" t="s">
        <v>19</v>
      </c>
      <c r="F113">
        <v>1</v>
      </c>
      <c r="G113">
        <f t="shared" si="33"/>
        <v>100</v>
      </c>
      <c r="I113">
        <v>2100</v>
      </c>
      <c r="J113" t="s">
        <v>28</v>
      </c>
      <c r="K113">
        <f t="shared" si="34"/>
        <v>102.5</v>
      </c>
      <c r="L113" cm="1">
        <f t="array" ref="L113">STOWA2024_NDJF_T(A113*60,K113,I113,J113,"")</f>
        <v>7.1220853708248333</v>
      </c>
      <c r="M113">
        <f t="shared" si="35"/>
        <v>0.14040831412895385</v>
      </c>
    </row>
    <row r="114" spans="1:13" x14ac:dyDescent="0.3">
      <c r="A114">
        <v>192</v>
      </c>
      <c r="B114">
        <f t="shared" si="32"/>
        <v>3.9555666926452071E-2</v>
      </c>
      <c r="C114">
        <f t="shared" si="28"/>
        <v>3.9555666926452071E-2</v>
      </c>
      <c r="D114" t="s">
        <v>33</v>
      </c>
      <c r="E114" t="s">
        <v>19</v>
      </c>
      <c r="F114">
        <v>1</v>
      </c>
      <c r="G114">
        <f t="shared" si="33"/>
        <v>105</v>
      </c>
      <c r="I114">
        <v>2100</v>
      </c>
      <c r="J114" t="s">
        <v>28</v>
      </c>
      <c r="K114">
        <f t="shared" si="34"/>
        <v>107.5</v>
      </c>
      <c r="L114" cm="1">
        <f t="array" ref="L114">STOWA2024_NDJF_T(A114*60,K114,I114,J114,"")</f>
        <v>9.9154561406018669</v>
      </c>
      <c r="M114">
        <f t="shared" si="35"/>
        <v>0.10085264720250178</v>
      </c>
    </row>
    <row r="115" spans="1:13" x14ac:dyDescent="0.3">
      <c r="A115">
        <v>192</v>
      </c>
      <c r="B115">
        <f t="shared" si="32"/>
        <v>2.8781594749090464E-2</v>
      </c>
      <c r="C115">
        <f t="shared" si="28"/>
        <v>2.8781594749090464E-2</v>
      </c>
      <c r="D115" t="s">
        <v>33</v>
      </c>
      <c r="E115" t="s">
        <v>19</v>
      </c>
      <c r="F115">
        <v>1</v>
      </c>
      <c r="G115">
        <f t="shared" si="33"/>
        <v>110</v>
      </c>
      <c r="I115">
        <v>2100</v>
      </c>
      <c r="J115" t="s">
        <v>28</v>
      </c>
      <c r="K115">
        <f t="shared" si="34"/>
        <v>112.5</v>
      </c>
      <c r="L115" cm="1">
        <f t="array" ref="L115">STOWA2024_NDJF_T(A115*60,K115,I115,J115,"")</f>
        <v>13.875196295300766</v>
      </c>
      <c r="M115">
        <f t="shared" si="35"/>
        <v>7.2071052453411319E-2</v>
      </c>
    </row>
    <row r="116" spans="1:13" x14ac:dyDescent="0.3">
      <c r="A116">
        <v>192</v>
      </c>
      <c r="B116">
        <f t="shared" si="32"/>
        <v>2.0838754525915777E-2</v>
      </c>
      <c r="C116">
        <f t="shared" si="28"/>
        <v>2.0838754525915777E-2</v>
      </c>
      <c r="D116" t="s">
        <v>33</v>
      </c>
      <c r="E116" t="s">
        <v>19</v>
      </c>
      <c r="F116">
        <v>1</v>
      </c>
      <c r="G116">
        <f t="shared" si="33"/>
        <v>115</v>
      </c>
      <c r="I116">
        <v>2100</v>
      </c>
      <c r="J116" t="s">
        <v>28</v>
      </c>
      <c r="K116">
        <f t="shared" si="34"/>
        <v>117.5</v>
      </c>
      <c r="L116" cm="1">
        <f t="array" ref="L116">STOWA2024_NDJF_T(A116*60,K116,I116,J116,"")</f>
        <v>19.518937085648783</v>
      </c>
      <c r="M116">
        <f t="shared" si="35"/>
        <v>5.1232297927495542E-2</v>
      </c>
    </row>
    <row r="117" spans="1:13" x14ac:dyDescent="0.3">
      <c r="A117">
        <v>192</v>
      </c>
      <c r="B117">
        <f t="shared" si="32"/>
        <v>1.5011332515425038E-2</v>
      </c>
      <c r="C117">
        <f t="shared" si="28"/>
        <v>1.5011332515425038E-2</v>
      </c>
      <c r="D117" t="s">
        <v>33</v>
      </c>
      <c r="E117" t="s">
        <v>19</v>
      </c>
      <c r="F117">
        <v>1</v>
      </c>
      <c r="G117">
        <f t="shared" si="33"/>
        <v>120</v>
      </c>
      <c r="I117">
        <v>2100</v>
      </c>
      <c r="J117" t="s">
        <v>28</v>
      </c>
      <c r="K117">
        <f t="shared" si="34"/>
        <v>122.5</v>
      </c>
      <c r="L117" cm="1">
        <f t="array" ref="L117">STOWA2024_NDJF_T(A117*60,K117,I117,J117,"")</f>
        <v>27.60831989494001</v>
      </c>
      <c r="M117">
        <f t="shared" si="35"/>
        <v>3.6220965412070504E-2</v>
      </c>
    </row>
    <row r="118" spans="1:13" x14ac:dyDescent="0.3">
      <c r="A118">
        <v>192</v>
      </c>
      <c r="B118">
        <f t="shared" si="32"/>
        <v>1.0756411086674255E-2</v>
      </c>
      <c r="C118">
        <f t="shared" si="28"/>
        <v>1.0756411086674255E-2</v>
      </c>
      <c r="D118" t="s">
        <v>33</v>
      </c>
      <c r="E118" t="s">
        <v>19</v>
      </c>
      <c r="F118">
        <v>1</v>
      </c>
      <c r="G118">
        <f t="shared" si="33"/>
        <v>125</v>
      </c>
      <c r="I118">
        <v>2100</v>
      </c>
      <c r="J118" t="s">
        <v>28</v>
      </c>
      <c r="K118">
        <f t="shared" si="34"/>
        <v>127.5</v>
      </c>
      <c r="L118" cm="1">
        <f t="array" ref="L118">STOWA2024_NDJF_T(A118*60,K118,I118,J118,"")</f>
        <v>39.270272992866886</v>
      </c>
      <c r="M118">
        <f t="shared" si="35"/>
        <v>2.5464554325396248E-2</v>
      </c>
    </row>
    <row r="119" spans="1:13" x14ac:dyDescent="0.3">
      <c r="A119">
        <v>192</v>
      </c>
      <c r="B119">
        <f t="shared" si="32"/>
        <v>7.6657215758527721E-3</v>
      </c>
      <c r="C119">
        <f t="shared" si="28"/>
        <v>7.6657215758527721E-3</v>
      </c>
      <c r="D119" t="s">
        <v>33</v>
      </c>
      <c r="E119" t="s">
        <v>19</v>
      </c>
      <c r="F119">
        <v>1</v>
      </c>
      <c r="G119">
        <f t="shared" si="33"/>
        <v>130</v>
      </c>
      <c r="I119">
        <v>2100</v>
      </c>
      <c r="J119" t="s">
        <v>28</v>
      </c>
      <c r="K119">
        <f t="shared" si="34"/>
        <v>132.5</v>
      </c>
      <c r="L119" cm="1">
        <f t="array" ref="L119">STOWA2024_NDJF_T(A119*60,K119,I119,J119,"")</f>
        <v>56.183459560046103</v>
      </c>
      <c r="M119">
        <f t="shared" si="35"/>
        <v>1.7798832749543476E-2</v>
      </c>
    </row>
    <row r="120" spans="1:13" x14ac:dyDescent="0.3">
      <c r="A120">
        <v>192</v>
      </c>
      <c r="B120">
        <f t="shared" si="32"/>
        <v>5.4324734885707517E-3</v>
      </c>
      <c r="C120">
        <f t="shared" si="28"/>
        <v>5.4324734885707517E-3</v>
      </c>
      <c r="D120" t="s">
        <v>33</v>
      </c>
      <c r="E120" t="s">
        <v>19</v>
      </c>
      <c r="F120">
        <v>1</v>
      </c>
      <c r="G120">
        <f t="shared" si="33"/>
        <v>135</v>
      </c>
      <c r="I120">
        <v>2100</v>
      </c>
      <c r="J120" t="s">
        <v>28</v>
      </c>
      <c r="K120">
        <f t="shared" si="34"/>
        <v>137.5</v>
      </c>
      <c r="L120" cm="1">
        <f t="array" ref="L120">STOWA2024_NDJF_T(A120*60,K120,I120,J120,"")</f>
        <v>80.864543791471661</v>
      </c>
      <c r="M120">
        <f t="shared" si="35"/>
        <v>1.2366359260972725E-2</v>
      </c>
    </row>
    <row r="121" spans="1:13" x14ac:dyDescent="0.3">
      <c r="A121">
        <v>192</v>
      </c>
      <c r="B121">
        <f t="shared" si="32"/>
        <v>3.8275302726948311E-3</v>
      </c>
      <c r="C121">
        <f t="shared" si="28"/>
        <v>3.8275302726948311E-3</v>
      </c>
      <c r="D121" t="s">
        <v>33</v>
      </c>
      <c r="E121" t="s">
        <v>19</v>
      </c>
      <c r="F121">
        <v>1</v>
      </c>
      <c r="G121">
        <f t="shared" si="33"/>
        <v>140</v>
      </c>
      <c r="I121">
        <v>2100</v>
      </c>
      <c r="J121" t="s">
        <v>28</v>
      </c>
      <c r="K121">
        <f t="shared" si="34"/>
        <v>142.5</v>
      </c>
      <c r="L121" cm="1">
        <f t="array" ref="L121">STOWA2024_NDJF_T(A121*60,K121,I121,J121,"")</f>
        <v>117.11207723831923</v>
      </c>
      <c r="M121">
        <f t="shared" si="35"/>
        <v>8.5388289882778936E-3</v>
      </c>
    </row>
    <row r="122" spans="1:13" x14ac:dyDescent="0.3">
      <c r="A122">
        <v>192</v>
      </c>
      <c r="B122">
        <f t="shared" si="32"/>
        <v>2.6805840232648082E-3</v>
      </c>
      <c r="C122">
        <f t="shared" si="28"/>
        <v>2.6805840232648082E-3</v>
      </c>
      <c r="D122" t="s">
        <v>33</v>
      </c>
      <c r="E122" t="s">
        <v>19</v>
      </c>
      <c r="F122">
        <v>1</v>
      </c>
      <c r="G122">
        <f t="shared" si="33"/>
        <v>145</v>
      </c>
      <c r="I122">
        <v>2100</v>
      </c>
      <c r="J122" t="s">
        <v>28</v>
      </c>
      <c r="K122">
        <f t="shared" si="34"/>
        <v>147.5</v>
      </c>
      <c r="L122" cm="1">
        <f t="array" ref="L122">STOWA2024_NDJF_T(A122*60,K122,I122,J122,"")</f>
        <v>170.69958767041186</v>
      </c>
      <c r="M122">
        <f t="shared" si="35"/>
        <v>5.8582449650130854E-3</v>
      </c>
    </row>
    <row r="123" spans="1:13" x14ac:dyDescent="0.3">
      <c r="A123">
        <v>192</v>
      </c>
      <c r="B123">
        <f t="shared" si="32"/>
        <v>1.8657122570467461E-3</v>
      </c>
      <c r="C123">
        <f t="shared" si="28"/>
        <v>1.8657122570467461E-3</v>
      </c>
      <c r="D123" t="s">
        <v>33</v>
      </c>
      <c r="E123" t="s">
        <v>19</v>
      </c>
      <c r="F123">
        <v>1</v>
      </c>
      <c r="G123">
        <f t="shared" si="33"/>
        <v>150</v>
      </c>
      <c r="I123">
        <v>2100</v>
      </c>
      <c r="J123" t="s">
        <v>28</v>
      </c>
      <c r="K123">
        <f t="shared" si="34"/>
        <v>152.5</v>
      </c>
      <c r="L123" cm="1">
        <f t="array" ref="L123">STOWA2024_NDJF_T(A123*60,K123,I123,J123,"")</f>
        <v>250.46757863866469</v>
      </c>
      <c r="M123">
        <f t="shared" si="35"/>
        <v>3.9925327079663392E-3</v>
      </c>
    </row>
    <row r="124" spans="1:13" x14ac:dyDescent="0.3">
      <c r="A124">
        <v>192</v>
      </c>
      <c r="B124">
        <f t="shared" si="32"/>
        <v>1.2901907711778825E-3</v>
      </c>
      <c r="C124">
        <f t="shared" si="28"/>
        <v>1.2901907711778825E-3</v>
      </c>
      <c r="D124" t="s">
        <v>33</v>
      </c>
      <c r="E124" t="s">
        <v>19</v>
      </c>
      <c r="F124">
        <v>1</v>
      </c>
      <c r="G124">
        <f t="shared" si="33"/>
        <v>155</v>
      </c>
      <c r="I124">
        <v>2100</v>
      </c>
      <c r="J124" t="s">
        <v>28</v>
      </c>
      <c r="K124">
        <f t="shared" si="34"/>
        <v>157.5</v>
      </c>
      <c r="L124" cm="1">
        <f t="array" ref="L124">STOWA2024_NDJF_T(A124*60,K124,I124,J124,"")</f>
        <v>370.04939544713193</v>
      </c>
      <c r="M124">
        <f t="shared" si="35"/>
        <v>2.7023419367884567E-3</v>
      </c>
    </row>
    <row r="125" spans="1:13" x14ac:dyDescent="0.3">
      <c r="A125">
        <v>192</v>
      </c>
      <c r="B125" s="1">
        <f>M124</f>
        <v>2.7023419367884567E-3</v>
      </c>
      <c r="C125">
        <f t="shared" si="28"/>
        <v>2.7023419367884567E-3</v>
      </c>
      <c r="D125" t="s">
        <v>33</v>
      </c>
      <c r="E125" t="s">
        <v>19</v>
      </c>
      <c r="F125">
        <v>1</v>
      </c>
      <c r="G125">
        <f t="shared" si="33"/>
        <v>160</v>
      </c>
      <c r="I125">
        <v>2100</v>
      </c>
      <c r="J125" t="s">
        <v>28</v>
      </c>
      <c r="K125">
        <f>AVERAGE(G125:G126)</f>
        <v>85</v>
      </c>
      <c r="L125" cm="1">
        <f t="array" ref="L125">STOWA2024_NDJF_T(A125*60,K125,I125,J125,"")</f>
        <v>2.3237637573945307</v>
      </c>
      <c r="M125">
        <f>1/L125</f>
        <v>0.43033634413905658</v>
      </c>
    </row>
    <row r="126" spans="1:13" x14ac:dyDescent="0.3">
      <c r="A126">
        <v>216</v>
      </c>
      <c r="B126" s="1">
        <f>365.25*24/A126 - M126</f>
        <v>18.363167410714045</v>
      </c>
      <c r="C126">
        <f>B126</f>
        <v>18.363167410714045</v>
      </c>
      <c r="D126" t="s">
        <v>33</v>
      </c>
      <c r="E126" t="s">
        <v>19</v>
      </c>
      <c r="F126">
        <v>1</v>
      </c>
      <c r="G126">
        <v>10</v>
      </c>
      <c r="I126">
        <v>2100</v>
      </c>
      <c r="J126" t="s">
        <v>28</v>
      </c>
      <c r="K126">
        <f>AVERAGE(G126:G128)</f>
        <v>15</v>
      </c>
      <c r="L126" cm="1">
        <f t="array" ref="L126">STOWA2024_NDJF_T(A126*60,K126,I126,J126,"")</f>
        <v>4.5004164392041635E-2</v>
      </c>
      <c r="M126">
        <f>1/L126</f>
        <v>22.220165922619291</v>
      </c>
    </row>
    <row r="127" spans="1:13" x14ac:dyDescent="0.3">
      <c r="A127">
        <v>216</v>
      </c>
      <c r="B127">
        <f t="shared" ref="B127:B131" si="36">M126-M127</f>
        <v>2.4493246292933719</v>
      </c>
      <c r="C127">
        <f t="shared" ref="C127:C156" si="37">B127</f>
        <v>2.4493246292933719</v>
      </c>
      <c r="D127" t="s">
        <v>33</v>
      </c>
      <c r="E127" t="s">
        <v>19</v>
      </c>
      <c r="F127">
        <v>1</v>
      </c>
      <c r="G127">
        <f t="shared" ref="G127:G131" si="38">G126+5</f>
        <v>15</v>
      </c>
      <c r="I127">
        <v>2100</v>
      </c>
      <c r="J127" t="s">
        <v>28</v>
      </c>
      <c r="K127">
        <f t="shared" ref="K127:K131" si="39">AVERAGE(G127:G128)</f>
        <v>17.5</v>
      </c>
      <c r="L127" cm="1">
        <f t="array" ref="L127">STOWA2024_NDJF_T(A127*60,K127,I127,J127,"")</f>
        <v>5.0579537064898296E-2</v>
      </c>
      <c r="M127">
        <f t="shared" ref="M127:M131" si="40">1/L127</f>
        <v>19.770841293325919</v>
      </c>
    </row>
    <row r="128" spans="1:13" x14ac:dyDescent="0.3">
      <c r="A128">
        <v>216</v>
      </c>
      <c r="B128">
        <f t="shared" si="36"/>
        <v>4.1594500722314312</v>
      </c>
      <c r="C128">
        <f t="shared" si="37"/>
        <v>4.1594500722314312</v>
      </c>
      <c r="D128" t="s">
        <v>33</v>
      </c>
      <c r="E128" t="s">
        <v>19</v>
      </c>
      <c r="F128">
        <v>1</v>
      </c>
      <c r="G128">
        <f t="shared" si="38"/>
        <v>20</v>
      </c>
      <c r="I128">
        <v>2100</v>
      </c>
      <c r="J128" t="s">
        <v>28</v>
      </c>
      <c r="K128">
        <f t="shared" si="39"/>
        <v>22.5</v>
      </c>
      <c r="L128" cm="1">
        <f t="array" ref="L128">STOWA2024_NDJF_T(A128*60,K128,I128,J128,"")</f>
        <v>6.4055790149488784E-2</v>
      </c>
      <c r="M128">
        <f t="shared" si="40"/>
        <v>15.611391221094488</v>
      </c>
    </row>
    <row r="129" spans="1:13" x14ac:dyDescent="0.3">
      <c r="A129">
        <v>216</v>
      </c>
      <c r="B129">
        <f t="shared" si="36"/>
        <v>3.3282909342988312</v>
      </c>
      <c r="C129">
        <f t="shared" si="37"/>
        <v>3.3282909342988312</v>
      </c>
      <c r="D129" t="s">
        <v>33</v>
      </c>
      <c r="E129" t="s">
        <v>19</v>
      </c>
      <c r="F129">
        <v>1</v>
      </c>
      <c r="G129">
        <f t="shared" si="38"/>
        <v>25</v>
      </c>
      <c r="I129">
        <v>2100</v>
      </c>
      <c r="J129" t="s">
        <v>28</v>
      </c>
      <c r="K129">
        <f t="shared" si="39"/>
        <v>27.5</v>
      </c>
      <c r="L129" cm="1">
        <f t="array" ref="L129">STOWA2024_NDJF_T(A129*60,K129,I129,J129,"")</f>
        <v>8.1412670795743713E-2</v>
      </c>
      <c r="M129">
        <f t="shared" si="40"/>
        <v>12.283100286795657</v>
      </c>
    </row>
    <row r="130" spans="1:13" x14ac:dyDescent="0.3">
      <c r="A130">
        <v>216</v>
      </c>
      <c r="B130">
        <f t="shared" si="36"/>
        <v>2.6541943968791646</v>
      </c>
      <c r="C130">
        <f t="shared" si="37"/>
        <v>2.6541943968791646</v>
      </c>
      <c r="D130" t="s">
        <v>33</v>
      </c>
      <c r="E130" t="s">
        <v>19</v>
      </c>
      <c r="F130">
        <v>1</v>
      </c>
      <c r="G130">
        <f t="shared" si="38"/>
        <v>30</v>
      </c>
      <c r="I130">
        <v>2100</v>
      </c>
      <c r="J130" t="s">
        <v>28</v>
      </c>
      <c r="K130">
        <f t="shared" si="39"/>
        <v>32.5</v>
      </c>
      <c r="L130" cm="1">
        <f t="array" ref="L130">STOWA2024_NDJF_T(A130*60,K130,I130,J130,"")</f>
        <v>0.10385395925898623</v>
      </c>
      <c r="M130">
        <f t="shared" si="40"/>
        <v>9.6289058899164921</v>
      </c>
    </row>
    <row r="131" spans="1:13" x14ac:dyDescent="0.3">
      <c r="A131">
        <v>216</v>
      </c>
      <c r="B131">
        <f t="shared" si="36"/>
        <v>2.109229802647441</v>
      </c>
      <c r="C131">
        <f t="shared" si="37"/>
        <v>2.109229802647441</v>
      </c>
      <c r="D131" t="s">
        <v>33</v>
      </c>
      <c r="E131" t="s">
        <v>19</v>
      </c>
      <c r="F131">
        <v>1</v>
      </c>
      <c r="G131">
        <f t="shared" si="38"/>
        <v>35</v>
      </c>
      <c r="I131">
        <v>2100</v>
      </c>
      <c r="J131" t="s">
        <v>28</v>
      </c>
      <c r="K131">
        <f t="shared" si="39"/>
        <v>37.5</v>
      </c>
      <c r="L131" cm="1">
        <f t="array" ref="L131">STOWA2024_NDJF_T(A131*60,K131,I131,J131,"")</f>
        <v>0.13298445151022106</v>
      </c>
      <c r="M131">
        <f t="shared" si="40"/>
        <v>7.5196760872690511</v>
      </c>
    </row>
    <row r="132" spans="1:13" x14ac:dyDescent="0.3">
      <c r="A132">
        <v>216</v>
      </c>
      <c r="B132">
        <f>M131-M132</f>
        <v>1.6701641014455628</v>
      </c>
      <c r="C132">
        <f t="shared" si="37"/>
        <v>1.6701641014455628</v>
      </c>
      <c r="D132" t="s">
        <v>33</v>
      </c>
      <c r="E132" t="s">
        <v>19</v>
      </c>
      <c r="F132">
        <v>1</v>
      </c>
      <c r="G132">
        <f>G131+5</f>
        <v>40</v>
      </c>
      <c r="I132">
        <v>2100</v>
      </c>
      <c r="J132" t="s">
        <v>28</v>
      </c>
      <c r="K132">
        <f>AVERAGE(G132:G133)</f>
        <v>42.5</v>
      </c>
      <c r="L132" cm="1">
        <f t="array" ref="L132">STOWA2024_NDJF_T(A132*60,K132,I132,J132,"")</f>
        <v>0.1709544321686215</v>
      </c>
      <c r="M132">
        <f>1/L132</f>
        <v>5.8495119858234883</v>
      </c>
    </row>
    <row r="133" spans="1:13" x14ac:dyDescent="0.3">
      <c r="A133">
        <v>216</v>
      </c>
      <c r="B133">
        <f t="shared" ref="B133:B155" si="41">M132-M133</f>
        <v>1.3175132673050927</v>
      </c>
      <c r="C133">
        <f t="shared" si="37"/>
        <v>1.3175132673050927</v>
      </c>
      <c r="D133" t="s">
        <v>33</v>
      </c>
      <c r="E133" t="s">
        <v>19</v>
      </c>
      <c r="F133">
        <v>1</v>
      </c>
      <c r="G133">
        <f t="shared" ref="G133:G156" si="42">G132+5</f>
        <v>45</v>
      </c>
      <c r="I133">
        <v>2100</v>
      </c>
      <c r="J133" t="s">
        <v>28</v>
      </c>
      <c r="K133">
        <f t="shared" ref="K133:K155" si="43">AVERAGE(G133:G134)</f>
        <v>47.5</v>
      </c>
      <c r="L133" cm="1">
        <f t="array" ref="L133">STOWA2024_NDJF_T(A133*60,K133,I133,J133,"")</f>
        <v>0.22065319566703689</v>
      </c>
      <c r="M133">
        <f t="shared" ref="M133:M155" si="44">1/L133</f>
        <v>4.5319987185183956</v>
      </c>
    </row>
    <row r="134" spans="1:13" x14ac:dyDescent="0.3">
      <c r="A134">
        <v>216</v>
      </c>
      <c r="B134">
        <f t="shared" si="41"/>
        <v>1.0354012252457299</v>
      </c>
      <c r="C134">
        <f t="shared" si="37"/>
        <v>1.0354012252457299</v>
      </c>
      <c r="D134" t="s">
        <v>33</v>
      </c>
      <c r="E134" t="s">
        <v>19</v>
      </c>
      <c r="F134">
        <v>1</v>
      </c>
      <c r="G134">
        <f t="shared" si="42"/>
        <v>50</v>
      </c>
      <c r="I134">
        <v>2100</v>
      </c>
      <c r="J134" t="s">
        <v>28</v>
      </c>
      <c r="K134">
        <f t="shared" si="43"/>
        <v>52.5</v>
      </c>
      <c r="L134" cm="1">
        <f t="array" ref="L134">STOWA2024_NDJF_T(A134*60,K134,I134,J134,"")</f>
        <v>0.2859923116469556</v>
      </c>
      <c r="M134">
        <f t="shared" si="44"/>
        <v>3.4965974932726658</v>
      </c>
    </row>
    <row r="135" spans="1:13" x14ac:dyDescent="0.3">
      <c r="A135">
        <v>216</v>
      </c>
      <c r="B135">
        <f t="shared" si="41"/>
        <v>0.81041853282538634</v>
      </c>
      <c r="C135">
        <f t="shared" si="37"/>
        <v>0.81041853282538634</v>
      </c>
      <c r="D135" t="s">
        <v>33</v>
      </c>
      <c r="E135" t="s">
        <v>19</v>
      </c>
      <c r="F135">
        <v>1</v>
      </c>
      <c r="G135">
        <f t="shared" si="42"/>
        <v>55</v>
      </c>
      <c r="I135">
        <v>2100</v>
      </c>
      <c r="J135" t="s">
        <v>28</v>
      </c>
      <c r="K135">
        <f t="shared" si="43"/>
        <v>57.5</v>
      </c>
      <c r="L135" cm="1">
        <f t="array" ref="L135">STOWA2024_NDJF_T(A135*60,K135,I135,J135,"")</f>
        <v>0.37227601538264177</v>
      </c>
      <c r="M135">
        <f t="shared" si="44"/>
        <v>2.6861789604472794</v>
      </c>
    </row>
    <row r="136" spans="1:13" x14ac:dyDescent="0.3">
      <c r="A136">
        <v>216</v>
      </c>
      <c r="B136">
        <f t="shared" si="41"/>
        <v>0.63176826927139818</v>
      </c>
      <c r="C136">
        <f t="shared" si="37"/>
        <v>0.63176826927139818</v>
      </c>
      <c r="D136" t="s">
        <v>33</v>
      </c>
      <c r="E136" t="s">
        <v>19</v>
      </c>
      <c r="F136">
        <v>1</v>
      </c>
      <c r="G136">
        <f t="shared" si="42"/>
        <v>60</v>
      </c>
      <c r="I136">
        <v>2100</v>
      </c>
      <c r="J136" t="s">
        <v>28</v>
      </c>
      <c r="K136">
        <f t="shared" si="43"/>
        <v>62.5</v>
      </c>
      <c r="L136" cm="1">
        <f t="array" ref="L136">STOWA2024_NDJF_T(A136*60,K136,I136,J136,"")</f>
        <v>0.48675759150553816</v>
      </c>
      <c r="M136">
        <f t="shared" si="44"/>
        <v>2.0544106911758813</v>
      </c>
    </row>
    <row r="137" spans="1:13" x14ac:dyDescent="0.3">
      <c r="A137">
        <v>216</v>
      </c>
      <c r="B137">
        <f t="shared" si="41"/>
        <v>0.4904083291782062</v>
      </c>
      <c r="C137">
        <f t="shared" si="37"/>
        <v>0.4904083291782062</v>
      </c>
      <c r="D137" t="s">
        <v>33</v>
      </c>
      <c r="E137" t="s">
        <v>19</v>
      </c>
      <c r="F137">
        <v>1</v>
      </c>
      <c r="G137">
        <f t="shared" si="42"/>
        <v>65</v>
      </c>
      <c r="I137">
        <v>2100</v>
      </c>
      <c r="J137" t="s">
        <v>28</v>
      </c>
      <c r="K137">
        <f t="shared" si="43"/>
        <v>67.5</v>
      </c>
      <c r="L137" cm="1">
        <f t="array" ref="L137">STOWA2024_NDJF_T(A137*60,K137,I137,J137,"")</f>
        <v>0.63938522364040173</v>
      </c>
      <c r="M137">
        <f t="shared" si="44"/>
        <v>1.5640023619976751</v>
      </c>
    </row>
    <row r="138" spans="1:13" x14ac:dyDescent="0.3">
      <c r="A138">
        <v>216</v>
      </c>
      <c r="B138">
        <f t="shared" si="41"/>
        <v>0.37899664843579206</v>
      </c>
      <c r="C138">
        <f t="shared" si="37"/>
        <v>0.37899664843579206</v>
      </c>
      <c r="D138" t="s">
        <v>33</v>
      </c>
      <c r="E138" t="s">
        <v>19</v>
      </c>
      <c r="F138">
        <v>1</v>
      </c>
      <c r="G138">
        <f t="shared" si="42"/>
        <v>70</v>
      </c>
      <c r="I138">
        <v>2100</v>
      </c>
      <c r="J138" t="s">
        <v>28</v>
      </c>
      <c r="K138">
        <f t="shared" si="43"/>
        <v>72.5</v>
      </c>
      <c r="L138" cm="1">
        <f t="array" ref="L138">STOWA2024_NDJF_T(A138*60,K138,I138,J138,"")</f>
        <v>0.84387778772323896</v>
      </c>
      <c r="M138">
        <f t="shared" si="44"/>
        <v>1.185005713561883</v>
      </c>
    </row>
    <row r="139" spans="1:13" x14ac:dyDescent="0.3">
      <c r="A139">
        <v>216</v>
      </c>
      <c r="B139">
        <f t="shared" si="41"/>
        <v>0.29152977128410174</v>
      </c>
      <c r="C139">
        <f t="shared" si="37"/>
        <v>0.29152977128410174</v>
      </c>
      <c r="D139" t="s">
        <v>33</v>
      </c>
      <c r="E139" t="s">
        <v>19</v>
      </c>
      <c r="F139">
        <v>1</v>
      </c>
      <c r="G139">
        <f t="shared" si="42"/>
        <v>75</v>
      </c>
      <c r="I139">
        <v>2100</v>
      </c>
      <c r="J139" t="s">
        <v>28</v>
      </c>
      <c r="K139">
        <f t="shared" si="43"/>
        <v>77.5</v>
      </c>
      <c r="L139" cm="1">
        <f t="array" ref="L139">STOWA2024_NDJF_T(A139*60,K139,I139,J139,"")</f>
        <v>1.1192243155989761</v>
      </c>
      <c r="M139">
        <f t="shared" si="44"/>
        <v>0.89347594227778127</v>
      </c>
    </row>
    <row r="140" spans="1:13" x14ac:dyDescent="0.3">
      <c r="A140">
        <v>216</v>
      </c>
      <c r="B140">
        <f t="shared" si="41"/>
        <v>0.22328425298943466</v>
      </c>
      <c r="C140">
        <f t="shared" si="37"/>
        <v>0.22328425298943466</v>
      </c>
      <c r="D140" t="s">
        <v>33</v>
      </c>
      <c r="E140" t="s">
        <v>19</v>
      </c>
      <c r="F140">
        <v>1</v>
      </c>
      <c r="G140">
        <f t="shared" si="42"/>
        <v>80</v>
      </c>
      <c r="I140">
        <v>2100</v>
      </c>
      <c r="J140" t="s">
        <v>28</v>
      </c>
      <c r="K140">
        <f t="shared" si="43"/>
        <v>82.5</v>
      </c>
      <c r="L140" cm="1">
        <f t="array" ref="L140">STOWA2024_NDJF_T(A140*60,K140,I140,J140,"")</f>
        <v>1.4921104155467304</v>
      </c>
      <c r="M140">
        <f t="shared" si="44"/>
        <v>0.6701916892883466</v>
      </c>
    </row>
    <row r="141" spans="1:13" x14ac:dyDescent="0.3">
      <c r="A141">
        <v>216</v>
      </c>
      <c r="B141">
        <f t="shared" si="41"/>
        <v>0.17014175346532345</v>
      </c>
      <c r="C141">
        <f t="shared" si="37"/>
        <v>0.17014175346532345</v>
      </c>
      <c r="D141" t="s">
        <v>33</v>
      </c>
      <c r="E141" t="s">
        <v>19</v>
      </c>
      <c r="F141">
        <v>1</v>
      </c>
      <c r="G141">
        <f t="shared" si="42"/>
        <v>85</v>
      </c>
      <c r="I141">
        <v>2100</v>
      </c>
      <c r="J141" t="s">
        <v>28</v>
      </c>
      <c r="K141">
        <f t="shared" si="43"/>
        <v>87.5</v>
      </c>
      <c r="L141" cm="1">
        <f t="array" ref="L141">STOWA2024_NDJF_T(A141*60,K141,I141,J141,"")</f>
        <v>1.9998002766546068</v>
      </c>
      <c r="M141">
        <f t="shared" si="44"/>
        <v>0.50004993582302315</v>
      </c>
    </row>
    <row r="142" spans="1:13" x14ac:dyDescent="0.3">
      <c r="A142">
        <v>216</v>
      </c>
      <c r="B142">
        <f t="shared" si="41"/>
        <v>0.12899743389693619</v>
      </c>
      <c r="C142">
        <f t="shared" si="37"/>
        <v>0.12899743389693619</v>
      </c>
      <c r="D142" t="s">
        <v>33</v>
      </c>
      <c r="E142" t="s">
        <v>19</v>
      </c>
      <c r="F142">
        <v>1</v>
      </c>
      <c r="G142">
        <f t="shared" si="42"/>
        <v>90</v>
      </c>
      <c r="I142">
        <v>2100</v>
      </c>
      <c r="J142" t="s">
        <v>28</v>
      </c>
      <c r="K142">
        <f t="shared" si="43"/>
        <v>92.5</v>
      </c>
      <c r="L142" cm="1">
        <f t="array" ref="L142">STOWA2024_NDJF_T(A142*60,K142,I142,J142,"")</f>
        <v>2.6950364026899845</v>
      </c>
      <c r="M142">
        <f t="shared" si="44"/>
        <v>0.37105250192608696</v>
      </c>
    </row>
    <row r="143" spans="1:13" x14ac:dyDescent="0.3">
      <c r="A143">
        <v>216</v>
      </c>
      <c r="B143">
        <f t="shared" si="41"/>
        <v>9.7291768028833603E-2</v>
      </c>
      <c r="C143">
        <f t="shared" si="37"/>
        <v>9.7291768028833603E-2</v>
      </c>
      <c r="D143" t="s">
        <v>33</v>
      </c>
      <c r="E143" t="s">
        <v>19</v>
      </c>
      <c r="F143">
        <v>1</v>
      </c>
      <c r="G143">
        <f t="shared" si="42"/>
        <v>95</v>
      </c>
      <c r="I143">
        <v>2100</v>
      </c>
      <c r="J143" t="s">
        <v>28</v>
      </c>
      <c r="K143">
        <f t="shared" si="43"/>
        <v>97.5</v>
      </c>
      <c r="L143" cm="1">
        <f t="array" ref="L143">STOWA2024_NDJF_T(A143*60,K143,I143,J143,"")</f>
        <v>3.6528248071372995</v>
      </c>
      <c r="M143">
        <f t="shared" si="44"/>
        <v>0.27376073389725336</v>
      </c>
    </row>
    <row r="144" spans="1:13" x14ac:dyDescent="0.3">
      <c r="A144">
        <v>216</v>
      </c>
      <c r="B144">
        <f t="shared" si="41"/>
        <v>7.2975864189864764E-2</v>
      </c>
      <c r="C144">
        <f t="shared" si="37"/>
        <v>7.2975864189864764E-2</v>
      </c>
      <c r="D144" t="s">
        <v>33</v>
      </c>
      <c r="E144" t="s">
        <v>19</v>
      </c>
      <c r="F144">
        <v>1</v>
      </c>
      <c r="G144">
        <f t="shared" si="42"/>
        <v>100</v>
      </c>
      <c r="I144">
        <v>2100</v>
      </c>
      <c r="J144" t="s">
        <v>28</v>
      </c>
      <c r="K144">
        <f t="shared" si="43"/>
        <v>102.5</v>
      </c>
      <c r="L144" cm="1">
        <f t="array" ref="L144">STOWA2024_NDJF_T(A144*60,K144,I144,J144,"")</f>
        <v>4.9804549588688527</v>
      </c>
      <c r="M144">
        <f t="shared" si="44"/>
        <v>0.2007848697073886</v>
      </c>
    </row>
    <row r="145" spans="1:13" x14ac:dyDescent="0.3">
      <c r="A145">
        <v>216</v>
      </c>
      <c r="B145">
        <f t="shared" si="41"/>
        <v>5.442941725111447E-2</v>
      </c>
      <c r="C145">
        <f t="shared" si="37"/>
        <v>5.442941725111447E-2</v>
      </c>
      <c r="D145" t="s">
        <v>33</v>
      </c>
      <c r="E145" t="s">
        <v>19</v>
      </c>
      <c r="F145">
        <v>1</v>
      </c>
      <c r="G145">
        <f t="shared" si="42"/>
        <v>105</v>
      </c>
      <c r="I145">
        <v>2100</v>
      </c>
      <c r="J145" t="s">
        <v>28</v>
      </c>
      <c r="K145">
        <f t="shared" si="43"/>
        <v>107.5</v>
      </c>
      <c r="L145" cm="1">
        <f t="array" ref="L145">STOWA2024_NDJF_T(A145*60,K145,I145,J145,"")</f>
        <v>6.8326801852412364</v>
      </c>
      <c r="M145">
        <f t="shared" si="44"/>
        <v>0.14635545245627413</v>
      </c>
    </row>
    <row r="146" spans="1:13" x14ac:dyDescent="0.3">
      <c r="A146">
        <v>216</v>
      </c>
      <c r="B146">
        <f t="shared" si="41"/>
        <v>4.0357851499345967E-2</v>
      </c>
      <c r="C146">
        <f t="shared" si="37"/>
        <v>4.0357851499345967E-2</v>
      </c>
      <c r="D146" t="s">
        <v>33</v>
      </c>
      <c r="E146" t="s">
        <v>19</v>
      </c>
      <c r="F146">
        <v>1</v>
      </c>
      <c r="G146">
        <f t="shared" si="42"/>
        <v>110</v>
      </c>
      <c r="I146">
        <v>2100</v>
      </c>
      <c r="J146" t="s">
        <v>28</v>
      </c>
      <c r="K146">
        <f t="shared" si="43"/>
        <v>112.5</v>
      </c>
      <c r="L146" cm="1">
        <f t="array" ref="L146">STOWA2024_NDJF_T(A146*60,K146,I146,J146,"")</f>
        <v>9.4341757829627415</v>
      </c>
      <c r="M146">
        <f t="shared" si="44"/>
        <v>0.10599760095692816</v>
      </c>
    </row>
    <row r="147" spans="1:13" x14ac:dyDescent="0.3">
      <c r="A147">
        <v>216</v>
      </c>
      <c r="B147">
        <f t="shared" si="41"/>
        <v>2.9741704695082027E-2</v>
      </c>
      <c r="C147">
        <f t="shared" si="37"/>
        <v>2.9741704695082027E-2</v>
      </c>
      <c r="D147" t="s">
        <v>33</v>
      </c>
      <c r="E147" t="s">
        <v>19</v>
      </c>
      <c r="F147">
        <v>1</v>
      </c>
      <c r="G147">
        <f t="shared" si="42"/>
        <v>115</v>
      </c>
      <c r="I147">
        <v>2100</v>
      </c>
      <c r="J147" t="s">
        <v>28</v>
      </c>
      <c r="K147">
        <f t="shared" si="43"/>
        <v>117.5</v>
      </c>
      <c r="L147" cm="1">
        <f t="array" ref="L147">STOWA2024_NDJF_T(A147*60,K147,I147,J147,"")</f>
        <v>13.113740038753434</v>
      </c>
      <c r="M147">
        <f t="shared" si="44"/>
        <v>7.6255896261846132E-2</v>
      </c>
    </row>
    <row r="148" spans="1:13" x14ac:dyDescent="0.3">
      <c r="A148">
        <v>216</v>
      </c>
      <c r="B148">
        <f t="shared" si="41"/>
        <v>2.1777886197344352E-2</v>
      </c>
      <c r="C148">
        <f t="shared" si="37"/>
        <v>2.1777886197344352E-2</v>
      </c>
      <c r="D148" t="s">
        <v>33</v>
      </c>
      <c r="E148" t="s">
        <v>19</v>
      </c>
      <c r="F148">
        <v>1</v>
      </c>
      <c r="G148">
        <f t="shared" si="42"/>
        <v>120</v>
      </c>
      <c r="I148">
        <v>2100</v>
      </c>
      <c r="J148" t="s">
        <v>28</v>
      </c>
      <c r="K148">
        <f t="shared" si="43"/>
        <v>122.5</v>
      </c>
      <c r="L148" cm="1">
        <f t="array" ref="L148">STOWA2024_NDJF_T(A148*60,K148,I148,J148,"")</f>
        <v>18.356030237081043</v>
      </c>
      <c r="M148">
        <f t="shared" si="44"/>
        <v>5.4478010064501779E-2</v>
      </c>
    </row>
    <row r="149" spans="1:13" x14ac:dyDescent="0.3">
      <c r="A149">
        <v>216</v>
      </c>
      <c r="B149">
        <f t="shared" si="41"/>
        <v>1.5840580483868466E-2</v>
      </c>
      <c r="C149">
        <f t="shared" si="37"/>
        <v>1.5840580483868466E-2</v>
      </c>
      <c r="D149" t="s">
        <v>33</v>
      </c>
      <c r="E149" t="s">
        <v>19</v>
      </c>
      <c r="F149">
        <v>1</v>
      </c>
      <c r="G149">
        <f t="shared" si="42"/>
        <v>125</v>
      </c>
      <c r="I149">
        <v>2100</v>
      </c>
      <c r="J149" t="s">
        <v>28</v>
      </c>
      <c r="K149">
        <f t="shared" si="43"/>
        <v>127.5</v>
      </c>
      <c r="L149" cm="1">
        <f t="array" ref="L149">STOWA2024_NDJF_T(A149*60,K149,I149,J149,"")</f>
        <v>25.881638888867535</v>
      </c>
      <c r="M149">
        <f t="shared" si="44"/>
        <v>3.8637429580633313E-2</v>
      </c>
    </row>
    <row r="150" spans="1:13" x14ac:dyDescent="0.3">
      <c r="A150">
        <v>216</v>
      </c>
      <c r="B150">
        <f t="shared" si="41"/>
        <v>1.1442087628389462E-2</v>
      </c>
      <c r="C150">
        <f t="shared" si="37"/>
        <v>1.1442087628389462E-2</v>
      </c>
      <c r="D150" t="s">
        <v>33</v>
      </c>
      <c r="E150" t="s">
        <v>19</v>
      </c>
      <c r="F150">
        <v>1</v>
      </c>
      <c r="G150">
        <f t="shared" si="42"/>
        <v>130</v>
      </c>
      <c r="I150">
        <v>2100</v>
      </c>
      <c r="J150" t="s">
        <v>28</v>
      </c>
      <c r="K150">
        <f t="shared" si="43"/>
        <v>132.5</v>
      </c>
      <c r="L150" cm="1">
        <f t="array" ref="L150">STOWA2024_NDJF_T(A150*60,K150,I150,J150,"")</f>
        <v>36.771002981173815</v>
      </c>
      <c r="M150">
        <f t="shared" si="44"/>
        <v>2.7195341952243851E-2</v>
      </c>
    </row>
    <row r="151" spans="1:13" x14ac:dyDescent="0.3">
      <c r="A151">
        <v>216</v>
      </c>
      <c r="B151">
        <f t="shared" si="41"/>
        <v>8.205209252124375E-3</v>
      </c>
      <c r="C151">
        <f t="shared" si="37"/>
        <v>8.205209252124375E-3</v>
      </c>
      <c r="D151" t="s">
        <v>33</v>
      </c>
      <c r="E151" t="s">
        <v>19</v>
      </c>
      <c r="F151">
        <v>1</v>
      </c>
      <c r="G151">
        <f t="shared" si="42"/>
        <v>135</v>
      </c>
      <c r="I151">
        <v>2100</v>
      </c>
      <c r="J151" t="s">
        <v>28</v>
      </c>
      <c r="K151">
        <f t="shared" si="43"/>
        <v>137.5</v>
      </c>
      <c r="L151" cm="1">
        <f t="array" ref="L151">STOWA2024_NDJF_T(A151*60,K151,I151,J151,"")</f>
        <v>52.658926390425307</v>
      </c>
      <c r="M151">
        <f t="shared" si="44"/>
        <v>1.8990132700119476E-2</v>
      </c>
    </row>
    <row r="152" spans="1:13" x14ac:dyDescent="0.3">
      <c r="A152">
        <v>216</v>
      </c>
      <c r="B152">
        <f t="shared" si="41"/>
        <v>5.8392637066774986E-3</v>
      </c>
      <c r="C152">
        <f t="shared" si="37"/>
        <v>5.8392637066774986E-3</v>
      </c>
      <c r="D152" t="s">
        <v>33</v>
      </c>
      <c r="E152" t="s">
        <v>19</v>
      </c>
      <c r="F152">
        <v>1</v>
      </c>
      <c r="G152">
        <f t="shared" si="42"/>
        <v>140</v>
      </c>
      <c r="I152">
        <v>2100</v>
      </c>
      <c r="J152" t="s">
        <v>28</v>
      </c>
      <c r="K152">
        <f t="shared" si="43"/>
        <v>142.5</v>
      </c>
      <c r="L152" cm="1">
        <f t="array" ref="L152">STOWA2024_NDJF_T(A152*60,K152,I152,J152,"")</f>
        <v>76.040602373780473</v>
      </c>
      <c r="M152">
        <f t="shared" si="44"/>
        <v>1.3150868993441978E-2</v>
      </c>
    </row>
    <row r="153" spans="1:13" x14ac:dyDescent="0.3">
      <c r="A153">
        <v>216</v>
      </c>
      <c r="B153">
        <f t="shared" si="41"/>
        <v>4.1228048156376467E-3</v>
      </c>
      <c r="C153">
        <f t="shared" si="37"/>
        <v>4.1228048156376467E-3</v>
      </c>
      <c r="D153" t="s">
        <v>33</v>
      </c>
      <c r="E153" t="s">
        <v>19</v>
      </c>
      <c r="F153">
        <v>1</v>
      </c>
      <c r="G153">
        <f t="shared" si="42"/>
        <v>145</v>
      </c>
      <c r="I153">
        <v>2100</v>
      </c>
      <c r="J153" t="s">
        <v>28</v>
      </c>
      <c r="K153">
        <f t="shared" si="43"/>
        <v>147.5</v>
      </c>
      <c r="L153" cm="1">
        <f t="array" ref="L153">STOWA2024_NDJF_T(A153*60,K153,I153,J153,"")</f>
        <v>110.76571680322336</v>
      </c>
      <c r="M153">
        <f t="shared" si="44"/>
        <v>9.0280641778043309E-3</v>
      </c>
    </row>
    <row r="154" spans="1:13" x14ac:dyDescent="0.3">
      <c r="A154">
        <v>216</v>
      </c>
      <c r="B154">
        <f t="shared" si="41"/>
        <v>2.8865836765476927E-3</v>
      </c>
      <c r="C154">
        <f t="shared" si="37"/>
        <v>2.8865836765476927E-3</v>
      </c>
      <c r="D154" t="s">
        <v>33</v>
      </c>
      <c r="E154" t="s">
        <v>19</v>
      </c>
      <c r="F154">
        <v>1</v>
      </c>
      <c r="G154">
        <f t="shared" si="42"/>
        <v>150</v>
      </c>
      <c r="I154">
        <v>2100</v>
      </c>
      <c r="J154" t="s">
        <v>28</v>
      </c>
      <c r="K154">
        <f t="shared" si="43"/>
        <v>152.5</v>
      </c>
      <c r="L154" cm="1">
        <f t="array" ref="L154">STOWA2024_NDJF_T(A154*60,K154,I154,J154,"")</f>
        <v>162.82718797126932</v>
      </c>
      <c r="M154">
        <f t="shared" si="44"/>
        <v>6.1414805012566381E-3</v>
      </c>
    </row>
    <row r="155" spans="1:13" x14ac:dyDescent="0.3">
      <c r="A155">
        <v>216</v>
      </c>
      <c r="B155">
        <f t="shared" si="41"/>
        <v>2.0035109923481689E-3</v>
      </c>
      <c r="C155">
        <f t="shared" si="37"/>
        <v>2.0035109923481689E-3</v>
      </c>
      <c r="D155" t="s">
        <v>33</v>
      </c>
      <c r="E155" t="s">
        <v>19</v>
      </c>
      <c r="F155">
        <v>1</v>
      </c>
      <c r="G155">
        <f t="shared" si="42"/>
        <v>155</v>
      </c>
      <c r="I155">
        <v>2100</v>
      </c>
      <c r="J155" t="s">
        <v>28</v>
      </c>
      <c r="K155">
        <f t="shared" si="43"/>
        <v>157.5</v>
      </c>
      <c r="L155" cm="1">
        <f t="array" ref="L155">STOWA2024_NDJF_T(A155*60,K155,I155,J155,"")</f>
        <v>241.66441967422426</v>
      </c>
      <c r="M155">
        <f t="shared" si="44"/>
        <v>4.1379695089084692E-3</v>
      </c>
    </row>
    <row r="156" spans="1:13" x14ac:dyDescent="0.3">
      <c r="A156">
        <v>216</v>
      </c>
      <c r="B156" s="1">
        <f>M155</f>
        <v>4.1379695089084692E-3</v>
      </c>
      <c r="C156">
        <f t="shared" si="37"/>
        <v>4.1379695089084692E-3</v>
      </c>
      <c r="D156" t="s">
        <v>33</v>
      </c>
      <c r="E156" t="s">
        <v>19</v>
      </c>
      <c r="F156">
        <v>1</v>
      </c>
      <c r="G156">
        <f t="shared" si="42"/>
        <v>160</v>
      </c>
      <c r="I156">
        <v>2100</v>
      </c>
      <c r="J156" t="s">
        <v>28</v>
      </c>
      <c r="K156">
        <f>AVERAGE(G156:G157)</f>
        <v>160</v>
      </c>
      <c r="L156" cm="1">
        <f t="array" ref="L156">STOWA2024_NDJF_T(A156*60,K156,I156,J156,"")</f>
        <v>295.51665157137734</v>
      </c>
      <c r="M156">
        <f>1/L156</f>
        <v>3.3839040699825537E-3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56"/>
  <sheetViews>
    <sheetView workbookViewId="0">
      <selection activeCell="B23" sqref="B2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342.28081707398826</v>
      </c>
      <c r="C2">
        <f>B2</f>
        <v>342.28081707398826</v>
      </c>
      <c r="D2" t="s">
        <v>34</v>
      </c>
      <c r="E2" t="s">
        <v>21</v>
      </c>
      <c r="F2">
        <v>1</v>
      </c>
      <c r="G2">
        <v>10</v>
      </c>
      <c r="I2">
        <v>2100</v>
      </c>
      <c r="J2" t="s">
        <v>31</v>
      </c>
      <c r="K2">
        <f>AVERAGE(G2:G4)</f>
        <v>15</v>
      </c>
      <c r="L2" cm="1">
        <f t="array" ref="L2">STOWA2024_JAARROND_T(A2*60,K2,I2,J2,"")</f>
        <v>4.3536594367383372E-2</v>
      </c>
      <c r="M2">
        <f>1/L2</f>
        <v>22.969182926011715</v>
      </c>
    </row>
    <row r="3" spans="1:13" x14ac:dyDescent="0.3">
      <c r="A3">
        <v>24</v>
      </c>
      <c r="B3">
        <f t="shared" ref="B3:B7" si="0">M2-M3</f>
        <v>6.2169810264015446</v>
      </c>
      <c r="C3">
        <f t="shared" ref="C3:C32" si="1">B3</f>
        <v>6.2169810264015446</v>
      </c>
      <c r="D3" t="s">
        <v>34</v>
      </c>
      <c r="E3" t="s">
        <v>21</v>
      </c>
      <c r="F3">
        <v>1</v>
      </c>
      <c r="G3">
        <f t="shared" ref="G3:G7" si="2">G2+5</f>
        <v>15</v>
      </c>
      <c r="I3">
        <v>2100</v>
      </c>
      <c r="J3" t="s">
        <v>31</v>
      </c>
      <c r="K3">
        <f t="shared" ref="K3:K7" si="3">AVERAGE(G3:G4)</f>
        <v>17.5</v>
      </c>
      <c r="L3" cm="1">
        <f t="array" ref="L3">STOWA2024_JAARROND_T(A3*60,K3,I3,J3,"")</f>
        <v>5.9693645408086346E-2</v>
      </c>
      <c r="M3">
        <f t="shared" ref="M3:M7" si="4">1/L3</f>
        <v>16.752201899610171</v>
      </c>
    </row>
    <row r="4" spans="1:13" x14ac:dyDescent="0.3">
      <c r="A4">
        <v>24</v>
      </c>
      <c r="B4">
        <f t="shared" si="0"/>
        <v>7.4925040635683757</v>
      </c>
      <c r="C4">
        <f t="shared" si="1"/>
        <v>7.4925040635683757</v>
      </c>
      <c r="D4" t="s">
        <v>34</v>
      </c>
      <c r="E4" t="s">
        <v>21</v>
      </c>
      <c r="F4">
        <v>1</v>
      </c>
      <c r="G4">
        <f t="shared" si="2"/>
        <v>20</v>
      </c>
      <c r="I4">
        <v>2100</v>
      </c>
      <c r="J4" t="s">
        <v>31</v>
      </c>
      <c r="K4">
        <f t="shared" si="3"/>
        <v>22.5</v>
      </c>
      <c r="L4" cm="1">
        <f t="array" ref="L4">STOWA2024_JAARROND_T(A4*60,K4,I4,J4,"")</f>
        <v>0.10799488468270212</v>
      </c>
      <c r="M4">
        <f t="shared" si="4"/>
        <v>9.259697836041795</v>
      </c>
    </row>
    <row r="5" spans="1:13" x14ac:dyDescent="0.3">
      <c r="A5">
        <v>24</v>
      </c>
      <c r="B5">
        <f t="shared" si="0"/>
        <v>3.9075085484530954</v>
      </c>
      <c r="C5">
        <f t="shared" si="1"/>
        <v>3.9075085484530954</v>
      </c>
      <c r="D5" t="s">
        <v>34</v>
      </c>
      <c r="E5" t="s">
        <v>21</v>
      </c>
      <c r="F5">
        <v>1</v>
      </c>
      <c r="G5">
        <f t="shared" si="2"/>
        <v>25</v>
      </c>
      <c r="I5">
        <v>2100</v>
      </c>
      <c r="J5" t="s">
        <v>31</v>
      </c>
      <c r="K5">
        <f t="shared" si="3"/>
        <v>27.5</v>
      </c>
      <c r="L5" cm="1">
        <f t="array" ref="L5">STOWA2024_JAARROND_T(A5*60,K5,I5,J5,"")</f>
        <v>0.1868394307949684</v>
      </c>
      <c r="M5">
        <f t="shared" si="4"/>
        <v>5.3521892875886996</v>
      </c>
    </row>
    <row r="6" spans="1:13" x14ac:dyDescent="0.3">
      <c r="A6">
        <v>24</v>
      </c>
      <c r="B6">
        <f t="shared" si="0"/>
        <v>2.1372071872045919</v>
      </c>
      <c r="C6">
        <f t="shared" si="1"/>
        <v>2.1372071872045919</v>
      </c>
      <c r="D6" t="s">
        <v>34</v>
      </c>
      <c r="E6" t="s">
        <v>21</v>
      </c>
      <c r="F6">
        <v>1</v>
      </c>
      <c r="G6">
        <f t="shared" si="2"/>
        <v>30</v>
      </c>
      <c r="I6">
        <v>2100</v>
      </c>
      <c r="J6" t="s">
        <v>31</v>
      </c>
      <c r="K6">
        <f t="shared" si="3"/>
        <v>32.5</v>
      </c>
      <c r="L6" cm="1">
        <f t="array" ref="L6">STOWA2024_JAARROND_T(A6*60,K6,I6,J6,"")</f>
        <v>0.31104372241466777</v>
      </c>
      <c r="M6">
        <f t="shared" si="4"/>
        <v>3.2149821003841077</v>
      </c>
    </row>
    <row r="7" spans="1:13" x14ac:dyDescent="0.3">
      <c r="A7">
        <v>24</v>
      </c>
      <c r="B7">
        <f t="shared" si="0"/>
        <v>1.218180887795528</v>
      </c>
      <c r="C7">
        <f t="shared" si="1"/>
        <v>1.218180887795528</v>
      </c>
      <c r="D7" t="s">
        <v>34</v>
      </c>
      <c r="E7" t="s">
        <v>21</v>
      </c>
      <c r="F7">
        <v>1</v>
      </c>
      <c r="G7">
        <f t="shared" si="2"/>
        <v>35</v>
      </c>
      <c r="I7">
        <v>2100</v>
      </c>
      <c r="J7" t="s">
        <v>31</v>
      </c>
      <c r="K7">
        <f t="shared" si="3"/>
        <v>37.5</v>
      </c>
      <c r="L7" cm="1">
        <f t="array" ref="L7">STOWA2024_JAARROND_T(A7*60,K7,I7,J7,"")</f>
        <v>0.5008009779319178</v>
      </c>
      <c r="M7">
        <f t="shared" si="4"/>
        <v>1.9968012125885797</v>
      </c>
    </row>
    <row r="8" spans="1:13" x14ac:dyDescent="0.3">
      <c r="A8">
        <v>24</v>
      </c>
      <c r="B8">
        <f>M7-M8</f>
        <v>0.71972751171748106</v>
      </c>
      <c r="C8">
        <f t="shared" si="1"/>
        <v>0.71972751171748106</v>
      </c>
      <c r="D8" t="s">
        <v>34</v>
      </c>
      <c r="E8" t="s">
        <v>21</v>
      </c>
      <c r="F8">
        <v>1</v>
      </c>
      <c r="G8">
        <f>G7+5</f>
        <v>40</v>
      </c>
      <c r="I8">
        <v>2100</v>
      </c>
      <c r="J8" t="s">
        <v>31</v>
      </c>
      <c r="K8">
        <f>AVERAGE(G8:G9)</f>
        <v>42.5</v>
      </c>
      <c r="L8" cm="1">
        <f t="array" ref="L8">STOWA2024_JAARROND_T(A8*60,K8,I8,J8,"")</f>
        <v>0.78304016386673281</v>
      </c>
      <c r="M8">
        <f>1/L8</f>
        <v>1.2770737008710986</v>
      </c>
    </row>
    <row r="9" spans="1:13" x14ac:dyDescent="0.3">
      <c r="A9">
        <v>24</v>
      </c>
      <c r="B9">
        <f t="shared" ref="B9:B31" si="5">M8-M9</f>
        <v>0.4387798684845432</v>
      </c>
      <c r="C9">
        <f t="shared" si="1"/>
        <v>0.4387798684845432</v>
      </c>
      <c r="D9" t="s">
        <v>34</v>
      </c>
      <c r="E9" t="s">
        <v>21</v>
      </c>
      <c r="F9">
        <v>1</v>
      </c>
      <c r="G9">
        <f t="shared" ref="G9:G32" si="6">G8+5</f>
        <v>45</v>
      </c>
      <c r="I9">
        <v>2100</v>
      </c>
      <c r="J9" t="s">
        <v>31</v>
      </c>
      <c r="K9">
        <f t="shared" ref="K9:K31" si="7">AVERAGE(G9:G10)</f>
        <v>47.5</v>
      </c>
      <c r="L9" cm="1">
        <f t="array" ref="L9">STOWA2024_JAARROND_T(A9*60,K9,I9,J9,"")</f>
        <v>1.1928991498757424</v>
      </c>
      <c r="M9">
        <f t="shared" ref="M9:M31" si="8">1/L9</f>
        <v>0.83829383238655542</v>
      </c>
    </row>
    <row r="10" spans="1:13" x14ac:dyDescent="0.3">
      <c r="A10">
        <v>24</v>
      </c>
      <c r="B10">
        <f t="shared" si="5"/>
        <v>0.27524842595147925</v>
      </c>
      <c r="C10">
        <f t="shared" si="1"/>
        <v>0.27524842595147925</v>
      </c>
      <c r="D10" t="s">
        <v>34</v>
      </c>
      <c r="E10" t="s">
        <v>21</v>
      </c>
      <c r="F10">
        <v>1</v>
      </c>
      <c r="G10">
        <f t="shared" si="6"/>
        <v>50</v>
      </c>
      <c r="I10">
        <v>2100</v>
      </c>
      <c r="J10" t="s">
        <v>31</v>
      </c>
      <c r="K10">
        <f t="shared" si="7"/>
        <v>52.5</v>
      </c>
      <c r="L10" cm="1">
        <f t="array" ref="L10">STOWA2024_JAARROND_T(A10*60,K10,I10,J10,"")</f>
        <v>1.7760556938586947</v>
      </c>
      <c r="M10">
        <f t="shared" si="8"/>
        <v>0.56304540643507617</v>
      </c>
    </row>
    <row r="11" spans="1:13" x14ac:dyDescent="0.3">
      <c r="A11">
        <v>24</v>
      </c>
      <c r="B11">
        <f t="shared" si="5"/>
        <v>0.17698333451789178</v>
      </c>
      <c r="C11">
        <f t="shared" si="1"/>
        <v>0.17698333451789178</v>
      </c>
      <c r="D11" t="s">
        <v>34</v>
      </c>
      <c r="E11" t="s">
        <v>21</v>
      </c>
      <c r="F11">
        <v>1</v>
      </c>
      <c r="G11">
        <f t="shared" si="6"/>
        <v>55</v>
      </c>
      <c r="I11">
        <v>2100</v>
      </c>
      <c r="J11" t="s">
        <v>31</v>
      </c>
      <c r="K11">
        <f t="shared" si="7"/>
        <v>57.5</v>
      </c>
      <c r="L11" cm="1">
        <f t="array" ref="L11">STOWA2024_JAARROND_T(A11*60,K11,I11,J11,"")</f>
        <v>2.5902570408794618</v>
      </c>
      <c r="M11">
        <f t="shared" si="8"/>
        <v>0.38606207191718439</v>
      </c>
    </row>
    <row r="12" spans="1:13" x14ac:dyDescent="0.3">
      <c r="A12">
        <v>24</v>
      </c>
      <c r="B12">
        <f t="shared" si="5"/>
        <v>0.11636924323092129</v>
      </c>
      <c r="C12">
        <f t="shared" si="1"/>
        <v>0.11636924323092129</v>
      </c>
      <c r="D12" t="s">
        <v>34</v>
      </c>
      <c r="E12" t="s">
        <v>21</v>
      </c>
      <c r="F12">
        <v>1</v>
      </c>
      <c r="G12">
        <f t="shared" si="6"/>
        <v>60</v>
      </c>
      <c r="I12">
        <v>2100</v>
      </c>
      <c r="J12" t="s">
        <v>31</v>
      </c>
      <c r="K12">
        <f t="shared" si="7"/>
        <v>62.5</v>
      </c>
      <c r="L12" cm="1">
        <f t="array" ref="L12">STOWA2024_JAARROND_T(A12*60,K12,I12,J12,"")</f>
        <v>3.7079221011223553</v>
      </c>
      <c r="M12">
        <f t="shared" si="8"/>
        <v>0.2696928286862631</v>
      </c>
    </row>
    <row r="13" spans="1:13" x14ac:dyDescent="0.3">
      <c r="A13">
        <v>24</v>
      </c>
      <c r="B13">
        <f t="shared" si="5"/>
        <v>7.8090423802668951E-2</v>
      </c>
      <c r="C13">
        <f t="shared" si="1"/>
        <v>7.8090423802668951E-2</v>
      </c>
      <c r="D13" t="s">
        <v>34</v>
      </c>
      <c r="E13" t="s">
        <v>21</v>
      </c>
      <c r="F13">
        <v>1</v>
      </c>
      <c r="G13">
        <f t="shared" si="6"/>
        <v>65</v>
      </c>
      <c r="I13">
        <v>2100</v>
      </c>
      <c r="J13" t="s">
        <v>31</v>
      </c>
      <c r="K13">
        <f t="shared" si="7"/>
        <v>67.5</v>
      </c>
      <c r="L13" cm="1">
        <f t="array" ref="L13">STOWA2024_JAARROND_T(A13*60,K13,I13,J13,"")</f>
        <v>5.2191411720930043</v>
      </c>
      <c r="M13">
        <f t="shared" si="8"/>
        <v>0.19160240488359415</v>
      </c>
    </row>
    <row r="14" spans="1:13" x14ac:dyDescent="0.3">
      <c r="A14">
        <v>24</v>
      </c>
      <c r="B14">
        <f t="shared" si="5"/>
        <v>5.3370916555523645E-2</v>
      </c>
      <c r="C14">
        <f t="shared" si="1"/>
        <v>5.3370916555523645E-2</v>
      </c>
      <c r="D14" t="s">
        <v>34</v>
      </c>
      <c r="E14" t="s">
        <v>21</v>
      </c>
      <c r="F14">
        <v>1</v>
      </c>
      <c r="G14">
        <f t="shared" si="6"/>
        <v>70</v>
      </c>
      <c r="I14">
        <v>2100</v>
      </c>
      <c r="J14" t="s">
        <v>31</v>
      </c>
      <c r="K14">
        <f t="shared" si="7"/>
        <v>72.5</v>
      </c>
      <c r="L14" cm="1">
        <f t="array" ref="L14">STOWA2024_JAARROND_T(A14*60,K14,I14,J14,"")</f>
        <v>7.2342417208636194</v>
      </c>
      <c r="M14">
        <f t="shared" si="8"/>
        <v>0.1382314883280705</v>
      </c>
    </row>
    <row r="15" spans="1:13" x14ac:dyDescent="0.3">
      <c r="A15">
        <v>24</v>
      </c>
      <c r="B15">
        <f t="shared" si="5"/>
        <v>3.7094941089147959E-2</v>
      </c>
      <c r="C15">
        <f t="shared" si="1"/>
        <v>3.7094941089147959E-2</v>
      </c>
      <c r="D15" t="s">
        <v>34</v>
      </c>
      <c r="E15" t="s">
        <v>21</v>
      </c>
      <c r="F15">
        <v>1</v>
      </c>
      <c r="G15">
        <f t="shared" si="6"/>
        <v>75</v>
      </c>
      <c r="I15">
        <v>2100</v>
      </c>
      <c r="J15" t="s">
        <v>31</v>
      </c>
      <c r="K15">
        <f t="shared" si="7"/>
        <v>77.5</v>
      </c>
      <c r="L15" cm="1">
        <f t="array" ref="L15">STOWA2024_JAARROND_T(A15*60,K15,I15,J15,"")</f>
        <v>9.8876224994869961</v>
      </c>
      <c r="M15">
        <f t="shared" si="8"/>
        <v>0.10113654723892254</v>
      </c>
    </row>
    <row r="16" spans="1:13" x14ac:dyDescent="0.3">
      <c r="A16">
        <v>24</v>
      </c>
      <c r="B16">
        <f t="shared" si="5"/>
        <v>2.6180435576531463E-2</v>
      </c>
      <c r="C16">
        <f t="shared" si="1"/>
        <v>2.6180435576531463E-2</v>
      </c>
      <c r="D16" t="s">
        <v>34</v>
      </c>
      <c r="E16" t="s">
        <v>21</v>
      </c>
      <c r="F16">
        <v>1</v>
      </c>
      <c r="G16">
        <f t="shared" si="6"/>
        <v>80</v>
      </c>
      <c r="I16">
        <v>2100</v>
      </c>
      <c r="J16" t="s">
        <v>31</v>
      </c>
      <c r="K16">
        <f t="shared" si="7"/>
        <v>82.5</v>
      </c>
      <c r="L16" cm="1">
        <f t="array" ref="L16">STOWA2024_JAARROND_T(A16*60,K16,I16,J16,"")</f>
        <v>13.341140272911808</v>
      </c>
      <c r="M16">
        <f t="shared" si="8"/>
        <v>7.4956111662391078E-2</v>
      </c>
    </row>
    <row r="17" spans="1:13" x14ac:dyDescent="0.3">
      <c r="A17">
        <v>24</v>
      </c>
      <c r="B17">
        <f t="shared" si="5"/>
        <v>1.8741313397162992E-2</v>
      </c>
      <c r="C17">
        <f t="shared" si="1"/>
        <v>1.8741313397162992E-2</v>
      </c>
      <c r="D17" t="s">
        <v>34</v>
      </c>
      <c r="E17" t="s">
        <v>21</v>
      </c>
      <c r="F17">
        <v>1</v>
      </c>
      <c r="G17">
        <f t="shared" si="6"/>
        <v>85</v>
      </c>
      <c r="I17">
        <v>2100</v>
      </c>
      <c r="J17" t="s">
        <v>31</v>
      </c>
      <c r="K17">
        <f t="shared" si="7"/>
        <v>87.5</v>
      </c>
      <c r="L17" cm="1">
        <f t="array" ref="L17">STOWA2024_JAARROND_T(A17*60,K17,I17,J17,"")</f>
        <v>17.788910231108211</v>
      </c>
      <c r="M17">
        <f t="shared" si="8"/>
        <v>5.6214798265228086E-2</v>
      </c>
    </row>
    <row r="18" spans="1:13" x14ac:dyDescent="0.3">
      <c r="A18">
        <v>24</v>
      </c>
      <c r="B18">
        <f t="shared" si="5"/>
        <v>1.3590529123056021E-2</v>
      </c>
      <c r="C18">
        <f t="shared" si="1"/>
        <v>1.3590529123056021E-2</v>
      </c>
      <c r="D18" t="s">
        <v>34</v>
      </c>
      <c r="E18" t="s">
        <v>21</v>
      </c>
      <c r="F18">
        <v>1</v>
      </c>
      <c r="G18">
        <f t="shared" si="6"/>
        <v>90</v>
      </c>
      <c r="I18">
        <v>2100</v>
      </c>
      <c r="J18" t="s">
        <v>31</v>
      </c>
      <c r="K18">
        <f t="shared" si="7"/>
        <v>92.5</v>
      </c>
      <c r="L18" cm="1">
        <f t="array" ref="L18">STOWA2024_JAARROND_T(A18*60,K18,I18,J18,"")</f>
        <v>23.460812821553088</v>
      </c>
      <c r="M18">
        <f t="shared" si="8"/>
        <v>4.2624269142172065E-2</v>
      </c>
    </row>
    <row r="19" spans="1:13" x14ac:dyDescent="0.3">
      <c r="A19">
        <v>24</v>
      </c>
      <c r="B19">
        <f t="shared" si="5"/>
        <v>9.975470404608118E-3</v>
      </c>
      <c r="C19">
        <f t="shared" si="1"/>
        <v>9.975470404608118E-3</v>
      </c>
      <c r="D19" t="s">
        <v>34</v>
      </c>
      <c r="E19" t="s">
        <v>21</v>
      </c>
      <c r="F19">
        <v>1</v>
      </c>
      <c r="G19">
        <f t="shared" si="6"/>
        <v>95</v>
      </c>
      <c r="I19">
        <v>2100</v>
      </c>
      <c r="J19" t="s">
        <v>31</v>
      </c>
      <c r="K19">
        <f t="shared" si="7"/>
        <v>97.5</v>
      </c>
      <c r="L19" cm="1">
        <f t="array" ref="L19">STOWA2024_JAARROND_T(A19*60,K19,I19,J19,"")</f>
        <v>30.628998268455554</v>
      </c>
      <c r="M19">
        <f t="shared" si="8"/>
        <v>3.2648798737563947E-2</v>
      </c>
    </row>
    <row r="20" spans="1:13" x14ac:dyDescent="0.3">
      <c r="A20">
        <v>24</v>
      </c>
      <c r="B20">
        <f t="shared" si="5"/>
        <v>7.4036088939283713E-3</v>
      </c>
      <c r="C20">
        <f t="shared" si="1"/>
        <v>7.4036088939283713E-3</v>
      </c>
      <c r="D20" t="s">
        <v>34</v>
      </c>
      <c r="E20" t="s">
        <v>21</v>
      </c>
      <c r="F20">
        <v>1</v>
      </c>
      <c r="G20">
        <f t="shared" si="6"/>
        <v>100</v>
      </c>
      <c r="I20">
        <v>2100</v>
      </c>
      <c r="J20" t="s">
        <v>31</v>
      </c>
      <c r="K20">
        <f t="shared" si="7"/>
        <v>102.5</v>
      </c>
      <c r="L20" cm="1">
        <f t="array" ref="L20">STOWA2024_JAARROND_T(A20*60,K20,I20,J20,"")</f>
        <v>39.611506437219539</v>
      </c>
      <c r="M20">
        <f t="shared" si="8"/>
        <v>2.5245189843635576E-2</v>
      </c>
    </row>
    <row r="21" spans="1:13" x14ac:dyDescent="0.3">
      <c r="A21">
        <v>24</v>
      </c>
      <c r="B21">
        <f t="shared" si="5"/>
        <v>5.5524241741121694E-3</v>
      </c>
      <c r="C21">
        <f t="shared" si="1"/>
        <v>5.5524241741121694E-3</v>
      </c>
      <c r="D21" t="s">
        <v>34</v>
      </c>
      <c r="E21" t="s">
        <v>21</v>
      </c>
      <c r="F21">
        <v>1</v>
      </c>
      <c r="G21">
        <f t="shared" si="6"/>
        <v>105</v>
      </c>
      <c r="I21">
        <v>2100</v>
      </c>
      <c r="J21" t="s">
        <v>31</v>
      </c>
      <c r="K21">
        <f t="shared" si="7"/>
        <v>107.5</v>
      </c>
      <c r="L21" cm="1">
        <f t="array" ref="L21">STOWA2024_JAARROND_T(A21*60,K21,I21,J21,"")</f>
        <v>50.78006902542915</v>
      </c>
      <c r="M21">
        <f t="shared" si="8"/>
        <v>1.9692765669523406E-2</v>
      </c>
    </row>
    <row r="22" spans="1:13" x14ac:dyDescent="0.3">
      <c r="A22">
        <v>24</v>
      </c>
      <c r="B22">
        <f t="shared" si="5"/>
        <v>4.2046291922851163E-3</v>
      </c>
      <c r="C22">
        <f t="shared" si="1"/>
        <v>4.2046291922851163E-3</v>
      </c>
      <c r="D22" t="s">
        <v>34</v>
      </c>
      <c r="E22" t="s">
        <v>21</v>
      </c>
      <c r="F22">
        <v>1</v>
      </c>
      <c r="G22">
        <f t="shared" si="6"/>
        <v>110</v>
      </c>
      <c r="I22">
        <v>2100</v>
      </c>
      <c r="J22" t="s">
        <v>31</v>
      </c>
      <c r="K22">
        <f t="shared" si="7"/>
        <v>112.5</v>
      </c>
      <c r="L22" cm="1">
        <f t="array" ref="L22">STOWA2024_JAARROND_T(A22*60,K22,I22,J22,"")</f>
        <v>64.565546763461327</v>
      </c>
      <c r="M22">
        <f t="shared" si="8"/>
        <v>1.548813647723829E-2</v>
      </c>
    </row>
    <row r="23" spans="1:13" x14ac:dyDescent="0.3">
      <c r="A23">
        <v>24</v>
      </c>
      <c r="B23">
        <f t="shared" si="5"/>
        <v>3.2129537350153951E-3</v>
      </c>
      <c r="C23">
        <f t="shared" si="1"/>
        <v>3.2129537350153951E-3</v>
      </c>
      <c r="D23" t="s">
        <v>34</v>
      </c>
      <c r="E23" t="s">
        <v>21</v>
      </c>
      <c r="F23">
        <v>1</v>
      </c>
      <c r="G23">
        <f t="shared" si="6"/>
        <v>115</v>
      </c>
      <c r="I23">
        <v>2100</v>
      </c>
      <c r="J23" t="s">
        <v>31</v>
      </c>
      <c r="K23">
        <f t="shared" si="7"/>
        <v>117.5</v>
      </c>
      <c r="L23" cm="1">
        <f t="array" ref="L23">STOWA2024_JAARROND_T(A23*60,K23,I23,J23,"")</f>
        <v>81.465182311323488</v>
      </c>
      <c r="M23">
        <f t="shared" si="8"/>
        <v>1.2275182742222895E-2</v>
      </c>
    </row>
    <row r="24" spans="1:13" x14ac:dyDescent="0.3">
      <c r="A24">
        <v>24</v>
      </c>
      <c r="B24">
        <f t="shared" si="5"/>
        <v>2.4761614612867494E-3</v>
      </c>
      <c r="C24">
        <f t="shared" si="1"/>
        <v>2.4761614612867494E-3</v>
      </c>
      <c r="D24" t="s">
        <v>34</v>
      </c>
      <c r="E24" t="s">
        <v>21</v>
      </c>
      <c r="F24">
        <v>1</v>
      </c>
      <c r="G24">
        <f t="shared" si="6"/>
        <v>120</v>
      </c>
      <c r="I24">
        <v>2100</v>
      </c>
      <c r="J24" t="s">
        <v>31</v>
      </c>
      <c r="K24">
        <f t="shared" si="7"/>
        <v>122.5</v>
      </c>
      <c r="L24" cm="1">
        <f t="array" ref="L24">STOWA2024_JAARROND_T(A24*60,K24,I24,J24,"")</f>
        <v>102.05100808847976</v>
      </c>
      <c r="M24">
        <f t="shared" si="8"/>
        <v>9.7990212809361456E-3</v>
      </c>
    </row>
    <row r="25" spans="1:13" x14ac:dyDescent="0.3">
      <c r="A25">
        <v>24</v>
      </c>
      <c r="B25">
        <f t="shared" si="5"/>
        <v>1.9234415473472453E-3</v>
      </c>
      <c r="C25">
        <f t="shared" si="1"/>
        <v>1.9234415473472453E-3</v>
      </c>
      <c r="D25" t="s">
        <v>34</v>
      </c>
      <c r="E25" t="s">
        <v>21</v>
      </c>
      <c r="F25">
        <v>1</v>
      </c>
      <c r="G25">
        <f t="shared" si="6"/>
        <v>125</v>
      </c>
      <c r="I25">
        <v>2100</v>
      </c>
      <c r="J25" t="s">
        <v>31</v>
      </c>
      <c r="K25">
        <f t="shared" si="7"/>
        <v>127.5</v>
      </c>
      <c r="L25" cm="1">
        <f t="array" ref="L25">STOWA2024_JAARROND_T(A25*60,K25,I25,J25,"")</f>
        <v>126.97477948639855</v>
      </c>
      <c r="M25">
        <f t="shared" si="8"/>
        <v>7.8755797335889003E-3</v>
      </c>
    </row>
    <row r="26" spans="1:13" x14ac:dyDescent="0.3">
      <c r="A26">
        <v>24</v>
      </c>
      <c r="B26">
        <f t="shared" si="5"/>
        <v>1.5053464311201772E-3</v>
      </c>
      <c r="C26">
        <f t="shared" si="1"/>
        <v>1.5053464311201772E-3</v>
      </c>
      <c r="D26" t="s">
        <v>34</v>
      </c>
      <c r="E26" t="s">
        <v>21</v>
      </c>
      <c r="F26">
        <v>1</v>
      </c>
      <c r="G26">
        <f t="shared" si="6"/>
        <v>130</v>
      </c>
      <c r="I26">
        <v>2100</v>
      </c>
      <c r="J26" t="s">
        <v>31</v>
      </c>
      <c r="K26">
        <f t="shared" si="7"/>
        <v>132.5</v>
      </c>
      <c r="L26" cm="1">
        <f t="array" ref="L26">STOWA2024_JAARROND_T(A26*60,K26,I26,J26,"")</f>
        <v>156.98012184458921</v>
      </c>
      <c r="M26">
        <f t="shared" si="8"/>
        <v>6.3702333024687231E-3</v>
      </c>
    </row>
    <row r="27" spans="1:13" x14ac:dyDescent="0.3">
      <c r="A27">
        <v>24</v>
      </c>
      <c r="B27">
        <f t="shared" si="5"/>
        <v>1.1865637690087281E-3</v>
      </c>
      <c r="C27">
        <f t="shared" si="1"/>
        <v>1.1865637690087281E-3</v>
      </c>
      <c r="D27" t="s">
        <v>34</v>
      </c>
      <c r="E27" t="s">
        <v>21</v>
      </c>
      <c r="F27">
        <v>1</v>
      </c>
      <c r="G27">
        <f t="shared" si="6"/>
        <v>135</v>
      </c>
      <c r="I27">
        <v>2100</v>
      </c>
      <c r="J27" t="s">
        <v>31</v>
      </c>
      <c r="K27">
        <f t="shared" si="7"/>
        <v>137.5</v>
      </c>
      <c r="L27" cm="1">
        <f t="array" ref="L27">STOWA2024_JAARROND_T(A27*60,K27,I27,J27,"")</f>
        <v>192.91353230469539</v>
      </c>
      <c r="M27">
        <f t="shared" si="8"/>
        <v>5.1836695334599951E-3</v>
      </c>
    </row>
    <row r="28" spans="1:13" x14ac:dyDescent="0.3">
      <c r="A28">
        <v>24</v>
      </c>
      <c r="B28">
        <f t="shared" si="5"/>
        <v>9.415021418424669E-4</v>
      </c>
      <c r="C28">
        <f t="shared" si="1"/>
        <v>9.415021418424669E-4</v>
      </c>
      <c r="D28" t="s">
        <v>34</v>
      </c>
      <c r="E28" t="s">
        <v>21</v>
      </c>
      <c r="F28">
        <v>1</v>
      </c>
      <c r="G28">
        <f t="shared" si="6"/>
        <v>140</v>
      </c>
      <c r="I28">
        <v>2100</v>
      </c>
      <c r="J28" t="s">
        <v>31</v>
      </c>
      <c r="K28">
        <f t="shared" si="7"/>
        <v>142.5</v>
      </c>
      <c r="L28" cm="1">
        <f t="array" ref="L28">STOWA2024_JAARROND_T(A28*60,K28,I28,J28,"")</f>
        <v>235.7285575236819</v>
      </c>
      <c r="M28">
        <f t="shared" si="8"/>
        <v>4.2421673916175281E-3</v>
      </c>
    </row>
    <row r="29" spans="1:13" x14ac:dyDescent="0.3">
      <c r="A29">
        <v>24</v>
      </c>
      <c r="B29">
        <f t="shared" si="5"/>
        <v>7.5177428347181306E-4</v>
      </c>
      <c r="C29">
        <f t="shared" si="1"/>
        <v>7.5177428347181306E-4</v>
      </c>
      <c r="D29" t="s">
        <v>34</v>
      </c>
      <c r="E29" t="s">
        <v>21</v>
      </c>
      <c r="F29">
        <v>1</v>
      </c>
      <c r="G29">
        <f t="shared" si="6"/>
        <v>145</v>
      </c>
      <c r="I29">
        <v>2100</v>
      </c>
      <c r="J29" t="s">
        <v>31</v>
      </c>
      <c r="K29">
        <f t="shared" si="7"/>
        <v>147.5</v>
      </c>
      <c r="L29" cm="1">
        <f t="array" ref="L29">STOWA2024_JAARROND_T(A29*60,K29,I29,J29,"")</f>
        <v>286.50068030052176</v>
      </c>
      <c r="M29">
        <f t="shared" si="8"/>
        <v>3.4903931081457151E-3</v>
      </c>
    </row>
    <row r="30" spans="1:13" x14ac:dyDescent="0.3">
      <c r="A30">
        <v>24</v>
      </c>
      <c r="B30">
        <f t="shared" si="5"/>
        <v>6.0387133755844058E-4</v>
      </c>
      <c r="C30">
        <f t="shared" si="1"/>
        <v>6.0387133755844058E-4</v>
      </c>
      <c r="D30" t="s">
        <v>34</v>
      </c>
      <c r="E30" t="s">
        <v>21</v>
      </c>
      <c r="F30">
        <v>1</v>
      </c>
      <c r="G30">
        <f t="shared" si="6"/>
        <v>150</v>
      </c>
      <c r="I30">
        <v>2100</v>
      </c>
      <c r="J30" t="s">
        <v>31</v>
      </c>
      <c r="K30">
        <f t="shared" si="7"/>
        <v>152.5</v>
      </c>
      <c r="L30" cm="1">
        <f t="array" ref="L30">STOWA2024_JAARROND_T(A30*60,K30,I30,J30,"")</f>
        <v>346.43771274815157</v>
      </c>
      <c r="M30">
        <f t="shared" si="8"/>
        <v>2.8865217705872745E-3</v>
      </c>
    </row>
    <row r="31" spans="1:13" x14ac:dyDescent="0.3">
      <c r="A31">
        <v>24</v>
      </c>
      <c r="B31">
        <f t="shared" si="5"/>
        <v>4.8781853428290188E-4</v>
      </c>
      <c r="C31">
        <f t="shared" si="1"/>
        <v>4.8781853428290188E-4</v>
      </c>
      <c r="D31" t="s">
        <v>34</v>
      </c>
      <c r="E31" t="s">
        <v>21</v>
      </c>
      <c r="F31">
        <v>1</v>
      </c>
      <c r="G31">
        <f t="shared" si="6"/>
        <v>155</v>
      </c>
      <c r="I31">
        <v>2100</v>
      </c>
      <c r="J31" t="s">
        <v>31</v>
      </c>
      <c r="K31">
        <f t="shared" si="7"/>
        <v>157.5</v>
      </c>
      <c r="L31" cm="1">
        <f t="array" ref="L31">STOWA2024_JAARROND_T(A31*60,K31,I31,J31,"")</f>
        <v>416.89192096170979</v>
      </c>
      <c r="M31">
        <f t="shared" si="8"/>
        <v>2.3987032363043726E-3</v>
      </c>
    </row>
    <row r="32" spans="1:13" x14ac:dyDescent="0.3">
      <c r="A32">
        <v>24</v>
      </c>
      <c r="B32" s="1">
        <f>M31</f>
        <v>2.3987032363043726E-3</v>
      </c>
      <c r="C32">
        <f t="shared" si="1"/>
        <v>2.3987032363043726E-3</v>
      </c>
      <c r="D32" t="s">
        <v>34</v>
      </c>
      <c r="E32" t="s">
        <v>21</v>
      </c>
      <c r="F32">
        <v>1</v>
      </c>
      <c r="G32">
        <f t="shared" si="6"/>
        <v>160</v>
      </c>
      <c r="I32">
        <v>2100</v>
      </c>
      <c r="J32" t="s">
        <v>31</v>
      </c>
      <c r="K32">
        <f>AVERAGE(G32:G33)</f>
        <v>85</v>
      </c>
      <c r="L32" cm="1">
        <f t="array" ref="L32">STOWA2024_JAARROND_T(A32*60,K32,I32,J32,"")</f>
        <v>15.427278979877684</v>
      </c>
      <c r="M32">
        <f>1/L32</f>
        <v>6.4820244795231449E-2</v>
      </c>
    </row>
    <row r="33" spans="1:13" x14ac:dyDescent="0.3">
      <c r="A33">
        <v>48</v>
      </c>
      <c r="B33" s="1">
        <f>365.25*24/A33 - M33</f>
        <v>147.99000178179898</v>
      </c>
      <c r="C33">
        <f>B33</f>
        <v>147.99000178179898</v>
      </c>
      <c r="D33" t="s">
        <v>34</v>
      </c>
      <c r="E33" t="s">
        <v>21</v>
      </c>
      <c r="F33">
        <v>1</v>
      </c>
      <c r="G33">
        <v>10</v>
      </c>
      <c r="I33">
        <v>2100</v>
      </c>
      <c r="J33" t="s">
        <v>31</v>
      </c>
      <c r="K33">
        <f>AVERAGE(G33:G35)</f>
        <v>15</v>
      </c>
      <c r="L33" cm="1">
        <f t="array" ref="L33">STOWA2024_JAARROND_T(A33*60,K33,I33,J33,"")</f>
        <v>2.8872529275156433E-2</v>
      </c>
      <c r="M33">
        <f>1/L33</f>
        <v>34.634998218201027</v>
      </c>
    </row>
    <row r="34" spans="1:13" x14ac:dyDescent="0.3">
      <c r="A34">
        <v>48</v>
      </c>
      <c r="B34">
        <f t="shared" ref="B34:B38" si="9">M33-M34</f>
        <v>8.1747516030498701</v>
      </c>
      <c r="C34">
        <f t="shared" ref="C34:C63" si="10">B34</f>
        <v>8.1747516030498701</v>
      </c>
      <c r="D34" t="s">
        <v>34</v>
      </c>
      <c r="E34" t="s">
        <v>21</v>
      </c>
      <c r="F34">
        <v>1</v>
      </c>
      <c r="G34">
        <f t="shared" ref="G34:G38" si="11">G33+5</f>
        <v>15</v>
      </c>
      <c r="I34">
        <v>2100</v>
      </c>
      <c r="J34" t="s">
        <v>31</v>
      </c>
      <c r="K34">
        <f t="shared" ref="K34:K38" si="12">AVERAGE(G34:G35)</f>
        <v>17.5</v>
      </c>
      <c r="L34" cm="1">
        <f t="array" ref="L34">STOWA2024_JAARROND_T(A34*60,K34,I34,J34,"")</f>
        <v>3.7792542697897578E-2</v>
      </c>
      <c r="M34">
        <f t="shared" ref="M34:M38" si="13">1/L34</f>
        <v>26.460246615151156</v>
      </c>
    </row>
    <row r="35" spans="1:13" x14ac:dyDescent="0.3">
      <c r="A35">
        <v>48</v>
      </c>
      <c r="B35">
        <f t="shared" si="9"/>
        <v>10.688553854804262</v>
      </c>
      <c r="C35">
        <f t="shared" si="10"/>
        <v>10.688553854804262</v>
      </c>
      <c r="D35" t="s">
        <v>34</v>
      </c>
      <c r="E35" t="s">
        <v>21</v>
      </c>
      <c r="F35">
        <v>1</v>
      </c>
      <c r="G35">
        <f t="shared" si="11"/>
        <v>20</v>
      </c>
      <c r="I35">
        <v>2100</v>
      </c>
      <c r="J35" t="s">
        <v>31</v>
      </c>
      <c r="K35">
        <f t="shared" si="12"/>
        <v>22.5</v>
      </c>
      <c r="L35" cm="1">
        <f t="array" ref="L35">STOWA2024_JAARROND_T(A35*60,K35,I35,J35,"")</f>
        <v>6.340473500182521E-2</v>
      </c>
      <c r="M35">
        <f t="shared" si="13"/>
        <v>15.771692760346895</v>
      </c>
    </row>
    <row r="36" spans="1:13" x14ac:dyDescent="0.3">
      <c r="A36">
        <v>48</v>
      </c>
      <c r="B36">
        <f t="shared" si="9"/>
        <v>6.1264741064448973</v>
      </c>
      <c r="C36">
        <f t="shared" si="10"/>
        <v>6.1264741064448973</v>
      </c>
      <c r="D36" t="s">
        <v>34</v>
      </c>
      <c r="E36" t="s">
        <v>21</v>
      </c>
      <c r="F36">
        <v>1</v>
      </c>
      <c r="G36">
        <f t="shared" si="11"/>
        <v>25</v>
      </c>
      <c r="I36">
        <v>2100</v>
      </c>
      <c r="J36" t="s">
        <v>31</v>
      </c>
      <c r="K36">
        <f t="shared" si="12"/>
        <v>27.5</v>
      </c>
      <c r="L36" cm="1">
        <f t="array" ref="L36">STOWA2024_JAARROND_T(A36*60,K36,I36,J36,"")</f>
        <v>0.10367831315005467</v>
      </c>
      <c r="M36">
        <f t="shared" si="13"/>
        <v>9.6452186539019973</v>
      </c>
    </row>
    <row r="37" spans="1:13" x14ac:dyDescent="0.3">
      <c r="A37">
        <v>48</v>
      </c>
      <c r="B37">
        <f t="shared" si="9"/>
        <v>3.6077995258427569</v>
      </c>
      <c r="C37">
        <f t="shared" si="10"/>
        <v>3.6077995258427569</v>
      </c>
      <c r="D37" t="s">
        <v>34</v>
      </c>
      <c r="E37" t="s">
        <v>21</v>
      </c>
      <c r="F37">
        <v>1</v>
      </c>
      <c r="G37">
        <f t="shared" si="11"/>
        <v>30</v>
      </c>
      <c r="I37">
        <v>2100</v>
      </c>
      <c r="J37" t="s">
        <v>31</v>
      </c>
      <c r="K37">
        <f t="shared" si="12"/>
        <v>32.5</v>
      </c>
      <c r="L37" cm="1">
        <f t="array" ref="L37">STOWA2024_JAARROND_T(A37*60,K37,I37,J37,"")</f>
        <v>0.16563368863235692</v>
      </c>
      <c r="M37">
        <f t="shared" si="13"/>
        <v>6.0374191280592404</v>
      </c>
    </row>
    <row r="38" spans="1:13" x14ac:dyDescent="0.3">
      <c r="A38">
        <v>48</v>
      </c>
      <c r="B38">
        <f t="shared" si="9"/>
        <v>2.1775519777721564</v>
      </c>
      <c r="C38">
        <f t="shared" si="10"/>
        <v>2.1775519777721564</v>
      </c>
      <c r="D38" t="s">
        <v>34</v>
      </c>
      <c r="E38" t="s">
        <v>21</v>
      </c>
      <c r="F38">
        <v>1</v>
      </c>
      <c r="G38">
        <f t="shared" si="11"/>
        <v>35</v>
      </c>
      <c r="I38">
        <v>2100</v>
      </c>
      <c r="J38" t="s">
        <v>31</v>
      </c>
      <c r="K38">
        <f t="shared" si="12"/>
        <v>37.5</v>
      </c>
      <c r="L38" cm="1">
        <f t="array" ref="L38">STOWA2024_JAARROND_T(A38*60,K38,I38,J38,"")</f>
        <v>0.25907627414731704</v>
      </c>
      <c r="M38">
        <f t="shared" si="13"/>
        <v>3.859867150287084</v>
      </c>
    </row>
    <row r="39" spans="1:13" x14ac:dyDescent="0.3">
      <c r="A39">
        <v>48</v>
      </c>
      <c r="B39">
        <f>M38-M39</f>
        <v>1.3439757954917022</v>
      </c>
      <c r="C39">
        <f t="shared" si="10"/>
        <v>1.3439757954917022</v>
      </c>
      <c r="D39" t="s">
        <v>34</v>
      </c>
      <c r="E39" t="s">
        <v>21</v>
      </c>
      <c r="F39">
        <v>1</v>
      </c>
      <c r="G39">
        <f>G38+5</f>
        <v>40</v>
      </c>
      <c r="I39">
        <v>2100</v>
      </c>
      <c r="J39" t="s">
        <v>31</v>
      </c>
      <c r="K39">
        <f>AVERAGE(G39:G40)</f>
        <v>42.5</v>
      </c>
      <c r="L39" cm="1">
        <f t="array" ref="L39">STOWA2024_JAARROND_T(A39*60,K39,I39,J39,"")</f>
        <v>0.39747344339570267</v>
      </c>
      <c r="M39">
        <f>1/L39</f>
        <v>2.5158913547953818</v>
      </c>
    </row>
    <row r="40" spans="1:13" x14ac:dyDescent="0.3">
      <c r="A40">
        <v>48</v>
      </c>
      <c r="B40">
        <f t="shared" ref="B40:B62" si="14">M39-M40</f>
        <v>0.84671896089956822</v>
      </c>
      <c r="C40">
        <f t="shared" si="10"/>
        <v>0.84671896089956822</v>
      </c>
      <c r="D40" t="s">
        <v>34</v>
      </c>
      <c r="E40" t="s">
        <v>21</v>
      </c>
      <c r="F40">
        <v>1</v>
      </c>
      <c r="G40">
        <f t="shared" ref="G40:G63" si="15">G39+5</f>
        <v>45</v>
      </c>
      <c r="I40">
        <v>2100</v>
      </c>
      <c r="J40" t="s">
        <v>31</v>
      </c>
      <c r="K40">
        <f t="shared" ref="K40:K62" si="16">AVERAGE(G40:G41)</f>
        <v>47.5</v>
      </c>
      <c r="L40" cm="1">
        <f t="array" ref="L40">STOWA2024_JAARROND_T(A40*60,K40,I40,J40,"")</f>
        <v>0.59909929235411141</v>
      </c>
      <c r="M40">
        <f t="shared" ref="M40:M62" si="17">1/L40</f>
        <v>1.6691723938958136</v>
      </c>
    </row>
    <row r="41" spans="1:13" x14ac:dyDescent="0.3">
      <c r="A41">
        <v>48</v>
      </c>
      <c r="B41">
        <f t="shared" si="14"/>
        <v>0.54353156086819232</v>
      </c>
      <c r="C41">
        <f t="shared" si="10"/>
        <v>0.54353156086819232</v>
      </c>
      <c r="D41" t="s">
        <v>34</v>
      </c>
      <c r="E41" t="s">
        <v>21</v>
      </c>
      <c r="F41">
        <v>1</v>
      </c>
      <c r="G41">
        <f t="shared" si="15"/>
        <v>50</v>
      </c>
      <c r="I41">
        <v>2100</v>
      </c>
      <c r="J41" t="s">
        <v>31</v>
      </c>
      <c r="K41">
        <f t="shared" si="16"/>
        <v>52.5</v>
      </c>
      <c r="L41" cm="1">
        <f t="array" ref="L41">STOWA2024_JAARROND_T(A41*60,K41,I41,J41,"")</f>
        <v>0.88838283994221601</v>
      </c>
      <c r="M41">
        <f t="shared" si="17"/>
        <v>1.1256408330276213</v>
      </c>
    </row>
    <row r="42" spans="1:13" x14ac:dyDescent="0.3">
      <c r="A42">
        <v>48</v>
      </c>
      <c r="B42">
        <f t="shared" si="14"/>
        <v>0.35492557236826727</v>
      </c>
      <c r="C42">
        <f t="shared" si="10"/>
        <v>0.35492557236826727</v>
      </c>
      <c r="D42" t="s">
        <v>34</v>
      </c>
      <c r="E42" t="s">
        <v>21</v>
      </c>
      <c r="F42">
        <v>1</v>
      </c>
      <c r="G42">
        <f t="shared" si="15"/>
        <v>55</v>
      </c>
      <c r="I42">
        <v>2100</v>
      </c>
      <c r="J42" t="s">
        <v>31</v>
      </c>
      <c r="K42">
        <f t="shared" si="16"/>
        <v>57.5</v>
      </c>
      <c r="L42" cm="1">
        <f t="array" ref="L42">STOWA2024_JAARROND_T(A42*60,K42,I42,J42,"")</f>
        <v>1.2974960417216739</v>
      </c>
      <c r="M42">
        <f t="shared" si="17"/>
        <v>0.77071526065935403</v>
      </c>
    </row>
    <row r="43" spans="1:13" x14ac:dyDescent="0.3">
      <c r="A43">
        <v>48</v>
      </c>
      <c r="B43">
        <f t="shared" si="14"/>
        <v>0.23567130659824798</v>
      </c>
      <c r="C43">
        <f t="shared" si="10"/>
        <v>0.23567130659824798</v>
      </c>
      <c r="D43" t="s">
        <v>34</v>
      </c>
      <c r="E43" t="s">
        <v>21</v>
      </c>
      <c r="F43">
        <v>1</v>
      </c>
      <c r="G43">
        <f t="shared" si="15"/>
        <v>60</v>
      </c>
      <c r="I43">
        <v>2100</v>
      </c>
      <c r="J43" t="s">
        <v>31</v>
      </c>
      <c r="K43">
        <f t="shared" si="16"/>
        <v>62.5</v>
      </c>
      <c r="L43" cm="1">
        <f t="array" ref="L43">STOWA2024_JAARROND_T(A43*60,K43,I43,J43,"")</f>
        <v>1.8690053264031321</v>
      </c>
      <c r="M43">
        <f t="shared" si="17"/>
        <v>0.53504395406110605</v>
      </c>
    </row>
    <row r="44" spans="1:13" x14ac:dyDescent="0.3">
      <c r="A44">
        <v>48</v>
      </c>
      <c r="B44">
        <f t="shared" si="14"/>
        <v>0.15875234939541943</v>
      </c>
      <c r="C44">
        <f t="shared" si="10"/>
        <v>0.15875234939541943</v>
      </c>
      <c r="D44" t="s">
        <v>34</v>
      </c>
      <c r="E44" t="s">
        <v>21</v>
      </c>
      <c r="F44">
        <v>1</v>
      </c>
      <c r="G44">
        <f t="shared" si="15"/>
        <v>65</v>
      </c>
      <c r="I44">
        <v>2100</v>
      </c>
      <c r="J44" t="s">
        <v>31</v>
      </c>
      <c r="K44">
        <f t="shared" si="16"/>
        <v>67.5</v>
      </c>
      <c r="L44" cm="1">
        <f t="array" ref="L44">STOWA2024_JAARROND_T(A44*60,K44,I44,J44,"")</f>
        <v>2.6575134486150502</v>
      </c>
      <c r="M44">
        <f t="shared" si="17"/>
        <v>0.37629160466568662</v>
      </c>
    </row>
    <row r="45" spans="1:13" x14ac:dyDescent="0.3">
      <c r="A45">
        <v>48</v>
      </c>
      <c r="B45">
        <f t="shared" si="14"/>
        <v>0.10843643883452669</v>
      </c>
      <c r="C45">
        <f t="shared" si="10"/>
        <v>0.10843643883452669</v>
      </c>
      <c r="D45" t="s">
        <v>34</v>
      </c>
      <c r="E45" t="s">
        <v>21</v>
      </c>
      <c r="F45">
        <v>1</v>
      </c>
      <c r="G45">
        <f t="shared" si="15"/>
        <v>70</v>
      </c>
      <c r="I45">
        <v>2100</v>
      </c>
      <c r="J45" t="s">
        <v>31</v>
      </c>
      <c r="K45">
        <f t="shared" si="16"/>
        <v>72.5</v>
      </c>
      <c r="L45" cm="1">
        <f t="array" ref="L45">STOWA2024_JAARROND_T(A45*60,K45,I45,J45,"")</f>
        <v>3.733360888885529</v>
      </c>
      <c r="M45">
        <f t="shared" si="17"/>
        <v>0.26785516583115992</v>
      </c>
    </row>
    <row r="46" spans="1:13" x14ac:dyDescent="0.3">
      <c r="A46">
        <v>48</v>
      </c>
      <c r="B46">
        <f t="shared" si="14"/>
        <v>7.5027272029467185E-2</v>
      </c>
      <c r="C46">
        <f t="shared" si="10"/>
        <v>7.5027272029467185E-2</v>
      </c>
      <c r="D46" t="s">
        <v>34</v>
      </c>
      <c r="E46" t="s">
        <v>21</v>
      </c>
      <c r="F46">
        <v>1</v>
      </c>
      <c r="G46">
        <f t="shared" si="15"/>
        <v>75</v>
      </c>
      <c r="I46">
        <v>2100</v>
      </c>
      <c r="J46" t="s">
        <v>31</v>
      </c>
      <c r="K46">
        <f t="shared" si="16"/>
        <v>77.5</v>
      </c>
      <c r="L46" cm="1">
        <f t="array" ref="L46">STOWA2024_JAARROND_T(A46*60,K46,I46,J46,"")</f>
        <v>5.1859716988270161</v>
      </c>
      <c r="M46">
        <f t="shared" si="17"/>
        <v>0.19282789380169274</v>
      </c>
    </row>
    <row r="47" spans="1:13" x14ac:dyDescent="0.3">
      <c r="A47">
        <v>48</v>
      </c>
      <c r="B47">
        <f t="shared" si="14"/>
        <v>5.2538289552733319E-2</v>
      </c>
      <c r="C47">
        <f t="shared" si="10"/>
        <v>5.2538289552733319E-2</v>
      </c>
      <c r="D47" t="s">
        <v>34</v>
      </c>
      <c r="E47" t="s">
        <v>21</v>
      </c>
      <c r="F47">
        <v>1</v>
      </c>
      <c r="G47">
        <f t="shared" si="15"/>
        <v>80</v>
      </c>
      <c r="I47">
        <v>2100</v>
      </c>
      <c r="J47" t="s">
        <v>31</v>
      </c>
      <c r="K47">
        <f t="shared" si="16"/>
        <v>82.5</v>
      </c>
      <c r="L47" cm="1">
        <f t="array" ref="L47">STOWA2024_JAARROND_T(A47*60,K47,I47,J47,"")</f>
        <v>7.1281119178680514</v>
      </c>
      <c r="M47">
        <f t="shared" si="17"/>
        <v>0.14028960424895942</v>
      </c>
    </row>
    <row r="48" spans="1:13" x14ac:dyDescent="0.3">
      <c r="A48">
        <v>48</v>
      </c>
      <c r="B48">
        <f t="shared" si="14"/>
        <v>3.7210168490099824E-2</v>
      </c>
      <c r="C48">
        <f t="shared" si="10"/>
        <v>3.7210168490099824E-2</v>
      </c>
      <c r="D48" t="s">
        <v>34</v>
      </c>
      <c r="E48" t="s">
        <v>21</v>
      </c>
      <c r="F48">
        <v>1</v>
      </c>
      <c r="G48">
        <f t="shared" si="15"/>
        <v>85</v>
      </c>
      <c r="I48">
        <v>2100</v>
      </c>
      <c r="J48" t="s">
        <v>31</v>
      </c>
      <c r="K48">
        <f t="shared" si="16"/>
        <v>87.5</v>
      </c>
      <c r="L48" cm="1">
        <f t="array" ref="L48">STOWA2024_JAARROND_T(A48*60,K48,I48,J48,"")</f>
        <v>9.7012560520739051</v>
      </c>
      <c r="M48">
        <f t="shared" si="17"/>
        <v>0.1030794357588596</v>
      </c>
    </row>
    <row r="49" spans="1:13" x14ac:dyDescent="0.3">
      <c r="A49">
        <v>48</v>
      </c>
      <c r="B49">
        <f t="shared" si="14"/>
        <v>2.6632486573959335E-2</v>
      </c>
      <c r="C49">
        <f t="shared" si="10"/>
        <v>2.6632486573959335E-2</v>
      </c>
      <c r="D49" t="s">
        <v>34</v>
      </c>
      <c r="E49" t="s">
        <v>21</v>
      </c>
      <c r="F49">
        <v>1</v>
      </c>
      <c r="G49">
        <f t="shared" si="15"/>
        <v>90</v>
      </c>
      <c r="I49">
        <v>2100</v>
      </c>
      <c r="J49" t="s">
        <v>31</v>
      </c>
      <c r="K49">
        <f t="shared" si="16"/>
        <v>92.5</v>
      </c>
      <c r="L49" cm="1">
        <f t="array" ref="L49">STOWA2024_JAARROND_T(A49*60,K49,I49,J49,"")</f>
        <v>13.080966744419399</v>
      </c>
      <c r="M49">
        <f t="shared" si="17"/>
        <v>7.6446949184900262E-2</v>
      </c>
    </row>
    <row r="50" spans="1:13" x14ac:dyDescent="0.3">
      <c r="A50">
        <v>48</v>
      </c>
      <c r="B50">
        <f t="shared" si="14"/>
        <v>1.9253174192721233E-2</v>
      </c>
      <c r="C50">
        <f t="shared" si="10"/>
        <v>1.9253174192721233E-2</v>
      </c>
      <c r="D50" t="s">
        <v>34</v>
      </c>
      <c r="E50" t="s">
        <v>21</v>
      </c>
      <c r="F50">
        <v>1</v>
      </c>
      <c r="G50">
        <f t="shared" si="15"/>
        <v>95</v>
      </c>
      <c r="I50">
        <v>2100</v>
      </c>
      <c r="J50" t="s">
        <v>31</v>
      </c>
      <c r="K50">
        <f t="shared" si="16"/>
        <v>97.5</v>
      </c>
      <c r="L50" cm="1">
        <f t="array" ref="L50">STOWA2024_JAARROND_T(A50*60,K50,I50,J50,"")</f>
        <v>17.484420291137369</v>
      </c>
      <c r="M50">
        <f t="shared" si="17"/>
        <v>5.7193774992179029E-2</v>
      </c>
    </row>
    <row r="51" spans="1:13" x14ac:dyDescent="0.3">
      <c r="A51">
        <v>48</v>
      </c>
      <c r="B51">
        <f t="shared" si="14"/>
        <v>1.4049646244274426E-2</v>
      </c>
      <c r="C51">
        <f t="shared" si="10"/>
        <v>1.4049646244274426E-2</v>
      </c>
      <c r="D51" t="s">
        <v>34</v>
      </c>
      <c r="E51" t="s">
        <v>21</v>
      </c>
      <c r="F51">
        <v>1</v>
      </c>
      <c r="G51">
        <f t="shared" si="15"/>
        <v>100</v>
      </c>
      <c r="I51">
        <v>2100</v>
      </c>
      <c r="J51" t="s">
        <v>31</v>
      </c>
      <c r="K51">
        <f t="shared" si="16"/>
        <v>102.5</v>
      </c>
      <c r="L51" cm="1">
        <f t="array" ref="L51">STOWA2024_JAARROND_T(A51*60,K51,I51,J51,"")</f>
        <v>23.178124788267219</v>
      </c>
      <c r="M51">
        <f t="shared" si="17"/>
        <v>4.3144128747904603E-2</v>
      </c>
    </row>
    <row r="52" spans="1:13" x14ac:dyDescent="0.3">
      <c r="A52">
        <v>48</v>
      </c>
      <c r="B52">
        <f t="shared" si="14"/>
        <v>1.0343317678262152E-2</v>
      </c>
      <c r="C52">
        <f t="shared" si="10"/>
        <v>1.0343317678262152E-2</v>
      </c>
      <c r="D52" t="s">
        <v>34</v>
      </c>
      <c r="E52" t="s">
        <v>21</v>
      </c>
      <c r="F52">
        <v>1</v>
      </c>
      <c r="G52">
        <f t="shared" si="15"/>
        <v>105</v>
      </c>
      <c r="I52">
        <v>2100</v>
      </c>
      <c r="J52" t="s">
        <v>31</v>
      </c>
      <c r="K52">
        <f t="shared" si="16"/>
        <v>107.5</v>
      </c>
      <c r="L52" cm="1">
        <f t="array" ref="L52">STOWA2024_JAARROND_T(A52*60,K52,I52,J52,"")</f>
        <v>30.487051002391592</v>
      </c>
      <c r="M52">
        <f t="shared" si="17"/>
        <v>3.2800811069642451E-2</v>
      </c>
    </row>
    <row r="53" spans="1:13" x14ac:dyDescent="0.3">
      <c r="A53">
        <v>48</v>
      </c>
      <c r="B53">
        <f t="shared" si="14"/>
        <v>7.6792152111683845E-3</v>
      </c>
      <c r="C53">
        <f t="shared" si="10"/>
        <v>7.6792152111683845E-3</v>
      </c>
      <c r="D53" t="s">
        <v>34</v>
      </c>
      <c r="E53" t="s">
        <v>21</v>
      </c>
      <c r="F53">
        <v>1</v>
      </c>
      <c r="G53">
        <f t="shared" si="15"/>
        <v>110</v>
      </c>
      <c r="I53">
        <v>2100</v>
      </c>
      <c r="J53" t="s">
        <v>31</v>
      </c>
      <c r="K53">
        <f t="shared" si="16"/>
        <v>112.5</v>
      </c>
      <c r="L53" cm="1">
        <f t="array" ref="L53">STOWA2024_JAARROND_T(A53*60,K53,I53,J53,"")</f>
        <v>39.806388321571461</v>
      </c>
      <c r="M53">
        <f t="shared" si="17"/>
        <v>2.5121595858474066E-2</v>
      </c>
    </row>
    <row r="54" spans="1:13" x14ac:dyDescent="0.3">
      <c r="A54">
        <v>48</v>
      </c>
      <c r="B54">
        <f t="shared" si="14"/>
        <v>5.7464089005684511E-3</v>
      </c>
      <c r="C54">
        <f t="shared" si="10"/>
        <v>5.7464089005684511E-3</v>
      </c>
      <c r="D54" t="s">
        <v>34</v>
      </c>
      <c r="E54" t="s">
        <v>21</v>
      </c>
      <c r="F54">
        <v>1</v>
      </c>
      <c r="G54">
        <f t="shared" si="15"/>
        <v>115</v>
      </c>
      <c r="I54">
        <v>2100</v>
      </c>
      <c r="J54" t="s">
        <v>31</v>
      </c>
      <c r="K54">
        <f t="shared" si="16"/>
        <v>117.5</v>
      </c>
      <c r="L54" cm="1">
        <f t="array" ref="L54">STOWA2024_JAARROND_T(A54*60,K54,I54,J54,"")</f>
        <v>51.612405194984312</v>
      </c>
      <c r="M54">
        <f t="shared" si="17"/>
        <v>1.9375186957905615E-2</v>
      </c>
    </row>
    <row r="55" spans="1:13" x14ac:dyDescent="0.3">
      <c r="A55">
        <v>48</v>
      </c>
      <c r="B55">
        <f t="shared" si="14"/>
        <v>4.3323799867241598E-3</v>
      </c>
      <c r="C55">
        <f t="shared" si="10"/>
        <v>4.3323799867241598E-3</v>
      </c>
      <c r="D55" t="s">
        <v>34</v>
      </c>
      <c r="E55" t="s">
        <v>21</v>
      </c>
      <c r="F55">
        <v>1</v>
      </c>
      <c r="G55">
        <f t="shared" si="15"/>
        <v>120</v>
      </c>
      <c r="I55">
        <v>2100</v>
      </c>
      <c r="J55" t="s">
        <v>31</v>
      </c>
      <c r="K55">
        <f t="shared" si="16"/>
        <v>122.5</v>
      </c>
      <c r="L55" cm="1">
        <f t="array" ref="L55">STOWA2024_JAARROND_T(A55*60,K55,I55,J55,"")</f>
        <v>66.476954860603414</v>
      </c>
      <c r="M55">
        <f t="shared" si="17"/>
        <v>1.5042806971181455E-2</v>
      </c>
    </row>
    <row r="56" spans="1:13" x14ac:dyDescent="0.3">
      <c r="A56">
        <v>48</v>
      </c>
      <c r="B56">
        <f t="shared" si="14"/>
        <v>3.2898882453262814E-3</v>
      </c>
      <c r="C56">
        <f t="shared" si="10"/>
        <v>3.2898882453262814E-3</v>
      </c>
      <c r="D56" t="s">
        <v>34</v>
      </c>
      <c r="E56" t="s">
        <v>21</v>
      </c>
      <c r="F56">
        <v>1</v>
      </c>
      <c r="G56">
        <f t="shared" si="15"/>
        <v>125</v>
      </c>
      <c r="I56">
        <v>2100</v>
      </c>
      <c r="J56" t="s">
        <v>31</v>
      </c>
      <c r="K56">
        <f t="shared" si="16"/>
        <v>127.5</v>
      </c>
      <c r="L56" cm="1">
        <f t="array" ref="L56">STOWA2024_JAARROND_T(A56*60,K56,I56,J56,"")</f>
        <v>85.085247615990582</v>
      </c>
      <c r="M56">
        <f t="shared" si="17"/>
        <v>1.1752918725855174E-2</v>
      </c>
    </row>
    <row r="57" spans="1:13" x14ac:dyDescent="0.3">
      <c r="A57">
        <v>48</v>
      </c>
      <c r="B57">
        <f t="shared" si="14"/>
        <v>2.5150843751460834E-3</v>
      </c>
      <c r="C57">
        <f t="shared" si="10"/>
        <v>2.5150843751460834E-3</v>
      </c>
      <c r="D57" t="s">
        <v>34</v>
      </c>
      <c r="E57" t="s">
        <v>21</v>
      </c>
      <c r="F57">
        <v>1</v>
      </c>
      <c r="G57">
        <f t="shared" si="15"/>
        <v>130</v>
      </c>
      <c r="I57">
        <v>2100</v>
      </c>
      <c r="J57" t="s">
        <v>31</v>
      </c>
      <c r="K57">
        <f t="shared" si="16"/>
        <v>132.5</v>
      </c>
      <c r="L57" cm="1">
        <f t="array" ref="L57">STOWA2024_JAARROND_T(A57*60,K57,I57,J57,"")</f>
        <v>108.25047971586984</v>
      </c>
      <c r="M57">
        <f t="shared" si="17"/>
        <v>9.2378343507090906E-3</v>
      </c>
    </row>
    <row r="58" spans="1:13" x14ac:dyDescent="0.3">
      <c r="A58">
        <v>48</v>
      </c>
      <c r="B58">
        <f t="shared" si="14"/>
        <v>1.9352712242259613E-3</v>
      </c>
      <c r="C58">
        <f t="shared" si="10"/>
        <v>1.9352712242259613E-3</v>
      </c>
      <c r="D58" t="s">
        <v>34</v>
      </c>
      <c r="E58" t="s">
        <v>21</v>
      </c>
      <c r="F58">
        <v>1</v>
      </c>
      <c r="G58">
        <f t="shared" si="15"/>
        <v>135</v>
      </c>
      <c r="I58">
        <v>2100</v>
      </c>
      <c r="J58" t="s">
        <v>31</v>
      </c>
      <c r="K58">
        <f t="shared" si="16"/>
        <v>137.5</v>
      </c>
      <c r="L58" cm="1">
        <f t="array" ref="L58">STOWA2024_JAARROND_T(A58*60,K58,I58,J58,"")</f>
        <v>136.9382205507334</v>
      </c>
      <c r="M58">
        <f t="shared" si="17"/>
        <v>7.3025631264831293E-3</v>
      </c>
    </row>
    <row r="59" spans="1:13" x14ac:dyDescent="0.3">
      <c r="A59">
        <v>48</v>
      </c>
      <c r="B59">
        <f t="shared" si="14"/>
        <v>1.4983539970342841E-3</v>
      </c>
      <c r="C59">
        <f t="shared" si="10"/>
        <v>1.4983539970342841E-3</v>
      </c>
      <c r="D59" t="s">
        <v>34</v>
      </c>
      <c r="E59" t="s">
        <v>21</v>
      </c>
      <c r="F59">
        <v>1</v>
      </c>
      <c r="G59">
        <f t="shared" si="15"/>
        <v>140</v>
      </c>
      <c r="I59">
        <v>2100</v>
      </c>
      <c r="J59" t="s">
        <v>31</v>
      </c>
      <c r="K59">
        <f t="shared" si="16"/>
        <v>142.5</v>
      </c>
      <c r="L59" cm="1">
        <f t="array" ref="L59">STOWA2024_JAARROND_T(A59*60,K59,I59,J59,"")</f>
        <v>172.28876108655268</v>
      </c>
      <c r="M59">
        <f t="shared" si="17"/>
        <v>5.8042091294488452E-3</v>
      </c>
    </row>
    <row r="60" spans="1:13" x14ac:dyDescent="0.3">
      <c r="A60">
        <v>48</v>
      </c>
      <c r="B60">
        <f t="shared" si="14"/>
        <v>1.1668315629262483E-3</v>
      </c>
      <c r="C60">
        <f t="shared" si="10"/>
        <v>1.1668315629262483E-3</v>
      </c>
      <c r="D60" t="s">
        <v>34</v>
      </c>
      <c r="E60" t="s">
        <v>21</v>
      </c>
      <c r="F60">
        <v>1</v>
      </c>
      <c r="G60">
        <f t="shared" si="15"/>
        <v>145</v>
      </c>
      <c r="I60">
        <v>2100</v>
      </c>
      <c r="J60" t="s">
        <v>31</v>
      </c>
      <c r="K60">
        <f t="shared" si="16"/>
        <v>147.5</v>
      </c>
      <c r="L60" cm="1">
        <f t="array" ref="L60">STOWA2024_JAARROND_T(A60*60,K60,I60,J60,"")</f>
        <v>215.63911621495683</v>
      </c>
      <c r="M60">
        <f t="shared" si="17"/>
        <v>4.6373775665225969E-3</v>
      </c>
    </row>
    <row r="61" spans="1:13" x14ac:dyDescent="0.3">
      <c r="A61">
        <v>48</v>
      </c>
      <c r="B61">
        <f t="shared" si="14"/>
        <v>9.138000466351018E-4</v>
      </c>
      <c r="C61">
        <f t="shared" si="10"/>
        <v>9.138000466351018E-4</v>
      </c>
      <c r="D61" t="s">
        <v>34</v>
      </c>
      <c r="E61" t="s">
        <v>21</v>
      </c>
      <c r="F61">
        <v>1</v>
      </c>
      <c r="G61">
        <f t="shared" si="15"/>
        <v>150</v>
      </c>
      <c r="I61">
        <v>2100</v>
      </c>
      <c r="J61" t="s">
        <v>31</v>
      </c>
      <c r="K61">
        <f t="shared" si="16"/>
        <v>152.5</v>
      </c>
      <c r="L61" cm="1">
        <f t="array" ref="L61">STOWA2024_JAARROND_T(A61*60,K61,I61,J61,"")</f>
        <v>268.55893147357227</v>
      </c>
      <c r="M61">
        <f t="shared" si="17"/>
        <v>3.7235775198874951E-3</v>
      </c>
    </row>
    <row r="62" spans="1:13" x14ac:dyDescent="0.3">
      <c r="A62">
        <v>48</v>
      </c>
      <c r="B62">
        <f t="shared" si="14"/>
        <v>7.1948474126784685E-4</v>
      </c>
      <c r="C62">
        <f t="shared" si="10"/>
        <v>7.1948474126784685E-4</v>
      </c>
      <c r="D62" t="s">
        <v>34</v>
      </c>
      <c r="E62" t="s">
        <v>21</v>
      </c>
      <c r="F62">
        <v>1</v>
      </c>
      <c r="G62">
        <f t="shared" si="15"/>
        <v>155</v>
      </c>
      <c r="I62">
        <v>2100</v>
      </c>
      <c r="J62" t="s">
        <v>31</v>
      </c>
      <c r="K62">
        <f t="shared" si="16"/>
        <v>157.5</v>
      </c>
      <c r="L62" cm="1">
        <f t="array" ref="L62">STOWA2024_JAARROND_T(A62*60,K62,I62,J62,"")</f>
        <v>332.87919970950111</v>
      </c>
      <c r="M62">
        <f t="shared" si="17"/>
        <v>3.0040927786196482E-3</v>
      </c>
    </row>
    <row r="63" spans="1:13" x14ac:dyDescent="0.3">
      <c r="A63">
        <v>48</v>
      </c>
      <c r="B63" s="1">
        <f>M62</f>
        <v>3.0040927786196482E-3</v>
      </c>
      <c r="C63">
        <f t="shared" si="10"/>
        <v>3.0040927786196482E-3</v>
      </c>
      <c r="D63" t="s">
        <v>34</v>
      </c>
      <c r="E63" t="s">
        <v>21</v>
      </c>
      <c r="F63">
        <v>1</v>
      </c>
      <c r="G63">
        <f t="shared" si="15"/>
        <v>160</v>
      </c>
      <c r="I63">
        <v>2100</v>
      </c>
      <c r="J63" t="s">
        <v>31</v>
      </c>
      <c r="K63">
        <f>AVERAGE(G63:G64)</f>
        <v>85</v>
      </c>
      <c r="L63" cm="1">
        <f t="array" ref="L63">STOWA2024_JAARROND_T(A63*60,K63,I63,J63,"")</f>
        <v>8.3256671184241728</v>
      </c>
      <c r="M63">
        <f>1/L63</f>
        <v>0.12011049514423457</v>
      </c>
    </row>
    <row r="64" spans="1:13" x14ac:dyDescent="0.3">
      <c r="A64">
        <v>96</v>
      </c>
      <c r="B64" s="1">
        <f>365.25*24/A64 - M64</f>
        <v>43.556922223342475</v>
      </c>
      <c r="C64">
        <f>B64</f>
        <v>43.556922223342475</v>
      </c>
      <c r="D64" t="s">
        <v>34</v>
      </c>
      <c r="E64" t="s">
        <v>21</v>
      </c>
      <c r="F64">
        <v>1</v>
      </c>
      <c r="G64">
        <v>10</v>
      </c>
      <c r="I64">
        <v>2100</v>
      </c>
      <c r="J64" t="s">
        <v>31</v>
      </c>
      <c r="K64">
        <f>AVERAGE(G64:G66)</f>
        <v>15</v>
      </c>
      <c r="L64" cm="1">
        <f t="array" ref="L64">STOWA2024_JAARROND_T(A64*60,K64,I64,J64,"")</f>
        <v>2.0939962336478955E-2</v>
      </c>
      <c r="M64">
        <f>1/L64</f>
        <v>47.755577776657525</v>
      </c>
    </row>
    <row r="65" spans="1:13" x14ac:dyDescent="0.3">
      <c r="A65">
        <v>96</v>
      </c>
      <c r="B65">
        <f t="shared" ref="B65:B69" si="18">M64-M65</f>
        <v>8.9256156898579633</v>
      </c>
      <c r="C65">
        <f t="shared" ref="C65:C94" si="19">B65</f>
        <v>8.9256156898579633</v>
      </c>
      <c r="D65" t="s">
        <v>34</v>
      </c>
      <c r="E65" t="s">
        <v>21</v>
      </c>
      <c r="F65">
        <v>1</v>
      </c>
      <c r="G65">
        <f t="shared" ref="G65:G69" si="20">G64+5</f>
        <v>15</v>
      </c>
      <c r="I65">
        <v>2100</v>
      </c>
      <c r="J65" t="s">
        <v>31</v>
      </c>
      <c r="K65">
        <f t="shared" ref="K65:K69" si="21">AVERAGE(G65:G66)</f>
        <v>17.5</v>
      </c>
      <c r="L65" cm="1">
        <f t="array" ref="L65">STOWA2024_JAARROND_T(A65*60,K65,I65,J65,"")</f>
        <v>2.575330868890946E-2</v>
      </c>
      <c r="M65">
        <f t="shared" ref="M65:M69" si="22">1/L65</f>
        <v>38.829962086799561</v>
      </c>
    </row>
    <row r="66" spans="1:13" x14ac:dyDescent="0.3">
      <c r="A66">
        <v>96</v>
      </c>
      <c r="B66">
        <f t="shared" si="18"/>
        <v>12.983758924340091</v>
      </c>
      <c r="C66">
        <f t="shared" si="19"/>
        <v>12.983758924340091</v>
      </c>
      <c r="D66" t="s">
        <v>34</v>
      </c>
      <c r="E66" t="s">
        <v>21</v>
      </c>
      <c r="F66">
        <v>1</v>
      </c>
      <c r="G66">
        <f t="shared" si="20"/>
        <v>20</v>
      </c>
      <c r="I66">
        <v>2100</v>
      </c>
      <c r="J66" t="s">
        <v>31</v>
      </c>
      <c r="K66">
        <f t="shared" si="21"/>
        <v>22.5</v>
      </c>
      <c r="L66" cm="1">
        <f t="array" ref="L66">STOWA2024_JAARROND_T(A66*60,K66,I66,J66,"")</f>
        <v>3.869040236642797E-2</v>
      </c>
      <c r="M66">
        <f t="shared" si="22"/>
        <v>25.846203162459471</v>
      </c>
    </row>
    <row r="67" spans="1:13" x14ac:dyDescent="0.3">
      <c r="A67">
        <v>96</v>
      </c>
      <c r="B67">
        <f t="shared" si="18"/>
        <v>8.4919095731725598</v>
      </c>
      <c r="C67">
        <f t="shared" si="19"/>
        <v>8.4919095731725598</v>
      </c>
      <c r="D67" t="s">
        <v>34</v>
      </c>
      <c r="E67" t="s">
        <v>21</v>
      </c>
      <c r="F67">
        <v>1</v>
      </c>
      <c r="G67">
        <f t="shared" si="20"/>
        <v>25</v>
      </c>
      <c r="I67">
        <v>2100</v>
      </c>
      <c r="J67" t="s">
        <v>31</v>
      </c>
      <c r="K67">
        <f t="shared" si="21"/>
        <v>27.5</v>
      </c>
      <c r="L67" cm="1">
        <f t="array" ref="L67">STOWA2024_JAARROND_T(A67*60,K67,I67,J67,"")</f>
        <v>5.7622627786896287E-2</v>
      </c>
      <c r="M67">
        <f t="shared" si="22"/>
        <v>17.354293589286911</v>
      </c>
    </row>
    <row r="68" spans="1:13" x14ac:dyDescent="0.3">
      <c r="A68">
        <v>96</v>
      </c>
      <c r="B68">
        <f t="shared" si="18"/>
        <v>5.6045209873627613</v>
      </c>
      <c r="C68">
        <f t="shared" si="19"/>
        <v>5.6045209873627613</v>
      </c>
      <c r="D68" t="s">
        <v>34</v>
      </c>
      <c r="E68" t="s">
        <v>21</v>
      </c>
      <c r="F68">
        <v>1</v>
      </c>
      <c r="G68">
        <f t="shared" si="20"/>
        <v>30</v>
      </c>
      <c r="I68">
        <v>2100</v>
      </c>
      <c r="J68" t="s">
        <v>31</v>
      </c>
      <c r="K68">
        <f t="shared" si="21"/>
        <v>32.5</v>
      </c>
      <c r="L68" cm="1">
        <f t="array" ref="L68">STOWA2024_JAARROND_T(A68*60,K68,I68,J68,"")</f>
        <v>8.5108030076789687E-2</v>
      </c>
      <c r="M68">
        <f t="shared" si="22"/>
        <v>11.74977260192415</v>
      </c>
    </row>
    <row r="69" spans="1:13" x14ac:dyDescent="0.3">
      <c r="A69">
        <v>96</v>
      </c>
      <c r="B69">
        <f t="shared" si="18"/>
        <v>3.7306911888389607</v>
      </c>
      <c r="C69">
        <f t="shared" si="19"/>
        <v>3.7306911888389607</v>
      </c>
      <c r="D69" t="s">
        <v>34</v>
      </c>
      <c r="E69" t="s">
        <v>21</v>
      </c>
      <c r="F69">
        <v>1</v>
      </c>
      <c r="G69">
        <f t="shared" si="20"/>
        <v>35</v>
      </c>
      <c r="I69">
        <v>2100</v>
      </c>
      <c r="J69" t="s">
        <v>31</v>
      </c>
      <c r="K69">
        <f t="shared" si="21"/>
        <v>37.5</v>
      </c>
      <c r="L69" cm="1">
        <f t="array" ref="L69">STOWA2024_JAARROND_T(A69*60,K69,I69,J69,"")</f>
        <v>0.124702562361849</v>
      </c>
      <c r="M69">
        <f t="shared" si="22"/>
        <v>8.0190814130851891</v>
      </c>
    </row>
    <row r="70" spans="1:13" x14ac:dyDescent="0.3">
      <c r="A70">
        <v>96</v>
      </c>
      <c r="B70">
        <f>M69-M70</f>
        <v>2.504086207188557</v>
      </c>
      <c r="C70">
        <f t="shared" si="19"/>
        <v>2.504086207188557</v>
      </c>
      <c r="D70" t="s">
        <v>34</v>
      </c>
      <c r="E70" t="s">
        <v>21</v>
      </c>
      <c r="F70">
        <v>1</v>
      </c>
      <c r="G70">
        <f>G69+5</f>
        <v>40</v>
      </c>
      <c r="I70">
        <v>2100</v>
      </c>
      <c r="J70" t="s">
        <v>31</v>
      </c>
      <c r="K70">
        <f>AVERAGE(G70:G71)</f>
        <v>42.5</v>
      </c>
      <c r="L70" cm="1">
        <f t="array" ref="L70">STOWA2024_JAARROND_T(A70*60,K70,I70,J70,"")</f>
        <v>0.18132382035995248</v>
      </c>
      <c r="M70">
        <f>1/L70</f>
        <v>5.5149952058966321</v>
      </c>
    </row>
    <row r="71" spans="1:13" x14ac:dyDescent="0.3">
      <c r="A71">
        <v>96</v>
      </c>
      <c r="B71">
        <f t="shared" ref="B71:B93" si="23">M70-M71</f>
        <v>1.694072081816608</v>
      </c>
      <c r="C71">
        <f t="shared" si="19"/>
        <v>1.694072081816608</v>
      </c>
      <c r="D71" t="s">
        <v>34</v>
      </c>
      <c r="E71" t="s">
        <v>21</v>
      </c>
      <c r="F71">
        <v>1</v>
      </c>
      <c r="G71">
        <f t="shared" ref="G71:G94" si="24">G70+5</f>
        <v>45</v>
      </c>
      <c r="I71">
        <v>2100</v>
      </c>
      <c r="J71" t="s">
        <v>31</v>
      </c>
      <c r="K71">
        <f t="shared" ref="K71:K93" si="25">AVERAGE(G71:G72)</f>
        <v>47.5</v>
      </c>
      <c r="L71" cm="1">
        <f t="array" ref="L71">STOWA2024_JAARROND_T(A71*60,K71,I71,J71,"")</f>
        <v>0.26171685938873035</v>
      </c>
      <c r="M71">
        <f t="shared" ref="M71:M93" si="26">1/L71</f>
        <v>3.8209231240800241</v>
      </c>
    </row>
    <row r="72" spans="1:13" x14ac:dyDescent="0.3">
      <c r="A72">
        <v>96</v>
      </c>
      <c r="B72">
        <f t="shared" si="23"/>
        <v>1.1548547039162491</v>
      </c>
      <c r="C72">
        <f t="shared" si="19"/>
        <v>1.1548547039162491</v>
      </c>
      <c r="D72" t="s">
        <v>34</v>
      </c>
      <c r="E72" t="s">
        <v>21</v>
      </c>
      <c r="F72">
        <v>1</v>
      </c>
      <c r="G72">
        <f t="shared" si="24"/>
        <v>50</v>
      </c>
      <c r="I72">
        <v>2100</v>
      </c>
      <c r="J72" t="s">
        <v>31</v>
      </c>
      <c r="K72">
        <f t="shared" si="25"/>
        <v>52.5</v>
      </c>
      <c r="L72" cm="1">
        <f t="array" ref="L72">STOWA2024_JAARROND_T(A72*60,K72,I72,J72,"")</f>
        <v>0.3750841472922779</v>
      </c>
      <c r="M72">
        <f t="shared" si="26"/>
        <v>2.666068420163775</v>
      </c>
    </row>
    <row r="73" spans="1:13" x14ac:dyDescent="0.3">
      <c r="A73">
        <v>96</v>
      </c>
      <c r="B73">
        <f t="shared" si="23"/>
        <v>0.79309521974237596</v>
      </c>
      <c r="C73">
        <f t="shared" si="19"/>
        <v>0.79309521974237596</v>
      </c>
      <c r="D73" t="s">
        <v>34</v>
      </c>
      <c r="E73" t="s">
        <v>21</v>
      </c>
      <c r="F73">
        <v>1</v>
      </c>
      <c r="G73">
        <f t="shared" si="24"/>
        <v>55</v>
      </c>
      <c r="I73">
        <v>2100</v>
      </c>
      <c r="J73" t="s">
        <v>31</v>
      </c>
      <c r="K73">
        <f t="shared" si="25"/>
        <v>57.5</v>
      </c>
      <c r="L73" cm="1">
        <f t="array" ref="L73">STOWA2024_JAARROND_T(A73*60,K73,I73,J73,"")</f>
        <v>0.5339104690739892</v>
      </c>
      <c r="M73">
        <f t="shared" si="26"/>
        <v>1.872973200421399</v>
      </c>
    </row>
    <row r="74" spans="1:13" x14ac:dyDescent="0.3">
      <c r="A74">
        <v>96</v>
      </c>
      <c r="B74">
        <f t="shared" si="23"/>
        <v>0.54849401371728845</v>
      </c>
      <c r="C74">
        <f t="shared" si="19"/>
        <v>0.54849401371728845</v>
      </c>
      <c r="D74" t="s">
        <v>34</v>
      </c>
      <c r="E74" t="s">
        <v>21</v>
      </c>
      <c r="F74">
        <v>1</v>
      </c>
      <c r="G74">
        <f t="shared" si="24"/>
        <v>60</v>
      </c>
      <c r="I74">
        <v>2100</v>
      </c>
      <c r="J74" t="s">
        <v>31</v>
      </c>
      <c r="K74">
        <f t="shared" si="25"/>
        <v>62.5</v>
      </c>
      <c r="L74" cm="1">
        <f t="array" ref="L74">STOWA2024_JAARROND_T(A74*60,K74,I74,J74,"")</f>
        <v>0.75501375184946606</v>
      </c>
      <c r="M74">
        <f t="shared" si="26"/>
        <v>1.3244791867041106</v>
      </c>
    </row>
    <row r="75" spans="1:13" x14ac:dyDescent="0.3">
      <c r="A75">
        <v>96</v>
      </c>
      <c r="B75">
        <f t="shared" si="23"/>
        <v>0.3818416192843691</v>
      </c>
      <c r="C75">
        <f t="shared" si="19"/>
        <v>0.3818416192843691</v>
      </c>
      <c r="D75" t="s">
        <v>34</v>
      </c>
      <c r="E75" t="s">
        <v>21</v>
      </c>
      <c r="F75">
        <v>1</v>
      </c>
      <c r="G75">
        <f t="shared" si="24"/>
        <v>65</v>
      </c>
      <c r="I75">
        <v>2100</v>
      </c>
      <c r="J75" t="s">
        <v>31</v>
      </c>
      <c r="K75">
        <f t="shared" si="25"/>
        <v>67.5</v>
      </c>
      <c r="L75" cm="1">
        <f t="array" ref="L75">STOWA2024_JAARROND_T(A75*60,K75,I75,J75,"")</f>
        <v>1.060853115304194</v>
      </c>
      <c r="M75">
        <f t="shared" si="26"/>
        <v>0.94263756741974147</v>
      </c>
    </row>
    <row r="76" spans="1:13" x14ac:dyDescent="0.3">
      <c r="A76">
        <v>96</v>
      </c>
      <c r="B76">
        <f t="shared" si="23"/>
        <v>0.26772834512617416</v>
      </c>
      <c r="C76">
        <f t="shared" si="19"/>
        <v>0.26772834512617416</v>
      </c>
      <c r="D76" t="s">
        <v>34</v>
      </c>
      <c r="E76" t="s">
        <v>21</v>
      </c>
      <c r="F76">
        <v>1</v>
      </c>
      <c r="G76">
        <f t="shared" si="24"/>
        <v>70</v>
      </c>
      <c r="I76">
        <v>2100</v>
      </c>
      <c r="J76" t="s">
        <v>31</v>
      </c>
      <c r="K76">
        <f t="shared" si="25"/>
        <v>72.5</v>
      </c>
      <c r="L76" cm="1">
        <f t="array" ref="L76">STOWA2024_JAARROND_T(A76*60,K76,I76,J76,"")</f>
        <v>1.4816807460441355</v>
      </c>
      <c r="M76">
        <f t="shared" si="26"/>
        <v>0.67490922229356731</v>
      </c>
    </row>
    <row r="77" spans="1:13" x14ac:dyDescent="0.3">
      <c r="A77">
        <v>96</v>
      </c>
      <c r="B77">
        <f t="shared" si="23"/>
        <v>0.18883766348356423</v>
      </c>
      <c r="C77">
        <f t="shared" si="19"/>
        <v>0.18883766348356423</v>
      </c>
      <c r="D77" t="s">
        <v>34</v>
      </c>
      <c r="E77" t="s">
        <v>21</v>
      </c>
      <c r="F77">
        <v>1</v>
      </c>
      <c r="G77">
        <f t="shared" si="24"/>
        <v>75</v>
      </c>
      <c r="I77">
        <v>2100</v>
      </c>
      <c r="J77" t="s">
        <v>31</v>
      </c>
      <c r="K77">
        <f t="shared" si="25"/>
        <v>77.5</v>
      </c>
      <c r="L77" cm="1">
        <f t="array" ref="L77">STOWA2024_JAARROND_T(A77*60,K77,I77,J77,"")</f>
        <v>2.0573102496434741</v>
      </c>
      <c r="M77">
        <f t="shared" si="26"/>
        <v>0.48607155881000308</v>
      </c>
    </row>
    <row r="78" spans="1:13" x14ac:dyDescent="0.3">
      <c r="A78">
        <v>96</v>
      </c>
      <c r="B78">
        <f t="shared" si="23"/>
        <v>0.13400801841143384</v>
      </c>
      <c r="C78">
        <f t="shared" si="19"/>
        <v>0.13400801841143384</v>
      </c>
      <c r="D78" t="s">
        <v>34</v>
      </c>
      <c r="E78" t="s">
        <v>21</v>
      </c>
      <c r="F78">
        <v>1</v>
      </c>
      <c r="G78">
        <f t="shared" si="24"/>
        <v>80</v>
      </c>
      <c r="I78">
        <v>2100</v>
      </c>
      <c r="J78" t="s">
        <v>31</v>
      </c>
      <c r="K78">
        <f t="shared" si="25"/>
        <v>82.5</v>
      </c>
      <c r="L78" cm="1">
        <f t="array" ref="L78">STOWA2024_JAARROND_T(A78*60,K78,I78,J78,"")</f>
        <v>2.8403963638720029</v>
      </c>
      <c r="M78">
        <f t="shared" si="26"/>
        <v>0.35206354039856924</v>
      </c>
    </row>
    <row r="79" spans="1:13" x14ac:dyDescent="0.3">
      <c r="A79">
        <v>96</v>
      </c>
      <c r="B79">
        <f t="shared" si="23"/>
        <v>9.5658756377719645E-2</v>
      </c>
      <c r="C79">
        <f t="shared" si="19"/>
        <v>9.5658756377719645E-2</v>
      </c>
      <c r="D79" t="s">
        <v>34</v>
      </c>
      <c r="E79" t="s">
        <v>21</v>
      </c>
      <c r="F79">
        <v>1</v>
      </c>
      <c r="G79">
        <f t="shared" si="24"/>
        <v>85</v>
      </c>
      <c r="I79">
        <v>2100</v>
      </c>
      <c r="J79" t="s">
        <v>31</v>
      </c>
      <c r="K79">
        <f t="shared" si="25"/>
        <v>87.5</v>
      </c>
      <c r="L79" cm="1">
        <f t="array" ref="L79">STOWA2024_JAARROND_T(A79*60,K79,I79,J79,"")</f>
        <v>3.9000832368193441</v>
      </c>
      <c r="M79">
        <f t="shared" si="26"/>
        <v>0.2564047840208496</v>
      </c>
    </row>
    <row r="80" spans="1:13" x14ac:dyDescent="0.3">
      <c r="A80">
        <v>96</v>
      </c>
      <c r="B80">
        <f t="shared" si="23"/>
        <v>6.8675535301842838E-2</v>
      </c>
      <c r="C80">
        <f t="shared" si="19"/>
        <v>6.8675535301842838E-2</v>
      </c>
      <c r="D80" t="s">
        <v>34</v>
      </c>
      <c r="E80" t="s">
        <v>21</v>
      </c>
      <c r="F80">
        <v>1</v>
      </c>
      <c r="G80">
        <f t="shared" si="24"/>
        <v>90</v>
      </c>
      <c r="I80">
        <v>2100</v>
      </c>
      <c r="J80" t="s">
        <v>31</v>
      </c>
      <c r="K80">
        <f t="shared" si="25"/>
        <v>92.5</v>
      </c>
      <c r="L80" cm="1">
        <f t="array" ref="L80">STOWA2024_JAARROND_T(A80*60,K80,I80,J80,"")</f>
        <v>5.3268204439298668</v>
      </c>
      <c r="M80">
        <f t="shared" si="26"/>
        <v>0.18772924871900676</v>
      </c>
    </row>
    <row r="81" spans="1:13" x14ac:dyDescent="0.3">
      <c r="A81">
        <v>96</v>
      </c>
      <c r="B81">
        <f t="shared" si="23"/>
        <v>4.9575343789567572E-2</v>
      </c>
      <c r="C81">
        <f t="shared" si="19"/>
        <v>4.9575343789567572E-2</v>
      </c>
      <c r="D81" t="s">
        <v>34</v>
      </c>
      <c r="E81" t="s">
        <v>21</v>
      </c>
      <c r="F81">
        <v>1</v>
      </c>
      <c r="G81">
        <f t="shared" si="24"/>
        <v>95</v>
      </c>
      <c r="I81">
        <v>2100</v>
      </c>
      <c r="J81" t="s">
        <v>31</v>
      </c>
      <c r="K81">
        <f t="shared" si="25"/>
        <v>97.5</v>
      </c>
      <c r="L81" cm="1">
        <f t="array" ref="L81">STOWA2024_JAARROND_T(A81*60,K81,I81,J81,"")</f>
        <v>7.2383042702321054</v>
      </c>
      <c r="M81">
        <f t="shared" si="26"/>
        <v>0.13815390492943919</v>
      </c>
    </row>
    <row r="82" spans="1:13" x14ac:dyDescent="0.3">
      <c r="A82">
        <v>96</v>
      </c>
      <c r="B82">
        <f t="shared" si="23"/>
        <v>3.5978107967975279E-2</v>
      </c>
      <c r="C82">
        <f t="shared" si="19"/>
        <v>3.5978107967975279E-2</v>
      </c>
      <c r="D82" t="s">
        <v>34</v>
      </c>
      <c r="E82" t="s">
        <v>21</v>
      </c>
      <c r="F82">
        <v>1</v>
      </c>
      <c r="G82">
        <f t="shared" si="24"/>
        <v>100</v>
      </c>
      <c r="I82">
        <v>2100</v>
      </c>
      <c r="J82" t="s">
        <v>31</v>
      </c>
      <c r="K82">
        <f t="shared" si="25"/>
        <v>102.5</v>
      </c>
      <c r="L82" cm="1">
        <f t="array" ref="L82">STOWA2024_JAARROND_T(A82*60,K82,I82,J82,"")</f>
        <v>9.7870535854704883</v>
      </c>
      <c r="M82">
        <f t="shared" si="26"/>
        <v>0.10217579696146391</v>
      </c>
    </row>
    <row r="83" spans="1:13" x14ac:dyDescent="0.3">
      <c r="A83">
        <v>96</v>
      </c>
      <c r="B83">
        <f t="shared" si="23"/>
        <v>2.6244964262028062E-2</v>
      </c>
      <c r="C83">
        <f t="shared" si="19"/>
        <v>2.6244964262028062E-2</v>
      </c>
      <c r="D83" t="s">
        <v>34</v>
      </c>
      <c r="E83" t="s">
        <v>21</v>
      </c>
      <c r="F83">
        <v>1</v>
      </c>
      <c r="G83">
        <f t="shared" si="24"/>
        <v>105</v>
      </c>
      <c r="I83">
        <v>2100</v>
      </c>
      <c r="J83" t="s">
        <v>31</v>
      </c>
      <c r="K83">
        <f t="shared" si="25"/>
        <v>107.5</v>
      </c>
      <c r="L83" cm="1">
        <f t="array" ref="L83">STOWA2024_JAARROND_T(A83*60,K83,I83,J83,"")</f>
        <v>13.169880593281441</v>
      </c>
      <c r="M83">
        <f t="shared" si="26"/>
        <v>7.5930832699435846E-2</v>
      </c>
    </row>
    <row r="84" spans="1:13" x14ac:dyDescent="0.3">
      <c r="A84">
        <v>96</v>
      </c>
      <c r="B84">
        <f t="shared" si="23"/>
        <v>1.9240587342881553E-2</v>
      </c>
      <c r="C84">
        <f t="shared" si="19"/>
        <v>1.9240587342881553E-2</v>
      </c>
      <c r="D84" t="s">
        <v>34</v>
      </c>
      <c r="E84" t="s">
        <v>21</v>
      </c>
      <c r="F84">
        <v>1</v>
      </c>
      <c r="G84">
        <f t="shared" si="24"/>
        <v>110</v>
      </c>
      <c r="I84">
        <v>2100</v>
      </c>
      <c r="J84" t="s">
        <v>31</v>
      </c>
      <c r="K84">
        <f t="shared" si="25"/>
        <v>112.5</v>
      </c>
      <c r="L84" cm="1">
        <f t="array" ref="L84">STOWA2024_JAARROND_T(A84*60,K84,I84,J84,"")</f>
        <v>17.639719032974412</v>
      </c>
      <c r="M84">
        <f t="shared" si="26"/>
        <v>5.6690245356554293E-2</v>
      </c>
    </row>
    <row r="85" spans="1:13" x14ac:dyDescent="0.3">
      <c r="A85">
        <v>96</v>
      </c>
      <c r="B85">
        <f t="shared" si="23"/>
        <v>1.4173528013483837E-2</v>
      </c>
      <c r="C85">
        <f t="shared" si="19"/>
        <v>1.4173528013483837E-2</v>
      </c>
      <c r="D85" t="s">
        <v>34</v>
      </c>
      <c r="E85" t="s">
        <v>21</v>
      </c>
      <c r="F85">
        <v>1</v>
      </c>
      <c r="G85">
        <f t="shared" si="24"/>
        <v>115</v>
      </c>
      <c r="I85">
        <v>2100</v>
      </c>
      <c r="J85" t="s">
        <v>31</v>
      </c>
      <c r="K85">
        <f t="shared" si="25"/>
        <v>117.5</v>
      </c>
      <c r="L85" cm="1">
        <f t="array" ref="L85">STOWA2024_JAARROND_T(A85*60,K85,I85,J85,"")</f>
        <v>23.520160127390078</v>
      </c>
      <c r="M85">
        <f t="shared" si="26"/>
        <v>4.2516717343070456E-2</v>
      </c>
    </row>
    <row r="86" spans="1:13" x14ac:dyDescent="0.3">
      <c r="A86">
        <v>96</v>
      </c>
      <c r="B86">
        <f t="shared" si="23"/>
        <v>1.0490492393138706E-2</v>
      </c>
      <c r="C86">
        <f t="shared" si="19"/>
        <v>1.0490492393138706E-2</v>
      </c>
      <c r="D86" t="s">
        <v>34</v>
      </c>
      <c r="E86" t="s">
        <v>21</v>
      </c>
      <c r="F86">
        <v>1</v>
      </c>
      <c r="G86">
        <f t="shared" si="24"/>
        <v>120</v>
      </c>
      <c r="I86">
        <v>2100</v>
      </c>
      <c r="J86" t="s">
        <v>31</v>
      </c>
      <c r="K86">
        <f t="shared" si="25"/>
        <v>122.5</v>
      </c>
      <c r="L86" cm="1">
        <f t="array" ref="L86">STOWA2024_JAARROND_T(A86*60,K86,I86,J86,"")</f>
        <v>31.22441066854903</v>
      </c>
      <c r="M86">
        <f t="shared" si="26"/>
        <v>3.202622494993175E-2</v>
      </c>
    </row>
    <row r="87" spans="1:13" x14ac:dyDescent="0.3">
      <c r="A87">
        <v>96</v>
      </c>
      <c r="B87">
        <f t="shared" si="23"/>
        <v>7.7993965727892536E-3</v>
      </c>
      <c r="C87">
        <f t="shared" si="19"/>
        <v>7.7993965727892536E-3</v>
      </c>
      <c r="D87" t="s">
        <v>34</v>
      </c>
      <c r="E87" t="s">
        <v>21</v>
      </c>
      <c r="F87">
        <v>1</v>
      </c>
      <c r="G87">
        <f t="shared" si="24"/>
        <v>125</v>
      </c>
      <c r="I87">
        <v>2100</v>
      </c>
      <c r="J87" t="s">
        <v>31</v>
      </c>
      <c r="K87">
        <f t="shared" si="25"/>
        <v>127.5</v>
      </c>
      <c r="L87" cm="1">
        <f t="array" ref="L87">STOWA2024_JAARROND_T(A87*60,K87,I87,J87,"")</f>
        <v>41.276554422760469</v>
      </c>
      <c r="M87">
        <f t="shared" si="26"/>
        <v>2.4226828377142497E-2</v>
      </c>
    </row>
    <row r="88" spans="1:13" x14ac:dyDescent="0.3">
      <c r="A88">
        <v>96</v>
      </c>
      <c r="B88">
        <f t="shared" si="23"/>
        <v>5.8245647230935234E-3</v>
      </c>
      <c r="C88">
        <f t="shared" si="19"/>
        <v>5.8245647230935234E-3</v>
      </c>
      <c r="D88" t="s">
        <v>34</v>
      </c>
      <c r="E88" t="s">
        <v>21</v>
      </c>
      <c r="F88">
        <v>1</v>
      </c>
      <c r="G88">
        <f t="shared" si="24"/>
        <v>130</v>
      </c>
      <c r="I88">
        <v>2100</v>
      </c>
      <c r="J88" t="s">
        <v>31</v>
      </c>
      <c r="K88">
        <f t="shared" si="25"/>
        <v>132.5</v>
      </c>
      <c r="L88" cm="1">
        <f t="array" ref="L88">STOWA2024_JAARROND_T(A88*60,K88,I88,J88,"")</f>
        <v>54.341140785686669</v>
      </c>
      <c r="M88">
        <f t="shared" si="26"/>
        <v>1.8402263654048973E-2</v>
      </c>
    </row>
    <row r="89" spans="1:13" x14ac:dyDescent="0.3">
      <c r="A89">
        <v>96</v>
      </c>
      <c r="B89">
        <f t="shared" si="23"/>
        <v>4.3681743642917589E-3</v>
      </c>
      <c r="C89">
        <f t="shared" si="19"/>
        <v>4.3681743642917589E-3</v>
      </c>
      <c r="D89" t="s">
        <v>34</v>
      </c>
      <c r="E89" t="s">
        <v>21</v>
      </c>
      <c r="F89">
        <v>1</v>
      </c>
      <c r="G89">
        <f t="shared" si="24"/>
        <v>135</v>
      </c>
      <c r="I89">
        <v>2100</v>
      </c>
      <c r="J89" t="s">
        <v>31</v>
      </c>
      <c r="K89">
        <f t="shared" si="25"/>
        <v>137.5</v>
      </c>
      <c r="L89" cm="1">
        <f t="array" ref="L89">STOWA2024_JAARROND_T(A89*60,K89,I89,J89,"")</f>
        <v>71.255068950562432</v>
      </c>
      <c r="M89">
        <f t="shared" si="26"/>
        <v>1.4034089289757214E-2</v>
      </c>
    </row>
    <row r="90" spans="1:13" x14ac:dyDescent="0.3">
      <c r="A90">
        <v>96</v>
      </c>
      <c r="B90">
        <f t="shared" si="23"/>
        <v>3.2896766063644153E-3</v>
      </c>
      <c r="C90">
        <f t="shared" si="19"/>
        <v>3.2896766063644153E-3</v>
      </c>
      <c r="D90" t="s">
        <v>34</v>
      </c>
      <c r="E90" t="s">
        <v>21</v>
      </c>
      <c r="F90">
        <v>1</v>
      </c>
      <c r="G90">
        <f t="shared" si="24"/>
        <v>140</v>
      </c>
      <c r="I90">
        <v>2100</v>
      </c>
      <c r="J90" t="s">
        <v>31</v>
      </c>
      <c r="K90">
        <f t="shared" si="25"/>
        <v>142.5</v>
      </c>
      <c r="L90" cm="1">
        <f t="array" ref="L90">STOWA2024_JAARROND_T(A90*60,K90,I90,J90,"")</f>
        <v>93.071629829116603</v>
      </c>
      <c r="M90">
        <f t="shared" si="26"/>
        <v>1.0744412683392799E-2</v>
      </c>
    </row>
    <row r="91" spans="1:13" x14ac:dyDescent="0.3">
      <c r="A91">
        <v>96</v>
      </c>
      <c r="B91">
        <f t="shared" si="23"/>
        <v>2.4874753480958346E-3</v>
      </c>
      <c r="C91">
        <f t="shared" si="19"/>
        <v>2.4874753480958346E-3</v>
      </c>
      <c r="D91" t="s">
        <v>34</v>
      </c>
      <c r="E91" t="s">
        <v>21</v>
      </c>
      <c r="F91">
        <v>1</v>
      </c>
      <c r="G91">
        <f t="shared" si="24"/>
        <v>145</v>
      </c>
      <c r="I91">
        <v>2100</v>
      </c>
      <c r="J91" t="s">
        <v>31</v>
      </c>
      <c r="K91">
        <f t="shared" si="25"/>
        <v>147.5</v>
      </c>
      <c r="L91" cm="1">
        <f t="array" ref="L91">STOWA2024_JAARROND_T(A91*60,K91,I91,J91,"")</f>
        <v>121.11028089376126</v>
      </c>
      <c r="M91">
        <f t="shared" si="26"/>
        <v>8.2569373352969645E-3</v>
      </c>
    </row>
    <row r="92" spans="1:13" x14ac:dyDescent="0.3">
      <c r="A92">
        <v>96</v>
      </c>
      <c r="B92">
        <f t="shared" si="23"/>
        <v>1.8882848191995151E-3</v>
      </c>
      <c r="C92">
        <f t="shared" si="19"/>
        <v>1.8882848191995151E-3</v>
      </c>
      <c r="D92" t="s">
        <v>34</v>
      </c>
      <c r="E92" t="s">
        <v>21</v>
      </c>
      <c r="F92">
        <v>1</v>
      </c>
      <c r="G92">
        <f t="shared" si="24"/>
        <v>150</v>
      </c>
      <c r="I92">
        <v>2100</v>
      </c>
      <c r="J92" t="s">
        <v>31</v>
      </c>
      <c r="K92">
        <f t="shared" si="25"/>
        <v>152.5</v>
      </c>
      <c r="L92" cm="1">
        <f t="array" ref="L92">STOWA2024_JAARROND_T(A92*60,K92,I92,J92,"")</f>
        <v>157.01908645076696</v>
      </c>
      <c r="M92">
        <f t="shared" si="26"/>
        <v>6.3686525160974493E-3</v>
      </c>
    </row>
    <row r="93" spans="1:13" x14ac:dyDescent="0.3">
      <c r="A93">
        <v>96</v>
      </c>
      <c r="B93">
        <f t="shared" si="23"/>
        <v>1.4389360466677938E-3</v>
      </c>
      <c r="C93">
        <f t="shared" si="19"/>
        <v>1.4389360466677938E-3</v>
      </c>
      <c r="D93" t="s">
        <v>34</v>
      </c>
      <c r="E93" t="s">
        <v>21</v>
      </c>
      <c r="F93">
        <v>1</v>
      </c>
      <c r="G93">
        <f t="shared" si="24"/>
        <v>155</v>
      </c>
      <c r="I93">
        <v>2100</v>
      </c>
      <c r="J93" t="s">
        <v>31</v>
      </c>
      <c r="K93">
        <f t="shared" si="25"/>
        <v>157.5</v>
      </c>
      <c r="L93" cm="1">
        <f t="array" ref="L93">STOWA2024_JAARROND_T(A93*60,K93,I93,J93,"")</f>
        <v>202.85142283562107</v>
      </c>
      <c r="M93">
        <f t="shared" si="26"/>
        <v>4.9297164694296555E-3</v>
      </c>
    </row>
    <row r="94" spans="1:13" x14ac:dyDescent="0.3">
      <c r="A94">
        <v>96</v>
      </c>
      <c r="B94" s="1">
        <f>M93</f>
        <v>4.9297164694296555E-3</v>
      </c>
      <c r="C94">
        <f t="shared" si="19"/>
        <v>4.9297164694296555E-3</v>
      </c>
      <c r="D94" t="s">
        <v>34</v>
      </c>
      <c r="E94" t="s">
        <v>21</v>
      </c>
      <c r="F94">
        <v>1</v>
      </c>
      <c r="G94">
        <f t="shared" si="24"/>
        <v>160</v>
      </c>
      <c r="I94">
        <v>2100</v>
      </c>
      <c r="J94" t="s">
        <v>31</v>
      </c>
      <c r="K94">
        <f>AVERAGE(G94:G95)</f>
        <v>85</v>
      </c>
      <c r="L94" cm="1">
        <f t="array" ref="L94">STOWA2024_JAARROND_T(A94*60,K94,I94,J94,"")</f>
        <v>3.3305536310595913</v>
      </c>
      <c r="M94">
        <f>1/L94</f>
        <v>0.3002503820008619</v>
      </c>
    </row>
    <row r="95" spans="1:13" x14ac:dyDescent="0.3">
      <c r="A95">
        <v>192</v>
      </c>
      <c r="B95" s="1">
        <f>365.25*24/A95 - M95</f>
        <v>-13.685419410507144</v>
      </c>
      <c r="C95">
        <f>B95</f>
        <v>-13.685419410507144</v>
      </c>
      <c r="D95" t="s">
        <v>34</v>
      </c>
      <c r="E95" t="s">
        <v>21</v>
      </c>
      <c r="F95">
        <v>1</v>
      </c>
      <c r="G95">
        <v>10</v>
      </c>
      <c r="I95">
        <v>2100</v>
      </c>
      <c r="J95" t="s">
        <v>31</v>
      </c>
      <c r="K95">
        <f>AVERAGE(G95:G97)</f>
        <v>15</v>
      </c>
      <c r="L95" cm="1">
        <f t="array" ref="L95">STOWA2024_JAARROND_T(A95*60,K95,I95,J95,"")</f>
        <v>1.685156501213864E-2</v>
      </c>
      <c r="M95">
        <f>1/L95</f>
        <v>59.341669410507144</v>
      </c>
    </row>
    <row r="96" spans="1:13" x14ac:dyDescent="0.3">
      <c r="A96">
        <v>192</v>
      </c>
      <c r="B96">
        <f t="shared" ref="B96:B100" si="27">M95-M96</f>
        <v>7.6765971337575252</v>
      </c>
      <c r="C96">
        <f t="shared" ref="C96:C125" si="28">B96</f>
        <v>7.6765971337575252</v>
      </c>
      <c r="D96" t="s">
        <v>34</v>
      </c>
      <c r="E96" t="s">
        <v>21</v>
      </c>
      <c r="F96">
        <v>1</v>
      </c>
      <c r="G96">
        <f t="shared" ref="G96:G100" si="29">G95+5</f>
        <v>15</v>
      </c>
      <c r="I96">
        <v>2100</v>
      </c>
      <c r="J96" t="s">
        <v>31</v>
      </c>
      <c r="K96">
        <f t="shared" ref="K96:K100" si="30">AVERAGE(G96:G97)</f>
        <v>17.5</v>
      </c>
      <c r="L96" cm="1">
        <f t="array" ref="L96">STOWA2024_JAARROND_T(A96*60,K96,I96,J96,"")</f>
        <v>1.935543600216778E-2</v>
      </c>
      <c r="M96">
        <f t="shared" ref="M96:M100" si="31">1/L96</f>
        <v>51.665072276749619</v>
      </c>
    </row>
    <row r="97" spans="1:13" x14ac:dyDescent="0.3">
      <c r="A97">
        <v>192</v>
      </c>
      <c r="B97">
        <f t="shared" si="27"/>
        <v>12.512747007700519</v>
      </c>
      <c r="C97">
        <f t="shared" si="28"/>
        <v>12.512747007700519</v>
      </c>
      <c r="D97" t="s">
        <v>34</v>
      </c>
      <c r="E97" t="s">
        <v>21</v>
      </c>
      <c r="F97">
        <v>1</v>
      </c>
      <c r="G97">
        <f t="shared" si="29"/>
        <v>20</v>
      </c>
      <c r="I97">
        <v>2100</v>
      </c>
      <c r="J97" t="s">
        <v>31</v>
      </c>
      <c r="K97">
        <f t="shared" si="30"/>
        <v>22.5</v>
      </c>
      <c r="L97" cm="1">
        <f t="array" ref="L97">STOWA2024_JAARROND_T(A97*60,K97,I97,J97,"")</f>
        <v>2.5541267169399137E-2</v>
      </c>
      <c r="M97">
        <f t="shared" si="31"/>
        <v>39.152325269049101</v>
      </c>
    </row>
    <row r="98" spans="1:13" x14ac:dyDescent="0.3">
      <c r="A98">
        <v>192</v>
      </c>
      <c r="B98">
        <f t="shared" si="27"/>
        <v>9.4921758896920281</v>
      </c>
      <c r="C98">
        <f t="shared" si="28"/>
        <v>9.4921758896920281</v>
      </c>
      <c r="D98" t="s">
        <v>34</v>
      </c>
      <c r="E98" t="s">
        <v>21</v>
      </c>
      <c r="F98">
        <v>1</v>
      </c>
      <c r="G98">
        <f t="shared" si="29"/>
        <v>25</v>
      </c>
      <c r="I98">
        <v>2100</v>
      </c>
      <c r="J98" t="s">
        <v>31</v>
      </c>
      <c r="K98">
        <f t="shared" si="30"/>
        <v>27.5</v>
      </c>
      <c r="L98" cm="1">
        <f t="array" ref="L98">STOWA2024_JAARROND_T(A98*60,K98,I98,J98,"")</f>
        <v>3.371527186899409E-2</v>
      </c>
      <c r="M98">
        <f t="shared" si="31"/>
        <v>29.660149379357073</v>
      </c>
    </row>
    <row r="99" spans="1:13" x14ac:dyDescent="0.3">
      <c r="A99">
        <v>192</v>
      </c>
      <c r="B99">
        <f t="shared" si="27"/>
        <v>7.1982509517006186</v>
      </c>
      <c r="C99">
        <f t="shared" si="28"/>
        <v>7.1982509517006186</v>
      </c>
      <c r="D99" t="s">
        <v>34</v>
      </c>
      <c r="E99" t="s">
        <v>21</v>
      </c>
      <c r="F99">
        <v>1</v>
      </c>
      <c r="G99">
        <f t="shared" si="29"/>
        <v>30</v>
      </c>
      <c r="I99">
        <v>2100</v>
      </c>
      <c r="J99" t="s">
        <v>31</v>
      </c>
      <c r="K99">
        <f t="shared" si="30"/>
        <v>32.5</v>
      </c>
      <c r="L99" cm="1">
        <f t="array" ref="L99">STOWA2024_JAARROND_T(A99*60,K99,I99,J99,"")</f>
        <v>4.4519834475288129E-2</v>
      </c>
      <c r="M99">
        <f t="shared" si="31"/>
        <v>22.461898427656454</v>
      </c>
    </row>
    <row r="100" spans="1:13" x14ac:dyDescent="0.3">
      <c r="A100">
        <v>192</v>
      </c>
      <c r="B100">
        <f t="shared" si="27"/>
        <v>5.4568975278543022</v>
      </c>
      <c r="C100">
        <f t="shared" si="28"/>
        <v>5.4568975278543022</v>
      </c>
      <c r="D100" t="s">
        <v>34</v>
      </c>
      <c r="E100" t="s">
        <v>21</v>
      </c>
      <c r="F100">
        <v>1</v>
      </c>
      <c r="G100">
        <f t="shared" si="29"/>
        <v>35</v>
      </c>
      <c r="I100">
        <v>2100</v>
      </c>
      <c r="J100" t="s">
        <v>31</v>
      </c>
      <c r="K100">
        <f t="shared" si="30"/>
        <v>37.5</v>
      </c>
      <c r="L100" cm="1">
        <f t="array" ref="L100">STOWA2024_JAARROND_T(A100*60,K100,I100,J100,"")</f>
        <v>5.8806230349075415E-2</v>
      </c>
      <c r="M100">
        <f t="shared" si="31"/>
        <v>17.005000899802152</v>
      </c>
    </row>
    <row r="101" spans="1:13" x14ac:dyDescent="0.3">
      <c r="A101">
        <v>192</v>
      </c>
      <c r="B101">
        <f>M100-M101</f>
        <v>4.1356333716855307</v>
      </c>
      <c r="C101">
        <f t="shared" si="28"/>
        <v>4.1356333716855307</v>
      </c>
      <c r="D101" t="s">
        <v>34</v>
      </c>
      <c r="E101" t="s">
        <v>21</v>
      </c>
      <c r="F101">
        <v>1</v>
      </c>
      <c r="G101">
        <f>G100+5</f>
        <v>40</v>
      </c>
      <c r="I101">
        <v>2100</v>
      </c>
      <c r="J101" t="s">
        <v>31</v>
      </c>
      <c r="K101">
        <f>AVERAGE(G101:G102)</f>
        <v>42.5</v>
      </c>
      <c r="L101" cm="1">
        <f t="array" ref="L101">STOWA2024_JAARROND_T(A101*60,K101,I101,J101,"")</f>
        <v>7.7703896311549808E-2</v>
      </c>
      <c r="M101">
        <f>1/L101</f>
        <v>12.869367528116621</v>
      </c>
    </row>
    <row r="102" spans="1:13" x14ac:dyDescent="0.3">
      <c r="A102">
        <v>192</v>
      </c>
      <c r="B102">
        <f t="shared" ref="B102:B124" si="32">M101-M102</f>
        <v>3.1329138756332284</v>
      </c>
      <c r="C102">
        <f t="shared" si="28"/>
        <v>3.1329138756332284</v>
      </c>
      <c r="D102" t="s">
        <v>34</v>
      </c>
      <c r="E102" t="s">
        <v>21</v>
      </c>
      <c r="F102">
        <v>1</v>
      </c>
      <c r="G102">
        <f t="shared" ref="G102:G125" si="33">G101+5</f>
        <v>45</v>
      </c>
      <c r="I102">
        <v>2100</v>
      </c>
      <c r="J102" t="s">
        <v>31</v>
      </c>
      <c r="K102">
        <f t="shared" ref="K102:K124" si="34">AVERAGE(G102:G103)</f>
        <v>47.5</v>
      </c>
      <c r="L102" cm="1">
        <f t="array" ref="L102">STOWA2024_JAARROND_T(A102*60,K102,I102,J102,"")</f>
        <v>0.10270680020593932</v>
      </c>
      <c r="M102">
        <f t="shared" ref="M102:M124" si="35">1/L102</f>
        <v>9.7364536524833927</v>
      </c>
    </row>
    <row r="103" spans="1:13" x14ac:dyDescent="0.3">
      <c r="A103">
        <v>192</v>
      </c>
      <c r="B103">
        <f t="shared" si="32"/>
        <v>2.3726931910768814</v>
      </c>
      <c r="C103">
        <f t="shared" si="28"/>
        <v>2.3726931910768814</v>
      </c>
      <c r="D103" t="s">
        <v>34</v>
      </c>
      <c r="E103" t="s">
        <v>21</v>
      </c>
      <c r="F103">
        <v>1</v>
      </c>
      <c r="G103">
        <f t="shared" si="33"/>
        <v>50</v>
      </c>
      <c r="I103">
        <v>2100</v>
      </c>
      <c r="J103" t="s">
        <v>31</v>
      </c>
      <c r="K103">
        <f t="shared" si="34"/>
        <v>52.5</v>
      </c>
      <c r="L103" cm="1">
        <f t="array" ref="L103">STOWA2024_JAARROND_T(A103*60,K103,I103,J103,"")</f>
        <v>0.13580018052474721</v>
      </c>
      <c r="M103">
        <f t="shared" si="35"/>
        <v>7.3637604614065113</v>
      </c>
    </row>
    <row r="104" spans="1:13" x14ac:dyDescent="0.3">
      <c r="A104">
        <v>192</v>
      </c>
      <c r="B104">
        <f t="shared" si="32"/>
        <v>1.7964095649064387</v>
      </c>
      <c r="C104">
        <f t="shared" si="28"/>
        <v>1.7964095649064387</v>
      </c>
      <c r="D104" t="s">
        <v>34</v>
      </c>
      <c r="E104" t="s">
        <v>21</v>
      </c>
      <c r="F104">
        <v>1</v>
      </c>
      <c r="G104">
        <f t="shared" si="33"/>
        <v>55</v>
      </c>
      <c r="I104">
        <v>2100</v>
      </c>
      <c r="J104" t="s">
        <v>31</v>
      </c>
      <c r="K104">
        <f t="shared" si="34"/>
        <v>57.5</v>
      </c>
      <c r="L104" cm="1">
        <f t="array" ref="L104">STOWA2024_JAARROND_T(A104*60,K104,I104,J104,"")</f>
        <v>0.17961864064085706</v>
      </c>
      <c r="M104">
        <f t="shared" si="35"/>
        <v>5.5673508965000726</v>
      </c>
    </row>
    <row r="105" spans="1:13" x14ac:dyDescent="0.3">
      <c r="A105">
        <v>192</v>
      </c>
      <c r="B105">
        <f t="shared" si="32"/>
        <v>1.3595723616848412</v>
      </c>
      <c r="C105">
        <f t="shared" si="28"/>
        <v>1.3595723616848412</v>
      </c>
      <c r="D105" t="s">
        <v>34</v>
      </c>
      <c r="E105" t="s">
        <v>21</v>
      </c>
      <c r="F105">
        <v>1</v>
      </c>
      <c r="G105">
        <f t="shared" si="33"/>
        <v>60</v>
      </c>
      <c r="I105">
        <v>2100</v>
      </c>
      <c r="J105" t="s">
        <v>31</v>
      </c>
      <c r="K105">
        <f t="shared" si="34"/>
        <v>62.5</v>
      </c>
      <c r="L105" cm="1">
        <f t="array" ref="L105">STOWA2024_JAARROND_T(A105*60,K105,I105,J105,"")</f>
        <v>0.23765509323410988</v>
      </c>
      <c r="M105">
        <f t="shared" si="35"/>
        <v>4.2077785348152315</v>
      </c>
    </row>
    <row r="106" spans="1:13" x14ac:dyDescent="0.3">
      <c r="A106">
        <v>192</v>
      </c>
      <c r="B106">
        <f t="shared" si="32"/>
        <v>1.0286169391193765</v>
      </c>
      <c r="C106">
        <f t="shared" si="28"/>
        <v>1.0286169391193765</v>
      </c>
      <c r="D106" t="s">
        <v>34</v>
      </c>
      <c r="E106" t="s">
        <v>21</v>
      </c>
      <c r="F106">
        <v>1</v>
      </c>
      <c r="G106">
        <f t="shared" si="33"/>
        <v>65</v>
      </c>
      <c r="I106">
        <v>2100</v>
      </c>
      <c r="J106" t="s">
        <v>31</v>
      </c>
      <c r="K106">
        <f t="shared" si="34"/>
        <v>67.5</v>
      </c>
      <c r="L106" cm="1">
        <f t="array" ref="L106">STOWA2024_JAARROND_T(A106*60,K106,I106,J106,"")</f>
        <v>0.31454833920800429</v>
      </c>
      <c r="M106">
        <f t="shared" si="35"/>
        <v>3.179161595695855</v>
      </c>
    </row>
    <row r="107" spans="1:13" x14ac:dyDescent="0.3">
      <c r="A107">
        <v>192</v>
      </c>
      <c r="B107">
        <f t="shared" si="32"/>
        <v>0.77796463311483821</v>
      </c>
      <c r="C107">
        <f t="shared" si="28"/>
        <v>0.77796463311483821</v>
      </c>
      <c r="D107" t="s">
        <v>34</v>
      </c>
      <c r="E107" t="s">
        <v>21</v>
      </c>
      <c r="F107">
        <v>1</v>
      </c>
      <c r="G107">
        <f t="shared" si="33"/>
        <v>70</v>
      </c>
      <c r="I107">
        <v>2100</v>
      </c>
      <c r="J107" t="s">
        <v>31</v>
      </c>
      <c r="K107">
        <f t="shared" si="34"/>
        <v>72.5</v>
      </c>
      <c r="L107" cm="1">
        <f t="array" ref="L107">STOWA2024_JAARROND_T(A107*60,K107,I107,J107,"")</f>
        <v>0.41645896425135925</v>
      </c>
      <c r="M107">
        <f t="shared" si="35"/>
        <v>2.4011969625810168</v>
      </c>
    </row>
    <row r="108" spans="1:13" x14ac:dyDescent="0.3">
      <c r="A108">
        <v>192</v>
      </c>
      <c r="B108">
        <f t="shared" si="32"/>
        <v>0.588212321912156</v>
      </c>
      <c r="C108">
        <f t="shared" si="28"/>
        <v>0.588212321912156</v>
      </c>
      <c r="D108" t="s">
        <v>34</v>
      </c>
      <c r="E108" t="s">
        <v>21</v>
      </c>
      <c r="F108">
        <v>1</v>
      </c>
      <c r="G108">
        <f t="shared" si="33"/>
        <v>75</v>
      </c>
      <c r="I108">
        <v>2100</v>
      </c>
      <c r="J108" t="s">
        <v>31</v>
      </c>
      <c r="K108">
        <f t="shared" si="34"/>
        <v>77.5</v>
      </c>
      <c r="L108" cm="1">
        <f t="array" ref="L108">STOWA2024_JAARROND_T(A108*60,K108,I108,J108,"")</f>
        <v>0.55157665297764025</v>
      </c>
      <c r="M108">
        <f t="shared" si="35"/>
        <v>1.8129846406688608</v>
      </c>
    </row>
    <row r="109" spans="1:13" x14ac:dyDescent="0.3">
      <c r="A109">
        <v>192</v>
      </c>
      <c r="B109">
        <f t="shared" si="32"/>
        <v>0.44457953489668389</v>
      </c>
      <c r="C109">
        <f t="shared" si="28"/>
        <v>0.44457953489668389</v>
      </c>
      <c r="D109" t="s">
        <v>34</v>
      </c>
      <c r="E109" t="s">
        <v>21</v>
      </c>
      <c r="F109">
        <v>1</v>
      </c>
      <c r="G109">
        <f t="shared" si="33"/>
        <v>80</v>
      </c>
      <c r="I109">
        <v>2100</v>
      </c>
      <c r="J109" t="s">
        <v>31</v>
      </c>
      <c r="K109">
        <f t="shared" si="34"/>
        <v>82.5</v>
      </c>
      <c r="L109" cm="1">
        <f t="array" ref="L109">STOWA2024_JAARROND_T(A109*60,K109,I109,J109,"")</f>
        <v>0.73077774686883412</v>
      </c>
      <c r="M109">
        <f t="shared" si="35"/>
        <v>1.3684051057721769</v>
      </c>
    </row>
    <row r="110" spans="1:13" x14ac:dyDescent="0.3">
      <c r="A110">
        <v>192</v>
      </c>
      <c r="B110">
        <f t="shared" si="32"/>
        <v>0.33591441433012692</v>
      </c>
      <c r="C110">
        <f t="shared" si="28"/>
        <v>0.33591441433012692</v>
      </c>
      <c r="D110" t="s">
        <v>34</v>
      </c>
      <c r="E110" t="s">
        <v>21</v>
      </c>
      <c r="F110">
        <v>1</v>
      </c>
      <c r="G110">
        <f t="shared" si="33"/>
        <v>85</v>
      </c>
      <c r="I110">
        <v>2100</v>
      </c>
      <c r="J110" t="s">
        <v>31</v>
      </c>
      <c r="K110">
        <f t="shared" si="34"/>
        <v>87.5</v>
      </c>
      <c r="L110" cm="1">
        <f t="array" ref="L110">STOWA2024_JAARROND_T(A110*60,K110,I110,J110,"")</f>
        <v>0.96853173426999994</v>
      </c>
      <c r="M110">
        <f t="shared" si="35"/>
        <v>1.03249069144205</v>
      </c>
    </row>
    <row r="111" spans="1:13" x14ac:dyDescent="0.3">
      <c r="A111">
        <v>192</v>
      </c>
      <c r="B111">
        <f t="shared" si="32"/>
        <v>0.25364369653341134</v>
      </c>
      <c r="C111">
        <f t="shared" si="28"/>
        <v>0.25364369653341134</v>
      </c>
      <c r="D111" t="s">
        <v>34</v>
      </c>
      <c r="E111" t="s">
        <v>21</v>
      </c>
      <c r="F111">
        <v>1</v>
      </c>
      <c r="G111">
        <f t="shared" si="33"/>
        <v>90</v>
      </c>
      <c r="I111">
        <v>2100</v>
      </c>
      <c r="J111" t="s">
        <v>31</v>
      </c>
      <c r="K111">
        <f t="shared" si="34"/>
        <v>92.5</v>
      </c>
      <c r="L111" cm="1">
        <f t="array" ref="L111">STOWA2024_JAARROND_T(A111*60,K111,I111,J111,"")</f>
        <v>1.2839492307693932</v>
      </c>
      <c r="M111">
        <f t="shared" si="35"/>
        <v>0.77884699490863862</v>
      </c>
    </row>
    <row r="112" spans="1:13" x14ac:dyDescent="0.3">
      <c r="A112">
        <v>192</v>
      </c>
      <c r="B112">
        <f t="shared" si="32"/>
        <v>0.19158820230410389</v>
      </c>
      <c r="C112">
        <f t="shared" si="28"/>
        <v>0.19158820230410389</v>
      </c>
      <c r="D112" t="s">
        <v>34</v>
      </c>
      <c r="E112" t="s">
        <v>21</v>
      </c>
      <c r="F112">
        <v>1</v>
      </c>
      <c r="G112">
        <f t="shared" si="33"/>
        <v>95</v>
      </c>
      <c r="I112">
        <v>2100</v>
      </c>
      <c r="J112" t="s">
        <v>31</v>
      </c>
      <c r="K112">
        <f t="shared" si="34"/>
        <v>97.5</v>
      </c>
      <c r="L112" cm="1">
        <f t="array" ref="L112">STOWA2024_JAARROND_T(A112*60,K112,I112,J112,"")</f>
        <v>1.702826781979591</v>
      </c>
      <c r="M112">
        <f t="shared" si="35"/>
        <v>0.58725879260453473</v>
      </c>
    </row>
    <row r="113" spans="1:13" x14ac:dyDescent="0.3">
      <c r="A113">
        <v>192</v>
      </c>
      <c r="B113">
        <f t="shared" si="32"/>
        <v>0.14461216306103014</v>
      </c>
      <c r="C113">
        <f t="shared" si="28"/>
        <v>0.14461216306103014</v>
      </c>
      <c r="D113" t="s">
        <v>34</v>
      </c>
      <c r="E113" t="s">
        <v>21</v>
      </c>
      <c r="F113">
        <v>1</v>
      </c>
      <c r="G113">
        <f t="shared" si="33"/>
        <v>100</v>
      </c>
      <c r="I113">
        <v>2100</v>
      </c>
      <c r="J113" t="s">
        <v>31</v>
      </c>
      <c r="K113">
        <f t="shared" si="34"/>
        <v>102.5</v>
      </c>
      <c r="L113" cm="1">
        <f t="array" ref="L113">STOWA2024_JAARROND_T(A113*60,K113,I113,J113,"")</f>
        <v>2.2591384035416384</v>
      </c>
      <c r="M113">
        <f t="shared" si="35"/>
        <v>0.44264662954350459</v>
      </c>
    </row>
    <row r="114" spans="1:13" x14ac:dyDescent="0.3">
      <c r="A114">
        <v>192</v>
      </c>
      <c r="B114">
        <f t="shared" si="32"/>
        <v>0.10911417547912533</v>
      </c>
      <c r="C114">
        <f t="shared" si="28"/>
        <v>0.10911417547912533</v>
      </c>
      <c r="D114" t="s">
        <v>34</v>
      </c>
      <c r="E114" t="s">
        <v>21</v>
      </c>
      <c r="F114">
        <v>1</v>
      </c>
      <c r="G114">
        <f t="shared" si="33"/>
        <v>105</v>
      </c>
      <c r="I114">
        <v>2100</v>
      </c>
      <c r="J114" t="s">
        <v>31</v>
      </c>
      <c r="K114">
        <f t="shared" si="34"/>
        <v>107.5</v>
      </c>
      <c r="L114" cm="1">
        <f t="array" ref="L114">STOWA2024_JAARROND_T(A114*60,K114,I114,J114,"")</f>
        <v>2.9982089833062466</v>
      </c>
      <c r="M114">
        <f t="shared" si="35"/>
        <v>0.33353245406437926</v>
      </c>
    </row>
    <row r="115" spans="1:13" x14ac:dyDescent="0.3">
      <c r="A115">
        <v>192</v>
      </c>
      <c r="B115">
        <f t="shared" si="32"/>
        <v>8.2303963091904742E-2</v>
      </c>
      <c r="C115">
        <f t="shared" si="28"/>
        <v>8.2303963091904742E-2</v>
      </c>
      <c r="D115" t="s">
        <v>34</v>
      </c>
      <c r="E115" t="s">
        <v>21</v>
      </c>
      <c r="F115">
        <v>1</v>
      </c>
      <c r="G115">
        <f t="shared" si="33"/>
        <v>110</v>
      </c>
      <c r="I115">
        <v>2100</v>
      </c>
      <c r="J115" t="s">
        <v>31</v>
      </c>
      <c r="K115">
        <f t="shared" si="34"/>
        <v>112.5</v>
      </c>
      <c r="L115" cm="1">
        <f t="array" ref="L115">STOWA2024_JAARROND_T(A115*60,K115,I115,J115,"")</f>
        <v>3.9804402602950142</v>
      </c>
      <c r="M115">
        <f t="shared" si="35"/>
        <v>0.25122849097247452</v>
      </c>
    </row>
    <row r="116" spans="1:13" x14ac:dyDescent="0.3">
      <c r="A116">
        <v>192</v>
      </c>
      <c r="B116">
        <f t="shared" si="32"/>
        <v>6.2059643625263283E-2</v>
      </c>
      <c r="C116">
        <f t="shared" si="28"/>
        <v>6.2059643625263283E-2</v>
      </c>
      <c r="D116" t="s">
        <v>34</v>
      </c>
      <c r="E116" t="s">
        <v>21</v>
      </c>
      <c r="F116">
        <v>1</v>
      </c>
      <c r="G116">
        <f t="shared" si="33"/>
        <v>115</v>
      </c>
      <c r="I116">
        <v>2100</v>
      </c>
      <c r="J116" t="s">
        <v>31</v>
      </c>
      <c r="K116">
        <f t="shared" si="34"/>
        <v>117.5</v>
      </c>
      <c r="L116" cm="1">
        <f t="array" ref="L116">STOWA2024_JAARROND_T(A116*60,K116,I116,J116,"")</f>
        <v>5.2862826729844334</v>
      </c>
      <c r="M116">
        <f t="shared" si="35"/>
        <v>0.18916884734721123</v>
      </c>
    </row>
    <row r="117" spans="1:13" x14ac:dyDescent="0.3">
      <c r="A117">
        <v>192</v>
      </c>
      <c r="B117">
        <f t="shared" si="32"/>
        <v>4.677862776516814E-2</v>
      </c>
      <c r="C117">
        <f t="shared" si="28"/>
        <v>4.677862776516814E-2</v>
      </c>
      <c r="D117" t="s">
        <v>34</v>
      </c>
      <c r="E117" t="s">
        <v>21</v>
      </c>
      <c r="F117">
        <v>1</v>
      </c>
      <c r="G117">
        <f t="shared" si="33"/>
        <v>120</v>
      </c>
      <c r="I117">
        <v>2100</v>
      </c>
      <c r="J117" t="s">
        <v>31</v>
      </c>
      <c r="K117">
        <f t="shared" si="34"/>
        <v>122.5</v>
      </c>
      <c r="L117" cm="1">
        <f t="array" ref="L117">STOWA2024_JAARROND_T(A117*60,K117,I117,J117,"")</f>
        <v>7.0229542656461401</v>
      </c>
      <c r="M117">
        <f t="shared" si="35"/>
        <v>0.14239021958204309</v>
      </c>
    </row>
    <row r="118" spans="1:13" x14ac:dyDescent="0.3">
      <c r="A118">
        <v>192</v>
      </c>
      <c r="B118">
        <f t="shared" si="32"/>
        <v>3.5248087766039923E-2</v>
      </c>
      <c r="C118">
        <f t="shared" si="28"/>
        <v>3.5248087766039923E-2</v>
      </c>
      <c r="D118" t="s">
        <v>34</v>
      </c>
      <c r="E118" t="s">
        <v>21</v>
      </c>
      <c r="F118">
        <v>1</v>
      </c>
      <c r="G118">
        <f t="shared" si="33"/>
        <v>125</v>
      </c>
      <c r="I118">
        <v>2100</v>
      </c>
      <c r="J118" t="s">
        <v>31</v>
      </c>
      <c r="K118">
        <f t="shared" si="34"/>
        <v>127.5</v>
      </c>
      <c r="L118" cm="1">
        <f t="array" ref="L118">STOWA2024_JAARROND_T(A118*60,K118,I118,J118,"")</f>
        <v>9.3333965177892431</v>
      </c>
      <c r="M118">
        <f t="shared" si="35"/>
        <v>0.10714213181600317</v>
      </c>
    </row>
    <row r="119" spans="1:13" x14ac:dyDescent="0.3">
      <c r="A119">
        <v>192</v>
      </c>
      <c r="B119">
        <f t="shared" si="32"/>
        <v>2.6550547277704423E-2</v>
      </c>
      <c r="C119">
        <f t="shared" si="28"/>
        <v>2.6550547277704423E-2</v>
      </c>
      <c r="D119" t="s">
        <v>34</v>
      </c>
      <c r="E119" t="s">
        <v>21</v>
      </c>
      <c r="F119">
        <v>1</v>
      </c>
      <c r="G119">
        <f t="shared" si="33"/>
        <v>130</v>
      </c>
      <c r="I119">
        <v>2100</v>
      </c>
      <c r="J119" t="s">
        <v>31</v>
      </c>
      <c r="K119">
        <f t="shared" si="34"/>
        <v>132.5</v>
      </c>
      <c r="L119" cm="1">
        <f t="array" ref="L119">STOWA2024_JAARROND_T(A119*60,K119,I119,J119,"")</f>
        <v>12.408243437933397</v>
      </c>
      <c r="M119">
        <f t="shared" si="35"/>
        <v>8.0591584538298747E-2</v>
      </c>
    </row>
    <row r="120" spans="1:13" x14ac:dyDescent="0.3">
      <c r="A120">
        <v>192</v>
      </c>
      <c r="B120">
        <f t="shared" si="32"/>
        <v>1.9991803258307517E-2</v>
      </c>
      <c r="C120">
        <f t="shared" si="28"/>
        <v>1.9991803258307517E-2</v>
      </c>
      <c r="D120" t="s">
        <v>34</v>
      </c>
      <c r="E120" t="s">
        <v>21</v>
      </c>
      <c r="F120">
        <v>1</v>
      </c>
      <c r="G120">
        <f t="shared" si="33"/>
        <v>135</v>
      </c>
      <c r="I120">
        <v>2100</v>
      </c>
      <c r="J120" t="s">
        <v>31</v>
      </c>
      <c r="K120">
        <f t="shared" si="34"/>
        <v>137.5</v>
      </c>
      <c r="L120" cm="1">
        <f t="array" ref="L120">STOWA2024_JAARROND_T(A120*60,K120,I120,J120,"")</f>
        <v>16.501709723664941</v>
      </c>
      <c r="M120">
        <f t="shared" si="35"/>
        <v>6.059978127999123E-2</v>
      </c>
    </row>
    <row r="121" spans="1:13" x14ac:dyDescent="0.3">
      <c r="A121">
        <v>192</v>
      </c>
      <c r="B121">
        <f t="shared" si="32"/>
        <v>1.5048788181589522E-2</v>
      </c>
      <c r="C121">
        <f t="shared" si="28"/>
        <v>1.5048788181589522E-2</v>
      </c>
      <c r="D121" t="s">
        <v>34</v>
      </c>
      <c r="E121" t="s">
        <v>21</v>
      </c>
      <c r="F121">
        <v>1</v>
      </c>
      <c r="G121">
        <f t="shared" si="33"/>
        <v>140</v>
      </c>
      <c r="I121">
        <v>2100</v>
      </c>
      <c r="J121" t="s">
        <v>31</v>
      </c>
      <c r="K121">
        <f t="shared" si="34"/>
        <v>142.5</v>
      </c>
      <c r="L121" cm="1">
        <f t="array" ref="L121">STOWA2024_JAARROND_T(A121*60,K121,I121,J121,"")</f>
        <v>21.95341817992302</v>
      </c>
      <c r="M121">
        <f t="shared" si="35"/>
        <v>4.5550993098401708E-2</v>
      </c>
    </row>
    <row r="122" spans="1:13" x14ac:dyDescent="0.3">
      <c r="A122">
        <v>192</v>
      </c>
      <c r="B122">
        <f t="shared" si="32"/>
        <v>1.1323671583380331E-2</v>
      </c>
      <c r="C122">
        <f t="shared" si="28"/>
        <v>1.1323671583380331E-2</v>
      </c>
      <c r="D122" t="s">
        <v>34</v>
      </c>
      <c r="E122" t="s">
        <v>21</v>
      </c>
      <c r="F122">
        <v>1</v>
      </c>
      <c r="G122">
        <f t="shared" si="33"/>
        <v>145</v>
      </c>
      <c r="I122">
        <v>2100</v>
      </c>
      <c r="J122" t="s">
        <v>31</v>
      </c>
      <c r="K122">
        <f t="shared" si="34"/>
        <v>147.5</v>
      </c>
      <c r="L122" cm="1">
        <f t="array" ref="L122">STOWA2024_JAARROND_T(A122*60,K122,I122,J122,"")</f>
        <v>29.216425818220365</v>
      </c>
      <c r="M122">
        <f t="shared" si="35"/>
        <v>3.4227321515021378E-2</v>
      </c>
    </row>
    <row r="123" spans="1:13" x14ac:dyDescent="0.3">
      <c r="A123">
        <v>192</v>
      </c>
      <c r="B123">
        <f t="shared" si="32"/>
        <v>8.5176882861750583E-3</v>
      </c>
      <c r="C123">
        <f t="shared" si="28"/>
        <v>8.5176882861750583E-3</v>
      </c>
      <c r="D123" t="s">
        <v>34</v>
      </c>
      <c r="E123" t="s">
        <v>21</v>
      </c>
      <c r="F123">
        <v>1</v>
      </c>
      <c r="G123">
        <f t="shared" si="33"/>
        <v>150</v>
      </c>
      <c r="I123">
        <v>2100</v>
      </c>
      <c r="J123" t="s">
        <v>31</v>
      </c>
      <c r="K123">
        <f t="shared" si="34"/>
        <v>152.5</v>
      </c>
      <c r="L123" cm="1">
        <f t="array" ref="L123">STOWA2024_JAARROND_T(A123*60,K123,I123,J123,"")</f>
        <v>38.895926328423684</v>
      </c>
      <c r="M123">
        <f t="shared" si="35"/>
        <v>2.5709633228846319E-2</v>
      </c>
    </row>
    <row r="124" spans="1:13" x14ac:dyDescent="0.3">
      <c r="A124">
        <v>192</v>
      </c>
      <c r="B124">
        <f t="shared" si="32"/>
        <v>6.4046684814553154E-3</v>
      </c>
      <c r="C124">
        <f t="shared" si="28"/>
        <v>6.4046684814553154E-3</v>
      </c>
      <c r="D124" t="s">
        <v>34</v>
      </c>
      <c r="E124" t="s">
        <v>21</v>
      </c>
      <c r="F124">
        <v>1</v>
      </c>
      <c r="G124">
        <f t="shared" si="33"/>
        <v>155</v>
      </c>
      <c r="I124">
        <v>2100</v>
      </c>
      <c r="J124" t="s">
        <v>31</v>
      </c>
      <c r="K124">
        <f t="shared" si="34"/>
        <v>157.5</v>
      </c>
      <c r="L124" cm="1">
        <f t="array" ref="L124">STOWA2024_JAARROND_T(A124*60,K124,I124,J124,"")</f>
        <v>51.800146391624281</v>
      </c>
      <c r="M124">
        <f t="shared" si="35"/>
        <v>1.9304964747391004E-2</v>
      </c>
    </row>
    <row r="125" spans="1:13" x14ac:dyDescent="0.3">
      <c r="A125">
        <v>192</v>
      </c>
      <c r="B125" s="1">
        <f>M124</f>
        <v>1.9304964747391004E-2</v>
      </c>
      <c r="C125">
        <f t="shared" si="28"/>
        <v>1.9304964747391004E-2</v>
      </c>
      <c r="D125" t="s">
        <v>34</v>
      </c>
      <c r="E125" t="s">
        <v>21</v>
      </c>
      <c r="F125">
        <v>1</v>
      </c>
      <c r="G125">
        <f t="shared" si="33"/>
        <v>160</v>
      </c>
      <c r="I125">
        <v>2100</v>
      </c>
      <c r="J125" t="s">
        <v>31</v>
      </c>
      <c r="K125">
        <f>AVERAGE(G125:G126)</f>
        <v>85</v>
      </c>
      <c r="L125" cm="1">
        <f t="array" ref="L125">STOWA2024_JAARROND_T(A125*60,K125,I125,J125,"")</f>
        <v>0.84126621036912419</v>
      </c>
      <c r="M125">
        <f>1/L125</f>
        <v>1.1886843756166408</v>
      </c>
    </row>
    <row r="126" spans="1:13" x14ac:dyDescent="0.3">
      <c r="A126">
        <v>216</v>
      </c>
      <c r="B126" s="1">
        <f>365.25*24/A126 - M126</f>
        <v>-20.147561086934736</v>
      </c>
      <c r="C126">
        <f>B126</f>
        <v>-20.147561086934736</v>
      </c>
      <c r="D126" t="s">
        <v>34</v>
      </c>
      <c r="E126" t="s">
        <v>21</v>
      </c>
      <c r="F126">
        <v>1</v>
      </c>
      <c r="G126">
        <v>10</v>
      </c>
      <c r="I126">
        <v>2100</v>
      </c>
      <c r="J126" t="s">
        <v>31</v>
      </c>
      <c r="K126">
        <f>AVERAGE(G126:G128)</f>
        <v>15</v>
      </c>
      <c r="L126" cm="1">
        <f t="array" ref="L126">STOWA2024_JAARROND_T(A126*60,K126,I126,J126,"")</f>
        <v>1.6466083853134628E-2</v>
      </c>
      <c r="M126">
        <f>1/L126</f>
        <v>60.730894420268072</v>
      </c>
    </row>
    <row r="127" spans="1:13" x14ac:dyDescent="0.3">
      <c r="A127">
        <v>216</v>
      </c>
      <c r="B127">
        <f t="shared" ref="B127:B131" si="36">M126-M127</f>
        <v>7.2837554372538875</v>
      </c>
      <c r="C127">
        <f t="shared" ref="C127:C156" si="37">B127</f>
        <v>7.2837554372538875</v>
      </c>
      <c r="D127" t="s">
        <v>34</v>
      </c>
      <c r="E127" t="s">
        <v>21</v>
      </c>
      <c r="F127">
        <v>1</v>
      </c>
      <c r="G127">
        <f t="shared" ref="G127:G131" si="38">G126+5</f>
        <v>15</v>
      </c>
      <c r="I127">
        <v>2100</v>
      </c>
      <c r="J127" t="s">
        <v>31</v>
      </c>
      <c r="K127">
        <f t="shared" ref="K127:K131" si="39">AVERAGE(G127:G128)</f>
        <v>17.5</v>
      </c>
      <c r="L127" cm="1">
        <f t="array" ref="L127">STOWA2024_JAARROND_T(A127*60,K127,I127,J127,"")</f>
        <v>1.8710075394640036E-2</v>
      </c>
      <c r="M127">
        <f t="shared" ref="M127:M131" si="40">1/L127</f>
        <v>53.447138983014185</v>
      </c>
    </row>
    <row r="128" spans="1:13" x14ac:dyDescent="0.3">
      <c r="A128">
        <v>216</v>
      </c>
      <c r="B128">
        <f t="shared" si="36"/>
        <v>12.082878032066603</v>
      </c>
      <c r="C128">
        <f t="shared" si="37"/>
        <v>12.082878032066603</v>
      </c>
      <c r="D128" t="s">
        <v>34</v>
      </c>
      <c r="E128" t="s">
        <v>21</v>
      </c>
      <c r="F128">
        <v>1</v>
      </c>
      <c r="G128">
        <f t="shared" si="38"/>
        <v>20</v>
      </c>
      <c r="I128">
        <v>2100</v>
      </c>
      <c r="J128" t="s">
        <v>31</v>
      </c>
      <c r="K128">
        <f t="shared" si="39"/>
        <v>22.5</v>
      </c>
      <c r="L128" cm="1">
        <f t="array" ref="L128">STOWA2024_JAARROND_T(A128*60,K128,I128,J128,"")</f>
        <v>2.4175459128494153E-2</v>
      </c>
      <c r="M128">
        <f t="shared" si="40"/>
        <v>41.364260950947582</v>
      </c>
    </row>
    <row r="129" spans="1:13" x14ac:dyDescent="0.3">
      <c r="A129">
        <v>216</v>
      </c>
      <c r="B129">
        <f t="shared" si="36"/>
        <v>9.3834743231367987</v>
      </c>
      <c r="C129">
        <f t="shared" si="37"/>
        <v>9.3834743231367987</v>
      </c>
      <c r="D129" t="s">
        <v>34</v>
      </c>
      <c r="E129" t="s">
        <v>21</v>
      </c>
      <c r="F129">
        <v>1</v>
      </c>
      <c r="G129">
        <f t="shared" si="38"/>
        <v>25</v>
      </c>
      <c r="I129">
        <v>2100</v>
      </c>
      <c r="J129" t="s">
        <v>31</v>
      </c>
      <c r="K129">
        <f t="shared" si="39"/>
        <v>27.5</v>
      </c>
      <c r="L129" cm="1">
        <f t="array" ref="L129">STOWA2024_JAARROND_T(A129*60,K129,I129,J129,"")</f>
        <v>3.1268774331222701E-2</v>
      </c>
      <c r="M129">
        <f t="shared" si="40"/>
        <v>31.980786627810783</v>
      </c>
    </row>
    <row r="130" spans="1:13" x14ac:dyDescent="0.3">
      <c r="A130">
        <v>216</v>
      </c>
      <c r="B130">
        <f t="shared" si="36"/>
        <v>7.2797284869946708</v>
      </c>
      <c r="C130">
        <f t="shared" si="37"/>
        <v>7.2797284869946708</v>
      </c>
      <c r="D130" t="s">
        <v>34</v>
      </c>
      <c r="E130" t="s">
        <v>21</v>
      </c>
      <c r="F130">
        <v>1</v>
      </c>
      <c r="G130">
        <f t="shared" si="38"/>
        <v>30</v>
      </c>
      <c r="I130">
        <v>2100</v>
      </c>
      <c r="J130" t="s">
        <v>31</v>
      </c>
      <c r="K130">
        <f t="shared" si="39"/>
        <v>32.5</v>
      </c>
      <c r="L130" cm="1">
        <f t="array" ref="L130">STOWA2024_JAARROND_T(A130*60,K130,I130,J130,"")</f>
        <v>4.0484095632631889E-2</v>
      </c>
      <c r="M130">
        <f t="shared" si="40"/>
        <v>24.701058140816112</v>
      </c>
    </row>
    <row r="131" spans="1:13" x14ac:dyDescent="0.3">
      <c r="A131">
        <v>216</v>
      </c>
      <c r="B131">
        <f t="shared" si="36"/>
        <v>5.6422549716139372</v>
      </c>
      <c r="C131">
        <f t="shared" si="37"/>
        <v>5.6422549716139372</v>
      </c>
      <c r="D131" t="s">
        <v>34</v>
      </c>
      <c r="E131" t="s">
        <v>21</v>
      </c>
      <c r="F131">
        <v>1</v>
      </c>
      <c r="G131">
        <f t="shared" si="38"/>
        <v>35</v>
      </c>
      <c r="I131">
        <v>2100</v>
      </c>
      <c r="J131" t="s">
        <v>31</v>
      </c>
      <c r="K131">
        <f t="shared" si="39"/>
        <v>37.5</v>
      </c>
      <c r="L131" cm="1">
        <f t="array" ref="L131">STOWA2024_JAARROND_T(A131*60,K131,I131,J131,"")</f>
        <v>5.2469191854393929E-2</v>
      </c>
      <c r="M131">
        <f t="shared" si="40"/>
        <v>19.058803169202175</v>
      </c>
    </row>
    <row r="132" spans="1:13" x14ac:dyDescent="0.3">
      <c r="A132">
        <v>216</v>
      </c>
      <c r="B132">
        <f>M131-M132</f>
        <v>4.368268734442033</v>
      </c>
      <c r="C132">
        <f t="shared" si="37"/>
        <v>4.368268734442033</v>
      </c>
      <c r="D132" t="s">
        <v>34</v>
      </c>
      <c r="E132" t="s">
        <v>21</v>
      </c>
      <c r="F132">
        <v>1</v>
      </c>
      <c r="G132">
        <f>G131+5</f>
        <v>40</v>
      </c>
      <c r="I132">
        <v>2100</v>
      </c>
      <c r="J132" t="s">
        <v>31</v>
      </c>
      <c r="K132">
        <f>AVERAGE(G132:G133)</f>
        <v>42.5</v>
      </c>
      <c r="L132" cm="1">
        <f t="array" ref="L132">STOWA2024_JAARROND_T(A132*60,K132,I132,J132,"")</f>
        <v>6.8071042918210034E-2</v>
      </c>
      <c r="M132">
        <f>1/L132</f>
        <v>14.690534434760142</v>
      </c>
    </row>
    <row r="133" spans="1:13" x14ac:dyDescent="0.3">
      <c r="A133">
        <v>216</v>
      </c>
      <c r="B133">
        <f t="shared" ref="B133:B155" si="41">M132-M133</f>
        <v>3.3787468413199147</v>
      </c>
      <c r="C133">
        <f t="shared" si="37"/>
        <v>3.3787468413199147</v>
      </c>
      <c r="D133" t="s">
        <v>34</v>
      </c>
      <c r="E133" t="s">
        <v>21</v>
      </c>
      <c r="F133">
        <v>1</v>
      </c>
      <c r="G133">
        <f t="shared" ref="G133:G156" si="42">G132+5</f>
        <v>45</v>
      </c>
      <c r="I133">
        <v>2100</v>
      </c>
      <c r="J133" t="s">
        <v>31</v>
      </c>
      <c r="K133">
        <f t="shared" ref="K133:K155" si="43">AVERAGE(G133:G134)</f>
        <v>47.5</v>
      </c>
      <c r="L133" cm="1">
        <f t="array" ref="L133">STOWA2024_JAARROND_T(A133*60,K133,I133,J133,"")</f>
        <v>8.8403357271303953E-2</v>
      </c>
      <c r="M133">
        <f t="shared" ref="M133:M155" si="44">1/L133</f>
        <v>11.311787593440227</v>
      </c>
    </row>
    <row r="134" spans="1:13" x14ac:dyDescent="0.3">
      <c r="A134">
        <v>216</v>
      </c>
      <c r="B134">
        <f t="shared" si="41"/>
        <v>2.6108143300805207</v>
      </c>
      <c r="C134">
        <f t="shared" si="37"/>
        <v>2.6108143300805207</v>
      </c>
      <c r="D134" t="s">
        <v>34</v>
      </c>
      <c r="E134" t="s">
        <v>21</v>
      </c>
      <c r="F134">
        <v>1</v>
      </c>
      <c r="G134">
        <f t="shared" si="42"/>
        <v>50</v>
      </c>
      <c r="I134">
        <v>2100</v>
      </c>
      <c r="J134" t="s">
        <v>31</v>
      </c>
      <c r="K134">
        <f t="shared" si="43"/>
        <v>52.5</v>
      </c>
      <c r="L134" cm="1">
        <f t="array" ref="L134">STOWA2024_JAARROND_T(A134*60,K134,I134,J134,"")</f>
        <v>0.11492967162777719</v>
      </c>
      <c r="M134">
        <f t="shared" si="44"/>
        <v>8.7009732633597068</v>
      </c>
    </row>
    <row r="135" spans="1:13" x14ac:dyDescent="0.3">
      <c r="A135">
        <v>216</v>
      </c>
      <c r="B135">
        <f t="shared" si="41"/>
        <v>2.0151493663111459</v>
      </c>
      <c r="C135">
        <f t="shared" si="37"/>
        <v>2.0151493663111459</v>
      </c>
      <c r="D135" t="s">
        <v>34</v>
      </c>
      <c r="E135" t="s">
        <v>21</v>
      </c>
      <c r="F135">
        <v>1</v>
      </c>
      <c r="G135">
        <f t="shared" si="42"/>
        <v>55</v>
      </c>
      <c r="I135">
        <v>2100</v>
      </c>
      <c r="J135" t="s">
        <v>31</v>
      </c>
      <c r="K135">
        <f t="shared" si="43"/>
        <v>57.5</v>
      </c>
      <c r="L135" cm="1">
        <f t="array" ref="L135">STOWA2024_JAARROND_T(A135*60,K135,I135,J135,"")</f>
        <v>0.14957019739054858</v>
      </c>
      <c r="M135">
        <f t="shared" si="44"/>
        <v>6.6858238970485608</v>
      </c>
    </row>
    <row r="136" spans="1:13" x14ac:dyDescent="0.3">
      <c r="A136">
        <v>216</v>
      </c>
      <c r="B136">
        <f t="shared" si="41"/>
        <v>1.5539253479642126</v>
      </c>
      <c r="C136">
        <f t="shared" si="37"/>
        <v>1.5539253479642126</v>
      </c>
      <c r="D136" t="s">
        <v>34</v>
      </c>
      <c r="E136" t="s">
        <v>21</v>
      </c>
      <c r="F136">
        <v>1</v>
      </c>
      <c r="G136">
        <f t="shared" si="42"/>
        <v>60</v>
      </c>
      <c r="I136">
        <v>2100</v>
      </c>
      <c r="J136" t="s">
        <v>31</v>
      </c>
      <c r="K136">
        <f t="shared" si="43"/>
        <v>62.5</v>
      </c>
      <c r="L136" cm="1">
        <f t="array" ref="L136">STOWA2024_JAARROND_T(A136*60,K136,I136,J136,"")</f>
        <v>0.19485965874723374</v>
      </c>
      <c r="M136">
        <f t="shared" si="44"/>
        <v>5.1318985490843483</v>
      </c>
    </row>
    <row r="137" spans="1:13" x14ac:dyDescent="0.3">
      <c r="A137">
        <v>216</v>
      </c>
      <c r="B137">
        <f t="shared" si="41"/>
        <v>1.1969506129593506</v>
      </c>
      <c r="C137">
        <f t="shared" si="37"/>
        <v>1.1969506129593506</v>
      </c>
      <c r="D137" t="s">
        <v>34</v>
      </c>
      <c r="E137" t="s">
        <v>21</v>
      </c>
      <c r="F137">
        <v>1</v>
      </c>
      <c r="G137">
        <f t="shared" si="42"/>
        <v>65</v>
      </c>
      <c r="I137">
        <v>2100</v>
      </c>
      <c r="J137" t="s">
        <v>31</v>
      </c>
      <c r="K137">
        <f t="shared" si="43"/>
        <v>67.5</v>
      </c>
      <c r="L137" cm="1">
        <f t="array" ref="L137">STOWA2024_JAARROND_T(A137*60,K137,I137,J137,"")</f>
        <v>0.25413296852531314</v>
      </c>
      <c r="M137">
        <f t="shared" si="44"/>
        <v>3.9349479361249977</v>
      </c>
    </row>
    <row r="138" spans="1:13" x14ac:dyDescent="0.3">
      <c r="A138">
        <v>216</v>
      </c>
      <c r="B138">
        <f t="shared" si="41"/>
        <v>0.921009803788853</v>
      </c>
      <c r="C138">
        <f t="shared" si="37"/>
        <v>0.921009803788853</v>
      </c>
      <c r="D138" t="s">
        <v>34</v>
      </c>
      <c r="E138" t="s">
        <v>21</v>
      </c>
      <c r="F138">
        <v>1</v>
      </c>
      <c r="G138">
        <f t="shared" si="42"/>
        <v>70</v>
      </c>
      <c r="I138">
        <v>2100</v>
      </c>
      <c r="J138" t="s">
        <v>31</v>
      </c>
      <c r="K138">
        <f t="shared" si="43"/>
        <v>72.5</v>
      </c>
      <c r="L138" cm="1">
        <f t="array" ref="L138">STOWA2024_JAARROND_T(A138*60,K138,I138,J138,"")</f>
        <v>0.33179181392979901</v>
      </c>
      <c r="M138">
        <f t="shared" si="44"/>
        <v>3.0139381323361447</v>
      </c>
    </row>
    <row r="139" spans="1:13" x14ac:dyDescent="0.3">
      <c r="A139">
        <v>216</v>
      </c>
      <c r="B139">
        <f t="shared" si="41"/>
        <v>0.70793120694820333</v>
      </c>
      <c r="C139">
        <f t="shared" si="37"/>
        <v>0.70793120694820333</v>
      </c>
      <c r="D139" t="s">
        <v>34</v>
      </c>
      <c r="E139" t="s">
        <v>21</v>
      </c>
      <c r="F139">
        <v>1</v>
      </c>
      <c r="G139">
        <f t="shared" si="42"/>
        <v>75</v>
      </c>
      <c r="I139">
        <v>2100</v>
      </c>
      <c r="J139" t="s">
        <v>31</v>
      </c>
      <c r="K139">
        <f t="shared" si="43"/>
        <v>77.5</v>
      </c>
      <c r="L139" cm="1">
        <f t="array" ref="L139">STOWA2024_JAARROND_T(A139*60,K139,I139,J139,"")</f>
        <v>0.43365004197971746</v>
      </c>
      <c r="M139">
        <f t="shared" si="44"/>
        <v>2.3060069253879414</v>
      </c>
    </row>
    <row r="140" spans="1:13" x14ac:dyDescent="0.3">
      <c r="A140">
        <v>216</v>
      </c>
      <c r="B140">
        <f t="shared" si="41"/>
        <v>0.54358258599197717</v>
      </c>
      <c r="C140">
        <f t="shared" si="37"/>
        <v>0.54358258599197717</v>
      </c>
      <c r="D140" t="s">
        <v>34</v>
      </c>
      <c r="E140" t="s">
        <v>21</v>
      </c>
      <c r="F140">
        <v>1</v>
      </c>
      <c r="G140">
        <f t="shared" si="42"/>
        <v>80</v>
      </c>
      <c r="I140">
        <v>2100</v>
      </c>
      <c r="J140" t="s">
        <v>31</v>
      </c>
      <c r="K140">
        <f t="shared" si="43"/>
        <v>82.5</v>
      </c>
      <c r="L140" cm="1">
        <f t="array" ref="L140">STOWA2024_JAARROND_T(A140*60,K140,I140,J140,"")</f>
        <v>0.5674002438837914</v>
      </c>
      <c r="M140">
        <f t="shared" si="44"/>
        <v>1.7624243393959642</v>
      </c>
    </row>
    <row r="141" spans="1:13" x14ac:dyDescent="0.3">
      <c r="A141">
        <v>216</v>
      </c>
      <c r="B141">
        <f t="shared" si="41"/>
        <v>0.4169257038576748</v>
      </c>
      <c r="C141">
        <f t="shared" si="37"/>
        <v>0.4169257038576748</v>
      </c>
      <c r="D141" t="s">
        <v>34</v>
      </c>
      <c r="E141" t="s">
        <v>21</v>
      </c>
      <c r="F141">
        <v>1</v>
      </c>
      <c r="G141">
        <f t="shared" si="42"/>
        <v>85</v>
      </c>
      <c r="I141">
        <v>2100</v>
      </c>
      <c r="J141" t="s">
        <v>31</v>
      </c>
      <c r="K141">
        <f t="shared" si="43"/>
        <v>87.5</v>
      </c>
      <c r="L141" cm="1">
        <f t="array" ref="L141">STOWA2024_JAARROND_T(A141*60,K141,I141,J141,"")</f>
        <v>0.74321888821532189</v>
      </c>
      <c r="M141">
        <f t="shared" si="44"/>
        <v>1.3454986355382894</v>
      </c>
    </row>
    <row r="142" spans="1:13" x14ac:dyDescent="0.3">
      <c r="A142">
        <v>216</v>
      </c>
      <c r="B142">
        <f t="shared" si="41"/>
        <v>0.31944126262795436</v>
      </c>
      <c r="C142">
        <f t="shared" si="37"/>
        <v>0.31944126262795436</v>
      </c>
      <c r="D142" t="s">
        <v>34</v>
      </c>
      <c r="E142" t="s">
        <v>21</v>
      </c>
      <c r="F142">
        <v>1</v>
      </c>
      <c r="G142">
        <f t="shared" si="42"/>
        <v>90</v>
      </c>
      <c r="I142">
        <v>2100</v>
      </c>
      <c r="J142" t="s">
        <v>31</v>
      </c>
      <c r="K142">
        <f t="shared" si="43"/>
        <v>92.5</v>
      </c>
      <c r="L142" cm="1">
        <f t="array" ref="L142">STOWA2024_JAARROND_T(A142*60,K142,I142,J142,"")</f>
        <v>0.97460437047840187</v>
      </c>
      <c r="M142">
        <f t="shared" si="44"/>
        <v>1.0260573729103351</v>
      </c>
    </row>
    <row r="143" spans="1:13" x14ac:dyDescent="0.3">
      <c r="A143">
        <v>216</v>
      </c>
      <c r="B143">
        <f t="shared" si="41"/>
        <v>0.24440486062934752</v>
      </c>
      <c r="C143">
        <f t="shared" si="37"/>
        <v>0.24440486062934752</v>
      </c>
      <c r="D143" t="s">
        <v>34</v>
      </c>
      <c r="E143" t="s">
        <v>21</v>
      </c>
      <c r="F143">
        <v>1</v>
      </c>
      <c r="G143">
        <f t="shared" si="42"/>
        <v>95</v>
      </c>
      <c r="I143">
        <v>2100</v>
      </c>
      <c r="J143" t="s">
        <v>31</v>
      </c>
      <c r="K143">
        <f t="shared" si="43"/>
        <v>97.5</v>
      </c>
      <c r="L143" cm="1">
        <f t="array" ref="L143">STOWA2024_JAARROND_T(A143*60,K143,I143,J143,"")</f>
        <v>1.2793408634763284</v>
      </c>
      <c r="M143">
        <f t="shared" si="44"/>
        <v>0.78165251228098753</v>
      </c>
    </row>
    <row r="144" spans="1:13" x14ac:dyDescent="0.3">
      <c r="A144">
        <v>216</v>
      </c>
      <c r="B144">
        <f t="shared" si="41"/>
        <v>0.18691138823733233</v>
      </c>
      <c r="C144">
        <f t="shared" si="37"/>
        <v>0.18691138823733233</v>
      </c>
      <c r="D144" t="s">
        <v>34</v>
      </c>
      <c r="E144" t="s">
        <v>21</v>
      </c>
      <c r="F144">
        <v>1</v>
      </c>
      <c r="G144">
        <f t="shared" si="42"/>
        <v>100</v>
      </c>
      <c r="I144">
        <v>2100</v>
      </c>
      <c r="J144" t="s">
        <v>31</v>
      </c>
      <c r="K144">
        <f t="shared" si="43"/>
        <v>102.5</v>
      </c>
      <c r="L144" cm="1">
        <f t="array" ref="L144">STOWA2024_JAARROND_T(A144*60,K144,I144,J144,"")</f>
        <v>1.681403823567778</v>
      </c>
      <c r="M144">
        <f t="shared" si="44"/>
        <v>0.5947411240436552</v>
      </c>
    </row>
    <row r="145" spans="1:13" x14ac:dyDescent="0.3">
      <c r="A145">
        <v>216</v>
      </c>
      <c r="B145">
        <f t="shared" si="41"/>
        <v>0.14273254495177123</v>
      </c>
      <c r="C145">
        <f t="shared" si="37"/>
        <v>0.14273254495177123</v>
      </c>
      <c r="D145" t="s">
        <v>34</v>
      </c>
      <c r="E145" t="s">
        <v>21</v>
      </c>
      <c r="F145">
        <v>1</v>
      </c>
      <c r="G145">
        <f t="shared" si="42"/>
        <v>105</v>
      </c>
      <c r="I145">
        <v>2100</v>
      </c>
      <c r="J145" t="s">
        <v>31</v>
      </c>
      <c r="K145">
        <f t="shared" si="43"/>
        <v>107.5</v>
      </c>
      <c r="L145" cm="1">
        <f t="array" ref="L145">STOWA2024_JAARROND_T(A145*60,K145,I145,J145,"")</f>
        <v>2.2123473895320043</v>
      </c>
      <c r="M145">
        <f t="shared" si="44"/>
        <v>0.45200857909188397</v>
      </c>
    </row>
    <row r="146" spans="1:13" x14ac:dyDescent="0.3">
      <c r="A146">
        <v>216</v>
      </c>
      <c r="B146">
        <f t="shared" si="41"/>
        <v>0.10887328981889549</v>
      </c>
      <c r="C146">
        <f t="shared" si="37"/>
        <v>0.10887328981889549</v>
      </c>
      <c r="D146" t="s">
        <v>34</v>
      </c>
      <c r="E146" t="s">
        <v>21</v>
      </c>
      <c r="F146">
        <v>1</v>
      </c>
      <c r="G146">
        <f t="shared" si="42"/>
        <v>110</v>
      </c>
      <c r="I146">
        <v>2100</v>
      </c>
      <c r="J146" t="s">
        <v>31</v>
      </c>
      <c r="K146">
        <f t="shared" si="43"/>
        <v>112.5</v>
      </c>
      <c r="L146" cm="1">
        <f t="array" ref="L146">STOWA2024_JAARROND_T(A146*60,K146,I146,J146,"")</f>
        <v>2.9143024085885525</v>
      </c>
      <c r="M146">
        <f t="shared" si="44"/>
        <v>0.34313528927298848</v>
      </c>
    </row>
    <row r="147" spans="1:13" x14ac:dyDescent="0.3">
      <c r="A147">
        <v>216</v>
      </c>
      <c r="B147">
        <f t="shared" si="41"/>
        <v>8.294915709449141E-2</v>
      </c>
      <c r="C147">
        <f t="shared" si="37"/>
        <v>8.294915709449141E-2</v>
      </c>
      <c r="D147" t="s">
        <v>34</v>
      </c>
      <c r="E147" t="s">
        <v>21</v>
      </c>
      <c r="F147">
        <v>1</v>
      </c>
      <c r="G147">
        <f t="shared" si="42"/>
        <v>115</v>
      </c>
      <c r="I147">
        <v>2100</v>
      </c>
      <c r="J147" t="s">
        <v>31</v>
      </c>
      <c r="K147">
        <f t="shared" si="43"/>
        <v>117.5</v>
      </c>
      <c r="L147" cm="1">
        <f t="array" ref="L147">STOWA2024_JAARROND_T(A147*60,K147,I147,J147,"")</f>
        <v>3.8434023813150966</v>
      </c>
      <c r="M147">
        <f t="shared" si="44"/>
        <v>0.26018613217849706</v>
      </c>
    </row>
    <row r="148" spans="1:13" x14ac:dyDescent="0.3">
      <c r="A148">
        <v>216</v>
      </c>
      <c r="B148">
        <f t="shared" si="41"/>
        <v>6.3127457982975504E-2</v>
      </c>
      <c r="C148">
        <f t="shared" si="37"/>
        <v>6.3127457982975504E-2</v>
      </c>
      <c r="D148" t="s">
        <v>34</v>
      </c>
      <c r="E148" t="s">
        <v>21</v>
      </c>
      <c r="F148">
        <v>1</v>
      </c>
      <c r="G148">
        <f t="shared" si="42"/>
        <v>120</v>
      </c>
      <c r="I148">
        <v>2100</v>
      </c>
      <c r="J148" t="s">
        <v>31</v>
      </c>
      <c r="K148">
        <f t="shared" si="43"/>
        <v>122.5</v>
      </c>
      <c r="L148" cm="1">
        <f t="array" ref="L148">STOWA2024_JAARROND_T(A148*60,K148,I148,J148,"")</f>
        <v>5.0746307112966784</v>
      </c>
      <c r="M148">
        <f t="shared" si="44"/>
        <v>0.19705867419552156</v>
      </c>
    </row>
    <row r="149" spans="1:13" x14ac:dyDescent="0.3">
      <c r="A149">
        <v>216</v>
      </c>
      <c r="B149">
        <f t="shared" si="41"/>
        <v>4.798686988620865E-2</v>
      </c>
      <c r="C149">
        <f t="shared" si="37"/>
        <v>4.798686988620865E-2</v>
      </c>
      <c r="D149" t="s">
        <v>34</v>
      </c>
      <c r="E149" t="s">
        <v>21</v>
      </c>
      <c r="F149">
        <v>1</v>
      </c>
      <c r="G149">
        <f t="shared" si="42"/>
        <v>125</v>
      </c>
      <c r="I149">
        <v>2100</v>
      </c>
      <c r="J149" t="s">
        <v>31</v>
      </c>
      <c r="K149">
        <f t="shared" si="43"/>
        <v>127.5</v>
      </c>
      <c r="L149" cm="1">
        <f t="array" ref="L149">STOWA2024_JAARROND_T(A149*60,K149,I149,J149,"")</f>
        <v>6.7081766711904445</v>
      </c>
      <c r="M149">
        <f t="shared" si="44"/>
        <v>0.14907180430931291</v>
      </c>
    </row>
    <row r="150" spans="1:13" x14ac:dyDescent="0.3">
      <c r="A150">
        <v>216</v>
      </c>
      <c r="B150">
        <f t="shared" si="41"/>
        <v>3.6435146433026089E-2</v>
      </c>
      <c r="C150">
        <f t="shared" si="37"/>
        <v>3.6435146433026089E-2</v>
      </c>
      <c r="D150" t="s">
        <v>34</v>
      </c>
      <c r="E150" t="s">
        <v>21</v>
      </c>
      <c r="F150">
        <v>1</v>
      </c>
      <c r="G150">
        <f t="shared" si="42"/>
        <v>130</v>
      </c>
      <c r="I150">
        <v>2100</v>
      </c>
      <c r="J150" t="s">
        <v>31</v>
      </c>
      <c r="K150">
        <f t="shared" si="43"/>
        <v>132.5</v>
      </c>
      <c r="L150" cm="1">
        <f t="array" ref="L150">STOWA2024_JAARROND_T(A150*60,K150,I150,J150,"")</f>
        <v>8.8781043299272824</v>
      </c>
      <c r="M150">
        <f t="shared" si="44"/>
        <v>0.11263665787628682</v>
      </c>
    </row>
    <row r="151" spans="1:13" x14ac:dyDescent="0.3">
      <c r="A151">
        <v>216</v>
      </c>
      <c r="B151">
        <f t="shared" si="41"/>
        <v>2.7631758769164058E-2</v>
      </c>
      <c r="C151">
        <f t="shared" si="37"/>
        <v>2.7631758769164058E-2</v>
      </c>
      <c r="D151" t="s">
        <v>34</v>
      </c>
      <c r="E151" t="s">
        <v>21</v>
      </c>
      <c r="F151">
        <v>1</v>
      </c>
      <c r="G151">
        <f t="shared" si="42"/>
        <v>135</v>
      </c>
      <c r="I151">
        <v>2100</v>
      </c>
      <c r="J151" t="s">
        <v>31</v>
      </c>
      <c r="K151">
        <f t="shared" si="43"/>
        <v>137.5</v>
      </c>
      <c r="L151" cm="1">
        <f t="array" ref="L151">STOWA2024_JAARROND_T(A151*60,K151,I151,J151,"")</f>
        <v>11.7640278443223</v>
      </c>
      <c r="M151">
        <f t="shared" si="44"/>
        <v>8.5004899107122764E-2</v>
      </c>
    </row>
    <row r="152" spans="1:13" x14ac:dyDescent="0.3">
      <c r="A152">
        <v>216</v>
      </c>
      <c r="B152">
        <f t="shared" si="41"/>
        <v>2.0930626541420513E-2</v>
      </c>
      <c r="C152">
        <f t="shared" si="37"/>
        <v>2.0930626541420513E-2</v>
      </c>
      <c r="D152" t="s">
        <v>34</v>
      </c>
      <c r="E152" t="s">
        <v>21</v>
      </c>
      <c r="F152">
        <v>1</v>
      </c>
      <c r="G152">
        <f t="shared" si="42"/>
        <v>140</v>
      </c>
      <c r="I152">
        <v>2100</v>
      </c>
      <c r="J152" t="s">
        <v>31</v>
      </c>
      <c r="K152">
        <f t="shared" si="43"/>
        <v>142.5</v>
      </c>
      <c r="L152" cm="1">
        <f t="array" ref="L152">STOWA2024_JAARROND_T(A152*60,K152,I152,J152,"")</f>
        <v>15.606888068445761</v>
      </c>
      <c r="M152">
        <f t="shared" si="44"/>
        <v>6.407427256570225E-2</v>
      </c>
    </row>
    <row r="153" spans="1:13" x14ac:dyDescent="0.3">
      <c r="A153">
        <v>216</v>
      </c>
      <c r="B153">
        <f t="shared" si="41"/>
        <v>1.5835700617579947E-2</v>
      </c>
      <c r="C153">
        <f t="shared" si="37"/>
        <v>1.5835700617579947E-2</v>
      </c>
      <c r="D153" t="s">
        <v>34</v>
      </c>
      <c r="E153" t="s">
        <v>21</v>
      </c>
      <c r="F153">
        <v>1</v>
      </c>
      <c r="G153">
        <f t="shared" si="42"/>
        <v>145</v>
      </c>
      <c r="I153">
        <v>2100</v>
      </c>
      <c r="J153" t="s">
        <v>31</v>
      </c>
      <c r="K153">
        <f t="shared" si="43"/>
        <v>147.5</v>
      </c>
      <c r="L153" cm="1">
        <f t="array" ref="L153">STOWA2024_JAARROND_T(A153*60,K153,I153,J153,"")</f>
        <v>20.730298589175487</v>
      </c>
      <c r="M153">
        <f t="shared" si="44"/>
        <v>4.8238571948122304E-2</v>
      </c>
    </row>
    <row r="154" spans="1:13" x14ac:dyDescent="0.3">
      <c r="A154">
        <v>216</v>
      </c>
      <c r="B154">
        <f t="shared" si="41"/>
        <v>1.1966558338369251E-2</v>
      </c>
      <c r="C154">
        <f t="shared" si="37"/>
        <v>1.1966558338369251E-2</v>
      </c>
      <c r="D154" t="s">
        <v>34</v>
      </c>
      <c r="E154" t="s">
        <v>21</v>
      </c>
      <c r="F154">
        <v>1</v>
      </c>
      <c r="G154">
        <f t="shared" si="42"/>
        <v>150</v>
      </c>
      <c r="I154">
        <v>2100</v>
      </c>
      <c r="J154" t="s">
        <v>31</v>
      </c>
      <c r="K154">
        <f t="shared" si="43"/>
        <v>152.5</v>
      </c>
      <c r="L154" cm="1">
        <f t="array" ref="L154">STOWA2024_JAARROND_T(A154*60,K154,I154,J154,"")</f>
        <v>27.569464732752348</v>
      </c>
      <c r="M154">
        <f t="shared" si="44"/>
        <v>3.6272013609753052E-2</v>
      </c>
    </row>
    <row r="155" spans="1:13" x14ac:dyDescent="0.3">
      <c r="A155">
        <v>216</v>
      </c>
      <c r="B155">
        <f t="shared" si="41"/>
        <v>9.0317864896710988E-3</v>
      </c>
      <c r="C155">
        <f t="shared" si="37"/>
        <v>9.0317864896710988E-3</v>
      </c>
      <c r="D155" t="s">
        <v>34</v>
      </c>
      <c r="E155" t="s">
        <v>21</v>
      </c>
      <c r="F155">
        <v>1</v>
      </c>
      <c r="G155">
        <f t="shared" si="42"/>
        <v>155</v>
      </c>
      <c r="I155">
        <v>2100</v>
      </c>
      <c r="J155" t="s">
        <v>31</v>
      </c>
      <c r="K155">
        <f t="shared" si="43"/>
        <v>157.5</v>
      </c>
      <c r="L155" cm="1">
        <f t="array" ref="L155">STOWA2024_JAARROND_T(A155*60,K155,I155,J155,"")</f>
        <v>36.710413448160395</v>
      </c>
      <c r="M155">
        <f t="shared" si="44"/>
        <v>2.7240227120081954E-2</v>
      </c>
    </row>
    <row r="156" spans="1:13" x14ac:dyDescent="0.3">
      <c r="A156">
        <v>216</v>
      </c>
      <c r="B156" s="1">
        <f>M155</f>
        <v>2.7240227120081954E-2</v>
      </c>
      <c r="C156">
        <f t="shared" si="37"/>
        <v>2.7240227120081954E-2</v>
      </c>
      <c r="D156" t="s">
        <v>34</v>
      </c>
      <c r="E156" t="s">
        <v>21</v>
      </c>
      <c r="F156">
        <v>1</v>
      </c>
      <c r="G156">
        <f t="shared" si="42"/>
        <v>160</v>
      </c>
      <c r="I156">
        <v>2100</v>
      </c>
      <c r="J156" t="s">
        <v>31</v>
      </c>
      <c r="K156">
        <f>AVERAGE(G156:G157)</f>
        <v>160</v>
      </c>
      <c r="L156" cm="1">
        <f t="array" ref="L156">STOWA2024_JAARROND_T(A156*60,K156,I156,J156,"")</f>
        <v>42.381177863953525</v>
      </c>
      <c r="M156">
        <f>1/L156</f>
        <v>2.3595380081461358E-2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56"/>
  <sheetViews>
    <sheetView workbookViewId="0">
      <selection activeCell="C24" sqref="C24"/>
    </sheetView>
  </sheetViews>
  <sheetFormatPr defaultRowHeight="14.4" x14ac:dyDescent="0.3"/>
  <cols>
    <col min="1" max="1" width="6" bestFit="1" customWidth="1"/>
    <col min="2" max="3" width="12"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353.36344125860597</v>
      </c>
      <c r="C2">
        <f>B2</f>
        <v>353.36344125860597</v>
      </c>
      <c r="D2" t="s">
        <v>34</v>
      </c>
      <c r="E2" t="s">
        <v>19</v>
      </c>
      <c r="F2">
        <v>1</v>
      </c>
      <c r="G2">
        <v>10</v>
      </c>
      <c r="I2">
        <v>2100</v>
      </c>
      <c r="J2" t="s">
        <v>31</v>
      </c>
      <c r="K2">
        <f>AVERAGE(G2:G4)</f>
        <v>15</v>
      </c>
      <c r="L2" cm="1">
        <f t="array" ref="L2">STOWA2024_NDJF_T(A2*60,K2,I2,J2,"")</f>
        <v>8.4128638217012122E-2</v>
      </c>
      <c r="M2">
        <f>1/L2</f>
        <v>11.886558741394014</v>
      </c>
    </row>
    <row r="3" spans="1:13" x14ac:dyDescent="0.3">
      <c r="A3">
        <v>24</v>
      </c>
      <c r="B3">
        <f t="shared" ref="B3:B7" si="0">M2-M3</f>
        <v>3.8816543017897018</v>
      </c>
      <c r="C3">
        <f t="shared" ref="C3:C32" si="1">B3</f>
        <v>3.8816543017897018</v>
      </c>
      <c r="D3" t="s">
        <v>34</v>
      </c>
      <c r="E3" t="s">
        <v>19</v>
      </c>
      <c r="F3">
        <v>1</v>
      </c>
      <c r="G3">
        <f t="shared" ref="G3:G7" si="2">G2+5</f>
        <v>15</v>
      </c>
      <c r="I3">
        <v>2100</v>
      </c>
      <c r="J3" t="s">
        <v>31</v>
      </c>
      <c r="K3">
        <f t="shared" ref="K3:K7" si="3">AVERAGE(G3:G4)</f>
        <v>17.5</v>
      </c>
      <c r="L3" cm="1">
        <f t="array" ref="L3">STOWA2024_NDJF_T(A3*60,K3,I3,J3,"")</f>
        <v>0.12492341508194577</v>
      </c>
      <c r="M3">
        <f t="shared" ref="M3:M7" si="4">1/L3</f>
        <v>8.0049044396043119</v>
      </c>
    </row>
    <row r="4" spans="1:13" x14ac:dyDescent="0.3">
      <c r="A4">
        <v>24</v>
      </c>
      <c r="B4">
        <f t="shared" si="0"/>
        <v>4.2540104781232451</v>
      </c>
      <c r="C4">
        <f t="shared" si="1"/>
        <v>4.2540104781232451</v>
      </c>
      <c r="D4" t="s">
        <v>34</v>
      </c>
      <c r="E4" t="s">
        <v>19</v>
      </c>
      <c r="F4">
        <v>1</v>
      </c>
      <c r="G4">
        <f t="shared" si="2"/>
        <v>20</v>
      </c>
      <c r="I4">
        <v>2100</v>
      </c>
      <c r="J4" t="s">
        <v>31</v>
      </c>
      <c r="K4">
        <f t="shared" si="3"/>
        <v>22.5</v>
      </c>
      <c r="L4" cm="1">
        <f t="array" ref="L4">STOWA2024_NDJF_T(A4*60,K4,I4,J4,"")</f>
        <v>0.26660311122342234</v>
      </c>
      <c r="M4">
        <f t="shared" si="4"/>
        <v>3.7508939614810664</v>
      </c>
    </row>
    <row r="5" spans="1:13" x14ac:dyDescent="0.3">
      <c r="A5">
        <v>24</v>
      </c>
      <c r="B5">
        <f t="shared" si="0"/>
        <v>1.9220224437332118</v>
      </c>
      <c r="C5">
        <f t="shared" si="1"/>
        <v>1.9220224437332118</v>
      </c>
      <c r="D5" t="s">
        <v>34</v>
      </c>
      <c r="E5" t="s">
        <v>19</v>
      </c>
      <c r="F5">
        <v>1</v>
      </c>
      <c r="G5">
        <f t="shared" si="2"/>
        <v>25</v>
      </c>
      <c r="I5">
        <v>2100</v>
      </c>
      <c r="J5" t="s">
        <v>31</v>
      </c>
      <c r="K5">
        <f t="shared" si="3"/>
        <v>27.5</v>
      </c>
      <c r="L5" cm="1">
        <f t="array" ref="L5">STOWA2024_NDJF_T(A5*60,K5,I5,J5,"")</f>
        <v>0.54678526637641556</v>
      </c>
      <c r="M5">
        <f t="shared" si="4"/>
        <v>1.8288715177478545</v>
      </c>
    </row>
    <row r="6" spans="1:13" x14ac:dyDescent="0.3">
      <c r="A6">
        <v>24</v>
      </c>
      <c r="B6">
        <f t="shared" si="0"/>
        <v>0.90449115997859586</v>
      </c>
      <c r="C6">
        <f t="shared" si="1"/>
        <v>0.90449115997859586</v>
      </c>
      <c r="D6" t="s">
        <v>34</v>
      </c>
      <c r="E6" t="s">
        <v>19</v>
      </c>
      <c r="F6">
        <v>1</v>
      </c>
      <c r="G6">
        <f t="shared" si="2"/>
        <v>30</v>
      </c>
      <c r="I6">
        <v>2100</v>
      </c>
      <c r="J6" t="s">
        <v>31</v>
      </c>
      <c r="K6">
        <f t="shared" si="3"/>
        <v>32.5</v>
      </c>
      <c r="L6" cm="1">
        <f t="array" ref="L6">STOWA2024_NDJF_T(A6*60,K6,I6,J6,"")</f>
        <v>1.0818057649052917</v>
      </c>
      <c r="M6">
        <f t="shared" si="4"/>
        <v>0.92438035776925864</v>
      </c>
    </row>
    <row r="7" spans="1:13" x14ac:dyDescent="0.3">
      <c r="A7">
        <v>24</v>
      </c>
      <c r="B7">
        <f t="shared" si="0"/>
        <v>0.44185682004322746</v>
      </c>
      <c r="C7">
        <f t="shared" si="1"/>
        <v>0.44185682004322746</v>
      </c>
      <c r="D7" t="s">
        <v>34</v>
      </c>
      <c r="E7" t="s">
        <v>19</v>
      </c>
      <c r="F7">
        <v>1</v>
      </c>
      <c r="G7">
        <f t="shared" si="2"/>
        <v>35</v>
      </c>
      <c r="I7">
        <v>2100</v>
      </c>
      <c r="J7" t="s">
        <v>31</v>
      </c>
      <c r="K7">
        <f t="shared" si="3"/>
        <v>37.5</v>
      </c>
      <c r="L7" cm="1">
        <f t="array" ref="L7">STOWA2024_NDJF_T(A7*60,K7,I7,J7,"")</f>
        <v>2.0724377606793212</v>
      </c>
      <c r="M7">
        <f t="shared" si="4"/>
        <v>0.48252353772603118</v>
      </c>
    </row>
    <row r="8" spans="1:13" x14ac:dyDescent="0.3">
      <c r="A8">
        <v>24</v>
      </c>
      <c r="B8">
        <f>M7-M8</f>
        <v>0.22311724720891218</v>
      </c>
      <c r="C8">
        <f t="shared" si="1"/>
        <v>0.22311724720891218</v>
      </c>
      <c r="D8" t="s">
        <v>34</v>
      </c>
      <c r="E8" t="s">
        <v>19</v>
      </c>
      <c r="F8">
        <v>1</v>
      </c>
      <c r="G8">
        <f>G7+5</f>
        <v>40</v>
      </c>
      <c r="I8">
        <v>2100</v>
      </c>
      <c r="J8" t="s">
        <v>31</v>
      </c>
      <c r="K8">
        <f>AVERAGE(G8:G9)</f>
        <v>42.5</v>
      </c>
      <c r="L8" cm="1">
        <f t="array" ref="L8">STOWA2024_NDJF_T(A8*60,K8,I8,J8,"")</f>
        <v>3.8549566319557198</v>
      </c>
      <c r="M8">
        <f>1/L8</f>
        <v>0.259406290517119</v>
      </c>
    </row>
    <row r="9" spans="1:13" x14ac:dyDescent="0.3">
      <c r="A9">
        <v>24</v>
      </c>
      <c r="B9">
        <f t="shared" ref="B9:B31" si="5">M8-M9</f>
        <v>0.11614593986429808</v>
      </c>
      <c r="C9">
        <f t="shared" si="1"/>
        <v>0.11614593986429808</v>
      </c>
      <c r="D9" t="s">
        <v>34</v>
      </c>
      <c r="E9" t="s">
        <v>19</v>
      </c>
      <c r="F9">
        <v>1</v>
      </c>
      <c r="G9">
        <f t="shared" ref="G9:G32" si="6">G8+5</f>
        <v>45</v>
      </c>
      <c r="I9">
        <v>2100</v>
      </c>
      <c r="J9" t="s">
        <v>31</v>
      </c>
      <c r="K9">
        <f t="shared" ref="K9:K31" si="7">AVERAGE(G9:G10)</f>
        <v>47.5</v>
      </c>
      <c r="L9" cm="1">
        <f t="array" ref="L9">STOWA2024_NDJF_T(A9*60,K9,I9,J9,"")</f>
        <v>6.9802984248126938</v>
      </c>
      <c r="M9">
        <f t="shared" ref="M9:M31" si="8">1/L9</f>
        <v>0.14326035065282092</v>
      </c>
    </row>
    <row r="10" spans="1:13" x14ac:dyDescent="0.3">
      <c r="A10">
        <v>24</v>
      </c>
      <c r="B10">
        <f t="shared" si="5"/>
        <v>6.2167911676592122E-2</v>
      </c>
      <c r="C10">
        <f t="shared" si="1"/>
        <v>6.2167911676592122E-2</v>
      </c>
      <c r="D10" t="s">
        <v>34</v>
      </c>
      <c r="E10" t="s">
        <v>19</v>
      </c>
      <c r="F10">
        <v>1</v>
      </c>
      <c r="G10">
        <f t="shared" si="6"/>
        <v>50</v>
      </c>
      <c r="I10">
        <v>2100</v>
      </c>
      <c r="J10" t="s">
        <v>31</v>
      </c>
      <c r="K10">
        <f t="shared" si="7"/>
        <v>52.5</v>
      </c>
      <c r="L10" cm="1">
        <f t="array" ref="L10">STOWA2024_NDJF_T(A10*60,K10,I10,J10,"")</f>
        <v>12.331605913260756</v>
      </c>
      <c r="M10">
        <f t="shared" si="8"/>
        <v>8.1092438976228795E-2</v>
      </c>
    </row>
    <row r="11" spans="1:13" x14ac:dyDescent="0.3">
      <c r="A11">
        <v>24</v>
      </c>
      <c r="B11">
        <f t="shared" si="5"/>
        <v>3.4135731556422577E-2</v>
      </c>
      <c r="C11">
        <f t="shared" si="1"/>
        <v>3.4135731556422577E-2</v>
      </c>
      <c r="D11" t="s">
        <v>34</v>
      </c>
      <c r="E11" t="s">
        <v>19</v>
      </c>
      <c r="F11">
        <v>1</v>
      </c>
      <c r="G11">
        <f t="shared" si="6"/>
        <v>55</v>
      </c>
      <c r="I11">
        <v>2100</v>
      </c>
      <c r="J11" t="s">
        <v>31</v>
      </c>
      <c r="K11">
        <f t="shared" si="7"/>
        <v>57.5</v>
      </c>
      <c r="L11" cm="1">
        <f t="array" ref="L11">STOWA2024_NDJF_T(A11*60,K11,I11,J11,"")</f>
        <v>21.296212084457238</v>
      </c>
      <c r="M11">
        <f t="shared" si="8"/>
        <v>4.6956707419806218E-2</v>
      </c>
    </row>
    <row r="12" spans="1:13" x14ac:dyDescent="0.3">
      <c r="A12">
        <v>24</v>
      </c>
      <c r="B12">
        <f t="shared" si="5"/>
        <v>1.9190613665846956E-2</v>
      </c>
      <c r="C12">
        <f t="shared" si="1"/>
        <v>1.9190613665846956E-2</v>
      </c>
      <c r="D12" t="s">
        <v>34</v>
      </c>
      <c r="E12" t="s">
        <v>19</v>
      </c>
      <c r="F12">
        <v>1</v>
      </c>
      <c r="G12">
        <f t="shared" si="6"/>
        <v>60</v>
      </c>
      <c r="I12">
        <v>2100</v>
      </c>
      <c r="J12" t="s">
        <v>31</v>
      </c>
      <c r="K12">
        <f t="shared" si="7"/>
        <v>62.5</v>
      </c>
      <c r="L12" cm="1">
        <f t="array" ref="L12">STOWA2024_NDJF_T(A12*60,K12,I12,J12,"")</f>
        <v>36.015148866858759</v>
      </c>
      <c r="M12">
        <f t="shared" si="8"/>
        <v>2.7766093753959262E-2</v>
      </c>
    </row>
    <row r="13" spans="1:13" x14ac:dyDescent="0.3">
      <c r="A13">
        <v>24</v>
      </c>
      <c r="B13">
        <f t="shared" si="5"/>
        <v>1.1025917464775239E-2</v>
      </c>
      <c r="C13">
        <f t="shared" si="1"/>
        <v>1.1025917464775239E-2</v>
      </c>
      <c r="D13" t="s">
        <v>34</v>
      </c>
      <c r="E13" t="s">
        <v>19</v>
      </c>
      <c r="F13">
        <v>1</v>
      </c>
      <c r="G13">
        <f t="shared" si="6"/>
        <v>65</v>
      </c>
      <c r="I13">
        <v>2100</v>
      </c>
      <c r="J13" t="s">
        <v>31</v>
      </c>
      <c r="K13">
        <f t="shared" si="7"/>
        <v>67.5</v>
      </c>
      <c r="L13" cm="1">
        <f t="array" ref="L13">STOWA2024_NDJF_T(A13*60,K13,I13,J13,"")</f>
        <v>59.736527425108953</v>
      </c>
      <c r="M13">
        <f t="shared" si="8"/>
        <v>1.6740176289184023E-2</v>
      </c>
    </row>
    <row r="14" spans="1:13" x14ac:dyDescent="0.3">
      <c r="A14">
        <v>24</v>
      </c>
      <c r="B14">
        <f t="shared" si="5"/>
        <v>6.4638364784498168E-3</v>
      </c>
      <c r="C14">
        <f t="shared" si="1"/>
        <v>6.4638364784498168E-3</v>
      </c>
      <c r="D14" t="s">
        <v>34</v>
      </c>
      <c r="E14" t="s">
        <v>19</v>
      </c>
      <c r="F14">
        <v>1</v>
      </c>
      <c r="G14">
        <f t="shared" si="6"/>
        <v>70</v>
      </c>
      <c r="I14">
        <v>2100</v>
      </c>
      <c r="J14" t="s">
        <v>31</v>
      </c>
      <c r="K14">
        <f t="shared" si="7"/>
        <v>72.5</v>
      </c>
      <c r="L14" cm="1">
        <f t="array" ref="L14">STOWA2024_NDJF_T(A14*60,K14,I14,J14,"")</f>
        <v>97.310912096877587</v>
      </c>
      <c r="M14">
        <f t="shared" si="8"/>
        <v>1.0276339810734206E-2</v>
      </c>
    </row>
    <row r="15" spans="1:13" x14ac:dyDescent="0.3">
      <c r="A15">
        <v>24</v>
      </c>
      <c r="B15">
        <f t="shared" si="5"/>
        <v>3.8612046526207942E-3</v>
      </c>
      <c r="C15">
        <f t="shared" si="1"/>
        <v>3.8612046526207942E-3</v>
      </c>
      <c r="D15" t="s">
        <v>34</v>
      </c>
      <c r="E15" t="s">
        <v>19</v>
      </c>
      <c r="F15">
        <v>1</v>
      </c>
      <c r="G15">
        <f t="shared" si="6"/>
        <v>75</v>
      </c>
      <c r="I15">
        <v>2100</v>
      </c>
      <c r="J15" t="s">
        <v>31</v>
      </c>
      <c r="K15">
        <f t="shared" si="7"/>
        <v>77.5</v>
      </c>
      <c r="L15" cm="1">
        <f t="array" ref="L15">STOWA2024_NDJF_T(A15*60,K15,I15,J15,"")</f>
        <v>155.8813610864099</v>
      </c>
      <c r="M15">
        <f t="shared" si="8"/>
        <v>6.4151351581134119E-3</v>
      </c>
    </row>
    <row r="16" spans="1:13" x14ac:dyDescent="0.3">
      <c r="A16">
        <v>24</v>
      </c>
      <c r="B16">
        <f t="shared" si="5"/>
        <v>2.3471685506471444E-3</v>
      </c>
      <c r="C16">
        <f t="shared" si="1"/>
        <v>2.3471685506471444E-3</v>
      </c>
      <c r="D16" t="s">
        <v>34</v>
      </c>
      <c r="E16" t="s">
        <v>19</v>
      </c>
      <c r="F16">
        <v>1</v>
      </c>
      <c r="G16">
        <f t="shared" si="6"/>
        <v>80</v>
      </c>
      <c r="I16">
        <v>2100</v>
      </c>
      <c r="J16" t="s">
        <v>31</v>
      </c>
      <c r="K16">
        <f t="shared" si="7"/>
        <v>82.5</v>
      </c>
      <c r="L16" cm="1">
        <f t="array" ref="L16">STOWA2024_NDJF_T(A16*60,K16,I16,J16,"")</f>
        <v>245.82306014130481</v>
      </c>
      <c r="M16">
        <f t="shared" si="8"/>
        <v>4.0679666074662675E-3</v>
      </c>
    </row>
    <row r="17" spans="1:13" x14ac:dyDescent="0.3">
      <c r="A17">
        <v>24</v>
      </c>
      <c r="B17">
        <f t="shared" si="5"/>
        <v>1.4502941548852782E-3</v>
      </c>
      <c r="C17">
        <f t="shared" si="1"/>
        <v>1.4502941548852782E-3</v>
      </c>
      <c r="D17" t="s">
        <v>34</v>
      </c>
      <c r="E17" t="s">
        <v>19</v>
      </c>
      <c r="F17">
        <v>1</v>
      </c>
      <c r="G17">
        <f t="shared" si="6"/>
        <v>85</v>
      </c>
      <c r="I17">
        <v>2100</v>
      </c>
      <c r="J17" t="s">
        <v>31</v>
      </c>
      <c r="K17">
        <f t="shared" si="7"/>
        <v>87.5</v>
      </c>
      <c r="L17" cm="1">
        <f t="array" ref="L17">STOWA2024_NDJF_T(A17*60,K17,I17,J17,"")</f>
        <v>382.01876595141368</v>
      </c>
      <c r="M17">
        <f t="shared" si="8"/>
        <v>2.6176724525809893E-3</v>
      </c>
    </row>
    <row r="18" spans="1:13" x14ac:dyDescent="0.3">
      <c r="A18">
        <v>24</v>
      </c>
      <c r="B18">
        <f t="shared" si="5"/>
        <v>9.0992872205073122E-4</v>
      </c>
      <c r="C18">
        <f t="shared" si="1"/>
        <v>9.0992872205073122E-4</v>
      </c>
      <c r="D18" t="s">
        <v>34</v>
      </c>
      <c r="E18" t="s">
        <v>19</v>
      </c>
      <c r="F18">
        <v>1</v>
      </c>
      <c r="G18">
        <f t="shared" si="6"/>
        <v>90</v>
      </c>
      <c r="I18">
        <v>2100</v>
      </c>
      <c r="J18" t="s">
        <v>31</v>
      </c>
      <c r="K18">
        <f t="shared" si="7"/>
        <v>92.5</v>
      </c>
      <c r="L18" cm="1">
        <f t="array" ref="L18">STOWA2024_NDJF_T(A18*60,K18,I18,J18,"")</f>
        <v>585.56795268661176</v>
      </c>
      <c r="M18">
        <f t="shared" si="8"/>
        <v>1.7077437305302581E-3</v>
      </c>
    </row>
    <row r="19" spans="1:13" x14ac:dyDescent="0.3">
      <c r="A19">
        <v>24</v>
      </c>
      <c r="B19">
        <f t="shared" si="5"/>
        <v>5.791363390580625E-4</v>
      </c>
      <c r="C19">
        <f t="shared" si="1"/>
        <v>5.791363390580625E-4</v>
      </c>
      <c r="D19" t="s">
        <v>34</v>
      </c>
      <c r="E19" t="s">
        <v>19</v>
      </c>
      <c r="F19">
        <v>1</v>
      </c>
      <c r="G19">
        <f t="shared" si="6"/>
        <v>95</v>
      </c>
      <c r="I19">
        <v>2100</v>
      </c>
      <c r="J19" t="s">
        <v>31</v>
      </c>
      <c r="K19">
        <f t="shared" si="7"/>
        <v>97.5</v>
      </c>
      <c r="L19" cm="1">
        <f t="array" ref="L19">STOWA2024_NDJF_T(A19*60,K19,I19,J19,"")</f>
        <v>886.04771469338368</v>
      </c>
      <c r="M19">
        <f t="shared" si="8"/>
        <v>1.1286073914721956E-3</v>
      </c>
    </row>
    <row r="20" spans="1:13" x14ac:dyDescent="0.3">
      <c r="A20">
        <v>24</v>
      </c>
      <c r="B20">
        <f t="shared" si="5"/>
        <v>3.7362312246261753E-4</v>
      </c>
      <c r="C20">
        <f t="shared" si="1"/>
        <v>3.7362312246261753E-4</v>
      </c>
      <c r="D20" t="s">
        <v>34</v>
      </c>
      <c r="E20" t="s">
        <v>19</v>
      </c>
      <c r="F20">
        <v>1</v>
      </c>
      <c r="G20">
        <f t="shared" si="6"/>
        <v>100</v>
      </c>
      <c r="I20">
        <v>2100</v>
      </c>
      <c r="J20" t="s">
        <v>31</v>
      </c>
      <c r="K20">
        <f t="shared" si="7"/>
        <v>102.5</v>
      </c>
      <c r="L20" cm="1">
        <f t="array" ref="L20">STOWA2024_NDJF_T(A20*60,K20,I20,J20,"")</f>
        <v>1324.5309088517095</v>
      </c>
      <c r="M20">
        <f t="shared" si="8"/>
        <v>7.5498426900957806E-4</v>
      </c>
    </row>
    <row r="21" spans="1:13" x14ac:dyDescent="0.3">
      <c r="A21">
        <v>24</v>
      </c>
      <c r="B21">
        <f t="shared" si="5"/>
        <v>2.4410864279348526E-4</v>
      </c>
      <c r="C21">
        <f t="shared" si="1"/>
        <v>2.4410864279348526E-4</v>
      </c>
      <c r="D21" t="s">
        <v>34</v>
      </c>
      <c r="E21" t="s">
        <v>19</v>
      </c>
      <c r="F21">
        <v>1</v>
      </c>
      <c r="G21">
        <f t="shared" si="6"/>
        <v>105</v>
      </c>
      <c r="I21">
        <v>2100</v>
      </c>
      <c r="J21" t="s">
        <v>31</v>
      </c>
      <c r="K21">
        <f t="shared" si="7"/>
        <v>107.5</v>
      </c>
      <c r="L21" cm="1">
        <f t="array" ref="L21">STOWA2024_NDJF_T(A21*60,K21,I21,J21,"")</f>
        <v>1957.4235854756062</v>
      </c>
      <c r="M21">
        <f t="shared" si="8"/>
        <v>5.1087562621609281E-4</v>
      </c>
    </row>
    <row r="22" spans="1:13" x14ac:dyDescent="0.3">
      <c r="A22">
        <v>24</v>
      </c>
      <c r="B22">
        <f t="shared" si="5"/>
        <v>1.614180096614557E-4</v>
      </c>
      <c r="C22">
        <f t="shared" si="1"/>
        <v>1.614180096614557E-4</v>
      </c>
      <c r="D22" t="s">
        <v>34</v>
      </c>
      <c r="E22" t="s">
        <v>19</v>
      </c>
      <c r="F22">
        <v>1</v>
      </c>
      <c r="G22">
        <f t="shared" si="6"/>
        <v>110</v>
      </c>
      <c r="I22">
        <v>2100</v>
      </c>
      <c r="J22" t="s">
        <v>31</v>
      </c>
      <c r="K22">
        <f t="shared" si="7"/>
        <v>112.5</v>
      </c>
      <c r="L22" cm="1">
        <f t="array" ref="L22">STOWA2024_NDJF_T(A22*60,K22,I22,J22,"")</f>
        <v>2861.5773490907777</v>
      </c>
      <c r="M22">
        <f t="shared" si="8"/>
        <v>3.4945761655463711E-4</v>
      </c>
    </row>
    <row r="23" spans="1:13" x14ac:dyDescent="0.3">
      <c r="A23">
        <v>24</v>
      </c>
      <c r="B23">
        <f t="shared" si="5"/>
        <v>1.0795680463878503E-4</v>
      </c>
      <c r="C23">
        <f t="shared" si="1"/>
        <v>1.0795680463878503E-4</v>
      </c>
      <c r="D23" t="s">
        <v>34</v>
      </c>
      <c r="E23" t="s">
        <v>19</v>
      </c>
      <c r="F23">
        <v>1</v>
      </c>
      <c r="G23">
        <f t="shared" si="6"/>
        <v>115</v>
      </c>
      <c r="I23">
        <v>2100</v>
      </c>
      <c r="J23" t="s">
        <v>31</v>
      </c>
      <c r="K23">
        <f t="shared" si="7"/>
        <v>117.5</v>
      </c>
      <c r="L23" cm="1">
        <f t="array" ref="L23">STOWA2024_NDJF_T(A23*60,K23,I23,J23,"")</f>
        <v>4140.7728283267115</v>
      </c>
      <c r="M23">
        <f t="shared" si="8"/>
        <v>2.4150081191585208E-4</v>
      </c>
    </row>
    <row r="24" spans="1:13" x14ac:dyDescent="0.3">
      <c r="A24">
        <v>24</v>
      </c>
      <c r="B24">
        <f t="shared" si="5"/>
        <v>7.2977055885948405E-5</v>
      </c>
      <c r="C24">
        <f t="shared" si="1"/>
        <v>7.2977055885948405E-5</v>
      </c>
      <c r="D24" t="s">
        <v>34</v>
      </c>
      <c r="E24" t="s">
        <v>19</v>
      </c>
      <c r="F24">
        <v>1</v>
      </c>
      <c r="G24">
        <f t="shared" si="6"/>
        <v>120</v>
      </c>
      <c r="I24">
        <v>2100</v>
      </c>
      <c r="J24" t="s">
        <v>31</v>
      </c>
      <c r="K24">
        <f t="shared" si="7"/>
        <v>122.5</v>
      </c>
      <c r="L24" cm="1">
        <f t="array" ref="L24">STOWA2024_NDJF_T(A24*60,K24,I24,J24,"")</f>
        <v>5933.8815105839149</v>
      </c>
      <c r="M24">
        <f t="shared" si="8"/>
        <v>1.6852375602990368E-4</v>
      </c>
    </row>
    <row r="25" spans="1:13" x14ac:dyDescent="0.3">
      <c r="A25">
        <v>24</v>
      </c>
      <c r="B25">
        <f t="shared" si="5"/>
        <v>4.9836883661131371E-5</v>
      </c>
      <c r="C25">
        <f t="shared" si="1"/>
        <v>4.9836883661131371E-5</v>
      </c>
      <c r="D25" t="s">
        <v>34</v>
      </c>
      <c r="E25" t="s">
        <v>19</v>
      </c>
      <c r="F25">
        <v>1</v>
      </c>
      <c r="G25">
        <f t="shared" si="6"/>
        <v>125</v>
      </c>
      <c r="I25">
        <v>2100</v>
      </c>
      <c r="J25" t="s">
        <v>31</v>
      </c>
      <c r="K25">
        <f t="shared" si="7"/>
        <v>127.5</v>
      </c>
      <c r="L25" cm="1">
        <f t="array" ref="L25">STOWA2024_NDJF_T(A25*60,K25,I25,J25,"")</f>
        <v>8425.531653516804</v>
      </c>
      <c r="M25">
        <f t="shared" si="8"/>
        <v>1.1868687236877231E-4</v>
      </c>
    </row>
    <row r="26" spans="1:13" x14ac:dyDescent="0.3">
      <c r="A26">
        <v>24</v>
      </c>
      <c r="B26">
        <f t="shared" si="5"/>
        <v>3.4363709049886645E-5</v>
      </c>
      <c r="C26">
        <f t="shared" si="1"/>
        <v>3.4363709049886645E-5</v>
      </c>
      <c r="D26" t="s">
        <v>34</v>
      </c>
      <c r="E26" t="s">
        <v>19</v>
      </c>
      <c r="F26">
        <v>1</v>
      </c>
      <c r="G26">
        <f t="shared" si="6"/>
        <v>130</v>
      </c>
      <c r="I26">
        <v>2100</v>
      </c>
      <c r="J26" t="s">
        <v>31</v>
      </c>
      <c r="K26">
        <f t="shared" si="7"/>
        <v>132.5</v>
      </c>
      <c r="L26" cm="1">
        <f t="array" ref="L26">STOWA2024_NDJF_T(A26*60,K26,I26,J26,"")</f>
        <v>11859.137639539103</v>
      </c>
      <c r="M26">
        <f t="shared" si="8"/>
        <v>8.4323163318885663E-5</v>
      </c>
    </row>
    <row r="27" spans="1:13" x14ac:dyDescent="0.3">
      <c r="A27">
        <v>24</v>
      </c>
      <c r="B27">
        <f t="shared" si="5"/>
        <v>2.3914088920928172E-5</v>
      </c>
      <c r="C27">
        <f t="shared" si="1"/>
        <v>2.3914088920928172E-5</v>
      </c>
      <c r="D27" t="s">
        <v>34</v>
      </c>
      <c r="E27" t="s">
        <v>19</v>
      </c>
      <c r="F27">
        <v>1</v>
      </c>
      <c r="G27">
        <f t="shared" si="6"/>
        <v>135</v>
      </c>
      <c r="I27">
        <v>2100</v>
      </c>
      <c r="J27" t="s">
        <v>31</v>
      </c>
      <c r="K27">
        <f t="shared" si="7"/>
        <v>137.5</v>
      </c>
      <c r="L27" cm="1">
        <f t="array" ref="L27">STOWA2024_NDJF_T(A27*60,K27,I27,J27,"")</f>
        <v>16553.804374029794</v>
      </c>
      <c r="M27">
        <f t="shared" si="8"/>
        <v>6.0409074397957491E-5</v>
      </c>
    </row>
    <row r="28" spans="1:13" x14ac:dyDescent="0.3">
      <c r="A28">
        <v>24</v>
      </c>
      <c r="B28">
        <f t="shared" si="5"/>
        <v>1.6787621427328175E-5</v>
      </c>
      <c r="C28">
        <f t="shared" si="1"/>
        <v>1.6787621427328175E-5</v>
      </c>
      <c r="D28" t="s">
        <v>34</v>
      </c>
      <c r="E28" t="s">
        <v>19</v>
      </c>
      <c r="F28">
        <v>1</v>
      </c>
      <c r="G28">
        <f t="shared" si="6"/>
        <v>140</v>
      </c>
      <c r="I28">
        <v>2100</v>
      </c>
      <c r="J28" t="s">
        <v>31</v>
      </c>
      <c r="K28">
        <f t="shared" si="7"/>
        <v>142.5</v>
      </c>
      <c r="L28" cm="1">
        <f t="array" ref="L28">STOWA2024_NDJF_T(A28*60,K28,I28,J28,"")</f>
        <v>22924.500031516793</v>
      </c>
      <c r="M28">
        <f t="shared" si="8"/>
        <v>4.3621452970629316E-5</v>
      </c>
    </row>
    <row r="29" spans="1:13" x14ac:dyDescent="0.3">
      <c r="A29">
        <v>24</v>
      </c>
      <c r="B29">
        <f t="shared" si="5"/>
        <v>1.1883354752196343E-5</v>
      </c>
      <c r="C29">
        <f t="shared" si="1"/>
        <v>1.1883354752196343E-5</v>
      </c>
      <c r="D29" t="s">
        <v>34</v>
      </c>
      <c r="E29" t="s">
        <v>19</v>
      </c>
      <c r="F29">
        <v>1</v>
      </c>
      <c r="G29">
        <f t="shared" si="6"/>
        <v>145</v>
      </c>
      <c r="I29">
        <v>2100</v>
      </c>
      <c r="J29" t="s">
        <v>31</v>
      </c>
      <c r="K29">
        <f t="shared" si="7"/>
        <v>147.5</v>
      </c>
      <c r="L29" cm="1">
        <f t="array" ref="L29">STOWA2024_NDJF_T(A29*60,K29,I29,J29,"")</f>
        <v>31507.874010523297</v>
      </c>
      <c r="M29">
        <f t="shared" si="8"/>
        <v>3.1738098218432973E-5</v>
      </c>
    </row>
    <row r="30" spans="1:13" x14ac:dyDescent="0.3">
      <c r="A30">
        <v>24</v>
      </c>
      <c r="B30">
        <f t="shared" si="5"/>
        <v>8.4787091149095318E-6</v>
      </c>
      <c r="C30">
        <f t="shared" si="1"/>
        <v>8.4787091149095318E-6</v>
      </c>
      <c r="D30" t="s">
        <v>34</v>
      </c>
      <c r="E30" t="s">
        <v>19</v>
      </c>
      <c r="F30">
        <v>1</v>
      </c>
      <c r="G30">
        <f t="shared" si="6"/>
        <v>150</v>
      </c>
      <c r="I30">
        <v>2100</v>
      </c>
      <c r="J30" t="s">
        <v>31</v>
      </c>
      <c r="K30">
        <f t="shared" si="7"/>
        <v>152.5</v>
      </c>
      <c r="L30" cm="1">
        <f t="array" ref="L30">STOWA2024_NDJF_T(A30*60,K30,I30,J30,"")</f>
        <v>42993.390563663401</v>
      </c>
      <c r="M30">
        <f t="shared" si="8"/>
        <v>2.3259389103523441E-5</v>
      </c>
    </row>
    <row r="31" spans="1:13" x14ac:dyDescent="0.3">
      <c r="A31">
        <v>24</v>
      </c>
      <c r="B31">
        <f t="shared" si="5"/>
        <v>6.0958208773548242E-6</v>
      </c>
      <c r="C31">
        <f t="shared" si="1"/>
        <v>6.0958208773548242E-6</v>
      </c>
      <c r="D31" t="s">
        <v>34</v>
      </c>
      <c r="E31" t="s">
        <v>19</v>
      </c>
      <c r="F31">
        <v>1</v>
      </c>
      <c r="G31">
        <f t="shared" si="6"/>
        <v>155</v>
      </c>
      <c r="I31">
        <v>2100</v>
      </c>
      <c r="J31" t="s">
        <v>31</v>
      </c>
      <c r="K31">
        <f t="shared" si="7"/>
        <v>157.5</v>
      </c>
      <c r="L31" cm="1">
        <f t="array" ref="L31">STOWA2024_NDJF_T(A31*60,K31,I31,J31,"")</f>
        <v>58262.94316092963</v>
      </c>
      <c r="M31">
        <f t="shared" si="8"/>
        <v>1.7163568226168617E-5</v>
      </c>
    </row>
    <row r="32" spans="1:13" x14ac:dyDescent="0.3">
      <c r="A32">
        <v>24</v>
      </c>
      <c r="B32" s="1">
        <f>M31</f>
        <v>1.7163568226168617E-5</v>
      </c>
      <c r="C32">
        <f t="shared" si="1"/>
        <v>1.7163568226168617E-5</v>
      </c>
      <c r="D32" t="s">
        <v>34</v>
      </c>
      <c r="E32" t="s">
        <v>19</v>
      </c>
      <c r="F32">
        <v>1</v>
      </c>
      <c r="G32">
        <f t="shared" si="6"/>
        <v>160</v>
      </c>
      <c r="I32">
        <v>2100</v>
      </c>
      <c r="J32" t="s">
        <v>31</v>
      </c>
      <c r="K32">
        <f>AVERAGE(G32:G33)</f>
        <v>85</v>
      </c>
      <c r="L32" cm="1">
        <f t="array" ref="L32">STOWA2024_NDJF_T(A32*60,K32,I32,J32,"")</f>
        <v>306.99134691350895</v>
      </c>
      <c r="M32">
        <f>1/L32</f>
        <v>3.2574208037262293E-3</v>
      </c>
    </row>
    <row r="33" spans="1:13" x14ac:dyDescent="0.3">
      <c r="A33">
        <v>48</v>
      </c>
      <c r="B33" s="1">
        <f>365.25*24/A33 - M33</f>
        <v>162.92893614864457</v>
      </c>
      <c r="C33">
        <f>B33</f>
        <v>162.92893614864457</v>
      </c>
      <c r="D33" t="s">
        <v>34</v>
      </c>
      <c r="E33" t="s">
        <v>19</v>
      </c>
      <c r="F33">
        <v>1</v>
      </c>
      <c r="G33">
        <v>10</v>
      </c>
      <c r="I33">
        <v>2100</v>
      </c>
      <c r="J33" t="s">
        <v>31</v>
      </c>
      <c r="K33">
        <f>AVERAGE(G33:G35)</f>
        <v>15</v>
      </c>
      <c r="L33" cm="1">
        <f t="array" ref="L33">STOWA2024_NDJF_T(A33*60,K33,I33,J33,"")</f>
        <v>5.0771565707083244E-2</v>
      </c>
      <c r="M33">
        <f>1/L33</f>
        <v>19.696063851355444</v>
      </c>
    </row>
    <row r="34" spans="1:13" x14ac:dyDescent="0.3">
      <c r="A34">
        <v>48</v>
      </c>
      <c r="B34">
        <f t="shared" ref="B34:B38" si="9">M33-M34</f>
        <v>5.0831505331674407</v>
      </c>
      <c r="C34">
        <f t="shared" ref="C34:C63" si="10">B34</f>
        <v>5.0831505331674407</v>
      </c>
      <c r="D34" t="s">
        <v>34</v>
      </c>
      <c r="E34" t="s">
        <v>19</v>
      </c>
      <c r="F34">
        <v>1</v>
      </c>
      <c r="G34">
        <f t="shared" ref="G34:G38" si="11">G33+5</f>
        <v>15</v>
      </c>
      <c r="I34">
        <v>2100</v>
      </c>
      <c r="J34" t="s">
        <v>31</v>
      </c>
      <c r="K34">
        <f t="shared" ref="K34:K38" si="12">AVERAGE(G34:G35)</f>
        <v>17.5</v>
      </c>
      <c r="L34" cm="1">
        <f t="array" ref="L34">STOWA2024_NDJF_T(A34*60,K34,I34,J34,"")</f>
        <v>6.8432623818780014E-2</v>
      </c>
      <c r="M34">
        <f t="shared" ref="M34:M38" si="13">1/L34</f>
        <v>14.612913318188003</v>
      </c>
    </row>
    <row r="35" spans="1:13" x14ac:dyDescent="0.3">
      <c r="A35">
        <v>48</v>
      </c>
      <c r="B35">
        <f t="shared" si="9"/>
        <v>6.4514641847811731</v>
      </c>
      <c r="C35">
        <f t="shared" si="10"/>
        <v>6.4514641847811731</v>
      </c>
      <c r="D35" t="s">
        <v>34</v>
      </c>
      <c r="E35" t="s">
        <v>19</v>
      </c>
      <c r="F35">
        <v>1</v>
      </c>
      <c r="G35">
        <f t="shared" si="11"/>
        <v>20</v>
      </c>
      <c r="I35">
        <v>2100</v>
      </c>
      <c r="J35" t="s">
        <v>31</v>
      </c>
      <c r="K35">
        <f t="shared" si="12"/>
        <v>22.5</v>
      </c>
      <c r="L35" cm="1">
        <f t="array" ref="L35">STOWA2024_NDJF_T(A35*60,K35,I35,J35,"")</f>
        <v>0.12252726000665161</v>
      </c>
      <c r="M35">
        <f t="shared" si="13"/>
        <v>8.1614491334068298</v>
      </c>
    </row>
    <row r="36" spans="1:13" x14ac:dyDescent="0.3">
      <c r="A36">
        <v>48</v>
      </c>
      <c r="B36">
        <f t="shared" si="9"/>
        <v>3.518473392882643</v>
      </c>
      <c r="C36">
        <f t="shared" si="10"/>
        <v>3.518473392882643</v>
      </c>
      <c r="D36" t="s">
        <v>34</v>
      </c>
      <c r="E36" t="s">
        <v>19</v>
      </c>
      <c r="F36">
        <v>1</v>
      </c>
      <c r="G36">
        <f t="shared" si="11"/>
        <v>25</v>
      </c>
      <c r="I36">
        <v>2100</v>
      </c>
      <c r="J36" t="s">
        <v>31</v>
      </c>
      <c r="K36">
        <f t="shared" si="12"/>
        <v>27.5</v>
      </c>
      <c r="L36" cm="1">
        <f t="array" ref="L36">STOWA2024_NDJF_T(A36*60,K36,I36,J36,"")</f>
        <v>0.21537911371621793</v>
      </c>
      <c r="M36">
        <f t="shared" si="13"/>
        <v>4.6429757405241867</v>
      </c>
    </row>
    <row r="37" spans="1:13" x14ac:dyDescent="0.3">
      <c r="A37">
        <v>48</v>
      </c>
      <c r="B37">
        <f t="shared" si="9"/>
        <v>1.955658267905815</v>
      </c>
      <c r="C37">
        <f t="shared" si="10"/>
        <v>1.955658267905815</v>
      </c>
      <c r="D37" t="s">
        <v>34</v>
      </c>
      <c r="E37" t="s">
        <v>19</v>
      </c>
      <c r="F37">
        <v>1</v>
      </c>
      <c r="G37">
        <f t="shared" si="11"/>
        <v>30</v>
      </c>
      <c r="I37">
        <v>2100</v>
      </c>
      <c r="J37" t="s">
        <v>31</v>
      </c>
      <c r="K37">
        <f t="shared" si="12"/>
        <v>32.5</v>
      </c>
      <c r="L37" cm="1">
        <f t="array" ref="L37">STOWA2024_NDJF_T(A37*60,K37,I37,J37,"")</f>
        <v>0.37211829647565087</v>
      </c>
      <c r="M37">
        <f t="shared" si="13"/>
        <v>2.6873174726183717</v>
      </c>
    </row>
    <row r="38" spans="1:13" x14ac:dyDescent="0.3">
      <c r="A38">
        <v>48</v>
      </c>
      <c r="B38">
        <f t="shared" si="9"/>
        <v>1.1063879568159551</v>
      </c>
      <c r="C38">
        <f t="shared" si="10"/>
        <v>1.1063879568159551</v>
      </c>
      <c r="D38" t="s">
        <v>34</v>
      </c>
      <c r="E38" t="s">
        <v>19</v>
      </c>
      <c r="F38">
        <v>1</v>
      </c>
      <c r="G38">
        <f t="shared" si="11"/>
        <v>35</v>
      </c>
      <c r="I38">
        <v>2100</v>
      </c>
      <c r="J38" t="s">
        <v>31</v>
      </c>
      <c r="K38">
        <f t="shared" si="12"/>
        <v>37.5</v>
      </c>
      <c r="L38" cm="1">
        <f t="array" ref="L38">STOWA2024_NDJF_T(A38*60,K38,I38,J38,"")</f>
        <v>0.63253926883162781</v>
      </c>
      <c r="M38">
        <f t="shared" si="13"/>
        <v>1.5809295158024166</v>
      </c>
    </row>
    <row r="39" spans="1:13" x14ac:dyDescent="0.3">
      <c r="A39">
        <v>48</v>
      </c>
      <c r="B39">
        <f>M38-M39</f>
        <v>0.63643885967487446</v>
      </c>
      <c r="C39">
        <f t="shared" si="10"/>
        <v>0.63643885967487446</v>
      </c>
      <c r="D39" t="s">
        <v>34</v>
      </c>
      <c r="E39" t="s">
        <v>19</v>
      </c>
      <c r="F39">
        <v>1</v>
      </c>
      <c r="G39">
        <f>G38+5</f>
        <v>40</v>
      </c>
      <c r="I39">
        <v>2100</v>
      </c>
      <c r="J39" t="s">
        <v>31</v>
      </c>
      <c r="K39">
        <f>AVERAGE(G39:G40)</f>
        <v>42.5</v>
      </c>
      <c r="L39" cm="1">
        <f t="array" ref="L39">STOWA2024_NDJF_T(A39*60,K39,I39,J39,"")</f>
        <v>1.0587717236929044</v>
      </c>
      <c r="M39">
        <f>1/L39</f>
        <v>0.94449065612754213</v>
      </c>
    </row>
    <row r="40" spans="1:13" x14ac:dyDescent="0.3">
      <c r="A40">
        <v>48</v>
      </c>
      <c r="B40">
        <f t="shared" ref="B40:B62" si="14">M39-M40</f>
        <v>0.37206971399946343</v>
      </c>
      <c r="C40">
        <f t="shared" si="10"/>
        <v>0.37206971399946343</v>
      </c>
      <c r="D40" t="s">
        <v>34</v>
      </c>
      <c r="E40" t="s">
        <v>19</v>
      </c>
      <c r="F40">
        <v>1</v>
      </c>
      <c r="G40">
        <f t="shared" ref="G40:G63" si="15">G39+5</f>
        <v>45</v>
      </c>
      <c r="I40">
        <v>2100</v>
      </c>
      <c r="J40" t="s">
        <v>31</v>
      </c>
      <c r="K40">
        <f t="shared" ref="K40:K62" si="16">AVERAGE(G40:G41)</f>
        <v>47.5</v>
      </c>
      <c r="L40" cm="1">
        <f t="array" ref="L40">STOWA2024_NDJF_T(A40*60,K40,I40,J40,"")</f>
        <v>1.7469661334931574</v>
      </c>
      <c r="M40">
        <f t="shared" ref="M40:M62" si="17">1/L40</f>
        <v>0.5724209421280787</v>
      </c>
    </row>
    <row r="41" spans="1:13" x14ac:dyDescent="0.3">
      <c r="A41">
        <v>48</v>
      </c>
      <c r="B41">
        <f t="shared" si="14"/>
        <v>0.22073155699115804</v>
      </c>
      <c r="C41">
        <f t="shared" si="10"/>
        <v>0.22073155699115804</v>
      </c>
      <c r="D41" t="s">
        <v>34</v>
      </c>
      <c r="E41" t="s">
        <v>19</v>
      </c>
      <c r="F41">
        <v>1</v>
      </c>
      <c r="G41">
        <f t="shared" si="15"/>
        <v>50</v>
      </c>
      <c r="I41">
        <v>2100</v>
      </c>
      <c r="J41" t="s">
        <v>31</v>
      </c>
      <c r="K41">
        <f t="shared" si="16"/>
        <v>52.5</v>
      </c>
      <c r="L41" cm="1">
        <f t="array" ref="L41">STOWA2024_NDJF_T(A41*60,K41,I41,J41,"")</f>
        <v>2.8434182044211465</v>
      </c>
      <c r="M41">
        <f t="shared" si="17"/>
        <v>0.35168938513692066</v>
      </c>
    </row>
    <row r="42" spans="1:13" x14ac:dyDescent="0.3">
      <c r="A42">
        <v>48</v>
      </c>
      <c r="B42">
        <f t="shared" si="14"/>
        <v>0.13280160712065048</v>
      </c>
      <c r="C42">
        <f t="shared" si="10"/>
        <v>0.13280160712065048</v>
      </c>
      <c r="D42" t="s">
        <v>34</v>
      </c>
      <c r="E42" t="s">
        <v>19</v>
      </c>
      <c r="F42">
        <v>1</v>
      </c>
      <c r="G42">
        <f t="shared" si="15"/>
        <v>55</v>
      </c>
      <c r="I42">
        <v>2100</v>
      </c>
      <c r="J42" t="s">
        <v>31</v>
      </c>
      <c r="K42">
        <f t="shared" si="16"/>
        <v>57.5</v>
      </c>
      <c r="L42" cm="1">
        <f t="array" ref="L42">STOWA2024_NDJF_T(A42*60,K42,I42,J42,"")</f>
        <v>4.5685511044187619</v>
      </c>
      <c r="M42">
        <f t="shared" si="17"/>
        <v>0.21888777801627018</v>
      </c>
    </row>
    <row r="43" spans="1:13" x14ac:dyDescent="0.3">
      <c r="A43">
        <v>48</v>
      </c>
      <c r="B43">
        <f t="shared" si="14"/>
        <v>8.0971861944740736E-2</v>
      </c>
      <c r="C43">
        <f t="shared" si="10"/>
        <v>8.0971861944740736E-2</v>
      </c>
      <c r="D43" t="s">
        <v>34</v>
      </c>
      <c r="E43" t="s">
        <v>19</v>
      </c>
      <c r="F43">
        <v>1</v>
      </c>
      <c r="G43">
        <f t="shared" si="15"/>
        <v>60</v>
      </c>
      <c r="I43">
        <v>2100</v>
      </c>
      <c r="J43" t="s">
        <v>31</v>
      </c>
      <c r="K43">
        <f t="shared" si="16"/>
        <v>62.5</v>
      </c>
      <c r="L43" cm="1">
        <f t="array" ref="L43">STOWA2024_NDJF_T(A43*60,K43,I43,J43,"")</f>
        <v>7.2507947486014208</v>
      </c>
      <c r="M43">
        <f t="shared" si="17"/>
        <v>0.13791591607152945</v>
      </c>
    </row>
    <row r="44" spans="1:13" x14ac:dyDescent="0.3">
      <c r="A44">
        <v>48</v>
      </c>
      <c r="B44">
        <f t="shared" si="14"/>
        <v>5.0001843295006454E-2</v>
      </c>
      <c r="C44">
        <f t="shared" si="10"/>
        <v>5.0001843295006454E-2</v>
      </c>
      <c r="D44" t="s">
        <v>34</v>
      </c>
      <c r="E44" t="s">
        <v>19</v>
      </c>
      <c r="F44">
        <v>1</v>
      </c>
      <c r="G44">
        <f t="shared" si="15"/>
        <v>65</v>
      </c>
      <c r="I44">
        <v>2100</v>
      </c>
      <c r="J44" t="s">
        <v>31</v>
      </c>
      <c r="K44">
        <f t="shared" si="16"/>
        <v>67.5</v>
      </c>
      <c r="L44" cm="1">
        <f t="array" ref="L44">STOWA2024_NDJF_T(A44*60,K44,I44,J44,"")</f>
        <v>11.374743182948578</v>
      </c>
      <c r="M44">
        <f t="shared" si="17"/>
        <v>8.7914072776522995E-2</v>
      </c>
    </row>
    <row r="45" spans="1:13" x14ac:dyDescent="0.3">
      <c r="A45">
        <v>48</v>
      </c>
      <c r="B45">
        <f t="shared" si="14"/>
        <v>3.1248173601925763E-2</v>
      </c>
      <c r="C45">
        <f t="shared" si="10"/>
        <v>3.1248173601925763E-2</v>
      </c>
      <c r="D45" t="s">
        <v>34</v>
      </c>
      <c r="E45" t="s">
        <v>19</v>
      </c>
      <c r="F45">
        <v>1</v>
      </c>
      <c r="G45">
        <f t="shared" si="15"/>
        <v>70</v>
      </c>
      <c r="I45">
        <v>2100</v>
      </c>
      <c r="J45" t="s">
        <v>31</v>
      </c>
      <c r="K45">
        <f t="shared" si="16"/>
        <v>72.5</v>
      </c>
      <c r="L45" cm="1">
        <f t="array" ref="L45">STOWA2024_NDJF_T(A45*60,K45,I45,J45,"")</f>
        <v>17.647297838137725</v>
      </c>
      <c r="M45">
        <f t="shared" si="17"/>
        <v>5.6665899174597231E-2</v>
      </c>
    </row>
    <row r="46" spans="1:13" x14ac:dyDescent="0.3">
      <c r="A46">
        <v>48</v>
      </c>
      <c r="B46">
        <f t="shared" si="14"/>
        <v>1.9754739760825799E-2</v>
      </c>
      <c r="C46">
        <f t="shared" si="10"/>
        <v>1.9754739760825799E-2</v>
      </c>
      <c r="D46" t="s">
        <v>34</v>
      </c>
      <c r="E46" t="s">
        <v>19</v>
      </c>
      <c r="F46">
        <v>1</v>
      </c>
      <c r="G46">
        <f t="shared" si="15"/>
        <v>75</v>
      </c>
      <c r="I46">
        <v>2100</v>
      </c>
      <c r="J46" t="s">
        <v>31</v>
      </c>
      <c r="K46">
        <f t="shared" si="16"/>
        <v>77.5</v>
      </c>
      <c r="L46" cm="1">
        <f t="array" ref="L46">STOWA2024_NDJF_T(A46*60,K46,I46,J46,"")</f>
        <v>27.092077731562757</v>
      </c>
      <c r="M46">
        <f t="shared" si="17"/>
        <v>3.6911159413771433E-2</v>
      </c>
    </row>
    <row r="47" spans="1:13" x14ac:dyDescent="0.3">
      <c r="A47">
        <v>48</v>
      </c>
      <c r="B47">
        <f t="shared" si="14"/>
        <v>1.2625087542014923E-2</v>
      </c>
      <c r="C47">
        <f t="shared" si="10"/>
        <v>1.2625087542014923E-2</v>
      </c>
      <c r="D47" t="s">
        <v>34</v>
      </c>
      <c r="E47" t="s">
        <v>19</v>
      </c>
      <c r="F47">
        <v>1</v>
      </c>
      <c r="G47">
        <f t="shared" si="15"/>
        <v>80</v>
      </c>
      <c r="I47">
        <v>2100</v>
      </c>
      <c r="J47" t="s">
        <v>31</v>
      </c>
      <c r="K47">
        <f t="shared" si="16"/>
        <v>82.5</v>
      </c>
      <c r="L47" cm="1">
        <f t="array" ref="L47">STOWA2024_NDJF_T(A47*60,K47,I47,J47,"")</f>
        <v>41.175864309408972</v>
      </c>
      <c r="M47">
        <f t="shared" si="17"/>
        <v>2.428607187175651E-2</v>
      </c>
    </row>
    <row r="48" spans="1:13" x14ac:dyDescent="0.3">
      <c r="A48">
        <v>48</v>
      </c>
      <c r="B48">
        <f t="shared" si="14"/>
        <v>8.1527075349804093E-3</v>
      </c>
      <c r="C48">
        <f t="shared" si="10"/>
        <v>8.1527075349804093E-3</v>
      </c>
      <c r="D48" t="s">
        <v>34</v>
      </c>
      <c r="E48" t="s">
        <v>19</v>
      </c>
      <c r="F48">
        <v>1</v>
      </c>
      <c r="G48">
        <f t="shared" si="15"/>
        <v>85</v>
      </c>
      <c r="I48">
        <v>2100</v>
      </c>
      <c r="J48" t="s">
        <v>31</v>
      </c>
      <c r="K48">
        <f t="shared" si="16"/>
        <v>87.5</v>
      </c>
      <c r="L48" cm="1">
        <f t="array" ref="L48">STOWA2024_NDJF_T(A48*60,K48,I48,J48,"")</f>
        <v>61.983351960910845</v>
      </c>
      <c r="M48">
        <f t="shared" si="17"/>
        <v>1.6133364336776101E-2</v>
      </c>
    </row>
    <row r="49" spans="1:13" x14ac:dyDescent="0.3">
      <c r="A49">
        <v>48</v>
      </c>
      <c r="B49">
        <f t="shared" si="14"/>
        <v>5.3172894954017919E-3</v>
      </c>
      <c r="C49">
        <f t="shared" si="10"/>
        <v>5.3172894954017919E-3</v>
      </c>
      <c r="D49" t="s">
        <v>34</v>
      </c>
      <c r="E49" t="s">
        <v>19</v>
      </c>
      <c r="F49">
        <v>1</v>
      </c>
      <c r="G49">
        <f t="shared" si="15"/>
        <v>90</v>
      </c>
      <c r="I49">
        <v>2100</v>
      </c>
      <c r="J49" t="s">
        <v>31</v>
      </c>
      <c r="K49">
        <f t="shared" si="16"/>
        <v>92.5</v>
      </c>
      <c r="L49" cm="1">
        <f t="array" ref="L49">STOWA2024_NDJF_T(A49*60,K49,I49,J49,"")</f>
        <v>92.45498155899763</v>
      </c>
      <c r="M49">
        <f t="shared" si="17"/>
        <v>1.0816074841374309E-2</v>
      </c>
    </row>
    <row r="50" spans="1:13" x14ac:dyDescent="0.3">
      <c r="A50">
        <v>48</v>
      </c>
      <c r="B50">
        <f t="shared" si="14"/>
        <v>3.5010243336889256E-3</v>
      </c>
      <c r="C50">
        <f t="shared" si="10"/>
        <v>3.5010243336889256E-3</v>
      </c>
      <c r="D50" t="s">
        <v>34</v>
      </c>
      <c r="E50" t="s">
        <v>19</v>
      </c>
      <c r="F50">
        <v>1</v>
      </c>
      <c r="G50">
        <f t="shared" si="15"/>
        <v>95</v>
      </c>
      <c r="I50">
        <v>2100</v>
      </c>
      <c r="J50" t="s">
        <v>31</v>
      </c>
      <c r="K50">
        <f t="shared" si="16"/>
        <v>97.5</v>
      </c>
      <c r="L50" cm="1">
        <f t="array" ref="L50">STOWA2024_NDJF_T(A50*60,K50,I50,J50,"")</f>
        <v>136.7044559636839</v>
      </c>
      <c r="M50">
        <f t="shared" si="17"/>
        <v>7.3150505076853833E-3</v>
      </c>
    </row>
    <row r="51" spans="1:13" x14ac:dyDescent="0.3">
      <c r="A51">
        <v>48</v>
      </c>
      <c r="B51">
        <f t="shared" si="14"/>
        <v>2.3261490868021137E-3</v>
      </c>
      <c r="C51">
        <f t="shared" si="10"/>
        <v>2.3261490868021137E-3</v>
      </c>
      <c r="D51" t="s">
        <v>34</v>
      </c>
      <c r="E51" t="s">
        <v>19</v>
      </c>
      <c r="F51">
        <v>1</v>
      </c>
      <c r="G51">
        <f t="shared" si="15"/>
        <v>100</v>
      </c>
      <c r="I51">
        <v>2100</v>
      </c>
      <c r="J51" t="s">
        <v>31</v>
      </c>
      <c r="K51">
        <f t="shared" si="16"/>
        <v>102.5</v>
      </c>
      <c r="L51" cm="1">
        <f t="array" ref="L51">STOWA2024_NDJF_T(A51*60,K51,I51,J51,"")</f>
        <v>200.44493078457202</v>
      </c>
      <c r="M51">
        <f t="shared" si="17"/>
        <v>4.9889014208832697E-3</v>
      </c>
    </row>
    <row r="52" spans="1:13" x14ac:dyDescent="0.3">
      <c r="A52">
        <v>48</v>
      </c>
      <c r="B52">
        <f t="shared" si="14"/>
        <v>1.559014705058784E-3</v>
      </c>
      <c r="C52">
        <f t="shared" si="10"/>
        <v>1.559014705058784E-3</v>
      </c>
      <c r="D52" t="s">
        <v>34</v>
      </c>
      <c r="E52" t="s">
        <v>19</v>
      </c>
      <c r="F52">
        <v>1</v>
      </c>
      <c r="G52">
        <f t="shared" si="15"/>
        <v>105</v>
      </c>
      <c r="I52">
        <v>2100</v>
      </c>
      <c r="J52" t="s">
        <v>31</v>
      </c>
      <c r="K52">
        <f t="shared" si="16"/>
        <v>107.5</v>
      </c>
      <c r="L52" cm="1">
        <f t="array" ref="L52">STOWA2024_NDJF_T(A52*60,K52,I52,J52,"")</f>
        <v>291.5548188184452</v>
      </c>
      <c r="M52">
        <f t="shared" si="17"/>
        <v>3.4298867158244857E-3</v>
      </c>
    </row>
    <row r="53" spans="1:13" x14ac:dyDescent="0.3">
      <c r="A53">
        <v>48</v>
      </c>
      <c r="B53">
        <f t="shared" si="14"/>
        <v>1.0536012080935649E-3</v>
      </c>
      <c r="C53">
        <f t="shared" si="10"/>
        <v>1.0536012080935649E-3</v>
      </c>
      <c r="D53" t="s">
        <v>34</v>
      </c>
      <c r="E53" t="s">
        <v>19</v>
      </c>
      <c r="F53">
        <v>1</v>
      </c>
      <c r="G53">
        <f t="shared" si="15"/>
        <v>110</v>
      </c>
      <c r="I53">
        <v>2100</v>
      </c>
      <c r="J53" t="s">
        <v>31</v>
      </c>
      <c r="K53">
        <f t="shared" si="16"/>
        <v>112.5</v>
      </c>
      <c r="L53" cm="1">
        <f t="array" ref="L53">STOWA2024_NDJF_T(A53*60,K53,I53,J53,"")</f>
        <v>420.82485322013554</v>
      </c>
      <c r="M53">
        <f t="shared" si="17"/>
        <v>2.3762855077309208E-3</v>
      </c>
    </row>
    <row r="54" spans="1:13" x14ac:dyDescent="0.3">
      <c r="A54">
        <v>48</v>
      </c>
      <c r="B54">
        <f t="shared" si="14"/>
        <v>7.1772882763173739E-4</v>
      </c>
      <c r="C54">
        <f t="shared" si="10"/>
        <v>7.1772882763173739E-4</v>
      </c>
      <c r="D54" t="s">
        <v>34</v>
      </c>
      <c r="E54" t="s">
        <v>19</v>
      </c>
      <c r="F54">
        <v>1</v>
      </c>
      <c r="G54">
        <f t="shared" si="15"/>
        <v>115</v>
      </c>
      <c r="I54">
        <v>2100</v>
      </c>
      <c r="J54" t="s">
        <v>31</v>
      </c>
      <c r="K54">
        <f t="shared" si="16"/>
        <v>117.5</v>
      </c>
      <c r="L54" cm="1">
        <f t="array" ref="L54">STOWA2024_NDJF_T(A54*60,K54,I54,J54,"")</f>
        <v>602.93387135867977</v>
      </c>
      <c r="M54">
        <f t="shared" si="17"/>
        <v>1.6585566800991834E-3</v>
      </c>
    </row>
    <row r="55" spans="1:13" x14ac:dyDescent="0.3">
      <c r="A55">
        <v>48</v>
      </c>
      <c r="B55">
        <f t="shared" si="14"/>
        <v>4.92711264415199E-4</v>
      </c>
      <c r="C55">
        <f t="shared" si="10"/>
        <v>4.92711264415199E-4</v>
      </c>
      <c r="D55" t="s">
        <v>34</v>
      </c>
      <c r="E55" t="s">
        <v>19</v>
      </c>
      <c r="F55">
        <v>1</v>
      </c>
      <c r="G55">
        <f t="shared" si="15"/>
        <v>120</v>
      </c>
      <c r="I55">
        <v>2100</v>
      </c>
      <c r="J55" t="s">
        <v>31</v>
      </c>
      <c r="K55">
        <f t="shared" si="16"/>
        <v>122.5</v>
      </c>
      <c r="L55" cm="1">
        <f t="array" ref="L55">STOWA2024_NDJF_T(A55*60,K55,I55,J55,"")</f>
        <v>857.74665023948705</v>
      </c>
      <c r="M55">
        <f t="shared" si="17"/>
        <v>1.1658454156839844E-3</v>
      </c>
    </row>
    <row r="56" spans="1:13" x14ac:dyDescent="0.3">
      <c r="A56">
        <v>48</v>
      </c>
      <c r="B56">
        <f t="shared" si="14"/>
        <v>3.4072933944058763E-4</v>
      </c>
      <c r="C56">
        <f t="shared" si="10"/>
        <v>3.4072933944058763E-4</v>
      </c>
      <c r="D56" t="s">
        <v>34</v>
      </c>
      <c r="E56" t="s">
        <v>19</v>
      </c>
      <c r="F56">
        <v>1</v>
      </c>
      <c r="G56">
        <f t="shared" si="15"/>
        <v>125</v>
      </c>
      <c r="I56">
        <v>2100</v>
      </c>
      <c r="J56" t="s">
        <v>31</v>
      </c>
      <c r="K56">
        <f t="shared" si="16"/>
        <v>127.5</v>
      </c>
      <c r="L56" cm="1">
        <f t="array" ref="L56">STOWA2024_NDJF_T(A56*60,K56,I56,J56,"")</f>
        <v>1211.950692504766</v>
      </c>
      <c r="M56">
        <f t="shared" si="17"/>
        <v>8.2511607624339677E-4</v>
      </c>
    </row>
    <row r="57" spans="1:13" x14ac:dyDescent="0.3">
      <c r="A57">
        <v>48</v>
      </c>
      <c r="B57">
        <f t="shared" si="14"/>
        <v>2.3729788566436154E-4</v>
      </c>
      <c r="C57">
        <f t="shared" si="10"/>
        <v>2.3729788566436154E-4</v>
      </c>
      <c r="D57" t="s">
        <v>34</v>
      </c>
      <c r="E57" t="s">
        <v>19</v>
      </c>
      <c r="F57">
        <v>1</v>
      </c>
      <c r="G57">
        <f t="shared" si="15"/>
        <v>130</v>
      </c>
      <c r="I57">
        <v>2100</v>
      </c>
      <c r="J57" t="s">
        <v>31</v>
      </c>
      <c r="K57">
        <f t="shared" si="16"/>
        <v>132.5</v>
      </c>
      <c r="L57" cm="1">
        <f t="array" ref="L57">STOWA2024_NDJF_T(A57*60,K57,I57,J57,"")</f>
        <v>1701.2062845740477</v>
      </c>
      <c r="M57">
        <f t="shared" si="17"/>
        <v>5.8781819057903523E-4</v>
      </c>
    </row>
    <row r="58" spans="1:13" x14ac:dyDescent="0.3">
      <c r="A58">
        <v>48</v>
      </c>
      <c r="B58">
        <f t="shared" si="14"/>
        <v>1.6639791531050983E-4</v>
      </c>
      <c r="C58">
        <f t="shared" si="10"/>
        <v>1.6639791531050983E-4</v>
      </c>
      <c r="D58" t="s">
        <v>34</v>
      </c>
      <c r="E58" t="s">
        <v>19</v>
      </c>
      <c r="F58">
        <v>1</v>
      </c>
      <c r="G58">
        <f t="shared" si="15"/>
        <v>135</v>
      </c>
      <c r="I58">
        <v>2100</v>
      </c>
      <c r="J58" t="s">
        <v>31</v>
      </c>
      <c r="K58">
        <f t="shared" si="16"/>
        <v>137.5</v>
      </c>
      <c r="L58" cm="1">
        <f t="array" ref="L58">STOWA2024_NDJF_T(A58*60,K58,I58,J58,"")</f>
        <v>2372.9280689278858</v>
      </c>
      <c r="M58">
        <f t="shared" si="17"/>
        <v>4.2142027526852541E-4</v>
      </c>
    </row>
    <row r="59" spans="1:13" x14ac:dyDescent="0.3">
      <c r="A59">
        <v>48</v>
      </c>
      <c r="B59">
        <f t="shared" si="14"/>
        <v>1.1745160057126158E-4</v>
      </c>
      <c r="C59">
        <f t="shared" si="10"/>
        <v>1.1745160057126158E-4</v>
      </c>
      <c r="D59" t="s">
        <v>34</v>
      </c>
      <c r="E59" t="s">
        <v>19</v>
      </c>
      <c r="F59">
        <v>1</v>
      </c>
      <c r="G59">
        <f t="shared" si="15"/>
        <v>140</v>
      </c>
      <c r="I59">
        <v>2100</v>
      </c>
      <c r="J59" t="s">
        <v>31</v>
      </c>
      <c r="K59">
        <f t="shared" si="16"/>
        <v>142.5</v>
      </c>
      <c r="L59" cm="1">
        <f t="array" ref="L59">STOWA2024_NDJF_T(A59*60,K59,I59,J59,"")</f>
        <v>3289.8126788753652</v>
      </c>
      <c r="M59">
        <f t="shared" si="17"/>
        <v>3.0396867469726383E-4</v>
      </c>
    </row>
    <row r="60" spans="1:13" x14ac:dyDescent="0.3">
      <c r="A60">
        <v>48</v>
      </c>
      <c r="B60">
        <f t="shared" si="14"/>
        <v>8.3425178688317759E-5</v>
      </c>
      <c r="C60">
        <f t="shared" si="10"/>
        <v>8.3425178688317759E-5</v>
      </c>
      <c r="D60" t="s">
        <v>34</v>
      </c>
      <c r="E60" t="s">
        <v>19</v>
      </c>
      <c r="F60">
        <v>1</v>
      </c>
      <c r="G60">
        <f t="shared" si="15"/>
        <v>145</v>
      </c>
      <c r="I60">
        <v>2100</v>
      </c>
      <c r="J60" t="s">
        <v>31</v>
      </c>
      <c r="K60">
        <f t="shared" si="16"/>
        <v>147.5</v>
      </c>
      <c r="L60" cm="1">
        <f t="array" ref="L60">STOWA2024_NDJF_T(A60*60,K60,I60,J60,"")</f>
        <v>4534.2529618712324</v>
      </c>
      <c r="M60">
        <f t="shared" si="17"/>
        <v>2.2054349600894607E-4</v>
      </c>
    </row>
    <row r="61" spans="1:13" x14ac:dyDescent="0.3">
      <c r="A61">
        <v>48</v>
      </c>
      <c r="B61">
        <f t="shared" si="14"/>
        <v>5.962027238910769E-5</v>
      </c>
      <c r="C61">
        <f t="shared" si="10"/>
        <v>5.962027238910769E-5</v>
      </c>
      <c r="D61" t="s">
        <v>34</v>
      </c>
      <c r="E61" t="s">
        <v>19</v>
      </c>
      <c r="F61">
        <v>1</v>
      </c>
      <c r="G61">
        <f t="shared" si="15"/>
        <v>150</v>
      </c>
      <c r="I61">
        <v>2100</v>
      </c>
      <c r="J61" t="s">
        <v>31</v>
      </c>
      <c r="K61">
        <f t="shared" si="16"/>
        <v>152.5</v>
      </c>
      <c r="L61" cm="1">
        <f t="array" ref="L61">STOWA2024_NDJF_T(A61*60,K61,I61,J61,"")</f>
        <v>6214.1434747937865</v>
      </c>
      <c r="M61">
        <f t="shared" si="17"/>
        <v>1.6092322361983838E-4</v>
      </c>
    </row>
    <row r="62" spans="1:13" x14ac:dyDescent="0.3">
      <c r="A62">
        <v>48</v>
      </c>
      <c r="B62">
        <f t="shared" si="14"/>
        <v>4.2859372096346212E-5</v>
      </c>
      <c r="C62">
        <f t="shared" si="10"/>
        <v>4.2859372096346212E-5</v>
      </c>
      <c r="D62" t="s">
        <v>34</v>
      </c>
      <c r="E62" t="s">
        <v>19</v>
      </c>
      <c r="F62">
        <v>1</v>
      </c>
      <c r="G62">
        <f t="shared" si="15"/>
        <v>155</v>
      </c>
      <c r="I62">
        <v>2100</v>
      </c>
      <c r="J62" t="s">
        <v>31</v>
      </c>
      <c r="K62">
        <f t="shared" si="16"/>
        <v>157.5</v>
      </c>
      <c r="L62" cm="1">
        <f t="array" ref="L62">STOWA2024_NDJF_T(A62*60,K62,I62,J62,"")</f>
        <v>8469.9930342440293</v>
      </c>
      <c r="M62">
        <f t="shared" si="17"/>
        <v>1.1806385152349216E-4</v>
      </c>
    </row>
    <row r="63" spans="1:13" x14ac:dyDescent="0.3">
      <c r="A63">
        <v>48</v>
      </c>
      <c r="B63" s="1">
        <f>M62</f>
        <v>1.1806385152349216E-4</v>
      </c>
      <c r="C63">
        <f t="shared" si="10"/>
        <v>1.1806385152349216E-4</v>
      </c>
      <c r="D63" t="s">
        <v>34</v>
      </c>
      <c r="E63" t="s">
        <v>19</v>
      </c>
      <c r="F63">
        <v>1</v>
      </c>
      <c r="G63">
        <f t="shared" si="15"/>
        <v>160</v>
      </c>
      <c r="I63">
        <v>2100</v>
      </c>
      <c r="J63" t="s">
        <v>31</v>
      </c>
      <c r="K63">
        <f>AVERAGE(G63:G64)</f>
        <v>85</v>
      </c>
      <c r="L63" cm="1">
        <f t="array" ref="L63">STOWA2024_NDJF_T(A63*60,K63,I63,J63,"")</f>
        <v>50.578402630532295</v>
      </c>
      <c r="M63">
        <f>1/L63</f>
        <v>1.9771284737971091E-2</v>
      </c>
    </row>
    <row r="64" spans="1:13" x14ac:dyDescent="0.3">
      <c r="A64">
        <v>96</v>
      </c>
      <c r="B64" s="1">
        <f>365.25*24/A64 - M64</f>
        <v>65.838900319898272</v>
      </c>
      <c r="C64">
        <f>B64</f>
        <v>65.838900319898272</v>
      </c>
      <c r="D64" t="s">
        <v>34</v>
      </c>
      <c r="E64" t="s">
        <v>19</v>
      </c>
      <c r="F64">
        <v>1</v>
      </c>
      <c r="G64">
        <v>10</v>
      </c>
      <c r="I64">
        <v>2100</v>
      </c>
      <c r="J64" t="s">
        <v>31</v>
      </c>
      <c r="K64">
        <f>AVERAGE(G64:G66)</f>
        <v>15</v>
      </c>
      <c r="L64" cm="1">
        <f t="array" ref="L64">STOWA2024_NDJF_T(A64*60,K64,I64,J64,"")</f>
        <v>3.925632861307516E-2</v>
      </c>
      <c r="M64">
        <f>1/L64</f>
        <v>25.473599680101735</v>
      </c>
    </row>
    <row r="65" spans="1:13" x14ac:dyDescent="0.3">
      <c r="A65">
        <v>96</v>
      </c>
      <c r="B65">
        <f t="shared" ref="B65:B69" si="18">M64-M65</f>
        <v>4.7233496195930549</v>
      </c>
      <c r="C65">
        <f t="shared" ref="C65:C94" si="19">B65</f>
        <v>4.7233496195930549</v>
      </c>
      <c r="D65" t="s">
        <v>34</v>
      </c>
      <c r="E65" t="s">
        <v>19</v>
      </c>
      <c r="F65">
        <v>1</v>
      </c>
      <c r="G65">
        <f t="shared" ref="G65:G69" si="20">G64+5</f>
        <v>15</v>
      </c>
      <c r="I65">
        <v>2100</v>
      </c>
      <c r="J65" t="s">
        <v>31</v>
      </c>
      <c r="K65">
        <f t="shared" ref="K65:K69" si="21">AVERAGE(G65:G66)</f>
        <v>17.5</v>
      </c>
      <c r="L65" cm="1">
        <f t="array" ref="L65">STOWA2024_NDJF_T(A65*60,K65,I65,J65,"")</f>
        <v>4.8192190315006045E-2</v>
      </c>
      <c r="M65">
        <f t="shared" ref="M65:M69" si="22">1/L65</f>
        <v>20.75025006050868</v>
      </c>
    </row>
    <row r="66" spans="1:13" x14ac:dyDescent="0.3">
      <c r="A66">
        <v>96</v>
      </c>
      <c r="B66">
        <f t="shared" si="18"/>
        <v>6.9436761560873226</v>
      </c>
      <c r="C66">
        <f t="shared" si="19"/>
        <v>6.9436761560873226</v>
      </c>
      <c r="D66" t="s">
        <v>34</v>
      </c>
      <c r="E66" t="s">
        <v>19</v>
      </c>
      <c r="F66">
        <v>1</v>
      </c>
      <c r="G66">
        <f t="shared" si="20"/>
        <v>20</v>
      </c>
      <c r="I66">
        <v>2100</v>
      </c>
      <c r="J66" t="s">
        <v>31</v>
      </c>
      <c r="K66">
        <f t="shared" si="21"/>
        <v>22.5</v>
      </c>
      <c r="L66" cm="1">
        <f t="array" ref="L66">STOWA2024_NDJF_T(A66*60,K66,I66,J66,"")</f>
        <v>7.2429264995261741E-2</v>
      </c>
      <c r="M66">
        <f t="shared" si="22"/>
        <v>13.806573904421358</v>
      </c>
    </row>
    <row r="67" spans="1:13" x14ac:dyDescent="0.3">
      <c r="A67">
        <v>96</v>
      </c>
      <c r="B67">
        <f t="shared" si="18"/>
        <v>4.5868780431685554</v>
      </c>
      <c r="C67">
        <f t="shared" si="19"/>
        <v>4.5868780431685554</v>
      </c>
      <c r="D67" t="s">
        <v>34</v>
      </c>
      <c r="E67" t="s">
        <v>19</v>
      </c>
      <c r="F67">
        <v>1</v>
      </c>
      <c r="G67">
        <f t="shared" si="20"/>
        <v>25</v>
      </c>
      <c r="I67">
        <v>2100</v>
      </c>
      <c r="J67" t="s">
        <v>31</v>
      </c>
      <c r="K67">
        <f t="shared" si="21"/>
        <v>27.5</v>
      </c>
      <c r="L67" cm="1">
        <f t="array" ref="L67">STOWA2024_NDJF_T(A67*60,K67,I67,J67,"")</f>
        <v>0.10846344771552115</v>
      </c>
      <c r="M67">
        <f t="shared" si="22"/>
        <v>9.2196958612528022</v>
      </c>
    </row>
    <row r="68" spans="1:13" x14ac:dyDescent="0.3">
      <c r="A68">
        <v>96</v>
      </c>
      <c r="B68">
        <f t="shared" si="18"/>
        <v>3.0409601672301347</v>
      </c>
      <c r="C68">
        <f t="shared" si="19"/>
        <v>3.0409601672301347</v>
      </c>
      <c r="D68" t="s">
        <v>34</v>
      </c>
      <c r="E68" t="s">
        <v>19</v>
      </c>
      <c r="F68">
        <v>1</v>
      </c>
      <c r="G68">
        <f t="shared" si="20"/>
        <v>30</v>
      </c>
      <c r="I68">
        <v>2100</v>
      </c>
      <c r="J68" t="s">
        <v>31</v>
      </c>
      <c r="K68">
        <f t="shared" si="21"/>
        <v>32.5</v>
      </c>
      <c r="L68" cm="1">
        <f t="array" ref="L68">STOWA2024_NDJF_T(A68*60,K68,I68,J68,"")</f>
        <v>0.16184540810952697</v>
      </c>
      <c r="M68">
        <f t="shared" si="22"/>
        <v>6.1787356940226674</v>
      </c>
    </row>
    <row r="69" spans="1:13" x14ac:dyDescent="0.3">
      <c r="A69">
        <v>96</v>
      </c>
      <c r="B69">
        <f t="shared" si="18"/>
        <v>2.0234938578032233</v>
      </c>
      <c r="C69">
        <f t="shared" si="19"/>
        <v>2.0234938578032233</v>
      </c>
      <c r="D69" t="s">
        <v>34</v>
      </c>
      <c r="E69" t="s">
        <v>19</v>
      </c>
      <c r="F69">
        <v>1</v>
      </c>
      <c r="G69">
        <f t="shared" si="20"/>
        <v>35</v>
      </c>
      <c r="I69">
        <v>2100</v>
      </c>
      <c r="J69" t="s">
        <v>31</v>
      </c>
      <c r="K69">
        <f t="shared" si="21"/>
        <v>37.5</v>
      </c>
      <c r="L69" cm="1">
        <f t="array" ref="L69">STOWA2024_NDJF_T(A69*60,K69,I69,J69,"")</f>
        <v>0.24065987959676211</v>
      </c>
      <c r="M69">
        <f t="shared" si="22"/>
        <v>4.1552418362194441</v>
      </c>
    </row>
    <row r="70" spans="1:13" x14ac:dyDescent="0.3">
      <c r="A70">
        <v>96</v>
      </c>
      <c r="B70">
        <f>M69-M70</f>
        <v>1.351220914758879</v>
      </c>
      <c r="C70">
        <f t="shared" si="19"/>
        <v>1.351220914758879</v>
      </c>
      <c r="D70" t="s">
        <v>34</v>
      </c>
      <c r="E70" t="s">
        <v>19</v>
      </c>
      <c r="F70">
        <v>1</v>
      </c>
      <c r="G70">
        <f>G69+5</f>
        <v>40</v>
      </c>
      <c r="I70">
        <v>2100</v>
      </c>
      <c r="J70" t="s">
        <v>31</v>
      </c>
      <c r="K70">
        <f>AVERAGE(G70:G71)</f>
        <v>42.5</v>
      </c>
      <c r="L70" cm="1">
        <f t="array" ref="L70">STOWA2024_NDJF_T(A70*60,K70,I70,J70,"")</f>
        <v>0.3566307199587932</v>
      </c>
      <c r="M70">
        <f>1/L70</f>
        <v>2.8040209214605651</v>
      </c>
    </row>
    <row r="71" spans="1:13" x14ac:dyDescent="0.3">
      <c r="A71">
        <v>96</v>
      </c>
      <c r="B71">
        <f t="shared" ref="B71:B93" si="23">M70-M71</f>
        <v>0.90540871956070079</v>
      </c>
      <c r="C71">
        <f t="shared" si="19"/>
        <v>0.90540871956070079</v>
      </c>
      <c r="D71" t="s">
        <v>34</v>
      </c>
      <c r="E71" t="s">
        <v>19</v>
      </c>
      <c r="F71">
        <v>1</v>
      </c>
      <c r="G71">
        <f t="shared" ref="G71:G94" si="24">G70+5</f>
        <v>45</v>
      </c>
      <c r="I71">
        <v>2100</v>
      </c>
      <c r="J71" t="s">
        <v>31</v>
      </c>
      <c r="K71">
        <f t="shared" ref="K71:K93" si="25">AVERAGE(G71:G72)</f>
        <v>47.5</v>
      </c>
      <c r="L71" cm="1">
        <f t="array" ref="L71">STOWA2024_NDJF_T(A71*60,K71,I71,J71,"")</f>
        <v>0.52670050208217378</v>
      </c>
      <c r="M71">
        <f t="shared" ref="M71:M93" si="26">1/L71</f>
        <v>1.8986122018998643</v>
      </c>
    </row>
    <row r="72" spans="1:13" x14ac:dyDescent="0.3">
      <c r="A72">
        <v>96</v>
      </c>
      <c r="B72">
        <f t="shared" si="23"/>
        <v>0.60878495761793472</v>
      </c>
      <c r="C72">
        <f t="shared" si="19"/>
        <v>0.60878495761793472</v>
      </c>
      <c r="D72" t="s">
        <v>34</v>
      </c>
      <c r="E72" t="s">
        <v>19</v>
      </c>
      <c r="F72">
        <v>1</v>
      </c>
      <c r="G72">
        <f t="shared" si="24"/>
        <v>50</v>
      </c>
      <c r="I72">
        <v>2100</v>
      </c>
      <c r="J72" t="s">
        <v>31</v>
      </c>
      <c r="K72">
        <f t="shared" si="25"/>
        <v>52.5</v>
      </c>
      <c r="L72" cm="1">
        <f t="array" ref="L72">STOWA2024_NDJF_T(A72*60,K72,I72,J72,"")</f>
        <v>0.77529762565739435</v>
      </c>
      <c r="M72">
        <f t="shared" si="26"/>
        <v>1.2898272442819296</v>
      </c>
    </row>
    <row r="73" spans="1:13" x14ac:dyDescent="0.3">
      <c r="A73">
        <v>96</v>
      </c>
      <c r="B73">
        <f t="shared" si="23"/>
        <v>0.41064636557853018</v>
      </c>
      <c r="C73">
        <f t="shared" si="19"/>
        <v>0.41064636557853018</v>
      </c>
      <c r="D73" t="s">
        <v>34</v>
      </c>
      <c r="E73" t="s">
        <v>19</v>
      </c>
      <c r="F73">
        <v>1</v>
      </c>
      <c r="G73">
        <f t="shared" si="24"/>
        <v>55</v>
      </c>
      <c r="I73">
        <v>2100</v>
      </c>
      <c r="J73" t="s">
        <v>31</v>
      </c>
      <c r="K73">
        <f t="shared" si="25"/>
        <v>57.5</v>
      </c>
      <c r="L73" cm="1">
        <f t="array" ref="L73">STOWA2024_NDJF_T(A73*60,K73,I73,J73,"")</f>
        <v>1.1374223714632903</v>
      </c>
      <c r="M73">
        <f t="shared" si="26"/>
        <v>0.87918087870339945</v>
      </c>
    </row>
    <row r="74" spans="1:13" x14ac:dyDescent="0.3">
      <c r="A74">
        <v>96</v>
      </c>
      <c r="B74">
        <f t="shared" si="23"/>
        <v>0.27802986146687703</v>
      </c>
      <c r="C74">
        <f t="shared" si="19"/>
        <v>0.27802986146687703</v>
      </c>
      <c r="D74" t="s">
        <v>34</v>
      </c>
      <c r="E74" t="s">
        <v>19</v>
      </c>
      <c r="F74">
        <v>1</v>
      </c>
      <c r="G74">
        <f t="shared" si="24"/>
        <v>60</v>
      </c>
      <c r="I74">
        <v>2100</v>
      </c>
      <c r="J74" t="s">
        <v>31</v>
      </c>
      <c r="K74">
        <f t="shared" si="25"/>
        <v>62.5</v>
      </c>
      <c r="L74" cm="1">
        <f t="array" ref="L74">STOWA2024_NDJF_T(A74*60,K74,I74,J74,"")</f>
        <v>1.66347551834309</v>
      </c>
      <c r="M74">
        <f t="shared" si="26"/>
        <v>0.60115101723652242</v>
      </c>
    </row>
    <row r="75" spans="1:13" x14ac:dyDescent="0.3">
      <c r="A75">
        <v>96</v>
      </c>
      <c r="B75">
        <f t="shared" si="23"/>
        <v>0.18880780594894575</v>
      </c>
      <c r="C75">
        <f t="shared" si="19"/>
        <v>0.18880780594894575</v>
      </c>
      <c r="D75" t="s">
        <v>34</v>
      </c>
      <c r="E75" t="s">
        <v>19</v>
      </c>
      <c r="F75">
        <v>1</v>
      </c>
      <c r="G75">
        <f t="shared" si="24"/>
        <v>65</v>
      </c>
      <c r="I75">
        <v>2100</v>
      </c>
      <c r="J75" t="s">
        <v>31</v>
      </c>
      <c r="K75">
        <f t="shared" si="25"/>
        <v>67.5</v>
      </c>
      <c r="L75" cm="1">
        <f t="array" ref="L75">STOWA2024_NDJF_T(A75*60,K75,I75,J75,"")</f>
        <v>2.4251642142413723</v>
      </c>
      <c r="M75">
        <f t="shared" si="26"/>
        <v>0.41234321128757667</v>
      </c>
    </row>
    <row r="76" spans="1:13" x14ac:dyDescent="0.3">
      <c r="A76">
        <v>96</v>
      </c>
      <c r="B76">
        <f t="shared" si="23"/>
        <v>0.12863121680377732</v>
      </c>
      <c r="C76">
        <f t="shared" si="19"/>
        <v>0.12863121680377732</v>
      </c>
      <c r="D76" t="s">
        <v>34</v>
      </c>
      <c r="E76" t="s">
        <v>19</v>
      </c>
      <c r="F76">
        <v>1</v>
      </c>
      <c r="G76">
        <f t="shared" si="24"/>
        <v>70</v>
      </c>
      <c r="I76">
        <v>2100</v>
      </c>
      <c r="J76" t="s">
        <v>31</v>
      </c>
      <c r="K76">
        <f t="shared" si="25"/>
        <v>72.5</v>
      </c>
      <c r="L76" cm="1">
        <f t="array" ref="L76">STOWA2024_NDJF_T(A76*60,K76,I76,J76,"")</f>
        <v>3.5247011738768856</v>
      </c>
      <c r="M76">
        <f t="shared" si="26"/>
        <v>0.28371199448379936</v>
      </c>
    </row>
    <row r="77" spans="1:13" x14ac:dyDescent="0.3">
      <c r="A77">
        <v>96</v>
      </c>
      <c r="B77">
        <f t="shared" si="23"/>
        <v>8.7906731840363211E-2</v>
      </c>
      <c r="C77">
        <f t="shared" si="19"/>
        <v>8.7906731840363211E-2</v>
      </c>
      <c r="D77" t="s">
        <v>34</v>
      </c>
      <c r="E77" t="s">
        <v>19</v>
      </c>
      <c r="F77">
        <v>1</v>
      </c>
      <c r="G77">
        <f t="shared" si="24"/>
        <v>75</v>
      </c>
      <c r="I77">
        <v>2100</v>
      </c>
      <c r="J77" t="s">
        <v>31</v>
      </c>
      <c r="K77">
        <f t="shared" si="25"/>
        <v>77.5</v>
      </c>
      <c r="L77" cm="1">
        <f t="array" ref="L77">STOWA2024_NDJF_T(A77*60,K77,I77,J77,"")</f>
        <v>5.107115031024537</v>
      </c>
      <c r="M77">
        <f t="shared" si="26"/>
        <v>0.19580526264343615</v>
      </c>
    </row>
    <row r="78" spans="1:13" x14ac:dyDescent="0.3">
      <c r="A78">
        <v>96</v>
      </c>
      <c r="B78">
        <f t="shared" si="23"/>
        <v>6.0263392891501233E-2</v>
      </c>
      <c r="C78">
        <f t="shared" si="19"/>
        <v>6.0263392891501233E-2</v>
      </c>
      <c r="D78" t="s">
        <v>34</v>
      </c>
      <c r="E78" t="s">
        <v>19</v>
      </c>
      <c r="F78">
        <v>1</v>
      </c>
      <c r="G78">
        <f t="shared" si="24"/>
        <v>80</v>
      </c>
      <c r="I78">
        <v>2100</v>
      </c>
      <c r="J78" t="s">
        <v>31</v>
      </c>
      <c r="K78">
        <f t="shared" si="25"/>
        <v>82.5</v>
      </c>
      <c r="L78" cm="1">
        <f t="array" ref="L78">STOWA2024_NDJF_T(A78*60,K78,I78,J78,"")</f>
        <v>7.3777940486594513</v>
      </c>
      <c r="M78">
        <f t="shared" si="26"/>
        <v>0.13554186975193491</v>
      </c>
    </row>
    <row r="79" spans="1:13" x14ac:dyDescent="0.3">
      <c r="A79">
        <v>96</v>
      </c>
      <c r="B79">
        <f t="shared" si="23"/>
        <v>4.14386724649176E-2</v>
      </c>
      <c r="C79">
        <f t="shared" si="19"/>
        <v>4.14386724649176E-2</v>
      </c>
      <c r="D79" t="s">
        <v>34</v>
      </c>
      <c r="E79" t="s">
        <v>19</v>
      </c>
      <c r="F79">
        <v>1</v>
      </c>
      <c r="G79">
        <f t="shared" si="24"/>
        <v>85</v>
      </c>
      <c r="I79">
        <v>2100</v>
      </c>
      <c r="J79" t="s">
        <v>31</v>
      </c>
      <c r="K79">
        <f t="shared" si="25"/>
        <v>87.5</v>
      </c>
      <c r="L79" cm="1">
        <f t="array" ref="L79">STOWA2024_NDJF_T(A79*60,K79,I79,J79,"")</f>
        <v>10.626631494251708</v>
      </c>
      <c r="M79">
        <f t="shared" si="26"/>
        <v>9.4103197287017312E-2</v>
      </c>
    </row>
    <row r="80" spans="1:13" x14ac:dyDescent="0.3">
      <c r="A80">
        <v>96</v>
      </c>
      <c r="B80">
        <f t="shared" si="23"/>
        <v>2.8579734702571136E-2</v>
      </c>
      <c r="C80">
        <f t="shared" si="19"/>
        <v>2.8579734702571136E-2</v>
      </c>
      <c r="D80" t="s">
        <v>34</v>
      </c>
      <c r="E80" t="s">
        <v>19</v>
      </c>
      <c r="F80">
        <v>1</v>
      </c>
      <c r="G80">
        <f t="shared" si="24"/>
        <v>90</v>
      </c>
      <c r="I80">
        <v>2100</v>
      </c>
      <c r="J80" t="s">
        <v>31</v>
      </c>
      <c r="K80">
        <f t="shared" si="25"/>
        <v>92.5</v>
      </c>
      <c r="L80" cm="1">
        <f t="array" ref="L80">STOWA2024_NDJF_T(A80*60,K80,I80,J80,"")</f>
        <v>15.261708715579662</v>
      </c>
      <c r="M80">
        <f t="shared" si="26"/>
        <v>6.5523462584446177E-2</v>
      </c>
    </row>
    <row r="81" spans="1:13" x14ac:dyDescent="0.3">
      <c r="A81">
        <v>96</v>
      </c>
      <c r="B81">
        <f t="shared" si="23"/>
        <v>1.9769254891598254E-2</v>
      </c>
      <c r="C81">
        <f t="shared" si="19"/>
        <v>1.9769254891598254E-2</v>
      </c>
      <c r="D81" t="s">
        <v>34</v>
      </c>
      <c r="E81" t="s">
        <v>19</v>
      </c>
      <c r="F81">
        <v>1</v>
      </c>
      <c r="G81">
        <f t="shared" si="24"/>
        <v>95</v>
      </c>
      <c r="I81">
        <v>2100</v>
      </c>
      <c r="J81" t="s">
        <v>31</v>
      </c>
      <c r="K81">
        <f t="shared" si="25"/>
        <v>97.5</v>
      </c>
      <c r="L81" cm="1">
        <f t="array" ref="L81">STOWA2024_NDJF_T(A81*60,K81,I81,J81,"")</f>
        <v>21.855913377696083</v>
      </c>
      <c r="M81">
        <f t="shared" si="26"/>
        <v>4.5754207692847923E-2</v>
      </c>
    </row>
    <row r="82" spans="1:13" x14ac:dyDescent="0.3">
      <c r="A82">
        <v>96</v>
      </c>
      <c r="B82">
        <f t="shared" si="23"/>
        <v>1.3714569956728311E-2</v>
      </c>
      <c r="C82">
        <f t="shared" si="19"/>
        <v>1.3714569956728311E-2</v>
      </c>
      <c r="D82" t="s">
        <v>34</v>
      </c>
      <c r="E82" t="s">
        <v>19</v>
      </c>
      <c r="F82">
        <v>1</v>
      </c>
      <c r="G82">
        <f t="shared" si="24"/>
        <v>100</v>
      </c>
      <c r="I82">
        <v>2100</v>
      </c>
      <c r="J82" t="s">
        <v>31</v>
      </c>
      <c r="K82">
        <f t="shared" si="25"/>
        <v>102.5</v>
      </c>
      <c r="L82" cm="1">
        <f t="array" ref="L82">STOWA2024_NDJF_T(A82*60,K82,I82,J82,"")</f>
        <v>31.211339161699026</v>
      </c>
      <c r="M82">
        <f t="shared" si="26"/>
        <v>3.2039637736119612E-2</v>
      </c>
    </row>
    <row r="83" spans="1:13" x14ac:dyDescent="0.3">
      <c r="A83">
        <v>96</v>
      </c>
      <c r="B83">
        <f t="shared" si="23"/>
        <v>9.5412649279283945E-3</v>
      </c>
      <c r="C83">
        <f t="shared" si="19"/>
        <v>9.5412649279283945E-3</v>
      </c>
      <c r="D83" t="s">
        <v>34</v>
      </c>
      <c r="E83" t="s">
        <v>19</v>
      </c>
      <c r="F83">
        <v>1</v>
      </c>
      <c r="G83">
        <f t="shared" si="24"/>
        <v>105</v>
      </c>
      <c r="I83">
        <v>2100</v>
      </c>
      <c r="J83" t="s">
        <v>31</v>
      </c>
      <c r="K83">
        <f t="shared" si="25"/>
        <v>107.5</v>
      </c>
      <c r="L83" cm="1">
        <f t="array" ref="L83">STOWA2024_NDJF_T(A83*60,K83,I83,J83,"")</f>
        <v>44.447658882953505</v>
      </c>
      <c r="M83">
        <f t="shared" si="26"/>
        <v>2.2498372808191218E-2</v>
      </c>
    </row>
    <row r="84" spans="1:13" x14ac:dyDescent="0.3">
      <c r="A84">
        <v>96</v>
      </c>
      <c r="B84">
        <f t="shared" si="23"/>
        <v>6.6568952292672956E-3</v>
      </c>
      <c r="C84">
        <f t="shared" si="19"/>
        <v>6.6568952292672956E-3</v>
      </c>
      <c r="D84" t="s">
        <v>34</v>
      </c>
      <c r="E84" t="s">
        <v>19</v>
      </c>
      <c r="F84">
        <v>1</v>
      </c>
      <c r="G84">
        <f t="shared" si="24"/>
        <v>110</v>
      </c>
      <c r="I84">
        <v>2100</v>
      </c>
      <c r="J84" t="s">
        <v>31</v>
      </c>
      <c r="K84">
        <f t="shared" si="25"/>
        <v>112.5</v>
      </c>
      <c r="L84" cm="1">
        <f t="array" ref="L84">STOWA2024_NDJF_T(A84*60,K84,I84,J84,"")</f>
        <v>63.125424697153015</v>
      </c>
      <c r="M84">
        <f t="shared" si="26"/>
        <v>1.5841477578923922E-2</v>
      </c>
    </row>
    <row r="85" spans="1:13" x14ac:dyDescent="0.3">
      <c r="A85">
        <v>96</v>
      </c>
      <c r="B85">
        <f t="shared" si="23"/>
        <v>4.6572230748477585E-3</v>
      </c>
      <c r="C85">
        <f t="shared" si="19"/>
        <v>4.6572230748477585E-3</v>
      </c>
      <c r="D85" t="s">
        <v>34</v>
      </c>
      <c r="E85" t="s">
        <v>19</v>
      </c>
      <c r="F85">
        <v>1</v>
      </c>
      <c r="G85">
        <f t="shared" si="24"/>
        <v>115</v>
      </c>
      <c r="I85">
        <v>2100</v>
      </c>
      <c r="J85" t="s">
        <v>31</v>
      </c>
      <c r="K85">
        <f t="shared" si="25"/>
        <v>117.5</v>
      </c>
      <c r="L85" cm="1">
        <f t="array" ref="L85">STOWA2024_NDJF_T(A85*60,K85,I85,J85,"")</f>
        <v>89.411413128657301</v>
      </c>
      <c r="M85">
        <f t="shared" si="26"/>
        <v>1.1184254504076164E-2</v>
      </c>
    </row>
    <row r="86" spans="1:13" x14ac:dyDescent="0.3">
      <c r="A86">
        <v>96</v>
      </c>
      <c r="B86">
        <f t="shared" si="23"/>
        <v>3.2670723581849637E-3</v>
      </c>
      <c r="C86">
        <f t="shared" si="19"/>
        <v>3.2670723581849637E-3</v>
      </c>
      <c r="D86" t="s">
        <v>34</v>
      </c>
      <c r="E86" t="s">
        <v>19</v>
      </c>
      <c r="F86">
        <v>1</v>
      </c>
      <c r="G86">
        <f t="shared" si="24"/>
        <v>120</v>
      </c>
      <c r="I86">
        <v>2100</v>
      </c>
      <c r="J86" t="s">
        <v>31</v>
      </c>
      <c r="K86">
        <f t="shared" si="25"/>
        <v>122.5</v>
      </c>
      <c r="L86" cm="1">
        <f t="array" ref="L86">STOWA2024_NDJF_T(A86*60,K86,I86,J86,"")</f>
        <v>126.30756518832555</v>
      </c>
      <c r="M86">
        <f t="shared" si="26"/>
        <v>7.9171821458912002E-3</v>
      </c>
    </row>
    <row r="87" spans="1:13" x14ac:dyDescent="0.3">
      <c r="A87">
        <v>96</v>
      </c>
      <c r="B87">
        <f t="shared" si="23"/>
        <v>2.2981366243869658E-3</v>
      </c>
      <c r="C87">
        <f t="shared" si="19"/>
        <v>2.2981366243869658E-3</v>
      </c>
      <c r="D87" t="s">
        <v>34</v>
      </c>
      <c r="E87" t="s">
        <v>19</v>
      </c>
      <c r="F87">
        <v>1</v>
      </c>
      <c r="G87">
        <f t="shared" si="24"/>
        <v>125</v>
      </c>
      <c r="I87">
        <v>2100</v>
      </c>
      <c r="J87" t="s">
        <v>31</v>
      </c>
      <c r="K87">
        <f t="shared" si="25"/>
        <v>127.5</v>
      </c>
      <c r="L87" cm="1">
        <f t="array" ref="L87">STOWA2024_NDJF_T(A87*60,K87,I87,J87,"")</f>
        <v>177.96616812819434</v>
      </c>
      <c r="M87">
        <f t="shared" si="26"/>
        <v>5.6190455215042344E-3</v>
      </c>
    </row>
    <row r="88" spans="1:13" x14ac:dyDescent="0.3">
      <c r="A88">
        <v>96</v>
      </c>
      <c r="B88">
        <f t="shared" si="23"/>
        <v>1.620773770330217E-3</v>
      </c>
      <c r="C88">
        <f t="shared" si="19"/>
        <v>1.620773770330217E-3</v>
      </c>
      <c r="D88" t="s">
        <v>34</v>
      </c>
      <c r="E88" t="s">
        <v>19</v>
      </c>
      <c r="F88">
        <v>1</v>
      </c>
      <c r="G88">
        <f t="shared" si="24"/>
        <v>130</v>
      </c>
      <c r="I88">
        <v>2100</v>
      </c>
      <c r="J88" t="s">
        <v>31</v>
      </c>
      <c r="K88">
        <f t="shared" si="25"/>
        <v>132.5</v>
      </c>
      <c r="L88" cm="1">
        <f t="array" ref="L88">STOWA2024_NDJF_T(A88*60,K88,I88,J88,"")</f>
        <v>250.10806224123428</v>
      </c>
      <c r="M88">
        <f t="shared" si="26"/>
        <v>3.9982717511740174E-3</v>
      </c>
    </row>
    <row r="89" spans="1:13" x14ac:dyDescent="0.3">
      <c r="A89">
        <v>96</v>
      </c>
      <c r="B89">
        <f t="shared" si="23"/>
        <v>1.1460906837415536E-3</v>
      </c>
      <c r="C89">
        <f t="shared" si="19"/>
        <v>1.1460906837415536E-3</v>
      </c>
      <c r="D89" t="s">
        <v>34</v>
      </c>
      <c r="E89" t="s">
        <v>19</v>
      </c>
      <c r="F89">
        <v>1</v>
      </c>
      <c r="G89">
        <f t="shared" si="24"/>
        <v>135</v>
      </c>
      <c r="I89">
        <v>2100</v>
      </c>
      <c r="J89" t="s">
        <v>31</v>
      </c>
      <c r="K89">
        <f t="shared" si="25"/>
        <v>137.5</v>
      </c>
      <c r="L89" cm="1">
        <f t="array" ref="L89">STOWA2024_NDJF_T(A89*60,K89,I89,J89,"")</f>
        <v>350.60887663075368</v>
      </c>
      <c r="M89">
        <f t="shared" si="26"/>
        <v>2.8521810674324638E-3</v>
      </c>
    </row>
    <row r="90" spans="1:13" x14ac:dyDescent="0.3">
      <c r="A90">
        <v>96</v>
      </c>
      <c r="B90">
        <f t="shared" si="23"/>
        <v>8.1247877614425146E-4</v>
      </c>
      <c r="C90">
        <f t="shared" si="19"/>
        <v>8.1247877614425146E-4</v>
      </c>
      <c r="D90" t="s">
        <v>34</v>
      </c>
      <c r="E90" t="s">
        <v>19</v>
      </c>
      <c r="F90">
        <v>1</v>
      </c>
      <c r="G90">
        <f t="shared" si="24"/>
        <v>140</v>
      </c>
      <c r="I90">
        <v>2100</v>
      </c>
      <c r="J90" t="s">
        <v>31</v>
      </c>
      <c r="K90">
        <f t="shared" si="25"/>
        <v>142.5</v>
      </c>
      <c r="L90" cm="1">
        <f t="array" ref="L90">STOWA2024_NDJF_T(A90*60,K90,I90,J90,"")</f>
        <v>490.26762595262431</v>
      </c>
      <c r="M90">
        <f t="shared" si="26"/>
        <v>2.0397022912882123E-3</v>
      </c>
    </row>
    <row r="91" spans="1:13" x14ac:dyDescent="0.3">
      <c r="A91">
        <v>96</v>
      </c>
      <c r="B91">
        <f t="shared" si="23"/>
        <v>5.7745877020372706E-4</v>
      </c>
      <c r="C91">
        <f t="shared" si="19"/>
        <v>5.7745877020372706E-4</v>
      </c>
      <c r="D91" t="s">
        <v>34</v>
      </c>
      <c r="E91" t="s">
        <v>19</v>
      </c>
      <c r="F91">
        <v>1</v>
      </c>
      <c r="G91">
        <f t="shared" si="24"/>
        <v>145</v>
      </c>
      <c r="I91">
        <v>2100</v>
      </c>
      <c r="J91" t="s">
        <v>31</v>
      </c>
      <c r="K91">
        <f t="shared" si="25"/>
        <v>147.5</v>
      </c>
      <c r="L91" cm="1">
        <f t="array" ref="L91">STOWA2024_NDJF_T(A91*60,K91,I91,J91,"")</f>
        <v>683.8806160401665</v>
      </c>
      <c r="M91">
        <f t="shared" si="26"/>
        <v>1.4622435210844852E-3</v>
      </c>
    </row>
    <row r="92" spans="1:13" x14ac:dyDescent="0.3">
      <c r="A92">
        <v>96</v>
      </c>
      <c r="B92">
        <f t="shared" si="23"/>
        <v>4.1142917945478116E-4</v>
      </c>
      <c r="C92">
        <f t="shared" si="19"/>
        <v>4.1142917945478116E-4</v>
      </c>
      <c r="D92" t="s">
        <v>34</v>
      </c>
      <c r="E92" t="s">
        <v>19</v>
      </c>
      <c r="F92">
        <v>1</v>
      </c>
      <c r="G92">
        <f t="shared" si="24"/>
        <v>150</v>
      </c>
      <c r="I92">
        <v>2100</v>
      </c>
      <c r="J92" t="s">
        <v>31</v>
      </c>
      <c r="K92">
        <f t="shared" si="25"/>
        <v>152.5</v>
      </c>
      <c r="L92" cm="1">
        <f t="array" ref="L92">STOWA2024_NDJF_T(A92*60,K92,I92,J92,"")</f>
        <v>951.6428929292149</v>
      </c>
      <c r="M92">
        <f t="shared" si="26"/>
        <v>1.0508143416297041E-3</v>
      </c>
    </row>
    <row r="93" spans="1:13" x14ac:dyDescent="0.3">
      <c r="A93">
        <v>96</v>
      </c>
      <c r="B93">
        <f t="shared" si="23"/>
        <v>2.9386348338176658E-4</v>
      </c>
      <c r="C93">
        <f t="shared" si="19"/>
        <v>2.9386348338176658E-4</v>
      </c>
      <c r="D93" t="s">
        <v>34</v>
      </c>
      <c r="E93" t="s">
        <v>19</v>
      </c>
      <c r="F93">
        <v>1</v>
      </c>
      <c r="G93">
        <f t="shared" si="24"/>
        <v>155</v>
      </c>
      <c r="I93">
        <v>2100</v>
      </c>
      <c r="J93" t="s">
        <v>31</v>
      </c>
      <c r="K93">
        <f t="shared" si="25"/>
        <v>157.5</v>
      </c>
      <c r="L93" cm="1">
        <f t="array" ref="L93">STOWA2024_NDJF_T(A93*60,K93,I93,J93,"")</f>
        <v>1321.0897234658426</v>
      </c>
      <c r="M93">
        <f t="shared" si="26"/>
        <v>7.569508582479375E-4</v>
      </c>
    </row>
    <row r="94" spans="1:13" x14ac:dyDescent="0.3">
      <c r="A94">
        <v>96</v>
      </c>
      <c r="B94" s="1">
        <f>M93</f>
        <v>7.569508582479375E-4</v>
      </c>
      <c r="C94">
        <f t="shared" si="19"/>
        <v>7.569508582479375E-4</v>
      </c>
      <c r="D94" t="s">
        <v>34</v>
      </c>
      <c r="E94" t="s">
        <v>19</v>
      </c>
      <c r="F94">
        <v>1</v>
      </c>
      <c r="G94">
        <f t="shared" si="24"/>
        <v>160</v>
      </c>
      <c r="I94">
        <v>2100</v>
      </c>
      <c r="J94" t="s">
        <v>31</v>
      </c>
      <c r="K94">
        <f>AVERAGE(G94:G95)</f>
        <v>85</v>
      </c>
      <c r="L94" cm="1">
        <f t="array" ref="L94">STOWA2024_NDJF_T(A94*60,K94,I94,J94,"")</f>
        <v>8.8576807530203592</v>
      </c>
      <c r="M94">
        <f>1/L94</f>
        <v>0.11289636958963693</v>
      </c>
    </row>
    <row r="95" spans="1:13" x14ac:dyDescent="0.3">
      <c r="A95">
        <v>192</v>
      </c>
      <c r="B95" s="1">
        <f>365.25*24/A95 - M95</f>
        <v>21.159379586112173</v>
      </c>
      <c r="C95">
        <f>B95</f>
        <v>21.159379586112173</v>
      </c>
      <c r="D95" t="s">
        <v>34</v>
      </c>
      <c r="E95" t="s">
        <v>19</v>
      </c>
      <c r="F95">
        <v>1</v>
      </c>
      <c r="G95">
        <v>10</v>
      </c>
      <c r="I95">
        <v>2100</v>
      </c>
      <c r="J95" t="s">
        <v>31</v>
      </c>
      <c r="K95">
        <f>AVERAGE(G95:G97)</f>
        <v>15</v>
      </c>
      <c r="L95" cm="1">
        <f t="array" ref="L95">STOWA2024_NDJF_T(A95*60,K95,I95,J95,"")</f>
        <v>4.0821541001134477E-2</v>
      </c>
      <c r="M95">
        <f>1/L95</f>
        <v>24.496870413887827</v>
      </c>
    </row>
    <row r="96" spans="1:13" x14ac:dyDescent="0.3">
      <c r="A96">
        <v>192</v>
      </c>
      <c r="B96">
        <f t="shared" ref="B96:B100" si="27">M95-M96</f>
        <v>2.7571389226227687</v>
      </c>
      <c r="C96">
        <f t="shared" ref="C96:C125" si="28">B96</f>
        <v>2.7571389226227687</v>
      </c>
      <c r="D96" t="s">
        <v>34</v>
      </c>
      <c r="E96" t="s">
        <v>19</v>
      </c>
      <c r="F96">
        <v>1</v>
      </c>
      <c r="G96">
        <f t="shared" ref="G96:G100" si="29">G95+5</f>
        <v>15</v>
      </c>
      <c r="I96">
        <v>2100</v>
      </c>
      <c r="J96" t="s">
        <v>31</v>
      </c>
      <c r="K96">
        <f t="shared" ref="K96:K100" si="30">AVERAGE(G96:G97)</f>
        <v>17.5</v>
      </c>
      <c r="L96" cm="1">
        <f t="array" ref="L96">STOWA2024_NDJF_T(A96*60,K96,I96,J96,"")</f>
        <v>4.5998728199646635E-2</v>
      </c>
      <c r="M96">
        <f t="shared" ref="M96:M100" si="31">1/L96</f>
        <v>21.739731491265058</v>
      </c>
    </row>
    <row r="97" spans="1:13" x14ac:dyDescent="0.3">
      <c r="A97">
        <v>192</v>
      </c>
      <c r="B97">
        <f t="shared" si="27"/>
        <v>4.6520927484338301</v>
      </c>
      <c r="C97">
        <f t="shared" si="28"/>
        <v>4.6520927484338301</v>
      </c>
      <c r="D97" t="s">
        <v>34</v>
      </c>
      <c r="E97" t="s">
        <v>19</v>
      </c>
      <c r="F97">
        <v>1</v>
      </c>
      <c r="G97">
        <f t="shared" si="29"/>
        <v>20</v>
      </c>
      <c r="I97">
        <v>2100</v>
      </c>
      <c r="J97" t="s">
        <v>31</v>
      </c>
      <c r="K97">
        <f t="shared" si="30"/>
        <v>22.5</v>
      </c>
      <c r="L97" cm="1">
        <f t="array" ref="L97">STOWA2024_NDJF_T(A97*60,K97,I97,J97,"")</f>
        <v>5.8521836460261649E-2</v>
      </c>
      <c r="M97">
        <f t="shared" si="31"/>
        <v>17.087638742831228</v>
      </c>
    </row>
    <row r="98" spans="1:13" x14ac:dyDescent="0.3">
      <c r="A98">
        <v>192</v>
      </c>
      <c r="B98">
        <f t="shared" si="27"/>
        <v>3.6927890976228515</v>
      </c>
      <c r="C98">
        <f t="shared" si="28"/>
        <v>3.6927890976228515</v>
      </c>
      <c r="D98" t="s">
        <v>34</v>
      </c>
      <c r="E98" t="s">
        <v>19</v>
      </c>
      <c r="F98">
        <v>1</v>
      </c>
      <c r="G98">
        <f t="shared" si="29"/>
        <v>25</v>
      </c>
      <c r="I98">
        <v>2100</v>
      </c>
      <c r="J98" t="s">
        <v>31</v>
      </c>
      <c r="K98">
        <f t="shared" si="30"/>
        <v>27.5</v>
      </c>
      <c r="L98" cm="1">
        <f t="array" ref="L98">STOWA2024_NDJF_T(A98*60,K98,I98,J98,"")</f>
        <v>7.4655559897062476E-2</v>
      </c>
      <c r="M98">
        <f t="shared" si="31"/>
        <v>13.394849645208376</v>
      </c>
    </row>
    <row r="99" spans="1:13" x14ac:dyDescent="0.3">
      <c r="A99">
        <v>192</v>
      </c>
      <c r="B99">
        <f t="shared" si="27"/>
        <v>2.9236640555411402</v>
      </c>
      <c r="C99">
        <f t="shared" si="28"/>
        <v>2.9236640555411402</v>
      </c>
      <c r="D99" t="s">
        <v>34</v>
      </c>
      <c r="E99" t="s">
        <v>19</v>
      </c>
      <c r="F99">
        <v>1</v>
      </c>
      <c r="G99">
        <f t="shared" si="29"/>
        <v>30</v>
      </c>
      <c r="I99">
        <v>2100</v>
      </c>
      <c r="J99" t="s">
        <v>31</v>
      </c>
      <c r="K99">
        <f t="shared" si="30"/>
        <v>32.5</v>
      </c>
      <c r="L99" cm="1">
        <f t="array" ref="L99">STOWA2024_NDJF_T(A99*60,K99,I99,J99,"")</f>
        <v>9.5500169626138678E-2</v>
      </c>
      <c r="M99">
        <f t="shared" si="31"/>
        <v>10.471185589667236</v>
      </c>
    </row>
    <row r="100" spans="1:13" x14ac:dyDescent="0.3">
      <c r="A100">
        <v>192</v>
      </c>
      <c r="B100">
        <f t="shared" si="27"/>
        <v>2.3085762380745525</v>
      </c>
      <c r="C100">
        <f t="shared" si="28"/>
        <v>2.3085762380745525</v>
      </c>
      <c r="D100" t="s">
        <v>34</v>
      </c>
      <c r="E100" t="s">
        <v>19</v>
      </c>
      <c r="F100">
        <v>1</v>
      </c>
      <c r="G100">
        <f t="shared" si="29"/>
        <v>35</v>
      </c>
      <c r="I100">
        <v>2100</v>
      </c>
      <c r="J100" t="s">
        <v>31</v>
      </c>
      <c r="K100">
        <f t="shared" si="30"/>
        <v>37.5</v>
      </c>
      <c r="L100" cm="1">
        <f t="array" ref="L100">STOWA2024_NDJF_T(A100*60,K100,I100,J100,"")</f>
        <v>0.12250984420868806</v>
      </c>
      <c r="M100">
        <f t="shared" si="31"/>
        <v>8.1626093515926836</v>
      </c>
    </row>
    <row r="101" spans="1:13" x14ac:dyDescent="0.3">
      <c r="A101">
        <v>192</v>
      </c>
      <c r="B101">
        <f>M100-M101</f>
        <v>1.8179866941661311</v>
      </c>
      <c r="C101">
        <f t="shared" si="28"/>
        <v>1.8179866941661311</v>
      </c>
      <c r="D101" t="s">
        <v>34</v>
      </c>
      <c r="E101" t="s">
        <v>19</v>
      </c>
      <c r="F101">
        <v>1</v>
      </c>
      <c r="G101">
        <f>G100+5</f>
        <v>40</v>
      </c>
      <c r="I101">
        <v>2100</v>
      </c>
      <c r="J101" t="s">
        <v>31</v>
      </c>
      <c r="K101">
        <f>AVERAGE(G101:G102)</f>
        <v>42.5</v>
      </c>
      <c r="L101" cm="1">
        <f t="array" ref="L101">STOWA2024_NDJF_T(A101*60,K101,I101,J101,"")</f>
        <v>0.15761378635015794</v>
      </c>
      <c r="M101">
        <f>1/L101</f>
        <v>6.3446226574265525</v>
      </c>
    </row>
    <row r="102" spans="1:13" x14ac:dyDescent="0.3">
      <c r="A102">
        <v>192</v>
      </c>
      <c r="B102">
        <f t="shared" ref="B102:B124" si="32">M101-M102</f>
        <v>1.427587920626415</v>
      </c>
      <c r="C102">
        <f t="shared" si="28"/>
        <v>1.427587920626415</v>
      </c>
      <c r="D102" t="s">
        <v>34</v>
      </c>
      <c r="E102" t="s">
        <v>19</v>
      </c>
      <c r="F102">
        <v>1</v>
      </c>
      <c r="G102">
        <f t="shared" ref="G102:G125" si="33">G101+5</f>
        <v>45</v>
      </c>
      <c r="I102">
        <v>2100</v>
      </c>
      <c r="J102" t="s">
        <v>31</v>
      </c>
      <c r="K102">
        <f t="shared" ref="K102:K124" si="34">AVERAGE(G102:G103)</f>
        <v>47.5</v>
      </c>
      <c r="L102" cm="1">
        <f t="array" ref="L102">STOWA2024_NDJF_T(A102*60,K102,I102,J102,"")</f>
        <v>0.20337460553528056</v>
      </c>
      <c r="M102">
        <f t="shared" ref="M102:M124" si="35">1/L102</f>
        <v>4.9170347368001375</v>
      </c>
    </row>
    <row r="103" spans="1:13" x14ac:dyDescent="0.3">
      <c r="A103">
        <v>192</v>
      </c>
      <c r="B103">
        <f t="shared" si="32"/>
        <v>1.1179057788429971</v>
      </c>
      <c r="C103">
        <f t="shared" si="28"/>
        <v>1.1179057788429971</v>
      </c>
      <c r="D103" t="s">
        <v>34</v>
      </c>
      <c r="E103" t="s">
        <v>19</v>
      </c>
      <c r="F103">
        <v>1</v>
      </c>
      <c r="G103">
        <f t="shared" si="33"/>
        <v>50</v>
      </c>
      <c r="I103">
        <v>2100</v>
      </c>
      <c r="J103" t="s">
        <v>31</v>
      </c>
      <c r="K103">
        <f t="shared" si="34"/>
        <v>52.5</v>
      </c>
      <c r="L103" cm="1">
        <f t="array" ref="L103">STOWA2024_NDJF_T(A103*60,K103,I103,J103,"")</f>
        <v>0.26321823003810796</v>
      </c>
      <c r="M103">
        <f t="shared" si="35"/>
        <v>3.7991289579571403</v>
      </c>
    </row>
    <row r="104" spans="1:13" x14ac:dyDescent="0.3">
      <c r="A104">
        <v>192</v>
      </c>
      <c r="B104">
        <f t="shared" si="32"/>
        <v>0.87281924959084778</v>
      </c>
      <c r="C104">
        <f t="shared" si="28"/>
        <v>0.87281924959084778</v>
      </c>
      <c r="D104" t="s">
        <v>34</v>
      </c>
      <c r="E104" t="s">
        <v>19</v>
      </c>
      <c r="F104">
        <v>1</v>
      </c>
      <c r="G104">
        <f t="shared" si="33"/>
        <v>55</v>
      </c>
      <c r="I104">
        <v>2100</v>
      </c>
      <c r="J104" t="s">
        <v>31</v>
      </c>
      <c r="K104">
        <f t="shared" si="34"/>
        <v>57.5</v>
      </c>
      <c r="L104" cm="1">
        <f t="array" ref="L104">STOWA2024_NDJF_T(A104*60,K104,I104,J104,"")</f>
        <v>0.34172732884048779</v>
      </c>
      <c r="M104">
        <f t="shared" si="35"/>
        <v>2.9263097083662926</v>
      </c>
    </row>
    <row r="105" spans="1:13" x14ac:dyDescent="0.3">
      <c r="A105">
        <v>192</v>
      </c>
      <c r="B105">
        <f t="shared" si="32"/>
        <v>0.67942828954309542</v>
      </c>
      <c r="C105">
        <f t="shared" si="28"/>
        <v>0.67942828954309542</v>
      </c>
      <c r="D105" t="s">
        <v>34</v>
      </c>
      <c r="E105" t="s">
        <v>19</v>
      </c>
      <c r="F105">
        <v>1</v>
      </c>
      <c r="G105">
        <f t="shared" si="33"/>
        <v>60</v>
      </c>
      <c r="I105">
        <v>2100</v>
      </c>
      <c r="J105" t="s">
        <v>31</v>
      </c>
      <c r="K105">
        <f t="shared" si="34"/>
        <v>62.5</v>
      </c>
      <c r="L105" cm="1">
        <f t="array" ref="L105">STOWA2024_NDJF_T(A105*60,K105,I105,J105,"")</f>
        <v>0.44506131548488637</v>
      </c>
      <c r="M105">
        <f t="shared" si="35"/>
        <v>2.2468814188231971</v>
      </c>
    </row>
    <row r="106" spans="1:13" x14ac:dyDescent="0.3">
      <c r="A106">
        <v>192</v>
      </c>
      <c r="B106">
        <f t="shared" si="32"/>
        <v>0.52726884047475298</v>
      </c>
      <c r="C106">
        <f t="shared" si="28"/>
        <v>0.52726884047475298</v>
      </c>
      <c r="D106" t="s">
        <v>34</v>
      </c>
      <c r="E106" t="s">
        <v>19</v>
      </c>
      <c r="F106">
        <v>1</v>
      </c>
      <c r="G106">
        <f t="shared" si="33"/>
        <v>65</v>
      </c>
      <c r="I106">
        <v>2100</v>
      </c>
      <c r="J106" t="s">
        <v>31</v>
      </c>
      <c r="K106">
        <f t="shared" si="34"/>
        <v>67.5</v>
      </c>
      <c r="L106" cm="1">
        <f t="array" ref="L106">STOWA2024_NDJF_T(A106*60,K106,I106,J106,"")</f>
        <v>0.58152633482154636</v>
      </c>
      <c r="M106">
        <f t="shared" si="35"/>
        <v>1.7196125783484442</v>
      </c>
    </row>
    <row r="107" spans="1:13" x14ac:dyDescent="0.3">
      <c r="A107">
        <v>192</v>
      </c>
      <c r="B107">
        <f t="shared" si="32"/>
        <v>0.40792325561011977</v>
      </c>
      <c r="C107">
        <f t="shared" si="28"/>
        <v>0.40792325561011977</v>
      </c>
      <c r="D107" t="s">
        <v>34</v>
      </c>
      <c r="E107" t="s">
        <v>19</v>
      </c>
      <c r="F107">
        <v>1</v>
      </c>
      <c r="G107">
        <f t="shared" si="33"/>
        <v>70</v>
      </c>
      <c r="I107">
        <v>2100</v>
      </c>
      <c r="J107" t="s">
        <v>31</v>
      </c>
      <c r="K107">
        <f t="shared" si="34"/>
        <v>72.5</v>
      </c>
      <c r="L107" cm="1">
        <f t="array" ref="L107">STOWA2024_NDJF_T(A107*60,K107,I107,J107,"")</f>
        <v>0.76237564998422658</v>
      </c>
      <c r="M107">
        <f t="shared" si="35"/>
        <v>1.3116893227383244</v>
      </c>
    </row>
    <row r="108" spans="1:13" x14ac:dyDescent="0.3">
      <c r="A108">
        <v>192</v>
      </c>
      <c r="B108">
        <f t="shared" si="32"/>
        <v>0.31449807836747978</v>
      </c>
      <c r="C108">
        <f t="shared" si="28"/>
        <v>0.31449807836747978</v>
      </c>
      <c r="D108" t="s">
        <v>34</v>
      </c>
      <c r="E108" t="s">
        <v>19</v>
      </c>
      <c r="F108">
        <v>1</v>
      </c>
      <c r="G108">
        <f t="shared" si="33"/>
        <v>75</v>
      </c>
      <c r="I108">
        <v>2100</v>
      </c>
      <c r="J108" t="s">
        <v>31</v>
      </c>
      <c r="K108">
        <f t="shared" si="34"/>
        <v>77.5</v>
      </c>
      <c r="L108" cm="1">
        <f t="array" ref="L108">STOWA2024_NDJF_T(A108*60,K108,I108,J108,"")</f>
        <v>1.00281666695833</v>
      </c>
      <c r="M108">
        <f t="shared" si="35"/>
        <v>0.99719124437084461</v>
      </c>
    </row>
    <row r="109" spans="1:13" x14ac:dyDescent="0.3">
      <c r="A109">
        <v>192</v>
      </c>
      <c r="B109">
        <f t="shared" si="32"/>
        <v>0.24178429662605205</v>
      </c>
      <c r="C109">
        <f t="shared" si="28"/>
        <v>0.24178429662605205</v>
      </c>
      <c r="D109" t="s">
        <v>34</v>
      </c>
      <c r="E109" t="s">
        <v>19</v>
      </c>
      <c r="F109">
        <v>1</v>
      </c>
      <c r="G109">
        <f t="shared" si="33"/>
        <v>80</v>
      </c>
      <c r="I109">
        <v>2100</v>
      </c>
      <c r="J109" t="s">
        <v>31</v>
      </c>
      <c r="K109">
        <f t="shared" si="34"/>
        <v>82.5</v>
      </c>
      <c r="L109" cm="1">
        <f t="array" ref="L109">STOWA2024_NDJF_T(A109*60,K109,I109,J109,"")</f>
        <v>1.3237897837522155</v>
      </c>
      <c r="M109">
        <f t="shared" si="35"/>
        <v>0.75540694774479256</v>
      </c>
    </row>
    <row r="110" spans="1:13" x14ac:dyDescent="0.3">
      <c r="A110">
        <v>192</v>
      </c>
      <c r="B110">
        <f t="shared" si="32"/>
        <v>0.18521835180184387</v>
      </c>
      <c r="C110">
        <f t="shared" si="28"/>
        <v>0.18521835180184387</v>
      </c>
      <c r="D110" t="s">
        <v>34</v>
      </c>
      <c r="E110" t="s">
        <v>19</v>
      </c>
      <c r="F110">
        <v>1</v>
      </c>
      <c r="G110">
        <f t="shared" si="33"/>
        <v>85</v>
      </c>
      <c r="I110">
        <v>2100</v>
      </c>
      <c r="J110" t="s">
        <v>31</v>
      </c>
      <c r="K110">
        <f t="shared" si="34"/>
        <v>87.5</v>
      </c>
      <c r="L110" cm="1">
        <f t="array" ref="L110">STOWA2024_NDJF_T(A110*60,K110,I110,J110,"")</f>
        <v>1.7538056830937687</v>
      </c>
      <c r="M110">
        <f t="shared" si="35"/>
        <v>0.57018859594294868</v>
      </c>
    </row>
    <row r="111" spans="1:13" x14ac:dyDescent="0.3">
      <c r="A111">
        <v>192</v>
      </c>
      <c r="B111">
        <f t="shared" si="32"/>
        <v>0.14138796197418368</v>
      </c>
      <c r="C111">
        <f t="shared" si="28"/>
        <v>0.14138796197418368</v>
      </c>
      <c r="D111" t="s">
        <v>34</v>
      </c>
      <c r="E111" t="s">
        <v>19</v>
      </c>
      <c r="F111">
        <v>1</v>
      </c>
      <c r="G111">
        <f t="shared" si="33"/>
        <v>90</v>
      </c>
      <c r="I111">
        <v>2100</v>
      </c>
      <c r="J111" t="s">
        <v>31</v>
      </c>
      <c r="K111">
        <f t="shared" si="34"/>
        <v>92.5</v>
      </c>
      <c r="L111" cm="1">
        <f t="array" ref="L111">STOWA2024_NDJF_T(A111*60,K111,I111,J111,"")</f>
        <v>2.3320861043149548</v>
      </c>
      <c r="M111">
        <f t="shared" si="35"/>
        <v>0.428800633968765</v>
      </c>
    </row>
    <row r="112" spans="1:13" x14ac:dyDescent="0.3">
      <c r="A112">
        <v>192</v>
      </c>
      <c r="B112">
        <f t="shared" si="32"/>
        <v>0.10754740666304069</v>
      </c>
      <c r="C112">
        <f t="shared" si="28"/>
        <v>0.10754740666304069</v>
      </c>
      <c r="D112" t="s">
        <v>34</v>
      </c>
      <c r="E112" t="s">
        <v>19</v>
      </c>
      <c r="F112">
        <v>1</v>
      </c>
      <c r="G112">
        <f t="shared" si="33"/>
        <v>95</v>
      </c>
      <c r="I112">
        <v>2100</v>
      </c>
      <c r="J112" t="s">
        <v>31</v>
      </c>
      <c r="K112">
        <f t="shared" si="34"/>
        <v>97.5</v>
      </c>
      <c r="L112" cm="1">
        <f t="array" ref="L112">STOWA2024_NDJF_T(A112*60,K112,I112,J112,"")</f>
        <v>3.1128091953714088</v>
      </c>
      <c r="M112">
        <f t="shared" si="35"/>
        <v>0.32125322730572431</v>
      </c>
    </row>
    <row r="113" spans="1:13" x14ac:dyDescent="0.3">
      <c r="A113">
        <v>192</v>
      </c>
      <c r="B113">
        <f t="shared" si="32"/>
        <v>8.150543514372896E-2</v>
      </c>
      <c r="C113">
        <f t="shared" si="28"/>
        <v>8.150543514372896E-2</v>
      </c>
      <c r="D113" t="s">
        <v>34</v>
      </c>
      <c r="E113" t="s">
        <v>19</v>
      </c>
      <c r="F113">
        <v>1</v>
      </c>
      <c r="G113">
        <f t="shared" si="33"/>
        <v>100</v>
      </c>
      <c r="I113">
        <v>2100</v>
      </c>
      <c r="J113" t="s">
        <v>31</v>
      </c>
      <c r="K113">
        <f t="shared" si="34"/>
        <v>102.5</v>
      </c>
      <c r="L113" cm="1">
        <f t="array" ref="L113">STOWA2024_NDJF_T(A113*60,K113,I113,J113,"")</f>
        <v>4.171049881136379</v>
      </c>
      <c r="M113">
        <f t="shared" si="35"/>
        <v>0.23974779216199535</v>
      </c>
    </row>
    <row r="114" spans="1:13" x14ac:dyDescent="0.3">
      <c r="A114">
        <v>192</v>
      </c>
      <c r="B114">
        <f t="shared" si="32"/>
        <v>6.1541144570223666E-2</v>
      </c>
      <c r="C114">
        <f t="shared" si="28"/>
        <v>6.1541144570223666E-2</v>
      </c>
      <c r="D114" t="s">
        <v>34</v>
      </c>
      <c r="E114" t="s">
        <v>19</v>
      </c>
      <c r="F114">
        <v>1</v>
      </c>
      <c r="G114">
        <f t="shared" si="33"/>
        <v>105</v>
      </c>
      <c r="I114">
        <v>2100</v>
      </c>
      <c r="J114" t="s">
        <v>31</v>
      </c>
      <c r="K114">
        <f t="shared" si="34"/>
        <v>107.5</v>
      </c>
      <c r="L114" cm="1">
        <f t="array" ref="L114">STOWA2024_NDJF_T(A114*60,K114,I114,J114,"")</f>
        <v>5.6114629477277305</v>
      </c>
      <c r="M114">
        <f t="shared" si="35"/>
        <v>0.17820664759177168</v>
      </c>
    </row>
    <row r="115" spans="1:13" x14ac:dyDescent="0.3">
      <c r="A115">
        <v>192</v>
      </c>
      <c r="B115">
        <f t="shared" si="32"/>
        <v>4.6286483474210466E-2</v>
      </c>
      <c r="C115">
        <f t="shared" si="28"/>
        <v>4.6286483474210466E-2</v>
      </c>
      <c r="D115" t="s">
        <v>34</v>
      </c>
      <c r="E115" t="s">
        <v>19</v>
      </c>
      <c r="F115">
        <v>1</v>
      </c>
      <c r="G115">
        <f t="shared" si="33"/>
        <v>110</v>
      </c>
      <c r="I115">
        <v>2100</v>
      </c>
      <c r="J115" t="s">
        <v>31</v>
      </c>
      <c r="K115">
        <f t="shared" si="34"/>
        <v>112.5</v>
      </c>
      <c r="L115" cm="1">
        <f t="array" ref="L115">STOWA2024_NDJF_T(A115*60,K115,I115,J115,"")</f>
        <v>7.5803422978525532</v>
      </c>
      <c r="M115">
        <f t="shared" si="35"/>
        <v>0.13192016411756122</v>
      </c>
    </row>
    <row r="116" spans="1:13" x14ac:dyDescent="0.3">
      <c r="A116">
        <v>192</v>
      </c>
      <c r="B116">
        <f t="shared" si="32"/>
        <v>3.4674636054287139E-2</v>
      </c>
      <c r="C116">
        <f t="shared" si="28"/>
        <v>3.4674636054287139E-2</v>
      </c>
      <c r="D116" t="s">
        <v>34</v>
      </c>
      <c r="E116" t="s">
        <v>19</v>
      </c>
      <c r="F116">
        <v>1</v>
      </c>
      <c r="G116">
        <f t="shared" si="33"/>
        <v>115</v>
      </c>
      <c r="I116">
        <v>2100</v>
      </c>
      <c r="J116" t="s">
        <v>31</v>
      </c>
      <c r="K116">
        <f t="shared" si="34"/>
        <v>117.5</v>
      </c>
      <c r="L116" cm="1">
        <f t="array" ref="L116">STOWA2024_NDJF_T(A116*60,K116,I116,J116,"")</f>
        <v>10.283249213777079</v>
      </c>
      <c r="M116">
        <f t="shared" si="35"/>
        <v>9.7245528063274078E-2</v>
      </c>
    </row>
    <row r="117" spans="1:13" x14ac:dyDescent="0.3">
      <c r="A117">
        <v>192</v>
      </c>
      <c r="B117">
        <f t="shared" si="32"/>
        <v>2.5871425485406746E-2</v>
      </c>
      <c r="C117">
        <f t="shared" si="28"/>
        <v>2.5871425485406746E-2</v>
      </c>
      <c r="D117" t="s">
        <v>34</v>
      </c>
      <c r="E117" t="s">
        <v>19</v>
      </c>
      <c r="F117">
        <v>1</v>
      </c>
      <c r="G117">
        <f t="shared" si="33"/>
        <v>120</v>
      </c>
      <c r="I117">
        <v>2100</v>
      </c>
      <c r="J117" t="s">
        <v>31</v>
      </c>
      <c r="K117">
        <f t="shared" si="34"/>
        <v>122.5</v>
      </c>
      <c r="L117" cm="1">
        <f t="array" ref="L117">STOWA2024_NDJF_T(A117*60,K117,I117,J117,"")</f>
        <v>14.010684042002847</v>
      </c>
      <c r="M117">
        <f t="shared" si="35"/>
        <v>7.1374102577867332E-2</v>
      </c>
    </row>
    <row r="118" spans="1:13" x14ac:dyDescent="0.3">
      <c r="A118">
        <v>192</v>
      </c>
      <c r="B118">
        <f t="shared" si="32"/>
        <v>1.9221833156292709E-2</v>
      </c>
      <c r="C118">
        <f t="shared" si="28"/>
        <v>1.9221833156292709E-2</v>
      </c>
      <c r="D118" t="s">
        <v>34</v>
      </c>
      <c r="E118" t="s">
        <v>19</v>
      </c>
      <c r="F118">
        <v>1</v>
      </c>
      <c r="G118">
        <f t="shared" si="33"/>
        <v>125</v>
      </c>
      <c r="I118">
        <v>2100</v>
      </c>
      <c r="J118" t="s">
        <v>31</v>
      </c>
      <c r="K118">
        <f t="shared" si="34"/>
        <v>127.5</v>
      </c>
      <c r="L118" cm="1">
        <f t="array" ref="L118">STOWA2024_NDJF_T(A118*60,K118,I118,J118,"")</f>
        <v>19.174620991398598</v>
      </c>
      <c r="M118">
        <f t="shared" si="35"/>
        <v>5.2152269421574624E-2</v>
      </c>
    </row>
    <row r="119" spans="1:13" x14ac:dyDescent="0.3">
      <c r="A119">
        <v>192</v>
      </c>
      <c r="B119">
        <f t="shared" si="32"/>
        <v>1.4219853377160224E-2</v>
      </c>
      <c r="C119">
        <f t="shared" si="28"/>
        <v>1.4219853377160224E-2</v>
      </c>
      <c r="D119" t="s">
        <v>34</v>
      </c>
      <c r="E119" t="s">
        <v>19</v>
      </c>
      <c r="F119">
        <v>1</v>
      </c>
      <c r="G119">
        <f t="shared" si="33"/>
        <v>130</v>
      </c>
      <c r="I119">
        <v>2100</v>
      </c>
      <c r="J119" t="s">
        <v>31</v>
      </c>
      <c r="K119">
        <f t="shared" si="34"/>
        <v>132.5</v>
      </c>
      <c r="L119" cm="1">
        <f t="array" ref="L119">STOWA2024_NDJF_T(A119*60,K119,I119,J119,"")</f>
        <v>26.362676156169901</v>
      </c>
      <c r="M119">
        <f t="shared" si="35"/>
        <v>3.7932416044414399E-2</v>
      </c>
    </row>
    <row r="120" spans="1:13" x14ac:dyDescent="0.3">
      <c r="A120">
        <v>192</v>
      </c>
      <c r="B120">
        <f t="shared" si="32"/>
        <v>1.0472877384979099E-2</v>
      </c>
      <c r="C120">
        <f t="shared" si="28"/>
        <v>1.0472877384979099E-2</v>
      </c>
      <c r="D120" t="s">
        <v>34</v>
      </c>
      <c r="E120" t="s">
        <v>19</v>
      </c>
      <c r="F120">
        <v>1</v>
      </c>
      <c r="G120">
        <f t="shared" si="33"/>
        <v>135</v>
      </c>
      <c r="I120">
        <v>2100</v>
      </c>
      <c r="J120" t="s">
        <v>31</v>
      </c>
      <c r="K120">
        <f t="shared" si="34"/>
        <v>137.5</v>
      </c>
      <c r="L120" cm="1">
        <f t="array" ref="L120">STOWA2024_NDJF_T(A120*60,K120,I120,J120,"")</f>
        <v>36.417217798245588</v>
      </c>
      <c r="M120">
        <f t="shared" si="35"/>
        <v>2.74595386594353E-2</v>
      </c>
    </row>
    <row r="121" spans="1:13" x14ac:dyDescent="0.3">
      <c r="A121">
        <v>192</v>
      </c>
      <c r="B121">
        <f t="shared" si="32"/>
        <v>7.6781651070085277E-3</v>
      </c>
      <c r="C121">
        <f t="shared" si="28"/>
        <v>7.6781651070085277E-3</v>
      </c>
      <c r="D121" t="s">
        <v>34</v>
      </c>
      <c r="E121" t="s">
        <v>19</v>
      </c>
      <c r="F121">
        <v>1</v>
      </c>
      <c r="G121">
        <f t="shared" si="33"/>
        <v>140</v>
      </c>
      <c r="I121">
        <v>2100</v>
      </c>
      <c r="J121" t="s">
        <v>31</v>
      </c>
      <c r="K121">
        <f t="shared" si="34"/>
        <v>142.5</v>
      </c>
      <c r="L121" cm="1">
        <f t="array" ref="L121">STOWA2024_NDJF_T(A121*60,K121,I121,J121,"")</f>
        <v>50.552606842476841</v>
      </c>
      <c r="M121">
        <f t="shared" si="35"/>
        <v>1.9781373552426772E-2</v>
      </c>
    </row>
    <row r="122" spans="1:13" x14ac:dyDescent="0.3">
      <c r="A122">
        <v>192</v>
      </c>
      <c r="B122">
        <f t="shared" si="32"/>
        <v>5.6025174408326061E-3</v>
      </c>
      <c r="C122">
        <f t="shared" si="28"/>
        <v>5.6025174408326061E-3</v>
      </c>
      <c r="D122" t="s">
        <v>34</v>
      </c>
      <c r="E122" t="s">
        <v>19</v>
      </c>
      <c r="F122">
        <v>1</v>
      </c>
      <c r="G122">
        <f t="shared" si="33"/>
        <v>145</v>
      </c>
      <c r="I122">
        <v>2100</v>
      </c>
      <c r="J122" t="s">
        <v>31</v>
      </c>
      <c r="K122">
        <f t="shared" si="34"/>
        <v>147.5</v>
      </c>
      <c r="L122" cm="1">
        <f t="array" ref="L122">STOWA2024_NDJF_T(A122*60,K122,I122,J122,"")</f>
        <v>70.527551174053585</v>
      </c>
      <c r="M122">
        <f t="shared" si="35"/>
        <v>1.4178856111594166E-2</v>
      </c>
    </row>
    <row r="123" spans="1:13" x14ac:dyDescent="0.3">
      <c r="A123">
        <v>192</v>
      </c>
      <c r="B123">
        <f t="shared" si="32"/>
        <v>4.0683281488008496E-3</v>
      </c>
      <c r="C123">
        <f t="shared" si="28"/>
        <v>4.0683281488008496E-3</v>
      </c>
      <c r="D123" t="s">
        <v>34</v>
      </c>
      <c r="E123" t="s">
        <v>19</v>
      </c>
      <c r="F123">
        <v>1</v>
      </c>
      <c r="G123">
        <f t="shared" si="33"/>
        <v>150</v>
      </c>
      <c r="I123">
        <v>2100</v>
      </c>
      <c r="J123" t="s">
        <v>31</v>
      </c>
      <c r="K123">
        <f t="shared" si="34"/>
        <v>152.5</v>
      </c>
      <c r="L123" cm="1">
        <f t="array" ref="L123">STOWA2024_NDJF_T(A123*60,K123,I123,J123,"")</f>
        <v>98.906803253004597</v>
      </c>
      <c r="M123">
        <f t="shared" si="35"/>
        <v>1.0110527962793317E-2</v>
      </c>
    </row>
    <row r="124" spans="1:13" x14ac:dyDescent="0.3">
      <c r="A124">
        <v>192</v>
      </c>
      <c r="B124">
        <f t="shared" si="32"/>
        <v>2.9394213104925035E-3</v>
      </c>
      <c r="C124">
        <f t="shared" si="28"/>
        <v>2.9394213104925035E-3</v>
      </c>
      <c r="D124" t="s">
        <v>34</v>
      </c>
      <c r="E124" t="s">
        <v>19</v>
      </c>
      <c r="F124">
        <v>1</v>
      </c>
      <c r="G124">
        <f t="shared" si="33"/>
        <v>155</v>
      </c>
      <c r="I124">
        <v>2100</v>
      </c>
      <c r="J124" t="s">
        <v>31</v>
      </c>
      <c r="K124">
        <f t="shared" si="34"/>
        <v>157.5</v>
      </c>
      <c r="L124" cm="1">
        <f t="array" ref="L124">STOWA2024_NDJF_T(A124*60,K124,I124,J124,"")</f>
        <v>139.44849079592967</v>
      </c>
      <c r="M124">
        <f t="shared" si="35"/>
        <v>7.1711066523008132E-3</v>
      </c>
    </row>
    <row r="125" spans="1:13" x14ac:dyDescent="0.3">
      <c r="A125">
        <v>192</v>
      </c>
      <c r="B125" s="1">
        <f>M124</f>
        <v>7.1711066523008132E-3</v>
      </c>
      <c r="C125">
        <f t="shared" si="28"/>
        <v>7.1711066523008132E-3</v>
      </c>
      <c r="D125" t="s">
        <v>34</v>
      </c>
      <c r="E125" t="s">
        <v>19</v>
      </c>
      <c r="F125">
        <v>1</v>
      </c>
      <c r="G125">
        <f t="shared" si="33"/>
        <v>160</v>
      </c>
      <c r="I125">
        <v>2100</v>
      </c>
      <c r="J125" t="s">
        <v>31</v>
      </c>
      <c r="K125">
        <f>AVERAGE(G125:G126)</f>
        <v>85</v>
      </c>
      <c r="L125" cm="1">
        <f t="array" ref="L125">STOWA2024_NDJF_T(A125*60,K125,I125,J125,"")</f>
        <v>1.523020388327063</v>
      </c>
      <c r="M125">
        <f>1/L125</f>
        <v>0.65659002838329283</v>
      </c>
    </row>
    <row r="126" spans="1:13" x14ac:dyDescent="0.3">
      <c r="A126">
        <v>216</v>
      </c>
      <c r="B126" s="1">
        <f>365.25*24/A126 - M126</f>
        <v>17.081106423944341</v>
      </c>
      <c r="C126">
        <f>B126</f>
        <v>17.081106423944341</v>
      </c>
      <c r="D126" t="s">
        <v>34</v>
      </c>
      <c r="E126" t="s">
        <v>19</v>
      </c>
      <c r="F126">
        <v>1</v>
      </c>
      <c r="G126">
        <v>10</v>
      </c>
      <c r="I126">
        <v>2100</v>
      </c>
      <c r="J126" t="s">
        <v>31</v>
      </c>
      <c r="K126">
        <f>AVERAGE(G126:G128)</f>
        <v>15</v>
      </c>
      <c r="L126" cm="1">
        <f t="array" ref="L126">STOWA2024_NDJF_T(A126*60,K126,I126,J126,"")</f>
        <v>4.2549159441589178E-2</v>
      </c>
      <c r="M126">
        <f>1/L126</f>
        <v>23.502226909388995</v>
      </c>
    </row>
    <row r="127" spans="1:13" x14ac:dyDescent="0.3">
      <c r="A127">
        <v>216</v>
      </c>
      <c r="B127">
        <f t="shared" ref="B127:B131" si="36">M126-M127</f>
        <v>2.3847730791382773</v>
      </c>
      <c r="C127">
        <f t="shared" ref="C127:C156" si="37">B127</f>
        <v>2.3847730791382773</v>
      </c>
      <c r="D127" t="s">
        <v>34</v>
      </c>
      <c r="E127" t="s">
        <v>19</v>
      </c>
      <c r="F127">
        <v>1</v>
      </c>
      <c r="G127">
        <f t="shared" ref="G127:G131" si="38">G126+5</f>
        <v>15</v>
      </c>
      <c r="I127">
        <v>2100</v>
      </c>
      <c r="J127" t="s">
        <v>31</v>
      </c>
      <c r="K127">
        <f t="shared" ref="K127:K131" si="39">AVERAGE(G127:G128)</f>
        <v>17.5</v>
      </c>
      <c r="L127" cm="1">
        <f t="array" ref="L127">STOWA2024_NDJF_T(A127*60,K127,I127,J127,"")</f>
        <v>4.7354193741269208E-2</v>
      </c>
      <c r="M127">
        <f t="shared" ref="M127:M131" si="40">1/L127</f>
        <v>21.117453830250717</v>
      </c>
    </row>
    <row r="128" spans="1:13" x14ac:dyDescent="0.3">
      <c r="A128">
        <v>216</v>
      </c>
      <c r="B128">
        <f t="shared" si="36"/>
        <v>4.1052273889566564</v>
      </c>
      <c r="C128">
        <f t="shared" si="37"/>
        <v>4.1052273889566564</v>
      </c>
      <c r="D128" t="s">
        <v>34</v>
      </c>
      <c r="E128" t="s">
        <v>19</v>
      </c>
      <c r="F128">
        <v>1</v>
      </c>
      <c r="G128">
        <f t="shared" si="38"/>
        <v>20</v>
      </c>
      <c r="I128">
        <v>2100</v>
      </c>
      <c r="J128" t="s">
        <v>31</v>
      </c>
      <c r="K128">
        <f t="shared" si="39"/>
        <v>22.5</v>
      </c>
      <c r="L128" cm="1">
        <f t="array" ref="L128">STOWA2024_NDJF_T(A128*60,K128,I128,J128,"")</f>
        <v>5.8781253791254699E-2</v>
      </c>
      <c r="M128">
        <f t="shared" si="40"/>
        <v>17.012226441294061</v>
      </c>
    </row>
    <row r="129" spans="1:13" x14ac:dyDescent="0.3">
      <c r="A129">
        <v>216</v>
      </c>
      <c r="B129">
        <f t="shared" si="36"/>
        <v>3.3479867081642514</v>
      </c>
      <c r="C129">
        <f t="shared" si="37"/>
        <v>3.3479867081642514</v>
      </c>
      <c r="D129" t="s">
        <v>34</v>
      </c>
      <c r="E129" t="s">
        <v>19</v>
      </c>
      <c r="F129">
        <v>1</v>
      </c>
      <c r="G129">
        <f t="shared" si="38"/>
        <v>25</v>
      </c>
      <c r="I129">
        <v>2100</v>
      </c>
      <c r="J129" t="s">
        <v>31</v>
      </c>
      <c r="K129">
        <f t="shared" si="39"/>
        <v>27.5</v>
      </c>
      <c r="L129" cm="1">
        <f t="array" ref="L129">STOWA2024_NDJF_T(A129*60,K129,I129,J129,"")</f>
        <v>7.3183727710473129E-2</v>
      </c>
      <c r="M129">
        <f t="shared" si="40"/>
        <v>13.66423973312981</v>
      </c>
    </row>
    <row r="130" spans="1:13" x14ac:dyDescent="0.3">
      <c r="A130">
        <v>216</v>
      </c>
      <c r="B130">
        <f t="shared" si="36"/>
        <v>2.7227708738845084</v>
      </c>
      <c r="C130">
        <f t="shared" si="37"/>
        <v>2.7227708738845084</v>
      </c>
      <c r="D130" t="s">
        <v>34</v>
      </c>
      <c r="E130" t="s">
        <v>19</v>
      </c>
      <c r="F130">
        <v>1</v>
      </c>
      <c r="G130">
        <f t="shared" si="38"/>
        <v>30</v>
      </c>
      <c r="I130">
        <v>2100</v>
      </c>
      <c r="J130" t="s">
        <v>31</v>
      </c>
      <c r="K130">
        <f t="shared" si="39"/>
        <v>32.5</v>
      </c>
      <c r="L130" cm="1">
        <f t="array" ref="L130">STOWA2024_NDJF_T(A130*60,K130,I130,J130,"")</f>
        <v>9.1395407039432552E-2</v>
      </c>
      <c r="M130">
        <f t="shared" si="40"/>
        <v>10.941468859245301</v>
      </c>
    </row>
    <row r="131" spans="1:13" x14ac:dyDescent="0.3">
      <c r="A131">
        <v>216</v>
      </c>
      <c r="B131">
        <f t="shared" si="36"/>
        <v>2.2077956017205622</v>
      </c>
      <c r="C131">
        <f t="shared" si="37"/>
        <v>2.2077956017205622</v>
      </c>
      <c r="D131" t="s">
        <v>34</v>
      </c>
      <c r="E131" t="s">
        <v>19</v>
      </c>
      <c r="F131">
        <v>1</v>
      </c>
      <c r="G131">
        <f t="shared" si="38"/>
        <v>35</v>
      </c>
      <c r="I131">
        <v>2100</v>
      </c>
      <c r="J131" t="s">
        <v>31</v>
      </c>
      <c r="K131">
        <f t="shared" si="39"/>
        <v>37.5</v>
      </c>
      <c r="L131" cm="1">
        <f t="array" ref="L131">STOWA2024_NDJF_T(A131*60,K131,I131,J131,"")</f>
        <v>0.1144993601791116</v>
      </c>
      <c r="M131">
        <f t="shared" si="40"/>
        <v>8.7336732575247389</v>
      </c>
    </row>
    <row r="132" spans="1:13" x14ac:dyDescent="0.3">
      <c r="A132">
        <v>216</v>
      </c>
      <c r="B132">
        <f>M131-M132</f>
        <v>1.784936761360453</v>
      </c>
      <c r="C132">
        <f t="shared" si="37"/>
        <v>1.784936761360453</v>
      </c>
      <c r="D132" t="s">
        <v>34</v>
      </c>
      <c r="E132" t="s">
        <v>19</v>
      </c>
      <c r="F132">
        <v>1</v>
      </c>
      <c r="G132">
        <f>G131+5</f>
        <v>40</v>
      </c>
      <c r="I132">
        <v>2100</v>
      </c>
      <c r="J132" t="s">
        <v>31</v>
      </c>
      <c r="K132">
        <f>AVERAGE(G132:G133)</f>
        <v>42.5</v>
      </c>
      <c r="L132" cm="1">
        <f t="array" ref="L132">STOWA2024_NDJF_T(A132*60,K132,I132,J132,"")</f>
        <v>0.14391105498848628</v>
      </c>
      <c r="M132">
        <f>1/L132</f>
        <v>6.9487364961642859</v>
      </c>
    </row>
    <row r="133" spans="1:13" x14ac:dyDescent="0.3">
      <c r="A133">
        <v>216</v>
      </c>
      <c r="B133">
        <f t="shared" ref="B133:B155" si="41">M132-M133</f>
        <v>1.4385370155284223</v>
      </c>
      <c r="C133">
        <f t="shared" si="37"/>
        <v>1.4385370155284223</v>
      </c>
      <c r="D133" t="s">
        <v>34</v>
      </c>
      <c r="E133" t="s">
        <v>19</v>
      </c>
      <c r="F133">
        <v>1</v>
      </c>
      <c r="G133">
        <f t="shared" ref="G133:G156" si="42">G132+5</f>
        <v>45</v>
      </c>
      <c r="I133">
        <v>2100</v>
      </c>
      <c r="J133" t="s">
        <v>31</v>
      </c>
      <c r="K133">
        <f t="shared" ref="K133:K155" si="43">AVERAGE(G133:G134)</f>
        <v>47.5</v>
      </c>
      <c r="L133" cm="1">
        <f t="array" ref="L133">STOWA2024_NDJF_T(A133*60,K133,I133,J133,"")</f>
        <v>0.18148163301786716</v>
      </c>
      <c r="M133">
        <f t="shared" ref="M133:M155" si="44">1/L133</f>
        <v>5.5101994806358636</v>
      </c>
    </row>
    <row r="134" spans="1:13" x14ac:dyDescent="0.3">
      <c r="A134">
        <v>216</v>
      </c>
      <c r="B134">
        <f t="shared" si="41"/>
        <v>1.1557672092146296</v>
      </c>
      <c r="C134">
        <f t="shared" si="37"/>
        <v>1.1557672092146296</v>
      </c>
      <c r="D134" t="s">
        <v>34</v>
      </c>
      <c r="E134" t="s">
        <v>19</v>
      </c>
      <c r="F134">
        <v>1</v>
      </c>
      <c r="G134">
        <f t="shared" si="42"/>
        <v>50</v>
      </c>
      <c r="I134">
        <v>2100</v>
      </c>
      <c r="J134" t="s">
        <v>31</v>
      </c>
      <c r="K134">
        <f t="shared" si="43"/>
        <v>52.5</v>
      </c>
      <c r="L134" cm="1">
        <f t="array" ref="L134">STOWA2024_NDJF_T(A134*60,K134,I134,J134,"")</f>
        <v>0.2296510630244829</v>
      </c>
      <c r="M134">
        <f t="shared" si="44"/>
        <v>4.354432271421234</v>
      </c>
    </row>
    <row r="135" spans="1:13" x14ac:dyDescent="0.3">
      <c r="A135">
        <v>216</v>
      </c>
      <c r="B135">
        <f t="shared" si="41"/>
        <v>0.92548547601652276</v>
      </c>
      <c r="C135">
        <f t="shared" si="37"/>
        <v>0.92548547601652276</v>
      </c>
      <c r="D135" t="s">
        <v>34</v>
      </c>
      <c r="E135" t="s">
        <v>19</v>
      </c>
      <c r="F135">
        <v>1</v>
      </c>
      <c r="G135">
        <f t="shared" si="42"/>
        <v>55</v>
      </c>
      <c r="I135">
        <v>2100</v>
      </c>
      <c r="J135" t="s">
        <v>31</v>
      </c>
      <c r="K135">
        <f t="shared" si="43"/>
        <v>57.5</v>
      </c>
      <c r="L135" cm="1">
        <f t="array" ref="L135">STOWA2024_NDJF_T(A135*60,K135,I135,J135,"")</f>
        <v>0.29163473791431987</v>
      </c>
      <c r="M135">
        <f t="shared" si="44"/>
        <v>3.4289467954047113</v>
      </c>
    </row>
    <row r="136" spans="1:13" x14ac:dyDescent="0.3">
      <c r="A136">
        <v>216</v>
      </c>
      <c r="B136">
        <f t="shared" si="41"/>
        <v>0.73864481571071661</v>
      </c>
      <c r="C136">
        <f t="shared" si="37"/>
        <v>0.73864481571071661</v>
      </c>
      <c r="D136" t="s">
        <v>34</v>
      </c>
      <c r="E136" t="s">
        <v>19</v>
      </c>
      <c r="F136">
        <v>1</v>
      </c>
      <c r="G136">
        <f t="shared" si="42"/>
        <v>60</v>
      </c>
      <c r="I136">
        <v>2100</v>
      </c>
      <c r="J136" t="s">
        <v>31</v>
      </c>
      <c r="K136">
        <f t="shared" si="43"/>
        <v>62.5</v>
      </c>
      <c r="L136" cm="1">
        <f t="array" ref="L136">STOWA2024_NDJF_T(A136*60,K136,I136,J136,"")</f>
        <v>0.37170548419763044</v>
      </c>
      <c r="M136">
        <f t="shared" si="44"/>
        <v>2.6903019796939946</v>
      </c>
    </row>
    <row r="137" spans="1:13" x14ac:dyDescent="0.3">
      <c r="A137">
        <v>216</v>
      </c>
      <c r="B137">
        <f t="shared" si="41"/>
        <v>0.58745863166986823</v>
      </c>
      <c r="C137">
        <f t="shared" si="37"/>
        <v>0.58745863166986823</v>
      </c>
      <c r="D137" t="s">
        <v>34</v>
      </c>
      <c r="E137" t="s">
        <v>19</v>
      </c>
      <c r="F137">
        <v>1</v>
      </c>
      <c r="G137">
        <f t="shared" si="42"/>
        <v>65</v>
      </c>
      <c r="I137">
        <v>2100</v>
      </c>
      <c r="J137" t="s">
        <v>31</v>
      </c>
      <c r="K137">
        <f t="shared" si="43"/>
        <v>67.5</v>
      </c>
      <c r="L137" cm="1">
        <f t="array" ref="L137">STOWA2024_NDJF_T(A137*60,K137,I137,J137,"")</f>
        <v>0.47554659786694048</v>
      </c>
      <c r="M137">
        <f t="shared" si="44"/>
        <v>2.1028433480241264</v>
      </c>
    </row>
    <row r="138" spans="1:13" x14ac:dyDescent="0.3">
      <c r="A138">
        <v>216</v>
      </c>
      <c r="B138">
        <f t="shared" si="41"/>
        <v>0.46555852980262791</v>
      </c>
      <c r="C138">
        <f t="shared" si="37"/>
        <v>0.46555852980262791</v>
      </c>
      <c r="D138" t="s">
        <v>34</v>
      </c>
      <c r="E138" t="s">
        <v>19</v>
      </c>
      <c r="F138">
        <v>1</v>
      </c>
      <c r="G138">
        <f t="shared" si="42"/>
        <v>70</v>
      </c>
      <c r="I138">
        <v>2100</v>
      </c>
      <c r="J138" t="s">
        <v>31</v>
      </c>
      <c r="K138">
        <f t="shared" si="43"/>
        <v>72.5</v>
      </c>
      <c r="L138" cm="1">
        <f t="array" ref="L138">STOWA2024_NDJF_T(A138*60,K138,I138,J138,"")</f>
        <v>0.61076728304746053</v>
      </c>
      <c r="M138">
        <f t="shared" si="44"/>
        <v>1.6372848182214985</v>
      </c>
    </row>
    <row r="139" spans="1:13" x14ac:dyDescent="0.3">
      <c r="A139">
        <v>216</v>
      </c>
      <c r="B139">
        <f t="shared" si="41"/>
        <v>0.36758321180301801</v>
      </c>
      <c r="C139">
        <f t="shared" si="37"/>
        <v>0.36758321180301801</v>
      </c>
      <c r="D139" t="s">
        <v>34</v>
      </c>
      <c r="E139" t="s">
        <v>19</v>
      </c>
      <c r="F139">
        <v>1</v>
      </c>
      <c r="G139">
        <f t="shared" si="42"/>
        <v>75</v>
      </c>
      <c r="I139">
        <v>2100</v>
      </c>
      <c r="J139" t="s">
        <v>31</v>
      </c>
      <c r="K139">
        <f t="shared" si="43"/>
        <v>77.5</v>
      </c>
      <c r="L139" cm="1">
        <f t="array" ref="L139">STOWA2024_NDJF_T(A139*60,K139,I139,J139,"")</f>
        <v>0.78758662267172896</v>
      </c>
      <c r="M139">
        <f t="shared" si="44"/>
        <v>1.2697016064184805</v>
      </c>
    </row>
    <row r="140" spans="1:13" x14ac:dyDescent="0.3">
      <c r="A140">
        <v>216</v>
      </c>
      <c r="B140">
        <f t="shared" si="41"/>
        <v>0.28905740201263519</v>
      </c>
      <c r="C140">
        <f t="shared" si="37"/>
        <v>0.28905740201263519</v>
      </c>
      <c r="D140" t="s">
        <v>34</v>
      </c>
      <c r="E140" t="s">
        <v>19</v>
      </c>
      <c r="F140">
        <v>1</v>
      </c>
      <c r="G140">
        <f t="shared" si="42"/>
        <v>80</v>
      </c>
      <c r="I140">
        <v>2100</v>
      </c>
      <c r="J140" t="s">
        <v>31</v>
      </c>
      <c r="K140">
        <f t="shared" si="43"/>
        <v>82.5</v>
      </c>
      <c r="L140" cm="1">
        <f t="array" ref="L140">STOWA2024_NDJF_T(A140*60,K140,I140,J140,"")</f>
        <v>1.0197378371352146</v>
      </c>
      <c r="M140">
        <f t="shared" si="44"/>
        <v>0.98064420440584532</v>
      </c>
    </row>
    <row r="141" spans="1:13" x14ac:dyDescent="0.3">
      <c r="A141">
        <v>216</v>
      </c>
      <c r="B141">
        <f t="shared" si="41"/>
        <v>0.22653250714100126</v>
      </c>
      <c r="C141">
        <f t="shared" si="37"/>
        <v>0.22653250714100126</v>
      </c>
      <c r="D141" t="s">
        <v>34</v>
      </c>
      <c r="E141" t="s">
        <v>19</v>
      </c>
      <c r="F141">
        <v>1</v>
      </c>
      <c r="G141">
        <f t="shared" si="42"/>
        <v>85</v>
      </c>
      <c r="I141">
        <v>2100</v>
      </c>
      <c r="J141" t="s">
        <v>31</v>
      </c>
      <c r="K141">
        <f t="shared" si="43"/>
        <v>87.5</v>
      </c>
      <c r="L141" cm="1">
        <f t="array" ref="L141">STOWA2024_NDJF_T(A141*60,K141,I141,J141,"")</f>
        <v>1.3260635044211493</v>
      </c>
      <c r="M141">
        <f t="shared" si="44"/>
        <v>0.75411169726484406</v>
      </c>
    </row>
    <row r="142" spans="1:13" x14ac:dyDescent="0.3">
      <c r="A142">
        <v>216</v>
      </c>
      <c r="B142">
        <f t="shared" si="41"/>
        <v>0.17676013493966913</v>
      </c>
      <c r="C142">
        <f t="shared" si="37"/>
        <v>0.17676013493966913</v>
      </c>
      <c r="D142" t="s">
        <v>34</v>
      </c>
      <c r="E142" t="s">
        <v>19</v>
      </c>
      <c r="F142">
        <v>1</v>
      </c>
      <c r="G142">
        <f t="shared" si="42"/>
        <v>90</v>
      </c>
      <c r="I142">
        <v>2100</v>
      </c>
      <c r="J142" t="s">
        <v>31</v>
      </c>
      <c r="K142">
        <f t="shared" si="43"/>
        <v>92.5</v>
      </c>
      <c r="L142" cm="1">
        <f t="array" ref="L142">STOWA2024_NDJF_T(A142*60,K142,I142,J142,"")</f>
        <v>1.7320469281709188</v>
      </c>
      <c r="M142">
        <f t="shared" si="44"/>
        <v>0.57735156232517493</v>
      </c>
    </row>
    <row r="143" spans="1:13" x14ac:dyDescent="0.3">
      <c r="A143">
        <v>216</v>
      </c>
      <c r="B143">
        <f t="shared" si="41"/>
        <v>0.13733991689858172</v>
      </c>
      <c r="C143">
        <f t="shared" si="37"/>
        <v>0.13733991689858172</v>
      </c>
      <c r="D143" t="s">
        <v>34</v>
      </c>
      <c r="E143" t="s">
        <v>19</v>
      </c>
      <c r="F143">
        <v>1</v>
      </c>
      <c r="G143">
        <f t="shared" si="42"/>
        <v>95</v>
      </c>
      <c r="I143">
        <v>2100</v>
      </c>
      <c r="J143" t="s">
        <v>31</v>
      </c>
      <c r="K143">
        <f t="shared" si="43"/>
        <v>97.5</v>
      </c>
      <c r="L143" cm="1">
        <f t="array" ref="L143">STOWA2024_NDJF_T(A143*60,K143,I143,J143,"")</f>
        <v>2.2726671223224004</v>
      </c>
      <c r="M143">
        <f t="shared" si="44"/>
        <v>0.44001164542659321</v>
      </c>
    </row>
    <row r="144" spans="1:13" x14ac:dyDescent="0.3">
      <c r="A144">
        <v>216</v>
      </c>
      <c r="B144">
        <f t="shared" si="41"/>
        <v>0.10625545334236186</v>
      </c>
      <c r="C144">
        <f t="shared" si="37"/>
        <v>0.10625545334236186</v>
      </c>
      <c r="D144" t="s">
        <v>34</v>
      </c>
      <c r="E144" t="s">
        <v>19</v>
      </c>
      <c r="F144">
        <v>1</v>
      </c>
      <c r="G144">
        <f t="shared" si="42"/>
        <v>100</v>
      </c>
      <c r="I144">
        <v>2100</v>
      </c>
      <c r="J144" t="s">
        <v>31</v>
      </c>
      <c r="K144">
        <f t="shared" si="43"/>
        <v>102.5</v>
      </c>
      <c r="L144" cm="1">
        <f t="array" ref="L144">STOWA2024_NDJF_T(A144*60,K144,I144,J144,"")</f>
        <v>2.996199092982299</v>
      </c>
      <c r="M144">
        <f t="shared" si="44"/>
        <v>0.33375619208423135</v>
      </c>
    </row>
    <row r="145" spans="1:13" x14ac:dyDescent="0.3">
      <c r="A145">
        <v>216</v>
      </c>
      <c r="B145">
        <f t="shared" si="41"/>
        <v>8.1833500310413088E-2</v>
      </c>
      <c r="C145">
        <f t="shared" si="37"/>
        <v>8.1833500310413088E-2</v>
      </c>
      <c r="D145" t="s">
        <v>34</v>
      </c>
      <c r="E145" t="s">
        <v>19</v>
      </c>
      <c r="F145">
        <v>1</v>
      </c>
      <c r="G145">
        <f t="shared" si="42"/>
        <v>105</v>
      </c>
      <c r="I145">
        <v>2100</v>
      </c>
      <c r="J145" t="s">
        <v>31</v>
      </c>
      <c r="K145">
        <f t="shared" si="43"/>
        <v>107.5</v>
      </c>
      <c r="L145" cm="1">
        <f t="array" ref="L145">STOWA2024_NDJF_T(A145*60,K145,I145,J145,"")</f>
        <v>3.9694717175292094</v>
      </c>
      <c r="M145">
        <f t="shared" si="44"/>
        <v>0.25192269177381826</v>
      </c>
    </row>
    <row r="146" spans="1:13" x14ac:dyDescent="0.3">
      <c r="A146">
        <v>216</v>
      </c>
      <c r="B146">
        <f t="shared" si="41"/>
        <v>6.2731233863605157E-2</v>
      </c>
      <c r="C146">
        <f t="shared" si="37"/>
        <v>6.2731233863605157E-2</v>
      </c>
      <c r="D146" t="s">
        <v>34</v>
      </c>
      <c r="E146" t="s">
        <v>19</v>
      </c>
      <c r="F146">
        <v>1</v>
      </c>
      <c r="G146">
        <f t="shared" si="42"/>
        <v>110</v>
      </c>
      <c r="I146">
        <v>2100</v>
      </c>
      <c r="J146" t="s">
        <v>31</v>
      </c>
      <c r="K146">
        <f t="shared" si="43"/>
        <v>112.5</v>
      </c>
      <c r="L146" cm="1">
        <f t="array" ref="L146">STOWA2024_NDJF_T(A146*60,K146,I146,J146,"")</f>
        <v>5.2856509011869983</v>
      </c>
      <c r="M146">
        <f t="shared" si="44"/>
        <v>0.18919145791021311</v>
      </c>
    </row>
    <row r="147" spans="1:13" x14ac:dyDescent="0.3">
      <c r="A147">
        <v>216</v>
      </c>
      <c r="B147">
        <f t="shared" si="41"/>
        <v>4.7855995310054716E-2</v>
      </c>
      <c r="C147">
        <f t="shared" si="37"/>
        <v>4.7855995310054716E-2</v>
      </c>
      <c r="D147" t="s">
        <v>34</v>
      </c>
      <c r="E147" t="s">
        <v>19</v>
      </c>
      <c r="F147">
        <v>1</v>
      </c>
      <c r="G147">
        <f t="shared" si="42"/>
        <v>115</v>
      </c>
      <c r="I147">
        <v>2100</v>
      </c>
      <c r="J147" t="s">
        <v>31</v>
      </c>
      <c r="K147">
        <f t="shared" si="43"/>
        <v>117.5</v>
      </c>
      <c r="L147" cm="1">
        <f t="array" ref="L147">STOWA2024_NDJF_T(A147*60,K147,I147,J147,"")</f>
        <v>7.0753651037250664</v>
      </c>
      <c r="M147">
        <f t="shared" si="44"/>
        <v>0.14133546260015839</v>
      </c>
    </row>
    <row r="148" spans="1:13" x14ac:dyDescent="0.3">
      <c r="A148">
        <v>216</v>
      </c>
      <c r="B148">
        <f t="shared" si="41"/>
        <v>3.6325461025592351E-2</v>
      </c>
      <c r="C148">
        <f t="shared" si="37"/>
        <v>3.6325461025592351E-2</v>
      </c>
      <c r="D148" t="s">
        <v>34</v>
      </c>
      <c r="E148" t="s">
        <v>19</v>
      </c>
      <c r="F148">
        <v>1</v>
      </c>
      <c r="G148">
        <f t="shared" si="42"/>
        <v>120</v>
      </c>
      <c r="I148">
        <v>2100</v>
      </c>
      <c r="J148" t="s">
        <v>31</v>
      </c>
      <c r="K148">
        <f t="shared" si="43"/>
        <v>122.5</v>
      </c>
      <c r="L148" cm="1">
        <f t="array" ref="L148">STOWA2024_NDJF_T(A148*60,K148,I148,J148,"")</f>
        <v>9.5229024379160201</v>
      </c>
      <c r="M148">
        <f t="shared" si="44"/>
        <v>0.10501000157456604</v>
      </c>
    </row>
    <row r="149" spans="1:13" x14ac:dyDescent="0.3">
      <c r="A149">
        <v>216</v>
      </c>
      <c r="B149">
        <f t="shared" si="41"/>
        <v>2.7430014951477524E-2</v>
      </c>
      <c r="C149">
        <f t="shared" si="37"/>
        <v>2.7430014951477524E-2</v>
      </c>
      <c r="D149" t="s">
        <v>34</v>
      </c>
      <c r="E149" t="s">
        <v>19</v>
      </c>
      <c r="F149">
        <v>1</v>
      </c>
      <c r="G149">
        <f t="shared" si="42"/>
        <v>125</v>
      </c>
      <c r="I149">
        <v>2100</v>
      </c>
      <c r="J149" t="s">
        <v>31</v>
      </c>
      <c r="K149">
        <f t="shared" si="43"/>
        <v>127.5</v>
      </c>
      <c r="L149" cm="1">
        <f t="array" ref="L149">STOWA2024_NDJF_T(A149*60,K149,I149,J149,"")</f>
        <v>12.889922305070247</v>
      </c>
      <c r="M149">
        <f t="shared" si="44"/>
        <v>7.7579986623088515E-2</v>
      </c>
    </row>
    <row r="150" spans="1:13" x14ac:dyDescent="0.3">
      <c r="A150">
        <v>216</v>
      </c>
      <c r="B150">
        <f t="shared" si="41"/>
        <v>2.0601277828570103E-2</v>
      </c>
      <c r="C150">
        <f t="shared" si="37"/>
        <v>2.0601277828570103E-2</v>
      </c>
      <c r="D150" t="s">
        <v>34</v>
      </c>
      <c r="E150" t="s">
        <v>19</v>
      </c>
      <c r="F150">
        <v>1</v>
      </c>
      <c r="G150">
        <f t="shared" si="42"/>
        <v>130</v>
      </c>
      <c r="I150">
        <v>2100</v>
      </c>
      <c r="J150" t="s">
        <v>31</v>
      </c>
      <c r="K150">
        <f t="shared" si="43"/>
        <v>132.5</v>
      </c>
      <c r="L150" cm="1">
        <f t="array" ref="L150">STOWA2024_NDJF_T(A150*60,K150,I150,J150,"")</f>
        <v>17.550415254341534</v>
      </c>
      <c r="M150">
        <f t="shared" si="44"/>
        <v>5.6978708794518412E-2</v>
      </c>
    </row>
    <row r="151" spans="1:13" x14ac:dyDescent="0.3">
      <c r="A151">
        <v>216</v>
      </c>
      <c r="B151">
        <f t="shared" si="41"/>
        <v>1.538591877250247E-2</v>
      </c>
      <c r="C151">
        <f t="shared" si="37"/>
        <v>1.538591877250247E-2</v>
      </c>
      <c r="D151" t="s">
        <v>34</v>
      </c>
      <c r="E151" t="s">
        <v>19</v>
      </c>
      <c r="F151">
        <v>1</v>
      </c>
      <c r="G151">
        <f t="shared" si="42"/>
        <v>135</v>
      </c>
      <c r="I151">
        <v>2100</v>
      </c>
      <c r="J151" t="s">
        <v>31</v>
      </c>
      <c r="K151">
        <f t="shared" si="43"/>
        <v>137.5</v>
      </c>
      <c r="L151" cm="1">
        <f t="array" ref="L151">STOWA2024_NDJF_T(A151*60,K151,I151,J151,"")</f>
        <v>24.042628529384032</v>
      </c>
      <c r="M151">
        <f t="shared" si="44"/>
        <v>4.1592790022015942E-2</v>
      </c>
    </row>
    <row r="152" spans="1:13" x14ac:dyDescent="0.3">
      <c r="A152">
        <v>216</v>
      </c>
      <c r="B152">
        <f t="shared" si="41"/>
        <v>1.1424165944220268E-2</v>
      </c>
      <c r="C152">
        <f t="shared" si="37"/>
        <v>1.1424165944220268E-2</v>
      </c>
      <c r="D152" t="s">
        <v>34</v>
      </c>
      <c r="E152" t="s">
        <v>19</v>
      </c>
      <c r="F152">
        <v>1</v>
      </c>
      <c r="G152">
        <f t="shared" si="42"/>
        <v>140</v>
      </c>
      <c r="I152">
        <v>2100</v>
      </c>
      <c r="J152" t="s">
        <v>31</v>
      </c>
      <c r="K152">
        <f t="shared" si="43"/>
        <v>142.5</v>
      </c>
      <c r="L152" cm="1">
        <f t="array" ref="L152">STOWA2024_NDJF_T(A152*60,K152,I152,J152,"")</f>
        <v>33.147020474692688</v>
      </c>
      <c r="M152">
        <f t="shared" si="44"/>
        <v>3.0168624077795674E-2</v>
      </c>
    </row>
    <row r="153" spans="1:13" x14ac:dyDescent="0.3">
      <c r="A153">
        <v>216</v>
      </c>
      <c r="B153">
        <f t="shared" si="41"/>
        <v>8.43091137491353E-3</v>
      </c>
      <c r="C153">
        <f t="shared" si="37"/>
        <v>8.43091137491353E-3</v>
      </c>
      <c r="D153" t="s">
        <v>34</v>
      </c>
      <c r="E153" t="s">
        <v>19</v>
      </c>
      <c r="F153">
        <v>1</v>
      </c>
      <c r="G153">
        <f t="shared" si="42"/>
        <v>145</v>
      </c>
      <c r="I153">
        <v>2100</v>
      </c>
      <c r="J153" t="s">
        <v>31</v>
      </c>
      <c r="K153">
        <f t="shared" si="43"/>
        <v>147.5</v>
      </c>
      <c r="L153" cm="1">
        <f t="array" ref="L153">STOWA2024_NDJF_T(A153*60,K153,I153,J153,"")</f>
        <v>46.00300011635597</v>
      </c>
      <c r="M153">
        <f t="shared" si="44"/>
        <v>2.1737712702882144E-2</v>
      </c>
    </row>
    <row r="154" spans="1:13" x14ac:dyDescent="0.3">
      <c r="A154">
        <v>216</v>
      </c>
      <c r="B154">
        <f t="shared" si="41"/>
        <v>6.1826552356401554E-3</v>
      </c>
      <c r="C154">
        <f t="shared" si="37"/>
        <v>6.1826552356401554E-3</v>
      </c>
      <c r="D154" t="s">
        <v>34</v>
      </c>
      <c r="E154" t="s">
        <v>19</v>
      </c>
      <c r="F154">
        <v>1</v>
      </c>
      <c r="G154">
        <f t="shared" si="42"/>
        <v>150</v>
      </c>
      <c r="I154">
        <v>2100</v>
      </c>
      <c r="J154" t="s">
        <v>31</v>
      </c>
      <c r="K154">
        <f t="shared" si="43"/>
        <v>152.5</v>
      </c>
      <c r="L154" cm="1">
        <f t="array" ref="L154">STOWA2024_NDJF_T(A154*60,K154,I154,J154,"")</f>
        <v>64.287772777820948</v>
      </c>
      <c r="M154">
        <f t="shared" si="44"/>
        <v>1.5555057467241989E-2</v>
      </c>
    </row>
    <row r="155" spans="1:13" x14ac:dyDescent="0.3">
      <c r="A155">
        <v>216</v>
      </c>
      <c r="B155">
        <f t="shared" si="41"/>
        <v>4.504178054300579E-3</v>
      </c>
      <c r="C155">
        <f t="shared" si="37"/>
        <v>4.504178054300579E-3</v>
      </c>
      <c r="D155" t="s">
        <v>34</v>
      </c>
      <c r="E155" t="s">
        <v>19</v>
      </c>
      <c r="F155">
        <v>1</v>
      </c>
      <c r="G155">
        <f t="shared" si="42"/>
        <v>155</v>
      </c>
      <c r="I155">
        <v>2100</v>
      </c>
      <c r="J155" t="s">
        <v>31</v>
      </c>
      <c r="K155">
        <f t="shared" si="43"/>
        <v>157.5</v>
      </c>
      <c r="L155" cm="1">
        <f t="array" ref="L155">STOWA2024_NDJF_T(A155*60,K155,I155,J155,"")</f>
        <v>90.490535877979525</v>
      </c>
      <c r="M155">
        <f t="shared" si="44"/>
        <v>1.105087941294141E-2</v>
      </c>
    </row>
    <row r="156" spans="1:13" x14ac:dyDescent="0.3">
      <c r="A156">
        <v>216</v>
      </c>
      <c r="B156" s="1">
        <f>M155</f>
        <v>1.105087941294141E-2</v>
      </c>
      <c r="C156">
        <f t="shared" si="37"/>
        <v>1.105087941294141E-2</v>
      </c>
      <c r="D156" t="s">
        <v>34</v>
      </c>
      <c r="E156" t="s">
        <v>19</v>
      </c>
      <c r="F156">
        <v>1</v>
      </c>
      <c r="G156">
        <f t="shared" si="42"/>
        <v>160</v>
      </c>
      <c r="I156">
        <v>2100</v>
      </c>
      <c r="J156" t="s">
        <v>31</v>
      </c>
      <c r="K156">
        <f>AVERAGE(G156:G157)</f>
        <v>160</v>
      </c>
      <c r="L156" cm="1">
        <f t="array" ref="L156">STOWA2024_NDJF_T(A156*60,K156,I156,J156,"")</f>
        <v>107.66030522420064</v>
      </c>
      <c r="M156">
        <f>1/L156</f>
        <v>9.2884745024409705E-3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56"/>
  <sheetViews>
    <sheetView workbookViewId="0">
      <selection activeCell="J23" sqref="J2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346.23789534239438</v>
      </c>
      <c r="C2">
        <f>B2</f>
        <v>346.23789534239438</v>
      </c>
      <c r="D2" t="s">
        <v>35</v>
      </c>
      <c r="E2" t="s">
        <v>21</v>
      </c>
      <c r="F2">
        <v>1</v>
      </c>
      <c r="G2">
        <v>10</v>
      </c>
      <c r="I2">
        <v>2150</v>
      </c>
      <c r="J2" t="s">
        <v>28</v>
      </c>
      <c r="K2">
        <f>AVERAGE(G2:G4)</f>
        <v>15</v>
      </c>
      <c r="L2" cm="1">
        <f t="array" ref="L2">STOWA2024_JAARROND_T(A2*60,K2,I2,J2,"")</f>
        <v>5.2598069388386195E-2</v>
      </c>
      <c r="M2">
        <f>1/L2</f>
        <v>19.012104657605605</v>
      </c>
    </row>
    <row r="3" spans="1:13" x14ac:dyDescent="0.3">
      <c r="A3">
        <v>24</v>
      </c>
      <c r="B3">
        <f t="shared" ref="B3:B7" si="0">M2-M3</f>
        <v>5.4452886961448268</v>
      </c>
      <c r="C3">
        <f t="shared" ref="C3:C32" si="1">B3</f>
        <v>5.4452886961448268</v>
      </c>
      <c r="D3" t="s">
        <v>35</v>
      </c>
      <c r="E3" t="s">
        <v>21</v>
      </c>
      <c r="F3">
        <v>1</v>
      </c>
      <c r="G3">
        <f t="shared" ref="G3:G7" si="2">G2+5</f>
        <v>15</v>
      </c>
      <c r="I3">
        <v>2150</v>
      </c>
      <c r="J3" t="s">
        <v>28</v>
      </c>
      <c r="K3">
        <f t="shared" ref="K3:K7" si="3">AVERAGE(G3:G4)</f>
        <v>17.5</v>
      </c>
      <c r="L3" cm="1">
        <f t="array" ref="L3">STOWA2024_JAARROND_T(A3*60,K3,I3,J3,"")</f>
        <v>7.3709262574261913E-2</v>
      </c>
      <c r="M3">
        <f t="shared" ref="M3:M7" si="4">1/L3</f>
        <v>13.566815961460778</v>
      </c>
    </row>
    <row r="4" spans="1:13" x14ac:dyDescent="0.3">
      <c r="A4">
        <v>24</v>
      </c>
      <c r="B4">
        <f t="shared" si="0"/>
        <v>6.3503007293313196</v>
      </c>
      <c r="C4">
        <f t="shared" si="1"/>
        <v>6.3503007293313196</v>
      </c>
      <c r="D4" t="s">
        <v>35</v>
      </c>
      <c r="E4" t="s">
        <v>21</v>
      </c>
      <c r="F4">
        <v>1</v>
      </c>
      <c r="G4">
        <f t="shared" si="2"/>
        <v>20</v>
      </c>
      <c r="I4">
        <v>2150</v>
      </c>
      <c r="J4" t="s">
        <v>28</v>
      </c>
      <c r="K4">
        <f t="shared" si="3"/>
        <v>22.5</v>
      </c>
      <c r="L4" cm="1">
        <f t="array" ref="L4">STOWA2024_JAARROND_T(A4*60,K4,I4,J4,"")</f>
        <v>0.13857103710497107</v>
      </c>
      <c r="M4">
        <f t="shared" si="4"/>
        <v>7.2165152321294581</v>
      </c>
    </row>
    <row r="5" spans="1:13" x14ac:dyDescent="0.3">
      <c r="A5">
        <v>24</v>
      </c>
      <c r="B5">
        <f t="shared" si="0"/>
        <v>3.1790648649207727</v>
      </c>
      <c r="C5">
        <f t="shared" si="1"/>
        <v>3.1790648649207727</v>
      </c>
      <c r="D5" t="s">
        <v>35</v>
      </c>
      <c r="E5" t="s">
        <v>21</v>
      </c>
      <c r="F5">
        <v>1</v>
      </c>
      <c r="G5">
        <f t="shared" si="2"/>
        <v>25</v>
      </c>
      <c r="I5">
        <v>2150</v>
      </c>
      <c r="J5" t="s">
        <v>28</v>
      </c>
      <c r="K5">
        <f t="shared" si="3"/>
        <v>27.5</v>
      </c>
      <c r="L5" cm="1">
        <f t="array" ref="L5">STOWA2024_JAARROND_T(A5*60,K5,I5,J5,"")</f>
        <v>0.24768106330712761</v>
      </c>
      <c r="M5">
        <f t="shared" si="4"/>
        <v>4.0374503672086854</v>
      </c>
    </row>
    <row r="6" spans="1:13" x14ac:dyDescent="0.3">
      <c r="A6">
        <v>24</v>
      </c>
      <c r="B6">
        <f t="shared" si="0"/>
        <v>1.6794343264824176</v>
      </c>
      <c r="C6">
        <f t="shared" si="1"/>
        <v>1.6794343264824176</v>
      </c>
      <c r="D6" t="s">
        <v>35</v>
      </c>
      <c r="E6" t="s">
        <v>21</v>
      </c>
      <c r="F6">
        <v>1</v>
      </c>
      <c r="G6">
        <f t="shared" si="2"/>
        <v>30</v>
      </c>
      <c r="I6">
        <v>2150</v>
      </c>
      <c r="J6" t="s">
        <v>28</v>
      </c>
      <c r="K6">
        <f t="shared" si="3"/>
        <v>32.5</v>
      </c>
      <c r="L6" cm="1">
        <f t="array" ref="L6">STOWA2024_JAARROND_T(A6*60,K6,I6,J6,"")</f>
        <v>0.42408532542976274</v>
      </c>
      <c r="M6">
        <f t="shared" si="4"/>
        <v>2.3580160407262678</v>
      </c>
    </row>
    <row r="7" spans="1:13" x14ac:dyDescent="0.3">
      <c r="A7">
        <v>24</v>
      </c>
      <c r="B7">
        <f t="shared" si="0"/>
        <v>0.92882459017753582</v>
      </c>
      <c r="C7">
        <f t="shared" si="1"/>
        <v>0.92882459017753582</v>
      </c>
      <c r="D7" t="s">
        <v>35</v>
      </c>
      <c r="E7" t="s">
        <v>21</v>
      </c>
      <c r="F7">
        <v>1</v>
      </c>
      <c r="G7">
        <f t="shared" si="2"/>
        <v>35</v>
      </c>
      <c r="I7">
        <v>2150</v>
      </c>
      <c r="J7" t="s">
        <v>28</v>
      </c>
      <c r="K7">
        <f t="shared" si="3"/>
        <v>37.5</v>
      </c>
      <c r="L7" cm="1">
        <f t="array" ref="L7">STOWA2024_JAARROND_T(A7*60,K7,I7,J7,"")</f>
        <v>0.69969632103246504</v>
      </c>
      <c r="M7">
        <f t="shared" si="4"/>
        <v>1.429191450548732</v>
      </c>
    </row>
    <row r="8" spans="1:13" x14ac:dyDescent="0.3">
      <c r="A8">
        <v>24</v>
      </c>
      <c r="B8">
        <f>M7-M8</f>
        <v>0.53443933294293511</v>
      </c>
      <c r="C8">
        <f t="shared" si="1"/>
        <v>0.53443933294293511</v>
      </c>
      <c r="D8" t="s">
        <v>35</v>
      </c>
      <c r="E8" t="s">
        <v>21</v>
      </c>
      <c r="F8">
        <v>1</v>
      </c>
      <c r="G8">
        <f>G7+5</f>
        <v>40</v>
      </c>
      <c r="I8">
        <v>2150</v>
      </c>
      <c r="J8" t="s">
        <v>28</v>
      </c>
      <c r="K8">
        <f>AVERAGE(G8:G9)</f>
        <v>42.5</v>
      </c>
      <c r="L8" cm="1">
        <f t="array" ref="L8">STOWA2024_JAARROND_T(A8*60,K8,I8,J8,"")</f>
        <v>1.117627977987723</v>
      </c>
      <c r="M8">
        <f>1/L8</f>
        <v>0.89475211760579687</v>
      </c>
    </row>
    <row r="9" spans="1:13" x14ac:dyDescent="0.3">
      <c r="A9">
        <v>24</v>
      </c>
      <c r="B9">
        <f t="shared" ref="B9:B31" si="5">M8-M9</f>
        <v>0.31853877627307003</v>
      </c>
      <c r="C9">
        <f t="shared" si="1"/>
        <v>0.31853877627307003</v>
      </c>
      <c r="D9" t="s">
        <v>35</v>
      </c>
      <c r="E9" t="s">
        <v>21</v>
      </c>
      <c r="F9">
        <v>1</v>
      </c>
      <c r="G9">
        <f t="shared" ref="G9:G32" si="6">G8+5</f>
        <v>45</v>
      </c>
      <c r="I9">
        <v>2150</v>
      </c>
      <c r="J9" t="s">
        <v>28</v>
      </c>
      <c r="K9">
        <f t="shared" ref="K9:K31" si="7">AVERAGE(G9:G10)</f>
        <v>47.5</v>
      </c>
      <c r="L9" cm="1">
        <f t="array" ref="L9">STOWA2024_JAARROND_T(A9*60,K9,I9,J9,"")</f>
        <v>1.7354683209644102</v>
      </c>
      <c r="M9">
        <f t="shared" ref="M9:M31" si="8">1/L9</f>
        <v>0.57621334133272684</v>
      </c>
    </row>
    <row r="10" spans="1:13" x14ac:dyDescent="0.3">
      <c r="A10">
        <v>24</v>
      </c>
      <c r="B10">
        <f t="shared" si="5"/>
        <v>0.19569629916595943</v>
      </c>
      <c r="C10">
        <f t="shared" si="1"/>
        <v>0.19569629916595943</v>
      </c>
      <c r="D10" t="s">
        <v>35</v>
      </c>
      <c r="E10" t="s">
        <v>21</v>
      </c>
      <c r="F10">
        <v>1</v>
      </c>
      <c r="G10">
        <f t="shared" si="6"/>
        <v>50</v>
      </c>
      <c r="I10">
        <v>2150</v>
      </c>
      <c r="J10" t="s">
        <v>28</v>
      </c>
      <c r="K10">
        <f t="shared" si="7"/>
        <v>52.5</v>
      </c>
      <c r="L10" cm="1">
        <f t="array" ref="L10">STOWA2024_JAARROND_T(A10*60,K10,I10,J10,"")</f>
        <v>2.6280031882559802</v>
      </c>
      <c r="M10">
        <f t="shared" si="8"/>
        <v>0.38051704216676741</v>
      </c>
    </row>
    <row r="11" spans="1:13" x14ac:dyDescent="0.3">
      <c r="A11">
        <v>24</v>
      </c>
      <c r="B11">
        <f t="shared" si="5"/>
        <v>0.12353645363969767</v>
      </c>
      <c r="C11">
        <f t="shared" si="1"/>
        <v>0.12353645363969767</v>
      </c>
      <c r="D11" t="s">
        <v>35</v>
      </c>
      <c r="E11" t="s">
        <v>21</v>
      </c>
      <c r="F11">
        <v>1</v>
      </c>
      <c r="G11">
        <f t="shared" si="6"/>
        <v>55</v>
      </c>
      <c r="I11">
        <v>2150</v>
      </c>
      <c r="J11" t="s">
        <v>28</v>
      </c>
      <c r="K11">
        <f t="shared" si="7"/>
        <v>57.5</v>
      </c>
      <c r="L11" cm="1">
        <f t="array" ref="L11">STOWA2024_JAARROND_T(A11*60,K11,I11,J11,"")</f>
        <v>3.8913445008888767</v>
      </c>
      <c r="M11">
        <f t="shared" si="8"/>
        <v>0.25698058852706973</v>
      </c>
    </row>
    <row r="12" spans="1:13" x14ac:dyDescent="0.3">
      <c r="A12">
        <v>24</v>
      </c>
      <c r="B12">
        <f t="shared" si="5"/>
        <v>7.9902020883899055E-2</v>
      </c>
      <c r="C12">
        <f t="shared" si="1"/>
        <v>7.9902020883899055E-2</v>
      </c>
      <c r="D12" t="s">
        <v>35</v>
      </c>
      <c r="E12" t="s">
        <v>21</v>
      </c>
      <c r="F12">
        <v>1</v>
      </c>
      <c r="G12">
        <f t="shared" si="6"/>
        <v>60</v>
      </c>
      <c r="I12">
        <v>2150</v>
      </c>
      <c r="J12" t="s">
        <v>28</v>
      </c>
      <c r="K12">
        <f t="shared" si="7"/>
        <v>62.5</v>
      </c>
      <c r="L12" cm="1">
        <f t="array" ref="L12">STOWA2024_JAARROND_T(A12*60,K12,I12,J12,"")</f>
        <v>5.6472108020158061</v>
      </c>
      <c r="M12">
        <f t="shared" si="8"/>
        <v>0.17707856764317068</v>
      </c>
    </row>
    <row r="13" spans="1:13" x14ac:dyDescent="0.3">
      <c r="A13">
        <v>24</v>
      </c>
      <c r="B13">
        <f t="shared" si="5"/>
        <v>5.2823531676352412E-2</v>
      </c>
      <c r="C13">
        <f t="shared" si="1"/>
        <v>5.2823531676352412E-2</v>
      </c>
      <c r="D13" t="s">
        <v>35</v>
      </c>
      <c r="E13" t="s">
        <v>21</v>
      </c>
      <c r="F13">
        <v>1</v>
      </c>
      <c r="G13">
        <f t="shared" si="6"/>
        <v>65</v>
      </c>
      <c r="I13">
        <v>2150</v>
      </c>
      <c r="J13" t="s">
        <v>28</v>
      </c>
      <c r="K13">
        <f t="shared" si="7"/>
        <v>67.5</v>
      </c>
      <c r="L13" cm="1">
        <f t="array" ref="L13">STOWA2024_JAARROND_T(A13*60,K13,I13,J13,"")</f>
        <v>8.0479635470633593</v>
      </c>
      <c r="M13">
        <f t="shared" si="8"/>
        <v>0.12425503596681826</v>
      </c>
    </row>
    <row r="14" spans="1:13" x14ac:dyDescent="0.3">
      <c r="A14">
        <v>24</v>
      </c>
      <c r="B14">
        <f t="shared" si="5"/>
        <v>3.5618704231134765E-2</v>
      </c>
      <c r="C14">
        <f t="shared" si="1"/>
        <v>3.5618704231134765E-2</v>
      </c>
      <c r="D14" t="s">
        <v>35</v>
      </c>
      <c r="E14" t="s">
        <v>21</v>
      </c>
      <c r="F14">
        <v>1</v>
      </c>
      <c r="G14">
        <f t="shared" si="6"/>
        <v>70</v>
      </c>
      <c r="I14">
        <v>2150</v>
      </c>
      <c r="J14" t="s">
        <v>28</v>
      </c>
      <c r="K14">
        <f t="shared" si="7"/>
        <v>72.5</v>
      </c>
      <c r="L14" cm="1">
        <f t="array" ref="L14">STOWA2024_JAARROND_T(A14*60,K14,I14,J14,"")</f>
        <v>11.282055342520643</v>
      </c>
      <c r="M14">
        <f t="shared" si="8"/>
        <v>8.8636331735683499E-2</v>
      </c>
    </row>
    <row r="15" spans="1:13" x14ac:dyDescent="0.3">
      <c r="A15">
        <v>24</v>
      </c>
      <c r="B15">
        <f t="shared" si="5"/>
        <v>2.4452675548516434E-2</v>
      </c>
      <c r="C15">
        <f t="shared" si="1"/>
        <v>2.4452675548516434E-2</v>
      </c>
      <c r="D15" t="s">
        <v>35</v>
      </c>
      <c r="E15" t="s">
        <v>21</v>
      </c>
      <c r="F15">
        <v>1</v>
      </c>
      <c r="G15">
        <f t="shared" si="6"/>
        <v>75</v>
      </c>
      <c r="I15">
        <v>2150</v>
      </c>
      <c r="J15" t="s">
        <v>28</v>
      </c>
      <c r="K15">
        <f t="shared" si="7"/>
        <v>77.5</v>
      </c>
      <c r="L15" cm="1">
        <f t="array" ref="L15">STOWA2024_JAARROND_T(A15*60,K15,I15,J15,"")</f>
        <v>15.580290363700735</v>
      </c>
      <c r="M15">
        <f t="shared" si="8"/>
        <v>6.4183656187167065E-2</v>
      </c>
    </row>
    <row r="16" spans="1:13" x14ac:dyDescent="0.3">
      <c r="A16">
        <v>24</v>
      </c>
      <c r="B16">
        <f t="shared" si="5"/>
        <v>1.7064429225014388E-2</v>
      </c>
      <c r="C16">
        <f t="shared" si="1"/>
        <v>1.7064429225014388E-2</v>
      </c>
      <c r="D16" t="s">
        <v>35</v>
      </c>
      <c r="E16" t="s">
        <v>21</v>
      </c>
      <c r="F16">
        <v>1</v>
      </c>
      <c r="G16">
        <f t="shared" si="6"/>
        <v>80</v>
      </c>
      <c r="I16">
        <v>2150</v>
      </c>
      <c r="J16" t="s">
        <v>28</v>
      </c>
      <c r="K16">
        <f t="shared" si="7"/>
        <v>82.5</v>
      </c>
      <c r="L16" cm="1">
        <f t="array" ref="L16">STOWA2024_JAARROND_T(A16*60,K16,I16,J16,"")</f>
        <v>21.222759040661355</v>
      </c>
      <c r="M16">
        <f t="shared" si="8"/>
        <v>4.7119226962152677E-2</v>
      </c>
    </row>
    <row r="17" spans="1:13" x14ac:dyDescent="0.3">
      <c r="A17">
        <v>24</v>
      </c>
      <c r="B17">
        <f t="shared" si="5"/>
        <v>1.2088341220484751E-2</v>
      </c>
      <c r="C17">
        <f t="shared" si="1"/>
        <v>1.2088341220484751E-2</v>
      </c>
      <c r="D17" t="s">
        <v>35</v>
      </c>
      <c r="E17" t="s">
        <v>21</v>
      </c>
      <c r="F17">
        <v>1</v>
      </c>
      <c r="G17">
        <f t="shared" si="6"/>
        <v>85</v>
      </c>
      <c r="I17">
        <v>2150</v>
      </c>
      <c r="J17" t="s">
        <v>28</v>
      </c>
      <c r="K17">
        <f t="shared" si="7"/>
        <v>87.5</v>
      </c>
      <c r="L17" cm="1">
        <f t="array" ref="L17">STOWA2024_JAARROND_T(A17*60,K17,I17,J17,"")</f>
        <v>28.546237950544811</v>
      </c>
      <c r="M17">
        <f t="shared" si="8"/>
        <v>3.5030885741667926E-2</v>
      </c>
    </row>
    <row r="18" spans="1:13" x14ac:dyDescent="0.3">
      <c r="A18">
        <v>24</v>
      </c>
      <c r="B18">
        <f t="shared" si="5"/>
        <v>8.6830519129236991E-3</v>
      </c>
      <c r="C18">
        <f t="shared" si="1"/>
        <v>8.6830519129236991E-3</v>
      </c>
      <c r="D18" t="s">
        <v>35</v>
      </c>
      <c r="E18" t="s">
        <v>21</v>
      </c>
      <c r="F18">
        <v>1</v>
      </c>
      <c r="G18">
        <f t="shared" si="6"/>
        <v>90</v>
      </c>
      <c r="I18">
        <v>2150</v>
      </c>
      <c r="J18" t="s">
        <v>28</v>
      </c>
      <c r="K18">
        <f t="shared" si="7"/>
        <v>92.5</v>
      </c>
      <c r="L18" cm="1">
        <f t="array" ref="L18">STOWA2024_JAARROND_T(A18*60,K18,I18,J18,"")</f>
        <v>37.953784227568939</v>
      </c>
      <c r="M18">
        <f t="shared" si="8"/>
        <v>2.6347833828744227E-2</v>
      </c>
    </row>
    <row r="19" spans="1:13" x14ac:dyDescent="0.3">
      <c r="A19">
        <v>24</v>
      </c>
      <c r="B19">
        <f t="shared" si="5"/>
        <v>6.3165895284049839E-3</v>
      </c>
      <c r="C19">
        <f t="shared" si="1"/>
        <v>6.3165895284049839E-3</v>
      </c>
      <c r="D19" t="s">
        <v>35</v>
      </c>
      <c r="E19" t="s">
        <v>21</v>
      </c>
      <c r="F19">
        <v>1</v>
      </c>
      <c r="G19">
        <f t="shared" si="6"/>
        <v>95</v>
      </c>
      <c r="I19">
        <v>2150</v>
      </c>
      <c r="J19" t="s">
        <v>28</v>
      </c>
      <c r="K19">
        <f t="shared" si="7"/>
        <v>97.5</v>
      </c>
      <c r="L19" cm="1">
        <f t="array" ref="L19">STOWA2024_JAARROND_T(A19*60,K19,I19,J19,"")</f>
        <v>49.922011084606673</v>
      </c>
      <c r="M19">
        <f t="shared" si="8"/>
        <v>2.0031244300339243E-2</v>
      </c>
    </row>
    <row r="20" spans="1:13" x14ac:dyDescent="0.3">
      <c r="A20">
        <v>24</v>
      </c>
      <c r="B20">
        <f t="shared" si="5"/>
        <v>4.6498153708029281E-3</v>
      </c>
      <c r="C20">
        <f t="shared" si="1"/>
        <v>4.6498153708029281E-3</v>
      </c>
      <c r="D20" t="s">
        <v>35</v>
      </c>
      <c r="E20" t="s">
        <v>21</v>
      </c>
      <c r="F20">
        <v>1</v>
      </c>
      <c r="G20">
        <f t="shared" si="6"/>
        <v>100</v>
      </c>
      <c r="I20">
        <v>2150</v>
      </c>
      <c r="J20" t="s">
        <v>28</v>
      </c>
      <c r="K20">
        <f t="shared" si="7"/>
        <v>102.5</v>
      </c>
      <c r="L20" cm="1">
        <f t="array" ref="L20">STOWA2024_JAARROND_T(A20*60,K20,I20,J20,"")</f>
        <v>65.013465561690552</v>
      </c>
      <c r="M20">
        <f t="shared" si="8"/>
        <v>1.5381428929536315E-2</v>
      </c>
    </row>
    <row r="21" spans="1:13" x14ac:dyDescent="0.3">
      <c r="A21">
        <v>24</v>
      </c>
      <c r="B21">
        <f t="shared" si="5"/>
        <v>3.460668022004702E-3</v>
      </c>
      <c r="C21">
        <f t="shared" si="1"/>
        <v>3.460668022004702E-3</v>
      </c>
      <c r="D21" t="s">
        <v>35</v>
      </c>
      <c r="E21" t="s">
        <v>21</v>
      </c>
      <c r="F21">
        <v>1</v>
      </c>
      <c r="G21">
        <f t="shared" si="6"/>
        <v>105</v>
      </c>
      <c r="I21">
        <v>2150</v>
      </c>
      <c r="J21" t="s">
        <v>28</v>
      </c>
      <c r="K21">
        <f t="shared" si="7"/>
        <v>107.5</v>
      </c>
      <c r="L21" cm="1">
        <f t="array" ref="L21">STOWA2024_JAARROND_T(A21*60,K21,I21,J21,"")</f>
        <v>83.887262546151192</v>
      </c>
      <c r="M21">
        <f t="shared" si="8"/>
        <v>1.1920760907531613E-2</v>
      </c>
    </row>
    <row r="22" spans="1:13" x14ac:dyDescent="0.3">
      <c r="A22">
        <v>24</v>
      </c>
      <c r="B22">
        <f t="shared" si="5"/>
        <v>2.6018553831304494E-3</v>
      </c>
      <c r="C22">
        <f t="shared" si="1"/>
        <v>2.6018553831304494E-3</v>
      </c>
      <c r="D22" t="s">
        <v>35</v>
      </c>
      <c r="E22" t="s">
        <v>21</v>
      </c>
      <c r="F22">
        <v>1</v>
      </c>
      <c r="G22">
        <f t="shared" si="6"/>
        <v>110</v>
      </c>
      <c r="I22">
        <v>2150</v>
      </c>
      <c r="J22" t="s">
        <v>28</v>
      </c>
      <c r="K22">
        <f t="shared" si="7"/>
        <v>112.5</v>
      </c>
      <c r="L22" cm="1">
        <f t="array" ref="L22">STOWA2024_JAARROND_T(A22*60,K22,I22,J22,"")</f>
        <v>107.30873892664133</v>
      </c>
      <c r="M22">
        <f t="shared" si="8"/>
        <v>9.3189055244011637E-3</v>
      </c>
    </row>
    <row r="23" spans="1:13" x14ac:dyDescent="0.3">
      <c r="A23">
        <v>24</v>
      </c>
      <c r="B23">
        <f t="shared" si="5"/>
        <v>1.9749522712418149E-3</v>
      </c>
      <c r="C23">
        <f t="shared" si="1"/>
        <v>1.9749522712418149E-3</v>
      </c>
      <c r="D23" t="s">
        <v>35</v>
      </c>
      <c r="E23" t="s">
        <v>21</v>
      </c>
      <c r="F23">
        <v>1</v>
      </c>
      <c r="G23">
        <f t="shared" si="6"/>
        <v>115</v>
      </c>
      <c r="I23">
        <v>2150</v>
      </c>
      <c r="J23" t="s">
        <v>28</v>
      </c>
      <c r="K23">
        <f t="shared" si="7"/>
        <v>117.5</v>
      </c>
      <c r="L23" cm="1">
        <f t="array" ref="L23">STOWA2024_JAARROND_T(A23*60,K23,I23,J23,"")</f>
        <v>136.16644408375049</v>
      </c>
      <c r="M23">
        <f t="shared" si="8"/>
        <v>7.3439532531593488E-3</v>
      </c>
    </row>
    <row r="24" spans="1:13" x14ac:dyDescent="0.3">
      <c r="A24">
        <v>24</v>
      </c>
      <c r="B24">
        <f t="shared" si="5"/>
        <v>1.5125026147719588E-3</v>
      </c>
      <c r="C24">
        <f t="shared" si="1"/>
        <v>1.5125026147719588E-3</v>
      </c>
      <c r="D24" t="s">
        <v>35</v>
      </c>
      <c r="E24" t="s">
        <v>21</v>
      </c>
      <c r="F24">
        <v>1</v>
      </c>
      <c r="G24">
        <f t="shared" si="6"/>
        <v>120</v>
      </c>
      <c r="I24">
        <v>2150</v>
      </c>
      <c r="J24" t="s">
        <v>28</v>
      </c>
      <c r="K24">
        <f t="shared" si="7"/>
        <v>122.5</v>
      </c>
      <c r="L24" cm="1">
        <f t="array" ref="L24">STOWA2024_JAARROND_T(A24*60,K24,I24,J24,"")</f>
        <v>171.48391746938231</v>
      </c>
      <c r="M24">
        <f t="shared" si="8"/>
        <v>5.83145063838739E-3</v>
      </c>
    </row>
    <row r="25" spans="1:13" x14ac:dyDescent="0.3">
      <c r="A25">
        <v>24</v>
      </c>
      <c r="B25">
        <f t="shared" si="5"/>
        <v>1.1680452463347845E-3</v>
      </c>
      <c r="C25">
        <f t="shared" si="1"/>
        <v>1.1680452463347845E-3</v>
      </c>
      <c r="D25" t="s">
        <v>35</v>
      </c>
      <c r="E25" t="s">
        <v>21</v>
      </c>
      <c r="F25">
        <v>1</v>
      </c>
      <c r="G25">
        <f t="shared" si="6"/>
        <v>125</v>
      </c>
      <c r="I25">
        <v>2150</v>
      </c>
      <c r="J25" t="s">
        <v>28</v>
      </c>
      <c r="K25">
        <f t="shared" si="7"/>
        <v>127.5</v>
      </c>
      <c r="L25" cm="1">
        <f t="array" ref="L25">STOWA2024_JAARROND_T(A25*60,K25,I25,J25,"")</f>
        <v>214.43557141830391</v>
      </c>
      <c r="M25">
        <f t="shared" si="8"/>
        <v>4.6634053920526055E-3</v>
      </c>
    </row>
    <row r="26" spans="1:13" x14ac:dyDescent="0.3">
      <c r="A26">
        <v>24</v>
      </c>
      <c r="B26">
        <f t="shared" si="5"/>
        <v>9.0913252451098846E-4</v>
      </c>
      <c r="C26">
        <f t="shared" si="1"/>
        <v>9.0913252451098846E-4</v>
      </c>
      <c r="D26" t="s">
        <v>35</v>
      </c>
      <c r="E26" t="s">
        <v>21</v>
      </c>
      <c r="F26">
        <v>1</v>
      </c>
      <c r="G26">
        <f t="shared" si="6"/>
        <v>130</v>
      </c>
      <c r="I26">
        <v>2150</v>
      </c>
      <c r="J26" t="s">
        <v>28</v>
      </c>
      <c r="K26">
        <f t="shared" si="7"/>
        <v>132.5</v>
      </c>
      <c r="L26" cm="1">
        <f t="array" ref="L26">STOWA2024_JAARROND_T(A26*60,K26,I26,J26,"")</f>
        <v>266.36316412845684</v>
      </c>
      <c r="M26">
        <f t="shared" si="8"/>
        <v>3.754272867541617E-3</v>
      </c>
    </row>
    <row r="27" spans="1:13" x14ac:dyDescent="0.3">
      <c r="A27">
        <v>24</v>
      </c>
      <c r="B27">
        <f t="shared" si="5"/>
        <v>7.1285004013257837E-4</v>
      </c>
      <c r="C27">
        <f t="shared" si="1"/>
        <v>7.1285004013257837E-4</v>
      </c>
      <c r="D27" t="s">
        <v>35</v>
      </c>
      <c r="E27" t="s">
        <v>21</v>
      </c>
      <c r="F27">
        <v>1</v>
      </c>
      <c r="G27">
        <f t="shared" si="6"/>
        <v>135</v>
      </c>
      <c r="I27">
        <v>2150</v>
      </c>
      <c r="J27" t="s">
        <v>28</v>
      </c>
      <c r="K27">
        <f t="shared" si="7"/>
        <v>137.5</v>
      </c>
      <c r="L27" cm="1">
        <f t="array" ref="L27">STOWA2024_JAARROND_T(A27*60,K27,I27,J27,"")</f>
        <v>328.79348145482658</v>
      </c>
      <c r="M27">
        <f t="shared" si="8"/>
        <v>3.0414228274090386E-3</v>
      </c>
    </row>
    <row r="28" spans="1:13" x14ac:dyDescent="0.3">
      <c r="A28">
        <v>24</v>
      </c>
      <c r="B28">
        <f t="shared" si="5"/>
        <v>5.628298542825678E-4</v>
      </c>
      <c r="C28">
        <f t="shared" si="1"/>
        <v>5.628298542825678E-4</v>
      </c>
      <c r="D28" t="s">
        <v>35</v>
      </c>
      <c r="E28" t="s">
        <v>21</v>
      </c>
      <c r="F28">
        <v>1</v>
      </c>
      <c r="G28">
        <f t="shared" si="6"/>
        <v>140</v>
      </c>
      <c r="I28">
        <v>2150</v>
      </c>
      <c r="J28" t="s">
        <v>28</v>
      </c>
      <c r="K28">
        <f t="shared" si="7"/>
        <v>142.5</v>
      </c>
      <c r="L28" cm="1">
        <f t="array" ref="L28">STOWA2024_JAARROND_T(A28*60,K28,I28,J28,"")</f>
        <v>403.45470629597185</v>
      </c>
      <c r="M28">
        <f t="shared" si="8"/>
        <v>2.4785929731264708E-3</v>
      </c>
    </row>
    <row r="29" spans="1:13" x14ac:dyDescent="0.3">
      <c r="A29">
        <v>24</v>
      </c>
      <c r="B29">
        <f t="shared" si="5"/>
        <v>4.4733843569777845E-4</v>
      </c>
      <c r="C29">
        <f t="shared" si="1"/>
        <v>4.4733843569777845E-4</v>
      </c>
      <c r="D29" t="s">
        <v>35</v>
      </c>
      <c r="E29" t="s">
        <v>21</v>
      </c>
      <c r="F29">
        <v>1</v>
      </c>
      <c r="G29">
        <f t="shared" si="6"/>
        <v>145</v>
      </c>
      <c r="I29">
        <v>2150</v>
      </c>
      <c r="J29" t="s">
        <v>28</v>
      </c>
      <c r="K29">
        <f t="shared" si="7"/>
        <v>147.5</v>
      </c>
      <c r="L29" cm="1">
        <f t="array" ref="L29">STOWA2024_JAARROND_T(A29*60,K29,I29,J29,"")</f>
        <v>492.30659258778655</v>
      </c>
      <c r="M29">
        <f t="shared" si="8"/>
        <v>2.0312545374286924E-3</v>
      </c>
    </row>
    <row r="30" spans="1:13" x14ac:dyDescent="0.3">
      <c r="A30">
        <v>24</v>
      </c>
      <c r="B30">
        <f t="shared" si="5"/>
        <v>3.5774790361017632E-4</v>
      </c>
      <c r="C30">
        <f t="shared" si="1"/>
        <v>3.5774790361017632E-4</v>
      </c>
      <c r="D30" t="s">
        <v>35</v>
      </c>
      <c r="E30" t="s">
        <v>21</v>
      </c>
      <c r="F30">
        <v>1</v>
      </c>
      <c r="G30">
        <f t="shared" si="6"/>
        <v>150</v>
      </c>
      <c r="I30">
        <v>2150</v>
      </c>
      <c r="J30" t="s">
        <v>28</v>
      </c>
      <c r="K30">
        <f t="shared" si="7"/>
        <v>152.5</v>
      </c>
      <c r="L30" cm="1">
        <f t="array" ref="L30">STOWA2024_JAARROND_T(A30*60,K30,I30,J30,"")</f>
        <v>597.54767611422881</v>
      </c>
      <c r="M30">
        <f t="shared" si="8"/>
        <v>1.6735066338185161E-3</v>
      </c>
    </row>
    <row r="31" spans="1:13" x14ac:dyDescent="0.3">
      <c r="A31">
        <v>24</v>
      </c>
      <c r="B31">
        <f t="shared" si="5"/>
        <v>2.8778861937095012E-4</v>
      </c>
      <c r="C31">
        <f t="shared" si="1"/>
        <v>2.8778861937095012E-4</v>
      </c>
      <c r="D31" t="s">
        <v>35</v>
      </c>
      <c r="E31" t="s">
        <v>21</v>
      </c>
      <c r="F31">
        <v>1</v>
      </c>
      <c r="G31">
        <f t="shared" si="6"/>
        <v>155</v>
      </c>
      <c r="I31">
        <v>2150</v>
      </c>
      <c r="J31" t="s">
        <v>28</v>
      </c>
      <c r="K31">
        <f t="shared" si="7"/>
        <v>157.5</v>
      </c>
      <c r="L31" cm="1">
        <f t="array" ref="L31">STOWA2024_JAARROND_T(A31*60,K31,I31,J31,"")</f>
        <v>721.64754269912748</v>
      </c>
      <c r="M31">
        <f t="shared" si="8"/>
        <v>1.3857180144475659E-3</v>
      </c>
    </row>
    <row r="32" spans="1:13" x14ac:dyDescent="0.3">
      <c r="A32">
        <v>24</v>
      </c>
      <c r="B32" s="1">
        <f>M31</f>
        <v>1.3857180144475659E-3</v>
      </c>
      <c r="C32">
        <f t="shared" si="1"/>
        <v>1.3857180144475659E-3</v>
      </c>
      <c r="D32" t="s">
        <v>35</v>
      </c>
      <c r="E32" t="s">
        <v>21</v>
      </c>
      <c r="F32">
        <v>1</v>
      </c>
      <c r="G32">
        <f t="shared" si="6"/>
        <v>160</v>
      </c>
      <c r="I32">
        <v>2150</v>
      </c>
      <c r="J32" t="s">
        <v>28</v>
      </c>
      <c r="K32">
        <f>AVERAGE(G32:G33)</f>
        <v>85</v>
      </c>
      <c r="L32" cm="1">
        <f t="array" ref="L32">STOWA2024_JAARROND_T(A32*60,K32,I32,J32,"")</f>
        <v>24.650961474682131</v>
      </c>
      <c r="M32">
        <f>1/L32</f>
        <v>4.0566369024877751E-2</v>
      </c>
    </row>
    <row r="33" spans="1:13" x14ac:dyDescent="0.3">
      <c r="A33">
        <v>48</v>
      </c>
      <c r="B33" s="1">
        <f>365.25*24/A33 - M33</f>
        <v>152.01056291766938</v>
      </c>
      <c r="C33">
        <f>B33</f>
        <v>152.01056291766938</v>
      </c>
      <c r="D33" t="s">
        <v>35</v>
      </c>
      <c r="E33" t="s">
        <v>21</v>
      </c>
      <c r="F33">
        <v>1</v>
      </c>
      <c r="G33">
        <v>10</v>
      </c>
      <c r="I33">
        <v>2150</v>
      </c>
      <c r="J33" t="s">
        <v>28</v>
      </c>
      <c r="K33">
        <f>AVERAGE(G33:G35)</f>
        <v>15</v>
      </c>
      <c r="L33" cm="1">
        <f t="array" ref="L33">STOWA2024_JAARROND_T(A33*60,K33,I33,J33,"")</f>
        <v>3.2664327529875054E-2</v>
      </c>
      <c r="M33">
        <f>1/L33</f>
        <v>30.614437082330628</v>
      </c>
    </row>
    <row r="34" spans="1:13" x14ac:dyDescent="0.3">
      <c r="A34">
        <v>48</v>
      </c>
      <c r="B34">
        <f t="shared" ref="B34:B38" si="9">M33-M34</f>
        <v>7.6106398633763312</v>
      </c>
      <c r="C34">
        <f t="shared" ref="C34:C63" si="10">B34</f>
        <v>7.6106398633763312</v>
      </c>
      <c r="D34" t="s">
        <v>35</v>
      </c>
      <c r="E34" t="s">
        <v>21</v>
      </c>
      <c r="F34">
        <v>1</v>
      </c>
      <c r="G34">
        <f t="shared" ref="G34:G38" si="11">G33+5</f>
        <v>15</v>
      </c>
      <c r="I34">
        <v>2150</v>
      </c>
      <c r="J34" t="s">
        <v>28</v>
      </c>
      <c r="K34">
        <f t="shared" ref="K34:K38" si="12">AVERAGE(G34:G35)</f>
        <v>17.5</v>
      </c>
      <c r="L34" cm="1">
        <f t="array" ref="L34">STOWA2024_JAARROND_T(A34*60,K34,I34,J34,"")</f>
        <v>4.3471083946785803E-2</v>
      </c>
      <c r="M34">
        <f t="shared" ref="M34:M38" si="13">1/L34</f>
        <v>23.003797218954297</v>
      </c>
    </row>
    <row r="35" spans="1:13" x14ac:dyDescent="0.3">
      <c r="A35">
        <v>48</v>
      </c>
      <c r="B35">
        <f t="shared" si="9"/>
        <v>9.7052204014496866</v>
      </c>
      <c r="C35">
        <f t="shared" si="10"/>
        <v>9.7052204014496866</v>
      </c>
      <c r="D35" t="s">
        <v>35</v>
      </c>
      <c r="E35" t="s">
        <v>21</v>
      </c>
      <c r="F35">
        <v>1</v>
      </c>
      <c r="G35">
        <f t="shared" si="11"/>
        <v>20</v>
      </c>
      <c r="I35">
        <v>2150</v>
      </c>
      <c r="J35" t="s">
        <v>28</v>
      </c>
      <c r="K35">
        <f t="shared" si="12"/>
        <v>22.5</v>
      </c>
      <c r="L35" cm="1">
        <f t="array" ref="L35">STOWA2024_JAARROND_T(A35*60,K35,I35,J35,"")</f>
        <v>7.5196016364978469E-2</v>
      </c>
      <c r="M35">
        <f t="shared" si="13"/>
        <v>13.29857681750461</v>
      </c>
    </row>
    <row r="36" spans="1:13" x14ac:dyDescent="0.3">
      <c r="A36">
        <v>48</v>
      </c>
      <c r="B36">
        <f t="shared" si="9"/>
        <v>5.3866622920770046</v>
      </c>
      <c r="C36">
        <f t="shared" si="10"/>
        <v>5.3866622920770046</v>
      </c>
      <c r="D36" t="s">
        <v>35</v>
      </c>
      <c r="E36" t="s">
        <v>21</v>
      </c>
      <c r="F36">
        <v>1</v>
      </c>
      <c r="G36">
        <f t="shared" si="11"/>
        <v>25</v>
      </c>
      <c r="I36">
        <v>2150</v>
      </c>
      <c r="J36" t="s">
        <v>28</v>
      </c>
      <c r="K36">
        <f t="shared" si="12"/>
        <v>27.5</v>
      </c>
      <c r="L36" cm="1">
        <f t="array" ref="L36">STOWA2024_JAARROND_T(A36*60,K36,I36,J36,"")</f>
        <v>0.12639165865431973</v>
      </c>
      <c r="M36">
        <f t="shared" si="13"/>
        <v>7.9119145254276058</v>
      </c>
    </row>
    <row r="37" spans="1:13" x14ac:dyDescent="0.3">
      <c r="A37">
        <v>48</v>
      </c>
      <c r="B37">
        <f t="shared" si="9"/>
        <v>3.081353650970482</v>
      </c>
      <c r="C37">
        <f t="shared" si="10"/>
        <v>3.081353650970482</v>
      </c>
      <c r="D37" t="s">
        <v>35</v>
      </c>
      <c r="E37" t="s">
        <v>21</v>
      </c>
      <c r="F37">
        <v>1</v>
      </c>
      <c r="G37">
        <f t="shared" si="11"/>
        <v>30</v>
      </c>
      <c r="I37">
        <v>2150</v>
      </c>
      <c r="J37" t="s">
        <v>28</v>
      </c>
      <c r="K37">
        <f t="shared" si="12"/>
        <v>32.5</v>
      </c>
      <c r="L37" cm="1">
        <f t="array" ref="L37">STOWA2024_JAARROND_T(A37*60,K37,I37,J37,"")</f>
        <v>0.20701529822090972</v>
      </c>
      <c r="M37">
        <f t="shared" si="13"/>
        <v>4.8305608744571238</v>
      </c>
    </row>
    <row r="38" spans="1:13" x14ac:dyDescent="0.3">
      <c r="A38">
        <v>48</v>
      </c>
      <c r="B38">
        <f t="shared" si="9"/>
        <v>1.8114752743115115</v>
      </c>
      <c r="C38">
        <f t="shared" si="10"/>
        <v>1.8114752743115115</v>
      </c>
      <c r="D38" t="s">
        <v>35</v>
      </c>
      <c r="E38" t="s">
        <v>21</v>
      </c>
      <c r="F38">
        <v>1</v>
      </c>
      <c r="G38">
        <f t="shared" si="11"/>
        <v>35</v>
      </c>
      <c r="I38">
        <v>2150</v>
      </c>
      <c r="J38" t="s">
        <v>28</v>
      </c>
      <c r="K38">
        <f t="shared" si="12"/>
        <v>37.5</v>
      </c>
      <c r="L38" cm="1">
        <f t="array" ref="L38">STOWA2024_JAARROND_T(A38*60,K38,I38,J38,"")</f>
        <v>0.33122611692486276</v>
      </c>
      <c r="M38">
        <f t="shared" si="13"/>
        <v>3.0190856001456123</v>
      </c>
    </row>
    <row r="39" spans="1:13" x14ac:dyDescent="0.3">
      <c r="A39">
        <v>48</v>
      </c>
      <c r="B39">
        <f>M38-M39</f>
        <v>1.0915709889584313</v>
      </c>
      <c r="C39">
        <f t="shared" si="10"/>
        <v>1.0915709889584313</v>
      </c>
      <c r="D39" t="s">
        <v>35</v>
      </c>
      <c r="E39" t="s">
        <v>21</v>
      </c>
      <c r="F39">
        <v>1</v>
      </c>
      <c r="G39">
        <f>G38+5</f>
        <v>40</v>
      </c>
      <c r="I39">
        <v>2150</v>
      </c>
      <c r="J39" t="s">
        <v>28</v>
      </c>
      <c r="K39">
        <f>AVERAGE(G39:G40)</f>
        <v>42.5</v>
      </c>
      <c r="L39" cm="1">
        <f t="array" ref="L39">STOWA2024_JAARROND_T(A39*60,K39,I39,J39,"")</f>
        <v>0.51880281176394671</v>
      </c>
      <c r="M39">
        <f>1/L39</f>
        <v>1.927514611187181</v>
      </c>
    </row>
    <row r="40" spans="1:13" x14ac:dyDescent="0.3">
      <c r="A40">
        <v>48</v>
      </c>
      <c r="B40">
        <f t="shared" ref="B40:B62" si="14">M39-M40</f>
        <v>0.67273988842260191</v>
      </c>
      <c r="C40">
        <f t="shared" si="10"/>
        <v>0.67273988842260191</v>
      </c>
      <c r="D40" t="s">
        <v>35</v>
      </c>
      <c r="E40" t="s">
        <v>21</v>
      </c>
      <c r="F40">
        <v>1</v>
      </c>
      <c r="G40">
        <f t="shared" ref="G40:G63" si="15">G39+5</f>
        <v>45</v>
      </c>
      <c r="I40">
        <v>2150</v>
      </c>
      <c r="J40" t="s">
        <v>28</v>
      </c>
      <c r="K40">
        <f t="shared" ref="K40:K62" si="16">AVERAGE(G40:G41)</f>
        <v>47.5</v>
      </c>
      <c r="L40" cm="1">
        <f t="array" ref="L40">STOWA2024_JAARROND_T(A40*60,K40,I40,J40,"")</f>
        <v>0.79695580557819379</v>
      </c>
      <c r="M40">
        <f t="shared" ref="M40:M62" si="17">1/L40</f>
        <v>1.2547747227645791</v>
      </c>
    </row>
    <row r="41" spans="1:13" x14ac:dyDescent="0.3">
      <c r="A41">
        <v>48</v>
      </c>
      <c r="B41">
        <f t="shared" si="14"/>
        <v>0.42316290308812743</v>
      </c>
      <c r="C41">
        <f t="shared" si="10"/>
        <v>0.42316290308812743</v>
      </c>
      <c r="D41" t="s">
        <v>35</v>
      </c>
      <c r="E41" t="s">
        <v>21</v>
      </c>
      <c r="F41">
        <v>1</v>
      </c>
      <c r="G41">
        <f t="shared" si="15"/>
        <v>50</v>
      </c>
      <c r="I41">
        <v>2150</v>
      </c>
      <c r="J41" t="s">
        <v>28</v>
      </c>
      <c r="K41">
        <f t="shared" si="16"/>
        <v>52.5</v>
      </c>
      <c r="L41" cm="1">
        <f t="array" ref="L41">STOWA2024_JAARROND_T(A41*60,K41,I41,J41,"")</f>
        <v>1.2024841113839166</v>
      </c>
      <c r="M41">
        <f t="shared" si="17"/>
        <v>0.8316118196764517</v>
      </c>
    </row>
    <row r="42" spans="1:13" x14ac:dyDescent="0.3">
      <c r="A42">
        <v>48</v>
      </c>
      <c r="B42">
        <f t="shared" si="14"/>
        <v>0.27139849964396001</v>
      </c>
      <c r="C42">
        <f t="shared" si="10"/>
        <v>0.27139849964396001</v>
      </c>
      <c r="D42" t="s">
        <v>35</v>
      </c>
      <c r="E42" t="s">
        <v>21</v>
      </c>
      <c r="F42">
        <v>1</v>
      </c>
      <c r="G42">
        <f t="shared" si="15"/>
        <v>55</v>
      </c>
      <c r="I42">
        <v>2150</v>
      </c>
      <c r="J42" t="s">
        <v>28</v>
      </c>
      <c r="K42">
        <f t="shared" si="16"/>
        <v>57.5</v>
      </c>
      <c r="L42" cm="1">
        <f t="array" ref="L42">STOWA2024_JAARROND_T(A42*60,K42,I42,J42,"")</f>
        <v>1.7850343150391377</v>
      </c>
      <c r="M42">
        <f t="shared" si="17"/>
        <v>0.56021332003249169</v>
      </c>
    </row>
    <row r="43" spans="1:13" x14ac:dyDescent="0.3">
      <c r="A43">
        <v>48</v>
      </c>
      <c r="B43">
        <f t="shared" si="14"/>
        <v>0.17706907527771709</v>
      </c>
      <c r="C43">
        <f t="shared" si="10"/>
        <v>0.17706907527771709</v>
      </c>
      <c r="D43" t="s">
        <v>35</v>
      </c>
      <c r="E43" t="s">
        <v>21</v>
      </c>
      <c r="F43">
        <v>1</v>
      </c>
      <c r="G43">
        <f t="shared" si="15"/>
        <v>60</v>
      </c>
      <c r="I43">
        <v>2150</v>
      </c>
      <c r="J43" t="s">
        <v>28</v>
      </c>
      <c r="K43">
        <f t="shared" si="16"/>
        <v>62.5</v>
      </c>
      <c r="L43" cm="1">
        <f t="array" ref="L43">STOWA2024_JAARROND_T(A43*60,K43,I43,J43,"")</f>
        <v>2.6099830904155539</v>
      </c>
      <c r="M43">
        <f t="shared" si="17"/>
        <v>0.3831442447547746</v>
      </c>
    </row>
    <row r="44" spans="1:13" x14ac:dyDescent="0.3">
      <c r="A44">
        <v>48</v>
      </c>
      <c r="B44">
        <f t="shared" si="14"/>
        <v>0.11739926056575267</v>
      </c>
      <c r="C44">
        <f t="shared" si="10"/>
        <v>0.11739926056575267</v>
      </c>
      <c r="D44" t="s">
        <v>35</v>
      </c>
      <c r="E44" t="s">
        <v>21</v>
      </c>
      <c r="F44">
        <v>1</v>
      </c>
      <c r="G44">
        <f t="shared" si="15"/>
        <v>65</v>
      </c>
      <c r="I44">
        <v>2150</v>
      </c>
      <c r="J44" t="s">
        <v>28</v>
      </c>
      <c r="K44">
        <f t="shared" si="16"/>
        <v>67.5</v>
      </c>
      <c r="L44" cm="1">
        <f t="array" ref="L44">STOWA2024_JAARROND_T(A44*60,K44,I44,J44,"")</f>
        <v>3.7630061129910519</v>
      </c>
      <c r="M44">
        <f t="shared" si="17"/>
        <v>0.26574498418902193</v>
      </c>
    </row>
    <row r="45" spans="1:13" x14ac:dyDescent="0.3">
      <c r="A45">
        <v>48</v>
      </c>
      <c r="B45">
        <f t="shared" si="14"/>
        <v>7.901079618622725E-2</v>
      </c>
      <c r="C45">
        <f t="shared" si="10"/>
        <v>7.901079618622725E-2</v>
      </c>
      <c r="D45" t="s">
        <v>35</v>
      </c>
      <c r="E45" t="s">
        <v>21</v>
      </c>
      <c r="F45">
        <v>1</v>
      </c>
      <c r="G45">
        <f t="shared" si="15"/>
        <v>70</v>
      </c>
      <c r="I45">
        <v>2150</v>
      </c>
      <c r="J45" t="s">
        <v>28</v>
      </c>
      <c r="K45">
        <f t="shared" si="16"/>
        <v>72.5</v>
      </c>
      <c r="L45" cm="1">
        <f t="array" ref="L45">STOWA2024_JAARROND_T(A45*60,K45,I45,J45,"")</f>
        <v>5.3552057643832951</v>
      </c>
      <c r="M45">
        <f t="shared" si="17"/>
        <v>0.18673418800279468</v>
      </c>
    </row>
    <row r="46" spans="1:13" x14ac:dyDescent="0.3">
      <c r="A46">
        <v>48</v>
      </c>
      <c r="B46">
        <f t="shared" si="14"/>
        <v>5.3918136489173291E-2</v>
      </c>
      <c r="C46">
        <f t="shared" si="10"/>
        <v>5.3918136489173291E-2</v>
      </c>
      <c r="D46" t="s">
        <v>35</v>
      </c>
      <c r="E46" t="s">
        <v>21</v>
      </c>
      <c r="F46">
        <v>1</v>
      </c>
      <c r="G46">
        <f t="shared" si="15"/>
        <v>75</v>
      </c>
      <c r="I46">
        <v>2150</v>
      </c>
      <c r="J46" t="s">
        <v>28</v>
      </c>
      <c r="K46">
        <f t="shared" si="16"/>
        <v>77.5</v>
      </c>
      <c r="L46" cm="1">
        <f t="array" ref="L46">STOWA2024_JAARROND_T(A46*60,K46,I46,J46,"")</f>
        <v>7.5292104275321101</v>
      </c>
      <c r="M46">
        <f t="shared" si="17"/>
        <v>0.13281605151362139</v>
      </c>
    </row>
    <row r="47" spans="1:13" x14ac:dyDescent="0.3">
      <c r="A47">
        <v>48</v>
      </c>
      <c r="B47">
        <f t="shared" si="14"/>
        <v>3.7272816949995555E-2</v>
      </c>
      <c r="C47">
        <f t="shared" si="10"/>
        <v>3.7272816949995555E-2</v>
      </c>
      <c r="D47" t="s">
        <v>35</v>
      </c>
      <c r="E47" t="s">
        <v>21</v>
      </c>
      <c r="F47">
        <v>1</v>
      </c>
      <c r="G47">
        <f t="shared" si="15"/>
        <v>80</v>
      </c>
      <c r="I47">
        <v>2150</v>
      </c>
      <c r="J47" t="s">
        <v>28</v>
      </c>
      <c r="K47">
        <f t="shared" si="16"/>
        <v>82.5</v>
      </c>
      <c r="L47" cm="1">
        <f t="array" ref="L47">STOWA2024_JAARROND_T(A47*60,K47,I47,J47,"")</f>
        <v>10.466465831592318</v>
      </c>
      <c r="M47">
        <f t="shared" si="17"/>
        <v>9.5543234563625831E-2</v>
      </c>
    </row>
    <row r="48" spans="1:13" x14ac:dyDescent="0.3">
      <c r="A48">
        <v>48</v>
      </c>
      <c r="B48">
        <f t="shared" si="14"/>
        <v>2.6080682931028665E-2</v>
      </c>
      <c r="C48">
        <f t="shared" si="10"/>
        <v>2.6080682931028665E-2</v>
      </c>
      <c r="D48" t="s">
        <v>35</v>
      </c>
      <c r="E48" t="s">
        <v>21</v>
      </c>
      <c r="F48">
        <v>1</v>
      </c>
      <c r="G48">
        <f t="shared" si="15"/>
        <v>85</v>
      </c>
      <c r="I48">
        <v>2150</v>
      </c>
      <c r="J48" t="s">
        <v>28</v>
      </c>
      <c r="K48">
        <f t="shared" si="16"/>
        <v>87.5</v>
      </c>
      <c r="L48" cm="1">
        <f t="array" ref="L48">STOWA2024_JAARROND_T(A48*60,K48,I48,J48,"")</f>
        <v>14.396246272224804</v>
      </c>
      <c r="M48">
        <f t="shared" si="17"/>
        <v>6.9462551632597166E-2</v>
      </c>
    </row>
    <row r="49" spans="1:13" x14ac:dyDescent="0.3">
      <c r="A49">
        <v>48</v>
      </c>
      <c r="B49">
        <f t="shared" si="14"/>
        <v>1.8457151085251491E-2</v>
      </c>
      <c r="C49">
        <f t="shared" si="10"/>
        <v>1.8457151085251491E-2</v>
      </c>
      <c r="D49" t="s">
        <v>35</v>
      </c>
      <c r="E49" t="s">
        <v>21</v>
      </c>
      <c r="F49">
        <v>1</v>
      </c>
      <c r="G49">
        <f t="shared" si="15"/>
        <v>90</v>
      </c>
      <c r="I49">
        <v>2150</v>
      </c>
      <c r="J49" t="s">
        <v>28</v>
      </c>
      <c r="K49">
        <f t="shared" si="16"/>
        <v>92.5</v>
      </c>
      <c r="L49" cm="1">
        <f t="array" ref="L49">STOWA2024_JAARROND_T(A49*60,K49,I49,J49,"")</f>
        <v>19.605767022097037</v>
      </c>
      <c r="M49">
        <f t="shared" si="17"/>
        <v>5.1005400547345675E-2</v>
      </c>
    </row>
    <row r="50" spans="1:13" x14ac:dyDescent="0.3">
      <c r="A50">
        <v>48</v>
      </c>
      <c r="B50">
        <f t="shared" si="14"/>
        <v>1.3201598451506459E-2</v>
      </c>
      <c r="C50">
        <f t="shared" si="10"/>
        <v>1.3201598451506459E-2</v>
      </c>
      <c r="D50" t="s">
        <v>35</v>
      </c>
      <c r="E50" t="s">
        <v>21</v>
      </c>
      <c r="F50">
        <v>1</v>
      </c>
      <c r="G50">
        <f t="shared" si="15"/>
        <v>95</v>
      </c>
      <c r="I50">
        <v>2150</v>
      </c>
      <c r="J50" t="s">
        <v>28</v>
      </c>
      <c r="K50">
        <f t="shared" si="16"/>
        <v>97.5</v>
      </c>
      <c r="L50" cm="1">
        <f t="array" ref="L50">STOWA2024_JAARROND_T(A50*60,K50,I50,J50,"")</f>
        <v>26.452365755825987</v>
      </c>
      <c r="M50">
        <f t="shared" si="17"/>
        <v>3.7803802095839216E-2</v>
      </c>
    </row>
    <row r="51" spans="1:13" x14ac:dyDescent="0.3">
      <c r="A51">
        <v>48</v>
      </c>
      <c r="B51">
        <f t="shared" si="14"/>
        <v>9.5373760376080037E-3</v>
      </c>
      <c r="C51">
        <f t="shared" si="10"/>
        <v>9.5373760376080037E-3</v>
      </c>
      <c r="D51" t="s">
        <v>35</v>
      </c>
      <c r="E51" t="s">
        <v>21</v>
      </c>
      <c r="F51">
        <v>1</v>
      </c>
      <c r="G51">
        <f t="shared" si="15"/>
        <v>100</v>
      </c>
      <c r="I51">
        <v>2150</v>
      </c>
      <c r="J51" t="s">
        <v>28</v>
      </c>
      <c r="K51">
        <f t="shared" si="16"/>
        <v>102.5</v>
      </c>
      <c r="L51" cm="1">
        <f t="array" ref="L51">STOWA2024_JAARROND_T(A51*60,K51,I51,J51,"")</f>
        <v>35.377659628419806</v>
      </c>
      <c r="M51">
        <f t="shared" si="17"/>
        <v>2.8266426058231212E-2</v>
      </c>
    </row>
    <row r="52" spans="1:13" x14ac:dyDescent="0.3">
      <c r="A52">
        <v>48</v>
      </c>
      <c r="B52">
        <f t="shared" si="14"/>
        <v>6.9553701965641666E-3</v>
      </c>
      <c r="C52">
        <f t="shared" si="10"/>
        <v>6.9553701965641666E-3</v>
      </c>
      <c r="D52" t="s">
        <v>35</v>
      </c>
      <c r="E52" t="s">
        <v>21</v>
      </c>
      <c r="F52">
        <v>1</v>
      </c>
      <c r="G52">
        <f t="shared" si="15"/>
        <v>105</v>
      </c>
      <c r="I52">
        <v>2150</v>
      </c>
      <c r="J52" t="s">
        <v>28</v>
      </c>
      <c r="K52">
        <f t="shared" si="16"/>
        <v>107.5</v>
      </c>
      <c r="L52" cm="1">
        <f t="array" ref="L52">STOWA2024_JAARROND_T(A52*60,K52,I52,J52,"")</f>
        <v>46.9240006919946</v>
      </c>
      <c r="M52">
        <f t="shared" si="17"/>
        <v>2.1311055861667046E-2</v>
      </c>
    </row>
    <row r="53" spans="1:13" x14ac:dyDescent="0.3">
      <c r="A53">
        <v>48</v>
      </c>
      <c r="B53">
        <f t="shared" si="14"/>
        <v>5.1176463292809081E-3</v>
      </c>
      <c r="C53">
        <f t="shared" si="10"/>
        <v>5.1176463292809081E-3</v>
      </c>
      <c r="D53" t="s">
        <v>35</v>
      </c>
      <c r="E53" t="s">
        <v>21</v>
      </c>
      <c r="F53">
        <v>1</v>
      </c>
      <c r="G53">
        <f t="shared" si="15"/>
        <v>110</v>
      </c>
      <c r="I53">
        <v>2150</v>
      </c>
      <c r="J53" t="s">
        <v>28</v>
      </c>
      <c r="K53">
        <f t="shared" si="16"/>
        <v>112.5</v>
      </c>
      <c r="L53" cm="1">
        <f t="array" ref="L53">STOWA2024_JAARROND_T(A53*60,K53,I53,J53,"")</f>
        <v>61.753517565281236</v>
      </c>
      <c r="M53">
        <f t="shared" si="17"/>
        <v>1.6193409532386138E-2</v>
      </c>
    </row>
    <row r="54" spans="1:13" x14ac:dyDescent="0.3">
      <c r="A54">
        <v>48</v>
      </c>
      <c r="B54">
        <f t="shared" si="14"/>
        <v>3.7971424527524153E-3</v>
      </c>
      <c r="C54">
        <f t="shared" si="10"/>
        <v>3.7971424527524153E-3</v>
      </c>
      <c r="D54" t="s">
        <v>35</v>
      </c>
      <c r="E54" t="s">
        <v>21</v>
      </c>
      <c r="F54">
        <v>1</v>
      </c>
      <c r="G54">
        <f t="shared" si="15"/>
        <v>115</v>
      </c>
      <c r="I54">
        <v>2150</v>
      </c>
      <c r="J54" t="s">
        <v>28</v>
      </c>
      <c r="K54">
        <f t="shared" si="16"/>
        <v>117.5</v>
      </c>
      <c r="L54" cm="1">
        <f t="array" ref="L54">STOWA2024_JAARROND_T(A54*60,K54,I54,J54,"")</f>
        <v>80.669446178917553</v>
      </c>
      <c r="M54">
        <f t="shared" si="17"/>
        <v>1.2396267079633722E-2</v>
      </c>
    </row>
    <row r="55" spans="1:13" x14ac:dyDescent="0.3">
      <c r="A55">
        <v>48</v>
      </c>
      <c r="B55">
        <f t="shared" si="14"/>
        <v>2.8400269005809352E-3</v>
      </c>
      <c r="C55">
        <f t="shared" si="10"/>
        <v>2.8400269005809352E-3</v>
      </c>
      <c r="D55" t="s">
        <v>35</v>
      </c>
      <c r="E55" t="s">
        <v>21</v>
      </c>
      <c r="F55">
        <v>1</v>
      </c>
      <c r="G55">
        <f t="shared" si="15"/>
        <v>120</v>
      </c>
      <c r="I55">
        <v>2150</v>
      </c>
      <c r="J55" t="s">
        <v>28</v>
      </c>
      <c r="K55">
        <f t="shared" si="16"/>
        <v>122.5</v>
      </c>
      <c r="L55" cm="1">
        <f t="array" ref="L55">STOWA2024_JAARROND_T(A55*60,K55,I55,J55,"")</f>
        <v>104.64366542314342</v>
      </c>
      <c r="M55">
        <f t="shared" si="17"/>
        <v>9.5562401790527871E-3</v>
      </c>
    </row>
    <row r="56" spans="1:13" x14ac:dyDescent="0.3">
      <c r="A56">
        <v>48</v>
      </c>
      <c r="B56">
        <f t="shared" si="14"/>
        <v>2.1401066699740729E-3</v>
      </c>
      <c r="C56">
        <f t="shared" si="10"/>
        <v>2.1401066699740729E-3</v>
      </c>
      <c r="D56" t="s">
        <v>35</v>
      </c>
      <c r="E56" t="s">
        <v>21</v>
      </c>
      <c r="F56">
        <v>1</v>
      </c>
      <c r="G56">
        <f t="shared" si="15"/>
        <v>125</v>
      </c>
      <c r="I56">
        <v>2150</v>
      </c>
      <c r="J56" t="s">
        <v>28</v>
      </c>
      <c r="K56">
        <f t="shared" si="16"/>
        <v>127.5</v>
      </c>
      <c r="L56" cm="1">
        <f t="array" ref="L56">STOWA2024_JAARROND_T(A56*60,K56,I56,J56,"")</f>
        <v>134.84115392148965</v>
      </c>
      <c r="M56">
        <f t="shared" si="17"/>
        <v>7.4161335090787142E-3</v>
      </c>
    </row>
    <row r="57" spans="1:13" x14ac:dyDescent="0.3">
      <c r="A57">
        <v>48</v>
      </c>
      <c r="B57">
        <f t="shared" si="14"/>
        <v>1.6243587817743174E-3</v>
      </c>
      <c r="C57">
        <f t="shared" si="10"/>
        <v>1.6243587817743174E-3</v>
      </c>
      <c r="D57" t="s">
        <v>35</v>
      </c>
      <c r="E57" t="s">
        <v>21</v>
      </c>
      <c r="F57">
        <v>1</v>
      </c>
      <c r="G57">
        <f t="shared" si="15"/>
        <v>130</v>
      </c>
      <c r="I57">
        <v>2150</v>
      </c>
      <c r="J57" t="s">
        <v>28</v>
      </c>
      <c r="K57">
        <f t="shared" si="16"/>
        <v>132.5</v>
      </c>
      <c r="L57" cm="1">
        <f t="array" ref="L57">STOWA2024_JAARROND_T(A57*60,K57,I57,J57,"")</f>
        <v>172.65864904683875</v>
      </c>
      <c r="M57">
        <f t="shared" si="17"/>
        <v>5.7917747273043968E-3</v>
      </c>
    </row>
    <row r="58" spans="1:13" x14ac:dyDescent="0.3">
      <c r="A58">
        <v>48</v>
      </c>
      <c r="B58">
        <f t="shared" si="14"/>
        <v>1.2412453939283146E-3</v>
      </c>
      <c r="C58">
        <f t="shared" si="10"/>
        <v>1.2412453939283146E-3</v>
      </c>
      <c r="D58" t="s">
        <v>35</v>
      </c>
      <c r="E58" t="s">
        <v>21</v>
      </c>
      <c r="F58">
        <v>1</v>
      </c>
      <c r="G58">
        <f t="shared" si="15"/>
        <v>135</v>
      </c>
      <c r="I58">
        <v>2150</v>
      </c>
      <c r="J58" t="s">
        <v>28</v>
      </c>
      <c r="K58">
        <f t="shared" si="16"/>
        <v>137.5</v>
      </c>
      <c r="L58" cm="1">
        <f t="array" ref="L58">STOWA2024_JAARROND_T(A58*60,K58,I58,J58,"")</f>
        <v>219.75465418175654</v>
      </c>
      <c r="M58">
        <f t="shared" si="17"/>
        <v>4.5505293333760822E-3</v>
      </c>
    </row>
    <row r="59" spans="1:13" x14ac:dyDescent="0.3">
      <c r="A59">
        <v>48</v>
      </c>
      <c r="B59">
        <f t="shared" si="14"/>
        <v>9.5468348498742609E-4</v>
      </c>
      <c r="C59">
        <f t="shared" si="10"/>
        <v>9.5468348498742609E-4</v>
      </c>
      <c r="D59" t="s">
        <v>35</v>
      </c>
      <c r="E59" t="s">
        <v>21</v>
      </c>
      <c r="F59">
        <v>1</v>
      </c>
      <c r="G59">
        <f t="shared" si="15"/>
        <v>140</v>
      </c>
      <c r="I59">
        <v>2150</v>
      </c>
      <c r="J59" t="s">
        <v>28</v>
      </c>
      <c r="K59">
        <f t="shared" si="16"/>
        <v>142.5</v>
      </c>
      <c r="L59" cm="1">
        <f t="array" ref="L59">STOWA2024_JAARROND_T(A59*60,K59,I59,J59,"")</f>
        <v>278.09868447172522</v>
      </c>
      <c r="M59">
        <f t="shared" si="17"/>
        <v>3.5958458483886561E-3</v>
      </c>
    </row>
    <row r="60" spans="1:13" x14ac:dyDescent="0.3">
      <c r="A60">
        <v>48</v>
      </c>
      <c r="B60">
        <f t="shared" si="14"/>
        <v>7.3884233817536225E-4</v>
      </c>
      <c r="C60">
        <f t="shared" si="10"/>
        <v>7.3884233817536225E-4</v>
      </c>
      <c r="D60" t="s">
        <v>35</v>
      </c>
      <c r="E60" t="s">
        <v>21</v>
      </c>
      <c r="F60">
        <v>1</v>
      </c>
      <c r="G60">
        <f t="shared" si="15"/>
        <v>145</v>
      </c>
      <c r="I60">
        <v>2150</v>
      </c>
      <c r="J60" t="s">
        <v>28</v>
      </c>
      <c r="K60">
        <f t="shared" si="16"/>
        <v>147.5</v>
      </c>
      <c r="L60" cm="1">
        <f t="array" ref="L60">STOWA2024_JAARROND_T(A60*60,K60,I60,J60,"")</f>
        <v>350.01707083144026</v>
      </c>
      <c r="M60">
        <f t="shared" si="17"/>
        <v>2.8570035102132938E-3</v>
      </c>
    </row>
    <row r="61" spans="1:13" x14ac:dyDescent="0.3">
      <c r="A61">
        <v>48</v>
      </c>
      <c r="B61">
        <f t="shared" si="14"/>
        <v>5.7514378198497045E-4</v>
      </c>
      <c r="C61">
        <f t="shared" si="10"/>
        <v>5.7514378198497045E-4</v>
      </c>
      <c r="D61" t="s">
        <v>35</v>
      </c>
      <c r="E61" t="s">
        <v>21</v>
      </c>
      <c r="F61">
        <v>1</v>
      </c>
      <c r="G61">
        <f t="shared" si="15"/>
        <v>150</v>
      </c>
      <c r="I61">
        <v>2150</v>
      </c>
      <c r="J61" t="s">
        <v>28</v>
      </c>
      <c r="K61">
        <f t="shared" si="16"/>
        <v>152.5</v>
      </c>
      <c r="L61" cm="1">
        <f t="array" ref="L61">STOWA2024_JAARROND_T(A61*60,K61,I61,J61,"")</f>
        <v>438.23903267551765</v>
      </c>
      <c r="M61">
        <f t="shared" si="17"/>
        <v>2.2818597282283234E-3</v>
      </c>
    </row>
    <row r="62" spans="1:13" x14ac:dyDescent="0.3">
      <c r="A62">
        <v>48</v>
      </c>
      <c r="B62">
        <f t="shared" si="14"/>
        <v>4.5025271948560797E-4</v>
      </c>
      <c r="C62">
        <f t="shared" si="10"/>
        <v>4.5025271948560797E-4</v>
      </c>
      <c r="D62" t="s">
        <v>35</v>
      </c>
      <c r="E62" t="s">
        <v>21</v>
      </c>
      <c r="F62">
        <v>1</v>
      </c>
      <c r="G62">
        <f t="shared" si="15"/>
        <v>155</v>
      </c>
      <c r="I62">
        <v>2150</v>
      </c>
      <c r="J62" t="s">
        <v>28</v>
      </c>
      <c r="K62">
        <f t="shared" si="16"/>
        <v>157.5</v>
      </c>
      <c r="L62" cm="1">
        <f t="array" ref="L62">STOWA2024_JAARROND_T(A62*60,K62,I62,J62,"")</f>
        <v>545.96864678217082</v>
      </c>
      <c r="M62">
        <f t="shared" si="17"/>
        <v>1.8316070087427154E-3</v>
      </c>
    </row>
    <row r="63" spans="1:13" x14ac:dyDescent="0.3">
      <c r="A63">
        <v>48</v>
      </c>
      <c r="B63" s="1">
        <f>M62</f>
        <v>1.8316070087427154E-3</v>
      </c>
      <c r="C63">
        <f t="shared" si="10"/>
        <v>1.8316070087427154E-3</v>
      </c>
      <c r="D63" t="s">
        <v>35</v>
      </c>
      <c r="E63" t="s">
        <v>21</v>
      </c>
      <c r="F63">
        <v>1</v>
      </c>
      <c r="G63">
        <f t="shared" si="15"/>
        <v>160</v>
      </c>
      <c r="I63">
        <v>2150</v>
      </c>
      <c r="J63" t="s">
        <v>28</v>
      </c>
      <c r="K63">
        <f>AVERAGE(G63:G64)</f>
        <v>85</v>
      </c>
      <c r="L63" cm="1">
        <f t="array" ref="L63">STOWA2024_JAARROND_T(A63*60,K63,I63,J63,"")</f>
        <v>12.290831579825005</v>
      </c>
      <c r="M63">
        <f>1/L63</f>
        <v>8.1361459841453446E-2</v>
      </c>
    </row>
    <row r="64" spans="1:13" x14ac:dyDescent="0.3">
      <c r="A64">
        <v>96</v>
      </c>
      <c r="B64" s="1">
        <f>365.25*24/A64 - M64</f>
        <v>46.717255077783911</v>
      </c>
      <c r="C64">
        <f>B64</f>
        <v>46.717255077783911</v>
      </c>
      <c r="D64" t="s">
        <v>35</v>
      </c>
      <c r="E64" t="s">
        <v>21</v>
      </c>
      <c r="F64">
        <v>1</v>
      </c>
      <c r="G64">
        <v>10</v>
      </c>
      <c r="I64">
        <v>2150</v>
      </c>
      <c r="J64" t="s">
        <v>28</v>
      </c>
      <c r="K64">
        <f>AVERAGE(G64:G66)</f>
        <v>15</v>
      </c>
      <c r="L64" cm="1">
        <f t="array" ref="L64">STOWA2024_JAARROND_T(A64*60,K64,I64,J64,"")</f>
        <v>2.2423915413946484E-2</v>
      </c>
      <c r="M64">
        <f>1/L64</f>
        <v>44.595244922216089</v>
      </c>
    </row>
    <row r="65" spans="1:13" x14ac:dyDescent="0.3">
      <c r="A65">
        <v>96</v>
      </c>
      <c r="B65">
        <f t="shared" ref="B65:B69" si="18">M64-M65</f>
        <v>8.7139481405591894</v>
      </c>
      <c r="C65">
        <f t="shared" ref="C65:C94" si="19">B65</f>
        <v>8.7139481405591894</v>
      </c>
      <c r="D65" t="s">
        <v>35</v>
      </c>
      <c r="E65" t="s">
        <v>21</v>
      </c>
      <c r="F65">
        <v>1</v>
      </c>
      <c r="G65">
        <f t="shared" ref="G65:G69" si="20">G64+5</f>
        <v>15</v>
      </c>
      <c r="I65">
        <v>2150</v>
      </c>
      <c r="J65" t="s">
        <v>28</v>
      </c>
      <c r="K65">
        <f t="shared" ref="K65:K69" si="21">AVERAGE(G65:G66)</f>
        <v>17.5</v>
      </c>
      <c r="L65" cm="1">
        <f t="array" ref="L65">STOWA2024_JAARROND_T(A65*60,K65,I65,J65,"")</f>
        <v>2.7869672773677908E-2</v>
      </c>
      <c r="M65">
        <f t="shared" ref="M65:M69" si="22">1/L65</f>
        <v>35.8812967816569</v>
      </c>
    </row>
    <row r="66" spans="1:13" x14ac:dyDescent="0.3">
      <c r="A66">
        <v>96</v>
      </c>
      <c r="B66">
        <f t="shared" si="18"/>
        <v>12.478268269413142</v>
      </c>
      <c r="C66">
        <f t="shared" si="19"/>
        <v>12.478268269413142</v>
      </c>
      <c r="D66" t="s">
        <v>35</v>
      </c>
      <c r="E66" t="s">
        <v>21</v>
      </c>
      <c r="F66">
        <v>1</v>
      </c>
      <c r="G66">
        <f t="shared" si="20"/>
        <v>20</v>
      </c>
      <c r="I66">
        <v>2150</v>
      </c>
      <c r="J66" t="s">
        <v>28</v>
      </c>
      <c r="K66">
        <f t="shared" si="21"/>
        <v>22.5</v>
      </c>
      <c r="L66" cm="1">
        <f t="array" ref="L66">STOWA2024_JAARROND_T(A66*60,K66,I66,J66,"")</f>
        <v>4.2729512527698292E-2</v>
      </c>
      <c r="M66">
        <f t="shared" si="22"/>
        <v>23.403028512243758</v>
      </c>
    </row>
    <row r="67" spans="1:13" x14ac:dyDescent="0.3">
      <c r="A67">
        <v>96</v>
      </c>
      <c r="B67">
        <f t="shared" si="18"/>
        <v>7.9917503600681048</v>
      </c>
      <c r="C67">
        <f t="shared" si="19"/>
        <v>7.9917503600681048</v>
      </c>
      <c r="D67" t="s">
        <v>35</v>
      </c>
      <c r="E67" t="s">
        <v>21</v>
      </c>
      <c r="F67">
        <v>1</v>
      </c>
      <c r="G67">
        <f t="shared" si="20"/>
        <v>25</v>
      </c>
      <c r="I67">
        <v>2150</v>
      </c>
      <c r="J67" t="s">
        <v>28</v>
      </c>
      <c r="K67">
        <f t="shared" si="21"/>
        <v>27.5</v>
      </c>
      <c r="L67" cm="1">
        <f t="array" ref="L67">STOWA2024_JAARROND_T(A67*60,K67,I67,J67,"")</f>
        <v>6.488754470107512E-2</v>
      </c>
      <c r="M67">
        <f t="shared" si="22"/>
        <v>15.411278152175653</v>
      </c>
    </row>
    <row r="68" spans="1:13" x14ac:dyDescent="0.3">
      <c r="A68">
        <v>96</v>
      </c>
      <c r="B68">
        <f t="shared" si="18"/>
        <v>5.1694880393970859</v>
      </c>
      <c r="C68">
        <f t="shared" si="19"/>
        <v>5.1694880393970859</v>
      </c>
      <c r="D68" t="s">
        <v>35</v>
      </c>
      <c r="E68" t="s">
        <v>21</v>
      </c>
      <c r="F68">
        <v>1</v>
      </c>
      <c r="G68">
        <f t="shared" si="20"/>
        <v>30</v>
      </c>
      <c r="I68">
        <v>2150</v>
      </c>
      <c r="J68" t="s">
        <v>28</v>
      </c>
      <c r="K68">
        <f t="shared" si="21"/>
        <v>32.5</v>
      </c>
      <c r="L68" cm="1">
        <f t="array" ref="L68">STOWA2024_JAARROND_T(A68*60,K68,I68,J68,"")</f>
        <v>9.7639181138101161E-2</v>
      </c>
      <c r="M68">
        <f t="shared" si="22"/>
        <v>10.241790112778567</v>
      </c>
    </row>
    <row r="69" spans="1:13" x14ac:dyDescent="0.3">
      <c r="A69">
        <v>96</v>
      </c>
      <c r="B69">
        <f t="shared" si="18"/>
        <v>3.3755102024877637</v>
      </c>
      <c r="C69">
        <f t="shared" si="19"/>
        <v>3.3755102024877637</v>
      </c>
      <c r="D69" t="s">
        <v>35</v>
      </c>
      <c r="E69" t="s">
        <v>21</v>
      </c>
      <c r="F69">
        <v>1</v>
      </c>
      <c r="G69">
        <f t="shared" si="20"/>
        <v>35</v>
      </c>
      <c r="I69">
        <v>2150</v>
      </c>
      <c r="J69" t="s">
        <v>28</v>
      </c>
      <c r="K69">
        <f t="shared" si="21"/>
        <v>37.5</v>
      </c>
      <c r="L69" cm="1">
        <f t="array" ref="L69">STOWA2024_JAARROND_T(A69*60,K69,I69,J69,"")</f>
        <v>0.14563927091018455</v>
      </c>
      <c r="M69">
        <f t="shared" si="22"/>
        <v>6.8662799102908032</v>
      </c>
    </row>
    <row r="70" spans="1:13" x14ac:dyDescent="0.3">
      <c r="A70">
        <v>96</v>
      </c>
      <c r="B70">
        <f>M69-M70</f>
        <v>2.2242504980264464</v>
      </c>
      <c r="C70">
        <f t="shared" si="19"/>
        <v>2.2242504980264464</v>
      </c>
      <c r="D70" t="s">
        <v>35</v>
      </c>
      <c r="E70" t="s">
        <v>21</v>
      </c>
      <c r="F70">
        <v>1</v>
      </c>
      <c r="G70">
        <f>G69+5</f>
        <v>40</v>
      </c>
      <c r="I70">
        <v>2150</v>
      </c>
      <c r="J70" t="s">
        <v>28</v>
      </c>
      <c r="K70">
        <f>AVERAGE(G70:G71)</f>
        <v>42.5</v>
      </c>
      <c r="L70" cm="1">
        <f t="array" ref="L70">STOWA2024_JAARROND_T(A70*60,K70,I70,J70,"")</f>
        <v>0.21542302109460471</v>
      </c>
      <c r="M70">
        <f>1/L70</f>
        <v>4.6420294122643568</v>
      </c>
    </row>
    <row r="71" spans="1:13" x14ac:dyDescent="0.3">
      <c r="A71">
        <v>96</v>
      </c>
      <c r="B71">
        <f t="shared" ref="B71:B93" si="23">M70-M71</f>
        <v>1.4783401791771547</v>
      </c>
      <c r="C71">
        <f t="shared" si="19"/>
        <v>1.4783401791771547</v>
      </c>
      <c r="D71" t="s">
        <v>35</v>
      </c>
      <c r="E71" t="s">
        <v>21</v>
      </c>
      <c r="F71">
        <v>1</v>
      </c>
      <c r="G71">
        <f t="shared" ref="G71:G94" si="24">G70+5</f>
        <v>45</v>
      </c>
      <c r="I71">
        <v>2150</v>
      </c>
      <c r="J71" t="s">
        <v>28</v>
      </c>
      <c r="K71">
        <f t="shared" ref="K71:K93" si="25">AVERAGE(G71:G72)</f>
        <v>47.5</v>
      </c>
      <c r="L71" cm="1">
        <f t="array" ref="L71">STOWA2024_JAARROND_T(A71*60,K71,I71,J71,"")</f>
        <v>0.31608667170642946</v>
      </c>
      <c r="M71">
        <f t="shared" ref="M71:M93" si="26">1/L71</f>
        <v>3.1636892330872022</v>
      </c>
    </row>
    <row r="72" spans="1:13" x14ac:dyDescent="0.3">
      <c r="A72">
        <v>96</v>
      </c>
      <c r="B72">
        <f t="shared" si="23"/>
        <v>0.99079224556238543</v>
      </c>
      <c r="C72">
        <f t="shared" si="19"/>
        <v>0.99079224556238543</v>
      </c>
      <c r="D72" t="s">
        <v>35</v>
      </c>
      <c r="E72" t="s">
        <v>21</v>
      </c>
      <c r="F72">
        <v>1</v>
      </c>
      <c r="G72">
        <f t="shared" si="24"/>
        <v>50</v>
      </c>
      <c r="I72">
        <v>2150</v>
      </c>
      <c r="J72" t="s">
        <v>28</v>
      </c>
      <c r="K72">
        <f t="shared" si="25"/>
        <v>52.5</v>
      </c>
      <c r="L72" cm="1">
        <f t="array" ref="L72">STOWA2024_JAARROND_T(A72*60,K72,I72,J72,"")</f>
        <v>0.46021509797347399</v>
      </c>
      <c r="M72">
        <f t="shared" si="26"/>
        <v>2.1728969875248167</v>
      </c>
    </row>
    <row r="73" spans="1:13" x14ac:dyDescent="0.3">
      <c r="A73">
        <v>96</v>
      </c>
      <c r="B73">
        <f t="shared" si="23"/>
        <v>0.66940435155115297</v>
      </c>
      <c r="C73">
        <f t="shared" si="19"/>
        <v>0.66940435155115297</v>
      </c>
      <c r="D73" t="s">
        <v>35</v>
      </c>
      <c r="E73" t="s">
        <v>21</v>
      </c>
      <c r="F73">
        <v>1</v>
      </c>
      <c r="G73">
        <f t="shared" si="24"/>
        <v>55</v>
      </c>
      <c r="I73">
        <v>2150</v>
      </c>
      <c r="J73" t="s">
        <v>28</v>
      </c>
      <c r="K73">
        <f t="shared" si="25"/>
        <v>57.5</v>
      </c>
      <c r="L73" cm="1">
        <f t="array" ref="L73">STOWA2024_JAARROND_T(A73*60,K73,I73,J73,"")</f>
        <v>0.6651179899876255</v>
      </c>
      <c r="M73">
        <f t="shared" si="26"/>
        <v>1.5034926359736638</v>
      </c>
    </row>
    <row r="74" spans="1:13" x14ac:dyDescent="0.3">
      <c r="A74">
        <v>96</v>
      </c>
      <c r="B74">
        <f t="shared" si="23"/>
        <v>0.45572809675104242</v>
      </c>
      <c r="C74">
        <f t="shared" si="19"/>
        <v>0.45572809675104242</v>
      </c>
      <c r="D74" t="s">
        <v>35</v>
      </c>
      <c r="E74" t="s">
        <v>21</v>
      </c>
      <c r="F74">
        <v>1</v>
      </c>
      <c r="G74">
        <f t="shared" si="24"/>
        <v>60</v>
      </c>
      <c r="I74">
        <v>2150</v>
      </c>
      <c r="J74" t="s">
        <v>28</v>
      </c>
      <c r="K74">
        <f t="shared" si="25"/>
        <v>62.5</v>
      </c>
      <c r="L74" cm="1">
        <f t="array" ref="L74">STOWA2024_JAARROND_T(A74*60,K74,I74,J74,"")</f>
        <v>0.95441290725675854</v>
      </c>
      <c r="M74">
        <f t="shared" si="26"/>
        <v>1.0477645392226214</v>
      </c>
    </row>
    <row r="75" spans="1:13" x14ac:dyDescent="0.3">
      <c r="A75">
        <v>96</v>
      </c>
      <c r="B75">
        <f t="shared" si="23"/>
        <v>0.31248626057275319</v>
      </c>
      <c r="C75">
        <f t="shared" si="19"/>
        <v>0.31248626057275319</v>
      </c>
      <c r="D75" t="s">
        <v>35</v>
      </c>
      <c r="E75" t="s">
        <v>21</v>
      </c>
      <c r="F75">
        <v>1</v>
      </c>
      <c r="G75">
        <f t="shared" si="24"/>
        <v>65</v>
      </c>
      <c r="I75">
        <v>2150</v>
      </c>
      <c r="J75" t="s">
        <v>28</v>
      </c>
      <c r="K75">
        <f t="shared" si="25"/>
        <v>67.5</v>
      </c>
      <c r="L75" cm="1">
        <f t="array" ref="L75">STOWA2024_JAARROND_T(A75*60,K75,I75,J75,"")</f>
        <v>1.3600292964402796</v>
      </c>
      <c r="M75">
        <f t="shared" si="26"/>
        <v>0.73527827864986817</v>
      </c>
    </row>
    <row r="76" spans="1:13" x14ac:dyDescent="0.3">
      <c r="A76">
        <v>96</v>
      </c>
      <c r="B76">
        <f t="shared" si="23"/>
        <v>0.21593084537411733</v>
      </c>
      <c r="C76">
        <f t="shared" si="19"/>
        <v>0.21593084537411733</v>
      </c>
      <c r="D76" t="s">
        <v>35</v>
      </c>
      <c r="E76" t="s">
        <v>21</v>
      </c>
      <c r="F76">
        <v>1</v>
      </c>
      <c r="G76">
        <f t="shared" si="24"/>
        <v>70</v>
      </c>
      <c r="I76">
        <v>2150</v>
      </c>
      <c r="J76" t="s">
        <v>28</v>
      </c>
      <c r="K76">
        <f t="shared" si="25"/>
        <v>72.5</v>
      </c>
      <c r="L76" cm="1">
        <f t="array" ref="L76">STOWA2024_JAARROND_T(A76*60,K76,I76,J76,"")</f>
        <v>1.9254932939449874</v>
      </c>
      <c r="M76">
        <f t="shared" si="26"/>
        <v>0.51934743327575084</v>
      </c>
    </row>
    <row r="77" spans="1:13" x14ac:dyDescent="0.3">
      <c r="A77">
        <v>96</v>
      </c>
      <c r="B77">
        <f t="shared" si="23"/>
        <v>0.15017302308068137</v>
      </c>
      <c r="C77">
        <f t="shared" si="19"/>
        <v>0.15017302308068137</v>
      </c>
      <c r="D77" t="s">
        <v>35</v>
      </c>
      <c r="E77" t="s">
        <v>21</v>
      </c>
      <c r="F77">
        <v>1</v>
      </c>
      <c r="G77">
        <f t="shared" si="24"/>
        <v>75</v>
      </c>
      <c r="I77">
        <v>2150</v>
      </c>
      <c r="J77" t="s">
        <v>28</v>
      </c>
      <c r="K77">
        <f t="shared" si="25"/>
        <v>77.5</v>
      </c>
      <c r="L77" cm="1">
        <f t="array" ref="L77">STOWA2024_JAARROND_T(A77*60,K77,I77,J77,"")</f>
        <v>2.7087467938842407</v>
      </c>
      <c r="M77">
        <f t="shared" si="26"/>
        <v>0.36917441019506947</v>
      </c>
    </row>
    <row r="78" spans="1:13" x14ac:dyDescent="0.3">
      <c r="A78">
        <v>96</v>
      </c>
      <c r="B78">
        <f t="shared" si="23"/>
        <v>0.10513615246972147</v>
      </c>
      <c r="C78">
        <f t="shared" si="19"/>
        <v>0.10513615246972147</v>
      </c>
      <c r="D78" t="s">
        <v>35</v>
      </c>
      <c r="E78" t="s">
        <v>21</v>
      </c>
      <c r="F78">
        <v>1</v>
      </c>
      <c r="G78">
        <f t="shared" si="24"/>
        <v>80</v>
      </c>
      <c r="I78">
        <v>2150</v>
      </c>
      <c r="J78" t="s">
        <v>28</v>
      </c>
      <c r="K78">
        <f t="shared" si="25"/>
        <v>82.5</v>
      </c>
      <c r="L78" cm="1">
        <f t="array" ref="L78">STOWA2024_JAARROND_T(A78*60,K78,I78,J78,"")</f>
        <v>3.7873299445877939</v>
      </c>
      <c r="M78">
        <f t="shared" si="26"/>
        <v>0.264038257725348</v>
      </c>
    </row>
    <row r="79" spans="1:13" x14ac:dyDescent="0.3">
      <c r="A79">
        <v>96</v>
      </c>
      <c r="B79">
        <f t="shared" si="23"/>
        <v>7.4072476329578169E-2</v>
      </c>
      <c r="C79">
        <f t="shared" si="19"/>
        <v>7.4072476329578169E-2</v>
      </c>
      <c r="D79" t="s">
        <v>35</v>
      </c>
      <c r="E79" t="s">
        <v>21</v>
      </c>
      <c r="F79">
        <v>1</v>
      </c>
      <c r="G79">
        <f t="shared" si="24"/>
        <v>85</v>
      </c>
      <c r="I79">
        <v>2150</v>
      </c>
      <c r="J79" t="s">
        <v>28</v>
      </c>
      <c r="K79">
        <f t="shared" si="25"/>
        <v>87.5</v>
      </c>
      <c r="L79" cm="1">
        <f t="array" ref="L79">STOWA2024_JAARROND_T(A79*60,K79,I79,J79,"")</f>
        <v>5.2641059492531745</v>
      </c>
      <c r="M79">
        <f t="shared" si="26"/>
        <v>0.18996578139576983</v>
      </c>
    </row>
    <row r="80" spans="1:13" x14ac:dyDescent="0.3">
      <c r="A80">
        <v>96</v>
      </c>
      <c r="B80">
        <f t="shared" si="23"/>
        <v>5.2509751885131545E-2</v>
      </c>
      <c r="C80">
        <f t="shared" si="19"/>
        <v>5.2509751885131545E-2</v>
      </c>
      <c r="D80" t="s">
        <v>35</v>
      </c>
      <c r="E80" t="s">
        <v>21</v>
      </c>
      <c r="F80">
        <v>1</v>
      </c>
      <c r="G80">
        <f t="shared" si="24"/>
        <v>90</v>
      </c>
      <c r="I80">
        <v>2150</v>
      </c>
      <c r="J80" t="s">
        <v>28</v>
      </c>
      <c r="K80">
        <f t="shared" si="25"/>
        <v>92.5</v>
      </c>
      <c r="L80" cm="1">
        <f t="array" ref="L80">STOWA2024_JAARROND_T(A80*60,K80,I80,J80,"")</f>
        <v>7.2750537285278263</v>
      </c>
      <c r="M80">
        <f t="shared" si="26"/>
        <v>0.13745602951063829</v>
      </c>
    </row>
    <row r="81" spans="1:13" x14ac:dyDescent="0.3">
      <c r="A81">
        <v>96</v>
      </c>
      <c r="B81">
        <f t="shared" si="23"/>
        <v>3.7445037256730679E-2</v>
      </c>
      <c r="C81">
        <f t="shared" si="19"/>
        <v>3.7445037256730679E-2</v>
      </c>
      <c r="D81" t="s">
        <v>35</v>
      </c>
      <c r="E81" t="s">
        <v>21</v>
      </c>
      <c r="F81">
        <v>1</v>
      </c>
      <c r="G81">
        <f t="shared" si="24"/>
        <v>95</v>
      </c>
      <c r="I81">
        <v>2150</v>
      </c>
      <c r="J81" t="s">
        <v>28</v>
      </c>
      <c r="K81">
        <f t="shared" si="25"/>
        <v>97.5</v>
      </c>
      <c r="L81" cm="1">
        <f t="array" ref="L81">STOWA2024_JAARROND_T(A81*60,K81,I81,J81,"")</f>
        <v>9.9989008954256047</v>
      </c>
      <c r="M81">
        <f t="shared" si="26"/>
        <v>0.10001099225390761</v>
      </c>
    </row>
    <row r="82" spans="1:13" x14ac:dyDescent="0.3">
      <c r="A82">
        <v>96</v>
      </c>
      <c r="B82">
        <f t="shared" si="23"/>
        <v>2.6855482604072112E-2</v>
      </c>
      <c r="C82">
        <f t="shared" si="19"/>
        <v>2.6855482604072112E-2</v>
      </c>
      <c r="D82" t="s">
        <v>35</v>
      </c>
      <c r="E82" t="s">
        <v>21</v>
      </c>
      <c r="F82">
        <v>1</v>
      </c>
      <c r="G82">
        <f t="shared" si="24"/>
        <v>100</v>
      </c>
      <c r="I82">
        <v>2150</v>
      </c>
      <c r="J82" t="s">
        <v>28</v>
      </c>
      <c r="K82">
        <f t="shared" si="25"/>
        <v>102.5</v>
      </c>
      <c r="L82" cm="1">
        <f t="array" ref="L82">STOWA2024_JAARROND_T(A82*60,K82,I82,J82,"")</f>
        <v>13.669510400331804</v>
      </c>
      <c r="M82">
        <f t="shared" si="26"/>
        <v>7.3155509649835498E-2</v>
      </c>
    </row>
    <row r="83" spans="1:13" x14ac:dyDescent="0.3">
      <c r="A83">
        <v>96</v>
      </c>
      <c r="B83">
        <f t="shared" si="23"/>
        <v>1.9367499112114508E-2</v>
      </c>
      <c r="C83">
        <f t="shared" si="19"/>
        <v>1.9367499112114508E-2</v>
      </c>
      <c r="D83" t="s">
        <v>35</v>
      </c>
      <c r="E83" t="s">
        <v>21</v>
      </c>
      <c r="F83">
        <v>1</v>
      </c>
      <c r="G83">
        <f t="shared" si="24"/>
        <v>105</v>
      </c>
      <c r="I83">
        <v>2150</v>
      </c>
      <c r="J83" t="s">
        <v>28</v>
      </c>
      <c r="K83">
        <f t="shared" si="25"/>
        <v>107.5</v>
      </c>
      <c r="L83" cm="1">
        <f t="array" ref="L83">STOWA2024_JAARROND_T(A83*60,K83,I83,J83,"")</f>
        <v>18.591503757119071</v>
      </c>
      <c r="M83">
        <f t="shared" si="26"/>
        <v>5.378801053772099E-2</v>
      </c>
    </row>
    <row r="84" spans="1:13" x14ac:dyDescent="0.3">
      <c r="A84">
        <v>96</v>
      </c>
      <c r="B84">
        <f t="shared" si="23"/>
        <v>1.4042276940855691E-2</v>
      </c>
      <c r="C84">
        <f t="shared" si="19"/>
        <v>1.4042276940855691E-2</v>
      </c>
      <c r="D84" t="s">
        <v>35</v>
      </c>
      <c r="E84" t="s">
        <v>21</v>
      </c>
      <c r="F84">
        <v>1</v>
      </c>
      <c r="G84">
        <f t="shared" si="24"/>
        <v>110</v>
      </c>
      <c r="I84">
        <v>2150</v>
      </c>
      <c r="J84" t="s">
        <v>28</v>
      </c>
      <c r="K84">
        <f t="shared" si="25"/>
        <v>112.5</v>
      </c>
      <c r="L84" cm="1">
        <f t="array" ref="L84">STOWA2024_JAARROND_T(A84*60,K84,I84,J84,"")</f>
        <v>25.159933142581846</v>
      </c>
      <c r="M84">
        <f t="shared" si="26"/>
        <v>3.9745733596865299E-2</v>
      </c>
    </row>
    <row r="85" spans="1:13" x14ac:dyDescent="0.3">
      <c r="A85">
        <v>96</v>
      </c>
      <c r="B85">
        <f t="shared" si="23"/>
        <v>1.0233884853029319E-2</v>
      </c>
      <c r="C85">
        <f t="shared" si="19"/>
        <v>1.0233884853029319E-2</v>
      </c>
      <c r="D85" t="s">
        <v>35</v>
      </c>
      <c r="E85" t="s">
        <v>21</v>
      </c>
      <c r="F85">
        <v>1</v>
      </c>
      <c r="G85">
        <f t="shared" si="24"/>
        <v>115</v>
      </c>
      <c r="I85">
        <v>2150</v>
      </c>
      <c r="J85" t="s">
        <v>28</v>
      </c>
      <c r="K85">
        <f t="shared" si="25"/>
        <v>117.5</v>
      </c>
      <c r="L85" cm="1">
        <f t="array" ref="L85">STOWA2024_JAARROND_T(A85*60,K85,I85,J85,"")</f>
        <v>33.88469521784419</v>
      </c>
      <c r="M85">
        <f t="shared" si="26"/>
        <v>2.9511848743835979E-2</v>
      </c>
    </row>
    <row r="86" spans="1:13" x14ac:dyDescent="0.3">
      <c r="A86">
        <v>96</v>
      </c>
      <c r="B86">
        <f t="shared" si="23"/>
        <v>7.4962616012677723E-3</v>
      </c>
      <c r="C86">
        <f t="shared" si="19"/>
        <v>7.4962616012677723E-3</v>
      </c>
      <c r="D86" t="s">
        <v>35</v>
      </c>
      <c r="E86" t="s">
        <v>21</v>
      </c>
      <c r="F86">
        <v>1</v>
      </c>
      <c r="G86">
        <f t="shared" si="24"/>
        <v>120</v>
      </c>
      <c r="I86">
        <v>2150</v>
      </c>
      <c r="J86" t="s">
        <v>28</v>
      </c>
      <c r="K86">
        <f t="shared" si="25"/>
        <v>122.5</v>
      </c>
      <c r="L86" cm="1">
        <f t="array" ref="L86">STOWA2024_JAARROND_T(A86*60,K86,I86,J86,"")</f>
        <v>45.422363415711565</v>
      </c>
      <c r="M86">
        <f t="shared" si="26"/>
        <v>2.2015587142568207E-2</v>
      </c>
    </row>
    <row r="87" spans="1:13" x14ac:dyDescent="0.3">
      <c r="A87">
        <v>96</v>
      </c>
      <c r="B87">
        <f t="shared" si="23"/>
        <v>5.517404140972737E-3</v>
      </c>
      <c r="C87">
        <f t="shared" si="19"/>
        <v>5.517404140972737E-3</v>
      </c>
      <c r="D87" t="s">
        <v>35</v>
      </c>
      <c r="E87" t="s">
        <v>21</v>
      </c>
      <c r="F87">
        <v>1</v>
      </c>
      <c r="G87">
        <f t="shared" si="24"/>
        <v>125</v>
      </c>
      <c r="I87">
        <v>2150</v>
      </c>
      <c r="J87" t="s">
        <v>28</v>
      </c>
      <c r="K87">
        <f t="shared" si="25"/>
        <v>127.5</v>
      </c>
      <c r="L87" cm="1">
        <f t="array" ref="L87">STOWA2024_JAARROND_T(A87*60,K87,I87,J87,"")</f>
        <v>60.612735348086169</v>
      </c>
      <c r="M87">
        <f t="shared" si="26"/>
        <v>1.649818300159547E-2</v>
      </c>
    </row>
    <row r="88" spans="1:13" x14ac:dyDescent="0.3">
      <c r="A88">
        <v>96</v>
      </c>
      <c r="B88">
        <f t="shared" si="23"/>
        <v>4.080304826561066E-3</v>
      </c>
      <c r="C88">
        <f t="shared" si="19"/>
        <v>4.080304826561066E-3</v>
      </c>
      <c r="D88" t="s">
        <v>35</v>
      </c>
      <c r="E88" t="s">
        <v>21</v>
      </c>
      <c r="F88">
        <v>1</v>
      </c>
      <c r="G88">
        <f t="shared" si="24"/>
        <v>130</v>
      </c>
      <c r="I88">
        <v>2150</v>
      </c>
      <c r="J88" t="s">
        <v>28</v>
      </c>
      <c r="K88">
        <f t="shared" si="25"/>
        <v>132.5</v>
      </c>
      <c r="L88" cm="1">
        <f t="array" ref="L88">STOWA2024_JAARROND_T(A88*60,K88,I88,J88,"")</f>
        <v>80.529055439636693</v>
      </c>
      <c r="M88">
        <f t="shared" si="26"/>
        <v>1.2417878175034404E-2</v>
      </c>
    </row>
    <row r="89" spans="1:13" x14ac:dyDescent="0.3">
      <c r="A89">
        <v>96</v>
      </c>
      <c r="B89">
        <f t="shared" si="23"/>
        <v>3.0311731188920367E-3</v>
      </c>
      <c r="C89">
        <f t="shared" si="19"/>
        <v>3.0311731188920367E-3</v>
      </c>
      <c r="D89" t="s">
        <v>35</v>
      </c>
      <c r="E89" t="s">
        <v>21</v>
      </c>
      <c r="F89">
        <v>1</v>
      </c>
      <c r="G89">
        <f t="shared" si="24"/>
        <v>135</v>
      </c>
      <c r="I89">
        <v>2150</v>
      </c>
      <c r="J89" t="s">
        <v>28</v>
      </c>
      <c r="K89">
        <f t="shared" si="25"/>
        <v>137.5</v>
      </c>
      <c r="L89" cm="1">
        <f t="array" ref="L89">STOWA2024_JAARROND_T(A89*60,K89,I89,J89,"")</f>
        <v>106.53365520903751</v>
      </c>
      <c r="M89">
        <f t="shared" si="26"/>
        <v>9.3867050561423672E-3</v>
      </c>
    </row>
    <row r="90" spans="1:13" x14ac:dyDescent="0.3">
      <c r="A90">
        <v>96</v>
      </c>
      <c r="B90">
        <f t="shared" si="23"/>
        <v>2.2619039227694494E-3</v>
      </c>
      <c r="C90">
        <f t="shared" si="19"/>
        <v>2.2619039227694494E-3</v>
      </c>
      <c r="D90" t="s">
        <v>35</v>
      </c>
      <c r="E90" t="s">
        <v>21</v>
      </c>
      <c r="F90">
        <v>1</v>
      </c>
      <c r="G90">
        <f t="shared" si="24"/>
        <v>140</v>
      </c>
      <c r="I90">
        <v>2150</v>
      </c>
      <c r="J90" t="s">
        <v>28</v>
      </c>
      <c r="K90">
        <f t="shared" si="25"/>
        <v>142.5</v>
      </c>
      <c r="L90" cm="1">
        <f t="array" ref="L90">STOWA2024_JAARROND_T(A90*60,K90,I90,J90,"")</f>
        <v>140.35479465047115</v>
      </c>
      <c r="M90">
        <f t="shared" si="26"/>
        <v>7.1248011333729178E-3</v>
      </c>
    </row>
    <row r="91" spans="1:13" x14ac:dyDescent="0.3">
      <c r="A91">
        <v>96</v>
      </c>
      <c r="B91">
        <f t="shared" si="23"/>
        <v>1.6950560995417467E-3</v>
      </c>
      <c r="C91">
        <f t="shared" si="19"/>
        <v>1.6950560995417467E-3</v>
      </c>
      <c r="D91" t="s">
        <v>35</v>
      </c>
      <c r="E91" t="s">
        <v>21</v>
      </c>
      <c r="F91">
        <v>1</v>
      </c>
      <c r="G91">
        <f t="shared" si="24"/>
        <v>145</v>
      </c>
      <c r="I91">
        <v>2150</v>
      </c>
      <c r="J91" t="s">
        <v>28</v>
      </c>
      <c r="K91">
        <f t="shared" si="25"/>
        <v>147.5</v>
      </c>
      <c r="L91" cm="1">
        <f t="array" ref="L91">STOWA2024_JAARROND_T(A91*60,K91,I91,J91,"")</f>
        <v>184.17071036840389</v>
      </c>
      <c r="M91">
        <f t="shared" si="26"/>
        <v>5.4297450338311711E-3</v>
      </c>
    </row>
    <row r="92" spans="1:13" x14ac:dyDescent="0.3">
      <c r="A92">
        <v>96</v>
      </c>
      <c r="B92">
        <f t="shared" si="23"/>
        <v>1.2756126081709647E-3</v>
      </c>
      <c r="C92">
        <f t="shared" si="19"/>
        <v>1.2756126081709647E-3</v>
      </c>
      <c r="D92" t="s">
        <v>35</v>
      </c>
      <c r="E92" t="s">
        <v>21</v>
      </c>
      <c r="F92">
        <v>1</v>
      </c>
      <c r="G92">
        <f t="shared" si="24"/>
        <v>150</v>
      </c>
      <c r="I92">
        <v>2150</v>
      </c>
      <c r="J92" t="s">
        <v>28</v>
      </c>
      <c r="K92">
        <f t="shared" si="25"/>
        <v>152.5</v>
      </c>
      <c r="L92" cm="1">
        <f t="array" ref="L92">STOWA2024_JAARROND_T(A92*60,K92,I92,J92,"")</f>
        <v>240.72415068498267</v>
      </c>
      <c r="M92">
        <f t="shared" si="26"/>
        <v>4.1541324256602064E-3</v>
      </c>
    </row>
    <row r="93" spans="1:13" x14ac:dyDescent="0.3">
      <c r="A93">
        <v>96</v>
      </c>
      <c r="B93">
        <f t="shared" si="23"/>
        <v>9.6386209389043602E-4</v>
      </c>
      <c r="C93">
        <f t="shared" si="19"/>
        <v>9.6386209389043602E-4</v>
      </c>
      <c r="D93" t="s">
        <v>35</v>
      </c>
      <c r="E93" t="s">
        <v>21</v>
      </c>
      <c r="F93">
        <v>1</v>
      </c>
      <c r="G93">
        <f t="shared" si="24"/>
        <v>155</v>
      </c>
      <c r="I93">
        <v>2150</v>
      </c>
      <c r="J93" t="s">
        <v>28</v>
      </c>
      <c r="K93">
        <f t="shared" si="25"/>
        <v>157.5</v>
      </c>
      <c r="L93" cm="1">
        <f t="array" ref="L93">STOWA2024_JAARROND_T(A93*60,K93,I93,J93,"")</f>
        <v>313.453060714532</v>
      </c>
      <c r="M93">
        <f t="shared" si="26"/>
        <v>3.1902703317697703E-3</v>
      </c>
    </row>
    <row r="94" spans="1:13" x14ac:dyDescent="0.3">
      <c r="A94">
        <v>96</v>
      </c>
      <c r="B94" s="1">
        <f>M93</f>
        <v>3.1902703317697703E-3</v>
      </c>
      <c r="C94">
        <f t="shared" si="19"/>
        <v>3.1902703317697703E-3</v>
      </c>
      <c r="D94" t="s">
        <v>35</v>
      </c>
      <c r="E94" t="s">
        <v>21</v>
      </c>
      <c r="F94">
        <v>1</v>
      </c>
      <c r="G94">
        <f t="shared" si="24"/>
        <v>160</v>
      </c>
      <c r="I94">
        <v>2150</v>
      </c>
      <c r="J94" t="s">
        <v>28</v>
      </c>
      <c r="K94">
        <f>AVERAGE(G94:G95)</f>
        <v>85</v>
      </c>
      <c r="L94" cm="1">
        <f t="array" ref="L94">STOWA2024_JAARROND_T(A94*60,K94,I94,J94,"")</f>
        <v>4.4683425392693579</v>
      </c>
      <c r="M94">
        <f>1/L94</f>
        <v>0.22379662955819749</v>
      </c>
    </row>
    <row r="95" spans="1:13" x14ac:dyDescent="0.3">
      <c r="A95">
        <v>192</v>
      </c>
      <c r="B95" s="1">
        <f>365.25*24/A95 - M95</f>
        <v>-11.318747829890043</v>
      </c>
      <c r="C95">
        <f>B95</f>
        <v>-11.318747829890043</v>
      </c>
      <c r="D95" t="s">
        <v>35</v>
      </c>
      <c r="E95" t="s">
        <v>21</v>
      </c>
      <c r="F95">
        <v>1</v>
      </c>
      <c r="G95">
        <v>10</v>
      </c>
      <c r="I95">
        <v>2150</v>
      </c>
      <c r="J95" t="s">
        <v>28</v>
      </c>
      <c r="K95">
        <f>AVERAGE(G95:G97)</f>
        <v>15</v>
      </c>
      <c r="L95" cm="1">
        <f t="array" ref="L95">STOWA2024_JAARROND_T(A95*60,K95,I95,J95,"")</f>
        <v>1.7551558369263916E-2</v>
      </c>
      <c r="M95">
        <f>1/L95</f>
        <v>56.974997829890043</v>
      </c>
    </row>
    <row r="96" spans="1:13" x14ac:dyDescent="0.3">
      <c r="A96">
        <v>192</v>
      </c>
      <c r="B96">
        <f t="shared" ref="B96:B100" si="27">M95-M96</f>
        <v>7.7072104910267356</v>
      </c>
      <c r="C96">
        <f t="shared" ref="C96:C125" si="28">B96</f>
        <v>7.7072104910267356</v>
      </c>
      <c r="D96" t="s">
        <v>35</v>
      </c>
      <c r="E96" t="s">
        <v>21</v>
      </c>
      <c r="F96">
        <v>1</v>
      </c>
      <c r="G96">
        <f t="shared" ref="G96:G100" si="29">G95+5</f>
        <v>15</v>
      </c>
      <c r="I96">
        <v>2150</v>
      </c>
      <c r="J96" t="s">
        <v>28</v>
      </c>
      <c r="K96">
        <f t="shared" ref="K96:K100" si="30">AVERAGE(G96:G97)</f>
        <v>17.5</v>
      </c>
      <c r="L96" cm="1">
        <f t="array" ref="L96">STOWA2024_JAARROND_T(A96*60,K96,I96,J96,"")</f>
        <v>2.0297237891403787E-2</v>
      </c>
      <c r="M96">
        <f t="shared" ref="M96:M100" si="31">1/L96</f>
        <v>49.267787338863307</v>
      </c>
    </row>
    <row r="97" spans="1:13" x14ac:dyDescent="0.3">
      <c r="A97">
        <v>192</v>
      </c>
      <c r="B97">
        <f t="shared" si="27"/>
        <v>12.438570154221132</v>
      </c>
      <c r="C97">
        <f t="shared" si="28"/>
        <v>12.438570154221132</v>
      </c>
      <c r="D97" t="s">
        <v>35</v>
      </c>
      <c r="E97" t="s">
        <v>21</v>
      </c>
      <c r="F97">
        <v>1</v>
      </c>
      <c r="G97">
        <f t="shared" si="29"/>
        <v>20</v>
      </c>
      <c r="I97">
        <v>2150</v>
      </c>
      <c r="J97" t="s">
        <v>28</v>
      </c>
      <c r="K97">
        <f t="shared" si="30"/>
        <v>22.5</v>
      </c>
      <c r="L97" cm="1">
        <f t="array" ref="L97">STOWA2024_JAARROND_T(A97*60,K97,I97,J97,"")</f>
        <v>2.7152355560166538E-2</v>
      </c>
      <c r="M97">
        <f t="shared" si="31"/>
        <v>36.829217184642175</v>
      </c>
    </row>
    <row r="98" spans="1:13" x14ac:dyDescent="0.3">
      <c r="A98">
        <v>192</v>
      </c>
      <c r="B98">
        <f t="shared" si="27"/>
        <v>9.3078120619487095</v>
      </c>
      <c r="C98">
        <f t="shared" si="28"/>
        <v>9.3078120619487095</v>
      </c>
      <c r="D98" t="s">
        <v>35</v>
      </c>
      <c r="E98" t="s">
        <v>21</v>
      </c>
      <c r="F98">
        <v>1</v>
      </c>
      <c r="G98">
        <f t="shared" si="29"/>
        <v>25</v>
      </c>
      <c r="I98">
        <v>2150</v>
      </c>
      <c r="J98" t="s">
        <v>28</v>
      </c>
      <c r="K98">
        <f t="shared" si="30"/>
        <v>27.5</v>
      </c>
      <c r="L98" cm="1">
        <f t="array" ref="L98">STOWA2024_JAARROND_T(A98*60,K98,I98,J98,"")</f>
        <v>3.6335354083190503E-2</v>
      </c>
      <c r="M98">
        <f t="shared" si="31"/>
        <v>27.521405122693466</v>
      </c>
    </row>
    <row r="99" spans="1:13" x14ac:dyDescent="0.3">
      <c r="A99">
        <v>192</v>
      </c>
      <c r="B99">
        <f t="shared" si="27"/>
        <v>6.9631252804371151</v>
      </c>
      <c r="C99">
        <f t="shared" si="28"/>
        <v>6.9631252804371151</v>
      </c>
      <c r="D99" t="s">
        <v>35</v>
      </c>
      <c r="E99" t="s">
        <v>21</v>
      </c>
      <c r="F99">
        <v>1</v>
      </c>
      <c r="G99">
        <f t="shared" si="29"/>
        <v>30</v>
      </c>
      <c r="I99">
        <v>2150</v>
      </c>
      <c r="J99" t="s">
        <v>28</v>
      </c>
      <c r="K99">
        <f t="shared" si="30"/>
        <v>32.5</v>
      </c>
      <c r="L99" cm="1">
        <f t="array" ref="L99">STOWA2024_JAARROND_T(A99*60,K99,I99,J99,"")</f>
        <v>4.8642201958189031E-2</v>
      </c>
      <c r="M99">
        <f t="shared" si="31"/>
        <v>20.558279842256351</v>
      </c>
    </row>
    <row r="100" spans="1:13" x14ac:dyDescent="0.3">
      <c r="A100">
        <v>192</v>
      </c>
      <c r="B100">
        <f t="shared" si="27"/>
        <v>5.2069727616374077</v>
      </c>
      <c r="C100">
        <f t="shared" si="28"/>
        <v>5.2069727616374077</v>
      </c>
      <c r="D100" t="s">
        <v>35</v>
      </c>
      <c r="E100" t="s">
        <v>21</v>
      </c>
      <c r="F100">
        <v>1</v>
      </c>
      <c r="G100">
        <f t="shared" si="29"/>
        <v>35</v>
      </c>
      <c r="I100">
        <v>2150</v>
      </c>
      <c r="J100" t="s">
        <v>28</v>
      </c>
      <c r="K100">
        <f t="shared" si="30"/>
        <v>37.5</v>
      </c>
      <c r="L100" cm="1">
        <f t="array" ref="L100">STOWA2024_JAARROND_T(A100*60,K100,I100,J100,"")</f>
        <v>6.5141032926277792E-2</v>
      </c>
      <c r="M100">
        <f t="shared" si="31"/>
        <v>15.351307080618943</v>
      </c>
    </row>
    <row r="101" spans="1:13" x14ac:dyDescent="0.3">
      <c r="A101">
        <v>192</v>
      </c>
      <c r="B101">
        <f>M100-M101</f>
        <v>3.892498209549597</v>
      </c>
      <c r="C101">
        <f t="shared" si="28"/>
        <v>3.892498209549597</v>
      </c>
      <c r="D101" t="s">
        <v>35</v>
      </c>
      <c r="E101" t="s">
        <v>21</v>
      </c>
      <c r="F101">
        <v>1</v>
      </c>
      <c r="G101">
        <f>G100+5</f>
        <v>40</v>
      </c>
      <c r="I101">
        <v>2150</v>
      </c>
      <c r="J101" t="s">
        <v>28</v>
      </c>
      <c r="K101">
        <f>AVERAGE(G101:G102)</f>
        <v>42.5</v>
      </c>
      <c r="L101" cm="1">
        <f t="array" ref="L101">STOWA2024_JAARROND_T(A101*60,K101,I101,J101,"")</f>
        <v>8.7269105476115605E-2</v>
      </c>
      <c r="M101">
        <f>1/L101</f>
        <v>11.458808871069346</v>
      </c>
    </row>
    <row r="102" spans="1:13" x14ac:dyDescent="0.3">
      <c r="A102">
        <v>192</v>
      </c>
      <c r="B102">
        <f t="shared" ref="B102:B124" si="32">M101-M102</f>
        <v>2.9084895086931137</v>
      </c>
      <c r="C102">
        <f t="shared" si="28"/>
        <v>2.9084895086931137</v>
      </c>
      <c r="D102" t="s">
        <v>35</v>
      </c>
      <c r="E102" t="s">
        <v>21</v>
      </c>
      <c r="F102">
        <v>1</v>
      </c>
      <c r="G102">
        <f t="shared" ref="G102:G125" si="33">G101+5</f>
        <v>45</v>
      </c>
      <c r="I102">
        <v>2150</v>
      </c>
      <c r="J102" t="s">
        <v>28</v>
      </c>
      <c r="K102">
        <f t="shared" ref="K102:K124" si="34">AVERAGE(G102:G103)</f>
        <v>47.5</v>
      </c>
      <c r="L102" cm="1">
        <f t="array" ref="L102">STOWA2024_JAARROND_T(A102*60,K102,I102,J102,"")</f>
        <v>0.11695469579771212</v>
      </c>
      <c r="M102">
        <f t="shared" ref="M102:M124" si="35">1/L102</f>
        <v>8.5503193623762321</v>
      </c>
    </row>
    <row r="103" spans="1:13" x14ac:dyDescent="0.3">
      <c r="A103">
        <v>192</v>
      </c>
      <c r="B103">
        <f t="shared" si="32"/>
        <v>2.1725909832921086</v>
      </c>
      <c r="C103">
        <f t="shared" si="28"/>
        <v>2.1725909832921086</v>
      </c>
      <c r="D103" t="s">
        <v>35</v>
      </c>
      <c r="E103" t="s">
        <v>21</v>
      </c>
      <c r="F103">
        <v>1</v>
      </c>
      <c r="G103">
        <f t="shared" si="33"/>
        <v>50</v>
      </c>
      <c r="I103">
        <v>2150</v>
      </c>
      <c r="J103" t="s">
        <v>28</v>
      </c>
      <c r="K103">
        <f t="shared" si="34"/>
        <v>52.5</v>
      </c>
      <c r="L103" cm="1">
        <f t="array" ref="L103">STOWA2024_JAARROND_T(A103*60,K103,I103,J103,"")</f>
        <v>0.15679563953829051</v>
      </c>
      <c r="M103">
        <f t="shared" si="35"/>
        <v>6.3777283790841235</v>
      </c>
    </row>
    <row r="104" spans="1:13" x14ac:dyDescent="0.3">
      <c r="A104">
        <v>192</v>
      </c>
      <c r="B104">
        <f t="shared" si="32"/>
        <v>1.6223527722375346</v>
      </c>
      <c r="C104">
        <f t="shared" si="28"/>
        <v>1.6223527722375346</v>
      </c>
      <c r="D104" t="s">
        <v>35</v>
      </c>
      <c r="E104" t="s">
        <v>21</v>
      </c>
      <c r="F104">
        <v>1</v>
      </c>
      <c r="G104">
        <f t="shared" si="33"/>
        <v>55</v>
      </c>
      <c r="I104">
        <v>2150</v>
      </c>
      <c r="J104" t="s">
        <v>28</v>
      </c>
      <c r="K104">
        <f t="shared" si="34"/>
        <v>57.5</v>
      </c>
      <c r="L104" cm="1">
        <f t="array" ref="L104">STOWA2024_JAARROND_T(A104*60,K104,I104,J104,"")</f>
        <v>0.21028833107530817</v>
      </c>
      <c r="M104">
        <f t="shared" si="35"/>
        <v>4.7553756068465889</v>
      </c>
    </row>
    <row r="105" spans="1:13" x14ac:dyDescent="0.3">
      <c r="A105">
        <v>192</v>
      </c>
      <c r="B105">
        <f t="shared" si="32"/>
        <v>1.2109606977621801</v>
      </c>
      <c r="C105">
        <f t="shared" si="28"/>
        <v>1.2109606977621801</v>
      </c>
      <c r="D105" t="s">
        <v>35</v>
      </c>
      <c r="E105" t="s">
        <v>21</v>
      </c>
      <c r="F105">
        <v>1</v>
      </c>
      <c r="G105">
        <f t="shared" si="33"/>
        <v>60</v>
      </c>
      <c r="I105">
        <v>2150</v>
      </c>
      <c r="J105" t="s">
        <v>28</v>
      </c>
      <c r="K105">
        <f t="shared" si="34"/>
        <v>62.5</v>
      </c>
      <c r="L105" cm="1">
        <f t="array" ref="L105">STOWA2024_JAARROND_T(A105*60,K105,I105,J105,"")</f>
        <v>0.28213401242528896</v>
      </c>
      <c r="M105">
        <f t="shared" si="35"/>
        <v>3.5444149090844088</v>
      </c>
    </row>
    <row r="106" spans="1:13" x14ac:dyDescent="0.3">
      <c r="A106">
        <v>192</v>
      </c>
      <c r="B106">
        <f t="shared" si="32"/>
        <v>0.90355461568255935</v>
      </c>
      <c r="C106">
        <f t="shared" si="28"/>
        <v>0.90355461568255935</v>
      </c>
      <c r="D106" t="s">
        <v>35</v>
      </c>
      <c r="E106" t="s">
        <v>21</v>
      </c>
      <c r="F106">
        <v>1</v>
      </c>
      <c r="G106">
        <f t="shared" si="33"/>
        <v>65</v>
      </c>
      <c r="I106">
        <v>2150</v>
      </c>
      <c r="J106" t="s">
        <v>28</v>
      </c>
      <c r="K106">
        <f t="shared" si="34"/>
        <v>67.5</v>
      </c>
      <c r="L106" cm="1">
        <f t="array" ref="L106">STOWA2024_JAARROND_T(A106*60,K106,I106,J106,"")</f>
        <v>0.37866448387992552</v>
      </c>
      <c r="M106">
        <f t="shared" si="35"/>
        <v>2.6408602934018495</v>
      </c>
    </row>
    <row r="107" spans="1:13" x14ac:dyDescent="0.3">
      <c r="A107">
        <v>192</v>
      </c>
      <c r="B107">
        <f t="shared" si="32"/>
        <v>0.67393654828885952</v>
      </c>
      <c r="C107">
        <f t="shared" si="28"/>
        <v>0.67393654828885952</v>
      </c>
      <c r="D107" t="s">
        <v>35</v>
      </c>
      <c r="E107" t="s">
        <v>21</v>
      </c>
      <c r="F107">
        <v>1</v>
      </c>
      <c r="G107">
        <f t="shared" si="33"/>
        <v>70</v>
      </c>
      <c r="I107">
        <v>2150</v>
      </c>
      <c r="J107" t="s">
        <v>28</v>
      </c>
      <c r="K107">
        <f t="shared" si="34"/>
        <v>72.5</v>
      </c>
      <c r="L107" cm="1">
        <f t="array" ref="L107">STOWA2024_JAARROND_T(A107*60,K107,I107,J107,"")</f>
        <v>0.50840811825298038</v>
      </c>
      <c r="M107">
        <f t="shared" si="35"/>
        <v>1.96692374511299</v>
      </c>
    </row>
    <row r="108" spans="1:13" x14ac:dyDescent="0.3">
      <c r="A108">
        <v>192</v>
      </c>
      <c r="B108">
        <f t="shared" si="32"/>
        <v>0.50251140790376025</v>
      </c>
      <c r="C108">
        <f t="shared" si="28"/>
        <v>0.50251140790376025</v>
      </c>
      <c r="D108" t="s">
        <v>35</v>
      </c>
      <c r="E108" t="s">
        <v>21</v>
      </c>
      <c r="F108">
        <v>1</v>
      </c>
      <c r="G108">
        <f t="shared" si="33"/>
        <v>75</v>
      </c>
      <c r="I108">
        <v>2150</v>
      </c>
      <c r="J108" t="s">
        <v>28</v>
      </c>
      <c r="K108">
        <f t="shared" si="34"/>
        <v>77.5</v>
      </c>
      <c r="L108" cm="1">
        <f t="array" ref="L108">STOWA2024_JAARROND_T(A108*60,K108,I108,J108,"")</f>
        <v>0.68286777882910155</v>
      </c>
      <c r="M108">
        <f t="shared" si="35"/>
        <v>1.4644123372092297</v>
      </c>
    </row>
    <row r="109" spans="1:13" x14ac:dyDescent="0.3">
      <c r="A109">
        <v>192</v>
      </c>
      <c r="B109">
        <f t="shared" si="32"/>
        <v>0.37453219408358773</v>
      </c>
      <c r="C109">
        <f t="shared" si="28"/>
        <v>0.37453219408358773</v>
      </c>
      <c r="D109" t="s">
        <v>35</v>
      </c>
      <c r="E109" t="s">
        <v>21</v>
      </c>
      <c r="F109">
        <v>1</v>
      </c>
      <c r="G109">
        <f t="shared" si="33"/>
        <v>80</v>
      </c>
      <c r="I109">
        <v>2150</v>
      </c>
      <c r="J109" t="s">
        <v>28</v>
      </c>
      <c r="K109">
        <f t="shared" si="34"/>
        <v>82.5</v>
      </c>
      <c r="L109" cm="1">
        <f t="array" ref="L109">STOWA2024_JAARROND_T(A109*60,K109,I109,J109,"")</f>
        <v>0.91753208488790627</v>
      </c>
      <c r="M109">
        <f t="shared" si="35"/>
        <v>1.089880143125642</v>
      </c>
    </row>
    <row r="110" spans="1:13" x14ac:dyDescent="0.3">
      <c r="A110">
        <v>192</v>
      </c>
      <c r="B110">
        <f t="shared" si="32"/>
        <v>0.27897127880844164</v>
      </c>
      <c r="C110">
        <f t="shared" si="28"/>
        <v>0.27897127880844164</v>
      </c>
      <c r="D110" t="s">
        <v>35</v>
      </c>
      <c r="E110" t="s">
        <v>21</v>
      </c>
      <c r="F110">
        <v>1</v>
      </c>
      <c r="G110">
        <f t="shared" si="33"/>
        <v>85</v>
      </c>
      <c r="I110">
        <v>2150</v>
      </c>
      <c r="J110" t="s">
        <v>28</v>
      </c>
      <c r="K110">
        <f t="shared" si="34"/>
        <v>87.5</v>
      </c>
      <c r="L110" cm="1">
        <f t="array" ref="L110">STOWA2024_JAARROND_T(A110*60,K110,I110,J110,"")</f>
        <v>1.2331842010902394</v>
      </c>
      <c r="M110">
        <f t="shared" si="35"/>
        <v>0.81090886431720033</v>
      </c>
    </row>
    <row r="111" spans="1:13" x14ac:dyDescent="0.3">
      <c r="A111">
        <v>192</v>
      </c>
      <c r="B111">
        <f t="shared" si="32"/>
        <v>0.20784774141940399</v>
      </c>
      <c r="C111">
        <f t="shared" si="28"/>
        <v>0.20784774141940399</v>
      </c>
      <c r="D111" t="s">
        <v>35</v>
      </c>
      <c r="E111" t="s">
        <v>21</v>
      </c>
      <c r="F111">
        <v>1</v>
      </c>
      <c r="G111">
        <f t="shared" si="33"/>
        <v>90</v>
      </c>
      <c r="I111">
        <v>2150</v>
      </c>
      <c r="J111" t="s">
        <v>28</v>
      </c>
      <c r="K111">
        <f t="shared" si="34"/>
        <v>92.5</v>
      </c>
      <c r="L111" cm="1">
        <f t="array" ref="L111">STOWA2024_JAARROND_T(A111*60,K111,I111,J111,"")</f>
        <v>1.6582067091223767</v>
      </c>
      <c r="M111">
        <f t="shared" si="35"/>
        <v>0.60306112289779634</v>
      </c>
    </row>
    <row r="112" spans="1:13" x14ac:dyDescent="0.3">
      <c r="A112">
        <v>192</v>
      </c>
      <c r="B112">
        <f t="shared" si="32"/>
        <v>0.15474058929853796</v>
      </c>
      <c r="C112">
        <f t="shared" si="28"/>
        <v>0.15474058929853796</v>
      </c>
      <c r="D112" t="s">
        <v>35</v>
      </c>
      <c r="E112" t="s">
        <v>21</v>
      </c>
      <c r="F112">
        <v>1</v>
      </c>
      <c r="G112">
        <f t="shared" si="33"/>
        <v>95</v>
      </c>
      <c r="I112">
        <v>2150</v>
      </c>
      <c r="J112" t="s">
        <v>28</v>
      </c>
      <c r="K112">
        <f t="shared" si="34"/>
        <v>97.5</v>
      </c>
      <c r="L112" cm="1">
        <f t="array" ref="L112">STOWA2024_JAARROND_T(A112*60,K112,I112,J112,"")</f>
        <v>2.230546952582531</v>
      </c>
      <c r="M112">
        <f t="shared" si="35"/>
        <v>0.44832053359925839</v>
      </c>
    </row>
    <row r="113" spans="1:13" x14ac:dyDescent="0.3">
      <c r="A113">
        <v>192</v>
      </c>
      <c r="B113">
        <f t="shared" si="32"/>
        <v>0.11515972437045996</v>
      </c>
      <c r="C113">
        <f t="shared" si="28"/>
        <v>0.11515972437045996</v>
      </c>
      <c r="D113" t="s">
        <v>35</v>
      </c>
      <c r="E113" t="s">
        <v>21</v>
      </c>
      <c r="F113">
        <v>1</v>
      </c>
      <c r="G113">
        <f t="shared" si="33"/>
        <v>100</v>
      </c>
      <c r="I113">
        <v>2150</v>
      </c>
      <c r="J113" t="s">
        <v>28</v>
      </c>
      <c r="K113">
        <f t="shared" si="34"/>
        <v>102.5</v>
      </c>
      <c r="L113" cm="1">
        <f t="array" ref="L113">STOWA2024_JAARROND_T(A113*60,K113,I113,J113,"")</f>
        <v>3.0015535210002726</v>
      </c>
      <c r="M113">
        <f t="shared" si="35"/>
        <v>0.33316080922879843</v>
      </c>
    </row>
    <row r="114" spans="1:13" x14ac:dyDescent="0.3">
      <c r="A114">
        <v>192</v>
      </c>
      <c r="B114">
        <f t="shared" si="32"/>
        <v>8.5674980657998417E-2</v>
      </c>
      <c r="C114">
        <f t="shared" si="28"/>
        <v>8.5674980657998417E-2</v>
      </c>
      <c r="D114" t="s">
        <v>35</v>
      </c>
      <c r="E114" t="s">
        <v>21</v>
      </c>
      <c r="F114">
        <v>1</v>
      </c>
      <c r="G114">
        <f t="shared" si="33"/>
        <v>105</v>
      </c>
      <c r="I114">
        <v>2150</v>
      </c>
      <c r="J114" t="s">
        <v>28</v>
      </c>
      <c r="K114">
        <f t="shared" si="34"/>
        <v>107.5</v>
      </c>
      <c r="L114" cm="1">
        <f t="array" ref="L114">STOWA2024_JAARROND_T(A114*60,K114,I114,J114,"")</f>
        <v>4.0406354003171661</v>
      </c>
      <c r="M114">
        <f t="shared" si="35"/>
        <v>0.24748582857080001</v>
      </c>
    </row>
    <row r="115" spans="1:13" x14ac:dyDescent="0.3">
      <c r="A115">
        <v>192</v>
      </c>
      <c r="B115">
        <f t="shared" si="32"/>
        <v>6.3711309371254854E-2</v>
      </c>
      <c r="C115">
        <f t="shared" si="28"/>
        <v>6.3711309371254854E-2</v>
      </c>
      <c r="D115" t="s">
        <v>35</v>
      </c>
      <c r="E115" t="s">
        <v>21</v>
      </c>
      <c r="F115">
        <v>1</v>
      </c>
      <c r="G115">
        <f t="shared" si="33"/>
        <v>110</v>
      </c>
      <c r="I115">
        <v>2150</v>
      </c>
      <c r="J115" t="s">
        <v>28</v>
      </c>
      <c r="K115">
        <f t="shared" si="34"/>
        <v>112.5</v>
      </c>
      <c r="L115" cm="1">
        <f t="array" ref="L115">STOWA2024_JAARROND_T(A115*60,K115,I115,J115,"")</f>
        <v>5.4414507754156327</v>
      </c>
      <c r="M115">
        <f t="shared" si="35"/>
        <v>0.18377451919954516</v>
      </c>
    </row>
    <row r="116" spans="1:13" x14ac:dyDescent="0.3">
      <c r="A116">
        <v>192</v>
      </c>
      <c r="B116">
        <f t="shared" si="32"/>
        <v>4.7361778545062794E-2</v>
      </c>
      <c r="C116">
        <f t="shared" si="28"/>
        <v>4.7361778545062794E-2</v>
      </c>
      <c r="D116" t="s">
        <v>35</v>
      </c>
      <c r="E116" t="s">
        <v>21</v>
      </c>
      <c r="F116">
        <v>1</v>
      </c>
      <c r="G116">
        <f t="shared" si="33"/>
        <v>115</v>
      </c>
      <c r="I116">
        <v>2150</v>
      </c>
      <c r="J116" t="s">
        <v>28</v>
      </c>
      <c r="K116">
        <f t="shared" si="34"/>
        <v>117.5</v>
      </c>
      <c r="L116" cm="1">
        <f t="array" ref="L116">STOWA2024_JAARROND_T(A116*60,K116,I116,J116,"")</f>
        <v>7.3306935642681941</v>
      </c>
      <c r="M116">
        <f t="shared" si="35"/>
        <v>0.13641274065448236</v>
      </c>
    </row>
    <row r="117" spans="1:13" x14ac:dyDescent="0.3">
      <c r="A117">
        <v>192</v>
      </c>
      <c r="B117">
        <f t="shared" si="32"/>
        <v>3.5194460968203389E-2</v>
      </c>
      <c r="C117">
        <f t="shared" si="28"/>
        <v>3.5194460968203389E-2</v>
      </c>
      <c r="D117" t="s">
        <v>35</v>
      </c>
      <c r="E117" t="s">
        <v>21</v>
      </c>
      <c r="F117">
        <v>1</v>
      </c>
      <c r="G117">
        <f t="shared" si="33"/>
        <v>120</v>
      </c>
      <c r="I117">
        <v>2150</v>
      </c>
      <c r="J117" t="s">
        <v>28</v>
      </c>
      <c r="K117">
        <f t="shared" si="34"/>
        <v>122.5</v>
      </c>
      <c r="L117" cm="1">
        <f t="array" ref="L117">STOWA2024_JAARROND_T(A117*60,K117,I117,J117,"")</f>
        <v>9.8796383726284454</v>
      </c>
      <c r="M117">
        <f t="shared" si="35"/>
        <v>0.10121827968627897</v>
      </c>
    </row>
    <row r="118" spans="1:13" x14ac:dyDescent="0.3">
      <c r="A118">
        <v>192</v>
      </c>
      <c r="B118">
        <f t="shared" si="32"/>
        <v>2.6142993469459877E-2</v>
      </c>
      <c r="C118">
        <f t="shared" si="28"/>
        <v>2.6142993469459877E-2</v>
      </c>
      <c r="D118" t="s">
        <v>35</v>
      </c>
      <c r="E118" t="s">
        <v>21</v>
      </c>
      <c r="F118">
        <v>1</v>
      </c>
      <c r="G118">
        <f t="shared" si="33"/>
        <v>125</v>
      </c>
      <c r="I118">
        <v>2150</v>
      </c>
      <c r="J118" t="s">
        <v>28</v>
      </c>
      <c r="K118">
        <f t="shared" si="34"/>
        <v>127.5</v>
      </c>
      <c r="L118" cm="1">
        <f t="array" ref="L118">STOWA2024_JAARROND_T(A118*60,K118,I118,J118,"")</f>
        <v>13.319962538830392</v>
      </c>
      <c r="M118">
        <f t="shared" si="35"/>
        <v>7.5075286216819095E-2</v>
      </c>
    </row>
    <row r="119" spans="1:13" x14ac:dyDescent="0.3">
      <c r="A119">
        <v>192</v>
      </c>
      <c r="B119">
        <f t="shared" si="32"/>
        <v>1.941163409256242E-2</v>
      </c>
      <c r="C119">
        <f t="shared" si="28"/>
        <v>1.941163409256242E-2</v>
      </c>
      <c r="D119" t="s">
        <v>35</v>
      </c>
      <c r="E119" t="s">
        <v>21</v>
      </c>
      <c r="F119">
        <v>1</v>
      </c>
      <c r="G119">
        <f t="shared" si="33"/>
        <v>130</v>
      </c>
      <c r="I119">
        <v>2150</v>
      </c>
      <c r="J119" t="s">
        <v>28</v>
      </c>
      <c r="K119">
        <f t="shared" si="34"/>
        <v>132.5</v>
      </c>
      <c r="L119" cm="1">
        <f t="array" ref="L119">STOWA2024_JAARROND_T(A119*60,K119,I119,J119,"")</f>
        <v>17.965044725554897</v>
      </c>
      <c r="M119">
        <f t="shared" si="35"/>
        <v>5.5663652124256675E-2</v>
      </c>
    </row>
    <row r="120" spans="1:13" x14ac:dyDescent="0.3">
      <c r="A120">
        <v>192</v>
      </c>
      <c r="B120">
        <f t="shared" si="32"/>
        <v>1.4408659932804886E-2</v>
      </c>
      <c r="C120">
        <f t="shared" si="28"/>
        <v>1.4408659932804886E-2</v>
      </c>
      <c r="D120" t="s">
        <v>35</v>
      </c>
      <c r="E120" t="s">
        <v>21</v>
      </c>
      <c r="F120">
        <v>1</v>
      </c>
      <c r="G120">
        <f t="shared" si="33"/>
        <v>135</v>
      </c>
      <c r="I120">
        <v>2150</v>
      </c>
      <c r="J120" t="s">
        <v>28</v>
      </c>
      <c r="K120">
        <f t="shared" si="34"/>
        <v>137.5</v>
      </c>
      <c r="L120" cm="1">
        <f t="array" ref="L120">STOWA2024_JAARROND_T(A120*60,K120,I120,J120,"")</f>
        <v>24.239490710828548</v>
      </c>
      <c r="M120">
        <f t="shared" si="35"/>
        <v>4.1254992191451789E-2</v>
      </c>
    </row>
    <row r="121" spans="1:13" x14ac:dyDescent="0.3">
      <c r="A121">
        <v>192</v>
      </c>
      <c r="B121">
        <f t="shared" si="32"/>
        <v>1.0690712329109068E-2</v>
      </c>
      <c r="C121">
        <f t="shared" si="28"/>
        <v>1.0690712329109068E-2</v>
      </c>
      <c r="D121" t="s">
        <v>35</v>
      </c>
      <c r="E121" t="s">
        <v>21</v>
      </c>
      <c r="F121">
        <v>1</v>
      </c>
      <c r="G121">
        <f t="shared" si="33"/>
        <v>140</v>
      </c>
      <c r="I121">
        <v>2150</v>
      </c>
      <c r="J121" t="s">
        <v>28</v>
      </c>
      <c r="K121">
        <f t="shared" si="34"/>
        <v>142.5</v>
      </c>
      <c r="L121" cm="1">
        <f t="array" ref="L121">STOWA2024_JAARROND_T(A121*60,K121,I121,J121,"")</f>
        <v>32.717931013060387</v>
      </c>
      <c r="M121">
        <f t="shared" si="35"/>
        <v>3.0564279862342721E-2</v>
      </c>
    </row>
    <row r="122" spans="1:13" x14ac:dyDescent="0.3">
      <c r="A122">
        <v>192</v>
      </c>
      <c r="B122">
        <f t="shared" si="32"/>
        <v>7.9290841811447028E-3</v>
      </c>
      <c r="C122">
        <f t="shared" si="28"/>
        <v>7.9290841811447028E-3</v>
      </c>
      <c r="D122" t="s">
        <v>35</v>
      </c>
      <c r="E122" t="s">
        <v>21</v>
      </c>
      <c r="F122">
        <v>1</v>
      </c>
      <c r="G122">
        <f t="shared" si="33"/>
        <v>145</v>
      </c>
      <c r="I122">
        <v>2150</v>
      </c>
      <c r="J122" t="s">
        <v>28</v>
      </c>
      <c r="K122">
        <f t="shared" si="34"/>
        <v>147.5</v>
      </c>
      <c r="L122" cm="1">
        <f t="array" ref="L122">STOWA2024_JAARROND_T(A122*60,K122,I122,J122,"")</f>
        <v>44.178986304529829</v>
      </c>
      <c r="M122">
        <f t="shared" si="35"/>
        <v>2.2635195681198018E-2</v>
      </c>
    </row>
    <row r="123" spans="1:13" x14ac:dyDescent="0.3">
      <c r="A123">
        <v>192</v>
      </c>
      <c r="B123">
        <f t="shared" si="32"/>
        <v>5.8785787770748721E-3</v>
      </c>
      <c r="C123">
        <f t="shared" si="28"/>
        <v>5.8785787770748721E-3</v>
      </c>
      <c r="D123" t="s">
        <v>35</v>
      </c>
      <c r="E123" t="s">
        <v>21</v>
      </c>
      <c r="F123">
        <v>1</v>
      </c>
      <c r="G123">
        <f t="shared" si="33"/>
        <v>150</v>
      </c>
      <c r="I123">
        <v>2150</v>
      </c>
      <c r="J123" t="s">
        <v>28</v>
      </c>
      <c r="K123">
        <f t="shared" si="34"/>
        <v>152.5</v>
      </c>
      <c r="L123" cm="1">
        <f t="array" ref="L123">STOWA2024_JAARROND_T(A123*60,K123,I123,J123,"")</f>
        <v>59.67791742937915</v>
      </c>
      <c r="M123">
        <f t="shared" si="35"/>
        <v>1.6756616904123146E-2</v>
      </c>
    </row>
    <row r="124" spans="1:13" x14ac:dyDescent="0.3">
      <c r="A124">
        <v>192</v>
      </c>
      <c r="B124">
        <f t="shared" si="32"/>
        <v>4.3566650200853093E-3</v>
      </c>
      <c r="C124">
        <f t="shared" si="28"/>
        <v>4.3566650200853093E-3</v>
      </c>
      <c r="D124" t="s">
        <v>35</v>
      </c>
      <c r="E124" t="s">
        <v>21</v>
      </c>
      <c r="F124">
        <v>1</v>
      </c>
      <c r="G124">
        <f t="shared" si="33"/>
        <v>155</v>
      </c>
      <c r="I124">
        <v>2150</v>
      </c>
      <c r="J124" t="s">
        <v>28</v>
      </c>
      <c r="K124">
        <f t="shared" si="34"/>
        <v>157.5</v>
      </c>
      <c r="L124" cm="1">
        <f t="array" ref="L124">STOWA2024_JAARROND_T(A124*60,K124,I124,J124,"")</f>
        <v>80.645474220531142</v>
      </c>
      <c r="M124">
        <f t="shared" si="35"/>
        <v>1.2399951884037837E-2</v>
      </c>
    </row>
    <row r="125" spans="1:13" x14ac:dyDescent="0.3">
      <c r="A125">
        <v>192</v>
      </c>
      <c r="B125" s="1">
        <f>M124</f>
        <v>1.2399951884037837E-2</v>
      </c>
      <c r="C125">
        <f t="shared" si="28"/>
        <v>1.2399951884037837E-2</v>
      </c>
      <c r="D125" t="s">
        <v>35</v>
      </c>
      <c r="E125" t="s">
        <v>21</v>
      </c>
      <c r="F125">
        <v>1</v>
      </c>
      <c r="G125">
        <f t="shared" si="33"/>
        <v>160</v>
      </c>
      <c r="I125">
        <v>2150</v>
      </c>
      <c r="J125" t="s">
        <v>28</v>
      </c>
      <c r="K125">
        <f>AVERAGE(G125:G126)</f>
        <v>85</v>
      </c>
      <c r="L125" cm="1">
        <f t="array" ref="L125">STOWA2024_JAARROND_T(A125*60,K125,I125,J125,"")</f>
        <v>1.0636217294220496</v>
      </c>
      <c r="M125">
        <f>1/L125</f>
        <v>0.94018387584407448</v>
      </c>
    </row>
    <row r="126" spans="1:13" x14ac:dyDescent="0.3">
      <c r="A126">
        <v>216</v>
      </c>
      <c r="B126" s="1">
        <f>365.25*24/A126 - M126</f>
        <v>-17.912076990712521</v>
      </c>
      <c r="C126">
        <f>B126</f>
        <v>-17.912076990712521</v>
      </c>
      <c r="D126" t="s">
        <v>35</v>
      </c>
      <c r="E126" t="s">
        <v>21</v>
      </c>
      <c r="F126">
        <v>1</v>
      </c>
      <c r="G126">
        <v>10</v>
      </c>
      <c r="I126">
        <v>2150</v>
      </c>
      <c r="J126" t="s">
        <v>28</v>
      </c>
      <c r="K126">
        <f>AVERAGE(G126:G128)</f>
        <v>15</v>
      </c>
      <c r="L126" cm="1">
        <f t="array" ref="L126">STOWA2024_JAARROND_T(A126*60,K126,I126,J126,"")</f>
        <v>1.7095358327436631E-2</v>
      </c>
      <c r="M126">
        <f>1/L126</f>
        <v>58.495410324045856</v>
      </c>
    </row>
    <row r="127" spans="1:13" x14ac:dyDescent="0.3">
      <c r="A127">
        <v>216</v>
      </c>
      <c r="B127">
        <f t="shared" ref="B127:B131" si="36">M126-M127</f>
        <v>7.3415385680571816</v>
      </c>
      <c r="C127">
        <f t="shared" ref="C127:C156" si="37">B127</f>
        <v>7.3415385680571816</v>
      </c>
      <c r="D127" t="s">
        <v>35</v>
      </c>
      <c r="E127" t="s">
        <v>21</v>
      </c>
      <c r="F127">
        <v>1</v>
      </c>
      <c r="G127">
        <f t="shared" ref="G127:G131" si="38">G126+5</f>
        <v>15</v>
      </c>
      <c r="I127">
        <v>2150</v>
      </c>
      <c r="J127" t="s">
        <v>28</v>
      </c>
      <c r="K127">
        <f t="shared" ref="K127:K131" si="39">AVERAGE(G127:G128)</f>
        <v>17.5</v>
      </c>
      <c r="L127" cm="1">
        <f t="array" ref="L127">STOWA2024_JAARROND_T(A127*60,K127,I127,J127,"")</f>
        <v>1.9548862396382111E-2</v>
      </c>
      <c r="M127">
        <f t="shared" ref="M127:M131" si="40">1/L127</f>
        <v>51.153871755988675</v>
      </c>
    </row>
    <row r="128" spans="1:13" x14ac:dyDescent="0.3">
      <c r="A128">
        <v>216</v>
      </c>
      <c r="B128">
        <f t="shared" si="36"/>
        <v>12.066493246883731</v>
      </c>
      <c r="C128">
        <f t="shared" si="37"/>
        <v>12.066493246883731</v>
      </c>
      <c r="D128" t="s">
        <v>35</v>
      </c>
      <c r="E128" t="s">
        <v>21</v>
      </c>
      <c r="F128">
        <v>1</v>
      </c>
      <c r="G128">
        <f t="shared" si="38"/>
        <v>20</v>
      </c>
      <c r="I128">
        <v>2150</v>
      </c>
      <c r="J128" t="s">
        <v>28</v>
      </c>
      <c r="K128">
        <f t="shared" si="39"/>
        <v>22.5</v>
      </c>
      <c r="L128" cm="1">
        <f t="array" ref="L128">STOWA2024_JAARROND_T(A128*60,K128,I128,J128,"")</f>
        <v>2.5583705997757351E-2</v>
      </c>
      <c r="M128">
        <f t="shared" si="40"/>
        <v>39.087378509104944</v>
      </c>
    </row>
    <row r="129" spans="1:13" x14ac:dyDescent="0.3">
      <c r="A129">
        <v>216</v>
      </c>
      <c r="B129">
        <f t="shared" si="36"/>
        <v>9.2532281611589866</v>
      </c>
      <c r="C129">
        <f t="shared" si="37"/>
        <v>9.2532281611589866</v>
      </c>
      <c r="D129" t="s">
        <v>35</v>
      </c>
      <c r="E129" t="s">
        <v>21</v>
      </c>
      <c r="F129">
        <v>1</v>
      </c>
      <c r="G129">
        <f t="shared" si="38"/>
        <v>25</v>
      </c>
      <c r="I129">
        <v>2150</v>
      </c>
      <c r="J129" t="s">
        <v>28</v>
      </c>
      <c r="K129">
        <f t="shared" si="39"/>
        <v>27.5</v>
      </c>
      <c r="L129" cm="1">
        <f t="array" ref="L129">STOWA2024_JAARROND_T(A129*60,K129,I129,J129,"")</f>
        <v>3.3518635132468208E-2</v>
      </c>
      <c r="M129">
        <f t="shared" si="40"/>
        <v>29.834150347945958</v>
      </c>
    </row>
    <row r="130" spans="1:13" x14ac:dyDescent="0.3">
      <c r="A130">
        <v>216</v>
      </c>
      <c r="B130">
        <f t="shared" si="36"/>
        <v>7.0878788300243691</v>
      </c>
      <c r="C130">
        <f t="shared" si="37"/>
        <v>7.0878788300243691</v>
      </c>
      <c r="D130" t="s">
        <v>35</v>
      </c>
      <c r="E130" t="s">
        <v>21</v>
      </c>
      <c r="F130">
        <v>1</v>
      </c>
      <c r="G130">
        <f t="shared" si="38"/>
        <v>30</v>
      </c>
      <c r="I130">
        <v>2150</v>
      </c>
      <c r="J130" t="s">
        <v>28</v>
      </c>
      <c r="K130">
        <f t="shared" si="39"/>
        <v>32.5</v>
      </c>
      <c r="L130" cm="1">
        <f t="array" ref="L130">STOWA2024_JAARROND_T(A130*60,K130,I130,J130,"")</f>
        <v>4.3963249063131454E-2</v>
      </c>
      <c r="M130">
        <f t="shared" si="40"/>
        <v>22.746271517921588</v>
      </c>
    </row>
    <row r="131" spans="1:13" x14ac:dyDescent="0.3">
      <c r="A131">
        <v>216</v>
      </c>
      <c r="B131">
        <f t="shared" si="36"/>
        <v>5.4233483112154879</v>
      </c>
      <c r="C131">
        <f t="shared" si="37"/>
        <v>5.4233483112154879</v>
      </c>
      <c r="D131" t="s">
        <v>35</v>
      </c>
      <c r="E131" t="s">
        <v>21</v>
      </c>
      <c r="F131">
        <v>1</v>
      </c>
      <c r="G131">
        <f t="shared" si="38"/>
        <v>35</v>
      </c>
      <c r="I131">
        <v>2150</v>
      </c>
      <c r="J131" t="s">
        <v>28</v>
      </c>
      <c r="K131">
        <f t="shared" si="39"/>
        <v>37.5</v>
      </c>
      <c r="L131" cm="1">
        <f t="array" ref="L131">STOWA2024_JAARROND_T(A131*60,K131,I131,J131,"")</f>
        <v>5.7726977604615662E-2</v>
      </c>
      <c r="M131">
        <f t="shared" si="40"/>
        <v>17.322923206706101</v>
      </c>
    </row>
    <row r="132" spans="1:13" x14ac:dyDescent="0.3">
      <c r="A132">
        <v>216</v>
      </c>
      <c r="B132">
        <f>M131-M132</f>
        <v>4.1451552222362533</v>
      </c>
      <c r="C132">
        <f t="shared" si="37"/>
        <v>4.1451552222362533</v>
      </c>
      <c r="D132" t="s">
        <v>35</v>
      </c>
      <c r="E132" t="s">
        <v>21</v>
      </c>
      <c r="F132">
        <v>1</v>
      </c>
      <c r="G132">
        <f>G131+5</f>
        <v>40</v>
      </c>
      <c r="I132">
        <v>2150</v>
      </c>
      <c r="J132" t="s">
        <v>28</v>
      </c>
      <c r="K132">
        <f>AVERAGE(G132:G133)</f>
        <v>42.5</v>
      </c>
      <c r="L132" cm="1">
        <f t="array" ref="L132">STOWA2024_JAARROND_T(A132*60,K132,I132,J132,"")</f>
        <v>7.588538523204473E-2</v>
      </c>
      <c r="M132">
        <f>1/L132</f>
        <v>13.177767984469847</v>
      </c>
    </row>
    <row r="133" spans="1:13" x14ac:dyDescent="0.3">
      <c r="A133">
        <v>216</v>
      </c>
      <c r="B133">
        <f t="shared" ref="B133:B155" si="41">M132-M133</f>
        <v>3.1646844715566242</v>
      </c>
      <c r="C133">
        <f t="shared" si="37"/>
        <v>3.1646844715566242</v>
      </c>
      <c r="D133" t="s">
        <v>35</v>
      </c>
      <c r="E133" t="s">
        <v>21</v>
      </c>
      <c r="F133">
        <v>1</v>
      </c>
      <c r="G133">
        <f t="shared" ref="G133:G156" si="42">G132+5</f>
        <v>45</v>
      </c>
      <c r="I133">
        <v>2150</v>
      </c>
      <c r="J133" t="s">
        <v>28</v>
      </c>
      <c r="K133">
        <f t="shared" ref="K133:K155" si="43">AVERAGE(G133:G134)</f>
        <v>47.5</v>
      </c>
      <c r="L133" cm="1">
        <f t="array" ref="L133">STOWA2024_JAARROND_T(A133*60,K133,I133,J133,"")</f>
        <v>9.9869335825509192E-2</v>
      </c>
      <c r="M133">
        <f t="shared" ref="M133:M155" si="44">1/L133</f>
        <v>10.013083512913223</v>
      </c>
    </row>
    <row r="134" spans="1:13" x14ac:dyDescent="0.3">
      <c r="A134">
        <v>216</v>
      </c>
      <c r="B134">
        <f t="shared" si="41"/>
        <v>2.4135099412222187</v>
      </c>
      <c r="C134">
        <f t="shared" si="37"/>
        <v>2.4135099412222187</v>
      </c>
      <c r="D134" t="s">
        <v>35</v>
      </c>
      <c r="E134" t="s">
        <v>21</v>
      </c>
      <c r="F134">
        <v>1</v>
      </c>
      <c r="G134">
        <f t="shared" si="42"/>
        <v>50</v>
      </c>
      <c r="I134">
        <v>2150</v>
      </c>
      <c r="J134" t="s">
        <v>28</v>
      </c>
      <c r="K134">
        <f t="shared" si="43"/>
        <v>52.5</v>
      </c>
      <c r="L134" cm="1">
        <f t="array" ref="L134">STOWA2024_JAARROND_T(A134*60,K134,I134,J134,"")</f>
        <v>0.13158633054426591</v>
      </c>
      <c r="M134">
        <f t="shared" si="44"/>
        <v>7.5995735716910042</v>
      </c>
    </row>
    <row r="135" spans="1:13" x14ac:dyDescent="0.3">
      <c r="A135">
        <v>216</v>
      </c>
      <c r="B135">
        <f t="shared" si="41"/>
        <v>1.8383585803806435</v>
      </c>
      <c r="C135">
        <f t="shared" si="37"/>
        <v>1.8383585803806435</v>
      </c>
      <c r="D135" t="s">
        <v>35</v>
      </c>
      <c r="E135" t="s">
        <v>21</v>
      </c>
      <c r="F135">
        <v>1</v>
      </c>
      <c r="G135">
        <f t="shared" si="42"/>
        <v>55</v>
      </c>
      <c r="I135">
        <v>2150</v>
      </c>
      <c r="J135" t="s">
        <v>28</v>
      </c>
      <c r="K135">
        <f t="shared" si="43"/>
        <v>57.5</v>
      </c>
      <c r="L135" cm="1">
        <f t="array" ref="L135">STOWA2024_JAARROND_T(A135*60,K135,I135,J135,"")</f>
        <v>0.17357449800229635</v>
      </c>
      <c r="M135">
        <f t="shared" si="44"/>
        <v>5.7612149913103607</v>
      </c>
    </row>
    <row r="136" spans="1:13" x14ac:dyDescent="0.3">
      <c r="A136">
        <v>216</v>
      </c>
      <c r="B136">
        <f t="shared" si="41"/>
        <v>1.3988068456999176</v>
      </c>
      <c r="C136">
        <f t="shared" si="37"/>
        <v>1.3988068456999176</v>
      </c>
      <c r="D136" t="s">
        <v>35</v>
      </c>
      <c r="E136" t="s">
        <v>21</v>
      </c>
      <c r="F136">
        <v>1</v>
      </c>
      <c r="G136">
        <f t="shared" si="42"/>
        <v>60</v>
      </c>
      <c r="I136">
        <v>2150</v>
      </c>
      <c r="J136" t="s">
        <v>28</v>
      </c>
      <c r="K136">
        <f t="shared" si="43"/>
        <v>62.5</v>
      </c>
      <c r="L136" cm="1">
        <f t="array" ref="L136">STOWA2024_JAARROND_T(A136*60,K136,I136,J136,"")</f>
        <v>0.22923118759674593</v>
      </c>
      <c r="M136">
        <f t="shared" si="44"/>
        <v>4.3624081456104431</v>
      </c>
    </row>
    <row r="137" spans="1:13" x14ac:dyDescent="0.3">
      <c r="A137">
        <v>216</v>
      </c>
      <c r="B137">
        <f t="shared" si="41"/>
        <v>1.0630630622093453</v>
      </c>
      <c r="C137">
        <f t="shared" si="37"/>
        <v>1.0630630622093453</v>
      </c>
      <c r="D137" t="s">
        <v>35</v>
      </c>
      <c r="E137" t="s">
        <v>21</v>
      </c>
      <c r="F137">
        <v>1</v>
      </c>
      <c r="G137">
        <f t="shared" si="42"/>
        <v>65</v>
      </c>
      <c r="I137">
        <v>2150</v>
      </c>
      <c r="J137" t="s">
        <v>28</v>
      </c>
      <c r="K137">
        <f t="shared" si="43"/>
        <v>67.5</v>
      </c>
      <c r="L137" cm="1">
        <f t="array" ref="L137">STOWA2024_JAARROND_T(A137*60,K137,I137,J137,"")</f>
        <v>0.3030904542331655</v>
      </c>
      <c r="M137">
        <f t="shared" si="44"/>
        <v>3.2993450834010978</v>
      </c>
    </row>
    <row r="138" spans="1:13" x14ac:dyDescent="0.3">
      <c r="A138">
        <v>216</v>
      </c>
      <c r="B138">
        <f t="shared" si="41"/>
        <v>0.80696324049679502</v>
      </c>
      <c r="C138">
        <f t="shared" si="37"/>
        <v>0.80696324049679502</v>
      </c>
      <c r="D138" t="s">
        <v>35</v>
      </c>
      <c r="E138" t="s">
        <v>21</v>
      </c>
      <c r="F138">
        <v>1</v>
      </c>
      <c r="G138">
        <f t="shared" si="42"/>
        <v>70</v>
      </c>
      <c r="I138">
        <v>2150</v>
      </c>
      <c r="J138" t="s">
        <v>28</v>
      </c>
      <c r="K138">
        <f t="shared" si="43"/>
        <v>72.5</v>
      </c>
      <c r="L138" cm="1">
        <f t="array" ref="L138">STOWA2024_JAARROND_T(A138*60,K138,I138,J138,"")</f>
        <v>0.40122263081275222</v>
      </c>
      <c r="M138">
        <f t="shared" si="44"/>
        <v>2.4923818429043028</v>
      </c>
    </row>
    <row r="139" spans="1:13" x14ac:dyDescent="0.3">
      <c r="A139">
        <v>216</v>
      </c>
      <c r="B139">
        <f t="shared" si="41"/>
        <v>0.61184067593501212</v>
      </c>
      <c r="C139">
        <f t="shared" si="37"/>
        <v>0.61184067593501212</v>
      </c>
      <c r="D139" t="s">
        <v>35</v>
      </c>
      <c r="E139" t="s">
        <v>21</v>
      </c>
      <c r="F139">
        <v>1</v>
      </c>
      <c r="G139">
        <f t="shared" si="42"/>
        <v>75</v>
      </c>
      <c r="I139">
        <v>2150</v>
      </c>
      <c r="J139" t="s">
        <v>28</v>
      </c>
      <c r="K139">
        <f t="shared" si="43"/>
        <v>77.5</v>
      </c>
      <c r="L139" cm="1">
        <f t="array" ref="L139">STOWA2024_JAARROND_T(A139*60,K139,I139,J139,"")</f>
        <v>0.53176182343916223</v>
      </c>
      <c r="M139">
        <f t="shared" si="44"/>
        <v>1.8805411669692906</v>
      </c>
    </row>
    <row r="140" spans="1:13" x14ac:dyDescent="0.3">
      <c r="A140">
        <v>216</v>
      </c>
      <c r="B140">
        <f t="shared" si="41"/>
        <v>0.46337122121439345</v>
      </c>
      <c r="C140">
        <f t="shared" si="37"/>
        <v>0.46337122121439345</v>
      </c>
      <c r="D140" t="s">
        <v>35</v>
      </c>
      <c r="E140" t="s">
        <v>21</v>
      </c>
      <c r="F140">
        <v>1</v>
      </c>
      <c r="G140">
        <f t="shared" si="42"/>
        <v>80</v>
      </c>
      <c r="I140">
        <v>2150</v>
      </c>
      <c r="J140" t="s">
        <v>28</v>
      </c>
      <c r="K140">
        <f t="shared" si="43"/>
        <v>82.5</v>
      </c>
      <c r="L140" cm="1">
        <f t="array" ref="L140">STOWA2024_JAARROND_T(A140*60,K140,I140,J140,"")</f>
        <v>0.70563167317757403</v>
      </c>
      <c r="M140">
        <f t="shared" si="44"/>
        <v>1.4171699457548972</v>
      </c>
    </row>
    <row r="141" spans="1:13" x14ac:dyDescent="0.3">
      <c r="A141">
        <v>216</v>
      </c>
      <c r="B141">
        <f t="shared" si="41"/>
        <v>0.35049490776936865</v>
      </c>
      <c r="C141">
        <f t="shared" si="37"/>
        <v>0.35049490776936865</v>
      </c>
      <c r="D141" t="s">
        <v>35</v>
      </c>
      <c r="E141" t="s">
        <v>21</v>
      </c>
      <c r="F141">
        <v>1</v>
      </c>
      <c r="G141">
        <f t="shared" si="42"/>
        <v>85</v>
      </c>
      <c r="I141">
        <v>2150</v>
      </c>
      <c r="J141" t="s">
        <v>28</v>
      </c>
      <c r="K141">
        <f t="shared" si="43"/>
        <v>87.5</v>
      </c>
      <c r="L141" cm="1">
        <f t="array" ref="L141">STOWA2024_JAARROND_T(A141*60,K141,I141,J141,"")</f>
        <v>0.93749264245327435</v>
      </c>
      <c r="M141">
        <f t="shared" si="44"/>
        <v>1.0666750379855285</v>
      </c>
    </row>
    <row r="142" spans="1:13" x14ac:dyDescent="0.3">
      <c r="A142">
        <v>216</v>
      </c>
      <c r="B142">
        <f t="shared" si="41"/>
        <v>0.26473299351614099</v>
      </c>
      <c r="C142">
        <f t="shared" si="37"/>
        <v>0.26473299351614099</v>
      </c>
      <c r="D142" t="s">
        <v>35</v>
      </c>
      <c r="E142" t="s">
        <v>21</v>
      </c>
      <c r="F142">
        <v>1</v>
      </c>
      <c r="G142">
        <f t="shared" si="42"/>
        <v>90</v>
      </c>
      <c r="I142">
        <v>2150</v>
      </c>
      <c r="J142" t="s">
        <v>28</v>
      </c>
      <c r="K142">
        <f t="shared" si="43"/>
        <v>92.5</v>
      </c>
      <c r="L142" cm="1">
        <f t="array" ref="L142">STOWA2024_JAARROND_T(A142*60,K142,I142,J142,"")</f>
        <v>1.2469729039604842</v>
      </c>
      <c r="M142">
        <f t="shared" si="44"/>
        <v>0.80194204446938755</v>
      </c>
    </row>
    <row r="143" spans="1:13" x14ac:dyDescent="0.3">
      <c r="A143">
        <v>216</v>
      </c>
      <c r="B143">
        <f t="shared" si="41"/>
        <v>0.19982254415201373</v>
      </c>
      <c r="C143">
        <f t="shared" si="37"/>
        <v>0.19982254415201373</v>
      </c>
      <c r="D143" t="s">
        <v>35</v>
      </c>
      <c r="E143" t="s">
        <v>21</v>
      </c>
      <c r="F143">
        <v>1</v>
      </c>
      <c r="G143">
        <f t="shared" si="42"/>
        <v>95</v>
      </c>
      <c r="I143">
        <v>2150</v>
      </c>
      <c r="J143" t="s">
        <v>28</v>
      </c>
      <c r="K143">
        <f t="shared" si="43"/>
        <v>97.5</v>
      </c>
      <c r="L143" cm="1">
        <f t="array" ref="L143">STOWA2024_JAARROND_T(A143*60,K143,I143,J143,"")</f>
        <v>1.6607998901761289</v>
      </c>
      <c r="M143">
        <f t="shared" si="44"/>
        <v>0.60211950031737382</v>
      </c>
    </row>
    <row r="144" spans="1:13" x14ac:dyDescent="0.3">
      <c r="A144">
        <v>216</v>
      </c>
      <c r="B144">
        <f t="shared" si="41"/>
        <v>0.15059998433241029</v>
      </c>
      <c r="C144">
        <f t="shared" si="37"/>
        <v>0.15059998433241029</v>
      </c>
      <c r="D144" t="s">
        <v>35</v>
      </c>
      <c r="E144" t="s">
        <v>21</v>
      </c>
      <c r="F144">
        <v>1</v>
      </c>
      <c r="G144">
        <f t="shared" si="42"/>
        <v>100</v>
      </c>
      <c r="I144">
        <v>2150</v>
      </c>
      <c r="J144" t="s">
        <v>28</v>
      </c>
      <c r="K144">
        <f t="shared" si="43"/>
        <v>102.5</v>
      </c>
      <c r="L144" cm="1">
        <f t="array" ref="L144">STOWA2024_JAARROND_T(A144*60,K144,I144,J144,"")</f>
        <v>2.2147436923486201</v>
      </c>
      <c r="M144">
        <f t="shared" si="44"/>
        <v>0.45151951598496354</v>
      </c>
    </row>
    <row r="145" spans="1:13" x14ac:dyDescent="0.3">
      <c r="A145">
        <v>216</v>
      </c>
      <c r="B145">
        <f t="shared" si="41"/>
        <v>0.11336126862185841</v>
      </c>
      <c r="C145">
        <f t="shared" si="37"/>
        <v>0.11336126862185841</v>
      </c>
      <c r="D145" t="s">
        <v>35</v>
      </c>
      <c r="E145" t="s">
        <v>21</v>
      </c>
      <c r="F145">
        <v>1</v>
      </c>
      <c r="G145">
        <f t="shared" si="42"/>
        <v>105</v>
      </c>
      <c r="I145">
        <v>2150</v>
      </c>
      <c r="J145" t="s">
        <v>28</v>
      </c>
      <c r="K145">
        <f t="shared" si="43"/>
        <v>107.5</v>
      </c>
      <c r="L145" cm="1">
        <f t="array" ref="L145">STOWA2024_JAARROND_T(A145*60,K145,I145,J145,"")</f>
        <v>2.9571953598583303</v>
      </c>
      <c r="M145">
        <f t="shared" si="44"/>
        <v>0.33815824736310512</v>
      </c>
    </row>
    <row r="146" spans="1:13" x14ac:dyDescent="0.3">
      <c r="A146">
        <v>216</v>
      </c>
      <c r="B146">
        <f t="shared" si="41"/>
        <v>8.5221007282679173E-2</v>
      </c>
      <c r="C146">
        <f t="shared" si="37"/>
        <v>8.5221007282679173E-2</v>
      </c>
      <c r="D146" t="s">
        <v>35</v>
      </c>
      <c r="E146" t="s">
        <v>21</v>
      </c>
      <c r="F146">
        <v>1</v>
      </c>
      <c r="G146">
        <f t="shared" si="42"/>
        <v>110</v>
      </c>
      <c r="I146">
        <v>2150</v>
      </c>
      <c r="J146" t="s">
        <v>28</v>
      </c>
      <c r="K146">
        <f t="shared" si="43"/>
        <v>112.5</v>
      </c>
      <c r="L146" cm="1">
        <f t="array" ref="L146">STOWA2024_JAARROND_T(A146*60,K146,I146,J146,"")</f>
        <v>3.9535498991055329</v>
      </c>
      <c r="M146">
        <f t="shared" si="44"/>
        <v>0.25293724008042595</v>
      </c>
    </row>
    <row r="147" spans="1:13" x14ac:dyDescent="0.3">
      <c r="A147">
        <v>216</v>
      </c>
      <c r="B147">
        <f t="shared" si="41"/>
        <v>6.3987271399491258E-2</v>
      </c>
      <c r="C147">
        <f t="shared" si="37"/>
        <v>6.3987271399491258E-2</v>
      </c>
      <c r="D147" t="s">
        <v>35</v>
      </c>
      <c r="E147" t="s">
        <v>21</v>
      </c>
      <c r="F147">
        <v>1</v>
      </c>
      <c r="G147">
        <f t="shared" si="42"/>
        <v>115</v>
      </c>
      <c r="I147">
        <v>2150</v>
      </c>
      <c r="J147" t="s">
        <v>28</v>
      </c>
      <c r="K147">
        <f t="shared" si="43"/>
        <v>117.5</v>
      </c>
      <c r="L147" cm="1">
        <f t="array" ref="L147">STOWA2024_JAARROND_T(A147*60,K147,I147,J147,"")</f>
        <v>5.2924062754867309</v>
      </c>
      <c r="M147">
        <f t="shared" si="44"/>
        <v>0.18894996868093469</v>
      </c>
    </row>
    <row r="148" spans="1:13" x14ac:dyDescent="0.3">
      <c r="A148">
        <v>216</v>
      </c>
      <c r="B148">
        <f t="shared" si="41"/>
        <v>4.7984050046915055E-2</v>
      </c>
      <c r="C148">
        <f t="shared" si="37"/>
        <v>4.7984050046915055E-2</v>
      </c>
      <c r="D148" t="s">
        <v>35</v>
      </c>
      <c r="E148" t="s">
        <v>21</v>
      </c>
      <c r="F148">
        <v>1</v>
      </c>
      <c r="G148">
        <f t="shared" si="42"/>
        <v>120</v>
      </c>
      <c r="I148">
        <v>2150</v>
      </c>
      <c r="J148" t="s">
        <v>28</v>
      </c>
      <c r="K148">
        <f t="shared" si="43"/>
        <v>122.5</v>
      </c>
      <c r="L148" cm="1">
        <f t="array" ref="L148">STOWA2024_JAARROND_T(A148*60,K148,I148,J148,"")</f>
        <v>7.0939132642141178</v>
      </c>
      <c r="M148">
        <f t="shared" si="44"/>
        <v>0.14096591863401964</v>
      </c>
    </row>
    <row r="149" spans="1:13" x14ac:dyDescent="0.3">
      <c r="A149">
        <v>216</v>
      </c>
      <c r="B149">
        <f t="shared" si="41"/>
        <v>3.5935220397000853E-2</v>
      </c>
      <c r="C149">
        <f t="shared" si="37"/>
        <v>3.5935220397000853E-2</v>
      </c>
      <c r="D149" t="s">
        <v>35</v>
      </c>
      <c r="E149" t="s">
        <v>21</v>
      </c>
      <c r="F149">
        <v>1</v>
      </c>
      <c r="G149">
        <f t="shared" si="42"/>
        <v>125</v>
      </c>
      <c r="I149">
        <v>2150</v>
      </c>
      <c r="J149" t="s">
        <v>28</v>
      </c>
      <c r="K149">
        <f t="shared" si="43"/>
        <v>127.5</v>
      </c>
      <c r="L149" cm="1">
        <f t="array" ref="L149">STOWA2024_JAARROND_T(A149*60,K149,I149,J149,"")</f>
        <v>9.5210259170451099</v>
      </c>
      <c r="M149">
        <f t="shared" si="44"/>
        <v>0.10503069823701879</v>
      </c>
    </row>
    <row r="150" spans="1:13" x14ac:dyDescent="0.3">
      <c r="A150">
        <v>216</v>
      </c>
      <c r="B150">
        <f t="shared" si="41"/>
        <v>2.6877830443719247E-2</v>
      </c>
      <c r="C150">
        <f t="shared" si="37"/>
        <v>2.6877830443719247E-2</v>
      </c>
      <c r="D150" t="s">
        <v>35</v>
      </c>
      <c r="E150" t="s">
        <v>21</v>
      </c>
      <c r="F150">
        <v>1</v>
      </c>
      <c r="G150">
        <f t="shared" si="42"/>
        <v>130</v>
      </c>
      <c r="I150">
        <v>2150</v>
      </c>
      <c r="J150" t="s">
        <v>28</v>
      </c>
      <c r="K150">
        <f t="shared" si="43"/>
        <v>132.5</v>
      </c>
      <c r="L150" cm="1">
        <f t="array" ref="L150">STOWA2024_JAARROND_T(A150*60,K150,I150,J150,"")</f>
        <v>12.795435768842449</v>
      </c>
      <c r="M150">
        <f t="shared" si="44"/>
        <v>7.8152867793299538E-2</v>
      </c>
    </row>
    <row r="151" spans="1:13" x14ac:dyDescent="0.3">
      <c r="A151">
        <v>216</v>
      </c>
      <c r="B151">
        <f t="shared" si="41"/>
        <v>2.0077095318713309E-2</v>
      </c>
      <c r="C151">
        <f t="shared" si="37"/>
        <v>2.0077095318713309E-2</v>
      </c>
      <c r="D151" t="s">
        <v>35</v>
      </c>
      <c r="E151" t="s">
        <v>21</v>
      </c>
      <c r="F151">
        <v>1</v>
      </c>
      <c r="G151">
        <f t="shared" si="42"/>
        <v>135</v>
      </c>
      <c r="I151">
        <v>2150</v>
      </c>
      <c r="J151" t="s">
        <v>28</v>
      </c>
      <c r="K151">
        <f t="shared" si="43"/>
        <v>137.5</v>
      </c>
      <c r="L151" cm="1">
        <f t="array" ref="L151">STOWA2024_JAARROND_T(A151*60,K151,I151,J151,"")</f>
        <v>17.218884181654179</v>
      </c>
      <c r="M151">
        <f t="shared" si="44"/>
        <v>5.8075772474586229E-2</v>
      </c>
    </row>
    <row r="152" spans="1:13" x14ac:dyDescent="0.3">
      <c r="A152">
        <v>216</v>
      </c>
      <c r="B152">
        <f t="shared" si="41"/>
        <v>1.4977360450166358E-2</v>
      </c>
      <c r="C152">
        <f t="shared" si="37"/>
        <v>1.4977360450166358E-2</v>
      </c>
      <c r="D152" t="s">
        <v>35</v>
      </c>
      <c r="E152" t="s">
        <v>21</v>
      </c>
      <c r="F152">
        <v>1</v>
      </c>
      <c r="G152">
        <f t="shared" si="42"/>
        <v>140</v>
      </c>
      <c r="I152">
        <v>2150</v>
      </c>
      <c r="J152" t="s">
        <v>28</v>
      </c>
      <c r="K152">
        <f t="shared" si="43"/>
        <v>142.5</v>
      </c>
      <c r="L152" cm="1">
        <f t="array" ref="L152">STOWA2024_JAARROND_T(A152*60,K152,I152,J152,"")</f>
        <v>23.202711028735646</v>
      </c>
      <c r="M152">
        <f t="shared" si="44"/>
        <v>4.3098412024419872E-2</v>
      </c>
    </row>
    <row r="153" spans="1:13" x14ac:dyDescent="0.3">
      <c r="A153">
        <v>216</v>
      </c>
      <c r="B153">
        <f t="shared" si="41"/>
        <v>1.11581519662622E-2</v>
      </c>
      <c r="C153">
        <f t="shared" si="37"/>
        <v>1.11581519662622E-2</v>
      </c>
      <c r="D153" t="s">
        <v>35</v>
      </c>
      <c r="E153" t="s">
        <v>21</v>
      </c>
      <c r="F153">
        <v>1</v>
      </c>
      <c r="G153">
        <f t="shared" si="42"/>
        <v>145</v>
      </c>
      <c r="I153">
        <v>2150</v>
      </c>
      <c r="J153" t="s">
        <v>28</v>
      </c>
      <c r="K153">
        <f t="shared" si="43"/>
        <v>147.5</v>
      </c>
      <c r="L153" cm="1">
        <f t="array" ref="L153">STOWA2024_JAARROND_T(A153*60,K153,I153,J153,"")</f>
        <v>31.308448903646166</v>
      </c>
      <c r="M153">
        <f t="shared" si="44"/>
        <v>3.1940260058157671E-2</v>
      </c>
    </row>
    <row r="154" spans="1:13" x14ac:dyDescent="0.3">
      <c r="A154">
        <v>216</v>
      </c>
      <c r="B154">
        <f t="shared" si="41"/>
        <v>8.30183928291163E-3</v>
      </c>
      <c r="C154">
        <f t="shared" si="37"/>
        <v>8.30183928291163E-3</v>
      </c>
      <c r="D154" t="s">
        <v>35</v>
      </c>
      <c r="E154" t="s">
        <v>21</v>
      </c>
      <c r="F154">
        <v>1</v>
      </c>
      <c r="G154">
        <f t="shared" si="42"/>
        <v>150</v>
      </c>
      <c r="I154">
        <v>2150</v>
      </c>
      <c r="J154" t="s">
        <v>28</v>
      </c>
      <c r="K154">
        <f t="shared" si="43"/>
        <v>152.5</v>
      </c>
      <c r="L154" cm="1">
        <f t="array" ref="L154">STOWA2024_JAARROND_T(A154*60,K154,I154,J154,"")</f>
        <v>42.304010471257527</v>
      </c>
      <c r="M154">
        <f t="shared" si="44"/>
        <v>2.3638420775246041E-2</v>
      </c>
    </row>
    <row r="155" spans="1:13" x14ac:dyDescent="0.3">
      <c r="A155">
        <v>216</v>
      </c>
      <c r="B155">
        <f t="shared" si="41"/>
        <v>6.1680845667689659E-3</v>
      </c>
      <c r="C155">
        <f t="shared" si="37"/>
        <v>6.1680845667689659E-3</v>
      </c>
      <c r="D155" t="s">
        <v>35</v>
      </c>
      <c r="E155" t="s">
        <v>21</v>
      </c>
      <c r="F155">
        <v>1</v>
      </c>
      <c r="G155">
        <f t="shared" si="42"/>
        <v>155</v>
      </c>
      <c r="I155">
        <v>2150</v>
      </c>
      <c r="J155" t="s">
        <v>28</v>
      </c>
      <c r="K155">
        <f t="shared" si="43"/>
        <v>157.5</v>
      </c>
      <c r="L155" cm="1">
        <f t="array" ref="L155">STOWA2024_JAARROND_T(A155*60,K155,I155,J155,"")</f>
        <v>57.239882968867718</v>
      </c>
      <c r="M155">
        <f t="shared" si="44"/>
        <v>1.7470336208477075E-2</v>
      </c>
    </row>
    <row r="156" spans="1:13" x14ac:dyDescent="0.3">
      <c r="A156">
        <v>216</v>
      </c>
      <c r="B156" s="1">
        <f>M155</f>
        <v>1.7470336208477075E-2</v>
      </c>
      <c r="C156">
        <f t="shared" si="37"/>
        <v>1.7470336208477075E-2</v>
      </c>
      <c r="D156" t="s">
        <v>35</v>
      </c>
      <c r="E156" t="s">
        <v>21</v>
      </c>
      <c r="F156">
        <v>1</v>
      </c>
      <c r="G156">
        <f t="shared" si="42"/>
        <v>160</v>
      </c>
      <c r="I156">
        <v>2150</v>
      </c>
      <c r="J156" t="s">
        <v>28</v>
      </c>
      <c r="K156">
        <f>AVERAGE(G156:G157)</f>
        <v>160</v>
      </c>
      <c r="L156" cm="1">
        <f t="array" ref="L156">STOWA2024_JAARROND_T(A156*60,K156,I156,J156,"")</f>
        <v>66.61683993241175</v>
      </c>
      <c r="M156">
        <f>1/L156</f>
        <v>1.5011219400598737E-2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56"/>
  <sheetViews>
    <sheetView workbookViewId="0">
      <selection activeCell="J23" sqref="J2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355.94682720260329</v>
      </c>
      <c r="C2">
        <f>B2</f>
        <v>355.94682720260329</v>
      </c>
      <c r="D2" t="s">
        <v>35</v>
      </c>
      <c r="E2" t="s">
        <v>19</v>
      </c>
      <c r="F2">
        <v>1</v>
      </c>
      <c r="G2">
        <v>10</v>
      </c>
      <c r="I2">
        <v>2150</v>
      </c>
      <c r="J2" t="s">
        <v>28</v>
      </c>
      <c r="K2">
        <f>AVERAGE(G2:G4)</f>
        <v>15</v>
      </c>
      <c r="L2" cm="1">
        <f t="array" ref="L2">STOWA2024_NDJF_T(A2*60,K2,I2,J2,"")</f>
        <v>0.10749021025169243</v>
      </c>
      <c r="M2">
        <f>1/L2</f>
        <v>9.3031727973967282</v>
      </c>
    </row>
    <row r="3" spans="1:13" x14ac:dyDescent="0.3">
      <c r="A3">
        <v>24</v>
      </c>
      <c r="B3">
        <f t="shared" ref="B3:B7" si="0">M2-M3</f>
        <v>3.2378198881905469</v>
      </c>
      <c r="C3">
        <f t="shared" ref="C3:C32" si="1">B3</f>
        <v>3.2378198881905469</v>
      </c>
      <c r="D3" t="s">
        <v>35</v>
      </c>
      <c r="E3" t="s">
        <v>19</v>
      </c>
      <c r="F3">
        <v>1</v>
      </c>
      <c r="G3">
        <f t="shared" ref="G3:G7" si="2">G2+5</f>
        <v>15</v>
      </c>
      <c r="I3">
        <v>2150</v>
      </c>
      <c r="J3" t="s">
        <v>28</v>
      </c>
      <c r="K3">
        <f t="shared" ref="K3:K7" si="3">AVERAGE(G3:G4)</f>
        <v>17.5</v>
      </c>
      <c r="L3" cm="1">
        <f t="array" ref="L3">STOWA2024_NDJF_T(A3*60,K3,I3,J3,"")</f>
        <v>0.16487086818677424</v>
      </c>
      <c r="M3">
        <f t="shared" ref="M3:M7" si="4">1/L3</f>
        <v>6.0653529092061813</v>
      </c>
    </row>
    <row r="4" spans="1:13" x14ac:dyDescent="0.3">
      <c r="A4">
        <v>24</v>
      </c>
      <c r="B4">
        <f t="shared" si="0"/>
        <v>3.3869707432883218</v>
      </c>
      <c r="C4">
        <f t="shared" si="1"/>
        <v>3.3869707432883218</v>
      </c>
      <c r="D4" t="s">
        <v>35</v>
      </c>
      <c r="E4" t="s">
        <v>19</v>
      </c>
      <c r="F4">
        <v>1</v>
      </c>
      <c r="G4">
        <f t="shared" si="2"/>
        <v>20</v>
      </c>
      <c r="I4">
        <v>2150</v>
      </c>
      <c r="J4" t="s">
        <v>28</v>
      </c>
      <c r="K4">
        <f t="shared" si="3"/>
        <v>22.5</v>
      </c>
      <c r="L4" cm="1">
        <f t="array" ref="L4">STOWA2024_NDJF_T(A4*60,K4,I4,J4,"")</f>
        <v>0.3733597142054253</v>
      </c>
      <c r="M4">
        <f t="shared" si="4"/>
        <v>2.6783821659178595</v>
      </c>
    </row>
    <row r="5" spans="1:13" x14ac:dyDescent="0.3">
      <c r="A5">
        <v>24</v>
      </c>
      <c r="B5">
        <f t="shared" si="0"/>
        <v>1.4399291564998631</v>
      </c>
      <c r="C5">
        <f t="shared" si="1"/>
        <v>1.4399291564998631</v>
      </c>
      <c r="D5" t="s">
        <v>35</v>
      </c>
      <c r="E5" t="s">
        <v>19</v>
      </c>
      <c r="F5">
        <v>1</v>
      </c>
      <c r="G5">
        <f t="shared" si="2"/>
        <v>25</v>
      </c>
      <c r="I5">
        <v>2150</v>
      </c>
      <c r="J5" t="s">
        <v>28</v>
      </c>
      <c r="K5">
        <f t="shared" si="3"/>
        <v>27.5</v>
      </c>
      <c r="L5" cm="1">
        <f t="array" ref="L5">STOWA2024_NDJF_T(A5*60,K5,I5,J5,"")</f>
        <v>0.8074589769618663</v>
      </c>
      <c r="M5">
        <f t="shared" si="4"/>
        <v>1.2384530094179964</v>
      </c>
    </row>
    <row r="6" spans="1:13" x14ac:dyDescent="0.3">
      <c r="A6">
        <v>24</v>
      </c>
      <c r="B6">
        <f t="shared" si="0"/>
        <v>0.64164554215067182</v>
      </c>
      <c r="C6">
        <f t="shared" si="1"/>
        <v>0.64164554215067182</v>
      </c>
      <c r="D6" t="s">
        <v>35</v>
      </c>
      <c r="E6" t="s">
        <v>19</v>
      </c>
      <c r="F6">
        <v>1</v>
      </c>
      <c r="G6">
        <f t="shared" si="2"/>
        <v>30</v>
      </c>
      <c r="I6">
        <v>2150</v>
      </c>
      <c r="J6" t="s">
        <v>28</v>
      </c>
      <c r="K6">
        <f t="shared" si="3"/>
        <v>32.5</v>
      </c>
      <c r="L6" cm="1">
        <f t="array" ref="L6">STOWA2024_NDJF_T(A6*60,K6,I6,J6,"")</f>
        <v>1.6755822519762067</v>
      </c>
      <c r="M6">
        <f t="shared" si="4"/>
        <v>0.59680746726732459</v>
      </c>
    </row>
    <row r="7" spans="1:13" x14ac:dyDescent="0.3">
      <c r="A7">
        <v>24</v>
      </c>
      <c r="B7">
        <f t="shared" si="0"/>
        <v>0.29843760209025649</v>
      </c>
      <c r="C7">
        <f t="shared" si="1"/>
        <v>0.29843760209025649</v>
      </c>
      <c r="D7" t="s">
        <v>35</v>
      </c>
      <c r="E7" t="s">
        <v>19</v>
      </c>
      <c r="F7">
        <v>1</v>
      </c>
      <c r="G7">
        <f t="shared" si="2"/>
        <v>35</v>
      </c>
      <c r="I7">
        <v>2150</v>
      </c>
      <c r="J7" t="s">
        <v>28</v>
      </c>
      <c r="K7">
        <f t="shared" si="3"/>
        <v>37.5</v>
      </c>
      <c r="L7" cm="1">
        <f t="array" ref="L7">STOWA2024_NDJF_T(A7*60,K7,I7,J7,"")</f>
        <v>3.3515449001746487</v>
      </c>
      <c r="M7">
        <f t="shared" si="4"/>
        <v>0.29836986517706809</v>
      </c>
    </row>
    <row r="8" spans="1:13" x14ac:dyDescent="0.3">
      <c r="A8">
        <v>24</v>
      </c>
      <c r="B8">
        <f>M7-M8</f>
        <v>0.14413437674683177</v>
      </c>
      <c r="C8">
        <f t="shared" si="1"/>
        <v>0.14413437674683177</v>
      </c>
      <c r="D8" t="s">
        <v>35</v>
      </c>
      <c r="E8" t="s">
        <v>19</v>
      </c>
      <c r="F8">
        <v>1</v>
      </c>
      <c r="G8">
        <f>G7+5</f>
        <v>40</v>
      </c>
      <c r="I8">
        <v>2150</v>
      </c>
      <c r="J8" t="s">
        <v>28</v>
      </c>
      <c r="K8">
        <f>AVERAGE(G8:G9)</f>
        <v>42.5</v>
      </c>
      <c r="L8" cm="1">
        <f t="array" ref="L8">STOWA2024_NDJF_T(A8*60,K8,I8,J8,"")</f>
        <v>6.4835921367884097</v>
      </c>
      <c r="M8">
        <f>1/L8</f>
        <v>0.15423548843023632</v>
      </c>
    </row>
    <row r="9" spans="1:13" x14ac:dyDescent="0.3">
      <c r="A9">
        <v>24</v>
      </c>
      <c r="B9">
        <f t="shared" ref="B9:B31" si="5">M8-M9</f>
        <v>7.2051514913293951E-2</v>
      </c>
      <c r="C9">
        <f t="shared" si="1"/>
        <v>7.2051514913293951E-2</v>
      </c>
      <c r="D9" t="s">
        <v>35</v>
      </c>
      <c r="E9" t="s">
        <v>19</v>
      </c>
      <c r="F9">
        <v>1</v>
      </c>
      <c r="G9">
        <f t="shared" ref="G9:G32" si="6">G8+5</f>
        <v>45</v>
      </c>
      <c r="I9">
        <v>2150</v>
      </c>
      <c r="J9" t="s">
        <v>28</v>
      </c>
      <c r="K9">
        <f t="shared" ref="K9:K31" si="7">AVERAGE(G9:G10)</f>
        <v>47.5</v>
      </c>
      <c r="L9" cm="1">
        <f t="array" ref="L9">STOWA2024_NDJF_T(A9*60,K9,I9,J9,"")</f>
        <v>12.167822474461499</v>
      </c>
      <c r="M9">
        <f t="shared" ref="M9:M31" si="8">1/L9</f>
        <v>8.2183973516942371E-2</v>
      </c>
    </row>
    <row r="10" spans="1:13" x14ac:dyDescent="0.3">
      <c r="A10">
        <v>24</v>
      </c>
      <c r="B10">
        <f t="shared" si="5"/>
        <v>3.7163806936714068E-2</v>
      </c>
      <c r="C10">
        <f t="shared" si="1"/>
        <v>3.7163806936714068E-2</v>
      </c>
      <c r="D10" t="s">
        <v>35</v>
      </c>
      <c r="E10" t="s">
        <v>19</v>
      </c>
      <c r="F10">
        <v>1</v>
      </c>
      <c r="G10">
        <f t="shared" si="6"/>
        <v>50</v>
      </c>
      <c r="I10">
        <v>2150</v>
      </c>
      <c r="J10" t="s">
        <v>28</v>
      </c>
      <c r="K10">
        <f t="shared" si="7"/>
        <v>52.5</v>
      </c>
      <c r="L10" cm="1">
        <f t="array" ref="L10">STOWA2024_NDJF_T(A10*60,K10,I10,J10,"")</f>
        <v>22.212267878172938</v>
      </c>
      <c r="M10">
        <f t="shared" si="8"/>
        <v>4.5020166580228303E-2</v>
      </c>
    </row>
    <row r="11" spans="1:13" x14ac:dyDescent="0.3">
      <c r="A11">
        <v>24</v>
      </c>
      <c r="B11">
        <f t="shared" si="5"/>
        <v>1.9726015636843543E-2</v>
      </c>
      <c r="C11">
        <f t="shared" si="1"/>
        <v>1.9726015636843543E-2</v>
      </c>
      <c r="D11" t="s">
        <v>35</v>
      </c>
      <c r="E11" t="s">
        <v>19</v>
      </c>
      <c r="F11">
        <v>1</v>
      </c>
      <c r="G11">
        <f t="shared" si="6"/>
        <v>55</v>
      </c>
      <c r="I11">
        <v>2150</v>
      </c>
      <c r="J11" t="s">
        <v>28</v>
      </c>
      <c r="K11">
        <f t="shared" si="7"/>
        <v>57.5</v>
      </c>
      <c r="L11" cm="1">
        <f t="array" ref="L11">STOWA2024_NDJF_T(A11*60,K11,I11,J11,"")</f>
        <v>39.534831678607198</v>
      </c>
      <c r="M11">
        <f t="shared" si="8"/>
        <v>2.5294150943384761E-2</v>
      </c>
    </row>
    <row r="12" spans="1:13" x14ac:dyDescent="0.3">
      <c r="A12">
        <v>24</v>
      </c>
      <c r="B12">
        <f t="shared" si="5"/>
        <v>1.07478976025705E-2</v>
      </c>
      <c r="C12">
        <f t="shared" si="1"/>
        <v>1.07478976025705E-2</v>
      </c>
      <c r="D12" t="s">
        <v>35</v>
      </c>
      <c r="E12" t="s">
        <v>19</v>
      </c>
      <c r="F12">
        <v>1</v>
      </c>
      <c r="G12">
        <f t="shared" si="6"/>
        <v>60</v>
      </c>
      <c r="I12">
        <v>2150</v>
      </c>
      <c r="J12" t="s">
        <v>28</v>
      </c>
      <c r="K12">
        <f t="shared" si="7"/>
        <v>62.5</v>
      </c>
      <c r="L12" cm="1">
        <f t="array" ref="L12">STOWA2024_NDJF_T(A12*60,K12,I12,J12,"")</f>
        <v>68.746224651139116</v>
      </c>
      <c r="M12">
        <f t="shared" si="8"/>
        <v>1.4546253340814261E-2</v>
      </c>
    </row>
    <row r="13" spans="1:13" x14ac:dyDescent="0.3">
      <c r="A13">
        <v>24</v>
      </c>
      <c r="B13">
        <f t="shared" si="5"/>
        <v>5.9992449884026244E-3</v>
      </c>
      <c r="C13">
        <f t="shared" si="1"/>
        <v>5.9992449884026244E-3</v>
      </c>
      <c r="D13" t="s">
        <v>35</v>
      </c>
      <c r="E13" t="s">
        <v>19</v>
      </c>
      <c r="F13">
        <v>1</v>
      </c>
      <c r="G13">
        <f t="shared" si="6"/>
        <v>65</v>
      </c>
      <c r="I13">
        <v>2150</v>
      </c>
      <c r="J13" t="s">
        <v>28</v>
      </c>
      <c r="K13">
        <f t="shared" si="7"/>
        <v>67.5</v>
      </c>
      <c r="L13" cm="1">
        <f t="array" ref="L13">STOWA2024_NDJF_T(A13*60,K13,I13,J13,"")</f>
        <v>117.00000266383717</v>
      </c>
      <c r="M13">
        <f t="shared" si="8"/>
        <v>8.5470083524116364E-3</v>
      </c>
    </row>
    <row r="14" spans="1:13" x14ac:dyDescent="0.3">
      <c r="A14">
        <v>24</v>
      </c>
      <c r="B14">
        <f t="shared" si="5"/>
        <v>3.4242820008648549E-3</v>
      </c>
      <c r="C14">
        <f t="shared" si="1"/>
        <v>3.4242820008648549E-3</v>
      </c>
      <c r="D14" t="s">
        <v>35</v>
      </c>
      <c r="E14" t="s">
        <v>19</v>
      </c>
      <c r="F14">
        <v>1</v>
      </c>
      <c r="G14">
        <f t="shared" si="6"/>
        <v>70</v>
      </c>
      <c r="I14">
        <v>2150</v>
      </c>
      <c r="J14" t="s">
        <v>28</v>
      </c>
      <c r="K14">
        <f t="shared" si="7"/>
        <v>72.5</v>
      </c>
      <c r="L14" cm="1">
        <f t="array" ref="L14">STOWA2024_NDJF_T(A14*60,K14,I14,J14,"")</f>
        <v>195.20855329273152</v>
      </c>
      <c r="M14">
        <f t="shared" si="8"/>
        <v>5.1227263515467815E-3</v>
      </c>
    </row>
    <row r="15" spans="1:13" x14ac:dyDescent="0.3">
      <c r="A15">
        <v>24</v>
      </c>
      <c r="B15">
        <f t="shared" si="5"/>
        <v>1.9951991624901611E-3</v>
      </c>
      <c r="C15">
        <f t="shared" si="1"/>
        <v>1.9951991624901611E-3</v>
      </c>
      <c r="D15" t="s">
        <v>35</v>
      </c>
      <c r="E15" t="s">
        <v>19</v>
      </c>
      <c r="F15">
        <v>1</v>
      </c>
      <c r="G15">
        <f t="shared" si="6"/>
        <v>75</v>
      </c>
      <c r="I15">
        <v>2150</v>
      </c>
      <c r="J15" t="s">
        <v>28</v>
      </c>
      <c r="K15">
        <f t="shared" si="7"/>
        <v>77.5</v>
      </c>
      <c r="L15" cm="1">
        <f t="array" ref="L15">STOWA2024_NDJF_T(A15*60,K15,I15,J15,"")</f>
        <v>319.74142495037353</v>
      </c>
      <c r="M15">
        <f t="shared" si="8"/>
        <v>3.1275271890566204E-3</v>
      </c>
    </row>
    <row r="16" spans="1:13" x14ac:dyDescent="0.3">
      <c r="A16">
        <v>24</v>
      </c>
      <c r="B16">
        <f t="shared" si="5"/>
        <v>1.1850681420791131E-3</v>
      </c>
      <c r="C16">
        <f t="shared" si="1"/>
        <v>1.1850681420791131E-3</v>
      </c>
      <c r="D16" t="s">
        <v>35</v>
      </c>
      <c r="E16" t="s">
        <v>19</v>
      </c>
      <c r="F16">
        <v>1</v>
      </c>
      <c r="G16">
        <f t="shared" si="6"/>
        <v>80</v>
      </c>
      <c r="I16">
        <v>2150</v>
      </c>
      <c r="J16" t="s">
        <v>28</v>
      </c>
      <c r="K16">
        <f t="shared" si="7"/>
        <v>82.5</v>
      </c>
      <c r="L16" cm="1">
        <f t="array" ref="L16">STOWA2024_NDJF_T(A16*60,K16,I16,J16,"")</f>
        <v>514.81136838174973</v>
      </c>
      <c r="M16">
        <f t="shared" si="8"/>
        <v>1.9424590469775073E-3</v>
      </c>
    </row>
    <row r="17" spans="1:13" x14ac:dyDescent="0.3">
      <c r="A17">
        <v>24</v>
      </c>
      <c r="B17">
        <f t="shared" si="5"/>
        <v>7.1656529573206097E-4</v>
      </c>
      <c r="C17">
        <f t="shared" si="1"/>
        <v>7.1656529573206097E-4</v>
      </c>
      <c r="D17" t="s">
        <v>35</v>
      </c>
      <c r="E17" t="s">
        <v>19</v>
      </c>
      <c r="F17">
        <v>1</v>
      </c>
      <c r="G17">
        <f t="shared" si="6"/>
        <v>85</v>
      </c>
      <c r="I17">
        <v>2150</v>
      </c>
      <c r="J17" t="s">
        <v>28</v>
      </c>
      <c r="K17">
        <f t="shared" si="7"/>
        <v>87.5</v>
      </c>
      <c r="L17" cm="1">
        <f t="array" ref="L17">STOWA2024_NDJF_T(A17*60,K17,I17,J17,"")</f>
        <v>815.73137882793708</v>
      </c>
      <c r="M17">
        <f t="shared" si="8"/>
        <v>1.2258937512454463E-3</v>
      </c>
    </row>
    <row r="18" spans="1:13" x14ac:dyDescent="0.3">
      <c r="A18">
        <v>24</v>
      </c>
      <c r="B18">
        <f t="shared" si="5"/>
        <v>4.4056378187301581E-4</v>
      </c>
      <c r="C18">
        <f t="shared" si="1"/>
        <v>4.4056378187301581E-4</v>
      </c>
      <c r="D18" t="s">
        <v>35</v>
      </c>
      <c r="E18" t="s">
        <v>19</v>
      </c>
      <c r="F18">
        <v>1</v>
      </c>
      <c r="G18">
        <f t="shared" si="6"/>
        <v>90</v>
      </c>
      <c r="I18">
        <v>2150</v>
      </c>
      <c r="J18" t="s">
        <v>28</v>
      </c>
      <c r="K18">
        <f t="shared" si="7"/>
        <v>92.5</v>
      </c>
      <c r="L18" cm="1">
        <f t="array" ref="L18">STOWA2024_NDJF_T(A18*60,K18,I18,J18,"")</f>
        <v>1273.3501063242445</v>
      </c>
      <c r="M18">
        <f t="shared" si="8"/>
        <v>7.853299693724305E-4</v>
      </c>
    </row>
    <row r="19" spans="1:13" x14ac:dyDescent="0.3">
      <c r="A19">
        <v>24</v>
      </c>
      <c r="B19">
        <f t="shared" si="5"/>
        <v>2.7512519279071772E-4</v>
      </c>
      <c r="C19">
        <f t="shared" si="1"/>
        <v>2.7512519279071772E-4</v>
      </c>
      <c r="D19" t="s">
        <v>35</v>
      </c>
      <c r="E19" t="s">
        <v>19</v>
      </c>
      <c r="F19">
        <v>1</v>
      </c>
      <c r="G19">
        <f t="shared" si="6"/>
        <v>95</v>
      </c>
      <c r="I19">
        <v>2150</v>
      </c>
      <c r="J19" t="s">
        <v>28</v>
      </c>
      <c r="K19">
        <f t="shared" si="7"/>
        <v>97.5</v>
      </c>
      <c r="L19" cm="1">
        <f t="array" ref="L19">STOWA2024_NDJF_T(A19*60,K19,I19,J19,"")</f>
        <v>1959.9973302873286</v>
      </c>
      <c r="M19">
        <f t="shared" si="8"/>
        <v>5.1020477658171278E-4</v>
      </c>
    </row>
    <row r="20" spans="1:13" x14ac:dyDescent="0.3">
      <c r="A20">
        <v>24</v>
      </c>
      <c r="B20">
        <f t="shared" si="5"/>
        <v>1.743509345975694E-4</v>
      </c>
      <c r="C20">
        <f t="shared" si="1"/>
        <v>1.743509345975694E-4</v>
      </c>
      <c r="D20" t="s">
        <v>35</v>
      </c>
      <c r="E20" t="s">
        <v>19</v>
      </c>
      <c r="F20">
        <v>1</v>
      </c>
      <c r="G20">
        <f t="shared" si="6"/>
        <v>100</v>
      </c>
      <c r="I20">
        <v>2150</v>
      </c>
      <c r="J20" t="s">
        <v>28</v>
      </c>
      <c r="K20">
        <f t="shared" si="7"/>
        <v>102.5</v>
      </c>
      <c r="L20" cm="1">
        <f t="array" ref="L20">STOWA2024_NDJF_T(A20*60,K20,I20,J20,"")</f>
        <v>2977.4856648720811</v>
      </c>
      <c r="M20">
        <f t="shared" si="8"/>
        <v>3.3585384198414338E-4</v>
      </c>
    </row>
    <row r="21" spans="1:13" x14ac:dyDescent="0.3">
      <c r="A21">
        <v>24</v>
      </c>
      <c r="B21">
        <f t="shared" si="5"/>
        <v>1.1201345858711018E-4</v>
      </c>
      <c r="C21">
        <f t="shared" si="1"/>
        <v>1.1201345858711018E-4</v>
      </c>
      <c r="D21" t="s">
        <v>35</v>
      </c>
      <c r="E21" t="s">
        <v>19</v>
      </c>
      <c r="F21">
        <v>1</v>
      </c>
      <c r="G21">
        <f t="shared" si="6"/>
        <v>105</v>
      </c>
      <c r="I21">
        <v>2150</v>
      </c>
      <c r="J21" t="s">
        <v>28</v>
      </c>
      <c r="K21">
        <f t="shared" si="7"/>
        <v>107.5</v>
      </c>
      <c r="L21" cm="1">
        <f t="array" ref="L21">STOWA2024_NDJF_T(A21*60,K21,I21,J21,"")</f>
        <v>4467.4691171622344</v>
      </c>
      <c r="M21">
        <f t="shared" si="8"/>
        <v>2.2384038339703319E-4</v>
      </c>
    </row>
    <row r="22" spans="1:13" x14ac:dyDescent="0.3">
      <c r="A22">
        <v>24</v>
      </c>
      <c r="B22">
        <f t="shared" si="5"/>
        <v>7.2903406423245376E-5</v>
      </c>
      <c r="C22">
        <f t="shared" si="1"/>
        <v>7.2903406423245376E-5</v>
      </c>
      <c r="D22" t="s">
        <v>35</v>
      </c>
      <c r="E22" t="s">
        <v>19</v>
      </c>
      <c r="F22">
        <v>1</v>
      </c>
      <c r="G22">
        <f t="shared" si="6"/>
        <v>110</v>
      </c>
      <c r="I22">
        <v>2150</v>
      </c>
      <c r="J22" t="s">
        <v>28</v>
      </c>
      <c r="K22">
        <f t="shared" si="7"/>
        <v>112.5</v>
      </c>
      <c r="L22" cm="1">
        <f t="array" ref="L22">STOWA2024_NDJF_T(A22*60,K22,I22,J22,"")</f>
        <v>6625.2817569922781</v>
      </c>
      <c r="M22">
        <f t="shared" si="8"/>
        <v>1.5093697697378782E-4</v>
      </c>
    </row>
    <row r="23" spans="1:13" x14ac:dyDescent="0.3">
      <c r="A23">
        <v>24</v>
      </c>
      <c r="B23">
        <f t="shared" si="5"/>
        <v>4.8031512883926371E-5</v>
      </c>
      <c r="C23">
        <f t="shared" si="1"/>
        <v>4.8031512883926371E-5</v>
      </c>
      <c r="D23" t="s">
        <v>35</v>
      </c>
      <c r="E23" t="s">
        <v>19</v>
      </c>
      <c r="F23">
        <v>1</v>
      </c>
      <c r="G23">
        <f t="shared" si="6"/>
        <v>115</v>
      </c>
      <c r="I23">
        <v>2150</v>
      </c>
      <c r="J23" t="s">
        <v>28</v>
      </c>
      <c r="K23">
        <f t="shared" si="7"/>
        <v>117.5</v>
      </c>
      <c r="L23" cm="1">
        <f t="array" ref="L23">STOWA2024_NDJF_T(A23*60,K23,I23,J23,"")</f>
        <v>9717.6569664634844</v>
      </c>
      <c r="M23">
        <f t="shared" si="8"/>
        <v>1.0290546408986145E-4</v>
      </c>
    </row>
    <row r="24" spans="1:13" x14ac:dyDescent="0.3">
      <c r="A24">
        <v>24</v>
      </c>
      <c r="B24">
        <f t="shared" si="5"/>
        <v>3.2011958971273608E-5</v>
      </c>
      <c r="C24">
        <f t="shared" si="1"/>
        <v>3.2011958971273608E-5</v>
      </c>
      <c r="D24" t="s">
        <v>35</v>
      </c>
      <c r="E24" t="s">
        <v>19</v>
      </c>
      <c r="F24">
        <v>1</v>
      </c>
      <c r="G24">
        <f t="shared" si="6"/>
        <v>120</v>
      </c>
      <c r="I24">
        <v>2150</v>
      </c>
      <c r="J24" t="s">
        <v>28</v>
      </c>
      <c r="K24">
        <f t="shared" si="7"/>
        <v>122.5</v>
      </c>
      <c r="L24" cm="1">
        <f t="array" ref="L24">STOWA2024_NDJF_T(A24*60,K24,I24,J24,"")</f>
        <v>14105.664522120042</v>
      </c>
      <c r="M24">
        <f t="shared" si="8"/>
        <v>7.089350511858784E-5</v>
      </c>
    </row>
    <row r="25" spans="1:13" x14ac:dyDescent="0.3">
      <c r="A25">
        <v>24</v>
      </c>
      <c r="B25">
        <f t="shared" si="5"/>
        <v>2.1569307916458129E-5</v>
      </c>
      <c r="C25">
        <f t="shared" si="1"/>
        <v>2.1569307916458129E-5</v>
      </c>
      <c r="D25" t="s">
        <v>35</v>
      </c>
      <c r="E25" t="s">
        <v>19</v>
      </c>
      <c r="F25">
        <v>1</v>
      </c>
      <c r="G25">
        <f t="shared" si="6"/>
        <v>125</v>
      </c>
      <c r="I25">
        <v>2150</v>
      </c>
      <c r="J25" t="s">
        <v>28</v>
      </c>
      <c r="K25">
        <f t="shared" si="7"/>
        <v>127.5</v>
      </c>
      <c r="L25" cm="1">
        <f t="array" ref="L25">STOWA2024_NDJF_T(A25*60,K25,I25,J25,"")</f>
        <v>20274.024854414096</v>
      </c>
      <c r="M25">
        <f t="shared" si="8"/>
        <v>4.9324197202129711E-5</v>
      </c>
    </row>
    <row r="26" spans="1:13" x14ac:dyDescent="0.3">
      <c r="A26">
        <v>24</v>
      </c>
      <c r="B26">
        <f t="shared" si="5"/>
        <v>1.4684183475123885E-5</v>
      </c>
      <c r="C26">
        <f t="shared" si="1"/>
        <v>1.4684183475123885E-5</v>
      </c>
      <c r="D26" t="s">
        <v>35</v>
      </c>
      <c r="E26" t="s">
        <v>19</v>
      </c>
      <c r="F26">
        <v>1</v>
      </c>
      <c r="G26">
        <f t="shared" si="6"/>
        <v>130</v>
      </c>
      <c r="I26">
        <v>2150</v>
      </c>
      <c r="J26" t="s">
        <v>28</v>
      </c>
      <c r="K26">
        <f t="shared" si="7"/>
        <v>132.5</v>
      </c>
      <c r="L26" cm="1">
        <f t="array" ref="L26">STOWA2024_NDJF_T(A26*60,K26,I26,J26,"")</f>
        <v>28868.348837298134</v>
      </c>
      <c r="M26">
        <f t="shared" si="8"/>
        <v>3.4640013727005827E-5</v>
      </c>
    </row>
    <row r="27" spans="1:13" x14ac:dyDescent="0.3">
      <c r="A27">
        <v>24</v>
      </c>
      <c r="B27">
        <f t="shared" si="5"/>
        <v>1.0095404827175638E-5</v>
      </c>
      <c r="C27">
        <f t="shared" si="1"/>
        <v>1.0095404827175638E-5</v>
      </c>
      <c r="D27" t="s">
        <v>35</v>
      </c>
      <c r="E27" t="s">
        <v>19</v>
      </c>
      <c r="F27">
        <v>1</v>
      </c>
      <c r="G27">
        <f t="shared" si="6"/>
        <v>135</v>
      </c>
      <c r="I27">
        <v>2150</v>
      </c>
      <c r="J27" t="s">
        <v>28</v>
      </c>
      <c r="K27">
        <f t="shared" si="7"/>
        <v>137.5</v>
      </c>
      <c r="L27" cm="1">
        <f t="array" ref="L27">STOWA2024_NDJF_T(A27*60,K27,I27,J27,"")</f>
        <v>40742.14439843523</v>
      </c>
      <c r="M27">
        <f t="shared" si="8"/>
        <v>2.4544608899830189E-5</v>
      </c>
    </row>
    <row r="28" spans="1:13" x14ac:dyDescent="0.3">
      <c r="A28">
        <v>24</v>
      </c>
      <c r="B28">
        <f t="shared" si="5"/>
        <v>7.0056087608201226E-6</v>
      </c>
      <c r="C28">
        <f t="shared" si="1"/>
        <v>7.0056087608201226E-6</v>
      </c>
      <c r="D28" t="s">
        <v>35</v>
      </c>
      <c r="E28" t="s">
        <v>19</v>
      </c>
      <c r="F28">
        <v>1</v>
      </c>
      <c r="G28">
        <f t="shared" si="6"/>
        <v>140</v>
      </c>
      <c r="I28">
        <v>2150</v>
      </c>
      <c r="J28" t="s">
        <v>28</v>
      </c>
      <c r="K28">
        <f t="shared" si="7"/>
        <v>142.5</v>
      </c>
      <c r="L28" cm="1">
        <f t="array" ref="L28">STOWA2024_NDJF_T(A28*60,K28,I28,J28,"")</f>
        <v>57015.792922870794</v>
      </c>
      <c r="M28">
        <f t="shared" si="8"/>
        <v>1.7539000139010066E-5</v>
      </c>
    </row>
    <row r="29" spans="1:13" x14ac:dyDescent="0.3">
      <c r="A29">
        <v>24</v>
      </c>
      <c r="B29">
        <f t="shared" si="5"/>
        <v>4.9047039767865538E-6</v>
      </c>
      <c r="C29">
        <f t="shared" si="1"/>
        <v>4.9047039767865538E-6</v>
      </c>
      <c r="D29" t="s">
        <v>35</v>
      </c>
      <c r="E29" t="s">
        <v>19</v>
      </c>
      <c r="F29">
        <v>1</v>
      </c>
      <c r="G29">
        <f t="shared" si="6"/>
        <v>145</v>
      </c>
      <c r="I29">
        <v>2150</v>
      </c>
      <c r="J29" t="s">
        <v>28</v>
      </c>
      <c r="K29">
        <f t="shared" si="7"/>
        <v>147.5</v>
      </c>
      <c r="L29" cm="1">
        <f t="array" ref="L29">STOWA2024_NDJF_T(A29*60,K29,I29,J29,"")</f>
        <v>79149.640562487009</v>
      </c>
      <c r="M29">
        <f t="shared" si="8"/>
        <v>1.2634296162223512E-5</v>
      </c>
    </row>
    <row r="30" spans="1:13" x14ac:dyDescent="0.3">
      <c r="A30">
        <v>24</v>
      </c>
      <c r="B30">
        <f t="shared" si="5"/>
        <v>3.4631017658803623E-6</v>
      </c>
      <c r="C30">
        <f t="shared" si="1"/>
        <v>3.4631017658803623E-6</v>
      </c>
      <c r="D30" t="s">
        <v>35</v>
      </c>
      <c r="E30" t="s">
        <v>19</v>
      </c>
      <c r="F30">
        <v>1</v>
      </c>
      <c r="G30">
        <f t="shared" si="6"/>
        <v>150</v>
      </c>
      <c r="I30">
        <v>2150</v>
      </c>
      <c r="J30" t="s">
        <v>28</v>
      </c>
      <c r="K30">
        <f t="shared" si="7"/>
        <v>152.5</v>
      </c>
      <c r="L30" cm="1">
        <f t="array" ref="L30">STOWA2024_NDJF_T(A30*60,K30,I30,J30,"")</f>
        <v>109037.05196770577</v>
      </c>
      <c r="M30">
        <f t="shared" si="8"/>
        <v>9.1711943963431499E-6</v>
      </c>
    </row>
    <row r="31" spans="1:13" x14ac:dyDescent="0.3">
      <c r="A31">
        <v>24</v>
      </c>
      <c r="B31">
        <f t="shared" si="5"/>
        <v>2.4649024904879014E-6</v>
      </c>
      <c r="C31">
        <f t="shared" si="1"/>
        <v>2.4649024904879014E-6</v>
      </c>
      <c r="D31" t="s">
        <v>35</v>
      </c>
      <c r="E31" t="s">
        <v>19</v>
      </c>
      <c r="F31">
        <v>1</v>
      </c>
      <c r="G31">
        <f t="shared" si="6"/>
        <v>155</v>
      </c>
      <c r="I31">
        <v>2150</v>
      </c>
      <c r="J31" t="s">
        <v>28</v>
      </c>
      <c r="K31">
        <f t="shared" si="7"/>
        <v>157.5</v>
      </c>
      <c r="L31" cm="1">
        <f t="array" ref="L31">STOWA2024_NDJF_T(A31*60,K31,I31,J31,"")</f>
        <v>149113.70009511549</v>
      </c>
      <c r="M31">
        <f t="shared" si="8"/>
        <v>6.7062919058552486E-6</v>
      </c>
    </row>
    <row r="32" spans="1:13" x14ac:dyDescent="0.3">
      <c r="A32">
        <v>24</v>
      </c>
      <c r="B32" s="1">
        <f>M31</f>
        <v>6.7062919058552486E-6</v>
      </c>
      <c r="C32">
        <f t="shared" si="1"/>
        <v>6.7062919058552486E-6</v>
      </c>
      <c r="D32" t="s">
        <v>35</v>
      </c>
      <c r="E32" t="s">
        <v>19</v>
      </c>
      <c r="F32">
        <v>1</v>
      </c>
      <c r="G32">
        <f t="shared" si="6"/>
        <v>160</v>
      </c>
      <c r="I32">
        <v>2150</v>
      </c>
      <c r="J32" t="s">
        <v>28</v>
      </c>
      <c r="K32">
        <f>AVERAGE(G32:G33)</f>
        <v>85</v>
      </c>
      <c r="L32" cm="1">
        <f t="array" ref="L32">STOWA2024_NDJF_T(A32*60,K32,I32,J32,"")</f>
        <v>649.29078025783872</v>
      </c>
      <c r="M32">
        <f>1/L32</f>
        <v>1.5401419986325569E-3</v>
      </c>
    </row>
    <row r="33" spans="1:13" x14ac:dyDescent="0.3">
      <c r="A33">
        <v>48</v>
      </c>
      <c r="B33" s="1">
        <f>365.25*24/A33 - M33</f>
        <v>165.95861792289315</v>
      </c>
      <c r="C33">
        <f>B33</f>
        <v>165.95861792289315</v>
      </c>
      <c r="D33" t="s">
        <v>35</v>
      </c>
      <c r="E33" t="s">
        <v>19</v>
      </c>
      <c r="F33">
        <v>1</v>
      </c>
      <c r="G33">
        <v>10</v>
      </c>
      <c r="I33">
        <v>2150</v>
      </c>
      <c r="J33" t="s">
        <v>28</v>
      </c>
      <c r="K33">
        <f>AVERAGE(G33:G35)</f>
        <v>15</v>
      </c>
      <c r="L33" cm="1">
        <f t="array" ref="L33">STOWA2024_NDJF_T(A33*60,K33,I33,J33,"")</f>
        <v>6.000102453990977E-2</v>
      </c>
      <c r="M33">
        <f>1/L33</f>
        <v>16.666382077106842</v>
      </c>
    </row>
    <row r="34" spans="1:13" x14ac:dyDescent="0.3">
      <c r="A34">
        <v>48</v>
      </c>
      <c r="B34">
        <f t="shared" ref="B34:B38" si="9">M33-M34</f>
        <v>4.6004772055630792</v>
      </c>
      <c r="C34">
        <f t="shared" ref="C34:C63" si="10">B34</f>
        <v>4.6004772055630792</v>
      </c>
      <c r="D34" t="s">
        <v>35</v>
      </c>
      <c r="E34" t="s">
        <v>19</v>
      </c>
      <c r="F34">
        <v>1</v>
      </c>
      <c r="G34">
        <f t="shared" ref="G34:G38" si="11">G33+5</f>
        <v>15</v>
      </c>
      <c r="I34">
        <v>2150</v>
      </c>
      <c r="J34" t="s">
        <v>28</v>
      </c>
      <c r="K34">
        <f t="shared" ref="K34:K38" si="12">AVERAGE(G34:G35)</f>
        <v>17.5</v>
      </c>
      <c r="L34" cm="1">
        <f t="array" ref="L34">STOWA2024_NDJF_T(A34*60,K34,I34,J34,"")</f>
        <v>8.2878160456776068E-2</v>
      </c>
      <c r="M34">
        <f t="shared" ref="M34:M38" si="13">1/L34</f>
        <v>12.065904871543763</v>
      </c>
    </row>
    <row r="35" spans="1:13" x14ac:dyDescent="0.3">
      <c r="A35">
        <v>48</v>
      </c>
      <c r="B35">
        <f t="shared" si="9"/>
        <v>5.6330831423263277</v>
      </c>
      <c r="C35">
        <f t="shared" si="10"/>
        <v>5.6330831423263277</v>
      </c>
      <c r="D35" t="s">
        <v>35</v>
      </c>
      <c r="E35" t="s">
        <v>19</v>
      </c>
      <c r="F35">
        <v>1</v>
      </c>
      <c r="G35">
        <f t="shared" si="11"/>
        <v>20</v>
      </c>
      <c r="I35">
        <v>2150</v>
      </c>
      <c r="J35" t="s">
        <v>28</v>
      </c>
      <c r="K35">
        <f t="shared" si="12"/>
        <v>22.5</v>
      </c>
      <c r="L35" cm="1">
        <f t="array" ref="L35">STOWA2024_NDJF_T(A35*60,K35,I35,J35,"")</f>
        <v>0.15545277672752356</v>
      </c>
      <c r="M35">
        <f t="shared" si="13"/>
        <v>6.4328217292174354</v>
      </c>
    </row>
    <row r="36" spans="1:13" x14ac:dyDescent="0.3">
      <c r="A36">
        <v>48</v>
      </c>
      <c r="B36">
        <f t="shared" si="9"/>
        <v>2.9290945662626768</v>
      </c>
      <c r="C36">
        <f t="shared" si="10"/>
        <v>2.9290945662626768</v>
      </c>
      <c r="D36" t="s">
        <v>35</v>
      </c>
      <c r="E36" t="s">
        <v>19</v>
      </c>
      <c r="F36">
        <v>1</v>
      </c>
      <c r="G36">
        <f t="shared" si="11"/>
        <v>25</v>
      </c>
      <c r="I36">
        <v>2150</v>
      </c>
      <c r="J36" t="s">
        <v>28</v>
      </c>
      <c r="K36">
        <f t="shared" si="12"/>
        <v>27.5</v>
      </c>
      <c r="L36" cm="1">
        <f t="array" ref="L36">STOWA2024_NDJF_T(A36*60,K36,I36,J36,"")</f>
        <v>0.2854103511749132</v>
      </c>
      <c r="M36">
        <f t="shared" si="13"/>
        <v>3.5037271629547586</v>
      </c>
    </row>
    <row r="37" spans="1:13" x14ac:dyDescent="0.3">
      <c r="A37">
        <v>48</v>
      </c>
      <c r="B37">
        <f t="shared" si="9"/>
        <v>1.5568122976666945</v>
      </c>
      <c r="C37">
        <f t="shared" si="10"/>
        <v>1.5568122976666945</v>
      </c>
      <c r="D37" t="s">
        <v>35</v>
      </c>
      <c r="E37" t="s">
        <v>19</v>
      </c>
      <c r="F37">
        <v>1</v>
      </c>
      <c r="G37">
        <f t="shared" si="11"/>
        <v>30</v>
      </c>
      <c r="I37">
        <v>2150</v>
      </c>
      <c r="J37" t="s">
        <v>28</v>
      </c>
      <c r="K37">
        <f t="shared" si="12"/>
        <v>32.5</v>
      </c>
      <c r="L37" cm="1">
        <f t="array" ref="L37">STOWA2024_NDJF_T(A37*60,K37,I37,J37,"")</f>
        <v>0.51363314227509416</v>
      </c>
      <c r="M37">
        <f t="shared" si="13"/>
        <v>1.9469148652880641</v>
      </c>
    </row>
    <row r="38" spans="1:13" x14ac:dyDescent="0.3">
      <c r="A38">
        <v>48</v>
      </c>
      <c r="B38">
        <f t="shared" si="9"/>
        <v>0.84461778687252242</v>
      </c>
      <c r="C38">
        <f t="shared" si="10"/>
        <v>0.84461778687252242</v>
      </c>
      <c r="D38" t="s">
        <v>35</v>
      </c>
      <c r="E38" t="s">
        <v>19</v>
      </c>
      <c r="F38">
        <v>1</v>
      </c>
      <c r="G38">
        <f t="shared" si="11"/>
        <v>35</v>
      </c>
      <c r="I38">
        <v>2150</v>
      </c>
      <c r="J38" t="s">
        <v>28</v>
      </c>
      <c r="K38">
        <f t="shared" si="12"/>
        <v>37.5</v>
      </c>
      <c r="L38" cm="1">
        <f t="array" ref="L38">STOWA2024_NDJF_T(A38*60,K38,I38,J38,"")</f>
        <v>0.90719645328046683</v>
      </c>
      <c r="M38">
        <f t="shared" si="13"/>
        <v>1.1022970784155417</v>
      </c>
    </row>
    <row r="39" spans="1:13" x14ac:dyDescent="0.3">
      <c r="A39">
        <v>48</v>
      </c>
      <c r="B39">
        <f>M38-M39</f>
        <v>0.46706506391839508</v>
      </c>
      <c r="C39">
        <f t="shared" si="10"/>
        <v>0.46706506391839508</v>
      </c>
      <c r="D39" t="s">
        <v>35</v>
      </c>
      <c r="E39" t="s">
        <v>19</v>
      </c>
      <c r="F39">
        <v>1</v>
      </c>
      <c r="G39">
        <f>G38+5</f>
        <v>40</v>
      </c>
      <c r="I39">
        <v>2150</v>
      </c>
      <c r="J39" t="s">
        <v>28</v>
      </c>
      <c r="K39">
        <f>AVERAGE(G39:G40)</f>
        <v>42.5</v>
      </c>
      <c r="L39" cm="1">
        <f t="array" ref="L39">STOWA2024_NDJF_T(A39*60,K39,I39,J39,"")</f>
        <v>1.5742279626627538</v>
      </c>
      <c r="M39">
        <f>1/L39</f>
        <v>0.63523201449714661</v>
      </c>
    </row>
    <row r="40" spans="1:13" x14ac:dyDescent="0.3">
      <c r="A40">
        <v>48</v>
      </c>
      <c r="B40">
        <f t="shared" ref="B40:B62" si="14">M39-M40</f>
        <v>0.26311544684629851</v>
      </c>
      <c r="C40">
        <f t="shared" si="10"/>
        <v>0.26311544684629851</v>
      </c>
      <c r="D40" t="s">
        <v>35</v>
      </c>
      <c r="E40" t="s">
        <v>19</v>
      </c>
      <c r="F40">
        <v>1</v>
      </c>
      <c r="G40">
        <f t="shared" ref="G40:G63" si="15">G39+5</f>
        <v>45</v>
      </c>
      <c r="I40">
        <v>2150</v>
      </c>
      <c r="J40" t="s">
        <v>28</v>
      </c>
      <c r="K40">
        <f t="shared" ref="K40:K62" si="16">AVERAGE(G40:G41)</f>
        <v>47.5</v>
      </c>
      <c r="L40" cm="1">
        <f t="array" ref="L40">STOWA2024_NDJF_T(A40*60,K40,I40,J40,"")</f>
        <v>2.6873299576875769</v>
      </c>
      <c r="M40">
        <f t="shared" ref="M40:M62" si="17">1/L40</f>
        <v>0.37211656765084811</v>
      </c>
    </row>
    <row r="41" spans="1:13" x14ac:dyDescent="0.3">
      <c r="A41">
        <v>48</v>
      </c>
      <c r="B41">
        <f t="shared" si="14"/>
        <v>0.15071366212442194</v>
      </c>
      <c r="C41">
        <f t="shared" si="10"/>
        <v>0.15071366212442194</v>
      </c>
      <c r="D41" t="s">
        <v>35</v>
      </c>
      <c r="E41" t="s">
        <v>19</v>
      </c>
      <c r="F41">
        <v>1</v>
      </c>
      <c r="G41">
        <f t="shared" si="15"/>
        <v>50</v>
      </c>
      <c r="I41">
        <v>2150</v>
      </c>
      <c r="J41" t="s">
        <v>28</v>
      </c>
      <c r="K41">
        <f t="shared" si="16"/>
        <v>52.5</v>
      </c>
      <c r="L41" cm="1">
        <f t="array" ref="L41">STOWA2024_NDJF_T(A41*60,K41,I41,J41,"")</f>
        <v>4.5166525598312086</v>
      </c>
      <c r="M41">
        <f t="shared" si="17"/>
        <v>0.22140290552642616</v>
      </c>
    </row>
    <row r="42" spans="1:13" x14ac:dyDescent="0.3">
      <c r="A42">
        <v>48</v>
      </c>
      <c r="B42">
        <f t="shared" si="14"/>
        <v>8.7726111537795248E-2</v>
      </c>
      <c r="C42">
        <f t="shared" si="10"/>
        <v>8.7726111537795248E-2</v>
      </c>
      <c r="D42" t="s">
        <v>35</v>
      </c>
      <c r="E42" t="s">
        <v>19</v>
      </c>
      <c r="F42">
        <v>1</v>
      </c>
      <c r="G42">
        <f t="shared" si="15"/>
        <v>55</v>
      </c>
      <c r="I42">
        <v>2150</v>
      </c>
      <c r="J42" t="s">
        <v>28</v>
      </c>
      <c r="K42">
        <f t="shared" si="16"/>
        <v>57.5</v>
      </c>
      <c r="L42" cm="1">
        <f t="array" ref="L42">STOWA2024_NDJF_T(A42*60,K42,I42,J42,"")</f>
        <v>7.480729976850351</v>
      </c>
      <c r="M42">
        <f t="shared" si="17"/>
        <v>0.13367679398863092</v>
      </c>
    </row>
    <row r="43" spans="1:13" x14ac:dyDescent="0.3">
      <c r="A43">
        <v>48</v>
      </c>
      <c r="B43">
        <f t="shared" si="14"/>
        <v>5.1839010778168951E-2</v>
      </c>
      <c r="C43">
        <f t="shared" si="10"/>
        <v>5.1839010778168951E-2</v>
      </c>
      <c r="D43" t="s">
        <v>35</v>
      </c>
      <c r="E43" t="s">
        <v>19</v>
      </c>
      <c r="F43">
        <v>1</v>
      </c>
      <c r="G43">
        <f t="shared" si="15"/>
        <v>60</v>
      </c>
      <c r="I43">
        <v>2150</v>
      </c>
      <c r="J43" t="s">
        <v>28</v>
      </c>
      <c r="K43">
        <f t="shared" si="16"/>
        <v>62.5</v>
      </c>
      <c r="L43" cm="1">
        <f t="array" ref="L43">STOWA2024_NDJF_T(A43*60,K43,I43,J43,"")</f>
        <v>12.219294814331702</v>
      </c>
      <c r="M43">
        <f t="shared" si="17"/>
        <v>8.1837783210461965E-2</v>
      </c>
    </row>
    <row r="44" spans="1:13" x14ac:dyDescent="0.3">
      <c r="A44">
        <v>48</v>
      </c>
      <c r="B44">
        <f t="shared" si="14"/>
        <v>3.1074512769209764E-2</v>
      </c>
      <c r="C44">
        <f t="shared" si="10"/>
        <v>3.1074512769209764E-2</v>
      </c>
      <c r="D44" t="s">
        <v>35</v>
      </c>
      <c r="E44" t="s">
        <v>19</v>
      </c>
      <c r="F44">
        <v>1</v>
      </c>
      <c r="G44">
        <f t="shared" si="15"/>
        <v>65</v>
      </c>
      <c r="I44">
        <v>2150</v>
      </c>
      <c r="J44" t="s">
        <v>28</v>
      </c>
      <c r="K44">
        <f t="shared" si="16"/>
        <v>67.5</v>
      </c>
      <c r="L44" cm="1">
        <f t="array" ref="L44">STOWA2024_NDJF_T(A44*60,K44,I44,J44,"")</f>
        <v>19.699282400594925</v>
      </c>
      <c r="M44">
        <f t="shared" si="17"/>
        <v>5.0763270441252201E-2</v>
      </c>
    </row>
    <row r="45" spans="1:13" x14ac:dyDescent="0.3">
      <c r="A45">
        <v>48</v>
      </c>
      <c r="B45">
        <f t="shared" si="14"/>
        <v>1.8881187587484805E-2</v>
      </c>
      <c r="C45">
        <f t="shared" si="10"/>
        <v>1.8881187587484805E-2</v>
      </c>
      <c r="D45" t="s">
        <v>35</v>
      </c>
      <c r="E45" t="s">
        <v>19</v>
      </c>
      <c r="F45">
        <v>1</v>
      </c>
      <c r="G45">
        <f t="shared" si="15"/>
        <v>70</v>
      </c>
      <c r="I45">
        <v>2150</v>
      </c>
      <c r="J45" t="s">
        <v>28</v>
      </c>
      <c r="K45">
        <f t="shared" si="16"/>
        <v>72.5</v>
      </c>
      <c r="L45" cm="1">
        <f t="array" ref="L45">STOWA2024_NDJF_T(A45*60,K45,I45,J45,"")</f>
        <v>31.365579362762158</v>
      </c>
      <c r="M45">
        <f t="shared" si="17"/>
        <v>3.1882082853767396E-2</v>
      </c>
    </row>
    <row r="46" spans="1:13" x14ac:dyDescent="0.3">
      <c r="A46">
        <v>48</v>
      </c>
      <c r="B46">
        <f t="shared" si="14"/>
        <v>1.1620602417128541E-2</v>
      </c>
      <c r="C46">
        <f t="shared" si="10"/>
        <v>1.1620602417128541E-2</v>
      </c>
      <c r="D46" t="s">
        <v>35</v>
      </c>
      <c r="E46" t="s">
        <v>19</v>
      </c>
      <c r="F46">
        <v>1</v>
      </c>
      <c r="G46">
        <f t="shared" si="15"/>
        <v>75</v>
      </c>
      <c r="I46">
        <v>2150</v>
      </c>
      <c r="J46" t="s">
        <v>28</v>
      </c>
      <c r="K46">
        <f t="shared" si="16"/>
        <v>77.5</v>
      </c>
      <c r="L46" cm="1">
        <f t="array" ref="L46">STOWA2024_NDJF_T(A46*60,K46,I46,J46,"")</f>
        <v>49.354735115589037</v>
      </c>
      <c r="M46">
        <f t="shared" si="17"/>
        <v>2.0261480436638855E-2</v>
      </c>
    </row>
    <row r="47" spans="1:13" x14ac:dyDescent="0.3">
      <c r="A47">
        <v>48</v>
      </c>
      <c r="B47">
        <f t="shared" si="14"/>
        <v>7.2397283945087459E-3</v>
      </c>
      <c r="C47">
        <f t="shared" si="10"/>
        <v>7.2397283945087459E-3</v>
      </c>
      <c r="D47" t="s">
        <v>35</v>
      </c>
      <c r="E47" t="s">
        <v>19</v>
      </c>
      <c r="F47">
        <v>1</v>
      </c>
      <c r="G47">
        <f t="shared" si="15"/>
        <v>80</v>
      </c>
      <c r="I47">
        <v>2150</v>
      </c>
      <c r="J47" t="s">
        <v>28</v>
      </c>
      <c r="K47">
        <f t="shared" si="16"/>
        <v>82.5</v>
      </c>
      <c r="L47" cm="1">
        <f t="array" ref="L47">STOWA2024_NDJF_T(A47*60,K47,I47,J47,"")</f>
        <v>76.794581617330437</v>
      </c>
      <c r="M47">
        <f t="shared" si="17"/>
        <v>1.3021752042130109E-2</v>
      </c>
    </row>
    <row r="48" spans="1:13" x14ac:dyDescent="0.3">
      <c r="A48">
        <v>48</v>
      </c>
      <c r="B48">
        <f t="shared" si="14"/>
        <v>4.5629275673997466E-3</v>
      </c>
      <c r="C48">
        <f t="shared" si="10"/>
        <v>4.5629275673997466E-3</v>
      </c>
      <c r="D48" t="s">
        <v>35</v>
      </c>
      <c r="E48" t="s">
        <v>19</v>
      </c>
      <c r="F48">
        <v>1</v>
      </c>
      <c r="G48">
        <f t="shared" si="15"/>
        <v>85</v>
      </c>
      <c r="I48">
        <v>2150</v>
      </c>
      <c r="J48" t="s">
        <v>28</v>
      </c>
      <c r="K48">
        <f t="shared" si="16"/>
        <v>87.5</v>
      </c>
      <c r="L48" cm="1">
        <f t="array" ref="L48">STOWA2024_NDJF_T(A48*60,K48,I48,J48,"")</f>
        <v>118.21973644060942</v>
      </c>
      <c r="M48">
        <f t="shared" si="17"/>
        <v>8.4588244747303629E-3</v>
      </c>
    </row>
    <row r="49" spans="1:13" x14ac:dyDescent="0.3">
      <c r="A49">
        <v>48</v>
      </c>
      <c r="B49">
        <f t="shared" si="14"/>
        <v>2.9078419166142892E-3</v>
      </c>
      <c r="C49">
        <f t="shared" si="10"/>
        <v>2.9078419166142892E-3</v>
      </c>
      <c r="D49" t="s">
        <v>35</v>
      </c>
      <c r="E49" t="s">
        <v>19</v>
      </c>
      <c r="F49">
        <v>1</v>
      </c>
      <c r="G49">
        <f t="shared" si="15"/>
        <v>90</v>
      </c>
      <c r="I49">
        <v>2150</v>
      </c>
      <c r="J49" t="s">
        <v>28</v>
      </c>
      <c r="K49">
        <f t="shared" si="16"/>
        <v>92.5</v>
      </c>
      <c r="L49" cm="1">
        <f t="array" ref="L49">STOWA2024_NDJF_T(A49*60,K49,I49,J49,"")</f>
        <v>180.14828717807865</v>
      </c>
      <c r="M49">
        <f t="shared" si="17"/>
        <v>5.5509825581160736E-3</v>
      </c>
    </row>
    <row r="50" spans="1:13" x14ac:dyDescent="0.3">
      <c r="A50">
        <v>48</v>
      </c>
      <c r="B50">
        <f t="shared" si="14"/>
        <v>1.8726982533136764E-3</v>
      </c>
      <c r="C50">
        <f t="shared" si="10"/>
        <v>1.8726982533136764E-3</v>
      </c>
      <c r="D50" t="s">
        <v>35</v>
      </c>
      <c r="E50" t="s">
        <v>19</v>
      </c>
      <c r="F50">
        <v>1</v>
      </c>
      <c r="G50">
        <f t="shared" si="15"/>
        <v>95</v>
      </c>
      <c r="I50">
        <v>2150</v>
      </c>
      <c r="J50" t="s">
        <v>28</v>
      </c>
      <c r="K50">
        <f t="shared" si="16"/>
        <v>97.5</v>
      </c>
      <c r="L50" cm="1">
        <f t="array" ref="L50">STOWA2024_NDJF_T(A50*60,K50,I50,J50,"")</f>
        <v>271.86588015896217</v>
      </c>
      <c r="M50">
        <f t="shared" si="17"/>
        <v>3.6782843048023973E-3</v>
      </c>
    </row>
    <row r="51" spans="1:13" x14ac:dyDescent="0.3">
      <c r="A51">
        <v>48</v>
      </c>
      <c r="B51">
        <f t="shared" si="14"/>
        <v>1.218240930077775E-3</v>
      </c>
      <c r="C51">
        <f t="shared" si="10"/>
        <v>1.218240930077775E-3</v>
      </c>
      <c r="D51" t="s">
        <v>35</v>
      </c>
      <c r="E51" t="s">
        <v>19</v>
      </c>
      <c r="F51">
        <v>1</v>
      </c>
      <c r="G51">
        <f t="shared" si="15"/>
        <v>100</v>
      </c>
      <c r="I51">
        <v>2150</v>
      </c>
      <c r="J51" t="s">
        <v>28</v>
      </c>
      <c r="K51">
        <f t="shared" si="16"/>
        <v>102.5</v>
      </c>
      <c r="L51" cm="1">
        <f t="array" ref="L51">STOWA2024_NDJF_T(A51*60,K51,I51,J51,"")</f>
        <v>406.49689768658658</v>
      </c>
      <c r="M51">
        <f t="shared" si="17"/>
        <v>2.4600433747246223E-3</v>
      </c>
    </row>
    <row r="52" spans="1:13" x14ac:dyDescent="0.3">
      <c r="A52">
        <v>48</v>
      </c>
      <c r="B52">
        <f t="shared" si="14"/>
        <v>8.0008989787337757E-4</v>
      </c>
      <c r="C52">
        <f t="shared" si="10"/>
        <v>8.0008989787337757E-4</v>
      </c>
      <c r="D52" t="s">
        <v>35</v>
      </c>
      <c r="E52" t="s">
        <v>19</v>
      </c>
      <c r="F52">
        <v>1</v>
      </c>
      <c r="G52">
        <f t="shared" si="15"/>
        <v>105</v>
      </c>
      <c r="I52">
        <v>2150</v>
      </c>
      <c r="J52" t="s">
        <v>28</v>
      </c>
      <c r="K52">
        <f t="shared" si="16"/>
        <v>107.5</v>
      </c>
      <c r="L52" cm="1">
        <f t="array" ref="L52">STOWA2024_NDJF_T(A52*60,K52,I52,J52,"")</f>
        <v>602.42652215584599</v>
      </c>
      <c r="M52">
        <f t="shared" si="17"/>
        <v>1.6599534768512447E-3</v>
      </c>
    </row>
    <row r="53" spans="1:13" x14ac:dyDescent="0.3">
      <c r="A53">
        <v>48</v>
      </c>
      <c r="B53">
        <f t="shared" si="14"/>
        <v>5.3034502101967406E-4</v>
      </c>
      <c r="C53">
        <f t="shared" si="10"/>
        <v>5.3034502101967406E-4</v>
      </c>
      <c r="D53" t="s">
        <v>35</v>
      </c>
      <c r="E53" t="s">
        <v>19</v>
      </c>
      <c r="F53">
        <v>1</v>
      </c>
      <c r="G53">
        <f t="shared" si="15"/>
        <v>110</v>
      </c>
      <c r="I53">
        <v>2150</v>
      </c>
      <c r="J53" t="s">
        <v>28</v>
      </c>
      <c r="K53">
        <f t="shared" si="16"/>
        <v>112.5</v>
      </c>
      <c r="L53" cm="1">
        <f t="array" ref="L53">STOWA2024_NDJF_T(A53*60,K53,I53,J53,"")</f>
        <v>885.26249501544476</v>
      </c>
      <c r="M53">
        <f t="shared" si="17"/>
        <v>1.1296084558315707E-3</v>
      </c>
    </row>
    <row r="54" spans="1:13" x14ac:dyDescent="0.3">
      <c r="A54">
        <v>48</v>
      </c>
      <c r="B54">
        <f t="shared" si="14"/>
        <v>3.5463446804874456E-4</v>
      </c>
      <c r="C54">
        <f t="shared" si="10"/>
        <v>3.5463446804874456E-4</v>
      </c>
      <c r="D54" t="s">
        <v>35</v>
      </c>
      <c r="E54" t="s">
        <v>19</v>
      </c>
      <c r="F54">
        <v>1</v>
      </c>
      <c r="G54">
        <f t="shared" si="15"/>
        <v>115</v>
      </c>
      <c r="I54">
        <v>2150</v>
      </c>
      <c r="J54" t="s">
        <v>28</v>
      </c>
      <c r="K54">
        <f t="shared" si="16"/>
        <v>117.5</v>
      </c>
      <c r="L54" cm="1">
        <f t="array" ref="L54">STOWA2024_NDJF_T(A54*60,K54,I54,J54,"")</f>
        <v>1290.3658906810092</v>
      </c>
      <c r="M54">
        <f t="shared" si="17"/>
        <v>7.7497398778282611E-4</v>
      </c>
    </row>
    <row r="55" spans="1:13" x14ac:dyDescent="0.3">
      <c r="A55">
        <v>48</v>
      </c>
      <c r="B55">
        <f t="shared" si="14"/>
        <v>2.3914307073997295E-4</v>
      </c>
      <c r="C55">
        <f t="shared" si="10"/>
        <v>2.3914307073997295E-4</v>
      </c>
      <c r="D55" t="s">
        <v>35</v>
      </c>
      <c r="E55" t="s">
        <v>19</v>
      </c>
      <c r="F55">
        <v>1</v>
      </c>
      <c r="G55">
        <f t="shared" si="15"/>
        <v>120</v>
      </c>
      <c r="I55">
        <v>2150</v>
      </c>
      <c r="J55" t="s">
        <v>28</v>
      </c>
      <c r="K55">
        <f t="shared" si="16"/>
        <v>122.5</v>
      </c>
      <c r="L55" cm="1">
        <f t="array" ref="L55">STOWA2024_NDJF_T(A55*60,K55,I55,J55,"")</f>
        <v>1866.2603597396094</v>
      </c>
      <c r="M55">
        <f t="shared" si="17"/>
        <v>5.3583091704285316E-4</v>
      </c>
    </row>
    <row r="56" spans="1:13" x14ac:dyDescent="0.3">
      <c r="A56">
        <v>48</v>
      </c>
      <c r="B56">
        <f t="shared" si="14"/>
        <v>1.6256708894764235E-4</v>
      </c>
      <c r="C56">
        <f t="shared" si="10"/>
        <v>1.6256708894764235E-4</v>
      </c>
      <c r="D56" t="s">
        <v>35</v>
      </c>
      <c r="E56" t="s">
        <v>19</v>
      </c>
      <c r="F56">
        <v>1</v>
      </c>
      <c r="G56">
        <f t="shared" si="15"/>
        <v>125</v>
      </c>
      <c r="I56">
        <v>2150</v>
      </c>
      <c r="J56" t="s">
        <v>28</v>
      </c>
      <c r="K56">
        <f t="shared" si="16"/>
        <v>127.5</v>
      </c>
      <c r="L56" cm="1">
        <f t="array" ref="L56">STOWA2024_NDJF_T(A56*60,K56,I56,J56,"")</f>
        <v>2679.0702037833776</v>
      </c>
      <c r="M56">
        <f t="shared" si="17"/>
        <v>3.7326382809521082E-4</v>
      </c>
    </row>
    <row r="57" spans="1:13" x14ac:dyDescent="0.3">
      <c r="A57">
        <v>48</v>
      </c>
      <c r="B57">
        <f t="shared" si="14"/>
        <v>1.1137515598539781E-4</v>
      </c>
      <c r="C57">
        <f t="shared" si="10"/>
        <v>1.1137515598539781E-4</v>
      </c>
      <c r="D57" t="s">
        <v>35</v>
      </c>
      <c r="E57" t="s">
        <v>19</v>
      </c>
      <c r="F57">
        <v>1</v>
      </c>
      <c r="G57">
        <f t="shared" si="15"/>
        <v>130</v>
      </c>
      <c r="I57">
        <v>2150</v>
      </c>
      <c r="J57" t="s">
        <v>28</v>
      </c>
      <c r="K57">
        <f t="shared" si="16"/>
        <v>132.5</v>
      </c>
      <c r="L57" cm="1">
        <f t="array" ref="L57">STOWA2024_NDJF_T(A57*60,K57,I57,J57,"")</f>
        <v>3818.4163978680535</v>
      </c>
      <c r="M57">
        <f t="shared" si="17"/>
        <v>2.6188867210981301E-4</v>
      </c>
    </row>
    <row r="58" spans="1:13" x14ac:dyDescent="0.3">
      <c r="A58">
        <v>48</v>
      </c>
      <c r="B58">
        <f t="shared" si="14"/>
        <v>7.687030430403492E-5</v>
      </c>
      <c r="C58">
        <f t="shared" si="10"/>
        <v>7.687030430403492E-5</v>
      </c>
      <c r="D58" t="s">
        <v>35</v>
      </c>
      <c r="E58" t="s">
        <v>19</v>
      </c>
      <c r="F58">
        <v>1</v>
      </c>
      <c r="G58">
        <f t="shared" si="15"/>
        <v>135</v>
      </c>
      <c r="I58">
        <v>2150</v>
      </c>
      <c r="J58" t="s">
        <v>28</v>
      </c>
      <c r="K58">
        <f t="shared" si="16"/>
        <v>137.5</v>
      </c>
      <c r="L58" cm="1">
        <f t="array" ref="L58">STOWA2024_NDJF_T(A58*60,K58,I58,J58,"")</f>
        <v>5404.8687806485459</v>
      </c>
      <c r="M58">
        <f t="shared" si="17"/>
        <v>1.8501836780577809E-4</v>
      </c>
    </row>
    <row r="59" spans="1:13" x14ac:dyDescent="0.3">
      <c r="A59">
        <v>48</v>
      </c>
      <c r="B59">
        <f t="shared" si="14"/>
        <v>5.3437402410681935E-5</v>
      </c>
      <c r="C59">
        <f t="shared" si="10"/>
        <v>5.3437402410681935E-5</v>
      </c>
      <c r="D59" t="s">
        <v>35</v>
      </c>
      <c r="E59" t="s">
        <v>19</v>
      </c>
      <c r="F59">
        <v>1</v>
      </c>
      <c r="G59">
        <f t="shared" si="15"/>
        <v>140</v>
      </c>
      <c r="I59">
        <v>2150</v>
      </c>
      <c r="J59" t="s">
        <v>28</v>
      </c>
      <c r="K59">
        <f t="shared" si="16"/>
        <v>142.5</v>
      </c>
      <c r="L59" cm="1">
        <f t="array" ref="L59">STOWA2024_NDJF_T(A59*60,K59,I59,J59,"")</f>
        <v>7599.8834405669186</v>
      </c>
      <c r="M59">
        <f t="shared" si="17"/>
        <v>1.3158096539509615E-4</v>
      </c>
    </row>
    <row r="60" spans="1:13" x14ac:dyDescent="0.3">
      <c r="A60">
        <v>48</v>
      </c>
      <c r="B60">
        <f t="shared" si="14"/>
        <v>3.7404842125660664E-5</v>
      </c>
      <c r="C60">
        <f t="shared" si="10"/>
        <v>3.7404842125660664E-5</v>
      </c>
      <c r="D60" t="s">
        <v>35</v>
      </c>
      <c r="E60" t="s">
        <v>19</v>
      </c>
      <c r="F60">
        <v>1</v>
      </c>
      <c r="G60">
        <f t="shared" si="15"/>
        <v>145</v>
      </c>
      <c r="I60">
        <v>2150</v>
      </c>
      <c r="J60" t="s">
        <v>28</v>
      </c>
      <c r="K60">
        <f t="shared" si="16"/>
        <v>147.5</v>
      </c>
      <c r="L60" cm="1">
        <f t="array" ref="L60">STOWA2024_NDJF_T(A60*60,K60,I60,J60,"")</f>
        <v>10618.402683013672</v>
      </c>
      <c r="M60">
        <f t="shared" si="17"/>
        <v>9.4176123269435486E-5</v>
      </c>
    </row>
    <row r="61" spans="1:13" x14ac:dyDescent="0.3">
      <c r="A61">
        <v>48</v>
      </c>
      <c r="B61">
        <f t="shared" si="14"/>
        <v>2.6355537369792382E-5</v>
      </c>
      <c r="C61">
        <f t="shared" si="10"/>
        <v>2.6355537369792382E-5</v>
      </c>
      <c r="D61" t="s">
        <v>35</v>
      </c>
      <c r="E61" t="s">
        <v>19</v>
      </c>
      <c r="F61">
        <v>1</v>
      </c>
      <c r="G61">
        <f t="shared" si="15"/>
        <v>150</v>
      </c>
      <c r="I61">
        <v>2150</v>
      </c>
      <c r="J61" t="s">
        <v>28</v>
      </c>
      <c r="K61">
        <f t="shared" si="16"/>
        <v>152.5</v>
      </c>
      <c r="L61" cm="1">
        <f t="array" ref="L61">STOWA2024_NDJF_T(A61*60,K61,I61,J61,"")</f>
        <v>14744.785624231276</v>
      </c>
      <c r="M61">
        <f t="shared" si="17"/>
        <v>6.7820585899643104E-5</v>
      </c>
    </row>
    <row r="62" spans="1:13" x14ac:dyDescent="0.3">
      <c r="A62">
        <v>48</v>
      </c>
      <c r="B62">
        <f t="shared" si="14"/>
        <v>1.8689524598469655E-5</v>
      </c>
      <c r="C62">
        <f t="shared" si="10"/>
        <v>1.8689524598469655E-5</v>
      </c>
      <c r="D62" t="s">
        <v>35</v>
      </c>
      <c r="E62" t="s">
        <v>19</v>
      </c>
      <c r="F62">
        <v>1</v>
      </c>
      <c r="G62">
        <f t="shared" si="15"/>
        <v>155</v>
      </c>
      <c r="I62">
        <v>2150</v>
      </c>
      <c r="J62" t="s">
        <v>28</v>
      </c>
      <c r="K62">
        <f t="shared" si="16"/>
        <v>157.5</v>
      </c>
      <c r="L62" cm="1">
        <f t="array" ref="L62">STOWA2024_NDJF_T(A62*60,K62,I62,J62,"")</f>
        <v>20353.722747204647</v>
      </c>
      <c r="M62">
        <f t="shared" si="17"/>
        <v>4.9131061301173448E-5</v>
      </c>
    </row>
    <row r="63" spans="1:13" x14ac:dyDescent="0.3">
      <c r="A63">
        <v>48</v>
      </c>
      <c r="B63" s="1">
        <f>M62</f>
        <v>4.9131061301173448E-5</v>
      </c>
      <c r="C63">
        <f t="shared" si="10"/>
        <v>4.9131061301173448E-5</v>
      </c>
      <c r="D63" t="s">
        <v>35</v>
      </c>
      <c r="E63" t="s">
        <v>19</v>
      </c>
      <c r="F63">
        <v>1</v>
      </c>
      <c r="G63">
        <f t="shared" si="15"/>
        <v>160</v>
      </c>
      <c r="I63">
        <v>2150</v>
      </c>
      <c r="J63" t="s">
        <v>28</v>
      </c>
      <c r="K63">
        <f>AVERAGE(G63:G64)</f>
        <v>85</v>
      </c>
      <c r="L63" cm="1">
        <f t="array" ref="L63">STOWA2024_NDJF_T(A63*60,K63,I63,J63,"")</f>
        <v>95.40559507873877</v>
      </c>
      <c r="M63">
        <f>1/L63</f>
        <v>1.0481565564102339E-2</v>
      </c>
    </row>
    <row r="64" spans="1:13" x14ac:dyDescent="0.3">
      <c r="A64">
        <v>96</v>
      </c>
      <c r="B64" s="1">
        <f>365.25*24/A64 - M64</f>
        <v>68.248264932158904</v>
      </c>
      <c r="C64">
        <f>B64</f>
        <v>68.248264932158904</v>
      </c>
      <c r="D64" t="s">
        <v>35</v>
      </c>
      <c r="E64" t="s">
        <v>19</v>
      </c>
      <c r="F64">
        <v>1</v>
      </c>
      <c r="G64">
        <v>10</v>
      </c>
      <c r="I64">
        <v>2150</v>
      </c>
      <c r="J64" t="s">
        <v>28</v>
      </c>
      <c r="K64">
        <f>AVERAGE(G64:G66)</f>
        <v>15</v>
      </c>
      <c r="L64" cm="1">
        <f t="array" ref="L64">STOWA2024_NDJF_T(A64*60,K64,I64,J64,"")</f>
        <v>4.3357171701493766E-2</v>
      </c>
      <c r="M64">
        <f>1/L64</f>
        <v>23.064235067841093</v>
      </c>
    </row>
    <row r="65" spans="1:13" x14ac:dyDescent="0.3">
      <c r="A65">
        <v>96</v>
      </c>
      <c r="B65">
        <f t="shared" ref="B65:B69" si="18">M64-M65</f>
        <v>4.5751707793923764</v>
      </c>
      <c r="C65">
        <f t="shared" ref="C65:C94" si="19">B65</f>
        <v>4.5751707793923764</v>
      </c>
      <c r="D65" t="s">
        <v>35</v>
      </c>
      <c r="E65" t="s">
        <v>19</v>
      </c>
      <c r="F65">
        <v>1</v>
      </c>
      <c r="G65">
        <f t="shared" ref="G65:G69" si="20">G64+5</f>
        <v>15</v>
      </c>
      <c r="I65">
        <v>2150</v>
      </c>
      <c r="J65" t="s">
        <v>28</v>
      </c>
      <c r="K65">
        <f t="shared" ref="K65:K69" si="21">AVERAGE(G65:G66)</f>
        <v>17.5</v>
      </c>
      <c r="L65" cm="1">
        <f t="array" ref="L65">STOWA2024_NDJF_T(A65*60,K65,I65,J65,"")</f>
        <v>5.4086025360664841E-2</v>
      </c>
      <c r="M65">
        <f t="shared" ref="M65:M69" si="22">1/L65</f>
        <v>18.489064288448716</v>
      </c>
    </row>
    <row r="66" spans="1:13" x14ac:dyDescent="0.3">
      <c r="A66">
        <v>96</v>
      </c>
      <c r="B66">
        <f t="shared" si="18"/>
        <v>6.5695986343868373</v>
      </c>
      <c r="C66">
        <f t="shared" si="19"/>
        <v>6.5695986343868373</v>
      </c>
      <c r="D66" t="s">
        <v>35</v>
      </c>
      <c r="E66" t="s">
        <v>19</v>
      </c>
      <c r="F66">
        <v>1</v>
      </c>
      <c r="G66">
        <f t="shared" si="20"/>
        <v>20</v>
      </c>
      <c r="I66">
        <v>2150</v>
      </c>
      <c r="J66" t="s">
        <v>28</v>
      </c>
      <c r="K66">
        <f t="shared" si="21"/>
        <v>22.5</v>
      </c>
      <c r="L66" cm="1">
        <f t="array" ref="L66">STOWA2024_NDJF_T(A66*60,K66,I66,J66,"")</f>
        <v>8.3896378329612706E-2</v>
      </c>
      <c r="M66">
        <f t="shared" si="22"/>
        <v>11.919465654061879</v>
      </c>
    </row>
    <row r="67" spans="1:13" x14ac:dyDescent="0.3">
      <c r="A67">
        <v>96</v>
      </c>
      <c r="B67">
        <f t="shared" si="18"/>
        <v>4.2028843665448701</v>
      </c>
      <c r="C67">
        <f t="shared" si="19"/>
        <v>4.2028843665448701</v>
      </c>
      <c r="D67" t="s">
        <v>35</v>
      </c>
      <c r="E67" t="s">
        <v>19</v>
      </c>
      <c r="F67">
        <v>1</v>
      </c>
      <c r="G67">
        <f t="shared" si="20"/>
        <v>25</v>
      </c>
      <c r="I67">
        <v>2150</v>
      </c>
      <c r="J67" t="s">
        <v>28</v>
      </c>
      <c r="K67">
        <f t="shared" si="21"/>
        <v>27.5</v>
      </c>
      <c r="L67" cm="1">
        <f t="array" ref="L67">STOWA2024_NDJF_T(A67*60,K67,I67,J67,"")</f>
        <v>0.12959106665767703</v>
      </c>
      <c r="M67">
        <f t="shared" si="22"/>
        <v>7.716581287517009</v>
      </c>
    </row>
    <row r="68" spans="1:13" x14ac:dyDescent="0.3">
      <c r="A68">
        <v>96</v>
      </c>
      <c r="B68">
        <f t="shared" si="18"/>
        <v>2.7003324340439088</v>
      </c>
      <c r="C68">
        <f t="shared" si="19"/>
        <v>2.7003324340439088</v>
      </c>
      <c r="D68" t="s">
        <v>35</v>
      </c>
      <c r="E68" t="s">
        <v>19</v>
      </c>
      <c r="F68">
        <v>1</v>
      </c>
      <c r="G68">
        <f t="shared" si="20"/>
        <v>30</v>
      </c>
      <c r="I68">
        <v>2150</v>
      </c>
      <c r="J68" t="s">
        <v>28</v>
      </c>
      <c r="K68">
        <f t="shared" si="21"/>
        <v>32.5</v>
      </c>
      <c r="L68" cm="1">
        <f t="array" ref="L68">STOWA2024_NDJF_T(A68*60,K68,I68,J68,"")</f>
        <v>0.19935215122105235</v>
      </c>
      <c r="M68">
        <f t="shared" si="22"/>
        <v>5.0162488534731002</v>
      </c>
    </row>
    <row r="69" spans="1:13" x14ac:dyDescent="0.3">
      <c r="A69">
        <v>96</v>
      </c>
      <c r="B69">
        <f t="shared" si="18"/>
        <v>1.7421463366951402</v>
      </c>
      <c r="C69">
        <f t="shared" si="19"/>
        <v>1.7421463366951402</v>
      </c>
      <c r="D69" t="s">
        <v>35</v>
      </c>
      <c r="E69" t="s">
        <v>19</v>
      </c>
      <c r="F69">
        <v>1</v>
      </c>
      <c r="G69">
        <f t="shared" si="20"/>
        <v>35</v>
      </c>
      <c r="I69">
        <v>2150</v>
      </c>
      <c r="J69" t="s">
        <v>28</v>
      </c>
      <c r="K69">
        <f t="shared" si="21"/>
        <v>37.5</v>
      </c>
      <c r="L69" cm="1">
        <f t="array" ref="L69">STOWA2024_NDJF_T(A69*60,K69,I69,J69,"")</f>
        <v>0.30542721093049302</v>
      </c>
      <c r="M69">
        <f t="shared" si="22"/>
        <v>3.27410251677796</v>
      </c>
    </row>
    <row r="70" spans="1:13" x14ac:dyDescent="0.3">
      <c r="A70">
        <v>96</v>
      </c>
      <c r="B70">
        <f>M69-M70</f>
        <v>1.1286098187786426</v>
      </c>
      <c r="C70">
        <f t="shared" si="19"/>
        <v>1.1286098187786426</v>
      </c>
      <c r="D70" t="s">
        <v>35</v>
      </c>
      <c r="E70" t="s">
        <v>19</v>
      </c>
      <c r="F70">
        <v>1</v>
      </c>
      <c r="G70">
        <f>G69+5</f>
        <v>40</v>
      </c>
      <c r="I70">
        <v>2150</v>
      </c>
      <c r="J70" t="s">
        <v>28</v>
      </c>
      <c r="K70">
        <f>AVERAGE(G70:G71)</f>
        <v>42.5</v>
      </c>
      <c r="L70" cm="1">
        <f t="array" ref="L70">STOWA2024_NDJF_T(A70*60,K70,I70,J70,"")</f>
        <v>0.46609340639215641</v>
      </c>
      <c r="M70">
        <f>1/L70</f>
        <v>2.1454926979993174</v>
      </c>
    </row>
    <row r="71" spans="1:13" x14ac:dyDescent="0.3">
      <c r="A71">
        <v>96</v>
      </c>
      <c r="B71">
        <f t="shared" ref="B71:B93" si="23">M70-M71</f>
        <v>0.73406976006174762</v>
      </c>
      <c r="C71">
        <f t="shared" si="19"/>
        <v>0.73406976006174762</v>
      </c>
      <c r="D71" t="s">
        <v>35</v>
      </c>
      <c r="E71" t="s">
        <v>19</v>
      </c>
      <c r="F71">
        <v>1</v>
      </c>
      <c r="G71">
        <f t="shared" ref="G71:G94" si="24">G70+5</f>
        <v>45</v>
      </c>
      <c r="I71">
        <v>2150</v>
      </c>
      <c r="J71" t="s">
        <v>28</v>
      </c>
      <c r="K71">
        <f t="shared" ref="K71:K93" si="25">AVERAGE(G71:G72)</f>
        <v>47.5</v>
      </c>
      <c r="L71" cm="1">
        <f t="array" ref="L71">STOWA2024_NDJF_T(A71*60,K71,I71,J71,"")</f>
        <v>0.70850485217509773</v>
      </c>
      <c r="M71">
        <f t="shared" ref="M71:M93" si="26">1/L71</f>
        <v>1.4114229379375698</v>
      </c>
    </row>
    <row r="72" spans="1:13" x14ac:dyDescent="0.3">
      <c r="A72">
        <v>96</v>
      </c>
      <c r="B72">
        <f t="shared" si="23"/>
        <v>0.47927432677615256</v>
      </c>
      <c r="C72">
        <f t="shared" si="19"/>
        <v>0.47927432677615256</v>
      </c>
      <c r="D72" t="s">
        <v>35</v>
      </c>
      <c r="E72" t="s">
        <v>19</v>
      </c>
      <c r="F72">
        <v>1</v>
      </c>
      <c r="G72">
        <f t="shared" si="24"/>
        <v>50</v>
      </c>
      <c r="I72">
        <v>2150</v>
      </c>
      <c r="J72" t="s">
        <v>28</v>
      </c>
      <c r="K72">
        <f t="shared" si="25"/>
        <v>52.5</v>
      </c>
      <c r="L72" cm="1">
        <f t="array" ref="L72">STOWA2024_NDJF_T(A72*60,K72,I72,J72,"")</f>
        <v>1.07279031264558</v>
      </c>
      <c r="M72">
        <f t="shared" si="26"/>
        <v>0.93214861116141723</v>
      </c>
    </row>
    <row r="73" spans="1:13" x14ac:dyDescent="0.3">
      <c r="A73">
        <v>96</v>
      </c>
      <c r="B73">
        <f t="shared" si="23"/>
        <v>0.31426363200522289</v>
      </c>
      <c r="C73">
        <f t="shared" si="19"/>
        <v>0.31426363200522289</v>
      </c>
      <c r="D73" t="s">
        <v>35</v>
      </c>
      <c r="E73" t="s">
        <v>19</v>
      </c>
      <c r="F73">
        <v>1</v>
      </c>
      <c r="G73">
        <f t="shared" si="24"/>
        <v>55</v>
      </c>
      <c r="I73">
        <v>2150</v>
      </c>
      <c r="J73" t="s">
        <v>28</v>
      </c>
      <c r="K73">
        <f t="shared" si="25"/>
        <v>57.5</v>
      </c>
      <c r="L73" cm="1">
        <f t="array" ref="L73">STOWA2024_NDJF_T(A73*60,K73,I73,J73,"")</f>
        <v>1.6184241950105918</v>
      </c>
      <c r="M73">
        <f t="shared" si="26"/>
        <v>0.61788497915619434</v>
      </c>
    </row>
    <row r="74" spans="1:13" x14ac:dyDescent="0.3">
      <c r="A74">
        <v>96</v>
      </c>
      <c r="B74">
        <f t="shared" si="23"/>
        <v>0.20680357137882133</v>
      </c>
      <c r="C74">
        <f t="shared" si="19"/>
        <v>0.20680357137882133</v>
      </c>
      <c r="D74" t="s">
        <v>35</v>
      </c>
      <c r="E74" t="s">
        <v>19</v>
      </c>
      <c r="F74">
        <v>1</v>
      </c>
      <c r="G74">
        <f t="shared" si="24"/>
        <v>60</v>
      </c>
      <c r="I74">
        <v>2150</v>
      </c>
      <c r="J74" t="s">
        <v>28</v>
      </c>
      <c r="K74">
        <f t="shared" si="25"/>
        <v>62.5</v>
      </c>
      <c r="L74" cm="1">
        <f t="array" ref="L74">STOWA2024_NDJF_T(A74*60,K74,I74,J74,"")</f>
        <v>2.4326081916639835</v>
      </c>
      <c r="M74">
        <f t="shared" si="26"/>
        <v>0.41108140777737301</v>
      </c>
    </row>
    <row r="75" spans="1:13" x14ac:dyDescent="0.3">
      <c r="A75">
        <v>96</v>
      </c>
      <c r="B75">
        <f t="shared" si="23"/>
        <v>0.13659450400812251</v>
      </c>
      <c r="C75">
        <f t="shared" si="19"/>
        <v>0.13659450400812251</v>
      </c>
      <c r="D75" t="s">
        <v>35</v>
      </c>
      <c r="E75" t="s">
        <v>19</v>
      </c>
      <c r="F75">
        <v>1</v>
      </c>
      <c r="G75">
        <f t="shared" si="24"/>
        <v>65</v>
      </c>
      <c r="I75">
        <v>2150</v>
      </c>
      <c r="J75" t="s">
        <v>28</v>
      </c>
      <c r="K75">
        <f t="shared" si="25"/>
        <v>67.5</v>
      </c>
      <c r="L75" cm="1">
        <f t="array" ref="L75">STOWA2024_NDJF_T(A75*60,K75,I75,J75,"")</f>
        <v>3.6431610625789914</v>
      </c>
      <c r="M75">
        <f t="shared" si="26"/>
        <v>0.2744869037692505</v>
      </c>
    </row>
    <row r="76" spans="1:13" x14ac:dyDescent="0.3">
      <c r="A76">
        <v>96</v>
      </c>
      <c r="B76">
        <f t="shared" si="23"/>
        <v>9.0554294284328152E-2</v>
      </c>
      <c r="C76">
        <f t="shared" si="19"/>
        <v>9.0554294284328152E-2</v>
      </c>
      <c r="D76" t="s">
        <v>35</v>
      </c>
      <c r="E76" t="s">
        <v>19</v>
      </c>
      <c r="F76">
        <v>1</v>
      </c>
      <c r="G76">
        <f t="shared" si="24"/>
        <v>70</v>
      </c>
      <c r="I76">
        <v>2150</v>
      </c>
      <c r="J76" t="s">
        <v>28</v>
      </c>
      <c r="K76">
        <f t="shared" si="25"/>
        <v>72.5</v>
      </c>
      <c r="L76" cm="1">
        <f t="array" ref="L76">STOWA2024_NDJF_T(A76*60,K76,I76,J76,"")</f>
        <v>5.4367738423347589</v>
      </c>
      <c r="M76">
        <f t="shared" si="26"/>
        <v>0.18393260948492235</v>
      </c>
    </row>
    <row r="77" spans="1:13" x14ac:dyDescent="0.3">
      <c r="A77">
        <v>96</v>
      </c>
      <c r="B77">
        <f t="shared" si="23"/>
        <v>6.0247590449881094E-2</v>
      </c>
      <c r="C77">
        <f t="shared" si="19"/>
        <v>6.0247590449881094E-2</v>
      </c>
      <c r="D77" t="s">
        <v>35</v>
      </c>
      <c r="E77" t="s">
        <v>19</v>
      </c>
      <c r="F77">
        <v>1</v>
      </c>
      <c r="G77">
        <f t="shared" si="24"/>
        <v>75</v>
      </c>
      <c r="I77">
        <v>2150</v>
      </c>
      <c r="J77" t="s">
        <v>28</v>
      </c>
      <c r="K77">
        <f t="shared" si="25"/>
        <v>77.5</v>
      </c>
      <c r="L77" cm="1">
        <f t="array" ref="L77">STOWA2024_NDJF_T(A77*60,K77,I77,J77,"")</f>
        <v>8.0850535319616164</v>
      </c>
      <c r="M77">
        <f t="shared" si="26"/>
        <v>0.12368501903504125</v>
      </c>
    </row>
    <row r="78" spans="1:13" x14ac:dyDescent="0.3">
      <c r="A78">
        <v>96</v>
      </c>
      <c r="B78">
        <f t="shared" si="23"/>
        <v>4.0227320427066712E-2</v>
      </c>
      <c r="C78">
        <f t="shared" si="19"/>
        <v>4.0227320427066712E-2</v>
      </c>
      <c r="D78" t="s">
        <v>35</v>
      </c>
      <c r="E78" t="s">
        <v>19</v>
      </c>
      <c r="F78">
        <v>1</v>
      </c>
      <c r="G78">
        <f t="shared" si="24"/>
        <v>80</v>
      </c>
      <c r="I78">
        <v>2150</v>
      </c>
      <c r="J78" t="s">
        <v>28</v>
      </c>
      <c r="K78">
        <f t="shared" si="25"/>
        <v>82.5</v>
      </c>
      <c r="L78" cm="1">
        <f t="array" ref="L78">STOWA2024_NDJF_T(A78*60,K78,I78,J78,"")</f>
        <v>11.982118087119744</v>
      </c>
      <c r="M78">
        <f t="shared" si="26"/>
        <v>8.3457698607974543E-2</v>
      </c>
    </row>
    <row r="79" spans="1:13" x14ac:dyDescent="0.3">
      <c r="A79">
        <v>96</v>
      </c>
      <c r="B79">
        <f t="shared" si="23"/>
        <v>2.69539645939494E-2</v>
      </c>
      <c r="C79">
        <f t="shared" si="19"/>
        <v>2.69539645939494E-2</v>
      </c>
      <c r="D79" t="s">
        <v>35</v>
      </c>
      <c r="E79" t="s">
        <v>19</v>
      </c>
      <c r="F79">
        <v>1</v>
      </c>
      <c r="G79">
        <f t="shared" si="24"/>
        <v>85</v>
      </c>
      <c r="I79">
        <v>2150</v>
      </c>
      <c r="J79" t="s">
        <v>28</v>
      </c>
      <c r="K79">
        <f t="shared" si="25"/>
        <v>87.5</v>
      </c>
      <c r="L79" cm="1">
        <f t="array" ref="L79">STOWA2024_NDJF_T(A79*60,K79,I79,J79,"")</f>
        <v>17.69794540926771</v>
      </c>
      <c r="M79">
        <f t="shared" si="26"/>
        <v>5.6503734014025142E-2</v>
      </c>
    </row>
    <row r="80" spans="1:13" x14ac:dyDescent="0.3">
      <c r="A80">
        <v>96</v>
      </c>
      <c r="B80">
        <f t="shared" si="23"/>
        <v>1.8121290905890729E-2</v>
      </c>
      <c r="C80">
        <f t="shared" si="19"/>
        <v>1.8121290905890729E-2</v>
      </c>
      <c r="D80" t="s">
        <v>35</v>
      </c>
      <c r="E80" t="s">
        <v>19</v>
      </c>
      <c r="F80">
        <v>1</v>
      </c>
      <c r="G80">
        <f t="shared" si="24"/>
        <v>90</v>
      </c>
      <c r="I80">
        <v>2150</v>
      </c>
      <c r="J80" t="s">
        <v>28</v>
      </c>
      <c r="K80">
        <f t="shared" si="25"/>
        <v>92.5</v>
      </c>
      <c r="L80" cm="1">
        <f t="array" ref="L80">STOWA2024_NDJF_T(A80*60,K80,I80,J80,"")</f>
        <v>26.053578642263901</v>
      </c>
      <c r="M80">
        <f t="shared" si="26"/>
        <v>3.8382443108134413E-2</v>
      </c>
    </row>
    <row r="81" spans="1:13" x14ac:dyDescent="0.3">
      <c r="A81">
        <v>96</v>
      </c>
      <c r="B81">
        <f t="shared" si="23"/>
        <v>1.2224444662707966E-2</v>
      </c>
      <c r="C81">
        <f t="shared" si="19"/>
        <v>1.2224444662707966E-2</v>
      </c>
      <c r="D81" t="s">
        <v>35</v>
      </c>
      <c r="E81" t="s">
        <v>19</v>
      </c>
      <c r="F81">
        <v>1</v>
      </c>
      <c r="G81">
        <f t="shared" si="24"/>
        <v>95</v>
      </c>
      <c r="I81">
        <v>2150</v>
      </c>
      <c r="J81" t="s">
        <v>28</v>
      </c>
      <c r="K81">
        <f t="shared" si="25"/>
        <v>97.5</v>
      </c>
      <c r="L81" cm="1">
        <f t="array" ref="L81">STOWA2024_NDJF_T(A81*60,K81,I81,J81,"")</f>
        <v>38.229224689584129</v>
      </c>
      <c r="M81">
        <f t="shared" si="26"/>
        <v>2.6157998445426447E-2</v>
      </c>
    </row>
    <row r="82" spans="1:13" x14ac:dyDescent="0.3">
      <c r="A82">
        <v>96</v>
      </c>
      <c r="B82">
        <f t="shared" si="23"/>
        <v>8.2738121549298417E-3</v>
      </c>
      <c r="C82">
        <f t="shared" si="19"/>
        <v>8.2738121549298417E-3</v>
      </c>
      <c r="D82" t="s">
        <v>35</v>
      </c>
      <c r="E82" t="s">
        <v>19</v>
      </c>
      <c r="F82">
        <v>1</v>
      </c>
      <c r="G82">
        <f t="shared" si="24"/>
        <v>100</v>
      </c>
      <c r="I82">
        <v>2150</v>
      </c>
      <c r="J82" t="s">
        <v>28</v>
      </c>
      <c r="K82">
        <f t="shared" si="25"/>
        <v>102.5</v>
      </c>
      <c r="L82" cm="1">
        <f t="array" ref="L82">STOWA2024_NDJF_T(A82*60,K82,I82,J82,"")</f>
        <v>55.915320035073961</v>
      </c>
      <c r="M82">
        <f t="shared" si="26"/>
        <v>1.7884186290496606E-2</v>
      </c>
    </row>
    <row r="83" spans="1:13" x14ac:dyDescent="0.3">
      <c r="A83">
        <v>96</v>
      </c>
      <c r="B83">
        <f t="shared" si="23"/>
        <v>5.6181689252928942E-3</v>
      </c>
      <c r="C83">
        <f t="shared" si="19"/>
        <v>5.6181689252928942E-3</v>
      </c>
      <c r="D83" t="s">
        <v>35</v>
      </c>
      <c r="E83" t="s">
        <v>19</v>
      </c>
      <c r="F83">
        <v>1</v>
      </c>
      <c r="G83">
        <f t="shared" si="24"/>
        <v>105</v>
      </c>
      <c r="I83">
        <v>2150</v>
      </c>
      <c r="J83" t="s">
        <v>28</v>
      </c>
      <c r="K83">
        <f t="shared" si="25"/>
        <v>107.5</v>
      </c>
      <c r="L83" cm="1">
        <f t="array" ref="L83">STOWA2024_NDJF_T(A83*60,K83,I83,J83,"")</f>
        <v>81.526054482590581</v>
      </c>
      <c r="M83">
        <f t="shared" si="26"/>
        <v>1.2266017365203712E-2</v>
      </c>
    </row>
    <row r="84" spans="1:13" x14ac:dyDescent="0.3">
      <c r="A84">
        <v>96</v>
      </c>
      <c r="B84">
        <f t="shared" si="23"/>
        <v>3.8271302399105547E-3</v>
      </c>
      <c r="C84">
        <f t="shared" si="19"/>
        <v>3.8271302399105547E-3</v>
      </c>
      <c r="D84" t="s">
        <v>35</v>
      </c>
      <c r="E84" t="s">
        <v>19</v>
      </c>
      <c r="F84">
        <v>1</v>
      </c>
      <c r="G84">
        <f t="shared" si="24"/>
        <v>110</v>
      </c>
      <c r="I84">
        <v>2150</v>
      </c>
      <c r="J84" t="s">
        <v>28</v>
      </c>
      <c r="K84">
        <f t="shared" si="25"/>
        <v>112.5</v>
      </c>
      <c r="L84" cm="1">
        <f t="array" ref="L84">STOWA2024_NDJF_T(A84*60,K84,I84,J84,"")</f>
        <v>118.4990372726737</v>
      </c>
      <c r="M84">
        <f t="shared" si="26"/>
        <v>8.4388871252931569E-3</v>
      </c>
    </row>
    <row r="85" spans="1:13" x14ac:dyDescent="0.3">
      <c r="A85">
        <v>96</v>
      </c>
      <c r="B85">
        <f t="shared" si="23"/>
        <v>2.6152381512614918E-3</v>
      </c>
      <c r="C85">
        <f t="shared" si="19"/>
        <v>2.6152381512614918E-3</v>
      </c>
      <c r="D85" t="s">
        <v>35</v>
      </c>
      <c r="E85" t="s">
        <v>19</v>
      </c>
      <c r="F85">
        <v>1</v>
      </c>
      <c r="G85">
        <f t="shared" si="24"/>
        <v>115</v>
      </c>
      <c r="I85">
        <v>2150</v>
      </c>
      <c r="J85" t="s">
        <v>28</v>
      </c>
      <c r="K85">
        <f t="shared" si="25"/>
        <v>117.5</v>
      </c>
      <c r="L85" cm="1">
        <f t="array" ref="L85">STOWA2024_NDJF_T(A85*60,K85,I85,J85,"")</f>
        <v>171.7136462824455</v>
      </c>
      <c r="M85">
        <f t="shared" si="26"/>
        <v>5.8236489740316651E-3</v>
      </c>
    </row>
    <row r="86" spans="1:13" x14ac:dyDescent="0.3">
      <c r="A86">
        <v>96</v>
      </c>
      <c r="B86">
        <f t="shared" si="23"/>
        <v>1.7927148670150318E-3</v>
      </c>
      <c r="C86">
        <f t="shared" si="19"/>
        <v>1.7927148670150318E-3</v>
      </c>
      <c r="D86" t="s">
        <v>35</v>
      </c>
      <c r="E86" t="s">
        <v>19</v>
      </c>
      <c r="F86">
        <v>1</v>
      </c>
      <c r="G86">
        <f t="shared" si="24"/>
        <v>120</v>
      </c>
      <c r="I86">
        <v>2150</v>
      </c>
      <c r="J86" t="s">
        <v>28</v>
      </c>
      <c r="K86">
        <f t="shared" si="25"/>
        <v>122.5</v>
      </c>
      <c r="L86" cm="1">
        <f t="array" ref="L86">STOWA2024_NDJF_T(A86*60,K86,I86,J86,"")</f>
        <v>248.0814554272429</v>
      </c>
      <c r="M86">
        <f t="shared" si="26"/>
        <v>4.0309341070166333E-3</v>
      </c>
    </row>
    <row r="87" spans="1:13" x14ac:dyDescent="0.3">
      <c r="A87">
        <v>96</v>
      </c>
      <c r="B87">
        <f t="shared" si="23"/>
        <v>1.232602833667858E-3</v>
      </c>
      <c r="C87">
        <f t="shared" si="19"/>
        <v>1.232602833667858E-3</v>
      </c>
      <c r="D87" t="s">
        <v>35</v>
      </c>
      <c r="E87" t="s">
        <v>19</v>
      </c>
      <c r="F87">
        <v>1</v>
      </c>
      <c r="G87">
        <f t="shared" si="24"/>
        <v>125</v>
      </c>
      <c r="I87">
        <v>2150</v>
      </c>
      <c r="J87" t="s">
        <v>28</v>
      </c>
      <c r="K87">
        <f t="shared" si="25"/>
        <v>127.5</v>
      </c>
      <c r="L87" cm="1">
        <f t="array" ref="L87">STOWA2024_NDJF_T(A87*60,K87,I87,J87,"")</f>
        <v>357.35583185735391</v>
      </c>
      <c r="M87">
        <f t="shared" si="26"/>
        <v>2.7983312733487753E-3</v>
      </c>
    </row>
    <row r="88" spans="1:13" x14ac:dyDescent="0.3">
      <c r="A88">
        <v>96</v>
      </c>
      <c r="B88">
        <f t="shared" si="23"/>
        <v>8.5003475024869883E-4</v>
      </c>
      <c r="C88">
        <f t="shared" si="19"/>
        <v>8.5003475024869883E-4</v>
      </c>
      <c r="D88" t="s">
        <v>35</v>
      </c>
      <c r="E88" t="s">
        <v>19</v>
      </c>
      <c r="F88">
        <v>1</v>
      </c>
      <c r="G88">
        <f t="shared" si="24"/>
        <v>130</v>
      </c>
      <c r="I88">
        <v>2150</v>
      </c>
      <c r="J88" t="s">
        <v>28</v>
      </c>
      <c r="K88">
        <f t="shared" si="25"/>
        <v>132.5</v>
      </c>
      <c r="L88" cm="1">
        <f t="array" ref="L88">STOWA2024_NDJF_T(A88*60,K88,I88,J88,"")</f>
        <v>513.26889318101701</v>
      </c>
      <c r="M88">
        <f t="shared" si="26"/>
        <v>1.9482965231000765E-3</v>
      </c>
    </row>
    <row r="89" spans="1:13" x14ac:dyDescent="0.3">
      <c r="A89">
        <v>96</v>
      </c>
      <c r="B89">
        <f t="shared" si="23"/>
        <v>5.8792891369959335E-4</v>
      </c>
      <c r="C89">
        <f t="shared" si="19"/>
        <v>5.8792891369959335E-4</v>
      </c>
      <c r="D89" t="s">
        <v>35</v>
      </c>
      <c r="E89" t="s">
        <v>19</v>
      </c>
      <c r="F89">
        <v>1</v>
      </c>
      <c r="G89">
        <f t="shared" si="24"/>
        <v>135</v>
      </c>
      <c r="I89">
        <v>2150</v>
      </c>
      <c r="J89" t="s">
        <v>28</v>
      </c>
      <c r="K89">
        <f t="shared" si="25"/>
        <v>137.5</v>
      </c>
      <c r="L89" cm="1">
        <f t="array" ref="L89">STOWA2024_NDJF_T(A89*60,K89,I89,J89,"")</f>
        <v>735.09542059789419</v>
      </c>
      <c r="M89">
        <f t="shared" si="26"/>
        <v>1.3603676094004831E-3</v>
      </c>
    </row>
    <row r="90" spans="1:13" x14ac:dyDescent="0.3">
      <c r="A90">
        <v>96</v>
      </c>
      <c r="B90">
        <f t="shared" si="23"/>
        <v>4.0783974044465276E-4</v>
      </c>
      <c r="C90">
        <f t="shared" si="19"/>
        <v>4.0783974044465276E-4</v>
      </c>
      <c r="D90" t="s">
        <v>35</v>
      </c>
      <c r="E90" t="s">
        <v>19</v>
      </c>
      <c r="F90">
        <v>1</v>
      </c>
      <c r="G90">
        <f t="shared" si="24"/>
        <v>140</v>
      </c>
      <c r="I90">
        <v>2150</v>
      </c>
      <c r="J90" t="s">
        <v>28</v>
      </c>
      <c r="K90">
        <f t="shared" si="25"/>
        <v>142.5</v>
      </c>
      <c r="L90" cm="1">
        <f t="array" ref="L90">STOWA2024_NDJF_T(A90*60,K90,I90,J90,"")</f>
        <v>1049.8380494590767</v>
      </c>
      <c r="M90">
        <f t="shared" si="26"/>
        <v>9.5252786895583036E-4</v>
      </c>
    </row>
    <row r="91" spans="1:13" x14ac:dyDescent="0.3">
      <c r="A91">
        <v>96</v>
      </c>
      <c r="B91">
        <f t="shared" si="23"/>
        <v>2.8371317064717293E-4</v>
      </c>
      <c r="C91">
        <f t="shared" si="19"/>
        <v>2.8371317064717293E-4</v>
      </c>
      <c r="D91" t="s">
        <v>35</v>
      </c>
      <c r="E91" t="s">
        <v>19</v>
      </c>
      <c r="F91">
        <v>1</v>
      </c>
      <c r="G91">
        <f t="shared" si="24"/>
        <v>145</v>
      </c>
      <c r="I91">
        <v>2150</v>
      </c>
      <c r="J91" t="s">
        <v>28</v>
      </c>
      <c r="K91">
        <f t="shared" si="25"/>
        <v>147.5</v>
      </c>
      <c r="L91" cm="1">
        <f t="array" ref="L91">STOWA2024_NDJF_T(A91*60,K91,I91,J91,"")</f>
        <v>1495.1824511764855</v>
      </c>
      <c r="M91">
        <f t="shared" si="26"/>
        <v>6.6881469830865742E-4</v>
      </c>
    </row>
    <row r="92" spans="1:13" x14ac:dyDescent="0.3">
      <c r="A92">
        <v>96</v>
      </c>
      <c r="B92">
        <f t="shared" si="23"/>
        <v>1.9792777488590395E-4</v>
      </c>
      <c r="C92">
        <f t="shared" si="19"/>
        <v>1.9792777488590395E-4</v>
      </c>
      <c r="D92" t="s">
        <v>35</v>
      </c>
      <c r="E92" t="s">
        <v>19</v>
      </c>
      <c r="F92">
        <v>1</v>
      </c>
      <c r="G92">
        <f t="shared" si="24"/>
        <v>150</v>
      </c>
      <c r="I92">
        <v>2150</v>
      </c>
      <c r="J92" t="s">
        <v>28</v>
      </c>
      <c r="K92">
        <f t="shared" si="25"/>
        <v>152.5</v>
      </c>
      <c r="L92" cm="1">
        <f t="array" ref="L92">STOWA2024_NDJF_T(A92*60,K92,I92,J92,"")</f>
        <v>2123.6520919529098</v>
      </c>
      <c r="M92">
        <f t="shared" si="26"/>
        <v>4.7088692342275347E-4</v>
      </c>
    </row>
    <row r="93" spans="1:13" x14ac:dyDescent="0.3">
      <c r="A93">
        <v>96</v>
      </c>
      <c r="B93">
        <f t="shared" si="23"/>
        <v>1.384591531661485E-4</v>
      </c>
      <c r="C93">
        <f t="shared" si="19"/>
        <v>1.384591531661485E-4</v>
      </c>
      <c r="D93" t="s">
        <v>35</v>
      </c>
      <c r="E93" t="s">
        <v>19</v>
      </c>
      <c r="F93">
        <v>1</v>
      </c>
      <c r="G93">
        <f t="shared" si="24"/>
        <v>155</v>
      </c>
      <c r="I93">
        <v>2150</v>
      </c>
      <c r="J93" t="s">
        <v>28</v>
      </c>
      <c r="K93">
        <f t="shared" si="25"/>
        <v>157.5</v>
      </c>
      <c r="L93" cm="1">
        <f t="array" ref="L93">STOWA2024_NDJF_T(A93*60,K93,I93,J93,"")</f>
        <v>3008.172269206294</v>
      </c>
      <c r="M93">
        <f t="shared" si="26"/>
        <v>3.3242777025660497E-4</v>
      </c>
    </row>
    <row r="94" spans="1:13" x14ac:dyDescent="0.3">
      <c r="A94">
        <v>96</v>
      </c>
      <c r="B94" s="1">
        <f>M93</f>
        <v>3.3242777025660497E-4</v>
      </c>
      <c r="C94">
        <f t="shared" si="19"/>
        <v>3.3242777025660497E-4</v>
      </c>
      <c r="D94" t="s">
        <v>35</v>
      </c>
      <c r="E94" t="s">
        <v>19</v>
      </c>
      <c r="F94">
        <v>1</v>
      </c>
      <c r="G94">
        <f t="shared" si="24"/>
        <v>160</v>
      </c>
      <c r="I94">
        <v>2150</v>
      </c>
      <c r="J94" t="s">
        <v>28</v>
      </c>
      <c r="K94">
        <f>AVERAGE(G94:G95)</f>
        <v>85</v>
      </c>
      <c r="L94" cm="1">
        <f t="array" ref="L94">STOWA2024_NDJF_T(A94*60,K94,I94,J94,"")</f>
        <v>14.568264821565849</v>
      </c>
      <c r="M94">
        <f>1/L94</f>
        <v>6.8642354614509016E-2</v>
      </c>
    </row>
    <row r="95" spans="1:13" x14ac:dyDescent="0.3">
      <c r="A95">
        <v>192</v>
      </c>
      <c r="B95" s="1">
        <f>365.25*24/A95 - M95</f>
        <v>22.497482426536457</v>
      </c>
      <c r="C95">
        <f>B95</f>
        <v>22.497482426536457</v>
      </c>
      <c r="D95" t="s">
        <v>35</v>
      </c>
      <c r="E95" t="s">
        <v>19</v>
      </c>
      <c r="F95">
        <v>1</v>
      </c>
      <c r="G95">
        <v>10</v>
      </c>
      <c r="I95">
        <v>2150</v>
      </c>
      <c r="J95" t="s">
        <v>28</v>
      </c>
      <c r="K95">
        <f>AVERAGE(G95:G97)</f>
        <v>15</v>
      </c>
      <c r="L95" cm="1">
        <f t="array" ref="L95">STOWA2024_NDJF_T(A95*60,K95,I95,J95,"")</f>
        <v>4.3180190691401443E-2</v>
      </c>
      <c r="M95">
        <f>1/L95</f>
        <v>23.158767573463543</v>
      </c>
    </row>
    <row r="96" spans="1:13" x14ac:dyDescent="0.3">
      <c r="A96">
        <v>192</v>
      </c>
      <c r="B96">
        <f t="shared" ref="B96:B100" si="27">M95-M96</f>
        <v>2.8055480348749491</v>
      </c>
      <c r="C96">
        <f t="shared" ref="C96:C125" si="28">B96</f>
        <v>2.8055480348749491</v>
      </c>
      <c r="D96" t="s">
        <v>35</v>
      </c>
      <c r="E96" t="s">
        <v>19</v>
      </c>
      <c r="F96">
        <v>1</v>
      </c>
      <c r="G96">
        <f t="shared" ref="G96:G100" si="29">G95+5</f>
        <v>15</v>
      </c>
      <c r="I96">
        <v>2150</v>
      </c>
      <c r="J96" t="s">
        <v>28</v>
      </c>
      <c r="K96">
        <f t="shared" ref="K96:K100" si="30">AVERAGE(G96:G97)</f>
        <v>17.5</v>
      </c>
      <c r="L96" cm="1">
        <f t="array" ref="L96">STOWA2024_NDJF_T(A96*60,K96,I96,J96,"")</f>
        <v>4.9132276006950873E-2</v>
      </c>
      <c r="M96">
        <f t="shared" ref="M96:M100" si="31">1/L96</f>
        <v>20.353219538588593</v>
      </c>
    </row>
    <row r="97" spans="1:13" x14ac:dyDescent="0.3">
      <c r="A97">
        <v>192</v>
      </c>
      <c r="B97">
        <f t="shared" si="27"/>
        <v>4.6692367523206766</v>
      </c>
      <c r="C97">
        <f t="shared" si="28"/>
        <v>4.6692367523206766</v>
      </c>
      <c r="D97" t="s">
        <v>35</v>
      </c>
      <c r="E97" t="s">
        <v>19</v>
      </c>
      <c r="F97">
        <v>1</v>
      </c>
      <c r="G97">
        <f t="shared" si="29"/>
        <v>20</v>
      </c>
      <c r="I97">
        <v>2150</v>
      </c>
      <c r="J97" t="s">
        <v>28</v>
      </c>
      <c r="K97">
        <f t="shared" si="30"/>
        <v>22.5</v>
      </c>
      <c r="L97" cm="1">
        <f t="array" ref="L97">STOWA2024_NDJF_T(A97*60,K97,I97,J97,"")</f>
        <v>6.3759315068590117E-2</v>
      </c>
      <c r="M97">
        <f t="shared" si="31"/>
        <v>15.683982786267917</v>
      </c>
    </row>
    <row r="98" spans="1:13" x14ac:dyDescent="0.3">
      <c r="A98">
        <v>192</v>
      </c>
      <c r="B98">
        <f t="shared" si="27"/>
        <v>3.6362568198566585</v>
      </c>
      <c r="C98">
        <f t="shared" si="28"/>
        <v>3.6362568198566585</v>
      </c>
      <c r="D98" t="s">
        <v>35</v>
      </c>
      <c r="E98" t="s">
        <v>19</v>
      </c>
      <c r="F98">
        <v>1</v>
      </c>
      <c r="G98">
        <f t="shared" si="29"/>
        <v>25</v>
      </c>
      <c r="I98">
        <v>2150</v>
      </c>
      <c r="J98" t="s">
        <v>28</v>
      </c>
      <c r="K98">
        <f t="shared" si="30"/>
        <v>27.5</v>
      </c>
      <c r="L98" cm="1">
        <f t="array" ref="L98">STOWA2024_NDJF_T(A98*60,K98,I98,J98,"")</f>
        <v>8.3003215941993835E-2</v>
      </c>
      <c r="M98">
        <f t="shared" si="31"/>
        <v>12.047725966411258</v>
      </c>
    </row>
    <row r="99" spans="1:13" x14ac:dyDescent="0.3">
      <c r="A99">
        <v>192</v>
      </c>
      <c r="B99">
        <f t="shared" si="27"/>
        <v>2.8231374067626192</v>
      </c>
      <c r="C99">
        <f t="shared" si="28"/>
        <v>2.8231374067626192</v>
      </c>
      <c r="D99" t="s">
        <v>35</v>
      </c>
      <c r="E99" t="s">
        <v>19</v>
      </c>
      <c r="F99">
        <v>1</v>
      </c>
      <c r="G99">
        <f t="shared" si="29"/>
        <v>30</v>
      </c>
      <c r="I99">
        <v>2150</v>
      </c>
      <c r="J99" t="s">
        <v>28</v>
      </c>
      <c r="K99">
        <f t="shared" si="30"/>
        <v>32.5</v>
      </c>
      <c r="L99" cm="1">
        <f t="array" ref="L99">STOWA2024_NDJF_T(A99*60,K99,I99,J99,"")</f>
        <v>0.10840591897771207</v>
      </c>
      <c r="M99">
        <f t="shared" si="31"/>
        <v>9.2245885596486392</v>
      </c>
    </row>
    <row r="100" spans="1:13" x14ac:dyDescent="0.3">
      <c r="A100">
        <v>192</v>
      </c>
      <c r="B100">
        <f t="shared" si="27"/>
        <v>2.1849954003750742</v>
      </c>
      <c r="C100">
        <f t="shared" si="28"/>
        <v>2.1849954003750742</v>
      </c>
      <c r="D100" t="s">
        <v>35</v>
      </c>
      <c r="E100" t="s">
        <v>19</v>
      </c>
      <c r="F100">
        <v>1</v>
      </c>
      <c r="G100">
        <f t="shared" si="29"/>
        <v>35</v>
      </c>
      <c r="I100">
        <v>2150</v>
      </c>
      <c r="J100" t="s">
        <v>28</v>
      </c>
      <c r="K100">
        <f t="shared" si="30"/>
        <v>37.5</v>
      </c>
      <c r="L100" cm="1">
        <f t="array" ref="L100">STOWA2024_NDJF_T(A100*60,K100,I100,J100,"")</f>
        <v>0.14205366380905921</v>
      </c>
      <c r="M100">
        <f t="shared" si="31"/>
        <v>7.039593159273565</v>
      </c>
    </row>
    <row r="101" spans="1:13" x14ac:dyDescent="0.3">
      <c r="A101">
        <v>192</v>
      </c>
      <c r="B101">
        <f>M100-M101</f>
        <v>1.685691109000012</v>
      </c>
      <c r="C101">
        <f t="shared" si="28"/>
        <v>1.685691109000012</v>
      </c>
      <c r="D101" t="s">
        <v>35</v>
      </c>
      <c r="E101" t="s">
        <v>19</v>
      </c>
      <c r="F101">
        <v>1</v>
      </c>
      <c r="G101">
        <f>G100+5</f>
        <v>40</v>
      </c>
      <c r="I101">
        <v>2150</v>
      </c>
      <c r="J101" t="s">
        <v>28</v>
      </c>
      <c r="K101">
        <f>AVERAGE(G101:G102)</f>
        <v>42.5</v>
      </c>
      <c r="L101" cm="1">
        <f t="array" ref="L101">STOWA2024_NDJF_T(A101*60,K101,I101,J101,"")</f>
        <v>0.18677965913644345</v>
      </c>
      <c r="M101">
        <f>1/L101</f>
        <v>5.353902050273553</v>
      </c>
    </row>
    <row r="102" spans="1:13" x14ac:dyDescent="0.3">
      <c r="A102">
        <v>192</v>
      </c>
      <c r="B102">
        <f t="shared" ref="B102:B124" si="32">M101-M102</f>
        <v>1.2962214532614595</v>
      </c>
      <c r="C102">
        <f t="shared" si="28"/>
        <v>1.2962214532614595</v>
      </c>
      <c r="D102" t="s">
        <v>35</v>
      </c>
      <c r="E102" t="s">
        <v>19</v>
      </c>
      <c r="F102">
        <v>1</v>
      </c>
      <c r="G102">
        <f t="shared" ref="G102:G125" si="33">G101+5</f>
        <v>45</v>
      </c>
      <c r="I102">
        <v>2150</v>
      </c>
      <c r="J102" t="s">
        <v>28</v>
      </c>
      <c r="K102">
        <f t="shared" ref="K102:K124" si="34">AVERAGE(G102:G103)</f>
        <v>47.5</v>
      </c>
      <c r="L102" cm="1">
        <f t="array" ref="L102">STOWA2024_NDJF_T(A102*60,K102,I102,J102,"")</f>
        <v>0.24644620888503599</v>
      </c>
      <c r="M102">
        <f t="shared" ref="M102:M124" si="35">1/L102</f>
        <v>4.0576805970120935</v>
      </c>
    </row>
    <row r="103" spans="1:13" x14ac:dyDescent="0.3">
      <c r="A103">
        <v>192</v>
      </c>
      <c r="B103">
        <f t="shared" si="32"/>
        <v>0.99340839149586646</v>
      </c>
      <c r="C103">
        <f t="shared" si="28"/>
        <v>0.99340839149586646</v>
      </c>
      <c r="D103" t="s">
        <v>35</v>
      </c>
      <c r="E103" t="s">
        <v>19</v>
      </c>
      <c r="F103">
        <v>1</v>
      </c>
      <c r="G103">
        <f t="shared" si="33"/>
        <v>50</v>
      </c>
      <c r="I103">
        <v>2150</v>
      </c>
      <c r="J103" t="s">
        <v>28</v>
      </c>
      <c r="K103">
        <f t="shared" si="34"/>
        <v>52.5</v>
      </c>
      <c r="L103" cm="1">
        <f t="array" ref="L103">STOWA2024_NDJF_T(A103*60,K103,I103,J103,"")</f>
        <v>0.32634176500371759</v>
      </c>
      <c r="M103">
        <f t="shared" si="35"/>
        <v>3.064272205516227</v>
      </c>
    </row>
    <row r="104" spans="1:13" x14ac:dyDescent="0.3">
      <c r="A104">
        <v>192</v>
      </c>
      <c r="B104">
        <f t="shared" si="32"/>
        <v>0.75868242450471746</v>
      </c>
      <c r="C104">
        <f t="shared" si="28"/>
        <v>0.75868242450471746</v>
      </c>
      <c r="D104" t="s">
        <v>35</v>
      </c>
      <c r="E104" t="s">
        <v>19</v>
      </c>
      <c r="F104">
        <v>1</v>
      </c>
      <c r="G104">
        <f t="shared" si="33"/>
        <v>55</v>
      </c>
      <c r="I104">
        <v>2150</v>
      </c>
      <c r="J104" t="s">
        <v>28</v>
      </c>
      <c r="K104">
        <f t="shared" si="34"/>
        <v>57.5</v>
      </c>
      <c r="L104" cm="1">
        <f t="array" ref="L104">STOWA2024_NDJF_T(A104*60,K104,I104,J104,"")</f>
        <v>0.43372850115655853</v>
      </c>
      <c r="M104">
        <f t="shared" si="35"/>
        <v>2.3055897810115096</v>
      </c>
    </row>
    <row r="105" spans="1:13" x14ac:dyDescent="0.3">
      <c r="A105">
        <v>192</v>
      </c>
      <c r="B105">
        <f t="shared" si="32"/>
        <v>0.57736188129226074</v>
      </c>
      <c r="C105">
        <f t="shared" si="28"/>
        <v>0.57736188129226074</v>
      </c>
      <c r="D105" t="s">
        <v>35</v>
      </c>
      <c r="E105" t="s">
        <v>19</v>
      </c>
      <c r="F105">
        <v>1</v>
      </c>
      <c r="G105">
        <f t="shared" si="33"/>
        <v>60</v>
      </c>
      <c r="I105">
        <v>2150</v>
      </c>
      <c r="J105" t="s">
        <v>28</v>
      </c>
      <c r="K105">
        <f t="shared" si="34"/>
        <v>62.5</v>
      </c>
      <c r="L105" cm="1">
        <f t="array" ref="L105">STOWA2024_NDJF_T(A105*60,K105,I105,J105,"")</f>
        <v>0.57862739061350088</v>
      </c>
      <c r="M105">
        <f t="shared" si="35"/>
        <v>1.7282278997192488</v>
      </c>
    </row>
    <row r="106" spans="1:13" x14ac:dyDescent="0.3">
      <c r="A106">
        <v>192</v>
      </c>
      <c r="B106">
        <f t="shared" si="32"/>
        <v>0.43779482998369557</v>
      </c>
      <c r="C106">
        <f t="shared" si="28"/>
        <v>0.43779482998369557</v>
      </c>
      <c r="D106" t="s">
        <v>35</v>
      </c>
      <c r="E106" t="s">
        <v>19</v>
      </c>
      <c r="F106">
        <v>1</v>
      </c>
      <c r="G106">
        <f t="shared" si="33"/>
        <v>65</v>
      </c>
      <c r="I106">
        <v>2150</v>
      </c>
      <c r="J106" t="s">
        <v>28</v>
      </c>
      <c r="K106">
        <f t="shared" si="34"/>
        <v>67.5</v>
      </c>
      <c r="L106" cm="1">
        <f t="array" ref="L106">STOWA2024_NDJF_T(A106*60,K106,I106,J106,"")</f>
        <v>0.77493364317215507</v>
      </c>
      <c r="M106">
        <f t="shared" si="35"/>
        <v>1.2904330697355533</v>
      </c>
    </row>
    <row r="107" spans="1:13" x14ac:dyDescent="0.3">
      <c r="A107">
        <v>192</v>
      </c>
      <c r="B107">
        <f t="shared" si="32"/>
        <v>0.33064955834331478</v>
      </c>
      <c r="C107">
        <f t="shared" si="28"/>
        <v>0.33064955834331478</v>
      </c>
      <c r="D107" t="s">
        <v>35</v>
      </c>
      <c r="E107" t="s">
        <v>19</v>
      </c>
      <c r="F107">
        <v>1</v>
      </c>
      <c r="G107">
        <f t="shared" si="33"/>
        <v>70</v>
      </c>
      <c r="I107">
        <v>2150</v>
      </c>
      <c r="J107" t="s">
        <v>28</v>
      </c>
      <c r="K107">
        <f t="shared" si="34"/>
        <v>72.5</v>
      </c>
      <c r="L107" cm="1">
        <f t="array" ref="L107">STOWA2024_NDJF_T(A107*60,K107,I107,J107,"")</f>
        <v>1.0419016248251904</v>
      </c>
      <c r="M107">
        <f t="shared" si="35"/>
        <v>0.9597835113922385</v>
      </c>
    </row>
    <row r="108" spans="1:13" x14ac:dyDescent="0.3">
      <c r="A108">
        <v>192</v>
      </c>
      <c r="B108">
        <f t="shared" si="32"/>
        <v>0.24888573331557406</v>
      </c>
      <c r="C108">
        <f t="shared" si="28"/>
        <v>0.24888573331557406</v>
      </c>
      <c r="D108" t="s">
        <v>35</v>
      </c>
      <c r="E108" t="s">
        <v>19</v>
      </c>
      <c r="F108">
        <v>1</v>
      </c>
      <c r="G108">
        <f t="shared" si="33"/>
        <v>75</v>
      </c>
      <c r="I108">
        <v>2150</v>
      </c>
      <c r="J108" t="s">
        <v>28</v>
      </c>
      <c r="K108">
        <f t="shared" si="34"/>
        <v>77.5</v>
      </c>
      <c r="L108" cm="1">
        <f t="array" ref="L108">STOWA2024_NDJF_T(A108*60,K108,I108,J108,"")</f>
        <v>1.4066720010090654</v>
      </c>
      <c r="M108">
        <f t="shared" si="35"/>
        <v>0.71089777807666443</v>
      </c>
    </row>
    <row r="109" spans="1:13" x14ac:dyDescent="0.3">
      <c r="A109">
        <v>192</v>
      </c>
      <c r="B109">
        <f t="shared" si="32"/>
        <v>0.18655496371028812</v>
      </c>
      <c r="C109">
        <f t="shared" si="28"/>
        <v>0.18655496371028812</v>
      </c>
      <c r="D109" t="s">
        <v>35</v>
      </c>
      <c r="E109" t="s">
        <v>19</v>
      </c>
      <c r="F109">
        <v>1</v>
      </c>
      <c r="G109">
        <f t="shared" si="33"/>
        <v>80</v>
      </c>
      <c r="I109">
        <v>2150</v>
      </c>
      <c r="J109" t="s">
        <v>28</v>
      </c>
      <c r="K109">
        <f t="shared" si="34"/>
        <v>82.5</v>
      </c>
      <c r="L109" cm="1">
        <f t="array" ref="L109">STOWA2024_NDJF_T(A109*60,K109,I109,J109,"")</f>
        <v>1.9071492401558225</v>
      </c>
      <c r="M109">
        <f t="shared" si="35"/>
        <v>0.52434281436637631</v>
      </c>
    </row>
    <row r="110" spans="1:13" x14ac:dyDescent="0.3">
      <c r="A110">
        <v>192</v>
      </c>
      <c r="B110">
        <f t="shared" si="32"/>
        <v>0.13926594619722493</v>
      </c>
      <c r="C110">
        <f t="shared" si="28"/>
        <v>0.13926594619722493</v>
      </c>
      <c r="D110" t="s">
        <v>35</v>
      </c>
      <c r="E110" t="s">
        <v>19</v>
      </c>
      <c r="F110">
        <v>1</v>
      </c>
      <c r="G110">
        <f t="shared" si="33"/>
        <v>85</v>
      </c>
      <c r="I110">
        <v>2150</v>
      </c>
      <c r="J110" t="s">
        <v>28</v>
      </c>
      <c r="K110">
        <f t="shared" si="34"/>
        <v>87.5</v>
      </c>
      <c r="L110" cm="1">
        <f t="array" ref="L110">STOWA2024_NDJF_T(A110*60,K110,I110,J110,"")</f>
        <v>2.5968841097999515</v>
      </c>
      <c r="M110">
        <f t="shared" si="35"/>
        <v>0.38507686816915138</v>
      </c>
    </row>
    <row r="111" spans="1:13" x14ac:dyDescent="0.3">
      <c r="A111">
        <v>192</v>
      </c>
      <c r="B111">
        <f t="shared" si="32"/>
        <v>0.1035320339195171</v>
      </c>
      <c r="C111">
        <f t="shared" si="28"/>
        <v>0.1035320339195171</v>
      </c>
      <c r="D111" t="s">
        <v>35</v>
      </c>
      <c r="E111" t="s">
        <v>19</v>
      </c>
      <c r="F111">
        <v>1</v>
      </c>
      <c r="G111">
        <f t="shared" si="33"/>
        <v>90</v>
      </c>
      <c r="I111">
        <v>2150</v>
      </c>
      <c r="J111" t="s">
        <v>28</v>
      </c>
      <c r="K111">
        <f t="shared" si="34"/>
        <v>92.5</v>
      </c>
      <c r="L111" cm="1">
        <f t="array" ref="L111">STOWA2024_NDJF_T(A111*60,K111,I111,J111,"")</f>
        <v>3.5518321714734107</v>
      </c>
      <c r="M111">
        <f t="shared" si="35"/>
        <v>0.28154483424963428</v>
      </c>
    </row>
    <row r="112" spans="1:13" x14ac:dyDescent="0.3">
      <c r="A112">
        <v>192</v>
      </c>
      <c r="B112">
        <f t="shared" si="32"/>
        <v>7.6636407921945204E-2</v>
      </c>
      <c r="C112">
        <f t="shared" si="28"/>
        <v>7.6636407921945204E-2</v>
      </c>
      <c r="D112" t="s">
        <v>35</v>
      </c>
      <c r="E112" t="s">
        <v>19</v>
      </c>
      <c r="F112">
        <v>1</v>
      </c>
      <c r="G112">
        <f t="shared" si="33"/>
        <v>95</v>
      </c>
      <c r="I112">
        <v>2150</v>
      </c>
      <c r="J112" t="s">
        <v>28</v>
      </c>
      <c r="K112">
        <f t="shared" si="34"/>
        <v>97.5</v>
      </c>
      <c r="L112" cm="1">
        <f t="array" ref="L112">STOWA2024_NDJF_T(A112*60,K112,I112,J112,"")</f>
        <v>4.8802287827871087</v>
      </c>
      <c r="M112">
        <f t="shared" si="35"/>
        <v>0.20490842632768907</v>
      </c>
    </row>
    <row r="113" spans="1:13" x14ac:dyDescent="0.3">
      <c r="A113">
        <v>192</v>
      </c>
      <c r="B113">
        <f t="shared" si="32"/>
        <v>5.6477134644373844E-2</v>
      </c>
      <c r="C113">
        <f t="shared" si="28"/>
        <v>5.6477134644373844E-2</v>
      </c>
      <c r="D113" t="s">
        <v>35</v>
      </c>
      <c r="E113" t="s">
        <v>19</v>
      </c>
      <c r="F113">
        <v>1</v>
      </c>
      <c r="G113">
        <f t="shared" si="33"/>
        <v>100</v>
      </c>
      <c r="I113">
        <v>2150</v>
      </c>
      <c r="J113" t="s">
        <v>28</v>
      </c>
      <c r="K113">
        <f t="shared" si="34"/>
        <v>102.5</v>
      </c>
      <c r="L113" cm="1">
        <f t="array" ref="L113">STOWA2024_NDJF_T(A113*60,K113,I113,J113,"")</f>
        <v>6.7371238817590067</v>
      </c>
      <c r="M113">
        <f t="shared" si="35"/>
        <v>0.14843129168331523</v>
      </c>
    </row>
    <row r="114" spans="1:13" x14ac:dyDescent="0.3">
      <c r="A114">
        <v>192</v>
      </c>
      <c r="B114">
        <f t="shared" si="32"/>
        <v>4.1431483780340297E-2</v>
      </c>
      <c r="C114">
        <f t="shared" si="28"/>
        <v>4.1431483780340297E-2</v>
      </c>
      <c r="D114" t="s">
        <v>35</v>
      </c>
      <c r="E114" t="s">
        <v>19</v>
      </c>
      <c r="F114">
        <v>1</v>
      </c>
      <c r="G114">
        <f t="shared" si="33"/>
        <v>105</v>
      </c>
      <c r="I114">
        <v>2150</v>
      </c>
      <c r="J114" t="s">
        <v>28</v>
      </c>
      <c r="K114">
        <f t="shared" si="34"/>
        <v>107.5</v>
      </c>
      <c r="L114" cm="1">
        <f t="array" ref="L114">STOWA2024_NDJF_T(A114*60,K114,I114,J114,"")</f>
        <v>9.345811171051615</v>
      </c>
      <c r="M114">
        <f t="shared" si="35"/>
        <v>0.10699980790297493</v>
      </c>
    </row>
    <row r="115" spans="1:13" x14ac:dyDescent="0.3">
      <c r="A115">
        <v>192</v>
      </c>
      <c r="B115">
        <f t="shared" si="32"/>
        <v>3.0251637789225155E-2</v>
      </c>
      <c r="C115">
        <f t="shared" si="28"/>
        <v>3.0251637789225155E-2</v>
      </c>
      <c r="D115" t="s">
        <v>35</v>
      </c>
      <c r="E115" t="s">
        <v>19</v>
      </c>
      <c r="F115">
        <v>1</v>
      </c>
      <c r="G115">
        <f t="shared" si="33"/>
        <v>110</v>
      </c>
      <c r="I115">
        <v>2150</v>
      </c>
      <c r="J115" t="s">
        <v>28</v>
      </c>
      <c r="K115">
        <f t="shared" si="34"/>
        <v>112.5</v>
      </c>
      <c r="L115" cm="1">
        <f t="array" ref="L115">STOWA2024_NDJF_T(A115*60,K115,I115,J115,"")</f>
        <v>13.029626615434386</v>
      </c>
      <c r="M115">
        <f t="shared" si="35"/>
        <v>7.6748170113749778E-2</v>
      </c>
    </row>
    <row r="116" spans="1:13" x14ac:dyDescent="0.3">
      <c r="A116">
        <v>192</v>
      </c>
      <c r="B116">
        <f t="shared" si="32"/>
        <v>2.1981899827965584E-2</v>
      </c>
      <c r="C116">
        <f t="shared" si="28"/>
        <v>2.1981899827965584E-2</v>
      </c>
      <c r="D116" t="s">
        <v>35</v>
      </c>
      <c r="E116" t="s">
        <v>19</v>
      </c>
      <c r="F116">
        <v>1</v>
      </c>
      <c r="G116">
        <f t="shared" si="33"/>
        <v>115</v>
      </c>
      <c r="I116">
        <v>2150</v>
      </c>
      <c r="J116" t="s">
        <v>28</v>
      </c>
      <c r="K116">
        <f t="shared" si="34"/>
        <v>117.5</v>
      </c>
      <c r="L116" cm="1">
        <f t="array" ref="L116">STOWA2024_NDJF_T(A116*60,K116,I116,J116,"")</f>
        <v>18.259413956468975</v>
      </c>
      <c r="M116">
        <f t="shared" si="35"/>
        <v>5.4766270285784194E-2</v>
      </c>
    </row>
    <row r="117" spans="1:13" x14ac:dyDescent="0.3">
      <c r="A117">
        <v>192</v>
      </c>
      <c r="B117">
        <f t="shared" si="32"/>
        <v>1.5893573696849662E-2</v>
      </c>
      <c r="C117">
        <f t="shared" si="28"/>
        <v>1.5893573696849662E-2</v>
      </c>
      <c r="D117" t="s">
        <v>35</v>
      </c>
      <c r="E117" t="s">
        <v>19</v>
      </c>
      <c r="F117">
        <v>1</v>
      </c>
      <c r="G117">
        <f t="shared" si="33"/>
        <v>120</v>
      </c>
      <c r="I117">
        <v>2150</v>
      </c>
      <c r="J117" t="s">
        <v>28</v>
      </c>
      <c r="K117">
        <f t="shared" si="34"/>
        <v>122.5</v>
      </c>
      <c r="L117" cm="1">
        <f t="array" ref="L117">STOWA2024_NDJF_T(A117*60,K117,I117,J117,"")</f>
        <v>25.724996919422853</v>
      </c>
      <c r="M117">
        <f t="shared" si="35"/>
        <v>3.8872696588934531E-2</v>
      </c>
    </row>
    <row r="118" spans="1:13" x14ac:dyDescent="0.3">
      <c r="A118">
        <v>192</v>
      </c>
      <c r="B118">
        <f t="shared" si="32"/>
        <v>1.1432025601294034E-2</v>
      </c>
      <c r="C118">
        <f t="shared" si="28"/>
        <v>1.1432025601294034E-2</v>
      </c>
      <c r="D118" t="s">
        <v>35</v>
      </c>
      <c r="E118" t="s">
        <v>19</v>
      </c>
      <c r="F118">
        <v>1</v>
      </c>
      <c r="G118">
        <f t="shared" si="33"/>
        <v>125</v>
      </c>
      <c r="I118">
        <v>2150</v>
      </c>
      <c r="J118" t="s">
        <v>28</v>
      </c>
      <c r="K118">
        <f t="shared" si="34"/>
        <v>127.5</v>
      </c>
      <c r="L118" cm="1">
        <f t="array" ref="L118">STOWA2024_NDJF_T(A118*60,K118,I118,J118,"")</f>
        <v>36.44225756908088</v>
      </c>
      <c r="M118">
        <f t="shared" si="35"/>
        <v>2.7440670987640498E-2</v>
      </c>
    </row>
    <row r="119" spans="1:13" x14ac:dyDescent="0.3">
      <c r="A119">
        <v>192</v>
      </c>
      <c r="B119">
        <f t="shared" si="32"/>
        <v>8.1796372031979724E-3</v>
      </c>
      <c r="C119">
        <f t="shared" si="28"/>
        <v>8.1796372031979724E-3</v>
      </c>
      <c r="D119" t="s">
        <v>35</v>
      </c>
      <c r="E119" t="s">
        <v>19</v>
      </c>
      <c r="F119">
        <v>1</v>
      </c>
      <c r="G119">
        <f t="shared" si="33"/>
        <v>130</v>
      </c>
      <c r="I119">
        <v>2150</v>
      </c>
      <c r="J119" t="s">
        <v>28</v>
      </c>
      <c r="K119">
        <f t="shared" si="34"/>
        <v>132.5</v>
      </c>
      <c r="L119" cm="1">
        <f t="array" ref="L119">STOWA2024_NDJF_T(A119*60,K119,I119,J119,"")</f>
        <v>51.91829323344615</v>
      </c>
      <c r="M119">
        <f t="shared" si="35"/>
        <v>1.9261033784442525E-2</v>
      </c>
    </row>
    <row r="120" spans="1:13" x14ac:dyDescent="0.3">
      <c r="A120">
        <v>192</v>
      </c>
      <c r="B120">
        <f t="shared" si="32"/>
        <v>5.8203659721760906E-3</v>
      </c>
      <c r="C120">
        <f t="shared" si="28"/>
        <v>5.8203659721760906E-3</v>
      </c>
      <c r="D120" t="s">
        <v>35</v>
      </c>
      <c r="E120" t="s">
        <v>19</v>
      </c>
      <c r="F120">
        <v>1</v>
      </c>
      <c r="G120">
        <f t="shared" si="33"/>
        <v>135</v>
      </c>
      <c r="I120">
        <v>2150</v>
      </c>
      <c r="J120" t="s">
        <v>28</v>
      </c>
      <c r="K120">
        <f t="shared" si="34"/>
        <v>137.5</v>
      </c>
      <c r="L120" cm="1">
        <f t="array" ref="L120">STOWA2024_NDJF_T(A120*60,K120,I120,J120,"")</f>
        <v>74.401065033938579</v>
      </c>
      <c r="M120">
        <f t="shared" si="35"/>
        <v>1.3440667812266435E-2</v>
      </c>
    </row>
    <row r="121" spans="1:13" x14ac:dyDescent="0.3">
      <c r="A121">
        <v>192</v>
      </c>
      <c r="B121">
        <f t="shared" si="32"/>
        <v>4.1181581868378562E-3</v>
      </c>
      <c r="C121">
        <f t="shared" si="28"/>
        <v>4.1181581868378562E-3</v>
      </c>
      <c r="D121" t="s">
        <v>35</v>
      </c>
      <c r="E121" t="s">
        <v>19</v>
      </c>
      <c r="F121">
        <v>1</v>
      </c>
      <c r="G121">
        <f t="shared" si="33"/>
        <v>140</v>
      </c>
      <c r="I121">
        <v>2150</v>
      </c>
      <c r="J121" t="s">
        <v>28</v>
      </c>
      <c r="K121">
        <f t="shared" si="34"/>
        <v>142.5</v>
      </c>
      <c r="L121" cm="1">
        <f t="array" ref="L121">STOWA2024_NDJF_T(A121*60,K121,I121,J121,"")</f>
        <v>107.26725315169922</v>
      </c>
      <c r="M121">
        <f t="shared" si="35"/>
        <v>9.3225096254285784E-3</v>
      </c>
    </row>
    <row r="122" spans="1:13" x14ac:dyDescent="0.3">
      <c r="A122">
        <v>192</v>
      </c>
      <c r="B122">
        <f t="shared" si="32"/>
        <v>2.8967746413766449E-3</v>
      </c>
      <c r="C122">
        <f t="shared" si="28"/>
        <v>2.8967746413766449E-3</v>
      </c>
      <c r="D122" t="s">
        <v>35</v>
      </c>
      <c r="E122" t="s">
        <v>19</v>
      </c>
      <c r="F122">
        <v>1</v>
      </c>
      <c r="G122">
        <f t="shared" si="33"/>
        <v>145</v>
      </c>
      <c r="I122">
        <v>2150</v>
      </c>
      <c r="J122" t="s">
        <v>28</v>
      </c>
      <c r="K122">
        <f t="shared" si="34"/>
        <v>147.5</v>
      </c>
      <c r="L122" cm="1">
        <f t="array" ref="L122">STOWA2024_NDJF_T(A122*60,K122,I122,J122,"")</f>
        <v>155.62422080616543</v>
      </c>
      <c r="M122">
        <f t="shared" si="35"/>
        <v>6.4257349840519335E-3</v>
      </c>
    </row>
    <row r="123" spans="1:13" x14ac:dyDescent="0.3">
      <c r="A123">
        <v>192</v>
      </c>
      <c r="B123">
        <f t="shared" si="32"/>
        <v>2.025240525917806E-3</v>
      </c>
      <c r="C123">
        <f t="shared" si="28"/>
        <v>2.025240525917806E-3</v>
      </c>
      <c r="D123" t="s">
        <v>35</v>
      </c>
      <c r="E123" t="s">
        <v>19</v>
      </c>
      <c r="F123">
        <v>1</v>
      </c>
      <c r="G123">
        <f t="shared" si="33"/>
        <v>150</v>
      </c>
      <c r="I123">
        <v>2150</v>
      </c>
      <c r="J123" t="s">
        <v>28</v>
      </c>
      <c r="K123">
        <f t="shared" si="34"/>
        <v>152.5</v>
      </c>
      <c r="L123" cm="1">
        <f t="array" ref="L123">STOWA2024_NDJF_T(A123*60,K123,I123,J123,"")</f>
        <v>227.24718994965266</v>
      </c>
      <c r="M123">
        <f t="shared" si="35"/>
        <v>4.4004944581341274E-3</v>
      </c>
    </row>
    <row r="124" spans="1:13" x14ac:dyDescent="0.3">
      <c r="A124">
        <v>192</v>
      </c>
      <c r="B124">
        <f t="shared" si="32"/>
        <v>1.4071015416073978E-3</v>
      </c>
      <c r="C124">
        <f t="shared" si="28"/>
        <v>1.4071015416073978E-3</v>
      </c>
      <c r="D124" t="s">
        <v>35</v>
      </c>
      <c r="E124" t="s">
        <v>19</v>
      </c>
      <c r="F124">
        <v>1</v>
      </c>
      <c r="G124">
        <f t="shared" si="33"/>
        <v>155</v>
      </c>
      <c r="I124">
        <v>2150</v>
      </c>
      <c r="J124" t="s">
        <v>28</v>
      </c>
      <c r="K124">
        <f t="shared" si="34"/>
        <v>157.5</v>
      </c>
      <c r="L124" cm="1">
        <f t="array" ref="L124">STOWA2024_NDJF_T(A124*60,K124,I124,J124,"")</f>
        <v>334.06907408610834</v>
      </c>
      <c r="M124">
        <f t="shared" si="35"/>
        <v>2.9933929165267296E-3</v>
      </c>
    </row>
    <row r="125" spans="1:13" x14ac:dyDescent="0.3">
      <c r="A125">
        <v>192</v>
      </c>
      <c r="B125" s="1">
        <f>M124</f>
        <v>2.9933929165267296E-3</v>
      </c>
      <c r="C125">
        <f t="shared" si="28"/>
        <v>2.9933929165267296E-3</v>
      </c>
      <c r="D125" t="s">
        <v>35</v>
      </c>
      <c r="E125" t="s">
        <v>19</v>
      </c>
      <c r="F125">
        <v>1</v>
      </c>
      <c r="G125">
        <f t="shared" si="33"/>
        <v>160</v>
      </c>
      <c r="I125">
        <v>2150</v>
      </c>
      <c r="J125" t="s">
        <v>28</v>
      </c>
      <c r="K125">
        <f>AVERAGE(G125:G126)</f>
        <v>85</v>
      </c>
      <c r="L125" cm="1">
        <f t="array" ref="L125">STOWA2024_NDJF_T(A125*60,K125,I125,J125,"")</f>
        <v>2.2242246753698667</v>
      </c>
      <c r="M125">
        <f>1/L125</f>
        <v>0.44959486830336054</v>
      </c>
    </row>
    <row r="126" spans="1:13" x14ac:dyDescent="0.3">
      <c r="A126">
        <v>216</v>
      </c>
      <c r="B126" s="1">
        <f>365.25*24/A126 - M126</f>
        <v>18.234654803697232</v>
      </c>
      <c r="C126">
        <f>B126</f>
        <v>18.234654803697232</v>
      </c>
      <c r="D126" t="s">
        <v>35</v>
      </c>
      <c r="E126" t="s">
        <v>19</v>
      </c>
      <c r="F126">
        <v>1</v>
      </c>
      <c r="G126">
        <v>10</v>
      </c>
      <c r="I126">
        <v>2150</v>
      </c>
      <c r="J126" t="s">
        <v>28</v>
      </c>
      <c r="K126">
        <f>AVERAGE(G126:G128)</f>
        <v>15</v>
      </c>
      <c r="L126" cm="1">
        <f t="array" ref="L126">STOWA2024_NDJF_T(A126*60,K126,I126,J126,"")</f>
        <v>4.4745374930062261E-2</v>
      </c>
      <c r="M126">
        <f>1/L126</f>
        <v>22.348678529636103</v>
      </c>
    </row>
    <row r="127" spans="1:13" x14ac:dyDescent="0.3">
      <c r="A127">
        <v>216</v>
      </c>
      <c r="B127">
        <f t="shared" ref="B127:B131" si="36">M126-M127</f>
        <v>2.4433220326388927</v>
      </c>
      <c r="C127">
        <f t="shared" ref="C127:C156" si="37">B127</f>
        <v>2.4433220326388927</v>
      </c>
      <c r="D127" t="s">
        <v>35</v>
      </c>
      <c r="E127" t="s">
        <v>19</v>
      </c>
      <c r="F127">
        <v>1</v>
      </c>
      <c r="G127">
        <f t="shared" ref="G127:G131" si="38">G126+5</f>
        <v>15</v>
      </c>
      <c r="I127">
        <v>2150</v>
      </c>
      <c r="J127" t="s">
        <v>28</v>
      </c>
      <c r="K127">
        <f t="shared" ref="K127:K131" si="39">AVERAGE(G127:G128)</f>
        <v>17.5</v>
      </c>
      <c r="L127" cm="1">
        <f t="array" ref="L127">STOWA2024_NDJF_T(A127*60,K127,I127,J127,"")</f>
        <v>5.0237733755276036E-2</v>
      </c>
      <c r="M127">
        <f t="shared" ref="M127:M131" si="40">1/L127</f>
        <v>19.905356496997211</v>
      </c>
    </row>
    <row r="128" spans="1:13" x14ac:dyDescent="0.3">
      <c r="A128">
        <v>216</v>
      </c>
      <c r="B128">
        <f t="shared" si="36"/>
        <v>4.1552229603138748</v>
      </c>
      <c r="C128">
        <f t="shared" si="37"/>
        <v>4.1552229603138748</v>
      </c>
      <c r="D128" t="s">
        <v>35</v>
      </c>
      <c r="E128" t="s">
        <v>19</v>
      </c>
      <c r="F128">
        <v>1</v>
      </c>
      <c r="G128">
        <f t="shared" si="38"/>
        <v>20</v>
      </c>
      <c r="I128">
        <v>2150</v>
      </c>
      <c r="J128" t="s">
        <v>28</v>
      </c>
      <c r="K128">
        <f t="shared" si="39"/>
        <v>22.5</v>
      </c>
      <c r="L128" cm="1">
        <f t="array" ref="L128">STOWA2024_NDJF_T(A128*60,K128,I128,J128,"")</f>
        <v>6.3491525177924307E-2</v>
      </c>
      <c r="M128">
        <f t="shared" si="40"/>
        <v>15.750133536683336</v>
      </c>
    </row>
    <row r="129" spans="1:13" x14ac:dyDescent="0.3">
      <c r="A129">
        <v>216</v>
      </c>
      <c r="B129">
        <f t="shared" si="36"/>
        <v>3.331441015263179</v>
      </c>
      <c r="C129">
        <f t="shared" si="37"/>
        <v>3.331441015263179</v>
      </c>
      <c r="D129" t="s">
        <v>35</v>
      </c>
      <c r="E129" t="s">
        <v>19</v>
      </c>
      <c r="F129">
        <v>1</v>
      </c>
      <c r="G129">
        <f t="shared" si="38"/>
        <v>25</v>
      </c>
      <c r="I129">
        <v>2150</v>
      </c>
      <c r="J129" t="s">
        <v>28</v>
      </c>
      <c r="K129">
        <f t="shared" si="39"/>
        <v>27.5</v>
      </c>
      <c r="L129" cm="1">
        <f t="array" ref="L129">STOWA2024_NDJF_T(A129*60,K129,I129,J129,"")</f>
        <v>8.0523774807627138E-2</v>
      </c>
      <c r="M129">
        <f t="shared" si="40"/>
        <v>12.418692521420157</v>
      </c>
    </row>
    <row r="130" spans="1:13" x14ac:dyDescent="0.3">
      <c r="A130">
        <v>216</v>
      </c>
      <c r="B130">
        <f t="shared" si="36"/>
        <v>2.6620925051524189</v>
      </c>
      <c r="C130">
        <f t="shared" si="37"/>
        <v>2.6620925051524189</v>
      </c>
      <c r="D130" t="s">
        <v>35</v>
      </c>
      <c r="E130" t="s">
        <v>19</v>
      </c>
      <c r="F130">
        <v>1</v>
      </c>
      <c r="G130">
        <f t="shared" si="38"/>
        <v>30</v>
      </c>
      <c r="I130">
        <v>2150</v>
      </c>
      <c r="J130" t="s">
        <v>28</v>
      </c>
      <c r="K130">
        <f t="shared" si="39"/>
        <v>32.5</v>
      </c>
      <c r="L130" cm="1">
        <f t="array" ref="L130">STOWA2024_NDJF_T(A130*60,K130,I130,J130,"")</f>
        <v>0.1024947213509463</v>
      </c>
      <c r="M130">
        <f t="shared" si="40"/>
        <v>9.756600016267738</v>
      </c>
    </row>
    <row r="131" spans="1:13" x14ac:dyDescent="0.3">
      <c r="A131">
        <v>216</v>
      </c>
      <c r="B131">
        <f t="shared" si="36"/>
        <v>2.1199746232810082</v>
      </c>
      <c r="C131">
        <f t="shared" si="37"/>
        <v>2.1199746232810082</v>
      </c>
      <c r="D131" t="s">
        <v>35</v>
      </c>
      <c r="E131" t="s">
        <v>19</v>
      </c>
      <c r="F131">
        <v>1</v>
      </c>
      <c r="G131">
        <f t="shared" si="38"/>
        <v>35</v>
      </c>
      <c r="I131">
        <v>2150</v>
      </c>
      <c r="J131" t="s">
        <v>28</v>
      </c>
      <c r="K131">
        <f t="shared" si="39"/>
        <v>37.5</v>
      </c>
      <c r="L131" cm="1">
        <f t="array" ref="L131">STOWA2024_NDJF_T(A131*60,K131,I131,J131,"")</f>
        <v>0.13094789236596219</v>
      </c>
      <c r="M131">
        <f t="shared" si="40"/>
        <v>7.6366253929867298</v>
      </c>
    </row>
    <row r="132" spans="1:13" x14ac:dyDescent="0.3">
      <c r="A132">
        <v>216</v>
      </c>
      <c r="B132">
        <f>M131-M132</f>
        <v>1.6822038306083789</v>
      </c>
      <c r="C132">
        <f t="shared" si="37"/>
        <v>1.6822038306083789</v>
      </c>
      <c r="D132" t="s">
        <v>35</v>
      </c>
      <c r="E132" t="s">
        <v>19</v>
      </c>
      <c r="F132">
        <v>1</v>
      </c>
      <c r="G132">
        <f>G131+5</f>
        <v>40</v>
      </c>
      <c r="I132">
        <v>2150</v>
      </c>
      <c r="J132" t="s">
        <v>28</v>
      </c>
      <c r="K132">
        <f>AVERAGE(G132:G133)</f>
        <v>42.5</v>
      </c>
      <c r="L132" cm="1">
        <f t="array" ref="L132">STOWA2024_NDJF_T(A132*60,K132,I132,J132,"")</f>
        <v>0.16794242556124528</v>
      </c>
      <c r="M132">
        <f>1/L132</f>
        <v>5.954421562378351</v>
      </c>
    </row>
    <row r="133" spans="1:13" x14ac:dyDescent="0.3">
      <c r="A133">
        <v>216</v>
      </c>
      <c r="B133">
        <f t="shared" ref="B133:B155" si="41">M132-M133</f>
        <v>1.330004681477992</v>
      </c>
      <c r="C133">
        <f t="shared" si="37"/>
        <v>1.330004681477992</v>
      </c>
      <c r="D133" t="s">
        <v>35</v>
      </c>
      <c r="E133" t="s">
        <v>19</v>
      </c>
      <c r="F133">
        <v>1</v>
      </c>
      <c r="G133">
        <f t="shared" ref="G133:G156" si="42">G132+5</f>
        <v>45</v>
      </c>
      <c r="I133">
        <v>2150</v>
      </c>
      <c r="J133" t="s">
        <v>28</v>
      </c>
      <c r="K133">
        <f t="shared" ref="K133:K155" si="43">AVERAGE(G133:G134)</f>
        <v>47.5</v>
      </c>
      <c r="L133" cm="1">
        <f t="array" ref="L133">STOWA2024_NDJF_T(A133*60,K133,I133,J133,"")</f>
        <v>0.21624348015209718</v>
      </c>
      <c r="M133">
        <f t="shared" ref="M133:M155" si="44">1/L133</f>
        <v>4.624416880900359</v>
      </c>
    </row>
    <row r="134" spans="1:13" x14ac:dyDescent="0.3">
      <c r="A134">
        <v>216</v>
      </c>
      <c r="B134">
        <f t="shared" si="41"/>
        <v>1.0476161159277182</v>
      </c>
      <c r="C134">
        <f t="shared" si="37"/>
        <v>1.0476161159277182</v>
      </c>
      <c r="D134" t="s">
        <v>35</v>
      </c>
      <c r="E134" t="s">
        <v>19</v>
      </c>
      <c r="F134">
        <v>1</v>
      </c>
      <c r="G134">
        <f t="shared" si="42"/>
        <v>50</v>
      </c>
      <c r="I134">
        <v>2150</v>
      </c>
      <c r="J134" t="s">
        <v>28</v>
      </c>
      <c r="K134">
        <f t="shared" si="43"/>
        <v>52.5</v>
      </c>
      <c r="L134" cm="1">
        <f t="array" ref="L134">STOWA2024_NDJF_T(A134*60,K134,I134,J134,"")</f>
        <v>0.2795794526194833</v>
      </c>
      <c r="M134">
        <f t="shared" si="44"/>
        <v>3.5768007649726408</v>
      </c>
    </row>
    <row r="135" spans="1:13" x14ac:dyDescent="0.3">
      <c r="A135">
        <v>216</v>
      </c>
      <c r="B135">
        <f t="shared" si="41"/>
        <v>0.82192802656794317</v>
      </c>
      <c r="C135">
        <f t="shared" si="37"/>
        <v>0.82192802656794317</v>
      </c>
      <c r="D135" t="s">
        <v>35</v>
      </c>
      <c r="E135" t="s">
        <v>19</v>
      </c>
      <c r="F135">
        <v>1</v>
      </c>
      <c r="G135">
        <f t="shared" si="42"/>
        <v>55</v>
      </c>
      <c r="I135">
        <v>2150</v>
      </c>
      <c r="J135" t="s">
        <v>28</v>
      </c>
      <c r="K135">
        <f t="shared" si="43"/>
        <v>57.5</v>
      </c>
      <c r="L135" cm="1">
        <f t="array" ref="L135">STOWA2024_NDJF_T(A135*60,K135,I135,J135,"")</f>
        <v>0.36299317426150285</v>
      </c>
      <c r="M135">
        <f t="shared" si="44"/>
        <v>2.7548727384046976</v>
      </c>
    </row>
    <row r="136" spans="1:13" x14ac:dyDescent="0.3">
      <c r="A136">
        <v>216</v>
      </c>
      <c r="B136">
        <f t="shared" si="41"/>
        <v>0.64231102224364456</v>
      </c>
      <c r="C136">
        <f t="shared" si="37"/>
        <v>0.64231102224364456</v>
      </c>
      <c r="D136" t="s">
        <v>35</v>
      </c>
      <c r="E136" t="s">
        <v>19</v>
      </c>
      <c r="F136">
        <v>1</v>
      </c>
      <c r="G136">
        <f t="shared" si="42"/>
        <v>60</v>
      </c>
      <c r="I136">
        <v>2150</v>
      </c>
      <c r="J136" t="s">
        <v>28</v>
      </c>
      <c r="K136">
        <f t="shared" si="43"/>
        <v>62.5</v>
      </c>
      <c r="L136" cm="1">
        <f t="array" ref="L136">STOWA2024_NDJF_T(A136*60,K136,I136,J136,"")</f>
        <v>0.47335895200126982</v>
      </c>
      <c r="M136">
        <f t="shared" si="44"/>
        <v>2.112561716161053</v>
      </c>
    </row>
    <row r="137" spans="1:13" x14ac:dyDescent="0.3">
      <c r="A137">
        <v>216</v>
      </c>
      <c r="B137">
        <f t="shared" si="41"/>
        <v>0.49985743104769398</v>
      </c>
      <c r="C137">
        <f t="shared" si="37"/>
        <v>0.49985743104769398</v>
      </c>
      <c r="D137" t="s">
        <v>35</v>
      </c>
      <c r="E137" t="s">
        <v>19</v>
      </c>
      <c r="F137">
        <v>1</v>
      </c>
      <c r="G137">
        <f t="shared" si="42"/>
        <v>65</v>
      </c>
      <c r="I137">
        <v>2150</v>
      </c>
      <c r="J137" t="s">
        <v>28</v>
      </c>
      <c r="K137">
        <f t="shared" si="43"/>
        <v>67.5</v>
      </c>
      <c r="L137" cm="1">
        <f t="array" ref="L137">STOWA2024_NDJF_T(A137*60,K137,I137,J137,"")</f>
        <v>0.62007648223599077</v>
      </c>
      <c r="M137">
        <f t="shared" si="44"/>
        <v>1.6127042851133591</v>
      </c>
    </row>
    <row r="138" spans="1:13" x14ac:dyDescent="0.3">
      <c r="A138">
        <v>216</v>
      </c>
      <c r="B138">
        <f t="shared" si="41"/>
        <v>0.38731632354946854</v>
      </c>
      <c r="C138">
        <f t="shared" si="37"/>
        <v>0.38731632354946854</v>
      </c>
      <c r="D138" t="s">
        <v>35</v>
      </c>
      <c r="E138" t="s">
        <v>19</v>
      </c>
      <c r="F138">
        <v>1</v>
      </c>
      <c r="G138">
        <f t="shared" si="42"/>
        <v>70</v>
      </c>
      <c r="I138">
        <v>2150</v>
      </c>
      <c r="J138" t="s">
        <v>28</v>
      </c>
      <c r="K138">
        <f t="shared" si="43"/>
        <v>72.5</v>
      </c>
      <c r="L138" cm="1">
        <f t="array" ref="L138">STOWA2024_NDJF_T(A138*60,K138,I138,J138,"")</f>
        <v>0.81606807914430535</v>
      </c>
      <c r="M138">
        <f t="shared" si="44"/>
        <v>1.2253879615638905</v>
      </c>
    </row>
    <row r="139" spans="1:13" x14ac:dyDescent="0.3">
      <c r="A139">
        <v>216</v>
      </c>
      <c r="B139">
        <f t="shared" si="41"/>
        <v>0.29873082417007568</v>
      </c>
      <c r="C139">
        <f t="shared" si="37"/>
        <v>0.29873082417007568</v>
      </c>
      <c r="D139" t="s">
        <v>35</v>
      </c>
      <c r="E139" t="s">
        <v>19</v>
      </c>
      <c r="F139">
        <v>1</v>
      </c>
      <c r="G139">
        <f t="shared" si="42"/>
        <v>75</v>
      </c>
      <c r="I139">
        <v>2150</v>
      </c>
      <c r="J139" t="s">
        <v>28</v>
      </c>
      <c r="K139">
        <f t="shared" si="43"/>
        <v>77.5</v>
      </c>
      <c r="L139" cm="1">
        <f t="array" ref="L139">STOWA2024_NDJF_T(A139*60,K139,I139,J139,"")</f>
        <v>1.0791477879428619</v>
      </c>
      <c r="M139">
        <f t="shared" si="44"/>
        <v>0.92665713739381483</v>
      </c>
    </row>
    <row r="140" spans="1:13" x14ac:dyDescent="0.3">
      <c r="A140">
        <v>216</v>
      </c>
      <c r="B140">
        <f t="shared" si="41"/>
        <v>0.22944761756707233</v>
      </c>
      <c r="C140">
        <f t="shared" si="37"/>
        <v>0.22944761756707233</v>
      </c>
      <c r="D140" t="s">
        <v>35</v>
      </c>
      <c r="E140" t="s">
        <v>19</v>
      </c>
      <c r="F140">
        <v>1</v>
      </c>
      <c r="G140">
        <f t="shared" si="42"/>
        <v>80</v>
      </c>
      <c r="I140">
        <v>2150</v>
      </c>
      <c r="J140" t="s">
        <v>28</v>
      </c>
      <c r="K140">
        <f t="shared" si="43"/>
        <v>82.5</v>
      </c>
      <c r="L140" cm="1">
        <f t="array" ref="L140">STOWA2024_NDJF_T(A140*60,K140,I140,J140,"")</f>
        <v>1.4342890789105998</v>
      </c>
      <c r="M140">
        <f t="shared" si="44"/>
        <v>0.69720951982674251</v>
      </c>
    </row>
    <row r="141" spans="1:13" x14ac:dyDescent="0.3">
      <c r="A141">
        <v>216</v>
      </c>
      <c r="B141">
        <f t="shared" si="41"/>
        <v>0.17534787352205061</v>
      </c>
      <c r="C141">
        <f t="shared" si="37"/>
        <v>0.17534787352205061</v>
      </c>
      <c r="D141" t="s">
        <v>35</v>
      </c>
      <c r="E141" t="s">
        <v>19</v>
      </c>
      <c r="F141">
        <v>1</v>
      </c>
      <c r="G141">
        <f t="shared" si="42"/>
        <v>85</v>
      </c>
      <c r="I141">
        <v>2150</v>
      </c>
      <c r="J141" t="s">
        <v>28</v>
      </c>
      <c r="K141">
        <f t="shared" si="43"/>
        <v>87.5</v>
      </c>
      <c r="L141" cm="1">
        <f t="array" ref="L141">STOWA2024_NDJF_T(A141*60,K141,I141,J141,"")</f>
        <v>1.9162166966685732</v>
      </c>
      <c r="M141">
        <f t="shared" si="44"/>
        <v>0.5218616463046919</v>
      </c>
    </row>
    <row r="142" spans="1:13" x14ac:dyDescent="0.3">
      <c r="A142">
        <v>216</v>
      </c>
      <c r="B142">
        <f t="shared" si="41"/>
        <v>0.13335078931912392</v>
      </c>
      <c r="C142">
        <f t="shared" si="37"/>
        <v>0.13335078931912392</v>
      </c>
      <c r="D142" t="s">
        <v>35</v>
      </c>
      <c r="E142" t="s">
        <v>19</v>
      </c>
      <c r="F142">
        <v>1</v>
      </c>
      <c r="G142">
        <f t="shared" si="42"/>
        <v>90</v>
      </c>
      <c r="I142">
        <v>2150</v>
      </c>
      <c r="J142" t="s">
        <v>28</v>
      </c>
      <c r="K142">
        <f t="shared" si="43"/>
        <v>92.5</v>
      </c>
      <c r="L142" cm="1">
        <f t="array" ref="L142">STOWA2024_NDJF_T(A142*60,K142,I142,J142,"")</f>
        <v>2.5739306431715678</v>
      </c>
      <c r="M142">
        <f t="shared" si="44"/>
        <v>0.38851085698556798</v>
      </c>
    </row>
    <row r="143" spans="1:13" x14ac:dyDescent="0.3">
      <c r="A143">
        <v>216</v>
      </c>
      <c r="B143">
        <f t="shared" si="41"/>
        <v>0.10088592365404025</v>
      </c>
      <c r="C143">
        <f t="shared" si="37"/>
        <v>0.10088592365404025</v>
      </c>
      <c r="D143" t="s">
        <v>35</v>
      </c>
      <c r="E143" t="s">
        <v>19</v>
      </c>
      <c r="F143">
        <v>1</v>
      </c>
      <c r="G143">
        <f t="shared" si="42"/>
        <v>95</v>
      </c>
      <c r="I143">
        <v>2150</v>
      </c>
      <c r="J143" t="s">
        <v>28</v>
      </c>
      <c r="K143">
        <f t="shared" si="43"/>
        <v>97.5</v>
      </c>
      <c r="L143" cm="1">
        <f t="array" ref="L143">STOWA2024_NDJF_T(A143*60,K143,I143,J143,"")</f>
        <v>3.4767500453354678</v>
      </c>
      <c r="M143">
        <f t="shared" si="44"/>
        <v>0.28762493333152772</v>
      </c>
    </row>
    <row r="144" spans="1:13" x14ac:dyDescent="0.3">
      <c r="A144">
        <v>216</v>
      </c>
      <c r="B144">
        <f t="shared" si="41"/>
        <v>7.5921095365343222E-2</v>
      </c>
      <c r="C144">
        <f t="shared" si="37"/>
        <v>7.5921095365343222E-2</v>
      </c>
      <c r="D144" t="s">
        <v>35</v>
      </c>
      <c r="E144" t="s">
        <v>19</v>
      </c>
      <c r="F144">
        <v>1</v>
      </c>
      <c r="G144">
        <f t="shared" si="42"/>
        <v>100</v>
      </c>
      <c r="I144">
        <v>2150</v>
      </c>
      <c r="J144" t="s">
        <v>28</v>
      </c>
      <c r="K144">
        <f t="shared" si="43"/>
        <v>102.5</v>
      </c>
      <c r="L144" cm="1">
        <f t="array" ref="L144">STOWA2024_NDJF_T(A144*60,K144,I144,J144,"")</f>
        <v>4.7235799294282526</v>
      </c>
      <c r="M144">
        <f t="shared" si="44"/>
        <v>0.2117038379661845</v>
      </c>
    </row>
    <row r="145" spans="1:13" x14ac:dyDescent="0.3">
      <c r="A145">
        <v>216</v>
      </c>
      <c r="B145">
        <f t="shared" si="41"/>
        <v>5.6818358496086935E-2</v>
      </c>
      <c r="C145">
        <f t="shared" si="37"/>
        <v>5.6818358496086935E-2</v>
      </c>
      <c r="D145" t="s">
        <v>35</v>
      </c>
      <c r="E145" t="s">
        <v>19</v>
      </c>
      <c r="F145">
        <v>1</v>
      </c>
      <c r="G145">
        <f t="shared" si="42"/>
        <v>105</v>
      </c>
      <c r="I145">
        <v>2150</v>
      </c>
      <c r="J145" t="s">
        <v>28</v>
      </c>
      <c r="K145">
        <f t="shared" si="43"/>
        <v>107.5</v>
      </c>
      <c r="L145" cm="1">
        <f t="array" ref="L145">STOWA2024_NDJF_T(A145*60,K145,I145,J145,"")</f>
        <v>6.4563831510949452</v>
      </c>
      <c r="M145">
        <f t="shared" si="44"/>
        <v>0.15488547947009756</v>
      </c>
    </row>
    <row r="146" spans="1:13" x14ac:dyDescent="0.3">
      <c r="A146">
        <v>216</v>
      </c>
      <c r="B146">
        <f t="shared" si="41"/>
        <v>4.2277974642164429E-2</v>
      </c>
      <c r="C146">
        <f t="shared" si="37"/>
        <v>4.2277974642164429E-2</v>
      </c>
      <c r="D146" t="s">
        <v>35</v>
      </c>
      <c r="E146" t="s">
        <v>19</v>
      </c>
      <c r="F146">
        <v>1</v>
      </c>
      <c r="G146">
        <f t="shared" si="42"/>
        <v>110</v>
      </c>
      <c r="I146">
        <v>2150</v>
      </c>
      <c r="J146" t="s">
        <v>28</v>
      </c>
      <c r="K146">
        <f t="shared" si="43"/>
        <v>112.5</v>
      </c>
      <c r="L146" cm="1">
        <f t="array" ref="L146">STOWA2024_NDJF_T(A146*60,K146,I146,J146,"")</f>
        <v>8.8804027895656077</v>
      </c>
      <c r="M146">
        <f t="shared" si="44"/>
        <v>0.11260750482793314</v>
      </c>
    </row>
    <row r="147" spans="1:13" x14ac:dyDescent="0.3">
      <c r="A147">
        <v>216</v>
      </c>
      <c r="B147">
        <f t="shared" si="41"/>
        <v>3.1271320784785325E-2</v>
      </c>
      <c r="C147">
        <f t="shared" si="37"/>
        <v>3.1271320784785325E-2</v>
      </c>
      <c r="D147" t="s">
        <v>35</v>
      </c>
      <c r="E147" t="s">
        <v>19</v>
      </c>
      <c r="F147">
        <v>1</v>
      </c>
      <c r="G147">
        <f t="shared" si="42"/>
        <v>115</v>
      </c>
      <c r="I147">
        <v>2150</v>
      </c>
      <c r="J147" t="s">
        <v>28</v>
      </c>
      <c r="K147">
        <f t="shared" si="43"/>
        <v>117.5</v>
      </c>
      <c r="L147" cm="1">
        <f t="array" ref="L147">STOWA2024_NDJF_T(A147*60,K147,I147,J147,"")</f>
        <v>12.294651043249248</v>
      </c>
      <c r="M147">
        <f t="shared" si="44"/>
        <v>8.1336184043147811E-2</v>
      </c>
    </row>
    <row r="148" spans="1:13" x14ac:dyDescent="0.3">
      <c r="A148">
        <v>216</v>
      </c>
      <c r="B148">
        <f t="shared" si="41"/>
        <v>2.298566980506668E-2</v>
      </c>
      <c r="C148">
        <f t="shared" si="37"/>
        <v>2.298566980506668E-2</v>
      </c>
      <c r="D148" t="s">
        <v>35</v>
      </c>
      <c r="E148" t="s">
        <v>19</v>
      </c>
      <c r="F148">
        <v>1</v>
      </c>
      <c r="G148">
        <f t="shared" si="42"/>
        <v>120</v>
      </c>
      <c r="I148">
        <v>2150</v>
      </c>
      <c r="J148" t="s">
        <v>28</v>
      </c>
      <c r="K148">
        <f t="shared" si="43"/>
        <v>122.5</v>
      </c>
      <c r="L148" cm="1">
        <f t="array" ref="L148">STOWA2024_NDJF_T(A148*60,K148,I148,J148,"")</f>
        <v>17.13780954731283</v>
      </c>
      <c r="M148">
        <f t="shared" si="44"/>
        <v>5.835051423808113E-2</v>
      </c>
    </row>
    <row r="149" spans="1:13" x14ac:dyDescent="0.3">
      <c r="A149">
        <v>216</v>
      </c>
      <c r="B149">
        <f t="shared" si="41"/>
        <v>1.6785914913399431E-2</v>
      </c>
      <c r="C149">
        <f t="shared" si="37"/>
        <v>1.6785914913399431E-2</v>
      </c>
      <c r="D149" t="s">
        <v>35</v>
      </c>
      <c r="E149" t="s">
        <v>19</v>
      </c>
      <c r="F149">
        <v>1</v>
      </c>
      <c r="G149">
        <f t="shared" si="42"/>
        <v>125</v>
      </c>
      <c r="I149">
        <v>2150</v>
      </c>
      <c r="J149" t="s">
        <v>28</v>
      </c>
      <c r="K149">
        <f t="shared" si="43"/>
        <v>127.5</v>
      </c>
      <c r="L149" cm="1">
        <f t="array" ref="L149">STOWA2024_NDJF_T(A149*60,K149,I149,J149,"")</f>
        <v>24.058935157500354</v>
      </c>
      <c r="M149">
        <f t="shared" si="44"/>
        <v>4.1564599324681699E-2</v>
      </c>
    </row>
    <row r="150" spans="1:13" x14ac:dyDescent="0.3">
      <c r="A150">
        <v>216</v>
      </c>
      <c r="B150">
        <f t="shared" si="41"/>
        <v>1.2175526656922148E-2</v>
      </c>
      <c r="C150">
        <f t="shared" si="37"/>
        <v>1.2175526656922148E-2</v>
      </c>
      <c r="D150" t="s">
        <v>35</v>
      </c>
      <c r="E150" t="s">
        <v>19</v>
      </c>
      <c r="F150">
        <v>1</v>
      </c>
      <c r="G150">
        <f t="shared" si="42"/>
        <v>130</v>
      </c>
      <c r="I150">
        <v>2150</v>
      </c>
      <c r="J150" t="s">
        <v>28</v>
      </c>
      <c r="K150">
        <f t="shared" si="43"/>
        <v>132.5</v>
      </c>
      <c r="L150" cm="1">
        <f t="array" ref="L150">STOWA2024_NDJF_T(A150*60,K150,I150,J150,"")</f>
        <v>34.02625225045027</v>
      </c>
      <c r="M150">
        <f t="shared" si="44"/>
        <v>2.9389072667759551E-2</v>
      </c>
    </row>
    <row r="151" spans="1:13" x14ac:dyDescent="0.3">
      <c r="A151">
        <v>216</v>
      </c>
      <c r="B151">
        <f t="shared" si="41"/>
        <v>8.7691073209867909E-3</v>
      </c>
      <c r="C151">
        <f t="shared" si="37"/>
        <v>8.7691073209867909E-3</v>
      </c>
      <c r="D151" t="s">
        <v>35</v>
      </c>
      <c r="E151" t="s">
        <v>19</v>
      </c>
      <c r="F151">
        <v>1</v>
      </c>
      <c r="G151">
        <f t="shared" si="42"/>
        <v>135</v>
      </c>
      <c r="I151">
        <v>2150</v>
      </c>
      <c r="J151" t="s">
        <v>28</v>
      </c>
      <c r="K151">
        <f t="shared" si="43"/>
        <v>137.5</v>
      </c>
      <c r="L151" cm="1">
        <f t="array" ref="L151">STOWA2024_NDJF_T(A151*60,K151,I151,J151,"")</f>
        <v>48.496686739413477</v>
      </c>
      <c r="M151">
        <f t="shared" si="44"/>
        <v>2.061996534677276E-2</v>
      </c>
    </row>
    <row r="152" spans="1:13" x14ac:dyDescent="0.3">
      <c r="A152">
        <v>216</v>
      </c>
      <c r="B152">
        <f t="shared" si="41"/>
        <v>6.2692505125929669E-3</v>
      </c>
      <c r="C152">
        <f t="shared" si="37"/>
        <v>6.2692505125929669E-3</v>
      </c>
      <c r="D152" t="s">
        <v>35</v>
      </c>
      <c r="E152" t="s">
        <v>19</v>
      </c>
      <c r="F152">
        <v>1</v>
      </c>
      <c r="G152">
        <f t="shared" si="42"/>
        <v>140</v>
      </c>
      <c r="I152">
        <v>2150</v>
      </c>
      <c r="J152" t="s">
        <v>28</v>
      </c>
      <c r="K152">
        <f t="shared" si="43"/>
        <v>142.5</v>
      </c>
      <c r="L152" cm="1">
        <f t="array" ref="L152">STOWA2024_NDJF_T(A152*60,K152,I152,J152,"")</f>
        <v>69.682939947928688</v>
      </c>
      <c r="M152">
        <f t="shared" si="44"/>
        <v>1.4350714834179793E-2</v>
      </c>
    </row>
    <row r="153" spans="1:13" x14ac:dyDescent="0.3">
      <c r="A153">
        <v>216</v>
      </c>
      <c r="B153">
        <f t="shared" si="41"/>
        <v>4.4473846980697031E-3</v>
      </c>
      <c r="C153">
        <f t="shared" si="37"/>
        <v>4.4473846980697031E-3</v>
      </c>
      <c r="D153" t="s">
        <v>35</v>
      </c>
      <c r="E153" t="s">
        <v>19</v>
      </c>
      <c r="F153">
        <v>1</v>
      </c>
      <c r="G153">
        <f t="shared" si="42"/>
        <v>145</v>
      </c>
      <c r="I153">
        <v>2150</v>
      </c>
      <c r="J153" t="s">
        <v>28</v>
      </c>
      <c r="K153">
        <f t="shared" si="43"/>
        <v>147.5</v>
      </c>
      <c r="L153" cm="1">
        <f t="array" ref="L153">STOWA2024_NDJF_T(A153*60,K153,I153,J153,"")</f>
        <v>100.97613492190295</v>
      </c>
      <c r="M153">
        <f t="shared" si="44"/>
        <v>9.9033301361100903E-3</v>
      </c>
    </row>
    <row r="154" spans="1:13" x14ac:dyDescent="0.3">
      <c r="A154">
        <v>216</v>
      </c>
      <c r="B154">
        <f t="shared" si="41"/>
        <v>3.1294884415703668E-3</v>
      </c>
      <c r="C154">
        <f t="shared" si="37"/>
        <v>3.1294884415703668E-3</v>
      </c>
      <c r="D154" t="s">
        <v>35</v>
      </c>
      <c r="E154" t="s">
        <v>19</v>
      </c>
      <c r="F154">
        <v>1</v>
      </c>
      <c r="G154">
        <f t="shared" si="42"/>
        <v>150</v>
      </c>
      <c r="I154">
        <v>2150</v>
      </c>
      <c r="J154" t="s">
        <v>28</v>
      </c>
      <c r="K154">
        <f t="shared" si="43"/>
        <v>152.5</v>
      </c>
      <c r="L154" cm="1">
        <f t="array" ref="L154">STOWA2024_NDJF_T(A154*60,K154,I154,J154,"")</f>
        <v>147.62671539934018</v>
      </c>
      <c r="M154">
        <f t="shared" si="44"/>
        <v>6.7738416945397235E-3</v>
      </c>
    </row>
    <row r="155" spans="1:13" x14ac:dyDescent="0.3">
      <c r="A155">
        <v>216</v>
      </c>
      <c r="B155">
        <f t="shared" si="41"/>
        <v>2.1835175460388021E-3</v>
      </c>
      <c r="C155">
        <f t="shared" si="37"/>
        <v>2.1835175460388021E-3</v>
      </c>
      <c r="D155" t="s">
        <v>35</v>
      </c>
      <c r="E155" t="s">
        <v>19</v>
      </c>
      <c r="F155">
        <v>1</v>
      </c>
      <c r="G155">
        <f t="shared" si="42"/>
        <v>155</v>
      </c>
      <c r="I155">
        <v>2150</v>
      </c>
      <c r="J155" t="s">
        <v>28</v>
      </c>
      <c r="K155">
        <f t="shared" si="43"/>
        <v>157.5</v>
      </c>
      <c r="L155" cm="1">
        <f t="array" ref="L155">STOWA2024_NDJF_T(A155*60,K155,I155,J155,"")</f>
        <v>217.84953908463601</v>
      </c>
      <c r="M155">
        <f t="shared" si="44"/>
        <v>4.5903241485009214E-3</v>
      </c>
    </row>
    <row r="156" spans="1:13" x14ac:dyDescent="0.3">
      <c r="A156">
        <v>216</v>
      </c>
      <c r="B156" s="1">
        <f>M155</f>
        <v>4.5903241485009214E-3</v>
      </c>
      <c r="C156">
        <f t="shared" si="37"/>
        <v>4.5903241485009214E-3</v>
      </c>
      <c r="D156" t="s">
        <v>35</v>
      </c>
      <c r="E156" t="s">
        <v>19</v>
      </c>
      <c r="F156">
        <v>1</v>
      </c>
      <c r="G156">
        <f t="shared" si="42"/>
        <v>160</v>
      </c>
      <c r="I156">
        <v>2150</v>
      </c>
      <c r="J156" t="s">
        <v>28</v>
      </c>
      <c r="K156">
        <f>AVERAGE(G156:G157)</f>
        <v>160</v>
      </c>
      <c r="L156" cm="1">
        <f t="array" ref="L156">STOWA2024_NDJF_T(A156*60,K156,I156,J156,"")</f>
        <v>265.60207906645905</v>
      </c>
      <c r="M156">
        <f>1/L156</f>
        <v>3.7650307690166068E-3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56"/>
  <sheetViews>
    <sheetView topLeftCell="A130" workbookViewId="0">
      <selection activeCell="C151" sqref="C151"/>
    </sheetView>
  </sheetViews>
  <sheetFormatPr defaultRowHeight="14.4" x14ac:dyDescent="0.3"/>
  <cols>
    <col min="1" max="1" width="6" bestFit="1" customWidth="1"/>
    <col min="2" max="3" width="12.6640625" bestFit="1" customWidth="1"/>
    <col min="4" max="4" width="18"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339.10048391469746</v>
      </c>
      <c r="C2">
        <f>B2</f>
        <v>339.10048391469746</v>
      </c>
      <c r="D2" t="s">
        <v>36</v>
      </c>
      <c r="E2" t="s">
        <v>21</v>
      </c>
      <c r="F2">
        <v>1</v>
      </c>
      <c r="G2">
        <v>10</v>
      </c>
      <c r="I2">
        <v>2150</v>
      </c>
      <c r="J2" t="s">
        <v>31</v>
      </c>
      <c r="K2">
        <f>AVERAGE(G2:G4)</f>
        <v>15</v>
      </c>
      <c r="L2" cm="1">
        <f t="array" ref="L2">STOWA2024_JAARROND_T(A2*60,K2,I2,J2,"")</f>
        <v>3.8241625456390579E-2</v>
      </c>
      <c r="M2">
        <f>1/L2</f>
        <v>26.149516085302526</v>
      </c>
    </row>
    <row r="3" spans="1:13" x14ac:dyDescent="0.3">
      <c r="A3">
        <v>24</v>
      </c>
      <c r="B3">
        <f t="shared" ref="B3:B7" si="0">M2-M3</f>
        <v>6.7831272476648934</v>
      </c>
      <c r="C3">
        <f t="shared" ref="C3:C32" si="1">B3</f>
        <v>6.7831272476648934</v>
      </c>
      <c r="D3" t="s">
        <v>36</v>
      </c>
      <c r="E3" t="s">
        <v>21</v>
      </c>
      <c r="F3">
        <v>1</v>
      </c>
      <c r="G3">
        <f t="shared" ref="G3:G7" si="2">G2+5</f>
        <v>15</v>
      </c>
      <c r="I3">
        <v>2150</v>
      </c>
      <c r="J3" t="s">
        <v>31</v>
      </c>
      <c r="K3">
        <f t="shared" ref="K3:K7" si="3">AVERAGE(G3:G4)</f>
        <v>17.5</v>
      </c>
      <c r="L3" cm="1">
        <f t="array" ref="L3">STOWA2024_JAARROND_T(A3*60,K3,I3,J3,"")</f>
        <v>5.1635852630230614E-2</v>
      </c>
      <c r="M3">
        <f t="shared" ref="M3:M7" si="4">1/L3</f>
        <v>19.366388837637633</v>
      </c>
    </row>
    <row r="4" spans="1:13" x14ac:dyDescent="0.3">
      <c r="A4">
        <v>24</v>
      </c>
      <c r="B4">
        <f t="shared" si="0"/>
        <v>8.3676134590235218</v>
      </c>
      <c r="C4">
        <f t="shared" si="1"/>
        <v>8.3676134590235218</v>
      </c>
      <c r="D4" t="s">
        <v>36</v>
      </c>
      <c r="E4" t="s">
        <v>21</v>
      </c>
      <c r="F4">
        <v>1</v>
      </c>
      <c r="G4">
        <f t="shared" si="2"/>
        <v>20</v>
      </c>
      <c r="I4">
        <v>2150</v>
      </c>
      <c r="J4" t="s">
        <v>31</v>
      </c>
      <c r="K4">
        <f t="shared" si="3"/>
        <v>22.5</v>
      </c>
      <c r="L4" cm="1">
        <f t="array" ref="L4">STOWA2024_JAARROND_T(A4*60,K4,I4,J4,"")</f>
        <v>9.0919212873861233E-2</v>
      </c>
      <c r="M4">
        <f t="shared" si="4"/>
        <v>10.998775378614111</v>
      </c>
    </row>
    <row r="5" spans="1:13" x14ac:dyDescent="0.3">
      <c r="A5">
        <v>24</v>
      </c>
      <c r="B5">
        <f t="shared" si="0"/>
        <v>4.4914759079441318</v>
      </c>
      <c r="C5">
        <f t="shared" si="1"/>
        <v>4.4914759079441318</v>
      </c>
      <c r="D5" t="s">
        <v>36</v>
      </c>
      <c r="E5" t="s">
        <v>21</v>
      </c>
      <c r="F5">
        <v>1</v>
      </c>
      <c r="G5">
        <f t="shared" si="2"/>
        <v>25</v>
      </c>
      <c r="I5">
        <v>2150</v>
      </c>
      <c r="J5" t="s">
        <v>31</v>
      </c>
      <c r="K5">
        <f t="shared" si="3"/>
        <v>27.5</v>
      </c>
      <c r="L5" cm="1">
        <f t="array" ref="L5">STOWA2024_JAARROND_T(A5*60,K5,I5,J5,"")</f>
        <v>0.15367357911023602</v>
      </c>
      <c r="M5">
        <f t="shared" si="4"/>
        <v>6.5072994706699792</v>
      </c>
    </row>
    <row r="6" spans="1:13" x14ac:dyDescent="0.3">
      <c r="A6">
        <v>24</v>
      </c>
      <c r="B6">
        <f t="shared" si="0"/>
        <v>2.5187880234136508</v>
      </c>
      <c r="C6">
        <f t="shared" si="1"/>
        <v>2.5187880234136508</v>
      </c>
      <c r="D6" t="s">
        <v>36</v>
      </c>
      <c r="E6" t="s">
        <v>21</v>
      </c>
      <c r="F6">
        <v>1</v>
      </c>
      <c r="G6">
        <f t="shared" si="2"/>
        <v>30</v>
      </c>
      <c r="I6">
        <v>2150</v>
      </c>
      <c r="J6" t="s">
        <v>31</v>
      </c>
      <c r="K6">
        <f t="shared" si="3"/>
        <v>32.5</v>
      </c>
      <c r="L6" cm="1">
        <f t="array" ref="L6">STOWA2024_JAARROND_T(A6*60,K6,I6,J6,"")</f>
        <v>0.25072010278117507</v>
      </c>
      <c r="M6">
        <f t="shared" si="4"/>
        <v>3.9885114472563283</v>
      </c>
    </row>
    <row r="7" spans="1:13" x14ac:dyDescent="0.3">
      <c r="A7">
        <v>24</v>
      </c>
      <c r="B7">
        <f t="shared" si="0"/>
        <v>1.4671417257058268</v>
      </c>
      <c r="C7">
        <f t="shared" si="1"/>
        <v>1.4671417257058268</v>
      </c>
      <c r="D7" t="s">
        <v>36</v>
      </c>
      <c r="E7" t="s">
        <v>21</v>
      </c>
      <c r="F7">
        <v>1</v>
      </c>
      <c r="G7">
        <f t="shared" si="2"/>
        <v>35</v>
      </c>
      <c r="I7">
        <v>2150</v>
      </c>
      <c r="J7" t="s">
        <v>31</v>
      </c>
      <c r="K7">
        <f t="shared" si="3"/>
        <v>37.5</v>
      </c>
      <c r="L7" cm="1">
        <f t="array" ref="L7">STOWA2024_JAARROND_T(A7*60,K7,I7,J7,"")</f>
        <v>0.3966098234038663</v>
      </c>
      <c r="M7">
        <f t="shared" si="4"/>
        <v>2.5213697215505015</v>
      </c>
    </row>
    <row r="8" spans="1:13" x14ac:dyDescent="0.3">
      <c r="A8">
        <v>24</v>
      </c>
      <c r="B8">
        <f>M7-M8</f>
        <v>0.88346776179126385</v>
      </c>
      <c r="C8">
        <f t="shared" si="1"/>
        <v>0.88346776179126385</v>
      </c>
      <c r="D8" t="s">
        <v>36</v>
      </c>
      <c r="E8" t="s">
        <v>21</v>
      </c>
      <c r="F8">
        <v>1</v>
      </c>
      <c r="G8">
        <f>G7+5</f>
        <v>40</v>
      </c>
      <c r="I8">
        <v>2150</v>
      </c>
      <c r="J8" t="s">
        <v>31</v>
      </c>
      <c r="K8">
        <f>AVERAGE(G8:G9)</f>
        <v>42.5</v>
      </c>
      <c r="L8" cm="1">
        <f t="array" ref="L8">STOWA2024_JAARROND_T(A8*60,K8,I8,J8,"")</f>
        <v>0.61053715336355929</v>
      </c>
      <c r="M8">
        <f>1/L8</f>
        <v>1.6379019597592377</v>
      </c>
    </row>
    <row r="9" spans="1:13" x14ac:dyDescent="0.3">
      <c r="A9">
        <v>24</v>
      </c>
      <c r="B9">
        <f t="shared" ref="B9:B31" si="5">M8-M9</f>
        <v>0.5478714517528438</v>
      </c>
      <c r="C9">
        <f t="shared" si="1"/>
        <v>0.5478714517528438</v>
      </c>
      <c r="D9" t="s">
        <v>36</v>
      </c>
      <c r="E9" t="s">
        <v>21</v>
      </c>
      <c r="F9">
        <v>1</v>
      </c>
      <c r="G9">
        <f t="shared" ref="G9:G32" si="6">G8+5</f>
        <v>45</v>
      </c>
      <c r="I9">
        <v>2150</v>
      </c>
      <c r="J9" t="s">
        <v>31</v>
      </c>
      <c r="K9">
        <f t="shared" ref="K9:K31" si="7">AVERAGE(G9:G10)</f>
        <v>47.5</v>
      </c>
      <c r="L9" cm="1">
        <f t="array" ref="L9">STOWA2024_JAARROND_T(A9*60,K9,I9,J9,"")</f>
        <v>0.9174055154006151</v>
      </c>
      <c r="M9">
        <f t="shared" ref="M9:M31" si="8">1/L9</f>
        <v>1.0900305080063939</v>
      </c>
    </row>
    <row r="10" spans="1:13" x14ac:dyDescent="0.3">
      <c r="A10">
        <v>24</v>
      </c>
      <c r="B10">
        <f t="shared" si="5"/>
        <v>0.3486673390642282</v>
      </c>
      <c r="C10">
        <f t="shared" si="1"/>
        <v>0.3486673390642282</v>
      </c>
      <c r="D10" t="s">
        <v>36</v>
      </c>
      <c r="E10" t="s">
        <v>21</v>
      </c>
      <c r="F10">
        <v>1</v>
      </c>
      <c r="G10">
        <f t="shared" si="6"/>
        <v>50</v>
      </c>
      <c r="I10">
        <v>2150</v>
      </c>
      <c r="J10" t="s">
        <v>31</v>
      </c>
      <c r="K10">
        <f t="shared" si="7"/>
        <v>52.5</v>
      </c>
      <c r="L10" cm="1">
        <f t="array" ref="L10">STOWA2024_JAARROND_T(A10*60,K10,I10,J10,"")</f>
        <v>1.3488665769934016</v>
      </c>
      <c r="M10">
        <f t="shared" si="8"/>
        <v>0.7413631689421657</v>
      </c>
    </row>
    <row r="11" spans="1:13" x14ac:dyDescent="0.3">
      <c r="A11">
        <v>24</v>
      </c>
      <c r="B11">
        <f t="shared" si="5"/>
        <v>0.22731300667980014</v>
      </c>
      <c r="C11">
        <f t="shared" si="1"/>
        <v>0.22731300667980014</v>
      </c>
      <c r="D11" t="s">
        <v>36</v>
      </c>
      <c r="E11" t="s">
        <v>21</v>
      </c>
      <c r="F11">
        <v>1</v>
      </c>
      <c r="G11">
        <f t="shared" si="6"/>
        <v>55</v>
      </c>
      <c r="I11">
        <v>2150</v>
      </c>
      <c r="J11" t="s">
        <v>31</v>
      </c>
      <c r="K11">
        <f t="shared" si="7"/>
        <v>57.5</v>
      </c>
      <c r="L11" cm="1">
        <f t="array" ref="L11">STOWA2024_JAARROND_T(A11*60,K11,I11,J11,"")</f>
        <v>1.9453354427492835</v>
      </c>
      <c r="M11">
        <f t="shared" si="8"/>
        <v>0.51405016226236555</v>
      </c>
    </row>
    <row r="12" spans="1:13" x14ac:dyDescent="0.3">
      <c r="A12">
        <v>24</v>
      </c>
      <c r="B12">
        <f t="shared" si="5"/>
        <v>0.15130121064375562</v>
      </c>
      <c r="C12">
        <f t="shared" si="1"/>
        <v>0.15130121064375562</v>
      </c>
      <c r="D12" t="s">
        <v>36</v>
      </c>
      <c r="E12" t="s">
        <v>21</v>
      </c>
      <c r="F12">
        <v>1</v>
      </c>
      <c r="G12">
        <f t="shared" si="6"/>
        <v>60</v>
      </c>
      <c r="I12">
        <v>2150</v>
      </c>
      <c r="J12" t="s">
        <v>31</v>
      </c>
      <c r="K12">
        <f t="shared" si="7"/>
        <v>62.5</v>
      </c>
      <c r="L12" cm="1">
        <f t="array" ref="L12">STOWA2024_JAARROND_T(A12*60,K12,I12,J12,"")</f>
        <v>2.756727470990429</v>
      </c>
      <c r="M12">
        <f t="shared" si="8"/>
        <v>0.36274895161860993</v>
      </c>
    </row>
    <row r="13" spans="1:13" x14ac:dyDescent="0.3">
      <c r="A13">
        <v>24</v>
      </c>
      <c r="B13">
        <f t="shared" si="5"/>
        <v>0.10265304422371019</v>
      </c>
      <c r="C13">
        <f t="shared" si="1"/>
        <v>0.10265304422371019</v>
      </c>
      <c r="D13" t="s">
        <v>36</v>
      </c>
      <c r="E13" t="s">
        <v>21</v>
      </c>
      <c r="F13">
        <v>1</v>
      </c>
      <c r="G13">
        <f t="shared" si="6"/>
        <v>65</v>
      </c>
      <c r="I13">
        <v>2150</v>
      </c>
      <c r="J13" t="s">
        <v>31</v>
      </c>
      <c r="K13">
        <f t="shared" si="7"/>
        <v>67.5</v>
      </c>
      <c r="L13" cm="1">
        <f t="array" ref="L13">STOWA2024_JAARROND_T(A13*60,K13,I13,J13,"")</f>
        <v>3.8447356208558676</v>
      </c>
      <c r="M13">
        <f t="shared" si="8"/>
        <v>0.26009590739489974</v>
      </c>
    </row>
    <row r="14" spans="1:13" x14ac:dyDescent="0.3">
      <c r="A14">
        <v>24</v>
      </c>
      <c r="B14">
        <f t="shared" si="5"/>
        <v>7.0866573484094142E-2</v>
      </c>
      <c r="C14">
        <f t="shared" si="1"/>
        <v>7.0866573484094142E-2</v>
      </c>
      <c r="D14" t="s">
        <v>36</v>
      </c>
      <c r="E14" t="s">
        <v>21</v>
      </c>
      <c r="F14">
        <v>1</v>
      </c>
      <c r="G14">
        <f t="shared" si="6"/>
        <v>70</v>
      </c>
      <c r="I14">
        <v>2150</v>
      </c>
      <c r="J14" t="s">
        <v>31</v>
      </c>
      <c r="K14">
        <f t="shared" si="7"/>
        <v>72.5</v>
      </c>
      <c r="L14" cm="1">
        <f t="array" ref="L14">STOWA2024_JAARROND_T(A14*60,K14,I14,J14,"")</f>
        <v>5.2845929292937006</v>
      </c>
      <c r="M14">
        <f t="shared" si="8"/>
        <v>0.1892293339108056</v>
      </c>
    </row>
    <row r="15" spans="1:13" x14ac:dyDescent="0.3">
      <c r="A15">
        <v>24</v>
      </c>
      <c r="B15">
        <f t="shared" si="5"/>
        <v>4.9709823248303281E-2</v>
      </c>
      <c r="C15">
        <f t="shared" si="1"/>
        <v>4.9709823248303281E-2</v>
      </c>
      <c r="D15" t="s">
        <v>36</v>
      </c>
      <c r="E15" t="s">
        <v>21</v>
      </c>
      <c r="F15">
        <v>1</v>
      </c>
      <c r="G15">
        <f t="shared" si="6"/>
        <v>75</v>
      </c>
      <c r="I15">
        <v>2150</v>
      </c>
      <c r="J15" t="s">
        <v>31</v>
      </c>
      <c r="K15">
        <f t="shared" si="7"/>
        <v>77.5</v>
      </c>
      <c r="L15" cm="1">
        <f t="array" ref="L15">STOWA2024_JAARROND_T(A15*60,K15,I15,J15,"")</f>
        <v>7.1674563310288546</v>
      </c>
      <c r="M15">
        <f t="shared" si="8"/>
        <v>0.13951951066250232</v>
      </c>
    </row>
    <row r="16" spans="1:13" x14ac:dyDescent="0.3">
      <c r="A16">
        <v>24</v>
      </c>
      <c r="B16">
        <f t="shared" si="5"/>
        <v>3.5380729233632197E-2</v>
      </c>
      <c r="C16">
        <f t="shared" si="1"/>
        <v>3.5380729233632197E-2</v>
      </c>
      <c r="D16" t="s">
        <v>36</v>
      </c>
      <c r="E16" t="s">
        <v>21</v>
      </c>
      <c r="F16">
        <v>1</v>
      </c>
      <c r="G16">
        <f t="shared" si="6"/>
        <v>80</v>
      </c>
      <c r="I16">
        <v>2150</v>
      </c>
      <c r="J16" t="s">
        <v>31</v>
      </c>
      <c r="K16">
        <f t="shared" si="7"/>
        <v>82.5</v>
      </c>
      <c r="L16" cm="1">
        <f t="array" ref="L16">STOWA2024_JAARROND_T(A16*60,K16,I16,J16,"")</f>
        <v>9.6025705916583028</v>
      </c>
      <c r="M16">
        <f t="shared" si="8"/>
        <v>0.10413878142887012</v>
      </c>
    </row>
    <row r="17" spans="1:13" x14ac:dyDescent="0.3">
      <c r="A17">
        <v>24</v>
      </c>
      <c r="B17">
        <f t="shared" si="5"/>
        <v>2.5525146426824671E-2</v>
      </c>
      <c r="C17">
        <f t="shared" si="1"/>
        <v>2.5525146426824671E-2</v>
      </c>
      <c r="D17" t="s">
        <v>36</v>
      </c>
      <c r="E17" t="s">
        <v>21</v>
      </c>
      <c r="F17">
        <v>1</v>
      </c>
      <c r="G17">
        <f t="shared" si="6"/>
        <v>85</v>
      </c>
      <c r="I17">
        <v>2150</v>
      </c>
      <c r="J17" t="s">
        <v>31</v>
      </c>
      <c r="K17">
        <f t="shared" si="7"/>
        <v>87.5</v>
      </c>
      <c r="L17" cm="1">
        <f t="array" ref="L17">STOWA2024_JAARROND_T(A17*60,K17,I17,J17,"")</f>
        <v>12.7204396536807</v>
      </c>
      <c r="M17">
        <f t="shared" si="8"/>
        <v>7.8613635002045448E-2</v>
      </c>
    </row>
    <row r="18" spans="1:13" x14ac:dyDescent="0.3">
      <c r="A18">
        <v>24</v>
      </c>
      <c r="B18">
        <f t="shared" si="5"/>
        <v>1.8644012796175218E-2</v>
      </c>
      <c r="C18">
        <f t="shared" si="1"/>
        <v>1.8644012796175218E-2</v>
      </c>
      <c r="D18" t="s">
        <v>36</v>
      </c>
      <c r="E18" t="s">
        <v>21</v>
      </c>
      <c r="F18">
        <v>1</v>
      </c>
      <c r="G18">
        <f t="shared" si="6"/>
        <v>90</v>
      </c>
      <c r="I18">
        <v>2150</v>
      </c>
      <c r="J18" t="s">
        <v>31</v>
      </c>
      <c r="K18">
        <f t="shared" si="7"/>
        <v>92.5</v>
      </c>
      <c r="L18" cm="1">
        <f t="array" ref="L18">STOWA2024_JAARROND_T(A18*60,K18,I18,J18,"")</f>
        <v>16.675109217248217</v>
      </c>
      <c r="M18">
        <f t="shared" si="8"/>
        <v>5.9969622205870231E-2</v>
      </c>
    </row>
    <row r="19" spans="1:13" x14ac:dyDescent="0.3">
      <c r="A19">
        <v>24</v>
      </c>
      <c r="B19">
        <f t="shared" si="5"/>
        <v>1.3775098644184983E-2</v>
      </c>
      <c r="C19">
        <f t="shared" si="1"/>
        <v>1.3775098644184983E-2</v>
      </c>
      <c r="D19" t="s">
        <v>36</v>
      </c>
      <c r="E19" t="s">
        <v>21</v>
      </c>
      <c r="F19">
        <v>1</v>
      </c>
      <c r="G19">
        <f t="shared" si="6"/>
        <v>95</v>
      </c>
      <c r="I19">
        <v>2150</v>
      </c>
      <c r="J19" t="s">
        <v>31</v>
      </c>
      <c r="K19">
        <f t="shared" si="7"/>
        <v>97.5</v>
      </c>
      <c r="L19" cm="1">
        <f t="array" ref="L19">STOWA2024_JAARROND_T(A19*60,K19,I19,J19,"")</f>
        <v>21.64758769867305</v>
      </c>
      <c r="M19">
        <f t="shared" si="8"/>
        <v>4.6194523561685248E-2</v>
      </c>
    </row>
    <row r="20" spans="1:13" x14ac:dyDescent="0.3">
      <c r="A20">
        <v>24</v>
      </c>
      <c r="B20">
        <f t="shared" si="5"/>
        <v>1.0287610229041455E-2</v>
      </c>
      <c r="C20">
        <f t="shared" si="1"/>
        <v>1.0287610229041455E-2</v>
      </c>
      <c r="D20" t="s">
        <v>36</v>
      </c>
      <c r="E20" t="s">
        <v>21</v>
      </c>
      <c r="F20">
        <v>1</v>
      </c>
      <c r="G20">
        <f t="shared" si="6"/>
        <v>100</v>
      </c>
      <c r="I20">
        <v>2150</v>
      </c>
      <c r="J20" t="s">
        <v>31</v>
      </c>
      <c r="K20">
        <f t="shared" si="7"/>
        <v>102.5</v>
      </c>
      <c r="L20" cm="1">
        <f t="array" ref="L20">STOWA2024_JAARROND_T(A20*60,K20,I20,J20,"")</f>
        <v>27.849790115233247</v>
      </c>
      <c r="M20">
        <f t="shared" si="8"/>
        <v>3.5906913332643793E-2</v>
      </c>
    </row>
    <row r="21" spans="1:13" x14ac:dyDescent="0.3">
      <c r="A21">
        <v>24</v>
      </c>
      <c r="B21">
        <f t="shared" si="5"/>
        <v>7.7599977745994551E-3</v>
      </c>
      <c r="C21">
        <f t="shared" si="1"/>
        <v>7.7599977745994551E-3</v>
      </c>
      <c r="D21" t="s">
        <v>36</v>
      </c>
      <c r="E21" t="s">
        <v>21</v>
      </c>
      <c r="F21">
        <v>1</v>
      </c>
      <c r="G21">
        <f t="shared" si="6"/>
        <v>105</v>
      </c>
      <c r="I21">
        <v>2150</v>
      </c>
      <c r="J21" t="s">
        <v>31</v>
      </c>
      <c r="K21">
        <f t="shared" si="7"/>
        <v>107.5</v>
      </c>
      <c r="L21" cm="1">
        <f t="array" ref="L21">STOWA2024_JAARROND_T(A21*60,K21,I21,J21,"")</f>
        <v>35.527871533127964</v>
      </c>
      <c r="M21">
        <f t="shared" si="8"/>
        <v>2.8146915558044338E-2</v>
      </c>
    </row>
    <row r="22" spans="1:13" x14ac:dyDescent="0.3">
      <c r="A22">
        <v>24</v>
      </c>
      <c r="B22">
        <f t="shared" si="5"/>
        <v>5.9083482455466393E-3</v>
      </c>
      <c r="C22">
        <f t="shared" si="1"/>
        <v>5.9083482455466393E-3</v>
      </c>
      <c r="D22" t="s">
        <v>36</v>
      </c>
      <c r="E22" t="s">
        <v>21</v>
      </c>
      <c r="F22">
        <v>1</v>
      </c>
      <c r="G22">
        <f t="shared" si="6"/>
        <v>110</v>
      </c>
      <c r="I22">
        <v>2150</v>
      </c>
      <c r="J22" t="s">
        <v>31</v>
      </c>
      <c r="K22">
        <f t="shared" si="7"/>
        <v>112.5</v>
      </c>
      <c r="L22" cm="1">
        <f t="array" ref="L22">STOWA2024_JAARROND_T(A22*60,K22,I22,J22,"")</f>
        <v>44.966925519433843</v>
      </c>
      <c r="M22">
        <f t="shared" si="8"/>
        <v>2.2238567312497699E-2</v>
      </c>
    </row>
    <row r="23" spans="1:13" x14ac:dyDescent="0.3">
      <c r="A23">
        <v>24</v>
      </c>
      <c r="B23">
        <f t="shared" si="5"/>
        <v>4.5375002481467218E-3</v>
      </c>
      <c r="C23">
        <f t="shared" si="1"/>
        <v>4.5375002481467218E-3</v>
      </c>
      <c r="D23" t="s">
        <v>36</v>
      </c>
      <c r="E23" t="s">
        <v>21</v>
      </c>
      <c r="F23">
        <v>1</v>
      </c>
      <c r="G23">
        <f t="shared" si="6"/>
        <v>115</v>
      </c>
      <c r="I23">
        <v>2150</v>
      </c>
      <c r="J23" t="s">
        <v>31</v>
      </c>
      <c r="K23">
        <f t="shared" si="7"/>
        <v>117.5</v>
      </c>
      <c r="L23" cm="1">
        <f t="array" ref="L23">STOWA2024_JAARROND_T(A23*60,K23,I23,J23,"")</f>
        <v>56.493769350998484</v>
      </c>
      <c r="M23">
        <f t="shared" si="8"/>
        <v>1.7701067064350977E-2</v>
      </c>
    </row>
    <row r="24" spans="1:13" x14ac:dyDescent="0.3">
      <c r="A24">
        <v>24</v>
      </c>
      <c r="B24">
        <f t="shared" si="5"/>
        <v>3.5134693192632963E-3</v>
      </c>
      <c r="C24">
        <f t="shared" si="1"/>
        <v>3.5134693192632963E-3</v>
      </c>
      <c r="D24" t="s">
        <v>36</v>
      </c>
      <c r="E24" t="s">
        <v>21</v>
      </c>
      <c r="F24">
        <v>1</v>
      </c>
      <c r="G24">
        <f t="shared" si="6"/>
        <v>120</v>
      </c>
      <c r="I24">
        <v>2150</v>
      </c>
      <c r="J24" t="s">
        <v>31</v>
      </c>
      <c r="K24">
        <f t="shared" si="7"/>
        <v>122.5</v>
      </c>
      <c r="L24" cm="1">
        <f t="array" ref="L24">STOWA2024_JAARROND_T(A24*60,K24,I24,J24,"")</f>
        <v>70.484095896096321</v>
      </c>
      <c r="M24">
        <f t="shared" si="8"/>
        <v>1.418759774508768E-2</v>
      </c>
    </row>
    <row r="25" spans="1:13" x14ac:dyDescent="0.3">
      <c r="A25">
        <v>24</v>
      </c>
      <c r="B25">
        <f t="shared" si="5"/>
        <v>2.7415164095846902E-3</v>
      </c>
      <c r="C25">
        <f t="shared" si="1"/>
        <v>2.7415164095846902E-3</v>
      </c>
      <c r="D25" t="s">
        <v>36</v>
      </c>
      <c r="E25" t="s">
        <v>21</v>
      </c>
      <c r="F25">
        <v>1</v>
      </c>
      <c r="G25">
        <f t="shared" si="6"/>
        <v>125</v>
      </c>
      <c r="I25">
        <v>2150</v>
      </c>
      <c r="J25" t="s">
        <v>31</v>
      </c>
      <c r="K25">
        <f t="shared" si="7"/>
        <v>127.5</v>
      </c>
      <c r="L25" cm="1">
        <f t="array" ref="L25">STOWA2024_JAARROND_T(A25*60,K25,I25,J25,"")</f>
        <v>87.366144856776501</v>
      </c>
      <c r="M25">
        <f t="shared" si="8"/>
        <v>1.144608133550299E-2</v>
      </c>
    </row>
    <row r="26" spans="1:13" x14ac:dyDescent="0.3">
      <c r="A26">
        <v>24</v>
      </c>
      <c r="B26">
        <f t="shared" si="5"/>
        <v>2.1546966101182903E-3</v>
      </c>
      <c r="C26">
        <f t="shared" si="1"/>
        <v>2.1546966101182903E-3</v>
      </c>
      <c r="D26" t="s">
        <v>36</v>
      </c>
      <c r="E26" t="s">
        <v>21</v>
      </c>
      <c r="F26">
        <v>1</v>
      </c>
      <c r="G26">
        <f t="shared" si="6"/>
        <v>130</v>
      </c>
      <c r="I26">
        <v>2150</v>
      </c>
      <c r="J26" t="s">
        <v>31</v>
      </c>
      <c r="K26">
        <f t="shared" si="7"/>
        <v>132.5</v>
      </c>
      <c r="L26" cm="1">
        <f t="array" ref="L26">STOWA2024_JAARROND_T(A26*60,K26,I26,J26,"")</f>
        <v>107.62658414820898</v>
      </c>
      <c r="M26">
        <f t="shared" si="8"/>
        <v>9.2913847253847E-3</v>
      </c>
    </row>
    <row r="27" spans="1:13" x14ac:dyDescent="0.3">
      <c r="A27">
        <v>24</v>
      </c>
      <c r="B27">
        <f t="shared" si="5"/>
        <v>1.7050769396505612E-3</v>
      </c>
      <c r="C27">
        <f t="shared" si="1"/>
        <v>1.7050769396505612E-3</v>
      </c>
      <c r="D27" t="s">
        <v>36</v>
      </c>
      <c r="E27" t="s">
        <v>21</v>
      </c>
      <c r="F27">
        <v>1</v>
      </c>
      <c r="G27">
        <f t="shared" si="6"/>
        <v>135</v>
      </c>
      <c r="I27">
        <v>2150</v>
      </c>
      <c r="J27" t="s">
        <v>31</v>
      </c>
      <c r="K27">
        <f t="shared" si="7"/>
        <v>137.5</v>
      </c>
      <c r="L27" cm="1">
        <f t="array" ref="L27">STOWA2024_JAARROND_T(A27*60,K27,I27,J27,"")</f>
        <v>131.81642878772661</v>
      </c>
      <c r="M27">
        <f t="shared" si="8"/>
        <v>7.5863077857341388E-3</v>
      </c>
    </row>
    <row r="28" spans="1:13" x14ac:dyDescent="0.3">
      <c r="A28">
        <v>24</v>
      </c>
      <c r="B28">
        <f t="shared" si="5"/>
        <v>1.3580042241356487E-3</v>
      </c>
      <c r="C28">
        <f t="shared" si="1"/>
        <v>1.3580042241356487E-3</v>
      </c>
      <c r="D28" t="s">
        <v>36</v>
      </c>
      <c r="E28" t="s">
        <v>21</v>
      </c>
      <c r="F28">
        <v>1</v>
      </c>
      <c r="G28">
        <f t="shared" si="6"/>
        <v>140</v>
      </c>
      <c r="I28">
        <v>2150</v>
      </c>
      <c r="J28" t="s">
        <v>31</v>
      </c>
      <c r="K28">
        <f t="shared" si="7"/>
        <v>142.5</v>
      </c>
      <c r="L28" cm="1">
        <f t="array" ref="L28">STOWA2024_JAARROND_T(A28*60,K28,I28,J28,"")</f>
        <v>160.5573636721314</v>
      </c>
      <c r="M28">
        <f t="shared" si="8"/>
        <v>6.2283035615984901E-3</v>
      </c>
    </row>
    <row r="29" spans="1:13" x14ac:dyDescent="0.3">
      <c r="A29">
        <v>24</v>
      </c>
      <c r="B29">
        <f t="shared" si="5"/>
        <v>1.0881598947384396E-3</v>
      </c>
      <c r="C29">
        <f t="shared" si="1"/>
        <v>1.0881598947384396E-3</v>
      </c>
      <c r="D29" t="s">
        <v>36</v>
      </c>
      <c r="E29" t="s">
        <v>21</v>
      </c>
      <c r="F29">
        <v>1</v>
      </c>
      <c r="G29">
        <f t="shared" si="6"/>
        <v>145</v>
      </c>
      <c r="I29">
        <v>2150</v>
      </c>
      <c r="J29" t="s">
        <v>31</v>
      </c>
      <c r="K29">
        <f t="shared" si="7"/>
        <v>147.5</v>
      </c>
      <c r="L29" cm="1">
        <f t="array" ref="L29">STOWA2024_JAARROND_T(A29*60,K29,I29,J29,"")</f>
        <v>194.54709144557199</v>
      </c>
      <c r="M29">
        <f t="shared" si="8"/>
        <v>5.1401436668600505E-3</v>
      </c>
    </row>
    <row r="30" spans="1:13" x14ac:dyDescent="0.3">
      <c r="A30">
        <v>24</v>
      </c>
      <c r="B30">
        <f t="shared" si="5"/>
        <v>8.7705868407958552E-4</v>
      </c>
      <c r="C30">
        <f t="shared" si="1"/>
        <v>8.7705868407958552E-4</v>
      </c>
      <c r="D30" t="s">
        <v>36</v>
      </c>
      <c r="E30" t="s">
        <v>21</v>
      </c>
      <c r="F30">
        <v>1</v>
      </c>
      <c r="G30">
        <f t="shared" si="6"/>
        <v>150</v>
      </c>
      <c r="I30">
        <v>2150</v>
      </c>
      <c r="J30" t="s">
        <v>31</v>
      </c>
      <c r="K30">
        <f t="shared" si="7"/>
        <v>152.5</v>
      </c>
      <c r="L30" cm="1">
        <f t="array" ref="L30">STOWA2024_JAARROND_T(A30*60,K30,I30,J30,"")</f>
        <v>234.57191307215766</v>
      </c>
      <c r="M30">
        <f t="shared" si="8"/>
        <v>4.263084982780465E-3</v>
      </c>
    </row>
    <row r="31" spans="1:13" x14ac:dyDescent="0.3">
      <c r="A31">
        <v>24</v>
      </c>
      <c r="B31">
        <f t="shared" si="5"/>
        <v>7.1076908840955483E-4</v>
      </c>
      <c r="C31">
        <f t="shared" si="1"/>
        <v>7.1076908840955483E-4</v>
      </c>
      <c r="D31" t="s">
        <v>36</v>
      </c>
      <c r="E31" t="s">
        <v>21</v>
      </c>
      <c r="F31">
        <v>1</v>
      </c>
      <c r="G31">
        <f t="shared" si="6"/>
        <v>155</v>
      </c>
      <c r="I31">
        <v>2150</v>
      </c>
      <c r="J31" t="s">
        <v>31</v>
      </c>
      <c r="K31">
        <f t="shared" si="7"/>
        <v>157.5</v>
      </c>
      <c r="L31" cm="1">
        <f t="array" ref="L31">STOWA2024_JAARROND_T(A31*60,K31,I31,J31,"")</f>
        <v>281.50649596918601</v>
      </c>
      <c r="M31">
        <f t="shared" si="8"/>
        <v>3.5523158943709101E-3</v>
      </c>
    </row>
    <row r="32" spans="1:13" x14ac:dyDescent="0.3">
      <c r="A32">
        <v>24</v>
      </c>
      <c r="B32" s="1">
        <f>M31</f>
        <v>3.5523158943709101E-3</v>
      </c>
      <c r="C32">
        <f t="shared" si="1"/>
        <v>3.5523158943709101E-3</v>
      </c>
      <c r="D32" t="s">
        <v>36</v>
      </c>
      <c r="E32" t="s">
        <v>21</v>
      </c>
      <c r="F32">
        <v>1</v>
      </c>
      <c r="G32">
        <f t="shared" si="6"/>
        <v>160</v>
      </c>
      <c r="I32">
        <v>2150</v>
      </c>
      <c r="J32" t="s">
        <v>31</v>
      </c>
      <c r="K32">
        <f>AVERAGE(G32:G33)</f>
        <v>85</v>
      </c>
      <c r="L32" cm="1">
        <f t="array" ref="L32">STOWA2024_JAARROND_T(A32*60,K32,I32,J32,"")</f>
        <v>11.067134557677988</v>
      </c>
      <c r="M32">
        <f>1/L32</f>
        <v>9.0357625525230037E-2</v>
      </c>
    </row>
    <row r="33" spans="1:13" x14ac:dyDescent="0.3">
      <c r="A33">
        <v>48</v>
      </c>
      <c r="B33" s="1">
        <f>365.25*24/A33 - M33</f>
        <v>144.85384262857752</v>
      </c>
      <c r="C33">
        <f>B33</f>
        <v>144.85384262857752</v>
      </c>
      <c r="D33" t="s">
        <v>36</v>
      </c>
      <c r="E33" t="s">
        <v>21</v>
      </c>
      <c r="F33">
        <v>1</v>
      </c>
      <c r="G33">
        <v>10</v>
      </c>
      <c r="I33">
        <v>2150</v>
      </c>
      <c r="J33" t="s">
        <v>31</v>
      </c>
      <c r="K33">
        <f>AVERAGE(G33:G35)</f>
        <v>15</v>
      </c>
      <c r="L33" cm="1">
        <f t="array" ref="L33">STOWA2024_JAARROND_T(A33*60,K33,I33,J33,"")</f>
        <v>2.6475227914424367E-2</v>
      </c>
      <c r="M33">
        <f>1/L33</f>
        <v>37.771157371422476</v>
      </c>
    </row>
    <row r="34" spans="1:13" x14ac:dyDescent="0.3">
      <c r="A34">
        <v>48</v>
      </c>
      <c r="B34">
        <f t="shared" ref="B34:B38" si="9">M33-M34</f>
        <v>8.5725498569114151</v>
      </c>
      <c r="C34">
        <f t="shared" ref="C34:C63" si="10">B34</f>
        <v>8.5725498569114151</v>
      </c>
      <c r="D34" t="s">
        <v>36</v>
      </c>
      <c r="E34" t="s">
        <v>21</v>
      </c>
      <c r="F34">
        <v>1</v>
      </c>
      <c r="G34">
        <f t="shared" ref="G34:G38" si="11">G33+5</f>
        <v>15</v>
      </c>
      <c r="I34">
        <v>2150</v>
      </c>
      <c r="J34" t="s">
        <v>31</v>
      </c>
      <c r="K34">
        <f t="shared" ref="K34:K38" si="12">AVERAGE(G34:G35)</f>
        <v>17.5</v>
      </c>
      <c r="L34" cm="1">
        <f t="array" ref="L34">STOWA2024_JAARROND_T(A34*60,K34,I34,J34,"")</f>
        <v>3.4248208566214064E-2</v>
      </c>
      <c r="M34">
        <f t="shared" ref="M34:M38" si="13">1/L34</f>
        <v>29.19860751451106</v>
      </c>
    </row>
    <row r="35" spans="1:13" x14ac:dyDescent="0.3">
      <c r="A35">
        <v>48</v>
      </c>
      <c r="B35">
        <f t="shared" si="9"/>
        <v>11.410562043576125</v>
      </c>
      <c r="C35">
        <f t="shared" si="10"/>
        <v>11.410562043576125</v>
      </c>
      <c r="D35" t="s">
        <v>36</v>
      </c>
      <c r="E35" t="s">
        <v>21</v>
      </c>
      <c r="F35">
        <v>1</v>
      </c>
      <c r="G35">
        <f t="shared" si="11"/>
        <v>20</v>
      </c>
      <c r="I35">
        <v>2150</v>
      </c>
      <c r="J35" t="s">
        <v>31</v>
      </c>
      <c r="K35">
        <f t="shared" si="12"/>
        <v>22.5</v>
      </c>
      <c r="L35" cm="1">
        <f t="array" ref="L35">STOWA2024_JAARROND_T(A35*60,K35,I35,J35,"")</f>
        <v>5.621753112976724E-2</v>
      </c>
      <c r="M35">
        <f t="shared" si="13"/>
        <v>17.788045470934936</v>
      </c>
    </row>
    <row r="36" spans="1:13" x14ac:dyDescent="0.3">
      <c r="A36">
        <v>48</v>
      </c>
      <c r="B36">
        <f t="shared" si="9"/>
        <v>6.6926619025200953</v>
      </c>
      <c r="C36">
        <f t="shared" si="10"/>
        <v>6.6926619025200953</v>
      </c>
      <c r="D36" t="s">
        <v>36</v>
      </c>
      <c r="E36" t="s">
        <v>21</v>
      </c>
      <c r="F36">
        <v>1</v>
      </c>
      <c r="G36">
        <f t="shared" si="11"/>
        <v>25</v>
      </c>
      <c r="I36">
        <v>2150</v>
      </c>
      <c r="J36" t="s">
        <v>31</v>
      </c>
      <c r="K36">
        <f t="shared" si="12"/>
        <v>27.5</v>
      </c>
      <c r="L36" cm="1">
        <f t="array" ref="L36">STOWA2024_JAARROND_T(A36*60,K36,I36,J36,"")</f>
        <v>9.0127573673675757E-2</v>
      </c>
      <c r="M36">
        <f t="shared" si="13"/>
        <v>11.095383568414841</v>
      </c>
    </row>
    <row r="37" spans="1:13" x14ac:dyDescent="0.3">
      <c r="A37">
        <v>48</v>
      </c>
      <c r="B37">
        <f t="shared" si="9"/>
        <v>4.024326711243682</v>
      </c>
      <c r="C37">
        <f t="shared" si="10"/>
        <v>4.024326711243682</v>
      </c>
      <c r="D37" t="s">
        <v>36</v>
      </c>
      <c r="E37" t="s">
        <v>21</v>
      </c>
      <c r="F37">
        <v>1</v>
      </c>
      <c r="G37">
        <f t="shared" si="11"/>
        <v>30</v>
      </c>
      <c r="I37">
        <v>2150</v>
      </c>
      <c r="J37" t="s">
        <v>31</v>
      </c>
      <c r="K37">
        <f t="shared" si="12"/>
        <v>32.5</v>
      </c>
      <c r="L37" cm="1">
        <f t="array" ref="L37">STOWA2024_JAARROND_T(A37*60,K37,I37,J37,"")</f>
        <v>0.14142157533153527</v>
      </c>
      <c r="M37">
        <f t="shared" si="13"/>
        <v>7.0710568571711585</v>
      </c>
    </row>
    <row r="38" spans="1:13" x14ac:dyDescent="0.3">
      <c r="A38">
        <v>48</v>
      </c>
      <c r="B38">
        <f t="shared" si="9"/>
        <v>2.4755806468655184</v>
      </c>
      <c r="C38">
        <f t="shared" si="10"/>
        <v>2.4755806468655184</v>
      </c>
      <c r="D38" t="s">
        <v>36</v>
      </c>
      <c r="E38" t="s">
        <v>21</v>
      </c>
      <c r="F38">
        <v>1</v>
      </c>
      <c r="G38">
        <f t="shared" si="11"/>
        <v>35</v>
      </c>
      <c r="I38">
        <v>2150</v>
      </c>
      <c r="J38" t="s">
        <v>31</v>
      </c>
      <c r="K38">
        <f t="shared" si="12"/>
        <v>37.5</v>
      </c>
      <c r="L38" cm="1">
        <f t="array" ref="L38">STOWA2024_JAARROND_T(A38*60,K38,I38,J38,"")</f>
        <v>0.21760530448562393</v>
      </c>
      <c r="M38">
        <f t="shared" si="13"/>
        <v>4.5954762103056401</v>
      </c>
    </row>
    <row r="39" spans="1:13" x14ac:dyDescent="0.3">
      <c r="A39">
        <v>48</v>
      </c>
      <c r="B39">
        <f>M38-M39</f>
        <v>1.5547105876815182</v>
      </c>
      <c r="C39">
        <f t="shared" si="10"/>
        <v>1.5547105876815182</v>
      </c>
      <c r="D39" t="s">
        <v>36</v>
      </c>
      <c r="E39" t="s">
        <v>21</v>
      </c>
      <c r="F39">
        <v>1</v>
      </c>
      <c r="G39">
        <f>G38+5</f>
        <v>40</v>
      </c>
      <c r="I39">
        <v>2150</v>
      </c>
      <c r="J39" t="s">
        <v>31</v>
      </c>
      <c r="K39">
        <f>AVERAGE(G39:G40)</f>
        <v>42.5</v>
      </c>
      <c r="L39" cm="1">
        <f t="array" ref="L39">STOWA2024_JAARROND_T(A39*60,K39,I39,J39,"")</f>
        <v>0.32886454403447885</v>
      </c>
      <c r="M39">
        <f>1/L39</f>
        <v>3.040765622624122</v>
      </c>
    </row>
    <row r="40" spans="1:13" x14ac:dyDescent="0.3">
      <c r="A40">
        <v>48</v>
      </c>
      <c r="B40">
        <f t="shared" ref="B40:B62" si="14">M39-M40</f>
        <v>0.99522198554281838</v>
      </c>
      <c r="C40">
        <f t="shared" si="10"/>
        <v>0.99522198554281838</v>
      </c>
      <c r="D40" t="s">
        <v>36</v>
      </c>
      <c r="E40" t="s">
        <v>21</v>
      </c>
      <c r="F40">
        <v>1</v>
      </c>
      <c r="G40">
        <f t="shared" ref="G40:G63" si="15">G39+5</f>
        <v>45</v>
      </c>
      <c r="I40">
        <v>2150</v>
      </c>
      <c r="J40" t="s">
        <v>31</v>
      </c>
      <c r="K40">
        <f t="shared" ref="K40:K62" si="16">AVERAGE(G40:G41)</f>
        <v>47.5</v>
      </c>
      <c r="L40" cm="1">
        <f t="array" ref="L40">STOWA2024_JAARROND_T(A40*60,K40,I40,J40,"")</f>
        <v>0.48886759581763611</v>
      </c>
      <c r="M40">
        <f t="shared" ref="M40:M62" si="17">1/L40</f>
        <v>2.0455436370813036</v>
      </c>
    </row>
    <row r="41" spans="1:13" x14ac:dyDescent="0.3">
      <c r="A41">
        <v>48</v>
      </c>
      <c r="B41">
        <f t="shared" si="14"/>
        <v>0.64835856401986591</v>
      </c>
      <c r="C41">
        <f t="shared" si="10"/>
        <v>0.64835856401986591</v>
      </c>
      <c r="D41" t="s">
        <v>36</v>
      </c>
      <c r="E41" t="s">
        <v>21</v>
      </c>
      <c r="F41">
        <v>1</v>
      </c>
      <c r="G41">
        <f t="shared" si="15"/>
        <v>50</v>
      </c>
      <c r="I41">
        <v>2150</v>
      </c>
      <c r="J41" t="s">
        <v>31</v>
      </c>
      <c r="K41">
        <f t="shared" si="16"/>
        <v>52.5</v>
      </c>
      <c r="L41" cm="1">
        <f t="array" ref="L41">STOWA2024_JAARROND_T(A41*60,K41,I41,J41,"")</f>
        <v>0.71572479500432473</v>
      </c>
      <c r="M41">
        <f t="shared" si="17"/>
        <v>1.3971850730614377</v>
      </c>
    </row>
    <row r="42" spans="1:13" x14ac:dyDescent="0.3">
      <c r="A42">
        <v>48</v>
      </c>
      <c r="B42">
        <f t="shared" si="14"/>
        <v>0.42915136537091847</v>
      </c>
      <c r="C42">
        <f t="shared" si="10"/>
        <v>0.42915136537091847</v>
      </c>
      <c r="D42" t="s">
        <v>36</v>
      </c>
      <c r="E42" t="s">
        <v>21</v>
      </c>
      <c r="F42">
        <v>1</v>
      </c>
      <c r="G42">
        <f t="shared" si="15"/>
        <v>55</v>
      </c>
      <c r="I42">
        <v>2150</v>
      </c>
      <c r="J42" t="s">
        <v>31</v>
      </c>
      <c r="K42">
        <f t="shared" si="16"/>
        <v>57.5</v>
      </c>
      <c r="L42" cm="1">
        <f t="array" ref="L42">STOWA2024_JAARROND_T(A42*60,K42,I42,J42,"")</f>
        <v>1.0330218793576353</v>
      </c>
      <c r="M42">
        <f t="shared" si="17"/>
        <v>0.96803370769051922</v>
      </c>
    </row>
    <row r="43" spans="1:13" x14ac:dyDescent="0.3">
      <c r="A43">
        <v>48</v>
      </c>
      <c r="B43">
        <f t="shared" si="14"/>
        <v>0.28857183915477269</v>
      </c>
      <c r="C43">
        <f t="shared" si="10"/>
        <v>0.28857183915477269</v>
      </c>
      <c r="D43" t="s">
        <v>36</v>
      </c>
      <c r="E43" t="s">
        <v>21</v>
      </c>
      <c r="F43">
        <v>1</v>
      </c>
      <c r="G43">
        <f t="shared" si="15"/>
        <v>60</v>
      </c>
      <c r="I43">
        <v>2150</v>
      </c>
      <c r="J43" t="s">
        <v>31</v>
      </c>
      <c r="K43">
        <f t="shared" si="16"/>
        <v>62.5</v>
      </c>
      <c r="L43" cm="1">
        <f t="array" ref="L43">STOWA2024_JAARROND_T(A43*60,K43,I43,J43,"")</f>
        <v>1.4717529361213739</v>
      </c>
      <c r="M43">
        <f t="shared" si="17"/>
        <v>0.67946186853574653</v>
      </c>
    </row>
    <row r="44" spans="1:13" x14ac:dyDescent="0.3">
      <c r="A44">
        <v>48</v>
      </c>
      <c r="B44">
        <f t="shared" si="14"/>
        <v>0.19668721491831265</v>
      </c>
      <c r="C44">
        <f t="shared" si="10"/>
        <v>0.19668721491831265</v>
      </c>
      <c r="D44" t="s">
        <v>36</v>
      </c>
      <c r="E44" t="s">
        <v>21</v>
      </c>
      <c r="F44">
        <v>1</v>
      </c>
      <c r="G44">
        <f t="shared" si="15"/>
        <v>65</v>
      </c>
      <c r="I44">
        <v>2150</v>
      </c>
      <c r="J44" t="s">
        <v>31</v>
      </c>
      <c r="K44">
        <f t="shared" si="16"/>
        <v>67.5</v>
      </c>
      <c r="L44" cm="1">
        <f t="array" ref="L44">STOWA2024_JAARROND_T(A44*60,K44,I44,J44,"")</f>
        <v>2.0713597793649541</v>
      </c>
      <c r="M44">
        <f t="shared" si="17"/>
        <v>0.48277465361743388</v>
      </c>
    </row>
    <row r="45" spans="1:13" x14ac:dyDescent="0.3">
      <c r="A45">
        <v>48</v>
      </c>
      <c r="B45">
        <f t="shared" si="14"/>
        <v>0.1358203611370023</v>
      </c>
      <c r="C45">
        <f t="shared" si="10"/>
        <v>0.1358203611370023</v>
      </c>
      <c r="D45" t="s">
        <v>36</v>
      </c>
      <c r="E45" t="s">
        <v>21</v>
      </c>
      <c r="F45">
        <v>1</v>
      </c>
      <c r="G45">
        <f t="shared" si="15"/>
        <v>70</v>
      </c>
      <c r="I45">
        <v>2150</v>
      </c>
      <c r="J45" t="s">
        <v>31</v>
      </c>
      <c r="K45">
        <f t="shared" si="16"/>
        <v>72.5</v>
      </c>
      <c r="L45" cm="1">
        <f t="array" ref="L45">STOWA2024_JAARROND_T(A45*60,K45,I45,J45,"")</f>
        <v>2.8822240325976094</v>
      </c>
      <c r="M45">
        <f t="shared" si="17"/>
        <v>0.34695429248043158</v>
      </c>
    </row>
    <row r="46" spans="1:13" x14ac:dyDescent="0.3">
      <c r="A46">
        <v>48</v>
      </c>
      <c r="B46">
        <f t="shared" si="14"/>
        <v>9.4939222427450953E-2</v>
      </c>
      <c r="C46">
        <f t="shared" si="10"/>
        <v>9.4939222427450953E-2</v>
      </c>
      <c r="D46" t="s">
        <v>36</v>
      </c>
      <c r="E46" t="s">
        <v>21</v>
      </c>
      <c r="F46">
        <v>1</v>
      </c>
      <c r="G46">
        <f t="shared" si="15"/>
        <v>75</v>
      </c>
      <c r="I46">
        <v>2150</v>
      </c>
      <c r="J46" t="s">
        <v>31</v>
      </c>
      <c r="K46">
        <f t="shared" si="16"/>
        <v>77.5</v>
      </c>
      <c r="L46" cm="1">
        <f t="array" ref="L46">STOWA2024_JAARROND_T(A46*60,K46,I46,J46,"")</f>
        <v>3.9680166737242022</v>
      </c>
      <c r="M46">
        <f t="shared" si="17"/>
        <v>0.25201507005298063</v>
      </c>
    </row>
    <row r="47" spans="1:13" x14ac:dyDescent="0.3">
      <c r="A47">
        <v>48</v>
      </c>
      <c r="B47">
        <f t="shared" si="14"/>
        <v>6.7120513406468796E-2</v>
      </c>
      <c r="C47">
        <f t="shared" si="10"/>
        <v>6.7120513406468796E-2</v>
      </c>
      <c r="D47" t="s">
        <v>36</v>
      </c>
      <c r="E47" t="s">
        <v>21</v>
      </c>
      <c r="F47">
        <v>1</v>
      </c>
      <c r="G47">
        <f t="shared" si="15"/>
        <v>80</v>
      </c>
      <c r="I47">
        <v>2150</v>
      </c>
      <c r="J47" t="s">
        <v>31</v>
      </c>
      <c r="K47">
        <f t="shared" si="16"/>
        <v>82.5</v>
      </c>
      <c r="L47" cm="1">
        <f t="array" ref="L47">STOWA2024_JAARROND_T(A47*60,K47,I47,J47,"")</f>
        <v>5.408488049282254</v>
      </c>
      <c r="M47">
        <f t="shared" si="17"/>
        <v>0.18489455664651183</v>
      </c>
    </row>
    <row r="48" spans="1:13" x14ac:dyDescent="0.3">
      <c r="A48">
        <v>48</v>
      </c>
      <c r="B48">
        <f t="shared" si="14"/>
        <v>4.7965028101291413E-2</v>
      </c>
      <c r="C48">
        <f t="shared" si="10"/>
        <v>4.7965028101291413E-2</v>
      </c>
      <c r="D48" t="s">
        <v>36</v>
      </c>
      <c r="E48" t="s">
        <v>21</v>
      </c>
      <c r="F48">
        <v>1</v>
      </c>
      <c r="G48">
        <f t="shared" si="15"/>
        <v>85</v>
      </c>
      <c r="I48">
        <v>2150</v>
      </c>
      <c r="J48" t="s">
        <v>31</v>
      </c>
      <c r="K48">
        <f t="shared" si="16"/>
        <v>87.5</v>
      </c>
      <c r="L48" cm="1">
        <f t="array" ref="L48">STOWA2024_JAARROND_T(A48*60,K48,I48,J48,"")</f>
        <v>7.3030266782066224</v>
      </c>
      <c r="M48">
        <f t="shared" si="17"/>
        <v>0.13692952854522042</v>
      </c>
    </row>
    <row r="49" spans="1:13" x14ac:dyDescent="0.3">
      <c r="A49">
        <v>48</v>
      </c>
      <c r="B49">
        <f t="shared" si="14"/>
        <v>3.4623557958532933E-2</v>
      </c>
      <c r="C49">
        <f t="shared" si="10"/>
        <v>3.4623557958532933E-2</v>
      </c>
      <c r="D49" t="s">
        <v>36</v>
      </c>
      <c r="E49" t="s">
        <v>21</v>
      </c>
      <c r="F49">
        <v>1</v>
      </c>
      <c r="G49">
        <f t="shared" si="15"/>
        <v>90</v>
      </c>
      <c r="I49">
        <v>2150</v>
      </c>
      <c r="J49" t="s">
        <v>31</v>
      </c>
      <c r="K49">
        <f t="shared" si="16"/>
        <v>92.5</v>
      </c>
      <c r="L49" cm="1">
        <f t="array" ref="L49">STOWA2024_JAARROND_T(A49*60,K49,I49,J49,"")</f>
        <v>9.774600585531461</v>
      </c>
      <c r="M49">
        <f t="shared" si="17"/>
        <v>0.10230597058668749</v>
      </c>
    </row>
    <row r="50" spans="1:13" x14ac:dyDescent="0.3">
      <c r="A50">
        <v>48</v>
      </c>
      <c r="B50">
        <f t="shared" si="14"/>
        <v>2.5228655510106127E-2</v>
      </c>
      <c r="C50">
        <f t="shared" si="10"/>
        <v>2.5228655510106127E-2</v>
      </c>
      <c r="D50" t="s">
        <v>36</v>
      </c>
      <c r="E50" t="s">
        <v>21</v>
      </c>
      <c r="F50">
        <v>1</v>
      </c>
      <c r="G50">
        <f t="shared" si="15"/>
        <v>95</v>
      </c>
      <c r="I50">
        <v>2150</v>
      </c>
      <c r="J50" t="s">
        <v>31</v>
      </c>
      <c r="K50">
        <f t="shared" si="16"/>
        <v>97.5</v>
      </c>
      <c r="L50" cm="1">
        <f t="array" ref="L50">STOWA2024_JAARROND_T(A50*60,K50,I50,J50,"")</f>
        <v>12.973985912799822</v>
      </c>
      <c r="M50">
        <f t="shared" si="17"/>
        <v>7.707731507658136E-2</v>
      </c>
    </row>
    <row r="51" spans="1:13" x14ac:dyDescent="0.3">
      <c r="A51">
        <v>48</v>
      </c>
      <c r="B51">
        <f t="shared" si="14"/>
        <v>1.8548720092224219E-2</v>
      </c>
      <c r="C51">
        <f t="shared" si="10"/>
        <v>1.8548720092224219E-2</v>
      </c>
      <c r="D51" t="s">
        <v>36</v>
      </c>
      <c r="E51" t="s">
        <v>21</v>
      </c>
      <c r="F51">
        <v>1</v>
      </c>
      <c r="G51">
        <f t="shared" si="15"/>
        <v>100</v>
      </c>
      <c r="I51">
        <v>2150</v>
      </c>
      <c r="J51" t="s">
        <v>31</v>
      </c>
      <c r="K51">
        <f t="shared" si="16"/>
        <v>102.5</v>
      </c>
      <c r="L51" cm="1">
        <f t="array" ref="L51">STOWA2024_JAARROND_T(A51*60,K51,I51,J51,"")</f>
        <v>17.085665566844185</v>
      </c>
      <c r="M51">
        <f t="shared" si="17"/>
        <v>5.8528594984357141E-2</v>
      </c>
    </row>
    <row r="52" spans="1:13" x14ac:dyDescent="0.3">
      <c r="A52">
        <v>48</v>
      </c>
      <c r="B52">
        <f t="shared" si="14"/>
        <v>1.3752630341438178E-2</v>
      </c>
      <c r="C52">
        <f t="shared" si="10"/>
        <v>1.3752630341438178E-2</v>
      </c>
      <c r="D52" t="s">
        <v>36</v>
      </c>
      <c r="E52" t="s">
        <v>21</v>
      </c>
      <c r="F52">
        <v>1</v>
      </c>
      <c r="G52">
        <f t="shared" si="15"/>
        <v>105</v>
      </c>
      <c r="I52">
        <v>2150</v>
      </c>
      <c r="J52" t="s">
        <v>31</v>
      </c>
      <c r="K52">
        <f t="shared" si="16"/>
        <v>107.5</v>
      </c>
      <c r="L52" cm="1">
        <f t="array" ref="L52">STOWA2024_JAARROND_T(A52*60,K52,I52,J52,"")</f>
        <v>22.333410524481994</v>
      </c>
      <c r="M52">
        <f t="shared" si="17"/>
        <v>4.4775964642918963E-2</v>
      </c>
    </row>
    <row r="53" spans="1:13" x14ac:dyDescent="0.3">
      <c r="A53">
        <v>48</v>
      </c>
      <c r="B53">
        <f t="shared" si="14"/>
        <v>1.0279164877231267E-2</v>
      </c>
      <c r="C53">
        <f t="shared" si="10"/>
        <v>1.0279164877231267E-2</v>
      </c>
      <c r="D53" t="s">
        <v>36</v>
      </c>
      <c r="E53" t="s">
        <v>21</v>
      </c>
      <c r="F53">
        <v>1</v>
      </c>
      <c r="G53">
        <f t="shared" si="15"/>
        <v>110</v>
      </c>
      <c r="I53">
        <v>2150</v>
      </c>
      <c r="J53" t="s">
        <v>31</v>
      </c>
      <c r="K53">
        <f t="shared" si="16"/>
        <v>112.5</v>
      </c>
      <c r="L53" cm="1">
        <f t="array" ref="L53">STOWA2024_JAARROND_T(A53*60,K53,I53,J53,"")</f>
        <v>28.988196203482381</v>
      </c>
      <c r="M53">
        <f t="shared" si="17"/>
        <v>3.4496799765687695E-2</v>
      </c>
    </row>
    <row r="54" spans="1:13" x14ac:dyDescent="0.3">
      <c r="A54">
        <v>48</v>
      </c>
      <c r="B54">
        <f t="shared" si="14"/>
        <v>7.7410530082733485E-3</v>
      </c>
      <c r="C54">
        <f t="shared" si="10"/>
        <v>7.7410530082733485E-3</v>
      </c>
      <c r="D54" t="s">
        <v>36</v>
      </c>
      <c r="E54" t="s">
        <v>21</v>
      </c>
      <c r="F54">
        <v>1</v>
      </c>
      <c r="G54">
        <f t="shared" si="15"/>
        <v>115</v>
      </c>
      <c r="I54">
        <v>2150</v>
      </c>
      <c r="J54" t="s">
        <v>31</v>
      </c>
      <c r="K54">
        <f t="shared" si="16"/>
        <v>117.5</v>
      </c>
      <c r="L54" cm="1">
        <f t="array" ref="L54">STOWA2024_JAARROND_T(A54*60,K54,I54,J54,"")</f>
        <v>37.375148190281315</v>
      </c>
      <c r="M54">
        <f t="shared" si="17"/>
        <v>2.6755746757414347E-2</v>
      </c>
    </row>
    <row r="55" spans="1:13" x14ac:dyDescent="0.3">
      <c r="A55">
        <v>48</v>
      </c>
      <c r="B55">
        <f t="shared" si="14"/>
        <v>5.8715369730226695E-3</v>
      </c>
      <c r="C55">
        <f t="shared" si="10"/>
        <v>5.8715369730226695E-3</v>
      </c>
      <c r="D55" t="s">
        <v>36</v>
      </c>
      <c r="E55" t="s">
        <v>21</v>
      </c>
      <c r="F55">
        <v>1</v>
      </c>
      <c r="G55">
        <f t="shared" si="15"/>
        <v>120</v>
      </c>
      <c r="I55">
        <v>2150</v>
      </c>
      <c r="J55" t="s">
        <v>31</v>
      </c>
      <c r="K55">
        <f t="shared" si="16"/>
        <v>122.5</v>
      </c>
      <c r="L55" cm="1">
        <f t="array" ref="L55">STOWA2024_JAARROND_T(A55*60,K55,I55,J55,"")</f>
        <v>47.883066217203698</v>
      </c>
      <c r="M55">
        <f t="shared" si="17"/>
        <v>2.0884209784391677E-2</v>
      </c>
    </row>
    <row r="56" spans="1:13" x14ac:dyDescent="0.3">
      <c r="A56">
        <v>48</v>
      </c>
      <c r="B56">
        <f t="shared" si="14"/>
        <v>4.4843612378812139E-3</v>
      </c>
      <c r="C56">
        <f t="shared" si="10"/>
        <v>4.4843612378812139E-3</v>
      </c>
      <c r="D56" t="s">
        <v>36</v>
      </c>
      <c r="E56" t="s">
        <v>21</v>
      </c>
      <c r="F56">
        <v>1</v>
      </c>
      <c r="G56">
        <f t="shared" si="15"/>
        <v>125</v>
      </c>
      <c r="I56">
        <v>2150</v>
      </c>
      <c r="J56" t="s">
        <v>31</v>
      </c>
      <c r="K56">
        <f t="shared" si="16"/>
        <v>127.5</v>
      </c>
      <c r="L56" cm="1">
        <f t="array" ref="L56">STOWA2024_JAARROND_T(A56*60,K56,I56,J56,"")</f>
        <v>60.976172869156073</v>
      </c>
      <c r="M56">
        <f t="shared" si="17"/>
        <v>1.6399848546510463E-2</v>
      </c>
    </row>
    <row r="57" spans="1:13" x14ac:dyDescent="0.3">
      <c r="A57">
        <v>48</v>
      </c>
      <c r="B57">
        <f t="shared" si="14"/>
        <v>3.447021798707468E-3</v>
      </c>
      <c r="C57">
        <f t="shared" si="10"/>
        <v>3.447021798707468E-3</v>
      </c>
      <c r="D57" t="s">
        <v>36</v>
      </c>
      <c r="E57" t="s">
        <v>21</v>
      </c>
      <c r="F57">
        <v>1</v>
      </c>
      <c r="G57">
        <f t="shared" si="15"/>
        <v>130</v>
      </c>
      <c r="I57">
        <v>2150</v>
      </c>
      <c r="J57" t="s">
        <v>31</v>
      </c>
      <c r="K57">
        <f t="shared" si="16"/>
        <v>132.5</v>
      </c>
      <c r="L57" cm="1">
        <f t="array" ref="L57">STOWA2024_JAARROND_T(A57*60,K57,I57,J57,"")</f>
        <v>77.203225170105497</v>
      </c>
      <c r="M57">
        <f t="shared" si="17"/>
        <v>1.2952826747802995E-2</v>
      </c>
    </row>
    <row r="58" spans="1:13" x14ac:dyDescent="0.3">
      <c r="A58">
        <v>48</v>
      </c>
      <c r="B58">
        <f t="shared" si="14"/>
        <v>2.6662122069122419E-3</v>
      </c>
      <c r="C58">
        <f t="shared" si="10"/>
        <v>2.6662122069122419E-3</v>
      </c>
      <c r="D58" t="s">
        <v>36</v>
      </c>
      <c r="E58" t="s">
        <v>21</v>
      </c>
      <c r="F58">
        <v>1</v>
      </c>
      <c r="G58">
        <f t="shared" si="15"/>
        <v>135</v>
      </c>
      <c r="I58">
        <v>2150</v>
      </c>
      <c r="J58" t="s">
        <v>31</v>
      </c>
      <c r="K58">
        <f t="shared" si="16"/>
        <v>137.5</v>
      </c>
      <c r="L58" cm="1">
        <f t="array" ref="L58">STOWA2024_JAARROND_T(A58*60,K58,I58,J58,"")</f>
        <v>97.213713610523456</v>
      </c>
      <c r="M58">
        <f t="shared" si="17"/>
        <v>1.0286614540890754E-2</v>
      </c>
    </row>
    <row r="59" spans="1:13" x14ac:dyDescent="0.3">
      <c r="A59">
        <v>48</v>
      </c>
      <c r="B59">
        <f t="shared" si="14"/>
        <v>2.0745587011334957E-3</v>
      </c>
      <c r="C59">
        <f t="shared" si="10"/>
        <v>2.0745587011334957E-3</v>
      </c>
      <c r="D59" t="s">
        <v>36</v>
      </c>
      <c r="E59" t="s">
        <v>21</v>
      </c>
      <c r="F59">
        <v>1</v>
      </c>
      <c r="G59">
        <f t="shared" si="15"/>
        <v>140</v>
      </c>
      <c r="I59">
        <v>2150</v>
      </c>
      <c r="J59" t="s">
        <v>31</v>
      </c>
      <c r="K59">
        <f t="shared" si="16"/>
        <v>142.5</v>
      </c>
      <c r="L59" cm="1">
        <f t="array" ref="L59">STOWA2024_JAARROND_T(A59*60,K59,I59,J59,"")</f>
        <v>121.77218707630698</v>
      </c>
      <c r="M59">
        <f t="shared" si="17"/>
        <v>8.2120558397572579E-3</v>
      </c>
    </row>
    <row r="60" spans="1:13" x14ac:dyDescent="0.3">
      <c r="A60">
        <v>48</v>
      </c>
      <c r="B60">
        <f t="shared" si="14"/>
        <v>1.6232254623180682E-3</v>
      </c>
      <c r="C60">
        <f t="shared" si="10"/>
        <v>1.6232254623180682E-3</v>
      </c>
      <c r="D60" t="s">
        <v>36</v>
      </c>
      <c r="E60" t="s">
        <v>21</v>
      </c>
      <c r="F60">
        <v>1</v>
      </c>
      <c r="G60">
        <f t="shared" si="15"/>
        <v>145</v>
      </c>
      <c r="I60">
        <v>2150</v>
      </c>
      <c r="J60" t="s">
        <v>31</v>
      </c>
      <c r="K60">
        <f t="shared" si="16"/>
        <v>147.5</v>
      </c>
      <c r="L60" cm="1">
        <f t="array" ref="L60">STOWA2024_JAARROND_T(A60*60,K60,I60,J60,"")</f>
        <v>151.77200545700788</v>
      </c>
      <c r="M60">
        <f t="shared" si="17"/>
        <v>6.5888303774391897E-3</v>
      </c>
    </row>
    <row r="61" spans="1:13" x14ac:dyDescent="0.3">
      <c r="A61">
        <v>48</v>
      </c>
      <c r="B61">
        <f t="shared" si="14"/>
        <v>1.2770025925738955E-3</v>
      </c>
      <c r="C61">
        <f t="shared" si="10"/>
        <v>1.2770025925738955E-3</v>
      </c>
      <c r="D61" t="s">
        <v>36</v>
      </c>
      <c r="E61" t="s">
        <v>21</v>
      </c>
      <c r="F61">
        <v>1</v>
      </c>
      <c r="G61">
        <f t="shared" si="15"/>
        <v>150</v>
      </c>
      <c r="I61">
        <v>2150</v>
      </c>
      <c r="J61" t="s">
        <v>31</v>
      </c>
      <c r="K61">
        <f t="shared" si="16"/>
        <v>152.5</v>
      </c>
      <c r="L61" cm="1">
        <f t="array" ref="L61">STOWA2024_JAARROND_T(A61*60,K61,I61,J61,"")</f>
        <v>188.25911541207083</v>
      </c>
      <c r="M61">
        <f t="shared" si="17"/>
        <v>5.3118277848652942E-3</v>
      </c>
    </row>
    <row r="62" spans="1:13" x14ac:dyDescent="0.3">
      <c r="A62">
        <v>48</v>
      </c>
      <c r="B62">
        <f t="shared" si="14"/>
        <v>1.0098279896484071E-3</v>
      </c>
      <c r="C62">
        <f t="shared" si="10"/>
        <v>1.0098279896484071E-3</v>
      </c>
      <c r="D62" t="s">
        <v>36</v>
      </c>
      <c r="E62" t="s">
        <v>21</v>
      </c>
      <c r="F62">
        <v>1</v>
      </c>
      <c r="G62">
        <f t="shared" si="15"/>
        <v>155</v>
      </c>
      <c r="I62">
        <v>2150</v>
      </c>
      <c r="J62" t="s">
        <v>31</v>
      </c>
      <c r="K62">
        <f t="shared" si="16"/>
        <v>157.5</v>
      </c>
      <c r="L62" cm="1">
        <f t="array" ref="L62">STOWA2024_JAARROND_T(A62*60,K62,I62,J62,"")</f>
        <v>232.45003431005154</v>
      </c>
      <c r="M62">
        <f t="shared" si="17"/>
        <v>4.3019997952168871E-3</v>
      </c>
    </row>
    <row r="63" spans="1:13" x14ac:dyDescent="0.3">
      <c r="A63">
        <v>48</v>
      </c>
      <c r="B63" s="1">
        <f>M62</f>
        <v>4.3019997952168871E-3</v>
      </c>
      <c r="C63">
        <f t="shared" si="10"/>
        <v>4.3019997952168871E-3</v>
      </c>
      <c r="D63" t="s">
        <v>36</v>
      </c>
      <c r="E63" t="s">
        <v>21</v>
      </c>
      <c r="F63">
        <v>1</v>
      </c>
      <c r="G63">
        <f t="shared" si="15"/>
        <v>160</v>
      </c>
      <c r="I63">
        <v>2150</v>
      </c>
      <c r="J63" t="s">
        <v>31</v>
      </c>
      <c r="K63">
        <f>AVERAGE(G63:G64)</f>
        <v>85</v>
      </c>
      <c r="L63" cm="1">
        <f t="array" ref="L63">STOWA2024_JAARROND_T(A63*60,K63,I63,J63,"")</f>
        <v>6.2919217566845198</v>
      </c>
      <c r="M63">
        <f>1/L63</f>
        <v>0.15893395351549036</v>
      </c>
    </row>
    <row r="64" spans="1:13" x14ac:dyDescent="0.3">
      <c r="A64">
        <v>96</v>
      </c>
      <c r="B64" s="1">
        <f>365.25*24/A64 - M64</f>
        <v>41.139431031254865</v>
      </c>
      <c r="C64">
        <f>B64</f>
        <v>41.139431031254865</v>
      </c>
      <c r="D64" t="s">
        <v>36</v>
      </c>
      <c r="E64" t="s">
        <v>21</v>
      </c>
      <c r="F64">
        <v>1</v>
      </c>
      <c r="G64">
        <v>10</v>
      </c>
      <c r="I64">
        <v>2150</v>
      </c>
      <c r="J64" t="s">
        <v>31</v>
      </c>
      <c r="K64">
        <f>AVERAGE(G64:G66)</f>
        <v>15</v>
      </c>
      <c r="L64" cm="1">
        <f t="array" ref="L64">STOWA2024_JAARROND_T(A64*60,K64,I64,J64,"")</f>
        <v>1.9931011208880627E-2</v>
      </c>
      <c r="M64">
        <f>1/L64</f>
        <v>50.173068968745135</v>
      </c>
    </row>
    <row r="65" spans="1:13" x14ac:dyDescent="0.3">
      <c r="A65">
        <v>96</v>
      </c>
      <c r="B65">
        <f t="shared" ref="B65:B69" si="18">M64-M65</f>
        <v>9.0658251887053396</v>
      </c>
      <c r="C65">
        <f t="shared" ref="C65:C94" si="19">B65</f>
        <v>9.0658251887053396</v>
      </c>
      <c r="D65" t="s">
        <v>36</v>
      </c>
      <c r="E65" t="s">
        <v>21</v>
      </c>
      <c r="F65">
        <v>1</v>
      </c>
      <c r="G65">
        <f t="shared" ref="G65:G69" si="20">G64+5</f>
        <v>15</v>
      </c>
      <c r="I65">
        <v>2150</v>
      </c>
      <c r="J65" t="s">
        <v>31</v>
      </c>
      <c r="K65">
        <f t="shared" ref="K65:K69" si="21">AVERAGE(G65:G66)</f>
        <v>17.5</v>
      </c>
      <c r="L65" cm="1">
        <f t="array" ref="L65">STOWA2024_JAARROND_T(A65*60,K65,I65,J65,"")</f>
        <v>2.4326612734020474E-2</v>
      </c>
      <c r="M65">
        <f t="shared" ref="M65:M69" si="22">1/L65</f>
        <v>41.107243780039795</v>
      </c>
    </row>
    <row r="66" spans="1:13" x14ac:dyDescent="0.3">
      <c r="A66">
        <v>96</v>
      </c>
      <c r="B66">
        <f t="shared" si="18"/>
        <v>13.339307965740495</v>
      </c>
      <c r="C66">
        <f t="shared" si="19"/>
        <v>13.339307965740495</v>
      </c>
      <c r="D66" t="s">
        <v>36</v>
      </c>
      <c r="E66" t="s">
        <v>21</v>
      </c>
      <c r="F66">
        <v>1</v>
      </c>
      <c r="G66">
        <f t="shared" si="20"/>
        <v>20</v>
      </c>
      <c r="I66">
        <v>2150</v>
      </c>
      <c r="J66" t="s">
        <v>31</v>
      </c>
      <c r="K66">
        <f t="shared" si="21"/>
        <v>22.5</v>
      </c>
      <c r="L66" cm="1">
        <f t="array" ref="L66">STOWA2024_JAARROND_T(A66*60,K66,I66,J66,"")</f>
        <v>3.601275970556813E-2</v>
      </c>
      <c r="M66">
        <f t="shared" si="22"/>
        <v>27.7679358142993</v>
      </c>
    </row>
    <row r="67" spans="1:13" x14ac:dyDescent="0.3">
      <c r="A67">
        <v>96</v>
      </c>
      <c r="B67">
        <f t="shared" si="18"/>
        <v>8.8586440875361809</v>
      </c>
      <c r="C67">
        <f t="shared" si="19"/>
        <v>8.8586440875361809</v>
      </c>
      <c r="D67" t="s">
        <v>36</v>
      </c>
      <c r="E67" t="s">
        <v>21</v>
      </c>
      <c r="F67">
        <v>1</v>
      </c>
      <c r="G67">
        <f t="shared" si="20"/>
        <v>25</v>
      </c>
      <c r="I67">
        <v>2150</v>
      </c>
      <c r="J67" t="s">
        <v>31</v>
      </c>
      <c r="K67">
        <f t="shared" si="21"/>
        <v>27.5</v>
      </c>
      <c r="L67" cm="1">
        <f t="array" ref="L67">STOWA2024_JAARROND_T(A67*60,K67,I67,J67,"")</f>
        <v>5.2884053747219828E-2</v>
      </c>
      <c r="M67">
        <f t="shared" si="22"/>
        <v>18.909291726763119</v>
      </c>
    </row>
    <row r="68" spans="1:13" x14ac:dyDescent="0.3">
      <c r="A68">
        <v>96</v>
      </c>
      <c r="B68">
        <f t="shared" si="18"/>
        <v>5.9321642266986387</v>
      </c>
      <c r="C68">
        <f t="shared" si="19"/>
        <v>5.9321642266986387</v>
      </c>
      <c r="D68" t="s">
        <v>36</v>
      </c>
      <c r="E68" t="s">
        <v>21</v>
      </c>
      <c r="F68">
        <v>1</v>
      </c>
      <c r="G68">
        <f t="shared" si="20"/>
        <v>30</v>
      </c>
      <c r="I68">
        <v>2150</v>
      </c>
      <c r="J68" t="s">
        <v>31</v>
      </c>
      <c r="K68">
        <f t="shared" si="21"/>
        <v>32.5</v>
      </c>
      <c r="L68" cm="1">
        <f t="array" ref="L68">STOWA2024_JAARROND_T(A68*60,K68,I68,J68,"")</f>
        <v>7.7058655699809631E-2</v>
      </c>
      <c r="M68">
        <f t="shared" si="22"/>
        <v>12.97712750006448</v>
      </c>
    </row>
    <row r="69" spans="1:13" x14ac:dyDescent="0.3">
      <c r="A69">
        <v>96</v>
      </c>
      <c r="B69">
        <f t="shared" si="18"/>
        <v>4.0044887700625154</v>
      </c>
      <c r="C69">
        <f t="shared" si="19"/>
        <v>4.0044887700625154</v>
      </c>
      <c r="D69" t="s">
        <v>36</v>
      </c>
      <c r="E69" t="s">
        <v>21</v>
      </c>
      <c r="F69">
        <v>1</v>
      </c>
      <c r="G69">
        <f t="shared" si="20"/>
        <v>35</v>
      </c>
      <c r="I69">
        <v>2150</v>
      </c>
      <c r="J69" t="s">
        <v>31</v>
      </c>
      <c r="K69">
        <f t="shared" si="21"/>
        <v>37.5</v>
      </c>
      <c r="L69" cm="1">
        <f t="array" ref="L69">STOWA2024_JAARROND_T(A69*60,K69,I69,J69,"")</f>
        <v>0.1114499346392141</v>
      </c>
      <c r="M69">
        <f t="shared" si="22"/>
        <v>8.9726387300019645</v>
      </c>
    </row>
    <row r="70" spans="1:13" x14ac:dyDescent="0.3">
      <c r="A70">
        <v>96</v>
      </c>
      <c r="B70">
        <f>M69-M70</f>
        <v>2.7242851236005272</v>
      </c>
      <c r="C70">
        <f t="shared" si="19"/>
        <v>2.7242851236005272</v>
      </c>
      <c r="D70" t="s">
        <v>36</v>
      </c>
      <c r="E70" t="s">
        <v>21</v>
      </c>
      <c r="F70">
        <v>1</v>
      </c>
      <c r="G70">
        <f>G69+5</f>
        <v>40</v>
      </c>
      <c r="I70">
        <v>2150</v>
      </c>
      <c r="J70" t="s">
        <v>31</v>
      </c>
      <c r="K70">
        <f>AVERAGE(G70:G71)</f>
        <v>42.5</v>
      </c>
      <c r="L70" cm="1">
        <f t="array" ref="L70">STOWA2024_JAARROND_T(A70*60,K70,I70,J70,"")</f>
        <v>0.16004215878171493</v>
      </c>
      <c r="M70">
        <f>1/L70</f>
        <v>6.2483536064014373</v>
      </c>
    </row>
    <row r="71" spans="1:13" x14ac:dyDescent="0.3">
      <c r="A71">
        <v>96</v>
      </c>
      <c r="B71">
        <f t="shared" ref="B71:B93" si="23">M70-M71</f>
        <v>1.8669463050789057</v>
      </c>
      <c r="C71">
        <f t="shared" si="19"/>
        <v>1.8669463050789057</v>
      </c>
      <c r="D71" t="s">
        <v>36</v>
      </c>
      <c r="E71" t="s">
        <v>21</v>
      </c>
      <c r="F71">
        <v>1</v>
      </c>
      <c r="G71">
        <f t="shared" ref="G71:G94" si="24">G70+5</f>
        <v>45</v>
      </c>
      <c r="I71">
        <v>2150</v>
      </c>
      <c r="J71" t="s">
        <v>31</v>
      </c>
      <c r="K71">
        <f t="shared" ref="K71:K93" si="25">AVERAGE(G71:G72)</f>
        <v>47.5</v>
      </c>
      <c r="L71" cm="1">
        <f t="array" ref="L71">STOWA2024_JAARROND_T(A71*60,K71,I71,J71,"")</f>
        <v>0.22823716929903987</v>
      </c>
      <c r="M71">
        <f t="shared" ref="M71:M93" si="26">1/L71</f>
        <v>4.3814073013225316</v>
      </c>
    </row>
    <row r="72" spans="1:13" x14ac:dyDescent="0.3">
      <c r="A72">
        <v>96</v>
      </c>
      <c r="B72">
        <f t="shared" si="23"/>
        <v>1.2887200077083967</v>
      </c>
      <c r="C72">
        <f t="shared" si="19"/>
        <v>1.2887200077083967</v>
      </c>
      <c r="D72" t="s">
        <v>36</v>
      </c>
      <c r="E72" t="s">
        <v>21</v>
      </c>
      <c r="F72">
        <v>1</v>
      </c>
      <c r="G72">
        <f t="shared" si="24"/>
        <v>50</v>
      </c>
      <c r="I72">
        <v>2150</v>
      </c>
      <c r="J72" t="s">
        <v>31</v>
      </c>
      <c r="K72">
        <f t="shared" si="25"/>
        <v>52.5</v>
      </c>
      <c r="L72" cm="1">
        <f t="array" ref="L72">STOWA2024_JAARROND_T(A72*60,K72,I72,J72,"")</f>
        <v>0.32334339202829437</v>
      </c>
      <c r="M72">
        <f t="shared" si="26"/>
        <v>3.092687293614135</v>
      </c>
    </row>
    <row r="73" spans="1:13" x14ac:dyDescent="0.3">
      <c r="A73">
        <v>96</v>
      </c>
      <c r="B73">
        <f t="shared" si="23"/>
        <v>0.89568923629623498</v>
      </c>
      <c r="C73">
        <f t="shared" si="19"/>
        <v>0.89568923629623498</v>
      </c>
      <c r="D73" t="s">
        <v>36</v>
      </c>
      <c r="E73" t="s">
        <v>21</v>
      </c>
      <c r="F73">
        <v>1</v>
      </c>
      <c r="G73">
        <f t="shared" si="24"/>
        <v>55</v>
      </c>
      <c r="I73">
        <v>2150</v>
      </c>
      <c r="J73" t="s">
        <v>31</v>
      </c>
      <c r="K73">
        <f t="shared" si="25"/>
        <v>57.5</v>
      </c>
      <c r="L73" cm="1">
        <f t="array" ref="L73">STOWA2024_JAARROND_T(A73*60,K73,I73,J73,"")</f>
        <v>0.45516653811738106</v>
      </c>
      <c r="M73">
        <f t="shared" si="26"/>
        <v>2.1969980573179</v>
      </c>
    </row>
    <row r="74" spans="1:13" x14ac:dyDescent="0.3">
      <c r="A74">
        <v>96</v>
      </c>
      <c r="B74">
        <f t="shared" si="23"/>
        <v>0.62664458531465295</v>
      </c>
      <c r="C74">
        <f t="shared" si="19"/>
        <v>0.62664458531465295</v>
      </c>
      <c r="D74" t="s">
        <v>36</v>
      </c>
      <c r="E74" t="s">
        <v>21</v>
      </c>
      <c r="F74">
        <v>1</v>
      </c>
      <c r="G74">
        <f t="shared" si="24"/>
        <v>60</v>
      </c>
      <c r="I74">
        <v>2150</v>
      </c>
      <c r="J74" t="s">
        <v>31</v>
      </c>
      <c r="K74">
        <f t="shared" si="25"/>
        <v>62.5</v>
      </c>
      <c r="L74" cm="1">
        <f t="array" ref="L74">STOWA2024_JAARROND_T(A74*60,K74,I74,J74,"")</f>
        <v>0.63679930526999995</v>
      </c>
      <c r="M74">
        <f t="shared" si="26"/>
        <v>1.570353472003247</v>
      </c>
    </row>
    <row r="75" spans="1:13" x14ac:dyDescent="0.3">
      <c r="A75">
        <v>96</v>
      </c>
      <c r="B75">
        <f t="shared" si="23"/>
        <v>0.44121638351365311</v>
      </c>
      <c r="C75">
        <f t="shared" si="19"/>
        <v>0.44121638351365311</v>
      </c>
      <c r="D75" t="s">
        <v>36</v>
      </c>
      <c r="E75" t="s">
        <v>21</v>
      </c>
      <c r="F75">
        <v>1</v>
      </c>
      <c r="G75">
        <f t="shared" si="24"/>
        <v>65</v>
      </c>
      <c r="I75">
        <v>2150</v>
      </c>
      <c r="J75" t="s">
        <v>31</v>
      </c>
      <c r="K75">
        <f t="shared" si="25"/>
        <v>67.5</v>
      </c>
      <c r="L75" cm="1">
        <f t="array" ref="L75">STOWA2024_JAARROND_T(A75*60,K75,I75,J75,"")</f>
        <v>0.88563205495062081</v>
      </c>
      <c r="M75">
        <f t="shared" si="26"/>
        <v>1.1291370884895939</v>
      </c>
    </row>
    <row r="76" spans="1:13" x14ac:dyDescent="0.3">
      <c r="A76">
        <v>96</v>
      </c>
      <c r="B76">
        <f t="shared" si="23"/>
        <v>0.31249202110756114</v>
      </c>
      <c r="C76">
        <f t="shared" si="19"/>
        <v>0.31249202110756114</v>
      </c>
      <c r="D76" t="s">
        <v>36</v>
      </c>
      <c r="E76" t="s">
        <v>21</v>
      </c>
      <c r="F76">
        <v>1</v>
      </c>
      <c r="G76">
        <f t="shared" si="24"/>
        <v>70</v>
      </c>
      <c r="I76">
        <v>2150</v>
      </c>
      <c r="J76" t="s">
        <v>31</v>
      </c>
      <c r="K76">
        <f t="shared" si="25"/>
        <v>72.5</v>
      </c>
      <c r="L76" cm="1">
        <f t="array" ref="L76">STOWA2024_JAARROND_T(A76*60,K76,I76,J76,"")</f>
        <v>1.2245221822079437</v>
      </c>
      <c r="M76">
        <f t="shared" si="26"/>
        <v>0.8166450673820328</v>
      </c>
    </row>
    <row r="77" spans="1:13" x14ac:dyDescent="0.3">
      <c r="A77">
        <v>96</v>
      </c>
      <c r="B77">
        <f t="shared" si="23"/>
        <v>0.2227945715970362</v>
      </c>
      <c r="C77">
        <f t="shared" si="19"/>
        <v>0.2227945715970362</v>
      </c>
      <c r="D77" t="s">
        <v>36</v>
      </c>
      <c r="E77" t="s">
        <v>21</v>
      </c>
      <c r="F77">
        <v>1</v>
      </c>
      <c r="G77">
        <f t="shared" si="24"/>
        <v>75</v>
      </c>
      <c r="I77">
        <v>2150</v>
      </c>
      <c r="J77" t="s">
        <v>31</v>
      </c>
      <c r="K77">
        <f t="shared" si="25"/>
        <v>77.5</v>
      </c>
      <c r="L77" cm="1">
        <f t="array" ref="L77">STOWA2024_JAARROND_T(A77*60,K77,I77,J77,"")</f>
        <v>1.6839255117201244</v>
      </c>
      <c r="M77">
        <f t="shared" si="26"/>
        <v>0.5938504957849966</v>
      </c>
    </row>
    <row r="78" spans="1:13" x14ac:dyDescent="0.3">
      <c r="A78">
        <v>96</v>
      </c>
      <c r="B78">
        <f t="shared" si="23"/>
        <v>0.15969452470812745</v>
      </c>
      <c r="C78">
        <f t="shared" si="19"/>
        <v>0.15969452470812745</v>
      </c>
      <c r="D78" t="s">
        <v>36</v>
      </c>
      <c r="E78" t="s">
        <v>21</v>
      </c>
      <c r="F78">
        <v>1</v>
      </c>
      <c r="G78">
        <f t="shared" si="24"/>
        <v>80</v>
      </c>
      <c r="I78">
        <v>2150</v>
      </c>
      <c r="J78" t="s">
        <v>31</v>
      </c>
      <c r="K78">
        <f t="shared" si="25"/>
        <v>82.5</v>
      </c>
      <c r="L78" cm="1">
        <f t="array" ref="L78">STOWA2024_JAARROND_T(A78*60,K78,I78,J78,"")</f>
        <v>2.3033196975723405</v>
      </c>
      <c r="M78">
        <f t="shared" si="26"/>
        <v>0.43415597107686915</v>
      </c>
    </row>
    <row r="79" spans="1:13" x14ac:dyDescent="0.3">
      <c r="A79">
        <v>96</v>
      </c>
      <c r="B79">
        <f t="shared" si="23"/>
        <v>0.11510610491094753</v>
      </c>
      <c r="C79">
        <f t="shared" si="19"/>
        <v>0.11510610491094753</v>
      </c>
      <c r="D79" t="s">
        <v>36</v>
      </c>
      <c r="E79" t="s">
        <v>21</v>
      </c>
      <c r="F79">
        <v>1</v>
      </c>
      <c r="G79">
        <f t="shared" si="24"/>
        <v>85</v>
      </c>
      <c r="I79">
        <v>2150</v>
      </c>
      <c r="J79" t="s">
        <v>31</v>
      </c>
      <c r="K79">
        <f t="shared" si="25"/>
        <v>87.5</v>
      </c>
      <c r="L79" cm="1">
        <f t="array" ref="L79">STOWA2024_JAARROND_T(A79*60,K79,I79,J79,"")</f>
        <v>3.1343062826421964</v>
      </c>
      <c r="M79">
        <f t="shared" si="26"/>
        <v>0.31904986616592163</v>
      </c>
    </row>
    <row r="80" spans="1:13" x14ac:dyDescent="0.3">
      <c r="A80">
        <v>96</v>
      </c>
      <c r="B80">
        <f t="shared" si="23"/>
        <v>8.3410073479715852E-2</v>
      </c>
      <c r="C80">
        <f t="shared" si="19"/>
        <v>8.3410073479715852E-2</v>
      </c>
      <c r="D80" t="s">
        <v>36</v>
      </c>
      <c r="E80" t="s">
        <v>21</v>
      </c>
      <c r="F80">
        <v>1</v>
      </c>
      <c r="G80">
        <f t="shared" si="24"/>
        <v>90</v>
      </c>
      <c r="I80">
        <v>2150</v>
      </c>
      <c r="J80" t="s">
        <v>31</v>
      </c>
      <c r="K80">
        <f t="shared" si="25"/>
        <v>92.5</v>
      </c>
      <c r="L80" cm="1">
        <f t="array" ref="L80">STOWA2024_JAARROND_T(A80*60,K80,I80,J80,"")</f>
        <v>4.2437654039683741</v>
      </c>
      <c r="M80">
        <f t="shared" si="26"/>
        <v>0.23563979268620577</v>
      </c>
    </row>
    <row r="81" spans="1:13" x14ac:dyDescent="0.3">
      <c r="A81">
        <v>96</v>
      </c>
      <c r="B81">
        <f t="shared" si="23"/>
        <v>6.0758947305437155E-2</v>
      </c>
      <c r="C81">
        <f t="shared" si="19"/>
        <v>6.0758947305437155E-2</v>
      </c>
      <c r="D81" t="s">
        <v>36</v>
      </c>
      <c r="E81" t="s">
        <v>21</v>
      </c>
      <c r="F81">
        <v>1</v>
      </c>
      <c r="G81">
        <f t="shared" si="24"/>
        <v>95</v>
      </c>
      <c r="I81">
        <v>2150</v>
      </c>
      <c r="J81" t="s">
        <v>31</v>
      </c>
      <c r="K81">
        <f t="shared" si="25"/>
        <v>97.5</v>
      </c>
      <c r="L81" cm="1">
        <f t="array" ref="L81">STOWA2024_JAARROND_T(A81*60,K81,I81,J81,"")</f>
        <v>5.7181791283241843</v>
      </c>
      <c r="M81">
        <f t="shared" si="26"/>
        <v>0.17488084538076862</v>
      </c>
    </row>
    <row r="82" spans="1:13" x14ac:dyDescent="0.3">
      <c r="A82">
        <v>96</v>
      </c>
      <c r="B82">
        <f t="shared" si="23"/>
        <v>4.4482077331719966E-2</v>
      </c>
      <c r="C82">
        <f t="shared" si="19"/>
        <v>4.4482077331719966E-2</v>
      </c>
      <c r="D82" t="s">
        <v>36</v>
      </c>
      <c r="E82" t="s">
        <v>21</v>
      </c>
      <c r="F82">
        <v>1</v>
      </c>
      <c r="G82">
        <f t="shared" si="24"/>
        <v>100</v>
      </c>
      <c r="I82">
        <v>2150</v>
      </c>
      <c r="J82" t="s">
        <v>31</v>
      </c>
      <c r="K82">
        <f t="shared" si="25"/>
        <v>102.5</v>
      </c>
      <c r="L82" cm="1">
        <f t="array" ref="L82">STOWA2024_JAARROND_T(A82*60,K82,I82,J82,"")</f>
        <v>7.6687841071002794</v>
      </c>
      <c r="M82">
        <f t="shared" si="26"/>
        <v>0.13039876804904865</v>
      </c>
    </row>
    <row r="83" spans="1:13" x14ac:dyDescent="0.3">
      <c r="A83">
        <v>96</v>
      </c>
      <c r="B83">
        <f t="shared" si="23"/>
        <v>3.2724664237691659E-2</v>
      </c>
      <c r="C83">
        <f t="shared" si="19"/>
        <v>3.2724664237691659E-2</v>
      </c>
      <c r="D83" t="s">
        <v>36</v>
      </c>
      <c r="E83" t="s">
        <v>21</v>
      </c>
      <c r="F83">
        <v>1</v>
      </c>
      <c r="G83">
        <f t="shared" si="24"/>
        <v>105</v>
      </c>
      <c r="I83">
        <v>2150</v>
      </c>
      <c r="J83" t="s">
        <v>31</v>
      </c>
      <c r="K83">
        <f t="shared" si="25"/>
        <v>107.5</v>
      </c>
      <c r="L83" cm="1">
        <f t="array" ref="L83">STOWA2024_JAARROND_T(A83*60,K83,I83,J83,"")</f>
        <v>10.238128234392109</v>
      </c>
      <c r="M83">
        <f t="shared" si="26"/>
        <v>9.7674103811356994E-2</v>
      </c>
    </row>
    <row r="84" spans="1:13" x14ac:dyDescent="0.3">
      <c r="A84">
        <v>96</v>
      </c>
      <c r="B84">
        <f t="shared" si="23"/>
        <v>2.418826445743967E-2</v>
      </c>
      <c r="C84">
        <f t="shared" si="19"/>
        <v>2.418826445743967E-2</v>
      </c>
      <c r="D84" t="s">
        <v>36</v>
      </c>
      <c r="E84" t="s">
        <v>21</v>
      </c>
      <c r="F84">
        <v>1</v>
      </c>
      <c r="G84">
        <f t="shared" si="24"/>
        <v>110</v>
      </c>
      <c r="I84">
        <v>2150</v>
      </c>
      <c r="J84" t="s">
        <v>31</v>
      </c>
      <c r="K84">
        <f t="shared" si="25"/>
        <v>112.5</v>
      </c>
      <c r="L84" cm="1">
        <f t="array" ref="L84">STOWA2024_JAARROND_T(A84*60,K84,I84,J84,"")</f>
        <v>13.608063931662677</v>
      </c>
      <c r="M84">
        <f t="shared" si="26"/>
        <v>7.3485839353917323E-2</v>
      </c>
    </row>
    <row r="85" spans="1:13" x14ac:dyDescent="0.3">
      <c r="A85">
        <v>96</v>
      </c>
      <c r="B85">
        <f t="shared" si="23"/>
        <v>1.7961810265053627E-2</v>
      </c>
      <c r="C85">
        <f t="shared" si="19"/>
        <v>1.7961810265053627E-2</v>
      </c>
      <c r="D85" t="s">
        <v>36</v>
      </c>
      <c r="E85" t="s">
        <v>21</v>
      </c>
      <c r="F85">
        <v>1</v>
      </c>
      <c r="G85">
        <f t="shared" si="24"/>
        <v>115</v>
      </c>
      <c r="I85">
        <v>2150</v>
      </c>
      <c r="J85" t="s">
        <v>31</v>
      </c>
      <c r="K85">
        <f t="shared" si="25"/>
        <v>117.5</v>
      </c>
      <c r="L85" cm="1">
        <f t="array" ref="L85">STOWA2024_JAARROND_T(A85*60,K85,I85,J85,"")</f>
        <v>18.010220375029796</v>
      </c>
      <c r="M85">
        <f t="shared" si="26"/>
        <v>5.5524029088863697E-2</v>
      </c>
    </row>
    <row r="86" spans="1:13" x14ac:dyDescent="0.3">
      <c r="A86">
        <v>96</v>
      </c>
      <c r="B86">
        <f t="shared" si="23"/>
        <v>1.3396694081385087E-2</v>
      </c>
      <c r="C86">
        <f t="shared" si="19"/>
        <v>1.3396694081385087E-2</v>
      </c>
      <c r="D86" t="s">
        <v>36</v>
      </c>
      <c r="E86" t="s">
        <v>21</v>
      </c>
      <c r="F86">
        <v>1</v>
      </c>
      <c r="G86">
        <f t="shared" si="24"/>
        <v>120</v>
      </c>
      <c r="I86">
        <v>2150</v>
      </c>
      <c r="J86" t="s">
        <v>31</v>
      </c>
      <c r="K86">
        <f t="shared" si="25"/>
        <v>122.5</v>
      </c>
      <c r="L86" cm="1">
        <f t="array" ref="L86">STOWA2024_JAARROND_T(A86*60,K86,I86,J86,"")</f>
        <v>23.737556620243748</v>
      </c>
      <c r="M86">
        <f t="shared" si="26"/>
        <v>4.212733500747861E-2</v>
      </c>
    </row>
    <row r="87" spans="1:13" x14ac:dyDescent="0.3">
      <c r="A87">
        <v>96</v>
      </c>
      <c r="B87">
        <f t="shared" si="23"/>
        <v>1.003562375380878E-2</v>
      </c>
      <c r="C87">
        <f t="shared" si="19"/>
        <v>1.003562375380878E-2</v>
      </c>
      <c r="D87" t="s">
        <v>36</v>
      </c>
      <c r="E87" t="s">
        <v>21</v>
      </c>
      <c r="F87">
        <v>1</v>
      </c>
      <c r="G87">
        <f t="shared" si="24"/>
        <v>125</v>
      </c>
      <c r="I87">
        <v>2150</v>
      </c>
      <c r="J87" t="s">
        <v>31</v>
      </c>
      <c r="K87">
        <f t="shared" si="25"/>
        <v>127.5</v>
      </c>
      <c r="L87" cm="1">
        <f t="array" ref="L87">STOWA2024_JAARROND_T(A87*60,K87,I87,J87,"")</f>
        <v>31.160694177243215</v>
      </c>
      <c r="M87">
        <f t="shared" si="26"/>
        <v>3.209171125366983E-2</v>
      </c>
    </row>
    <row r="88" spans="1:13" x14ac:dyDescent="0.3">
      <c r="A88">
        <v>96</v>
      </c>
      <c r="B88">
        <f t="shared" si="23"/>
        <v>7.548898206574596E-3</v>
      </c>
      <c r="C88">
        <f t="shared" si="19"/>
        <v>7.548898206574596E-3</v>
      </c>
      <c r="D88" t="s">
        <v>36</v>
      </c>
      <c r="E88" t="s">
        <v>21</v>
      </c>
      <c r="F88">
        <v>1</v>
      </c>
      <c r="G88">
        <f t="shared" si="24"/>
        <v>130</v>
      </c>
      <c r="I88">
        <v>2150</v>
      </c>
      <c r="J88" t="s">
        <v>31</v>
      </c>
      <c r="K88">
        <f t="shared" si="25"/>
        <v>132.5</v>
      </c>
      <c r="L88" cm="1">
        <f t="array" ref="L88">STOWA2024_JAARROND_T(A88*60,K88,I88,J88,"")</f>
        <v>40.745125592616411</v>
      </c>
      <c r="M88">
        <f t="shared" si="26"/>
        <v>2.4542813047095234E-2</v>
      </c>
    </row>
    <row r="89" spans="1:13" x14ac:dyDescent="0.3">
      <c r="A89">
        <v>96</v>
      </c>
      <c r="B89">
        <f t="shared" si="23"/>
        <v>5.7016912745608515E-3</v>
      </c>
      <c r="C89">
        <f t="shared" si="19"/>
        <v>5.7016912745608515E-3</v>
      </c>
      <c r="D89" t="s">
        <v>36</v>
      </c>
      <c r="E89" t="s">
        <v>21</v>
      </c>
      <c r="F89">
        <v>1</v>
      </c>
      <c r="G89">
        <f t="shared" si="24"/>
        <v>135</v>
      </c>
      <c r="I89">
        <v>2150</v>
      </c>
      <c r="J89" t="s">
        <v>31</v>
      </c>
      <c r="K89">
        <f t="shared" si="25"/>
        <v>137.5</v>
      </c>
      <c r="L89" cm="1">
        <f t="array" ref="L89">STOWA2024_JAARROND_T(A89*60,K89,I89,J89,"")</f>
        <v>53.075396044504558</v>
      </c>
      <c r="M89">
        <f t="shared" si="26"/>
        <v>1.8841121772534383E-2</v>
      </c>
    </row>
    <row r="90" spans="1:13" x14ac:dyDescent="0.3">
      <c r="A90">
        <v>96</v>
      </c>
      <c r="B90">
        <f t="shared" si="23"/>
        <v>4.3236543586850744E-3</v>
      </c>
      <c r="C90">
        <f t="shared" si="19"/>
        <v>4.3236543586850744E-3</v>
      </c>
      <c r="D90" t="s">
        <v>36</v>
      </c>
      <c r="E90" t="s">
        <v>21</v>
      </c>
      <c r="F90">
        <v>1</v>
      </c>
      <c r="G90">
        <f t="shared" si="24"/>
        <v>140</v>
      </c>
      <c r="I90">
        <v>2150</v>
      </c>
      <c r="J90" t="s">
        <v>31</v>
      </c>
      <c r="K90">
        <f t="shared" si="25"/>
        <v>142.5</v>
      </c>
      <c r="L90" cm="1">
        <f t="array" ref="L90">STOWA2024_JAARROND_T(A90*60,K90,I90,J90,"")</f>
        <v>68.882537945015429</v>
      </c>
      <c r="M90">
        <f t="shared" si="26"/>
        <v>1.4517467413849308E-2</v>
      </c>
    </row>
    <row r="91" spans="1:13" x14ac:dyDescent="0.3">
      <c r="A91">
        <v>96</v>
      </c>
      <c r="B91">
        <f t="shared" si="23"/>
        <v>3.29111517601368E-3</v>
      </c>
      <c r="C91">
        <f t="shared" si="19"/>
        <v>3.29111517601368E-3</v>
      </c>
      <c r="D91" t="s">
        <v>36</v>
      </c>
      <c r="E91" t="s">
        <v>21</v>
      </c>
      <c r="F91">
        <v>1</v>
      </c>
      <c r="G91">
        <f t="shared" si="24"/>
        <v>145</v>
      </c>
      <c r="I91">
        <v>2150</v>
      </c>
      <c r="J91" t="s">
        <v>31</v>
      </c>
      <c r="K91">
        <f t="shared" si="25"/>
        <v>147.5</v>
      </c>
      <c r="L91" cm="1">
        <f t="array" ref="L91">STOWA2024_JAARROND_T(A91*60,K91,I91,J91,"")</f>
        <v>89.076128987806811</v>
      </c>
      <c r="M91">
        <f t="shared" si="26"/>
        <v>1.1226352237835628E-2</v>
      </c>
    </row>
    <row r="92" spans="1:13" x14ac:dyDescent="0.3">
      <c r="A92">
        <v>96</v>
      </c>
      <c r="B92">
        <f t="shared" si="23"/>
        <v>2.5146179794821918E-3</v>
      </c>
      <c r="C92">
        <f t="shared" si="19"/>
        <v>2.5146179794821918E-3</v>
      </c>
      <c r="D92" t="s">
        <v>36</v>
      </c>
      <c r="E92" t="s">
        <v>21</v>
      </c>
      <c r="F92">
        <v>1</v>
      </c>
      <c r="G92">
        <f t="shared" si="24"/>
        <v>150</v>
      </c>
      <c r="I92">
        <v>2150</v>
      </c>
      <c r="J92" t="s">
        <v>31</v>
      </c>
      <c r="K92">
        <f t="shared" si="25"/>
        <v>152.5</v>
      </c>
      <c r="L92" cm="1">
        <f t="array" ref="L92">STOWA2024_JAARROND_T(A92*60,K92,I92,J92,"")</f>
        <v>114.78770705627622</v>
      </c>
      <c r="M92">
        <f t="shared" si="26"/>
        <v>8.7117342583534364E-3</v>
      </c>
    </row>
    <row r="93" spans="1:13" x14ac:dyDescent="0.3">
      <c r="A93">
        <v>96</v>
      </c>
      <c r="B93">
        <f t="shared" si="23"/>
        <v>1.9283253299718795E-3</v>
      </c>
      <c r="C93">
        <f t="shared" si="19"/>
        <v>1.9283253299718795E-3</v>
      </c>
      <c r="D93" t="s">
        <v>36</v>
      </c>
      <c r="E93" t="s">
        <v>21</v>
      </c>
      <c r="F93">
        <v>1</v>
      </c>
      <c r="G93">
        <f t="shared" si="24"/>
        <v>155</v>
      </c>
      <c r="I93">
        <v>2150</v>
      </c>
      <c r="J93" t="s">
        <v>31</v>
      </c>
      <c r="K93">
        <f t="shared" si="25"/>
        <v>157.5</v>
      </c>
      <c r="L93" cm="1">
        <f t="array" ref="L93">STOWA2024_JAARROND_T(A93*60,K93,I93,J93,"")</f>
        <v>147.41850455396155</v>
      </c>
      <c r="M93">
        <f t="shared" si="26"/>
        <v>6.7834089283815568E-3</v>
      </c>
    </row>
    <row r="94" spans="1:13" x14ac:dyDescent="0.3">
      <c r="A94">
        <v>96</v>
      </c>
      <c r="B94" s="1">
        <f>M93</f>
        <v>6.7834089283815568E-3</v>
      </c>
      <c r="C94">
        <f t="shared" si="19"/>
        <v>6.7834089283815568E-3</v>
      </c>
      <c r="D94" t="s">
        <v>36</v>
      </c>
      <c r="E94" t="s">
        <v>21</v>
      </c>
      <c r="F94">
        <v>1</v>
      </c>
      <c r="G94">
        <f t="shared" si="24"/>
        <v>160</v>
      </c>
      <c r="I94">
        <v>2150</v>
      </c>
      <c r="J94" t="s">
        <v>31</v>
      </c>
      <c r="K94">
        <f>AVERAGE(G94:G95)</f>
        <v>85</v>
      </c>
      <c r="L94" cm="1">
        <f t="array" ref="L94">STOWA2024_JAARROND_T(A94*60,K94,I94,J94,"")</f>
        <v>2.6885855881786922</v>
      </c>
      <c r="M94">
        <f>1/L94</f>
        <v>0.37194278076801801</v>
      </c>
    </row>
    <row r="95" spans="1:13" x14ac:dyDescent="0.3">
      <c r="A95">
        <v>192</v>
      </c>
      <c r="B95" s="1">
        <f>365.25*24/A95 - M95</f>
        <v>-15.465005079299686</v>
      </c>
      <c r="C95">
        <f>B95</f>
        <v>-15.465005079299686</v>
      </c>
      <c r="D95" t="s">
        <v>36</v>
      </c>
      <c r="E95" t="s">
        <v>21</v>
      </c>
      <c r="F95">
        <v>1</v>
      </c>
      <c r="G95">
        <v>10</v>
      </c>
      <c r="I95">
        <v>2150</v>
      </c>
      <c r="J95" t="s">
        <v>31</v>
      </c>
      <c r="K95">
        <f>AVERAGE(G95:G97)</f>
        <v>15</v>
      </c>
      <c r="L95" cm="1">
        <f t="array" ref="L95">STOWA2024_JAARROND_T(A95*60,K95,I95,J95,"")</f>
        <v>1.6360920578325562E-2</v>
      </c>
      <c r="M95">
        <f>1/L95</f>
        <v>61.121255079299686</v>
      </c>
    </row>
    <row r="96" spans="1:13" x14ac:dyDescent="0.3">
      <c r="A96">
        <v>192</v>
      </c>
      <c r="B96">
        <f t="shared" ref="B96:B100" si="27">M95-M96</f>
        <v>7.643762070553251</v>
      </c>
      <c r="C96">
        <f t="shared" ref="C96:C125" si="28">B96</f>
        <v>7.643762070553251</v>
      </c>
      <c r="D96" t="s">
        <v>36</v>
      </c>
      <c r="E96" t="s">
        <v>21</v>
      </c>
      <c r="F96">
        <v>1</v>
      </c>
      <c r="G96">
        <f t="shared" ref="G96:G100" si="29">G95+5</f>
        <v>15</v>
      </c>
      <c r="I96">
        <v>2150</v>
      </c>
      <c r="J96" t="s">
        <v>31</v>
      </c>
      <c r="K96">
        <f t="shared" ref="K96:K100" si="30">AVERAGE(G96:G97)</f>
        <v>17.5</v>
      </c>
      <c r="L96" cm="1">
        <f t="array" ref="L96">STOWA2024_JAARROND_T(A96*60,K96,I96,J96,"")</f>
        <v>1.8699455485627316E-2</v>
      </c>
      <c r="M96">
        <f t="shared" ref="M96:M100" si="31">1/L96</f>
        <v>53.477493008746436</v>
      </c>
    </row>
    <row r="97" spans="1:13" x14ac:dyDescent="0.3">
      <c r="A97">
        <v>192</v>
      </c>
      <c r="B97">
        <f t="shared" si="27"/>
        <v>12.548433876016858</v>
      </c>
      <c r="C97">
        <f t="shared" si="28"/>
        <v>12.548433876016858</v>
      </c>
      <c r="D97" t="s">
        <v>36</v>
      </c>
      <c r="E97" t="s">
        <v>21</v>
      </c>
      <c r="F97">
        <v>1</v>
      </c>
      <c r="G97">
        <f t="shared" si="29"/>
        <v>20</v>
      </c>
      <c r="I97">
        <v>2150</v>
      </c>
      <c r="J97" t="s">
        <v>31</v>
      </c>
      <c r="K97">
        <f t="shared" si="30"/>
        <v>22.5</v>
      </c>
      <c r="L97" cm="1">
        <f t="array" ref="L97">STOWA2024_JAARROND_T(A97*60,K97,I97,J97,"")</f>
        <v>2.4432518635649117E-2</v>
      </c>
      <c r="M97">
        <f t="shared" si="31"/>
        <v>40.929059132729577</v>
      </c>
    </row>
    <row r="98" spans="1:13" x14ac:dyDescent="0.3">
      <c r="A98">
        <v>192</v>
      </c>
      <c r="B98">
        <f t="shared" si="27"/>
        <v>9.6136834732413305</v>
      </c>
      <c r="C98">
        <f t="shared" si="28"/>
        <v>9.6136834732413305</v>
      </c>
      <c r="D98" t="s">
        <v>36</v>
      </c>
      <c r="E98" t="s">
        <v>21</v>
      </c>
      <c r="F98">
        <v>1</v>
      </c>
      <c r="G98">
        <f t="shared" si="29"/>
        <v>25</v>
      </c>
      <c r="I98">
        <v>2150</v>
      </c>
      <c r="J98" t="s">
        <v>31</v>
      </c>
      <c r="K98">
        <f t="shared" si="30"/>
        <v>27.5</v>
      </c>
      <c r="L98" cm="1">
        <f t="array" ref="L98">STOWA2024_JAARROND_T(A98*60,K98,I98,J98,"")</f>
        <v>3.1933195081982356E-2</v>
      </c>
      <c r="M98">
        <f t="shared" si="31"/>
        <v>31.315375659488247</v>
      </c>
    </row>
    <row r="99" spans="1:13" x14ac:dyDescent="0.3">
      <c r="A99">
        <v>192</v>
      </c>
      <c r="B99">
        <f t="shared" si="27"/>
        <v>7.3628059357933253</v>
      </c>
      <c r="C99">
        <f t="shared" si="28"/>
        <v>7.3628059357933253</v>
      </c>
      <c r="D99" t="s">
        <v>36</v>
      </c>
      <c r="E99" t="s">
        <v>21</v>
      </c>
      <c r="F99">
        <v>1</v>
      </c>
      <c r="G99">
        <f t="shared" si="29"/>
        <v>30</v>
      </c>
      <c r="I99">
        <v>2150</v>
      </c>
      <c r="J99" t="s">
        <v>31</v>
      </c>
      <c r="K99">
        <f t="shared" si="30"/>
        <v>32.5</v>
      </c>
      <c r="L99" cm="1">
        <f t="array" ref="L99">STOWA2024_JAARROND_T(A99*60,K99,I99,J99,"")</f>
        <v>4.1749173952336169E-2</v>
      </c>
      <c r="M99">
        <f t="shared" si="31"/>
        <v>23.952569723694921</v>
      </c>
    </row>
    <row r="100" spans="1:13" x14ac:dyDescent="0.3">
      <c r="A100">
        <v>192</v>
      </c>
      <c r="B100">
        <f t="shared" si="27"/>
        <v>5.6372697048589622</v>
      </c>
      <c r="C100">
        <f t="shared" si="28"/>
        <v>5.6372697048589622</v>
      </c>
      <c r="D100" t="s">
        <v>36</v>
      </c>
      <c r="E100" t="s">
        <v>21</v>
      </c>
      <c r="F100">
        <v>1</v>
      </c>
      <c r="G100">
        <f t="shared" si="29"/>
        <v>35</v>
      </c>
      <c r="I100">
        <v>2150</v>
      </c>
      <c r="J100" t="s">
        <v>31</v>
      </c>
      <c r="K100">
        <f t="shared" si="30"/>
        <v>37.5</v>
      </c>
      <c r="L100" cm="1">
        <f t="array" ref="L100">STOWA2024_JAARROND_T(A100*60,K100,I100,J100,"")</f>
        <v>5.4599160208763847E-2</v>
      </c>
      <c r="M100">
        <f t="shared" si="31"/>
        <v>18.315300018835959</v>
      </c>
    </row>
    <row r="101" spans="1:13" x14ac:dyDescent="0.3">
      <c r="A101">
        <v>192</v>
      </c>
      <c r="B101">
        <f>M100-M101</f>
        <v>4.3148339586297908</v>
      </c>
      <c r="C101">
        <f t="shared" si="28"/>
        <v>4.3148339586297908</v>
      </c>
      <c r="D101" t="s">
        <v>36</v>
      </c>
      <c r="E101" t="s">
        <v>21</v>
      </c>
      <c r="F101">
        <v>1</v>
      </c>
      <c r="G101">
        <f>G100+5</f>
        <v>40</v>
      </c>
      <c r="I101">
        <v>2150</v>
      </c>
      <c r="J101" t="s">
        <v>31</v>
      </c>
      <c r="K101">
        <f>AVERAGE(G101:G102)</f>
        <v>42.5</v>
      </c>
      <c r="L101" cm="1">
        <f t="array" ref="L101">STOWA2024_JAARROND_T(A101*60,K101,I101,J101,"")</f>
        <v>7.1426193649532996E-2</v>
      </c>
      <c r="M101">
        <f>1/L101</f>
        <v>14.000466060206168</v>
      </c>
    </row>
    <row r="102" spans="1:13" x14ac:dyDescent="0.3">
      <c r="A102">
        <v>192</v>
      </c>
      <c r="B102">
        <f t="shared" ref="B102:B124" si="32">M101-M102</f>
        <v>3.3017529976812625</v>
      </c>
      <c r="C102">
        <f t="shared" si="28"/>
        <v>3.3017529976812625</v>
      </c>
      <c r="D102" t="s">
        <v>36</v>
      </c>
      <c r="E102" t="s">
        <v>21</v>
      </c>
      <c r="F102">
        <v>1</v>
      </c>
      <c r="G102">
        <f t="shared" ref="G102:G125" si="33">G101+5</f>
        <v>45</v>
      </c>
      <c r="I102">
        <v>2150</v>
      </c>
      <c r="J102" t="s">
        <v>31</v>
      </c>
      <c r="K102">
        <f t="shared" ref="K102:K124" si="34">AVERAGE(G102:G103)</f>
        <v>47.5</v>
      </c>
      <c r="L102" cm="1">
        <f t="array" ref="L102">STOWA2024_JAARROND_T(A102*60,K102,I102,J102,"")</f>
        <v>9.346918588767153E-2</v>
      </c>
      <c r="M102">
        <f t="shared" ref="M102:M124" si="35">1/L102</f>
        <v>10.698713062524906</v>
      </c>
    </row>
    <row r="103" spans="1:13" x14ac:dyDescent="0.3">
      <c r="A103">
        <v>192</v>
      </c>
      <c r="B103">
        <f t="shared" si="32"/>
        <v>2.5255051104942012</v>
      </c>
      <c r="C103">
        <f t="shared" si="28"/>
        <v>2.5255051104942012</v>
      </c>
      <c r="D103" t="s">
        <v>36</v>
      </c>
      <c r="E103" t="s">
        <v>21</v>
      </c>
      <c r="F103">
        <v>1</v>
      </c>
      <c r="G103">
        <f t="shared" si="33"/>
        <v>50</v>
      </c>
      <c r="I103">
        <v>2150</v>
      </c>
      <c r="J103" t="s">
        <v>31</v>
      </c>
      <c r="K103">
        <f t="shared" si="34"/>
        <v>52.5</v>
      </c>
      <c r="L103" cm="1">
        <f t="array" ref="L103">STOWA2024_JAARROND_T(A103*60,K103,I103,J103,"")</f>
        <v>0.12235097967274176</v>
      </c>
      <c r="M103">
        <f t="shared" si="35"/>
        <v>8.1732079520307046</v>
      </c>
    </row>
    <row r="104" spans="1:13" x14ac:dyDescent="0.3">
      <c r="A104">
        <v>192</v>
      </c>
      <c r="B104">
        <f t="shared" si="32"/>
        <v>1.9313544146317083</v>
      </c>
      <c r="C104">
        <f t="shared" si="28"/>
        <v>1.9313544146317083</v>
      </c>
      <c r="D104" t="s">
        <v>36</v>
      </c>
      <c r="E104" t="s">
        <v>21</v>
      </c>
      <c r="F104">
        <v>1</v>
      </c>
      <c r="G104">
        <f t="shared" si="33"/>
        <v>55</v>
      </c>
      <c r="I104">
        <v>2150</v>
      </c>
      <c r="J104" t="s">
        <v>31</v>
      </c>
      <c r="K104">
        <f t="shared" si="34"/>
        <v>57.5</v>
      </c>
      <c r="L104" cm="1">
        <f t="array" ref="L104">STOWA2024_JAARROND_T(A104*60,K104,I104,J104,"")</f>
        <v>0.16020882162779868</v>
      </c>
      <c r="M104">
        <f t="shared" si="35"/>
        <v>6.2418535373989963</v>
      </c>
    </row>
    <row r="105" spans="1:13" x14ac:dyDescent="0.3">
      <c r="A105">
        <v>192</v>
      </c>
      <c r="B105">
        <f t="shared" si="32"/>
        <v>1.4764452211394392</v>
      </c>
      <c r="C105">
        <f t="shared" si="28"/>
        <v>1.4764452211394392</v>
      </c>
      <c r="D105" t="s">
        <v>36</v>
      </c>
      <c r="E105" t="s">
        <v>21</v>
      </c>
      <c r="F105">
        <v>1</v>
      </c>
      <c r="G105">
        <f t="shared" si="33"/>
        <v>60</v>
      </c>
      <c r="I105">
        <v>2150</v>
      </c>
      <c r="J105" t="s">
        <v>31</v>
      </c>
      <c r="K105">
        <f t="shared" si="34"/>
        <v>62.5</v>
      </c>
      <c r="L105" cm="1">
        <f t="array" ref="L105">STOWA2024_JAARROND_T(A105*60,K105,I105,J105,"")</f>
        <v>0.20984560684716216</v>
      </c>
      <c r="M105">
        <f t="shared" si="35"/>
        <v>4.7654083162595571</v>
      </c>
    </row>
    <row r="106" spans="1:13" x14ac:dyDescent="0.3">
      <c r="A106">
        <v>192</v>
      </c>
      <c r="B106">
        <f t="shared" si="32"/>
        <v>1.1283334807972158</v>
      </c>
      <c r="C106">
        <f t="shared" si="28"/>
        <v>1.1283334807972158</v>
      </c>
      <c r="D106" t="s">
        <v>36</v>
      </c>
      <c r="E106" t="s">
        <v>21</v>
      </c>
      <c r="F106">
        <v>1</v>
      </c>
      <c r="G106">
        <f t="shared" si="33"/>
        <v>65</v>
      </c>
      <c r="I106">
        <v>2150</v>
      </c>
      <c r="J106" t="s">
        <v>31</v>
      </c>
      <c r="K106">
        <f t="shared" si="34"/>
        <v>67.5</v>
      </c>
      <c r="L106" cm="1">
        <f t="array" ref="L106">STOWA2024_JAARROND_T(A106*60,K106,I106,J106,"")</f>
        <v>0.27494622608524938</v>
      </c>
      <c r="M106">
        <f t="shared" si="35"/>
        <v>3.6370748354623412</v>
      </c>
    </row>
    <row r="107" spans="1:13" x14ac:dyDescent="0.3">
      <c r="A107">
        <v>192</v>
      </c>
      <c r="B107">
        <f t="shared" si="32"/>
        <v>0.86203077929284788</v>
      </c>
      <c r="C107">
        <f t="shared" si="28"/>
        <v>0.86203077929284788</v>
      </c>
      <c r="D107" t="s">
        <v>36</v>
      </c>
      <c r="E107" t="s">
        <v>21</v>
      </c>
      <c r="F107">
        <v>1</v>
      </c>
      <c r="G107">
        <f t="shared" si="33"/>
        <v>70</v>
      </c>
      <c r="I107">
        <v>2150</v>
      </c>
      <c r="J107" t="s">
        <v>31</v>
      </c>
      <c r="K107">
        <f t="shared" si="34"/>
        <v>72.5</v>
      </c>
      <c r="L107" cm="1">
        <f t="array" ref="L107">STOWA2024_JAARROND_T(A107*60,K107,I107,J107,"")</f>
        <v>0.36035463933511053</v>
      </c>
      <c r="M107">
        <f t="shared" si="35"/>
        <v>2.7750440561694933</v>
      </c>
    </row>
    <row r="108" spans="1:13" x14ac:dyDescent="0.3">
      <c r="A108">
        <v>192</v>
      </c>
      <c r="B108">
        <f t="shared" si="32"/>
        <v>0.65839900402151885</v>
      </c>
      <c r="C108">
        <f t="shared" si="28"/>
        <v>0.65839900402151885</v>
      </c>
      <c r="D108" t="s">
        <v>36</v>
      </c>
      <c r="E108" t="s">
        <v>21</v>
      </c>
      <c r="F108">
        <v>1</v>
      </c>
      <c r="G108">
        <f t="shared" si="33"/>
        <v>75</v>
      </c>
      <c r="I108">
        <v>2150</v>
      </c>
      <c r="J108" t="s">
        <v>31</v>
      </c>
      <c r="K108">
        <f t="shared" si="34"/>
        <v>77.5</v>
      </c>
      <c r="L108" cm="1">
        <f t="array" ref="L108">STOWA2024_JAARROND_T(A108*60,K108,I108,J108,"")</f>
        <v>0.47244576930137561</v>
      </c>
      <c r="M108">
        <f t="shared" si="35"/>
        <v>2.1166450521479745</v>
      </c>
    </row>
    <row r="109" spans="1:13" x14ac:dyDescent="0.3">
      <c r="A109">
        <v>192</v>
      </c>
      <c r="B109">
        <f t="shared" si="32"/>
        <v>0.50268235053287103</v>
      </c>
      <c r="C109">
        <f t="shared" si="28"/>
        <v>0.50268235053287103</v>
      </c>
      <c r="D109" t="s">
        <v>36</v>
      </c>
      <c r="E109" t="s">
        <v>21</v>
      </c>
      <c r="F109">
        <v>1</v>
      </c>
      <c r="G109">
        <f t="shared" si="33"/>
        <v>80</v>
      </c>
      <c r="I109">
        <v>2150</v>
      </c>
      <c r="J109" t="s">
        <v>31</v>
      </c>
      <c r="K109">
        <f t="shared" si="34"/>
        <v>82.5</v>
      </c>
      <c r="L109" cm="1">
        <f t="array" ref="L109">STOWA2024_JAARROND_T(A109*60,K109,I109,J109,"")</f>
        <v>0.61959300484409785</v>
      </c>
      <c r="M109">
        <f t="shared" si="35"/>
        <v>1.6139627016151035</v>
      </c>
    </row>
    <row r="110" spans="1:13" x14ac:dyDescent="0.3">
      <c r="A110">
        <v>192</v>
      </c>
      <c r="B110">
        <f t="shared" si="32"/>
        <v>0.38369021200052345</v>
      </c>
      <c r="C110">
        <f t="shared" si="28"/>
        <v>0.38369021200052345</v>
      </c>
      <c r="D110" t="s">
        <v>36</v>
      </c>
      <c r="E110" t="s">
        <v>21</v>
      </c>
      <c r="F110">
        <v>1</v>
      </c>
      <c r="G110">
        <f t="shared" si="33"/>
        <v>85</v>
      </c>
      <c r="I110">
        <v>2150</v>
      </c>
      <c r="J110" t="s">
        <v>31</v>
      </c>
      <c r="K110">
        <f t="shared" si="34"/>
        <v>87.5</v>
      </c>
      <c r="L110" cm="1">
        <f t="array" ref="L110">STOWA2024_JAARROND_T(A110*60,K110,I110,J110,"")</f>
        <v>0.81282805918327916</v>
      </c>
      <c r="M110">
        <f t="shared" si="35"/>
        <v>1.23027248961458</v>
      </c>
    </row>
    <row r="111" spans="1:13" x14ac:dyDescent="0.3">
      <c r="A111">
        <v>192</v>
      </c>
      <c r="B111">
        <f t="shared" si="32"/>
        <v>0.29269181649743825</v>
      </c>
      <c r="C111">
        <f t="shared" si="28"/>
        <v>0.29269181649743825</v>
      </c>
      <c r="D111" t="s">
        <v>36</v>
      </c>
      <c r="E111" t="s">
        <v>21</v>
      </c>
      <c r="F111">
        <v>1</v>
      </c>
      <c r="G111">
        <f t="shared" si="33"/>
        <v>90</v>
      </c>
      <c r="I111">
        <v>2150</v>
      </c>
      <c r="J111" t="s">
        <v>31</v>
      </c>
      <c r="K111">
        <f t="shared" si="34"/>
        <v>92.5</v>
      </c>
      <c r="L111" cm="1">
        <f t="array" ref="L111">STOWA2024_JAARROND_T(A111*60,K111,I111,J111,"")</f>
        <v>1.066574886484525</v>
      </c>
      <c r="M111">
        <f t="shared" si="35"/>
        <v>0.93758067311714177</v>
      </c>
    </row>
    <row r="112" spans="1:13" x14ac:dyDescent="0.3">
      <c r="A112">
        <v>192</v>
      </c>
      <c r="B112">
        <f t="shared" si="32"/>
        <v>0.22334012789827884</v>
      </c>
      <c r="C112">
        <f t="shared" si="28"/>
        <v>0.22334012789827884</v>
      </c>
      <c r="D112" t="s">
        <v>36</v>
      </c>
      <c r="E112" t="s">
        <v>21</v>
      </c>
      <c r="F112">
        <v>1</v>
      </c>
      <c r="G112">
        <f t="shared" si="33"/>
        <v>95</v>
      </c>
      <c r="I112">
        <v>2150</v>
      </c>
      <c r="J112" t="s">
        <v>31</v>
      </c>
      <c r="K112">
        <f t="shared" si="34"/>
        <v>97.5</v>
      </c>
      <c r="L112" cm="1">
        <f t="array" ref="L112">STOWA2024_JAARROND_T(A112*60,K112,I112,J112,"")</f>
        <v>1.4000885369698139</v>
      </c>
      <c r="M112">
        <f t="shared" si="35"/>
        <v>0.71424054521886293</v>
      </c>
    </row>
    <row r="113" spans="1:13" x14ac:dyDescent="0.3">
      <c r="A113">
        <v>192</v>
      </c>
      <c r="B113">
        <f t="shared" si="32"/>
        <v>0.17031895618128146</v>
      </c>
      <c r="C113">
        <f t="shared" si="28"/>
        <v>0.17031895618128146</v>
      </c>
      <c r="D113" t="s">
        <v>36</v>
      </c>
      <c r="E113" t="s">
        <v>21</v>
      </c>
      <c r="F113">
        <v>1</v>
      </c>
      <c r="G113">
        <f t="shared" si="33"/>
        <v>100</v>
      </c>
      <c r="I113">
        <v>2150</v>
      </c>
      <c r="J113" t="s">
        <v>31</v>
      </c>
      <c r="K113">
        <f t="shared" si="34"/>
        <v>102.5</v>
      </c>
      <c r="L113" cm="1">
        <f t="array" ref="L113">STOWA2024_JAARROND_T(A113*60,K113,I113,J113,"")</f>
        <v>1.8385002915023225</v>
      </c>
      <c r="M113">
        <f t="shared" si="35"/>
        <v>0.54392158903758148</v>
      </c>
    </row>
    <row r="114" spans="1:13" x14ac:dyDescent="0.3">
      <c r="A114">
        <v>192</v>
      </c>
      <c r="B114">
        <f t="shared" si="32"/>
        <v>0.1298318164822781</v>
      </c>
      <c r="C114">
        <f t="shared" si="28"/>
        <v>0.1298318164822781</v>
      </c>
      <c r="D114" t="s">
        <v>36</v>
      </c>
      <c r="E114" t="s">
        <v>21</v>
      </c>
      <c r="F114">
        <v>1</v>
      </c>
      <c r="G114">
        <f t="shared" si="33"/>
        <v>105</v>
      </c>
      <c r="I114">
        <v>2150</v>
      </c>
      <c r="J114" t="s">
        <v>31</v>
      </c>
      <c r="K114">
        <f t="shared" si="34"/>
        <v>107.5</v>
      </c>
      <c r="L114" cm="1">
        <f t="array" ref="L114">STOWA2024_JAARROND_T(A114*60,K114,I114,J114,"")</f>
        <v>2.414935277993242</v>
      </c>
      <c r="M114">
        <f t="shared" si="35"/>
        <v>0.41408977255530338</v>
      </c>
    </row>
    <row r="115" spans="1:13" x14ac:dyDescent="0.3">
      <c r="A115">
        <v>192</v>
      </c>
      <c r="B115">
        <f t="shared" si="32"/>
        <v>9.8943078984983002E-2</v>
      </c>
      <c r="C115">
        <f t="shared" si="28"/>
        <v>9.8943078984983002E-2</v>
      </c>
      <c r="D115" t="s">
        <v>36</v>
      </c>
      <c r="E115" t="s">
        <v>21</v>
      </c>
      <c r="F115">
        <v>1</v>
      </c>
      <c r="G115">
        <f t="shared" si="33"/>
        <v>110</v>
      </c>
      <c r="I115">
        <v>2150</v>
      </c>
      <c r="J115" t="s">
        <v>31</v>
      </c>
      <c r="K115">
        <f t="shared" si="34"/>
        <v>112.5</v>
      </c>
      <c r="L115" cm="1">
        <f t="array" ref="L115">STOWA2024_JAARROND_T(A115*60,K115,I115,J115,"")</f>
        <v>3.1731254695104858</v>
      </c>
      <c r="M115">
        <f t="shared" si="35"/>
        <v>0.31514669357032038</v>
      </c>
    </row>
    <row r="116" spans="1:13" x14ac:dyDescent="0.3">
      <c r="A116">
        <v>192</v>
      </c>
      <c r="B116">
        <f t="shared" si="32"/>
        <v>7.5378570569459458E-2</v>
      </c>
      <c r="C116">
        <f t="shared" si="28"/>
        <v>7.5378570569459458E-2</v>
      </c>
      <c r="D116" t="s">
        <v>36</v>
      </c>
      <c r="E116" t="s">
        <v>21</v>
      </c>
      <c r="F116">
        <v>1</v>
      </c>
      <c r="G116">
        <f t="shared" si="33"/>
        <v>115</v>
      </c>
      <c r="I116">
        <v>2150</v>
      </c>
      <c r="J116" t="s">
        <v>31</v>
      </c>
      <c r="K116">
        <f t="shared" si="34"/>
        <v>117.5</v>
      </c>
      <c r="L116" cm="1">
        <f t="array" ref="L116">STOWA2024_JAARROND_T(A116*60,K116,I116,J116,"")</f>
        <v>4.1706962021653284</v>
      </c>
      <c r="M116">
        <f t="shared" si="35"/>
        <v>0.23976812300086092</v>
      </c>
    </row>
    <row r="117" spans="1:13" x14ac:dyDescent="0.3">
      <c r="A117">
        <v>192</v>
      </c>
      <c r="B117">
        <f t="shared" si="32"/>
        <v>5.7407690444913062E-2</v>
      </c>
      <c r="C117">
        <f t="shared" si="28"/>
        <v>5.7407690444913062E-2</v>
      </c>
      <c r="D117" t="s">
        <v>36</v>
      </c>
      <c r="E117" t="s">
        <v>21</v>
      </c>
      <c r="F117">
        <v>1</v>
      </c>
      <c r="G117">
        <f t="shared" si="33"/>
        <v>120</v>
      </c>
      <c r="I117">
        <v>2150</v>
      </c>
      <c r="J117" t="s">
        <v>31</v>
      </c>
      <c r="K117">
        <f t="shared" si="34"/>
        <v>122.5</v>
      </c>
      <c r="L117" cm="1">
        <f t="array" ref="L117">STOWA2024_JAARROND_T(A117*60,K117,I117,J117,"")</f>
        <v>5.4836456899344199</v>
      </c>
      <c r="M117">
        <f t="shared" si="35"/>
        <v>0.18236043255594786</v>
      </c>
    </row>
    <row r="118" spans="1:13" x14ac:dyDescent="0.3">
      <c r="A118">
        <v>192</v>
      </c>
      <c r="B118">
        <f t="shared" si="32"/>
        <v>4.3706097831808621E-2</v>
      </c>
      <c r="C118">
        <f t="shared" si="28"/>
        <v>4.3706097831808621E-2</v>
      </c>
      <c r="D118" t="s">
        <v>36</v>
      </c>
      <c r="E118" t="s">
        <v>21</v>
      </c>
      <c r="F118">
        <v>1</v>
      </c>
      <c r="G118">
        <f t="shared" si="33"/>
        <v>125</v>
      </c>
      <c r="I118">
        <v>2150</v>
      </c>
      <c r="J118" t="s">
        <v>31</v>
      </c>
      <c r="K118">
        <f t="shared" si="34"/>
        <v>127.5</v>
      </c>
      <c r="L118" cm="1">
        <f t="array" ref="L118">STOWA2024_JAARROND_T(A118*60,K118,I118,J118,"")</f>
        <v>7.2121798571213622</v>
      </c>
      <c r="M118">
        <f t="shared" si="35"/>
        <v>0.13865433472413924</v>
      </c>
    </row>
    <row r="119" spans="1:13" x14ac:dyDescent="0.3">
      <c r="A119">
        <v>192</v>
      </c>
      <c r="B119">
        <f t="shared" si="32"/>
        <v>3.3265932015500252E-2</v>
      </c>
      <c r="C119">
        <f t="shared" si="28"/>
        <v>3.3265932015500252E-2</v>
      </c>
      <c r="D119" t="s">
        <v>36</v>
      </c>
      <c r="E119" t="s">
        <v>21</v>
      </c>
      <c r="F119">
        <v>1</v>
      </c>
      <c r="G119">
        <f t="shared" si="33"/>
        <v>130</v>
      </c>
      <c r="I119">
        <v>2150</v>
      </c>
      <c r="J119" t="s">
        <v>31</v>
      </c>
      <c r="K119">
        <f t="shared" si="34"/>
        <v>132.5</v>
      </c>
      <c r="L119" cm="1">
        <f t="array" ref="L119">STOWA2024_JAARROND_T(A119*60,K119,I119,J119,"")</f>
        <v>9.4887100885724607</v>
      </c>
      <c r="M119">
        <f t="shared" si="35"/>
        <v>0.10538840270863899</v>
      </c>
    </row>
    <row r="120" spans="1:13" x14ac:dyDescent="0.3">
      <c r="A120">
        <v>192</v>
      </c>
      <c r="B120">
        <f t="shared" si="32"/>
        <v>2.5310615703039802E-2</v>
      </c>
      <c r="C120">
        <f t="shared" si="28"/>
        <v>2.5310615703039802E-2</v>
      </c>
      <c r="D120" t="s">
        <v>36</v>
      </c>
      <c r="E120" t="s">
        <v>21</v>
      </c>
      <c r="F120">
        <v>1</v>
      </c>
      <c r="G120">
        <f t="shared" si="33"/>
        <v>135</v>
      </c>
      <c r="I120">
        <v>2150</v>
      </c>
      <c r="J120" t="s">
        <v>31</v>
      </c>
      <c r="K120">
        <f t="shared" si="34"/>
        <v>137.5</v>
      </c>
      <c r="L120" cm="1">
        <f t="array" ref="L120">STOWA2024_JAARROND_T(A120*60,K120,I120,J120,"")</f>
        <v>12.487857586899574</v>
      </c>
      <c r="M120">
        <f t="shared" si="35"/>
        <v>8.0077787005599185E-2</v>
      </c>
    </row>
    <row r="121" spans="1:13" x14ac:dyDescent="0.3">
      <c r="A121">
        <v>192</v>
      </c>
      <c r="B121">
        <f t="shared" si="32"/>
        <v>1.9251145157248857E-2</v>
      </c>
      <c r="C121">
        <f t="shared" si="28"/>
        <v>1.9251145157248857E-2</v>
      </c>
      <c r="D121" t="s">
        <v>36</v>
      </c>
      <c r="E121" t="s">
        <v>21</v>
      </c>
      <c r="F121">
        <v>1</v>
      </c>
      <c r="G121">
        <f t="shared" si="33"/>
        <v>140</v>
      </c>
      <c r="I121">
        <v>2150</v>
      </c>
      <c r="J121" t="s">
        <v>31</v>
      </c>
      <c r="K121">
        <f t="shared" si="34"/>
        <v>142.5</v>
      </c>
      <c r="L121" cm="1">
        <f t="array" ref="L121">STOWA2024_JAARROND_T(A121*60,K121,I121,J121,"")</f>
        <v>16.440164533382355</v>
      </c>
      <c r="M121">
        <f t="shared" si="35"/>
        <v>6.0826641848350328E-2</v>
      </c>
    </row>
    <row r="122" spans="1:13" x14ac:dyDescent="0.3">
      <c r="A122">
        <v>192</v>
      </c>
      <c r="B122">
        <f t="shared" si="32"/>
        <v>1.4638376109088046E-2</v>
      </c>
      <c r="C122">
        <f t="shared" si="28"/>
        <v>1.4638376109088046E-2</v>
      </c>
      <c r="D122" t="s">
        <v>36</v>
      </c>
      <c r="E122" t="s">
        <v>21</v>
      </c>
      <c r="F122">
        <v>1</v>
      </c>
      <c r="G122">
        <f t="shared" si="33"/>
        <v>145</v>
      </c>
      <c r="I122">
        <v>2150</v>
      </c>
      <c r="J122" t="s">
        <v>31</v>
      </c>
      <c r="K122">
        <f t="shared" si="34"/>
        <v>147.5</v>
      </c>
      <c r="L122" cm="1">
        <f t="array" ref="L122">STOWA2024_JAARROND_T(A122*60,K122,I122,J122,"")</f>
        <v>21.650520624547962</v>
      </c>
      <c r="M122">
        <f t="shared" si="35"/>
        <v>4.6188265739262283E-2</v>
      </c>
    </row>
    <row r="123" spans="1:13" x14ac:dyDescent="0.3">
      <c r="A123">
        <v>192</v>
      </c>
      <c r="B123">
        <f t="shared" si="32"/>
        <v>1.1126701482332302E-2</v>
      </c>
      <c r="C123">
        <f t="shared" si="28"/>
        <v>1.1126701482332302E-2</v>
      </c>
      <c r="D123" t="s">
        <v>36</v>
      </c>
      <c r="E123" t="s">
        <v>21</v>
      </c>
      <c r="F123">
        <v>1</v>
      </c>
      <c r="G123">
        <f t="shared" si="33"/>
        <v>150</v>
      </c>
      <c r="I123">
        <v>2150</v>
      </c>
      <c r="J123" t="s">
        <v>31</v>
      </c>
      <c r="K123">
        <f t="shared" si="34"/>
        <v>152.5</v>
      </c>
      <c r="L123" cm="1">
        <f t="array" ref="L123">STOWA2024_JAARROND_T(A123*60,K123,I123,J123,"")</f>
        <v>28.521260280118515</v>
      </c>
      <c r="M123">
        <f t="shared" si="35"/>
        <v>3.5061564256929981E-2</v>
      </c>
    </row>
    <row r="124" spans="1:13" x14ac:dyDescent="0.3">
      <c r="A124">
        <v>192</v>
      </c>
      <c r="B124">
        <f t="shared" si="32"/>
        <v>8.4551451938028287E-3</v>
      </c>
      <c r="C124">
        <f t="shared" si="28"/>
        <v>8.4551451938028287E-3</v>
      </c>
      <c r="D124" t="s">
        <v>36</v>
      </c>
      <c r="E124" t="s">
        <v>21</v>
      </c>
      <c r="F124">
        <v>1</v>
      </c>
      <c r="G124">
        <f t="shared" si="33"/>
        <v>155</v>
      </c>
      <c r="I124">
        <v>2150</v>
      </c>
      <c r="J124" t="s">
        <v>31</v>
      </c>
      <c r="K124">
        <f t="shared" si="34"/>
        <v>157.5</v>
      </c>
      <c r="L124" cm="1">
        <f t="array" ref="L124">STOWA2024_JAARROND_T(A124*60,K124,I124,J124,"")</f>
        <v>37.584915039764326</v>
      </c>
      <c r="M124">
        <f t="shared" si="35"/>
        <v>2.6606419063127152E-2</v>
      </c>
    </row>
    <row r="125" spans="1:13" x14ac:dyDescent="0.3">
      <c r="A125">
        <v>192</v>
      </c>
      <c r="B125" s="1">
        <f>M124</f>
        <v>2.6606419063127152E-2</v>
      </c>
      <c r="C125">
        <f t="shared" si="28"/>
        <v>2.6606419063127152E-2</v>
      </c>
      <c r="D125" t="s">
        <v>36</v>
      </c>
      <c r="E125" t="s">
        <v>21</v>
      </c>
      <c r="F125">
        <v>1</v>
      </c>
      <c r="G125">
        <f t="shared" si="33"/>
        <v>160</v>
      </c>
      <c r="I125">
        <v>2150</v>
      </c>
      <c r="J125" t="s">
        <v>31</v>
      </c>
      <c r="K125">
        <f>AVERAGE(G125:G126)</f>
        <v>85</v>
      </c>
      <c r="L125" cm="1">
        <f t="array" ref="L125">STOWA2024_JAARROND_T(A125*60,K125,I125,J125,"")</f>
        <v>0.70963498988221652</v>
      </c>
      <c r="M125">
        <f>1/L125</f>
        <v>1.4091751594238293</v>
      </c>
    </row>
    <row r="126" spans="1:13" x14ac:dyDescent="0.3">
      <c r="A126">
        <v>216</v>
      </c>
      <c r="B126" s="1">
        <f>365.25*24/A126 - M126</f>
        <v>-21.822461198982737</v>
      </c>
      <c r="C126">
        <f>B126</f>
        <v>-21.822461198982737</v>
      </c>
      <c r="D126" t="s">
        <v>36</v>
      </c>
      <c r="E126" t="s">
        <v>21</v>
      </c>
      <c r="F126">
        <v>1</v>
      </c>
      <c r="G126">
        <v>10</v>
      </c>
      <c r="I126">
        <v>2150</v>
      </c>
      <c r="J126" t="s">
        <v>31</v>
      </c>
      <c r="K126">
        <f>AVERAGE(G126:G128)</f>
        <v>15</v>
      </c>
      <c r="L126" cm="1">
        <f t="array" ref="L126">STOWA2024_JAARROND_T(A126*60,K126,I126,J126,"")</f>
        <v>1.6024153005249574E-2</v>
      </c>
      <c r="M126">
        <f>1/L126</f>
        <v>62.405794532316072</v>
      </c>
    </row>
    <row r="127" spans="1:13" x14ac:dyDescent="0.3">
      <c r="A127">
        <v>216</v>
      </c>
      <c r="B127">
        <f t="shared" ref="B127:B131" si="36">M126-M127</f>
        <v>7.23064134488029</v>
      </c>
      <c r="C127">
        <f t="shared" ref="C127:C156" si="37">B127</f>
        <v>7.23064134488029</v>
      </c>
      <c r="D127" t="s">
        <v>36</v>
      </c>
      <c r="E127" t="s">
        <v>21</v>
      </c>
      <c r="F127">
        <v>1</v>
      </c>
      <c r="G127">
        <f t="shared" ref="G127:G131" si="38">G126+5</f>
        <v>15</v>
      </c>
      <c r="I127">
        <v>2150</v>
      </c>
      <c r="J127" t="s">
        <v>31</v>
      </c>
      <c r="K127">
        <f t="shared" ref="K127:K131" si="39">AVERAGE(G127:G128)</f>
        <v>17.5</v>
      </c>
      <c r="L127" cm="1">
        <f t="array" ref="L127">STOWA2024_JAARROND_T(A127*60,K127,I127,J127,"")</f>
        <v>1.8124100110839658E-2</v>
      </c>
      <c r="M127">
        <f t="shared" ref="M127:M131" si="40">1/L127</f>
        <v>55.175153187435782</v>
      </c>
    </row>
    <row r="128" spans="1:13" x14ac:dyDescent="0.3">
      <c r="A128">
        <v>216</v>
      </c>
      <c r="B128">
        <f t="shared" si="36"/>
        <v>12.077085508069587</v>
      </c>
      <c r="C128">
        <f t="shared" si="37"/>
        <v>12.077085508069587</v>
      </c>
      <c r="D128" t="s">
        <v>36</v>
      </c>
      <c r="E128" t="s">
        <v>21</v>
      </c>
      <c r="F128">
        <v>1</v>
      </c>
      <c r="G128">
        <f t="shared" si="38"/>
        <v>20</v>
      </c>
      <c r="I128">
        <v>2150</v>
      </c>
      <c r="J128" t="s">
        <v>31</v>
      </c>
      <c r="K128">
        <f t="shared" si="39"/>
        <v>22.5</v>
      </c>
      <c r="L128" cm="1">
        <f t="array" ref="L128">STOWA2024_JAARROND_T(A128*60,K128,I128,J128,"")</f>
        <v>2.3202896413816808E-2</v>
      </c>
      <c r="M128">
        <f t="shared" si="40"/>
        <v>43.098067679366196</v>
      </c>
    </row>
    <row r="129" spans="1:13" x14ac:dyDescent="0.3">
      <c r="A129">
        <v>216</v>
      </c>
      <c r="B129">
        <f t="shared" si="36"/>
        <v>9.4649339278228197</v>
      </c>
      <c r="C129">
        <f t="shared" si="37"/>
        <v>9.4649339278228197</v>
      </c>
      <c r="D129" t="s">
        <v>36</v>
      </c>
      <c r="E129" t="s">
        <v>21</v>
      </c>
      <c r="F129">
        <v>1</v>
      </c>
      <c r="G129">
        <f t="shared" si="38"/>
        <v>25</v>
      </c>
      <c r="I129">
        <v>2150</v>
      </c>
      <c r="J129" t="s">
        <v>31</v>
      </c>
      <c r="K129">
        <f t="shared" si="39"/>
        <v>27.5</v>
      </c>
      <c r="L129" cm="1">
        <f t="array" ref="L129">STOWA2024_JAARROND_T(A129*60,K129,I129,J129,"")</f>
        <v>2.9732584759637849E-2</v>
      </c>
      <c r="M129">
        <f t="shared" si="40"/>
        <v>33.633133751543376</v>
      </c>
    </row>
    <row r="130" spans="1:13" x14ac:dyDescent="0.3">
      <c r="A130">
        <v>216</v>
      </c>
      <c r="B130">
        <f t="shared" si="36"/>
        <v>7.4107747590734441</v>
      </c>
      <c r="C130">
        <f t="shared" si="37"/>
        <v>7.4107747590734441</v>
      </c>
      <c r="D130" t="s">
        <v>36</v>
      </c>
      <c r="E130" t="s">
        <v>21</v>
      </c>
      <c r="F130">
        <v>1</v>
      </c>
      <c r="G130">
        <f t="shared" si="38"/>
        <v>30</v>
      </c>
      <c r="I130">
        <v>2150</v>
      </c>
      <c r="J130" t="s">
        <v>31</v>
      </c>
      <c r="K130">
        <f t="shared" si="39"/>
        <v>32.5</v>
      </c>
      <c r="L130" cm="1">
        <f t="array" ref="L130">STOWA2024_JAARROND_T(A130*60,K130,I130,J130,"")</f>
        <v>3.8135394313195167E-2</v>
      </c>
      <c r="M130">
        <f t="shared" si="40"/>
        <v>26.222358992469932</v>
      </c>
    </row>
    <row r="131" spans="1:13" x14ac:dyDescent="0.3">
      <c r="A131">
        <v>216</v>
      </c>
      <c r="B131">
        <f t="shared" si="36"/>
        <v>5.7971170599326314</v>
      </c>
      <c r="C131">
        <f t="shared" si="37"/>
        <v>5.7971170599326314</v>
      </c>
      <c r="D131" t="s">
        <v>36</v>
      </c>
      <c r="E131" t="s">
        <v>21</v>
      </c>
      <c r="F131">
        <v>1</v>
      </c>
      <c r="G131">
        <f t="shared" si="38"/>
        <v>35</v>
      </c>
      <c r="I131">
        <v>2150</v>
      </c>
      <c r="J131" t="s">
        <v>31</v>
      </c>
      <c r="K131">
        <f t="shared" si="39"/>
        <v>37.5</v>
      </c>
      <c r="L131" cm="1">
        <f t="array" ref="L131">STOWA2024_JAARROND_T(A131*60,K131,I131,J131,"")</f>
        <v>4.8959028407247668E-2</v>
      </c>
      <c r="M131">
        <f t="shared" si="40"/>
        <v>20.4252419325373</v>
      </c>
    </row>
    <row r="132" spans="1:13" x14ac:dyDescent="0.3">
      <c r="A132">
        <v>216</v>
      </c>
      <c r="B132">
        <f>M131-M132</f>
        <v>4.5308174627802629</v>
      </c>
      <c r="C132">
        <f t="shared" si="37"/>
        <v>4.5308174627802629</v>
      </c>
      <c r="D132" t="s">
        <v>36</v>
      </c>
      <c r="E132" t="s">
        <v>21</v>
      </c>
      <c r="F132">
        <v>1</v>
      </c>
      <c r="G132">
        <f>G131+5</f>
        <v>40</v>
      </c>
      <c r="I132">
        <v>2150</v>
      </c>
      <c r="J132" t="s">
        <v>31</v>
      </c>
      <c r="K132">
        <f>AVERAGE(G132:G133)</f>
        <v>42.5</v>
      </c>
      <c r="L132" cm="1">
        <f t="array" ref="L132">STOWA2024_JAARROND_T(A132*60,K132,I132,J132,"")</f>
        <v>6.2915143728716968E-2</v>
      </c>
      <c r="M132">
        <f>1/L132</f>
        <v>15.894424469757038</v>
      </c>
    </row>
    <row r="133" spans="1:13" x14ac:dyDescent="0.3">
      <c r="A133">
        <v>216</v>
      </c>
      <c r="B133">
        <f t="shared" ref="B133:B155" si="41">M132-M133</f>
        <v>3.5374330967680745</v>
      </c>
      <c r="C133">
        <f t="shared" si="37"/>
        <v>3.5374330967680745</v>
      </c>
      <c r="D133" t="s">
        <v>36</v>
      </c>
      <c r="E133" t="s">
        <v>21</v>
      </c>
      <c r="F133">
        <v>1</v>
      </c>
      <c r="G133">
        <f t="shared" ref="G133:G156" si="42">G132+5</f>
        <v>45</v>
      </c>
      <c r="I133">
        <v>2150</v>
      </c>
      <c r="J133" t="s">
        <v>31</v>
      </c>
      <c r="K133">
        <f t="shared" ref="K133:K155" si="43">AVERAGE(G133:G134)</f>
        <v>47.5</v>
      </c>
      <c r="L133" cm="1">
        <f t="array" ref="L133">STOWA2024_JAARROND_T(A133*60,K133,I133,J133,"")</f>
        <v>8.0925847547801244E-2</v>
      </c>
      <c r="M133">
        <f t="shared" ref="M133:M155" si="44">1/L133</f>
        <v>12.356991372988963</v>
      </c>
    </row>
    <row r="134" spans="1:13" x14ac:dyDescent="0.3">
      <c r="A134">
        <v>216</v>
      </c>
      <c r="B134">
        <f t="shared" si="41"/>
        <v>2.7595409861157698</v>
      </c>
      <c r="C134">
        <f t="shared" si="37"/>
        <v>2.7595409861157698</v>
      </c>
      <c r="D134" t="s">
        <v>36</v>
      </c>
      <c r="E134" t="s">
        <v>21</v>
      </c>
      <c r="F134">
        <v>1</v>
      </c>
      <c r="G134">
        <f t="shared" si="42"/>
        <v>50</v>
      </c>
      <c r="I134">
        <v>2150</v>
      </c>
      <c r="J134" t="s">
        <v>31</v>
      </c>
      <c r="K134">
        <f t="shared" si="43"/>
        <v>52.5</v>
      </c>
      <c r="L134" cm="1">
        <f t="array" ref="L134">STOWA2024_JAARROND_T(A134*60,K134,I134,J134,"")</f>
        <v>0.10419433908902921</v>
      </c>
      <c r="M134">
        <f t="shared" si="44"/>
        <v>9.5974503868731933</v>
      </c>
    </row>
    <row r="135" spans="1:13" x14ac:dyDescent="0.3">
      <c r="A135">
        <v>216</v>
      </c>
      <c r="B135">
        <f t="shared" si="41"/>
        <v>2.1504260233901986</v>
      </c>
      <c r="C135">
        <f t="shared" si="37"/>
        <v>2.1504260233901986</v>
      </c>
      <c r="D135" t="s">
        <v>36</v>
      </c>
      <c r="E135" t="s">
        <v>21</v>
      </c>
      <c r="F135">
        <v>1</v>
      </c>
      <c r="G135">
        <f t="shared" si="42"/>
        <v>55</v>
      </c>
      <c r="I135">
        <v>2150</v>
      </c>
      <c r="J135" t="s">
        <v>31</v>
      </c>
      <c r="K135">
        <f t="shared" si="43"/>
        <v>57.5</v>
      </c>
      <c r="L135" cm="1">
        <f t="array" ref="L135">STOWA2024_JAARROND_T(A135*60,K135,I135,J135,"")</f>
        <v>0.13428182199907523</v>
      </c>
      <c r="M135">
        <f t="shared" si="44"/>
        <v>7.4470243634829947</v>
      </c>
    </row>
    <row r="136" spans="1:13" x14ac:dyDescent="0.3">
      <c r="A136">
        <v>216</v>
      </c>
      <c r="B136">
        <f t="shared" si="41"/>
        <v>1.6743250397370586</v>
      </c>
      <c r="C136">
        <f t="shared" si="37"/>
        <v>1.6743250397370586</v>
      </c>
      <c r="D136" t="s">
        <v>36</v>
      </c>
      <c r="E136" t="s">
        <v>21</v>
      </c>
      <c r="F136">
        <v>1</v>
      </c>
      <c r="G136">
        <f t="shared" si="42"/>
        <v>60</v>
      </c>
      <c r="I136">
        <v>2150</v>
      </c>
      <c r="J136" t="s">
        <v>31</v>
      </c>
      <c r="K136">
        <f t="shared" si="43"/>
        <v>62.5</v>
      </c>
      <c r="L136" cm="1">
        <f t="array" ref="L136">STOWA2024_JAARROND_T(A136*60,K136,I136,J136,"")</f>
        <v>0.17322918515546287</v>
      </c>
      <c r="M136">
        <f t="shared" si="44"/>
        <v>5.7726993237459361</v>
      </c>
    </row>
    <row r="137" spans="1:13" x14ac:dyDescent="0.3">
      <c r="A137">
        <v>216</v>
      </c>
      <c r="B137">
        <f t="shared" si="41"/>
        <v>1.3022967691264054</v>
      </c>
      <c r="C137">
        <f t="shared" si="37"/>
        <v>1.3022967691264054</v>
      </c>
      <c r="D137" t="s">
        <v>36</v>
      </c>
      <c r="E137" t="s">
        <v>21</v>
      </c>
      <c r="F137">
        <v>1</v>
      </c>
      <c r="G137">
        <f t="shared" si="42"/>
        <v>65</v>
      </c>
      <c r="I137">
        <v>2150</v>
      </c>
      <c r="J137" t="s">
        <v>31</v>
      </c>
      <c r="K137">
        <f t="shared" si="43"/>
        <v>67.5</v>
      </c>
      <c r="L137" cm="1">
        <f t="array" ref="L137">STOWA2024_JAARROND_T(A137*60,K137,I137,J137,"")</f>
        <v>0.22369350137531596</v>
      </c>
      <c r="M137">
        <f t="shared" si="44"/>
        <v>4.4704025546195307</v>
      </c>
    </row>
    <row r="138" spans="1:13" x14ac:dyDescent="0.3">
      <c r="A138">
        <v>216</v>
      </c>
      <c r="B138">
        <f t="shared" si="41"/>
        <v>1.0119422702939431</v>
      </c>
      <c r="C138">
        <f t="shared" si="37"/>
        <v>1.0119422702939431</v>
      </c>
      <c r="D138" t="s">
        <v>36</v>
      </c>
      <c r="E138" t="s">
        <v>21</v>
      </c>
      <c r="F138">
        <v>1</v>
      </c>
      <c r="G138">
        <f t="shared" si="42"/>
        <v>70</v>
      </c>
      <c r="I138">
        <v>2150</v>
      </c>
      <c r="J138" t="s">
        <v>31</v>
      </c>
      <c r="K138">
        <f t="shared" si="43"/>
        <v>72.5</v>
      </c>
      <c r="L138" cm="1">
        <f t="array" ref="L138">STOWA2024_JAARROND_T(A138*60,K138,I138,J138,"")</f>
        <v>0.28914601232583004</v>
      </c>
      <c r="M138">
        <f t="shared" si="44"/>
        <v>3.4584602843255876</v>
      </c>
    </row>
    <row r="139" spans="1:13" x14ac:dyDescent="0.3">
      <c r="A139">
        <v>216</v>
      </c>
      <c r="B139">
        <f t="shared" si="41"/>
        <v>0.78555073509018847</v>
      </c>
      <c r="C139">
        <f t="shared" si="37"/>
        <v>0.78555073509018847</v>
      </c>
      <c r="D139" t="s">
        <v>36</v>
      </c>
      <c r="E139" t="s">
        <v>21</v>
      </c>
      <c r="F139">
        <v>1</v>
      </c>
      <c r="G139">
        <f t="shared" si="42"/>
        <v>75</v>
      </c>
      <c r="I139">
        <v>2150</v>
      </c>
      <c r="J139" t="s">
        <v>31</v>
      </c>
      <c r="K139">
        <f t="shared" si="43"/>
        <v>77.5</v>
      </c>
      <c r="L139" cm="1">
        <f t="array" ref="L139">STOWA2024_JAARROND_T(A139*60,K139,I139,J139,"")</f>
        <v>0.37412414508603764</v>
      </c>
      <c r="M139">
        <f t="shared" si="44"/>
        <v>2.6729095492353991</v>
      </c>
    </row>
    <row r="140" spans="1:13" x14ac:dyDescent="0.3">
      <c r="A140">
        <v>216</v>
      </c>
      <c r="B140">
        <f t="shared" si="41"/>
        <v>0.60922422679648358</v>
      </c>
      <c r="C140">
        <f t="shared" si="37"/>
        <v>0.60922422679648358</v>
      </c>
      <c r="D140" t="s">
        <v>36</v>
      </c>
      <c r="E140" t="s">
        <v>21</v>
      </c>
      <c r="F140">
        <v>1</v>
      </c>
      <c r="G140">
        <f t="shared" si="42"/>
        <v>80</v>
      </c>
      <c r="I140">
        <v>2150</v>
      </c>
      <c r="J140" t="s">
        <v>31</v>
      </c>
      <c r="K140">
        <f t="shared" si="43"/>
        <v>82.5</v>
      </c>
      <c r="L140" cm="1">
        <f t="array" ref="L140">STOWA2024_JAARROND_T(A140*60,K140,I140,J140,"")</f>
        <v>0.48457000160187924</v>
      </c>
      <c r="M140">
        <f t="shared" si="44"/>
        <v>2.0636853224389156</v>
      </c>
    </row>
    <row r="141" spans="1:13" x14ac:dyDescent="0.3">
      <c r="A141">
        <v>216</v>
      </c>
      <c r="B141">
        <f t="shared" si="41"/>
        <v>0.47197776229454314</v>
      </c>
      <c r="C141">
        <f t="shared" si="37"/>
        <v>0.47197776229454314</v>
      </c>
      <c r="D141" t="s">
        <v>36</v>
      </c>
      <c r="E141" t="s">
        <v>21</v>
      </c>
      <c r="F141">
        <v>1</v>
      </c>
      <c r="G141">
        <f t="shared" si="42"/>
        <v>85</v>
      </c>
      <c r="I141">
        <v>2150</v>
      </c>
      <c r="J141" t="s">
        <v>31</v>
      </c>
      <c r="K141">
        <f t="shared" si="43"/>
        <v>87.5</v>
      </c>
      <c r="L141" cm="1">
        <f t="array" ref="L141">STOWA2024_JAARROND_T(A141*60,K141,I141,J141,"")</f>
        <v>0.62825611000383585</v>
      </c>
      <c r="M141">
        <f t="shared" si="44"/>
        <v>1.5917075601443724</v>
      </c>
    </row>
    <row r="142" spans="1:13" x14ac:dyDescent="0.3">
      <c r="A142">
        <v>216</v>
      </c>
      <c r="B142">
        <f t="shared" si="41"/>
        <v>0.36529653381841909</v>
      </c>
      <c r="C142">
        <f t="shared" si="37"/>
        <v>0.36529653381841909</v>
      </c>
      <c r="D142" t="s">
        <v>36</v>
      </c>
      <c r="E142" t="s">
        <v>21</v>
      </c>
      <c r="F142">
        <v>1</v>
      </c>
      <c r="G142">
        <f t="shared" si="42"/>
        <v>90</v>
      </c>
      <c r="I142">
        <v>2150</v>
      </c>
      <c r="J142" t="s">
        <v>31</v>
      </c>
      <c r="K142">
        <f t="shared" si="43"/>
        <v>92.5</v>
      </c>
      <c r="L142" cm="1">
        <f t="array" ref="L142">STOWA2024_JAARROND_T(A142*60,K142,I142,J142,"")</f>
        <v>0.81538732002089964</v>
      </c>
      <c r="M142">
        <f t="shared" si="44"/>
        <v>1.2264110263259533</v>
      </c>
    </row>
    <row r="143" spans="1:13" x14ac:dyDescent="0.3">
      <c r="A143">
        <v>216</v>
      </c>
      <c r="B143">
        <f t="shared" si="41"/>
        <v>0.28236166837102838</v>
      </c>
      <c r="C143">
        <f t="shared" si="37"/>
        <v>0.28236166837102838</v>
      </c>
      <c r="D143" t="s">
        <v>36</v>
      </c>
      <c r="E143" t="s">
        <v>21</v>
      </c>
      <c r="F143">
        <v>1</v>
      </c>
      <c r="G143">
        <f t="shared" si="42"/>
        <v>95</v>
      </c>
      <c r="I143">
        <v>2150</v>
      </c>
      <c r="J143" t="s">
        <v>31</v>
      </c>
      <c r="K143">
        <f t="shared" si="43"/>
        <v>97.5</v>
      </c>
      <c r="L143" cm="1">
        <f t="array" ref="L143">STOWA2024_JAARROND_T(A143*60,K143,I143,J143,"")</f>
        <v>1.0592666491149147</v>
      </c>
      <c r="M143">
        <f t="shared" si="44"/>
        <v>0.94404935795492495</v>
      </c>
    </row>
    <row r="144" spans="1:13" x14ac:dyDescent="0.3">
      <c r="A144">
        <v>216</v>
      </c>
      <c r="B144">
        <f t="shared" si="41"/>
        <v>0.21816933600274713</v>
      </c>
      <c r="C144">
        <f t="shared" si="37"/>
        <v>0.21816933600274713</v>
      </c>
      <c r="D144" t="s">
        <v>36</v>
      </c>
      <c r="E144" t="s">
        <v>21</v>
      </c>
      <c r="F144">
        <v>1</v>
      </c>
      <c r="G144">
        <f t="shared" si="42"/>
        <v>100</v>
      </c>
      <c r="I144">
        <v>2150</v>
      </c>
      <c r="J144" t="s">
        <v>31</v>
      </c>
      <c r="K144">
        <f t="shared" si="43"/>
        <v>102.5</v>
      </c>
      <c r="L144" cm="1">
        <f t="array" ref="L144">STOWA2024_JAARROND_T(A144*60,K144,I144,J144,"")</f>
        <v>1.3776381354464136</v>
      </c>
      <c r="M144">
        <f t="shared" si="44"/>
        <v>0.72588002195217782</v>
      </c>
    </row>
    <row r="145" spans="1:13" x14ac:dyDescent="0.3">
      <c r="A145">
        <v>216</v>
      </c>
      <c r="B145">
        <f t="shared" si="41"/>
        <v>0.16834142101604854</v>
      </c>
      <c r="C145">
        <f t="shared" si="37"/>
        <v>0.16834142101604854</v>
      </c>
      <c r="D145" t="s">
        <v>36</v>
      </c>
      <c r="E145" t="s">
        <v>21</v>
      </c>
      <c r="F145">
        <v>1</v>
      </c>
      <c r="G145">
        <f t="shared" si="42"/>
        <v>105</v>
      </c>
      <c r="I145">
        <v>2150</v>
      </c>
      <c r="J145" t="s">
        <v>31</v>
      </c>
      <c r="K145">
        <f t="shared" si="43"/>
        <v>107.5</v>
      </c>
      <c r="L145" cm="1">
        <f t="array" ref="L145">STOWA2024_JAARROND_T(A145*60,K145,I145,J145,"")</f>
        <v>1.7935977855541494</v>
      </c>
      <c r="M145">
        <f t="shared" si="44"/>
        <v>0.55753860093612928</v>
      </c>
    </row>
    <row r="146" spans="1:13" x14ac:dyDescent="0.3">
      <c r="A146">
        <v>216</v>
      </c>
      <c r="B146">
        <f t="shared" si="41"/>
        <v>0.12975078770651099</v>
      </c>
      <c r="C146">
        <f t="shared" si="37"/>
        <v>0.12975078770651099</v>
      </c>
      <c r="D146" t="s">
        <v>36</v>
      </c>
      <c r="E146" t="s">
        <v>21</v>
      </c>
      <c r="F146">
        <v>1</v>
      </c>
      <c r="G146">
        <f t="shared" si="42"/>
        <v>110</v>
      </c>
      <c r="I146">
        <v>2150</v>
      </c>
      <c r="J146" t="s">
        <v>31</v>
      </c>
      <c r="K146">
        <f t="shared" si="43"/>
        <v>112.5</v>
      </c>
      <c r="L146" cm="1">
        <f t="array" ref="L146">STOWA2024_JAARROND_T(A146*60,K146,I146,J146,"")</f>
        <v>2.3376074985643469</v>
      </c>
      <c r="M146">
        <f t="shared" si="44"/>
        <v>0.42778781322961829</v>
      </c>
    </row>
    <row r="147" spans="1:13" x14ac:dyDescent="0.3">
      <c r="A147">
        <v>216</v>
      </c>
      <c r="B147">
        <f t="shared" si="41"/>
        <v>9.9906948416278452E-2</v>
      </c>
      <c r="C147">
        <f t="shared" si="37"/>
        <v>9.9906948416278452E-2</v>
      </c>
      <c r="D147" t="s">
        <v>36</v>
      </c>
      <c r="E147" t="s">
        <v>21</v>
      </c>
      <c r="F147">
        <v>1</v>
      </c>
      <c r="G147">
        <f t="shared" si="42"/>
        <v>115</v>
      </c>
      <c r="I147">
        <v>2150</v>
      </c>
      <c r="J147" t="s">
        <v>31</v>
      </c>
      <c r="K147">
        <f t="shared" si="43"/>
        <v>117.5</v>
      </c>
      <c r="L147" cm="1">
        <f t="array" ref="L147">STOWA2024_JAARROND_T(A147*60,K147,I147,J147,"")</f>
        <v>3.0498882591678309</v>
      </c>
      <c r="M147">
        <f t="shared" si="44"/>
        <v>0.32788086481333983</v>
      </c>
    </row>
    <row r="148" spans="1:13" x14ac:dyDescent="0.3">
      <c r="A148">
        <v>216</v>
      </c>
      <c r="B148">
        <f t="shared" si="41"/>
        <v>7.6845556545754312E-2</v>
      </c>
      <c r="C148">
        <f t="shared" si="37"/>
        <v>7.6845556545754312E-2</v>
      </c>
      <c r="D148" t="s">
        <v>36</v>
      </c>
      <c r="E148" t="s">
        <v>21</v>
      </c>
      <c r="F148">
        <v>1</v>
      </c>
      <c r="G148">
        <f t="shared" si="42"/>
        <v>120</v>
      </c>
      <c r="I148">
        <v>2150</v>
      </c>
      <c r="J148" t="s">
        <v>31</v>
      </c>
      <c r="K148">
        <f t="shared" si="43"/>
        <v>122.5</v>
      </c>
      <c r="L148" cm="1">
        <f t="array" ref="L148">STOWA2024_JAARROND_T(A148*60,K148,I148,J148,"")</f>
        <v>3.9835033840501515</v>
      </c>
      <c r="M148">
        <f t="shared" si="44"/>
        <v>0.25103530826758552</v>
      </c>
    </row>
    <row r="149" spans="1:13" x14ac:dyDescent="0.3">
      <c r="A149">
        <v>216</v>
      </c>
      <c r="B149">
        <f t="shared" si="41"/>
        <v>5.9044185709654695E-2</v>
      </c>
      <c r="C149">
        <f t="shared" si="37"/>
        <v>5.9044185709654695E-2</v>
      </c>
      <c r="D149" t="s">
        <v>36</v>
      </c>
      <c r="E149" t="s">
        <v>21</v>
      </c>
      <c r="F149">
        <v>1</v>
      </c>
      <c r="G149">
        <f t="shared" si="42"/>
        <v>125</v>
      </c>
      <c r="I149">
        <v>2150</v>
      </c>
      <c r="J149" t="s">
        <v>31</v>
      </c>
      <c r="K149">
        <f t="shared" si="43"/>
        <v>127.5</v>
      </c>
      <c r="L149" cm="1">
        <f t="array" ref="L149">STOWA2024_JAARROND_T(A149*60,K149,I149,J149,"")</f>
        <v>5.2085741604967337</v>
      </c>
      <c r="M149">
        <f t="shared" si="44"/>
        <v>0.19199112255793083</v>
      </c>
    </row>
    <row r="150" spans="1:13" x14ac:dyDescent="0.3">
      <c r="A150">
        <v>216</v>
      </c>
      <c r="B150">
        <f t="shared" si="41"/>
        <v>4.5317705446750456E-2</v>
      </c>
      <c r="C150">
        <f t="shared" si="37"/>
        <v>4.5317705446750456E-2</v>
      </c>
      <c r="D150" t="s">
        <v>36</v>
      </c>
      <c r="E150" t="s">
        <v>21</v>
      </c>
      <c r="F150">
        <v>1</v>
      </c>
      <c r="G150">
        <f t="shared" si="42"/>
        <v>130</v>
      </c>
      <c r="I150">
        <v>2150</v>
      </c>
      <c r="J150" t="s">
        <v>31</v>
      </c>
      <c r="K150">
        <f t="shared" si="43"/>
        <v>132.5</v>
      </c>
      <c r="L150" cm="1">
        <f t="array" ref="L150">STOWA2024_JAARROND_T(A150*60,K150,I150,J150,"")</f>
        <v>6.8178680206378974</v>
      </c>
      <c r="M150">
        <f t="shared" si="44"/>
        <v>0.14667341711118037</v>
      </c>
    </row>
    <row r="151" spans="1:13" x14ac:dyDescent="0.3">
      <c r="A151">
        <v>216</v>
      </c>
      <c r="B151">
        <f t="shared" si="41"/>
        <v>3.4744632360718203E-2</v>
      </c>
      <c r="C151">
        <f t="shared" si="37"/>
        <v>3.4744632360718203E-2</v>
      </c>
      <c r="D151" t="s">
        <v>36</v>
      </c>
      <c r="E151" t="s">
        <v>21</v>
      </c>
      <c r="F151">
        <v>1</v>
      </c>
      <c r="G151">
        <f t="shared" si="42"/>
        <v>135</v>
      </c>
      <c r="I151">
        <v>2150</v>
      </c>
      <c r="J151" t="s">
        <v>31</v>
      </c>
      <c r="K151">
        <f t="shared" si="43"/>
        <v>137.5</v>
      </c>
      <c r="L151" cm="1">
        <f t="array" ref="L151">STOWA2024_JAARROND_T(A151*60,K151,I151,J151,"")</f>
        <v>8.9342522768332913</v>
      </c>
      <c r="M151">
        <f t="shared" si="44"/>
        <v>0.11192878475046217</v>
      </c>
    </row>
    <row r="152" spans="1:13" x14ac:dyDescent="0.3">
      <c r="A152">
        <v>216</v>
      </c>
      <c r="B152">
        <f t="shared" si="41"/>
        <v>2.6609268867175281E-2</v>
      </c>
      <c r="C152">
        <f t="shared" si="37"/>
        <v>2.6609268867175281E-2</v>
      </c>
      <c r="D152" t="s">
        <v>36</v>
      </c>
      <c r="E152" t="s">
        <v>21</v>
      </c>
      <c r="F152">
        <v>1</v>
      </c>
      <c r="G152">
        <f t="shared" si="42"/>
        <v>140</v>
      </c>
      <c r="I152">
        <v>2150</v>
      </c>
      <c r="J152" t="s">
        <v>31</v>
      </c>
      <c r="K152">
        <f t="shared" si="43"/>
        <v>142.5</v>
      </c>
      <c r="L152" cm="1">
        <f t="array" ref="L152">STOWA2024_JAARROND_T(A152*60,K152,I152,J152,"")</f>
        <v>11.720647845306029</v>
      </c>
      <c r="M152">
        <f t="shared" si="44"/>
        <v>8.5319515883286887E-2</v>
      </c>
    </row>
    <row r="153" spans="1:13" x14ac:dyDescent="0.3">
      <c r="A153">
        <v>216</v>
      </c>
      <c r="B153">
        <f t="shared" si="41"/>
        <v>2.0355906848498834E-2</v>
      </c>
      <c r="C153">
        <f t="shared" si="37"/>
        <v>2.0355906848498834E-2</v>
      </c>
      <c r="D153" t="s">
        <v>36</v>
      </c>
      <c r="E153" t="s">
        <v>21</v>
      </c>
      <c r="F153">
        <v>1</v>
      </c>
      <c r="G153">
        <f t="shared" si="42"/>
        <v>145</v>
      </c>
      <c r="I153">
        <v>2150</v>
      </c>
      <c r="J153" t="s">
        <v>31</v>
      </c>
      <c r="K153">
        <f t="shared" si="43"/>
        <v>147.5</v>
      </c>
      <c r="L153" cm="1">
        <f t="array" ref="L153">STOWA2024_JAARROND_T(A153*60,K153,I153,J153,"")</f>
        <v>15.393233455741342</v>
      </c>
      <c r="M153">
        <f t="shared" si="44"/>
        <v>6.4963609034788053E-2</v>
      </c>
    </row>
    <row r="154" spans="1:13" x14ac:dyDescent="0.3">
      <c r="A154">
        <v>216</v>
      </c>
      <c r="B154">
        <f t="shared" si="41"/>
        <v>1.555563554632361E-2</v>
      </c>
      <c r="C154">
        <f t="shared" si="37"/>
        <v>1.555563554632361E-2</v>
      </c>
      <c r="D154" t="s">
        <v>36</v>
      </c>
      <c r="E154" t="s">
        <v>21</v>
      </c>
      <c r="F154">
        <v>1</v>
      </c>
      <c r="G154">
        <f t="shared" si="42"/>
        <v>150</v>
      </c>
      <c r="I154">
        <v>2150</v>
      </c>
      <c r="J154" t="s">
        <v>31</v>
      </c>
      <c r="K154">
        <f t="shared" si="43"/>
        <v>152.5</v>
      </c>
      <c r="L154" cm="1">
        <f t="array" ref="L154">STOWA2024_JAARROND_T(A154*60,K154,I154,J154,"")</f>
        <v>20.239648165968102</v>
      </c>
      <c r="M154">
        <f t="shared" si="44"/>
        <v>4.9407973488464443E-2</v>
      </c>
    </row>
    <row r="155" spans="1:13" x14ac:dyDescent="0.3">
      <c r="A155">
        <v>216</v>
      </c>
      <c r="B155">
        <f t="shared" si="41"/>
        <v>1.1873695814164288E-2</v>
      </c>
      <c r="C155">
        <f t="shared" si="37"/>
        <v>1.1873695814164288E-2</v>
      </c>
      <c r="D155" t="s">
        <v>36</v>
      </c>
      <c r="E155" t="s">
        <v>21</v>
      </c>
      <c r="F155">
        <v>1</v>
      </c>
      <c r="G155">
        <f t="shared" si="42"/>
        <v>155</v>
      </c>
      <c r="I155">
        <v>2150</v>
      </c>
      <c r="J155" t="s">
        <v>31</v>
      </c>
      <c r="K155">
        <f t="shared" si="43"/>
        <v>157.5</v>
      </c>
      <c r="L155" cm="1">
        <f t="array" ref="L155">STOWA2024_JAARROND_T(A155*60,K155,I155,J155,"")</f>
        <v>26.642313691964382</v>
      </c>
      <c r="M155">
        <f t="shared" si="44"/>
        <v>3.7534277674300155E-2</v>
      </c>
    </row>
    <row r="156" spans="1:13" x14ac:dyDescent="0.3">
      <c r="A156">
        <v>216</v>
      </c>
      <c r="B156" s="1">
        <f>M155</f>
        <v>3.7534277674300155E-2</v>
      </c>
      <c r="C156">
        <f t="shared" si="37"/>
        <v>3.7534277674300155E-2</v>
      </c>
      <c r="D156" t="s">
        <v>36</v>
      </c>
      <c r="E156" t="s">
        <v>21</v>
      </c>
      <c r="F156">
        <v>1</v>
      </c>
      <c r="G156">
        <f t="shared" si="42"/>
        <v>160</v>
      </c>
      <c r="I156">
        <v>2150</v>
      </c>
      <c r="J156" t="s">
        <v>31</v>
      </c>
      <c r="K156">
        <f>AVERAGE(G156:G157)</f>
        <v>160</v>
      </c>
      <c r="L156" cm="1">
        <f t="array" ref="L156">STOWA2024_JAARROND_T(A156*60,K156,I156,J156,"")</f>
        <v>30.58043623603816</v>
      </c>
      <c r="M156">
        <f>1/L156</f>
        <v>3.2700645349902788E-2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56"/>
  <sheetViews>
    <sheetView workbookViewId="0">
      <selection activeCell="J23" sqref="J2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21875" bestFit="1" customWidth="1"/>
    <col min="7" max="7" width="7.2187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24</v>
      </c>
      <c r="B2" s="1">
        <f>365.25*24/A2 - M2</f>
        <v>351.21842819062874</v>
      </c>
      <c r="C2">
        <f>B2</f>
        <v>351.21842819062874</v>
      </c>
      <c r="D2" t="s">
        <v>36</v>
      </c>
      <c r="E2" t="s">
        <v>19</v>
      </c>
      <c r="F2">
        <v>1</v>
      </c>
      <c r="G2">
        <v>10</v>
      </c>
      <c r="I2">
        <v>2150</v>
      </c>
      <c r="J2" t="s">
        <v>31</v>
      </c>
      <c r="K2">
        <f>AVERAGE(G2:G4)</f>
        <v>15</v>
      </c>
      <c r="L2" cm="1">
        <f t="array" ref="L2">STOWA2024_NDJF_T(A2*60,K2,I2,J2,"")</f>
        <v>7.1267853208870857E-2</v>
      </c>
      <c r="M2">
        <f>1/L2</f>
        <v>14.03157180937124</v>
      </c>
    </row>
    <row r="3" spans="1:13" x14ac:dyDescent="0.3">
      <c r="A3">
        <v>24</v>
      </c>
      <c r="B3">
        <f t="shared" ref="B3:B7" si="0">M2-M3</f>
        <v>4.3690837224989281</v>
      </c>
      <c r="C3">
        <f t="shared" ref="C3:C32" si="1">B3</f>
        <v>4.3690837224989281</v>
      </c>
      <c r="D3" t="s">
        <v>36</v>
      </c>
      <c r="E3" t="s">
        <v>19</v>
      </c>
      <c r="F3">
        <v>1</v>
      </c>
      <c r="G3">
        <f t="shared" ref="G3:G7" si="2">G2+5</f>
        <v>15</v>
      </c>
      <c r="I3">
        <v>2150</v>
      </c>
      <c r="J3" t="s">
        <v>31</v>
      </c>
      <c r="K3">
        <f t="shared" ref="K3:K7" si="3">AVERAGE(G3:G4)</f>
        <v>17.5</v>
      </c>
      <c r="L3" cm="1">
        <f t="array" ref="L3">STOWA2024_NDJF_T(A3*60,K3,I3,J3,"")</f>
        <v>0.10349301246317955</v>
      </c>
      <c r="M3">
        <f t="shared" ref="M3:M7" si="4">1/L3</f>
        <v>9.6624880868723118</v>
      </c>
    </row>
    <row r="4" spans="1:13" x14ac:dyDescent="0.3">
      <c r="A4">
        <v>24</v>
      </c>
      <c r="B4">
        <f t="shared" si="0"/>
        <v>4.9450164678485082</v>
      </c>
      <c r="C4">
        <f t="shared" si="1"/>
        <v>4.9450164678485082</v>
      </c>
      <c r="D4" t="s">
        <v>36</v>
      </c>
      <c r="E4" t="s">
        <v>19</v>
      </c>
      <c r="F4">
        <v>1</v>
      </c>
      <c r="G4">
        <f t="shared" si="2"/>
        <v>20</v>
      </c>
      <c r="I4">
        <v>2150</v>
      </c>
      <c r="J4" t="s">
        <v>31</v>
      </c>
      <c r="K4">
        <f t="shared" si="3"/>
        <v>22.5</v>
      </c>
      <c r="L4" cm="1">
        <f t="array" ref="L4">STOWA2024_NDJF_T(A4*60,K4,I4,J4,"")</f>
        <v>0.21197795784660856</v>
      </c>
      <c r="M4">
        <f t="shared" si="4"/>
        <v>4.7174716190238035</v>
      </c>
    </row>
    <row r="5" spans="1:13" x14ac:dyDescent="0.3">
      <c r="A5">
        <v>24</v>
      </c>
      <c r="B5">
        <f t="shared" si="0"/>
        <v>2.330677216281515</v>
      </c>
      <c r="C5">
        <f t="shared" si="1"/>
        <v>2.330677216281515</v>
      </c>
      <c r="D5" t="s">
        <v>36</v>
      </c>
      <c r="E5" t="s">
        <v>19</v>
      </c>
      <c r="F5">
        <v>1</v>
      </c>
      <c r="G5">
        <f t="shared" si="2"/>
        <v>25</v>
      </c>
      <c r="I5">
        <v>2150</v>
      </c>
      <c r="J5" t="s">
        <v>31</v>
      </c>
      <c r="K5">
        <f t="shared" si="3"/>
        <v>27.5</v>
      </c>
      <c r="L5" cm="1">
        <f t="array" ref="L5">STOWA2024_NDJF_T(A5*60,K5,I5,J5,"")</f>
        <v>0.41897198973278049</v>
      </c>
      <c r="M5">
        <f t="shared" si="4"/>
        <v>2.3867944027422885</v>
      </c>
    </row>
    <row r="6" spans="1:13" x14ac:dyDescent="0.3">
      <c r="A6">
        <v>24</v>
      </c>
      <c r="B6">
        <f t="shared" si="0"/>
        <v>1.139547069960305</v>
      </c>
      <c r="C6">
        <f t="shared" si="1"/>
        <v>1.139547069960305</v>
      </c>
      <c r="D6" t="s">
        <v>36</v>
      </c>
      <c r="E6" t="s">
        <v>19</v>
      </c>
      <c r="F6">
        <v>1</v>
      </c>
      <c r="G6">
        <f t="shared" si="2"/>
        <v>30</v>
      </c>
      <c r="I6">
        <v>2150</v>
      </c>
      <c r="J6" t="s">
        <v>31</v>
      </c>
      <c r="K6">
        <f t="shared" si="3"/>
        <v>32.5</v>
      </c>
      <c r="L6" cm="1">
        <f t="array" ref="L6">STOWA2024_NDJF_T(A6*60,K6,I6,J6,"")</f>
        <v>0.80176559509612366</v>
      </c>
      <c r="M6">
        <f t="shared" si="4"/>
        <v>1.2472473327819835</v>
      </c>
    </row>
    <row r="7" spans="1:13" x14ac:dyDescent="0.3">
      <c r="A7">
        <v>24</v>
      </c>
      <c r="B7">
        <f t="shared" si="0"/>
        <v>0.57594259599862474</v>
      </c>
      <c r="C7">
        <f t="shared" si="1"/>
        <v>0.57594259599862474</v>
      </c>
      <c r="D7" t="s">
        <v>36</v>
      </c>
      <c r="E7" t="s">
        <v>19</v>
      </c>
      <c r="F7">
        <v>1</v>
      </c>
      <c r="G7">
        <f t="shared" si="2"/>
        <v>35</v>
      </c>
      <c r="I7">
        <v>2150</v>
      </c>
      <c r="J7" t="s">
        <v>31</v>
      </c>
      <c r="K7">
        <f t="shared" si="3"/>
        <v>37.5</v>
      </c>
      <c r="L7" cm="1">
        <f t="array" ref="L7">STOWA2024_NDJF_T(A7*60,K7,I7,J7,"")</f>
        <v>1.4896364425962878</v>
      </c>
      <c r="M7">
        <f t="shared" si="4"/>
        <v>0.67130473678335878</v>
      </c>
    </row>
    <row r="8" spans="1:13" x14ac:dyDescent="0.3">
      <c r="A8">
        <v>24</v>
      </c>
      <c r="B8">
        <f>M7-M8</f>
        <v>0.30023188140008306</v>
      </c>
      <c r="C8">
        <f t="shared" si="1"/>
        <v>0.30023188140008306</v>
      </c>
      <c r="D8" t="s">
        <v>36</v>
      </c>
      <c r="E8" t="s">
        <v>19</v>
      </c>
      <c r="F8">
        <v>1</v>
      </c>
      <c r="G8">
        <f>G7+5</f>
        <v>40</v>
      </c>
      <c r="I8">
        <v>2150</v>
      </c>
      <c r="J8" t="s">
        <v>31</v>
      </c>
      <c r="K8">
        <f>AVERAGE(G8:G9)</f>
        <v>42.5</v>
      </c>
      <c r="L8" cm="1">
        <f t="array" ref="L8">STOWA2024_NDJF_T(A8*60,K8,I8,J8,"")</f>
        <v>2.6948885791366082</v>
      </c>
      <c r="M8">
        <f>1/L8</f>
        <v>0.37107285538327572</v>
      </c>
    </row>
    <row r="9" spans="1:13" x14ac:dyDescent="0.3">
      <c r="A9">
        <v>24</v>
      </c>
      <c r="B9">
        <f t="shared" ref="B9:B31" si="5">M8-M9</f>
        <v>0.16084917406904328</v>
      </c>
      <c r="C9">
        <f t="shared" si="1"/>
        <v>0.16084917406904328</v>
      </c>
      <c r="D9" t="s">
        <v>36</v>
      </c>
      <c r="E9" t="s">
        <v>19</v>
      </c>
      <c r="F9">
        <v>1</v>
      </c>
      <c r="G9">
        <f t="shared" ref="G9:G32" si="6">G8+5</f>
        <v>45</v>
      </c>
      <c r="I9">
        <v>2150</v>
      </c>
      <c r="J9" t="s">
        <v>31</v>
      </c>
      <c r="K9">
        <f t="shared" ref="K9:K31" si="7">AVERAGE(G9:G10)</f>
        <v>47.5</v>
      </c>
      <c r="L9" cm="1">
        <f t="array" ref="L9">STOWA2024_NDJF_T(A9*60,K9,I9,J9,"")</f>
        <v>4.7568380200955911</v>
      </c>
      <c r="M9">
        <f t="shared" ref="M9:M31" si="8">1/L9</f>
        <v>0.21022368131423244</v>
      </c>
    </row>
    <row r="10" spans="1:13" x14ac:dyDescent="0.3">
      <c r="A10">
        <v>24</v>
      </c>
      <c r="B10">
        <f t="shared" si="5"/>
        <v>8.8400857599372579E-2</v>
      </c>
      <c r="C10">
        <f t="shared" si="1"/>
        <v>8.8400857599372579E-2</v>
      </c>
      <c r="D10" t="s">
        <v>36</v>
      </c>
      <c r="E10" t="s">
        <v>19</v>
      </c>
      <c r="F10">
        <v>1</v>
      </c>
      <c r="G10">
        <f t="shared" si="6"/>
        <v>50</v>
      </c>
      <c r="I10">
        <v>2150</v>
      </c>
      <c r="J10" t="s">
        <v>31</v>
      </c>
      <c r="K10">
        <f t="shared" si="7"/>
        <v>52.5</v>
      </c>
      <c r="L10" cm="1">
        <f t="array" ref="L10">STOWA2024_NDJF_T(A10*60,K10,I10,J10,"")</f>
        <v>8.2086424325593814</v>
      </c>
      <c r="M10">
        <f t="shared" si="8"/>
        <v>0.12182282371485986</v>
      </c>
    </row>
    <row r="11" spans="1:13" x14ac:dyDescent="0.3">
      <c r="A11">
        <v>24</v>
      </c>
      <c r="B11">
        <f t="shared" si="5"/>
        <v>4.9735855716617677E-2</v>
      </c>
      <c r="C11">
        <f t="shared" si="1"/>
        <v>4.9735855716617677E-2</v>
      </c>
      <c r="D11" t="s">
        <v>36</v>
      </c>
      <c r="E11" t="s">
        <v>19</v>
      </c>
      <c r="F11">
        <v>1</v>
      </c>
      <c r="G11">
        <f t="shared" si="6"/>
        <v>55</v>
      </c>
      <c r="I11">
        <v>2150</v>
      </c>
      <c r="J11" t="s">
        <v>31</v>
      </c>
      <c r="K11">
        <f t="shared" si="7"/>
        <v>57.5</v>
      </c>
      <c r="L11" cm="1">
        <f t="array" ref="L11">STOWA2024_NDJF_T(A11*60,K11,I11,J11,"")</f>
        <v>13.872132894039664</v>
      </c>
      <c r="M11">
        <f t="shared" si="8"/>
        <v>7.2086967998242185E-2</v>
      </c>
    </row>
    <row r="12" spans="1:13" x14ac:dyDescent="0.3">
      <c r="A12">
        <v>24</v>
      </c>
      <c r="B12">
        <f t="shared" si="5"/>
        <v>2.8596940402777327E-2</v>
      </c>
      <c r="C12">
        <f t="shared" si="1"/>
        <v>2.8596940402777327E-2</v>
      </c>
      <c r="D12" t="s">
        <v>36</v>
      </c>
      <c r="E12" t="s">
        <v>19</v>
      </c>
      <c r="F12">
        <v>1</v>
      </c>
      <c r="G12">
        <f t="shared" si="6"/>
        <v>60</v>
      </c>
      <c r="I12">
        <v>2150</v>
      </c>
      <c r="J12" t="s">
        <v>31</v>
      </c>
      <c r="K12">
        <f t="shared" si="7"/>
        <v>62.5</v>
      </c>
      <c r="L12" cm="1">
        <f t="array" ref="L12">STOWA2024_NDJF_T(A12*60,K12,I12,J12,"")</f>
        <v>22.993777086135491</v>
      </c>
      <c r="M12">
        <f t="shared" si="8"/>
        <v>4.3490027595464859E-2</v>
      </c>
    </row>
    <row r="13" spans="1:13" x14ac:dyDescent="0.3">
      <c r="A13">
        <v>24</v>
      </c>
      <c r="B13">
        <f t="shared" si="5"/>
        <v>1.677620929684686E-2</v>
      </c>
      <c r="C13">
        <f t="shared" si="1"/>
        <v>1.677620929684686E-2</v>
      </c>
      <c r="D13" t="s">
        <v>36</v>
      </c>
      <c r="E13" t="s">
        <v>19</v>
      </c>
      <c r="F13">
        <v>1</v>
      </c>
      <c r="G13">
        <f t="shared" si="6"/>
        <v>65</v>
      </c>
      <c r="I13">
        <v>2150</v>
      </c>
      <c r="J13" t="s">
        <v>31</v>
      </c>
      <c r="K13">
        <f t="shared" si="7"/>
        <v>67.5</v>
      </c>
      <c r="L13" cm="1">
        <f t="array" ref="L13">STOWA2024_NDJF_T(A13*60,K13,I13,J13,"")</f>
        <v>37.433810053717913</v>
      </c>
      <c r="M13">
        <f t="shared" si="8"/>
        <v>2.6713818298617999E-2</v>
      </c>
    </row>
    <row r="14" spans="1:13" x14ac:dyDescent="0.3">
      <c r="A14">
        <v>24</v>
      </c>
      <c r="B14">
        <f t="shared" si="5"/>
        <v>1.002802718923897E-2</v>
      </c>
      <c r="C14">
        <f t="shared" si="1"/>
        <v>1.002802718923897E-2</v>
      </c>
      <c r="D14" t="s">
        <v>36</v>
      </c>
      <c r="E14" t="s">
        <v>19</v>
      </c>
      <c r="F14">
        <v>1</v>
      </c>
      <c r="G14">
        <f t="shared" si="6"/>
        <v>70</v>
      </c>
      <c r="I14">
        <v>2150</v>
      </c>
      <c r="J14" t="s">
        <v>31</v>
      </c>
      <c r="K14">
        <f t="shared" si="7"/>
        <v>72.5</v>
      </c>
      <c r="L14" cm="1">
        <f t="array" ref="L14">STOWA2024_NDJF_T(A14*60,K14,I14,J14,"")</f>
        <v>59.931230916459413</v>
      </c>
      <c r="M14">
        <f t="shared" si="8"/>
        <v>1.6685791109379029E-2</v>
      </c>
    </row>
    <row r="15" spans="1:13" x14ac:dyDescent="0.3">
      <c r="A15">
        <v>24</v>
      </c>
      <c r="B15">
        <f t="shared" si="5"/>
        <v>6.0993154009104777E-3</v>
      </c>
      <c r="C15">
        <f t="shared" si="1"/>
        <v>6.0993154009104777E-3</v>
      </c>
      <c r="D15" t="s">
        <v>36</v>
      </c>
      <c r="E15" t="s">
        <v>19</v>
      </c>
      <c r="F15">
        <v>1</v>
      </c>
      <c r="G15">
        <f t="shared" si="6"/>
        <v>75</v>
      </c>
      <c r="I15">
        <v>2150</v>
      </c>
      <c r="J15" t="s">
        <v>31</v>
      </c>
      <c r="K15">
        <f t="shared" si="7"/>
        <v>77.5</v>
      </c>
      <c r="L15" cm="1">
        <f t="array" ref="L15">STOWA2024_NDJF_T(A15*60,K15,I15,J15,"")</f>
        <v>94.460142122657444</v>
      </c>
      <c r="M15">
        <f t="shared" si="8"/>
        <v>1.0586475708468551E-2</v>
      </c>
    </row>
    <row r="16" spans="1:13" x14ac:dyDescent="0.3">
      <c r="A16">
        <v>24</v>
      </c>
      <c r="B16">
        <f t="shared" si="5"/>
        <v>3.7708229603014677E-3</v>
      </c>
      <c r="C16">
        <f t="shared" si="1"/>
        <v>3.7708229603014677E-3</v>
      </c>
      <c r="D16" t="s">
        <v>36</v>
      </c>
      <c r="E16" t="s">
        <v>19</v>
      </c>
      <c r="F16">
        <v>1</v>
      </c>
      <c r="G16">
        <f t="shared" si="6"/>
        <v>80</v>
      </c>
      <c r="I16">
        <v>2150</v>
      </c>
      <c r="J16" t="s">
        <v>31</v>
      </c>
      <c r="K16">
        <f t="shared" si="7"/>
        <v>82.5</v>
      </c>
      <c r="L16" cm="1">
        <f t="array" ref="L16">STOWA2024_NDJF_T(A16*60,K16,I16,J16,"")</f>
        <v>146.72108996000824</v>
      </c>
      <c r="M16">
        <f t="shared" si="8"/>
        <v>6.8156527481670831E-3</v>
      </c>
    </row>
    <row r="17" spans="1:13" x14ac:dyDescent="0.3">
      <c r="A17">
        <v>24</v>
      </c>
      <c r="B17">
        <f t="shared" si="5"/>
        <v>2.3670929542036652E-3</v>
      </c>
      <c r="C17">
        <f t="shared" si="1"/>
        <v>2.3670929542036652E-3</v>
      </c>
      <c r="D17" t="s">
        <v>36</v>
      </c>
      <c r="E17" t="s">
        <v>19</v>
      </c>
      <c r="F17">
        <v>1</v>
      </c>
      <c r="G17">
        <f t="shared" si="6"/>
        <v>85</v>
      </c>
      <c r="I17">
        <v>2150</v>
      </c>
      <c r="J17" t="s">
        <v>31</v>
      </c>
      <c r="K17">
        <f t="shared" si="7"/>
        <v>87.5</v>
      </c>
      <c r="L17" cm="1">
        <f t="array" ref="L17">STOWA2024_NDJF_T(A17*60,K17,I17,J17,"")</f>
        <v>224.79185316492192</v>
      </c>
      <c r="M17">
        <f t="shared" si="8"/>
        <v>4.4485597939634179E-3</v>
      </c>
    </row>
    <row r="18" spans="1:13" x14ac:dyDescent="0.3">
      <c r="A18">
        <v>24</v>
      </c>
      <c r="B18">
        <f t="shared" si="5"/>
        <v>1.5073071630539209E-3</v>
      </c>
      <c r="C18">
        <f t="shared" si="1"/>
        <v>1.5073071630539209E-3</v>
      </c>
      <c r="D18" t="s">
        <v>36</v>
      </c>
      <c r="E18" t="s">
        <v>19</v>
      </c>
      <c r="F18">
        <v>1</v>
      </c>
      <c r="G18">
        <f t="shared" si="6"/>
        <v>90</v>
      </c>
      <c r="I18">
        <v>2150</v>
      </c>
      <c r="J18" t="s">
        <v>31</v>
      </c>
      <c r="K18">
        <f t="shared" si="7"/>
        <v>92.5</v>
      </c>
      <c r="L18" cm="1">
        <f t="array" ref="L18">STOWA2024_NDJF_T(A18*60,K18,I18,J18,"")</f>
        <v>339.99119609483495</v>
      </c>
      <c r="M18">
        <f t="shared" si="8"/>
        <v>2.9412526309094971E-3</v>
      </c>
    </row>
    <row r="19" spans="1:13" x14ac:dyDescent="0.3">
      <c r="A19">
        <v>24</v>
      </c>
      <c r="B19">
        <f t="shared" si="5"/>
        <v>9.7287539024054062E-4</v>
      </c>
      <c r="C19">
        <f t="shared" si="1"/>
        <v>9.7287539024054062E-4</v>
      </c>
      <c r="D19" t="s">
        <v>36</v>
      </c>
      <c r="E19" t="s">
        <v>19</v>
      </c>
      <c r="F19">
        <v>1</v>
      </c>
      <c r="G19">
        <f t="shared" si="6"/>
        <v>95</v>
      </c>
      <c r="I19">
        <v>2150</v>
      </c>
      <c r="J19" t="s">
        <v>31</v>
      </c>
      <c r="K19">
        <f t="shared" si="7"/>
        <v>97.5</v>
      </c>
      <c r="L19" cm="1">
        <f t="array" ref="L19">STOWA2024_NDJF_T(A19*60,K19,I19,J19,"")</f>
        <v>508.03269786849813</v>
      </c>
      <c r="M19">
        <f t="shared" si="8"/>
        <v>1.9683772406689564E-3</v>
      </c>
    </row>
    <row r="20" spans="1:13" x14ac:dyDescent="0.3">
      <c r="A20">
        <v>24</v>
      </c>
      <c r="B20">
        <f t="shared" si="5"/>
        <v>6.3590911283143217E-4</v>
      </c>
      <c r="C20">
        <f t="shared" si="1"/>
        <v>6.3590911283143217E-4</v>
      </c>
      <c r="D20" t="s">
        <v>36</v>
      </c>
      <c r="E20" t="s">
        <v>19</v>
      </c>
      <c r="F20">
        <v>1</v>
      </c>
      <c r="G20">
        <f t="shared" si="6"/>
        <v>100</v>
      </c>
      <c r="I20">
        <v>2150</v>
      </c>
      <c r="J20" t="s">
        <v>31</v>
      </c>
      <c r="K20">
        <f t="shared" si="7"/>
        <v>102.5</v>
      </c>
      <c r="L20" cm="1">
        <f t="array" ref="L20">STOWA2024_NDJF_T(A20*60,K20,I20,J20,"")</f>
        <v>750.48699410387394</v>
      </c>
      <c r="M20">
        <f t="shared" si="8"/>
        <v>1.3324681278375243E-3</v>
      </c>
    </row>
    <row r="21" spans="1:13" x14ac:dyDescent="0.3">
      <c r="A21">
        <v>24</v>
      </c>
      <c r="B21">
        <f t="shared" si="5"/>
        <v>4.2068052691681811E-4</v>
      </c>
      <c r="C21">
        <f t="shared" si="1"/>
        <v>4.2068052691681811E-4</v>
      </c>
      <c r="D21" t="s">
        <v>36</v>
      </c>
      <c r="E21" t="s">
        <v>19</v>
      </c>
      <c r="F21">
        <v>1</v>
      </c>
      <c r="G21">
        <f t="shared" si="6"/>
        <v>105</v>
      </c>
      <c r="I21">
        <v>2150</v>
      </c>
      <c r="J21" t="s">
        <v>31</v>
      </c>
      <c r="K21">
        <f t="shared" si="7"/>
        <v>107.5</v>
      </c>
      <c r="L21" cm="1">
        <f t="array" ref="L21">STOWA2024_NDJF_T(A21*60,K21,I21,J21,"")</f>
        <v>1096.7466534862051</v>
      </c>
      <c r="M21">
        <f t="shared" si="8"/>
        <v>9.1178760092070616E-4</v>
      </c>
    </row>
    <row r="22" spans="1:13" x14ac:dyDescent="0.3">
      <c r="A22">
        <v>24</v>
      </c>
      <c r="B22">
        <f t="shared" si="5"/>
        <v>2.8144806014225511E-4</v>
      </c>
      <c r="C22">
        <f t="shared" si="1"/>
        <v>2.8144806014225511E-4</v>
      </c>
      <c r="D22" t="s">
        <v>36</v>
      </c>
      <c r="E22" t="s">
        <v>19</v>
      </c>
      <c r="F22">
        <v>1</v>
      </c>
      <c r="G22">
        <f t="shared" si="6"/>
        <v>110</v>
      </c>
      <c r="I22">
        <v>2150</v>
      </c>
      <c r="J22" t="s">
        <v>31</v>
      </c>
      <c r="K22">
        <f t="shared" si="7"/>
        <v>112.5</v>
      </c>
      <c r="L22" cm="1">
        <f t="array" ref="L22">STOWA2024_NDJF_T(A22*60,K22,I22,J22,"")</f>
        <v>1586.4465661872157</v>
      </c>
      <c r="M22">
        <f t="shared" si="8"/>
        <v>6.3033954077845104E-4</v>
      </c>
    </row>
    <row r="23" spans="1:13" x14ac:dyDescent="0.3">
      <c r="A23">
        <v>24</v>
      </c>
      <c r="B23">
        <f t="shared" si="5"/>
        <v>1.9032992730027019E-4</v>
      </c>
      <c r="C23">
        <f t="shared" si="1"/>
        <v>1.9032992730027019E-4</v>
      </c>
      <c r="D23" t="s">
        <v>36</v>
      </c>
      <c r="E23" t="s">
        <v>19</v>
      </c>
      <c r="F23">
        <v>1</v>
      </c>
      <c r="G23">
        <f t="shared" si="6"/>
        <v>115</v>
      </c>
      <c r="I23">
        <v>2150</v>
      </c>
      <c r="J23" t="s">
        <v>31</v>
      </c>
      <c r="K23">
        <f t="shared" si="7"/>
        <v>117.5</v>
      </c>
      <c r="L23" cm="1">
        <f t="array" ref="L23">STOWA2024_NDJF_T(A23*60,K23,I23,J23,"")</f>
        <v>2272.6776174166203</v>
      </c>
      <c r="M23">
        <f t="shared" si="8"/>
        <v>4.4000961347818085E-4</v>
      </c>
    </row>
    <row r="24" spans="1:13" x14ac:dyDescent="0.3">
      <c r="A24">
        <v>24</v>
      </c>
      <c r="B24">
        <f t="shared" si="5"/>
        <v>1.3002409728315079E-4</v>
      </c>
      <c r="C24">
        <f t="shared" si="1"/>
        <v>1.3002409728315079E-4</v>
      </c>
      <c r="D24" t="s">
        <v>36</v>
      </c>
      <c r="E24" t="s">
        <v>19</v>
      </c>
      <c r="F24">
        <v>1</v>
      </c>
      <c r="G24">
        <f t="shared" si="6"/>
        <v>120</v>
      </c>
      <c r="I24">
        <v>2150</v>
      </c>
      <c r="J24" t="s">
        <v>31</v>
      </c>
      <c r="K24">
        <f t="shared" si="7"/>
        <v>122.5</v>
      </c>
      <c r="L24" cm="1">
        <f t="array" ref="L24">STOWA2024_NDJF_T(A24*60,K24,I24,J24,"")</f>
        <v>3225.9571746276088</v>
      </c>
      <c r="M24">
        <f t="shared" si="8"/>
        <v>3.0998551619503006E-4</v>
      </c>
    </row>
    <row r="25" spans="1:13" x14ac:dyDescent="0.3">
      <c r="A25">
        <v>24</v>
      </c>
      <c r="B25">
        <f t="shared" si="5"/>
        <v>8.9686154360186317E-5</v>
      </c>
      <c r="C25">
        <f t="shared" si="1"/>
        <v>8.9686154360186317E-5</v>
      </c>
      <c r="D25" t="s">
        <v>36</v>
      </c>
      <c r="E25" t="s">
        <v>19</v>
      </c>
      <c r="F25">
        <v>1</v>
      </c>
      <c r="G25">
        <f t="shared" si="6"/>
        <v>125</v>
      </c>
      <c r="I25">
        <v>2150</v>
      </c>
      <c r="J25" t="s">
        <v>31</v>
      </c>
      <c r="K25">
        <f t="shared" si="7"/>
        <v>127.5</v>
      </c>
      <c r="L25" cm="1">
        <f t="array" ref="L25">STOWA2024_NDJF_T(A25*60,K25,I25,J25,"")</f>
        <v>4539.2777885107544</v>
      </c>
      <c r="M25">
        <f t="shared" si="8"/>
        <v>2.2029936183484374E-4</v>
      </c>
    </row>
    <row r="26" spans="1:13" x14ac:dyDescent="0.3">
      <c r="A26">
        <v>24</v>
      </c>
      <c r="B26">
        <f t="shared" si="5"/>
        <v>6.2431698004486837E-5</v>
      </c>
      <c r="C26">
        <f t="shared" si="1"/>
        <v>6.2431698004486837E-5</v>
      </c>
      <c r="D26" t="s">
        <v>36</v>
      </c>
      <c r="E26" t="s">
        <v>19</v>
      </c>
      <c r="F26">
        <v>1</v>
      </c>
      <c r="G26">
        <f t="shared" si="6"/>
        <v>130</v>
      </c>
      <c r="I26">
        <v>2150</v>
      </c>
      <c r="J26" t="s">
        <v>31</v>
      </c>
      <c r="K26">
        <f t="shared" si="7"/>
        <v>132.5</v>
      </c>
      <c r="L26" cm="1">
        <f t="array" ref="L26">STOWA2024_NDJF_T(A26*60,K26,I26,J26,"")</f>
        <v>6334.4194481435443</v>
      </c>
      <c r="M26">
        <f t="shared" si="8"/>
        <v>1.5786766383035691E-4</v>
      </c>
    </row>
    <row r="27" spans="1:13" x14ac:dyDescent="0.3">
      <c r="A27">
        <v>24</v>
      </c>
      <c r="B27">
        <f t="shared" si="5"/>
        <v>4.3840089662244616E-5</v>
      </c>
      <c r="C27">
        <f t="shared" si="1"/>
        <v>4.3840089662244616E-5</v>
      </c>
      <c r="D27" t="s">
        <v>36</v>
      </c>
      <c r="E27" t="s">
        <v>19</v>
      </c>
      <c r="F27">
        <v>1</v>
      </c>
      <c r="G27">
        <f t="shared" si="6"/>
        <v>135</v>
      </c>
      <c r="I27">
        <v>2150</v>
      </c>
      <c r="J27" t="s">
        <v>31</v>
      </c>
      <c r="K27">
        <f t="shared" si="7"/>
        <v>137.5</v>
      </c>
      <c r="L27" cm="1">
        <f t="array" ref="L27">STOWA2024_NDJF_T(A27*60,K27,I27,J27,"")</f>
        <v>8769.8085949428987</v>
      </c>
      <c r="M27">
        <f t="shared" si="8"/>
        <v>1.1402757416811229E-4</v>
      </c>
    </row>
    <row r="28" spans="1:13" x14ac:dyDescent="0.3">
      <c r="A28">
        <v>24</v>
      </c>
      <c r="B28">
        <f t="shared" si="5"/>
        <v>3.1041747065948332E-5</v>
      </c>
      <c r="C28">
        <f t="shared" si="1"/>
        <v>3.1041747065948332E-5</v>
      </c>
      <c r="D28" t="s">
        <v>36</v>
      </c>
      <c r="E28" t="s">
        <v>19</v>
      </c>
      <c r="F28">
        <v>1</v>
      </c>
      <c r="G28">
        <f t="shared" si="6"/>
        <v>140</v>
      </c>
      <c r="I28">
        <v>2150</v>
      </c>
      <c r="J28" t="s">
        <v>31</v>
      </c>
      <c r="K28">
        <f t="shared" si="7"/>
        <v>142.5</v>
      </c>
      <c r="L28" cm="1">
        <f t="array" ref="L28">STOWA2024_NDJF_T(A28*60,K28,I28,J28,"")</f>
        <v>12050.25044540315</v>
      </c>
      <c r="M28">
        <f t="shared" si="8"/>
        <v>8.2985827102163959E-5</v>
      </c>
    </row>
    <row r="29" spans="1:13" x14ac:dyDescent="0.3">
      <c r="A29">
        <v>24</v>
      </c>
      <c r="B29">
        <f t="shared" si="5"/>
        <v>2.2154157057937895E-5</v>
      </c>
      <c r="C29">
        <f t="shared" si="1"/>
        <v>2.2154157057937895E-5</v>
      </c>
      <c r="D29" t="s">
        <v>36</v>
      </c>
      <c r="E29" t="s">
        <v>19</v>
      </c>
      <c r="F29">
        <v>1</v>
      </c>
      <c r="G29">
        <f t="shared" si="6"/>
        <v>145</v>
      </c>
      <c r="I29">
        <v>2150</v>
      </c>
      <c r="J29" t="s">
        <v>31</v>
      </c>
      <c r="K29">
        <f t="shared" si="7"/>
        <v>147.5</v>
      </c>
      <c r="L29" cm="1">
        <f t="array" ref="L29">STOWA2024_NDJF_T(A29*60,K29,I29,J29,"")</f>
        <v>16438.805629912451</v>
      </c>
      <c r="M29">
        <f t="shared" si="8"/>
        <v>6.0831670044226064E-5</v>
      </c>
    </row>
    <row r="30" spans="1:13" x14ac:dyDescent="0.3">
      <c r="A30">
        <v>24</v>
      </c>
      <c r="B30">
        <f t="shared" si="5"/>
        <v>1.5932078844698493E-5</v>
      </c>
      <c r="C30">
        <f t="shared" si="1"/>
        <v>1.5932078844698493E-5</v>
      </c>
      <c r="D30" t="s">
        <v>36</v>
      </c>
      <c r="E30" t="s">
        <v>19</v>
      </c>
      <c r="F30">
        <v>1</v>
      </c>
      <c r="G30">
        <f t="shared" si="6"/>
        <v>150</v>
      </c>
      <c r="I30">
        <v>2150</v>
      </c>
      <c r="J30" t="s">
        <v>31</v>
      </c>
      <c r="K30">
        <f t="shared" si="7"/>
        <v>152.5</v>
      </c>
      <c r="L30" cm="1">
        <f t="array" ref="L30">STOWA2024_NDJF_T(A30*60,K30,I30,J30,"")</f>
        <v>22271.917700901515</v>
      </c>
      <c r="M30">
        <f t="shared" si="8"/>
        <v>4.4899591199527571E-5</v>
      </c>
    </row>
    <row r="31" spans="1:13" x14ac:dyDescent="0.3">
      <c r="A31">
        <v>24</v>
      </c>
      <c r="B31">
        <f t="shared" si="5"/>
        <v>1.1540184406925197E-5</v>
      </c>
      <c r="C31">
        <f t="shared" si="1"/>
        <v>1.1540184406925197E-5</v>
      </c>
      <c r="D31" t="s">
        <v>36</v>
      </c>
      <c r="E31" t="s">
        <v>19</v>
      </c>
      <c r="F31">
        <v>1</v>
      </c>
      <c r="G31">
        <f t="shared" si="6"/>
        <v>155</v>
      </c>
      <c r="I31">
        <v>2150</v>
      </c>
      <c r="J31" t="s">
        <v>31</v>
      </c>
      <c r="K31">
        <f t="shared" si="7"/>
        <v>157.5</v>
      </c>
      <c r="L31" cm="1">
        <f t="array" ref="L31">STOWA2024_NDJF_T(A31*60,K31,I31,J31,"")</f>
        <v>29976.552227594027</v>
      </c>
      <c r="M31">
        <f t="shared" si="8"/>
        <v>3.3359406792602374E-5</v>
      </c>
    </row>
    <row r="32" spans="1:13" x14ac:dyDescent="0.3">
      <c r="A32">
        <v>24</v>
      </c>
      <c r="B32" s="1">
        <f>M31</f>
        <v>3.3359406792602374E-5</v>
      </c>
      <c r="C32">
        <f t="shared" si="1"/>
        <v>3.3359406792602374E-5</v>
      </c>
      <c r="D32" t="s">
        <v>36</v>
      </c>
      <c r="E32" t="s">
        <v>19</v>
      </c>
      <c r="F32">
        <v>1</v>
      </c>
      <c r="G32">
        <f t="shared" si="6"/>
        <v>160</v>
      </c>
      <c r="I32">
        <v>2150</v>
      </c>
      <c r="J32" t="s">
        <v>31</v>
      </c>
      <c r="K32">
        <f>AVERAGE(G32:G33)</f>
        <v>85</v>
      </c>
      <c r="L32" cm="1">
        <f t="array" ref="L32">STOWA2024_NDJF_T(A32*60,K32,I32,J32,"")</f>
        <v>181.90943360862315</v>
      </c>
      <c r="M32">
        <f>1/L32</f>
        <v>5.4972410180303948E-3</v>
      </c>
    </row>
    <row r="33" spans="1:13" x14ac:dyDescent="0.3">
      <c r="A33">
        <v>48</v>
      </c>
      <c r="B33" s="1">
        <f>365.25*24/A33 - M33</f>
        <v>160.55138975082673</v>
      </c>
      <c r="C33">
        <f>B33</f>
        <v>160.55138975082673</v>
      </c>
      <c r="D33" t="s">
        <v>36</v>
      </c>
      <c r="E33" t="s">
        <v>19</v>
      </c>
      <c r="F33">
        <v>1</v>
      </c>
      <c r="G33">
        <v>10</v>
      </c>
      <c r="I33">
        <v>2150</v>
      </c>
      <c r="J33" t="s">
        <v>31</v>
      </c>
      <c r="K33">
        <f>AVERAGE(G33:G35)</f>
        <v>15</v>
      </c>
      <c r="L33" cm="1">
        <f t="array" ref="L33">STOWA2024_NDJF_T(A33*60,K33,I33,J33,"")</f>
        <v>4.5302965337872307E-2</v>
      </c>
      <c r="M33">
        <f>1/L33</f>
        <v>22.073610249173282</v>
      </c>
    </row>
    <row r="34" spans="1:13" x14ac:dyDescent="0.3">
      <c r="A34">
        <v>48</v>
      </c>
      <c r="B34">
        <f t="shared" ref="B34:B38" si="9">M33-M34</f>
        <v>5.4184271336400904</v>
      </c>
      <c r="C34">
        <f t="shared" ref="C34:C63" si="10">B34</f>
        <v>5.4184271336400904</v>
      </c>
      <c r="D34" t="s">
        <v>36</v>
      </c>
      <c r="E34" t="s">
        <v>19</v>
      </c>
      <c r="F34">
        <v>1</v>
      </c>
      <c r="G34">
        <f t="shared" ref="G34:G38" si="11">G33+5</f>
        <v>15</v>
      </c>
      <c r="I34">
        <v>2150</v>
      </c>
      <c r="J34" t="s">
        <v>31</v>
      </c>
      <c r="K34">
        <f t="shared" ref="K34:K38" si="12">AVERAGE(G34:G35)</f>
        <v>17.5</v>
      </c>
      <c r="L34" cm="1">
        <f t="array" ref="L34">STOWA2024_NDJF_T(A34*60,K34,I34,J34,"")</f>
        <v>6.00413692880606E-2</v>
      </c>
      <c r="M34">
        <f t="shared" ref="M34:M38" si="13">1/L34</f>
        <v>16.655183115533191</v>
      </c>
    </row>
    <row r="35" spans="1:13" x14ac:dyDescent="0.3">
      <c r="A35">
        <v>48</v>
      </c>
      <c r="B35">
        <f t="shared" si="9"/>
        <v>7.0494137820549323</v>
      </c>
      <c r="C35">
        <f t="shared" si="10"/>
        <v>7.0494137820549323</v>
      </c>
      <c r="D35" t="s">
        <v>36</v>
      </c>
      <c r="E35" t="s">
        <v>19</v>
      </c>
      <c r="F35">
        <v>1</v>
      </c>
      <c r="G35">
        <f t="shared" si="11"/>
        <v>20</v>
      </c>
      <c r="I35">
        <v>2150</v>
      </c>
      <c r="J35" t="s">
        <v>31</v>
      </c>
      <c r="K35">
        <f t="shared" si="12"/>
        <v>22.5</v>
      </c>
      <c r="L35" cm="1">
        <f t="array" ref="L35">STOWA2024_NDJF_T(A35*60,K35,I35,J35,"")</f>
        <v>0.10410410299097814</v>
      </c>
      <c r="M35">
        <f t="shared" si="13"/>
        <v>9.6057693334782588</v>
      </c>
    </row>
    <row r="36" spans="1:13" x14ac:dyDescent="0.3">
      <c r="A36">
        <v>48</v>
      </c>
      <c r="B36">
        <f t="shared" si="9"/>
        <v>3.973708121954588</v>
      </c>
      <c r="C36">
        <f t="shared" si="10"/>
        <v>3.973708121954588</v>
      </c>
      <c r="D36" t="s">
        <v>36</v>
      </c>
      <c r="E36" t="s">
        <v>19</v>
      </c>
      <c r="F36">
        <v>1</v>
      </c>
      <c r="G36">
        <f t="shared" si="11"/>
        <v>25</v>
      </c>
      <c r="I36">
        <v>2150</v>
      </c>
      <c r="J36" t="s">
        <v>31</v>
      </c>
      <c r="K36">
        <f t="shared" si="12"/>
        <v>27.5</v>
      </c>
      <c r="L36" cm="1">
        <f t="array" ref="L36">STOWA2024_NDJF_T(A36*60,K36,I36,J36,"")</f>
        <v>0.17755488842236231</v>
      </c>
      <c r="M36">
        <f t="shared" si="13"/>
        <v>5.6320612115236708</v>
      </c>
    </row>
    <row r="37" spans="1:13" x14ac:dyDescent="0.3">
      <c r="A37">
        <v>48</v>
      </c>
      <c r="B37">
        <f t="shared" si="9"/>
        <v>2.2782954351027978</v>
      </c>
      <c r="C37">
        <f t="shared" si="10"/>
        <v>2.2782954351027978</v>
      </c>
      <c r="D37" t="s">
        <v>36</v>
      </c>
      <c r="E37" t="s">
        <v>19</v>
      </c>
      <c r="F37">
        <v>1</v>
      </c>
      <c r="G37">
        <f t="shared" si="11"/>
        <v>30</v>
      </c>
      <c r="I37">
        <v>2150</v>
      </c>
      <c r="J37" t="s">
        <v>31</v>
      </c>
      <c r="K37">
        <f t="shared" si="12"/>
        <v>32.5</v>
      </c>
      <c r="L37" cm="1">
        <f t="array" ref="L37">STOWA2024_NDJF_T(A37*60,K37,I37,J37,"")</f>
        <v>0.29817228353591124</v>
      </c>
      <c r="M37">
        <f t="shared" si="13"/>
        <v>3.353765776420873</v>
      </c>
    </row>
    <row r="38" spans="1:13" x14ac:dyDescent="0.3">
      <c r="A38">
        <v>48</v>
      </c>
      <c r="B38">
        <f t="shared" si="9"/>
        <v>1.3272818590533921</v>
      </c>
      <c r="C38">
        <f t="shared" si="10"/>
        <v>1.3272818590533921</v>
      </c>
      <c r="D38" t="s">
        <v>36</v>
      </c>
      <c r="E38" t="s">
        <v>19</v>
      </c>
      <c r="F38">
        <v>1</v>
      </c>
      <c r="G38">
        <f t="shared" si="11"/>
        <v>35</v>
      </c>
      <c r="I38">
        <v>2150</v>
      </c>
      <c r="J38" t="s">
        <v>31</v>
      </c>
      <c r="K38">
        <f t="shared" si="12"/>
        <v>37.5</v>
      </c>
      <c r="L38" cm="1">
        <f t="array" ref="L38">STOWA2024_NDJF_T(A38*60,K38,I38,J38,"")</f>
        <v>0.49346554958060435</v>
      </c>
      <c r="M38">
        <f t="shared" si="13"/>
        <v>2.0264839173674809</v>
      </c>
    </row>
    <row r="39" spans="1:13" x14ac:dyDescent="0.3">
      <c r="A39">
        <v>48</v>
      </c>
      <c r="B39">
        <f>M38-M39</f>
        <v>0.78493278344850559</v>
      </c>
      <c r="C39">
        <f t="shared" si="10"/>
        <v>0.78493278344850559</v>
      </c>
      <c r="D39" t="s">
        <v>36</v>
      </c>
      <c r="E39" t="s">
        <v>19</v>
      </c>
      <c r="F39">
        <v>1</v>
      </c>
      <c r="G39">
        <f>G38+5</f>
        <v>40</v>
      </c>
      <c r="I39">
        <v>2150</v>
      </c>
      <c r="J39" t="s">
        <v>31</v>
      </c>
      <c r="K39">
        <f>AVERAGE(G39:G40)</f>
        <v>42.5</v>
      </c>
      <c r="L39" cm="1">
        <f t="array" ref="L39">STOWA2024_NDJF_T(A39*60,K39,I39,J39,"")</f>
        <v>0.80544407127516737</v>
      </c>
      <c r="M39">
        <f>1/L39</f>
        <v>1.2415511339189753</v>
      </c>
    </row>
    <row r="40" spans="1:13" x14ac:dyDescent="0.3">
      <c r="A40">
        <v>48</v>
      </c>
      <c r="B40">
        <f t="shared" ref="B40:B62" si="14">M39-M40</f>
        <v>0.47078131054275529</v>
      </c>
      <c r="C40">
        <f t="shared" si="10"/>
        <v>0.47078131054275529</v>
      </c>
      <c r="D40" t="s">
        <v>36</v>
      </c>
      <c r="E40" t="s">
        <v>19</v>
      </c>
      <c r="F40">
        <v>1</v>
      </c>
      <c r="G40">
        <f t="shared" ref="G40:G63" si="15">G39+5</f>
        <v>45</v>
      </c>
      <c r="I40">
        <v>2150</v>
      </c>
      <c r="J40" t="s">
        <v>31</v>
      </c>
      <c r="K40">
        <f t="shared" ref="K40:K62" si="16">AVERAGE(G40:G41)</f>
        <v>47.5</v>
      </c>
      <c r="L40" cm="1">
        <f t="array" ref="L40">STOWA2024_NDJF_T(A40*60,K40,I40,J40,"")</f>
        <v>1.2974041921097508</v>
      </c>
      <c r="M40">
        <f t="shared" ref="M40:M62" si="17">1/L40</f>
        <v>0.77076982337622002</v>
      </c>
    </row>
    <row r="41" spans="1:13" x14ac:dyDescent="0.3">
      <c r="A41">
        <v>48</v>
      </c>
      <c r="B41">
        <f t="shared" si="14"/>
        <v>0.28635581659655723</v>
      </c>
      <c r="C41">
        <f t="shared" si="10"/>
        <v>0.28635581659655723</v>
      </c>
      <c r="D41" t="s">
        <v>36</v>
      </c>
      <c r="E41" t="s">
        <v>19</v>
      </c>
      <c r="F41">
        <v>1</v>
      </c>
      <c r="G41">
        <f t="shared" si="15"/>
        <v>50</v>
      </c>
      <c r="I41">
        <v>2150</v>
      </c>
      <c r="J41" t="s">
        <v>31</v>
      </c>
      <c r="K41">
        <f t="shared" si="16"/>
        <v>52.5</v>
      </c>
      <c r="L41" cm="1">
        <f t="array" ref="L41">STOWA2024_NDJF_T(A41*60,K41,I41,J41,"")</f>
        <v>2.0643498866762808</v>
      </c>
      <c r="M41">
        <f t="shared" si="17"/>
        <v>0.48441400677966279</v>
      </c>
    </row>
    <row r="42" spans="1:13" x14ac:dyDescent="0.3">
      <c r="A42">
        <v>48</v>
      </c>
      <c r="B42">
        <f t="shared" si="14"/>
        <v>0.17636311931257681</v>
      </c>
      <c r="C42">
        <f t="shared" si="10"/>
        <v>0.17636311931257681</v>
      </c>
      <c r="D42" t="s">
        <v>36</v>
      </c>
      <c r="E42" t="s">
        <v>19</v>
      </c>
      <c r="F42">
        <v>1</v>
      </c>
      <c r="G42">
        <f t="shared" si="15"/>
        <v>55</v>
      </c>
      <c r="I42">
        <v>2150</v>
      </c>
      <c r="J42" t="s">
        <v>31</v>
      </c>
      <c r="K42">
        <f t="shared" si="16"/>
        <v>57.5</v>
      </c>
      <c r="L42" cm="1">
        <f t="array" ref="L42">STOWA2024_NDJF_T(A42*60,K42,I42,J42,"")</f>
        <v>3.2462169098826119</v>
      </c>
      <c r="M42">
        <f t="shared" si="17"/>
        <v>0.30805088746708598</v>
      </c>
    </row>
    <row r="43" spans="1:13" x14ac:dyDescent="0.3">
      <c r="A43">
        <v>48</v>
      </c>
      <c r="B43">
        <f t="shared" si="14"/>
        <v>0.1099479813644576</v>
      </c>
      <c r="C43">
        <f t="shared" si="10"/>
        <v>0.1099479813644576</v>
      </c>
      <c r="D43" t="s">
        <v>36</v>
      </c>
      <c r="E43" t="s">
        <v>19</v>
      </c>
      <c r="F43">
        <v>1</v>
      </c>
      <c r="G43">
        <f t="shared" si="15"/>
        <v>60</v>
      </c>
      <c r="I43">
        <v>2150</v>
      </c>
      <c r="J43" t="s">
        <v>31</v>
      </c>
      <c r="K43">
        <f t="shared" si="16"/>
        <v>62.5</v>
      </c>
      <c r="L43" cm="1">
        <f t="array" ref="L43">STOWA2024_NDJF_T(A43*60,K43,I43,J43,"")</f>
        <v>5.0478815261899497</v>
      </c>
      <c r="M43">
        <f t="shared" si="17"/>
        <v>0.19810290610262837</v>
      </c>
    </row>
    <row r="44" spans="1:13" x14ac:dyDescent="0.3">
      <c r="A44">
        <v>48</v>
      </c>
      <c r="B44">
        <f t="shared" si="14"/>
        <v>6.9342303558403012E-2</v>
      </c>
      <c r="C44">
        <f t="shared" si="10"/>
        <v>6.9342303558403012E-2</v>
      </c>
      <c r="D44" t="s">
        <v>36</v>
      </c>
      <c r="E44" t="s">
        <v>19</v>
      </c>
      <c r="F44">
        <v>1</v>
      </c>
      <c r="G44">
        <f t="shared" si="15"/>
        <v>65</v>
      </c>
      <c r="I44">
        <v>2150</v>
      </c>
      <c r="J44" t="s">
        <v>31</v>
      </c>
      <c r="K44">
        <f t="shared" si="16"/>
        <v>67.5</v>
      </c>
      <c r="L44" cm="1">
        <f t="array" ref="L44">STOWA2024_NDJF_T(A44*60,K44,I44,J44,"")</f>
        <v>7.7663507333815902</v>
      </c>
      <c r="M44">
        <f t="shared" si="17"/>
        <v>0.12876060254422536</v>
      </c>
    </row>
    <row r="45" spans="1:13" x14ac:dyDescent="0.3">
      <c r="A45">
        <v>48</v>
      </c>
      <c r="B45">
        <f t="shared" si="14"/>
        <v>4.421679378725793E-2</v>
      </c>
      <c r="C45">
        <f t="shared" si="10"/>
        <v>4.421679378725793E-2</v>
      </c>
      <c r="D45" t="s">
        <v>36</v>
      </c>
      <c r="E45" t="s">
        <v>19</v>
      </c>
      <c r="F45">
        <v>1</v>
      </c>
      <c r="G45">
        <f t="shared" si="15"/>
        <v>70</v>
      </c>
      <c r="I45">
        <v>2150</v>
      </c>
      <c r="J45" t="s">
        <v>31</v>
      </c>
      <c r="K45">
        <f t="shared" si="16"/>
        <v>72.5</v>
      </c>
      <c r="L45" cm="1">
        <f t="array" ref="L45">STOWA2024_NDJF_T(A45*60,K45,I45,J45,"")</f>
        <v>11.828187240471207</v>
      </c>
      <c r="M45">
        <f t="shared" si="17"/>
        <v>8.4543808756967431E-2</v>
      </c>
    </row>
    <row r="46" spans="1:13" x14ac:dyDescent="0.3">
      <c r="A46">
        <v>48</v>
      </c>
      <c r="B46">
        <f t="shared" si="14"/>
        <v>2.8491941728430566E-2</v>
      </c>
      <c r="C46">
        <f t="shared" si="10"/>
        <v>2.8491941728430566E-2</v>
      </c>
      <c r="D46" t="s">
        <v>36</v>
      </c>
      <c r="E46" t="s">
        <v>19</v>
      </c>
      <c r="F46">
        <v>1</v>
      </c>
      <c r="G46">
        <f t="shared" si="15"/>
        <v>75</v>
      </c>
      <c r="I46">
        <v>2150</v>
      </c>
      <c r="J46" t="s">
        <v>31</v>
      </c>
      <c r="K46">
        <f t="shared" si="16"/>
        <v>77.5</v>
      </c>
      <c r="L46" cm="1">
        <f t="array" ref="L46">STOWA2024_NDJF_T(A46*60,K46,I46,J46,"")</f>
        <v>17.840618930514566</v>
      </c>
      <c r="M46">
        <f t="shared" si="17"/>
        <v>5.6051867028536866E-2</v>
      </c>
    </row>
    <row r="47" spans="1:13" x14ac:dyDescent="0.3">
      <c r="A47">
        <v>48</v>
      </c>
      <c r="B47">
        <f t="shared" si="14"/>
        <v>1.8545235489381445E-2</v>
      </c>
      <c r="C47">
        <f t="shared" si="10"/>
        <v>1.8545235489381445E-2</v>
      </c>
      <c r="D47" t="s">
        <v>36</v>
      </c>
      <c r="E47" t="s">
        <v>19</v>
      </c>
      <c r="F47">
        <v>1</v>
      </c>
      <c r="G47">
        <f t="shared" si="15"/>
        <v>80</v>
      </c>
      <c r="I47">
        <v>2150</v>
      </c>
      <c r="J47" t="s">
        <v>31</v>
      </c>
      <c r="K47">
        <f t="shared" si="16"/>
        <v>82.5</v>
      </c>
      <c r="L47" cm="1">
        <f t="array" ref="L47">STOWA2024_NDJF_T(A47*60,K47,I47,J47,"")</f>
        <v>26.661951739282163</v>
      </c>
      <c r="M47">
        <f t="shared" si="17"/>
        <v>3.750663153915542E-2</v>
      </c>
    </row>
    <row r="48" spans="1:13" x14ac:dyDescent="0.3">
      <c r="A48">
        <v>48</v>
      </c>
      <c r="B48">
        <f t="shared" si="14"/>
        <v>1.2186287525933166E-2</v>
      </c>
      <c r="C48">
        <f t="shared" si="10"/>
        <v>1.2186287525933166E-2</v>
      </c>
      <c r="D48" t="s">
        <v>36</v>
      </c>
      <c r="E48" t="s">
        <v>19</v>
      </c>
      <c r="F48">
        <v>1</v>
      </c>
      <c r="G48">
        <f t="shared" si="15"/>
        <v>85</v>
      </c>
      <c r="I48">
        <v>2150</v>
      </c>
      <c r="J48" t="s">
        <v>31</v>
      </c>
      <c r="K48">
        <f t="shared" si="16"/>
        <v>87.5</v>
      </c>
      <c r="L48" cm="1">
        <f t="array" ref="L48">STOWA2024_NDJF_T(A48*60,K48,I48,J48,"")</f>
        <v>39.493934185009536</v>
      </c>
      <c r="M48">
        <f t="shared" si="17"/>
        <v>2.5320344013222255E-2</v>
      </c>
    </row>
    <row r="49" spans="1:13" x14ac:dyDescent="0.3">
      <c r="A49">
        <v>48</v>
      </c>
      <c r="B49">
        <f t="shared" si="14"/>
        <v>8.0816512819826963E-3</v>
      </c>
      <c r="C49">
        <f t="shared" si="10"/>
        <v>8.0816512819826963E-3</v>
      </c>
      <c r="D49" t="s">
        <v>36</v>
      </c>
      <c r="E49" t="s">
        <v>19</v>
      </c>
      <c r="F49">
        <v>1</v>
      </c>
      <c r="G49">
        <f t="shared" si="15"/>
        <v>90</v>
      </c>
      <c r="I49">
        <v>2150</v>
      </c>
      <c r="J49" t="s">
        <v>31</v>
      </c>
      <c r="K49">
        <f t="shared" si="16"/>
        <v>92.5</v>
      </c>
      <c r="L49" cm="1">
        <f t="array" ref="L49">STOWA2024_NDJF_T(A49*60,K49,I49,J49,"")</f>
        <v>58.009039060590901</v>
      </c>
      <c r="M49">
        <f t="shared" si="17"/>
        <v>1.7238692731239558E-2</v>
      </c>
    </row>
    <row r="50" spans="1:13" x14ac:dyDescent="0.3">
      <c r="A50">
        <v>48</v>
      </c>
      <c r="B50">
        <f t="shared" si="14"/>
        <v>5.4067114067643928E-3</v>
      </c>
      <c r="C50">
        <f t="shared" si="10"/>
        <v>5.4067114067643928E-3</v>
      </c>
      <c r="D50" t="s">
        <v>36</v>
      </c>
      <c r="E50" t="s">
        <v>19</v>
      </c>
      <c r="F50">
        <v>1</v>
      </c>
      <c r="G50">
        <f t="shared" si="15"/>
        <v>95</v>
      </c>
      <c r="I50">
        <v>2150</v>
      </c>
      <c r="J50" t="s">
        <v>31</v>
      </c>
      <c r="K50">
        <f t="shared" si="16"/>
        <v>97.5</v>
      </c>
      <c r="L50" cm="1">
        <f t="array" ref="L50">STOWA2024_NDJF_T(A50*60,K50,I50,J50,"")</f>
        <v>84.516698647202887</v>
      </c>
      <c r="M50">
        <f t="shared" si="17"/>
        <v>1.1831981324475166E-2</v>
      </c>
    </row>
    <row r="51" spans="1:13" x14ac:dyDescent="0.3">
      <c r="A51">
        <v>48</v>
      </c>
      <c r="B51">
        <f t="shared" si="14"/>
        <v>3.6476373661787406E-3</v>
      </c>
      <c r="C51">
        <f t="shared" si="10"/>
        <v>3.6476373661787406E-3</v>
      </c>
      <c r="D51" t="s">
        <v>36</v>
      </c>
      <c r="E51" t="s">
        <v>19</v>
      </c>
      <c r="F51">
        <v>1</v>
      </c>
      <c r="G51">
        <f t="shared" si="15"/>
        <v>100</v>
      </c>
      <c r="I51">
        <v>2150</v>
      </c>
      <c r="J51" t="s">
        <v>31</v>
      </c>
      <c r="K51">
        <f t="shared" si="16"/>
        <v>102.5</v>
      </c>
      <c r="L51" cm="1">
        <f t="array" ref="L51">STOWA2024_NDJF_T(A51*60,K51,I51,J51,"")</f>
        <v>122.18450313128709</v>
      </c>
      <c r="M51">
        <f t="shared" si="17"/>
        <v>8.184343958296425E-3</v>
      </c>
    </row>
    <row r="52" spans="1:13" x14ac:dyDescent="0.3">
      <c r="A52">
        <v>48</v>
      </c>
      <c r="B52">
        <f t="shared" si="14"/>
        <v>2.4807688641255597E-3</v>
      </c>
      <c r="C52">
        <f t="shared" si="10"/>
        <v>2.4807688641255597E-3</v>
      </c>
      <c r="D52" t="s">
        <v>36</v>
      </c>
      <c r="E52" t="s">
        <v>19</v>
      </c>
      <c r="F52">
        <v>1</v>
      </c>
      <c r="G52">
        <f t="shared" si="15"/>
        <v>105</v>
      </c>
      <c r="I52">
        <v>2150</v>
      </c>
      <c r="J52" t="s">
        <v>31</v>
      </c>
      <c r="K52">
        <f t="shared" si="16"/>
        <v>107.5</v>
      </c>
      <c r="L52" cm="1">
        <f t="array" ref="L52">STOWA2024_NDJF_T(A52*60,K52,I52,J52,"")</f>
        <v>175.32862870903799</v>
      </c>
      <c r="M52">
        <f t="shared" si="17"/>
        <v>5.7035750941708653E-3</v>
      </c>
    </row>
    <row r="53" spans="1:13" x14ac:dyDescent="0.3">
      <c r="A53">
        <v>48</v>
      </c>
      <c r="B53">
        <f t="shared" si="14"/>
        <v>1.7002662217586442E-3</v>
      </c>
      <c r="C53">
        <f t="shared" si="10"/>
        <v>1.7002662217586442E-3</v>
      </c>
      <c r="D53" t="s">
        <v>36</v>
      </c>
      <c r="E53" t="s">
        <v>19</v>
      </c>
      <c r="F53">
        <v>1</v>
      </c>
      <c r="G53">
        <f t="shared" si="15"/>
        <v>110</v>
      </c>
      <c r="I53">
        <v>2150</v>
      </c>
      <c r="J53" t="s">
        <v>31</v>
      </c>
      <c r="K53">
        <f t="shared" si="16"/>
        <v>112.5</v>
      </c>
      <c r="L53" cm="1">
        <f t="array" ref="L53">STOWA2024_NDJF_T(A53*60,K53,I53,J53,"")</f>
        <v>249.79336640528643</v>
      </c>
      <c r="M53">
        <f t="shared" si="17"/>
        <v>4.0033088724122212E-3</v>
      </c>
    </row>
    <row r="54" spans="1:13" x14ac:dyDescent="0.3">
      <c r="A54">
        <v>48</v>
      </c>
      <c r="B54">
        <f t="shared" si="14"/>
        <v>1.173985512807973E-3</v>
      </c>
      <c r="C54">
        <f t="shared" si="10"/>
        <v>1.173985512807973E-3</v>
      </c>
      <c r="D54" t="s">
        <v>36</v>
      </c>
      <c r="E54" t="s">
        <v>19</v>
      </c>
      <c r="F54">
        <v>1</v>
      </c>
      <c r="G54">
        <f t="shared" si="15"/>
        <v>115</v>
      </c>
      <c r="I54">
        <v>2150</v>
      </c>
      <c r="J54" t="s">
        <v>31</v>
      </c>
      <c r="K54">
        <f t="shared" si="16"/>
        <v>117.5</v>
      </c>
      <c r="L54" cm="1">
        <f t="array" ref="L54">STOWA2024_NDJF_T(A54*60,K54,I54,J54,"")</f>
        <v>353.4413967231639</v>
      </c>
      <c r="M54">
        <f t="shared" si="17"/>
        <v>2.8293233596042482E-3</v>
      </c>
    </row>
    <row r="55" spans="1:13" x14ac:dyDescent="0.3">
      <c r="A55">
        <v>48</v>
      </c>
      <c r="B55">
        <f t="shared" si="14"/>
        <v>8.1645183602536671E-4</v>
      </c>
      <c r="C55">
        <f t="shared" si="10"/>
        <v>8.1645183602536671E-4</v>
      </c>
      <c r="D55" t="s">
        <v>36</v>
      </c>
      <c r="E55" t="s">
        <v>19</v>
      </c>
      <c r="F55">
        <v>1</v>
      </c>
      <c r="G55">
        <f t="shared" si="15"/>
        <v>120</v>
      </c>
      <c r="I55">
        <v>2150</v>
      </c>
      <c r="J55" t="s">
        <v>31</v>
      </c>
      <c r="K55">
        <f t="shared" si="16"/>
        <v>122.5</v>
      </c>
      <c r="L55" cm="1">
        <f t="array" ref="L55">STOWA2024_NDJF_T(A55*60,K55,I55,J55,"")</f>
        <v>496.80269619096305</v>
      </c>
      <c r="M55">
        <f t="shared" si="17"/>
        <v>2.0128715235788815E-3</v>
      </c>
    </row>
    <row r="56" spans="1:13" x14ac:dyDescent="0.3">
      <c r="A56">
        <v>48</v>
      </c>
      <c r="B56">
        <f t="shared" si="14"/>
        <v>5.7169878480435913E-4</v>
      </c>
      <c r="C56">
        <f t="shared" si="10"/>
        <v>5.7169878480435913E-4</v>
      </c>
      <c r="D56" t="s">
        <v>36</v>
      </c>
      <c r="E56" t="s">
        <v>19</v>
      </c>
      <c r="F56">
        <v>1</v>
      </c>
      <c r="G56">
        <f t="shared" si="15"/>
        <v>125</v>
      </c>
      <c r="I56">
        <v>2150</v>
      </c>
      <c r="J56" t="s">
        <v>31</v>
      </c>
      <c r="K56">
        <f t="shared" si="16"/>
        <v>127.5</v>
      </c>
      <c r="L56" cm="1">
        <f t="array" ref="L56">STOWA2024_NDJF_T(A56*60,K56,I56,J56,"")</f>
        <v>693.8793477666901</v>
      </c>
      <c r="M56">
        <f t="shared" si="17"/>
        <v>1.4411727387745224E-3</v>
      </c>
    </row>
    <row r="57" spans="1:13" x14ac:dyDescent="0.3">
      <c r="A57">
        <v>48</v>
      </c>
      <c r="B57">
        <f t="shared" si="14"/>
        <v>4.0296548244328706E-4</v>
      </c>
      <c r="C57">
        <f t="shared" si="10"/>
        <v>4.0296548244328706E-4</v>
      </c>
      <c r="D57" t="s">
        <v>36</v>
      </c>
      <c r="E57" t="s">
        <v>19</v>
      </c>
      <c r="F57">
        <v>1</v>
      </c>
      <c r="G57">
        <f t="shared" si="15"/>
        <v>130</v>
      </c>
      <c r="I57">
        <v>2150</v>
      </c>
      <c r="J57" t="s">
        <v>31</v>
      </c>
      <c r="K57">
        <f t="shared" si="16"/>
        <v>132.5</v>
      </c>
      <c r="L57" cm="1">
        <f t="array" ref="L57">STOWA2024_NDJF_T(A57*60,K57,I57,J57,"")</f>
        <v>963.19881594138508</v>
      </c>
      <c r="M57">
        <f t="shared" si="17"/>
        <v>1.0382072563312353E-3</v>
      </c>
    </row>
    <row r="58" spans="1:13" x14ac:dyDescent="0.3">
      <c r="A58">
        <v>48</v>
      </c>
      <c r="B58">
        <f t="shared" si="14"/>
        <v>2.8585602308342538E-4</v>
      </c>
      <c r="C58">
        <f t="shared" si="10"/>
        <v>2.8585602308342538E-4</v>
      </c>
      <c r="D58" t="s">
        <v>36</v>
      </c>
      <c r="E58" t="s">
        <v>19</v>
      </c>
      <c r="F58">
        <v>1</v>
      </c>
      <c r="G58">
        <f t="shared" si="15"/>
        <v>135</v>
      </c>
      <c r="I58">
        <v>2150</v>
      </c>
      <c r="J58" t="s">
        <v>31</v>
      </c>
      <c r="K58">
        <f t="shared" si="16"/>
        <v>137.5</v>
      </c>
      <c r="L58" cm="1">
        <f t="array" ref="L58">STOWA2024_NDJF_T(A58*60,K58,I58,J58,"")</f>
        <v>1329.1664262755576</v>
      </c>
      <c r="M58">
        <f t="shared" si="17"/>
        <v>7.5235123324780991E-4</v>
      </c>
    </row>
    <row r="59" spans="1:13" x14ac:dyDescent="0.3">
      <c r="A59">
        <v>48</v>
      </c>
      <c r="B59">
        <f t="shared" si="14"/>
        <v>2.0403433473113524E-4</v>
      </c>
      <c r="C59">
        <f t="shared" si="10"/>
        <v>2.0403433473113524E-4</v>
      </c>
      <c r="D59" t="s">
        <v>36</v>
      </c>
      <c r="E59" t="s">
        <v>19</v>
      </c>
      <c r="F59">
        <v>1</v>
      </c>
      <c r="G59">
        <f t="shared" si="15"/>
        <v>140</v>
      </c>
      <c r="I59">
        <v>2150</v>
      </c>
      <c r="J59" t="s">
        <v>31</v>
      </c>
      <c r="K59">
        <f t="shared" si="16"/>
        <v>142.5</v>
      </c>
      <c r="L59" cm="1">
        <f t="array" ref="L59">STOWA2024_NDJF_T(A59*60,K59,I59,J59,"")</f>
        <v>1823.7628690730373</v>
      </c>
      <c r="M59">
        <f t="shared" si="17"/>
        <v>5.4831689851667466E-4</v>
      </c>
    </row>
    <row r="60" spans="1:13" x14ac:dyDescent="0.3">
      <c r="A60">
        <v>48</v>
      </c>
      <c r="B60">
        <f t="shared" si="14"/>
        <v>1.4649179190579875E-4</v>
      </c>
      <c r="C60">
        <f t="shared" si="10"/>
        <v>1.4649179190579875E-4</v>
      </c>
      <c r="D60" t="s">
        <v>36</v>
      </c>
      <c r="E60" t="s">
        <v>19</v>
      </c>
      <c r="F60">
        <v>1</v>
      </c>
      <c r="G60">
        <f t="shared" si="15"/>
        <v>145</v>
      </c>
      <c r="I60">
        <v>2150</v>
      </c>
      <c r="J60" t="s">
        <v>31</v>
      </c>
      <c r="K60">
        <f t="shared" si="16"/>
        <v>147.5</v>
      </c>
      <c r="L60" cm="1">
        <f t="array" ref="L60">STOWA2024_NDJF_T(A60*60,K60,I60,J60,"")</f>
        <v>2488.644894377871</v>
      </c>
      <c r="M60">
        <f t="shared" si="17"/>
        <v>4.0182510661087591E-4</v>
      </c>
    </row>
    <row r="61" spans="1:13" x14ac:dyDescent="0.3">
      <c r="A61">
        <v>48</v>
      </c>
      <c r="B61">
        <f t="shared" si="14"/>
        <v>1.0578401245391739E-4</v>
      </c>
      <c r="C61">
        <f t="shared" si="10"/>
        <v>1.0578401245391739E-4</v>
      </c>
      <c r="D61" t="s">
        <v>36</v>
      </c>
      <c r="E61" t="s">
        <v>19</v>
      </c>
      <c r="F61">
        <v>1</v>
      </c>
      <c r="G61">
        <f t="shared" si="15"/>
        <v>150</v>
      </c>
      <c r="I61">
        <v>2150</v>
      </c>
      <c r="J61" t="s">
        <v>31</v>
      </c>
      <c r="K61">
        <f t="shared" si="16"/>
        <v>152.5</v>
      </c>
      <c r="L61" cm="1">
        <f t="array" ref="L61">STOWA2024_NDJF_T(A61*60,K61,I61,J61,"")</f>
        <v>3377.9094177709271</v>
      </c>
      <c r="M61">
        <f t="shared" si="17"/>
        <v>2.9604109415695852E-4</v>
      </c>
    </row>
    <row r="62" spans="1:13" x14ac:dyDescent="0.3">
      <c r="A62">
        <v>48</v>
      </c>
      <c r="B62">
        <f t="shared" si="14"/>
        <v>7.6811724003475668E-5</v>
      </c>
      <c r="C62">
        <f t="shared" si="10"/>
        <v>7.6811724003475668E-5</v>
      </c>
      <c r="D62" t="s">
        <v>36</v>
      </c>
      <c r="E62" t="s">
        <v>19</v>
      </c>
      <c r="F62">
        <v>1</v>
      </c>
      <c r="G62">
        <f t="shared" si="15"/>
        <v>155</v>
      </c>
      <c r="I62">
        <v>2150</v>
      </c>
      <c r="J62" t="s">
        <v>31</v>
      </c>
      <c r="K62">
        <f t="shared" si="16"/>
        <v>157.5</v>
      </c>
      <c r="L62" cm="1">
        <f t="array" ref="L62">STOWA2024_NDJF_T(A62*60,K62,I62,J62,"")</f>
        <v>4561.4326187221095</v>
      </c>
      <c r="M62">
        <f t="shared" si="17"/>
        <v>2.1922937015348285E-4</v>
      </c>
    </row>
    <row r="63" spans="1:13" x14ac:dyDescent="0.3">
      <c r="A63">
        <v>48</v>
      </c>
      <c r="B63" s="1">
        <f>M62</f>
        <v>2.1922937015348285E-4</v>
      </c>
      <c r="C63">
        <f t="shared" si="10"/>
        <v>2.1922937015348285E-4</v>
      </c>
      <c r="D63" t="s">
        <v>36</v>
      </c>
      <c r="E63" t="s">
        <v>19</v>
      </c>
      <c r="F63">
        <v>1</v>
      </c>
      <c r="G63">
        <f t="shared" si="15"/>
        <v>160</v>
      </c>
      <c r="I63">
        <v>2150</v>
      </c>
      <c r="J63" t="s">
        <v>31</v>
      </c>
      <c r="K63">
        <f>AVERAGE(G63:G64)</f>
        <v>85</v>
      </c>
      <c r="L63" cm="1">
        <f t="array" ref="L63">STOWA2024_NDJF_T(A63*60,K63,I63,J63,"")</f>
        <v>32.484988244500563</v>
      </c>
      <c r="M63">
        <f>1/L63</f>
        <v>3.0783449649833001E-2</v>
      </c>
    </row>
    <row r="64" spans="1:13" x14ac:dyDescent="0.3">
      <c r="A64">
        <v>96</v>
      </c>
      <c r="B64" s="1">
        <f>365.25*24/A64 - M64</f>
        <v>64.028046848143703</v>
      </c>
      <c r="C64">
        <f>B64</f>
        <v>64.028046848143703</v>
      </c>
      <c r="D64" t="s">
        <v>36</v>
      </c>
      <c r="E64" t="s">
        <v>19</v>
      </c>
      <c r="F64">
        <v>1</v>
      </c>
      <c r="G64">
        <v>10</v>
      </c>
      <c r="I64">
        <v>2150</v>
      </c>
      <c r="J64" t="s">
        <v>31</v>
      </c>
      <c r="K64">
        <f>AVERAGE(G64:G66)</f>
        <v>15</v>
      </c>
      <c r="L64" cm="1">
        <f t="array" ref="L64">STOWA2024_NDJF_T(A64*60,K64,I64,J64,"")</f>
        <v>3.6650908648757904E-2</v>
      </c>
      <c r="M64">
        <f>1/L64</f>
        <v>27.284453151856301</v>
      </c>
    </row>
    <row r="65" spans="1:13" x14ac:dyDescent="0.3">
      <c r="A65">
        <v>96</v>
      </c>
      <c r="B65">
        <f t="shared" ref="B65:B69" si="18">M64-M65</f>
        <v>4.8111599535205585</v>
      </c>
      <c r="C65">
        <f t="shared" ref="C65:C94" si="19">B65</f>
        <v>4.8111599535205585</v>
      </c>
      <c r="D65" t="s">
        <v>36</v>
      </c>
      <c r="E65" t="s">
        <v>19</v>
      </c>
      <c r="F65">
        <v>1</v>
      </c>
      <c r="G65">
        <f t="shared" ref="G65:G69" si="20">G64+5</f>
        <v>15</v>
      </c>
      <c r="I65">
        <v>2150</v>
      </c>
      <c r="J65" t="s">
        <v>31</v>
      </c>
      <c r="K65">
        <f t="shared" ref="K65:K69" si="21">AVERAGE(G65:G66)</f>
        <v>17.5</v>
      </c>
      <c r="L65" cm="1">
        <f t="array" ref="L65">STOWA2024_NDJF_T(A65*60,K65,I65,J65,"")</f>
        <v>4.4497261312554534E-2</v>
      </c>
      <c r="M65">
        <f t="shared" ref="M65:M69" si="22">1/L65</f>
        <v>22.473293198335742</v>
      </c>
    </row>
    <row r="66" spans="1:13" x14ac:dyDescent="0.3">
      <c r="A66">
        <v>96</v>
      </c>
      <c r="B66">
        <f t="shared" si="18"/>
        <v>7.1891531811105995</v>
      </c>
      <c r="C66">
        <f t="shared" si="19"/>
        <v>7.1891531811105995</v>
      </c>
      <c r="D66" t="s">
        <v>36</v>
      </c>
      <c r="E66" t="s">
        <v>19</v>
      </c>
      <c r="F66">
        <v>1</v>
      </c>
      <c r="G66">
        <f t="shared" si="20"/>
        <v>20</v>
      </c>
      <c r="I66">
        <v>2150</v>
      </c>
      <c r="J66" t="s">
        <v>31</v>
      </c>
      <c r="K66">
        <f t="shared" si="21"/>
        <v>22.5</v>
      </c>
      <c r="L66" cm="1">
        <f t="array" ref="L66">STOWA2024_NDJF_T(A66*60,K66,I66,J66,"")</f>
        <v>6.5427299074269502E-2</v>
      </c>
      <c r="M66">
        <f t="shared" si="22"/>
        <v>15.284140017225143</v>
      </c>
    </row>
    <row r="67" spans="1:13" x14ac:dyDescent="0.3">
      <c r="A67">
        <v>96</v>
      </c>
      <c r="B67">
        <f t="shared" si="18"/>
        <v>4.8556836197531048</v>
      </c>
      <c r="C67">
        <f t="shared" si="19"/>
        <v>4.8556836197531048</v>
      </c>
      <c r="D67" t="s">
        <v>36</v>
      </c>
      <c r="E67" t="s">
        <v>19</v>
      </c>
      <c r="F67">
        <v>1</v>
      </c>
      <c r="G67">
        <f t="shared" si="20"/>
        <v>25</v>
      </c>
      <c r="I67">
        <v>2150</v>
      </c>
      <c r="J67" t="s">
        <v>31</v>
      </c>
      <c r="K67">
        <f t="shared" si="21"/>
        <v>27.5</v>
      </c>
      <c r="L67" cm="1">
        <f t="array" ref="L67">STOWA2024_NDJF_T(A67*60,K67,I67,J67,"")</f>
        <v>9.5891468678184238E-2</v>
      </c>
      <c r="M67">
        <f t="shared" si="22"/>
        <v>10.428456397472038</v>
      </c>
    </row>
    <row r="68" spans="1:13" x14ac:dyDescent="0.3">
      <c r="A68">
        <v>96</v>
      </c>
      <c r="B68">
        <f t="shared" si="18"/>
        <v>3.2902166877272361</v>
      </c>
      <c r="C68">
        <f t="shared" si="19"/>
        <v>3.2902166877272361</v>
      </c>
      <c r="D68" t="s">
        <v>36</v>
      </c>
      <c r="E68" t="s">
        <v>19</v>
      </c>
      <c r="F68">
        <v>1</v>
      </c>
      <c r="G68">
        <f t="shared" si="20"/>
        <v>30</v>
      </c>
      <c r="I68">
        <v>2150</v>
      </c>
      <c r="J68" t="s">
        <v>31</v>
      </c>
      <c r="K68">
        <f t="shared" si="21"/>
        <v>32.5</v>
      </c>
      <c r="L68" cm="1">
        <f t="array" ref="L68">STOWA2024_NDJF_T(A68*60,K68,I68,J68,"")</f>
        <v>0.14009056023081506</v>
      </c>
      <c r="M68">
        <f t="shared" si="22"/>
        <v>7.138239709744802</v>
      </c>
    </row>
    <row r="69" spans="1:13" x14ac:dyDescent="0.3">
      <c r="A69">
        <v>96</v>
      </c>
      <c r="B69">
        <f t="shared" si="18"/>
        <v>2.2369049761496731</v>
      </c>
      <c r="C69">
        <f t="shared" si="19"/>
        <v>2.2369049761496731</v>
      </c>
      <c r="D69" t="s">
        <v>36</v>
      </c>
      <c r="E69" t="s">
        <v>19</v>
      </c>
      <c r="F69">
        <v>1</v>
      </c>
      <c r="G69">
        <f t="shared" si="20"/>
        <v>35</v>
      </c>
      <c r="I69">
        <v>2150</v>
      </c>
      <c r="J69" t="s">
        <v>31</v>
      </c>
      <c r="K69">
        <f t="shared" si="21"/>
        <v>37.5</v>
      </c>
      <c r="L69" cm="1">
        <f t="array" ref="L69">STOWA2024_NDJF_T(A69*60,K69,I69,J69,"")</f>
        <v>0.20402605705456481</v>
      </c>
      <c r="M69">
        <f t="shared" si="22"/>
        <v>4.9013347335951289</v>
      </c>
    </row>
    <row r="70" spans="1:13" x14ac:dyDescent="0.3">
      <c r="A70">
        <v>96</v>
      </c>
      <c r="B70">
        <f>M69-M70</f>
        <v>1.5254647715677327</v>
      </c>
      <c r="C70">
        <f t="shared" si="19"/>
        <v>1.5254647715677327</v>
      </c>
      <c r="D70" t="s">
        <v>36</v>
      </c>
      <c r="E70" t="s">
        <v>19</v>
      </c>
      <c r="F70">
        <v>1</v>
      </c>
      <c r="G70">
        <f>G69+5</f>
        <v>40</v>
      </c>
      <c r="I70">
        <v>2150</v>
      </c>
      <c r="J70" t="s">
        <v>31</v>
      </c>
      <c r="K70">
        <f>AVERAGE(G70:G71)</f>
        <v>42.5</v>
      </c>
      <c r="L70" cm="1">
        <f t="array" ref="L70">STOWA2024_NDJF_T(A70*60,K70,I70,J70,"")</f>
        <v>0.29621994071105889</v>
      </c>
      <c r="M70">
        <f>1/L70</f>
        <v>3.3758699620273962</v>
      </c>
    </row>
    <row r="71" spans="1:13" x14ac:dyDescent="0.3">
      <c r="A71">
        <v>96</v>
      </c>
      <c r="B71">
        <f t="shared" ref="B71:B93" si="23">M70-M71</f>
        <v>1.0436381715249929</v>
      </c>
      <c r="C71">
        <f t="shared" si="19"/>
        <v>1.0436381715249929</v>
      </c>
      <c r="D71" t="s">
        <v>36</v>
      </c>
      <c r="E71" t="s">
        <v>19</v>
      </c>
      <c r="F71">
        <v>1</v>
      </c>
      <c r="G71">
        <f t="shared" ref="G71:G94" si="24">G70+5</f>
        <v>45</v>
      </c>
      <c r="I71">
        <v>2150</v>
      </c>
      <c r="J71" t="s">
        <v>31</v>
      </c>
      <c r="K71">
        <f t="shared" ref="K71:K93" si="25">AVERAGE(G71:G72)</f>
        <v>47.5</v>
      </c>
      <c r="L71" cm="1">
        <f t="array" ref="L71">STOWA2024_NDJF_T(A71*60,K71,I71,J71,"")</f>
        <v>0.42877384832516269</v>
      </c>
      <c r="M71">
        <f t="shared" ref="M71:M93" si="26">1/L71</f>
        <v>2.3322317905024033</v>
      </c>
    </row>
    <row r="72" spans="1:13" x14ac:dyDescent="0.3">
      <c r="A72">
        <v>96</v>
      </c>
      <c r="B72">
        <f t="shared" si="23"/>
        <v>0.71618445445937229</v>
      </c>
      <c r="C72">
        <f t="shared" si="19"/>
        <v>0.71618445445937229</v>
      </c>
      <c r="D72" t="s">
        <v>36</v>
      </c>
      <c r="E72" t="s">
        <v>19</v>
      </c>
      <c r="F72">
        <v>1</v>
      </c>
      <c r="G72">
        <f t="shared" si="24"/>
        <v>50</v>
      </c>
      <c r="I72">
        <v>2150</v>
      </c>
      <c r="J72" t="s">
        <v>31</v>
      </c>
      <c r="K72">
        <f t="shared" si="25"/>
        <v>52.5</v>
      </c>
      <c r="L72" cm="1">
        <f t="array" ref="L72">STOWA2024_NDJF_T(A72*60,K72,I72,J72,"")</f>
        <v>0.6187937554159445</v>
      </c>
      <c r="M72">
        <f t="shared" si="26"/>
        <v>1.616047336043031</v>
      </c>
    </row>
    <row r="73" spans="1:13" x14ac:dyDescent="0.3">
      <c r="A73">
        <v>96</v>
      </c>
      <c r="B73">
        <f t="shared" si="23"/>
        <v>0.49295631502778137</v>
      </c>
      <c r="C73">
        <f t="shared" si="19"/>
        <v>0.49295631502778137</v>
      </c>
      <c r="D73" t="s">
        <v>36</v>
      </c>
      <c r="E73" t="s">
        <v>19</v>
      </c>
      <c r="F73">
        <v>1</v>
      </c>
      <c r="G73">
        <f t="shared" si="24"/>
        <v>55</v>
      </c>
      <c r="I73">
        <v>2150</v>
      </c>
      <c r="J73" t="s">
        <v>31</v>
      </c>
      <c r="K73">
        <f t="shared" si="25"/>
        <v>57.5</v>
      </c>
      <c r="L73" cm="1">
        <f t="array" ref="L73">STOWA2024_NDJF_T(A73*60,K73,I73,J73,"")</f>
        <v>0.89039978175234802</v>
      </c>
      <c r="M73">
        <f t="shared" si="26"/>
        <v>1.1230910210152496</v>
      </c>
    </row>
    <row r="74" spans="1:13" x14ac:dyDescent="0.3">
      <c r="A74">
        <v>96</v>
      </c>
      <c r="B74">
        <f t="shared" si="23"/>
        <v>0.34026094489436309</v>
      </c>
      <c r="C74">
        <f t="shared" si="19"/>
        <v>0.34026094489436309</v>
      </c>
      <c r="D74" t="s">
        <v>36</v>
      </c>
      <c r="E74" t="s">
        <v>19</v>
      </c>
      <c r="F74">
        <v>1</v>
      </c>
      <c r="G74">
        <f t="shared" si="24"/>
        <v>60</v>
      </c>
      <c r="I74">
        <v>2150</v>
      </c>
      <c r="J74" t="s">
        <v>31</v>
      </c>
      <c r="K74">
        <f t="shared" si="25"/>
        <v>62.5</v>
      </c>
      <c r="L74" cm="1">
        <f t="array" ref="L74">STOWA2024_NDJF_T(A74*60,K74,I74,J74,"")</f>
        <v>1.2774164285501692</v>
      </c>
      <c r="M74">
        <f t="shared" si="26"/>
        <v>0.78283007612088651</v>
      </c>
    </row>
    <row r="75" spans="1:13" x14ac:dyDescent="0.3">
      <c r="A75">
        <v>96</v>
      </c>
      <c r="B75">
        <f t="shared" si="23"/>
        <v>0.23566303761485519</v>
      </c>
      <c r="C75">
        <f t="shared" si="19"/>
        <v>0.23566303761485519</v>
      </c>
      <c r="D75" t="s">
        <v>36</v>
      </c>
      <c r="E75" t="s">
        <v>19</v>
      </c>
      <c r="F75">
        <v>1</v>
      </c>
      <c r="G75">
        <f t="shared" si="24"/>
        <v>65</v>
      </c>
      <c r="I75">
        <v>2150</v>
      </c>
      <c r="J75" t="s">
        <v>31</v>
      </c>
      <c r="K75">
        <f t="shared" si="25"/>
        <v>67.5</v>
      </c>
      <c r="L75" cm="1">
        <f t="array" ref="L75">STOWA2024_NDJF_T(A75*60,K75,I75,J75,"")</f>
        <v>1.8275954683424835</v>
      </c>
      <c r="M75">
        <f t="shared" si="26"/>
        <v>0.54716703850603132</v>
      </c>
    </row>
    <row r="76" spans="1:13" x14ac:dyDescent="0.3">
      <c r="A76">
        <v>96</v>
      </c>
      <c r="B76">
        <f t="shared" si="23"/>
        <v>0.16364889517442682</v>
      </c>
      <c r="C76">
        <f t="shared" si="19"/>
        <v>0.16364889517442682</v>
      </c>
      <c r="D76" t="s">
        <v>36</v>
      </c>
      <c r="E76" t="s">
        <v>19</v>
      </c>
      <c r="F76">
        <v>1</v>
      </c>
      <c r="G76">
        <f t="shared" si="24"/>
        <v>70</v>
      </c>
      <c r="I76">
        <v>2150</v>
      </c>
      <c r="J76" t="s">
        <v>31</v>
      </c>
      <c r="K76">
        <f t="shared" si="25"/>
        <v>72.5</v>
      </c>
      <c r="L76" cm="1">
        <f t="array" ref="L76">STOWA2024_NDJF_T(A76*60,K76,I76,J76,"")</f>
        <v>2.6074385720400239</v>
      </c>
      <c r="M76">
        <f t="shared" si="26"/>
        <v>0.3835181433316045</v>
      </c>
    </row>
    <row r="77" spans="1:13" x14ac:dyDescent="0.3">
      <c r="A77">
        <v>96</v>
      </c>
      <c r="B77">
        <f t="shared" si="23"/>
        <v>0.11396058613036159</v>
      </c>
      <c r="C77">
        <f t="shared" si="19"/>
        <v>0.11396058613036159</v>
      </c>
      <c r="D77" t="s">
        <v>36</v>
      </c>
      <c r="E77" t="s">
        <v>19</v>
      </c>
      <c r="F77">
        <v>1</v>
      </c>
      <c r="G77">
        <f t="shared" si="24"/>
        <v>75</v>
      </c>
      <c r="I77">
        <v>2150</v>
      </c>
      <c r="J77" t="s">
        <v>31</v>
      </c>
      <c r="K77">
        <f t="shared" si="25"/>
        <v>77.5</v>
      </c>
      <c r="L77" cm="1">
        <f t="array" ref="L77">STOWA2024_NDJF_T(A77*60,K77,I77,J77,"")</f>
        <v>3.7097828396383359</v>
      </c>
      <c r="M77">
        <f t="shared" si="26"/>
        <v>0.26955755720124291</v>
      </c>
    </row>
    <row r="78" spans="1:13" x14ac:dyDescent="0.3">
      <c r="A78">
        <v>96</v>
      </c>
      <c r="B78">
        <f t="shared" si="23"/>
        <v>7.9583363734314627E-2</v>
      </c>
      <c r="C78">
        <f t="shared" si="19"/>
        <v>7.9583363734314627E-2</v>
      </c>
      <c r="D78" t="s">
        <v>36</v>
      </c>
      <c r="E78" t="s">
        <v>19</v>
      </c>
      <c r="F78">
        <v>1</v>
      </c>
      <c r="G78">
        <f t="shared" si="24"/>
        <v>80</v>
      </c>
      <c r="I78">
        <v>2150</v>
      </c>
      <c r="J78" t="s">
        <v>31</v>
      </c>
      <c r="K78">
        <f t="shared" si="25"/>
        <v>82.5</v>
      </c>
      <c r="L78" cm="1">
        <f t="array" ref="L78">STOWA2024_NDJF_T(A78*60,K78,I78,J78,"")</f>
        <v>5.2638728542573618</v>
      </c>
      <c r="M78">
        <f t="shared" si="26"/>
        <v>0.18997419346692829</v>
      </c>
    </row>
    <row r="79" spans="1:13" x14ac:dyDescent="0.3">
      <c r="A79">
        <v>96</v>
      </c>
      <c r="B79">
        <f t="shared" si="23"/>
        <v>5.572931890504676E-2</v>
      </c>
      <c r="C79">
        <f t="shared" si="19"/>
        <v>5.572931890504676E-2</v>
      </c>
      <c r="D79" t="s">
        <v>36</v>
      </c>
      <c r="E79" t="s">
        <v>19</v>
      </c>
      <c r="F79">
        <v>1</v>
      </c>
      <c r="G79">
        <f t="shared" si="24"/>
        <v>85</v>
      </c>
      <c r="I79">
        <v>2150</v>
      </c>
      <c r="J79" t="s">
        <v>31</v>
      </c>
      <c r="K79">
        <f t="shared" si="25"/>
        <v>87.5</v>
      </c>
      <c r="L79" cm="1">
        <f t="array" ref="L79">STOWA2024_NDJF_T(A79*60,K79,I79,J79,"")</f>
        <v>7.449073964749692</v>
      </c>
      <c r="M79">
        <f t="shared" si="26"/>
        <v>0.13424487456188153</v>
      </c>
    </row>
    <row r="80" spans="1:13" x14ac:dyDescent="0.3">
      <c r="A80">
        <v>96</v>
      </c>
      <c r="B80">
        <f t="shared" si="23"/>
        <v>3.9131074937040114E-2</v>
      </c>
      <c r="C80">
        <f t="shared" si="19"/>
        <v>3.9131074937040114E-2</v>
      </c>
      <c r="D80" t="s">
        <v>36</v>
      </c>
      <c r="E80" t="s">
        <v>19</v>
      </c>
      <c r="F80">
        <v>1</v>
      </c>
      <c r="G80">
        <f t="shared" si="24"/>
        <v>90</v>
      </c>
      <c r="I80">
        <v>2150</v>
      </c>
      <c r="J80" t="s">
        <v>31</v>
      </c>
      <c r="K80">
        <f t="shared" si="25"/>
        <v>92.5</v>
      </c>
      <c r="L80" cm="1">
        <f t="array" ref="L80">STOWA2024_NDJF_T(A80*60,K80,I80,J80,"")</f>
        <v>10.513721499344079</v>
      </c>
      <c r="M80">
        <f t="shared" si="26"/>
        <v>9.5113799624841414E-2</v>
      </c>
    </row>
    <row r="81" spans="1:13" x14ac:dyDescent="0.3">
      <c r="A81">
        <v>96</v>
      </c>
      <c r="B81">
        <f t="shared" si="23"/>
        <v>2.7549846948185769E-2</v>
      </c>
      <c r="C81">
        <f t="shared" si="19"/>
        <v>2.7549846948185769E-2</v>
      </c>
      <c r="D81" t="s">
        <v>36</v>
      </c>
      <c r="E81" t="s">
        <v>19</v>
      </c>
      <c r="F81">
        <v>1</v>
      </c>
      <c r="G81">
        <f t="shared" si="24"/>
        <v>95</v>
      </c>
      <c r="I81">
        <v>2150</v>
      </c>
      <c r="J81" t="s">
        <v>31</v>
      </c>
      <c r="K81">
        <f t="shared" si="25"/>
        <v>97.5</v>
      </c>
      <c r="L81" cm="1">
        <f t="array" ref="L81">STOWA2024_NDJF_T(A81*60,K81,I81,J81,"")</f>
        <v>14.800791848069524</v>
      </c>
      <c r="M81">
        <f t="shared" si="26"/>
        <v>6.7563952676655645E-2</v>
      </c>
    </row>
    <row r="82" spans="1:13" x14ac:dyDescent="0.3">
      <c r="A82">
        <v>96</v>
      </c>
      <c r="B82">
        <f t="shared" si="23"/>
        <v>1.9446862467021861E-2</v>
      </c>
      <c r="C82">
        <f t="shared" si="19"/>
        <v>1.9446862467021861E-2</v>
      </c>
      <c r="D82" t="s">
        <v>36</v>
      </c>
      <c r="E82" t="s">
        <v>19</v>
      </c>
      <c r="F82">
        <v>1</v>
      </c>
      <c r="G82">
        <f t="shared" si="24"/>
        <v>100</v>
      </c>
      <c r="I82">
        <v>2150</v>
      </c>
      <c r="J82" t="s">
        <v>31</v>
      </c>
      <c r="K82">
        <f t="shared" si="25"/>
        <v>102.5</v>
      </c>
      <c r="L82" cm="1">
        <f t="array" ref="L82">STOWA2024_NDJF_T(A82*60,K82,I82,J82,"")</f>
        <v>20.7826365984156</v>
      </c>
      <c r="M82">
        <f t="shared" si="26"/>
        <v>4.8117090209633784E-2</v>
      </c>
    </row>
    <row r="83" spans="1:13" x14ac:dyDescent="0.3">
      <c r="A83">
        <v>96</v>
      </c>
      <c r="B83">
        <f t="shared" si="23"/>
        <v>1.3763496924832516E-2</v>
      </c>
      <c r="C83">
        <f t="shared" si="19"/>
        <v>1.3763496924832516E-2</v>
      </c>
      <c r="D83" t="s">
        <v>36</v>
      </c>
      <c r="E83" t="s">
        <v>19</v>
      </c>
      <c r="F83">
        <v>1</v>
      </c>
      <c r="G83">
        <f t="shared" si="24"/>
        <v>105</v>
      </c>
      <c r="I83">
        <v>2150</v>
      </c>
      <c r="J83" t="s">
        <v>31</v>
      </c>
      <c r="K83">
        <f t="shared" si="25"/>
        <v>107.5</v>
      </c>
      <c r="L83" cm="1">
        <f t="array" ref="L83">STOWA2024_NDJF_T(A83*60,K83,I83,J83,"")</f>
        <v>29.109036475739508</v>
      </c>
      <c r="M83">
        <f t="shared" si="26"/>
        <v>3.4353593284801268E-2</v>
      </c>
    </row>
    <row r="84" spans="1:13" x14ac:dyDescent="0.3">
      <c r="A84">
        <v>96</v>
      </c>
      <c r="B84">
        <f t="shared" si="23"/>
        <v>9.7654788963686852E-3</v>
      </c>
      <c r="C84">
        <f t="shared" si="19"/>
        <v>9.7654788963686852E-3</v>
      </c>
      <c r="D84" t="s">
        <v>36</v>
      </c>
      <c r="E84" t="s">
        <v>19</v>
      </c>
      <c r="F84">
        <v>1</v>
      </c>
      <c r="G84">
        <f t="shared" si="24"/>
        <v>110</v>
      </c>
      <c r="I84">
        <v>2150</v>
      </c>
      <c r="J84" t="s">
        <v>31</v>
      </c>
      <c r="K84">
        <f t="shared" si="25"/>
        <v>112.5</v>
      </c>
      <c r="L84" cm="1">
        <f t="array" ref="L84">STOWA2024_NDJF_T(A84*60,K84,I84,J84,"")</f>
        <v>40.670056442817248</v>
      </c>
      <c r="M84">
        <f t="shared" si="26"/>
        <v>2.4588114388432582E-2</v>
      </c>
    </row>
    <row r="85" spans="1:13" x14ac:dyDescent="0.3">
      <c r="A85">
        <v>96</v>
      </c>
      <c r="B85">
        <f t="shared" si="23"/>
        <v>6.9466248424621714E-3</v>
      </c>
      <c r="C85">
        <f t="shared" si="19"/>
        <v>6.9466248424621714E-3</v>
      </c>
      <c r="D85" t="s">
        <v>36</v>
      </c>
      <c r="E85" t="s">
        <v>19</v>
      </c>
      <c r="F85">
        <v>1</v>
      </c>
      <c r="G85">
        <f t="shared" si="24"/>
        <v>115</v>
      </c>
      <c r="I85">
        <v>2150</v>
      </c>
      <c r="J85" t="s">
        <v>31</v>
      </c>
      <c r="K85">
        <f t="shared" si="25"/>
        <v>117.5</v>
      </c>
      <c r="L85" cm="1">
        <f t="array" ref="L85">STOWA2024_NDJF_T(A85*60,K85,I85,J85,"")</f>
        <v>56.68455588141736</v>
      </c>
      <c r="M85">
        <f t="shared" si="26"/>
        <v>1.7641489545970411E-2</v>
      </c>
    </row>
    <row r="86" spans="1:13" x14ac:dyDescent="0.3">
      <c r="A86">
        <v>96</v>
      </c>
      <c r="B86">
        <f t="shared" si="23"/>
        <v>4.9534582040471568E-3</v>
      </c>
      <c r="C86">
        <f t="shared" si="19"/>
        <v>4.9534582040471568E-3</v>
      </c>
      <c r="D86" t="s">
        <v>36</v>
      </c>
      <c r="E86" t="s">
        <v>19</v>
      </c>
      <c r="F86">
        <v>1</v>
      </c>
      <c r="G86">
        <f t="shared" si="24"/>
        <v>120</v>
      </c>
      <c r="I86">
        <v>2150</v>
      </c>
      <c r="J86" t="s">
        <v>31</v>
      </c>
      <c r="K86">
        <f t="shared" si="25"/>
        <v>122.5</v>
      </c>
      <c r="L86" cm="1">
        <f t="array" ref="L86">STOWA2024_NDJF_T(A86*60,K86,I86,J86,"")</f>
        <v>78.814433307383354</v>
      </c>
      <c r="M86">
        <f t="shared" si="26"/>
        <v>1.2688031341923254E-2</v>
      </c>
    </row>
    <row r="87" spans="1:13" x14ac:dyDescent="0.3">
      <c r="A87">
        <v>96</v>
      </c>
      <c r="B87">
        <f t="shared" si="23"/>
        <v>3.5410014499556754E-3</v>
      </c>
      <c r="C87">
        <f t="shared" si="19"/>
        <v>3.5410014499556754E-3</v>
      </c>
      <c r="D87" t="s">
        <v>36</v>
      </c>
      <c r="E87" t="s">
        <v>19</v>
      </c>
      <c r="F87">
        <v>1</v>
      </c>
      <c r="G87">
        <f t="shared" si="24"/>
        <v>125</v>
      </c>
      <c r="I87">
        <v>2150</v>
      </c>
      <c r="J87" t="s">
        <v>31</v>
      </c>
      <c r="K87">
        <f t="shared" si="25"/>
        <v>127.5</v>
      </c>
      <c r="L87" cm="1">
        <f t="array" ref="L87">STOWA2024_NDJF_T(A87*60,K87,I87,J87,"")</f>
        <v>109.32510463075509</v>
      </c>
      <c r="M87">
        <f t="shared" si="26"/>
        <v>9.1470298919675789E-3</v>
      </c>
    </row>
    <row r="88" spans="1:13" x14ac:dyDescent="0.3">
      <c r="A88">
        <v>96</v>
      </c>
      <c r="B88">
        <f t="shared" si="23"/>
        <v>2.5372819469954505E-3</v>
      </c>
      <c r="C88">
        <f t="shared" si="19"/>
        <v>2.5372819469954505E-3</v>
      </c>
      <c r="D88" t="s">
        <v>36</v>
      </c>
      <c r="E88" t="s">
        <v>19</v>
      </c>
      <c r="F88">
        <v>1</v>
      </c>
      <c r="G88">
        <f t="shared" si="24"/>
        <v>130</v>
      </c>
      <c r="I88">
        <v>2150</v>
      </c>
      <c r="J88" t="s">
        <v>31</v>
      </c>
      <c r="K88">
        <f t="shared" si="25"/>
        <v>132.5</v>
      </c>
      <c r="L88" cm="1">
        <f t="array" ref="L88">STOWA2024_NDJF_T(A88*60,K88,I88,J88,"")</f>
        <v>151.29169952095907</v>
      </c>
      <c r="M88">
        <f t="shared" si="26"/>
        <v>6.6097479449721283E-3</v>
      </c>
    </row>
    <row r="89" spans="1:13" x14ac:dyDescent="0.3">
      <c r="A89">
        <v>96</v>
      </c>
      <c r="B89">
        <f t="shared" si="23"/>
        <v>1.8224454731551182E-3</v>
      </c>
      <c r="C89">
        <f t="shared" si="19"/>
        <v>1.8224454731551182E-3</v>
      </c>
      <c r="D89" t="s">
        <v>36</v>
      </c>
      <c r="E89" t="s">
        <v>19</v>
      </c>
      <c r="F89">
        <v>1</v>
      </c>
      <c r="G89">
        <f t="shared" si="24"/>
        <v>135</v>
      </c>
      <c r="I89">
        <v>2150</v>
      </c>
      <c r="J89" t="s">
        <v>31</v>
      </c>
      <c r="K89">
        <f t="shared" si="25"/>
        <v>137.5</v>
      </c>
      <c r="L89" cm="1">
        <f t="array" ref="L89">STOWA2024_NDJF_T(A89*60,K89,I89,J89,"")</f>
        <v>208.88590305021029</v>
      </c>
      <c r="M89">
        <f t="shared" si="26"/>
        <v>4.7873024718170102E-3</v>
      </c>
    </row>
    <row r="90" spans="1:13" x14ac:dyDescent="0.3">
      <c r="A90">
        <v>96</v>
      </c>
      <c r="B90">
        <f t="shared" si="23"/>
        <v>1.3120946604040836E-3</v>
      </c>
      <c r="C90">
        <f t="shared" si="19"/>
        <v>1.3120946604040836E-3</v>
      </c>
      <c r="D90" t="s">
        <v>36</v>
      </c>
      <c r="E90" t="s">
        <v>19</v>
      </c>
      <c r="F90">
        <v>1</v>
      </c>
      <c r="G90">
        <f t="shared" si="24"/>
        <v>140</v>
      </c>
      <c r="I90">
        <v>2150</v>
      </c>
      <c r="J90" t="s">
        <v>31</v>
      </c>
      <c r="K90">
        <f t="shared" si="25"/>
        <v>142.5</v>
      </c>
      <c r="L90" cm="1">
        <f t="array" ref="L90">STOWA2024_NDJF_T(A90*60,K90,I90,J90,"")</f>
        <v>287.75257603758286</v>
      </c>
      <c r="M90">
        <f t="shared" si="26"/>
        <v>3.4752078114129266E-3</v>
      </c>
    </row>
    <row r="91" spans="1:13" x14ac:dyDescent="0.3">
      <c r="A91">
        <v>96</v>
      </c>
      <c r="B91">
        <f t="shared" si="23"/>
        <v>9.4680037577959562E-4</v>
      </c>
      <c r="C91">
        <f t="shared" si="19"/>
        <v>9.4680037577959562E-4</v>
      </c>
      <c r="D91" t="s">
        <v>36</v>
      </c>
      <c r="E91" t="s">
        <v>19</v>
      </c>
      <c r="F91">
        <v>1</v>
      </c>
      <c r="G91">
        <f t="shared" si="24"/>
        <v>145</v>
      </c>
      <c r="I91">
        <v>2150</v>
      </c>
      <c r="J91" t="s">
        <v>31</v>
      </c>
      <c r="K91">
        <f t="shared" si="25"/>
        <v>147.5</v>
      </c>
      <c r="L91" cm="1">
        <f t="array" ref="L91">STOWA2024_NDJF_T(A91*60,K91,I91,J91,"")</f>
        <v>395.50587690370156</v>
      </c>
      <c r="M91">
        <f t="shared" si="26"/>
        <v>2.5284074356333309E-3</v>
      </c>
    </row>
    <row r="92" spans="1:13" x14ac:dyDescent="0.3">
      <c r="A92">
        <v>96</v>
      </c>
      <c r="B92">
        <f t="shared" si="23"/>
        <v>6.8478035580077064E-4</v>
      </c>
      <c r="C92">
        <f t="shared" si="19"/>
        <v>6.8478035580077064E-4</v>
      </c>
      <c r="D92" t="s">
        <v>36</v>
      </c>
      <c r="E92" t="s">
        <v>19</v>
      </c>
      <c r="F92">
        <v>1</v>
      </c>
      <c r="G92">
        <f t="shared" si="24"/>
        <v>150</v>
      </c>
      <c r="I92">
        <v>2150</v>
      </c>
      <c r="J92" t="s">
        <v>31</v>
      </c>
      <c r="K92">
        <f t="shared" si="25"/>
        <v>152.5</v>
      </c>
      <c r="L92" cm="1">
        <f t="array" ref="L92">STOWA2024_NDJF_T(A92*60,K92,I92,J92,"")</f>
        <v>542.40904298868338</v>
      </c>
      <c r="M92">
        <f t="shared" si="26"/>
        <v>1.8436270798325603E-3</v>
      </c>
    </row>
    <row r="93" spans="1:13" x14ac:dyDescent="0.3">
      <c r="A93">
        <v>96</v>
      </c>
      <c r="B93">
        <f t="shared" si="23"/>
        <v>4.9638513232008394E-4</v>
      </c>
      <c r="C93">
        <f t="shared" si="19"/>
        <v>4.9638513232008394E-4</v>
      </c>
      <c r="D93" t="s">
        <v>36</v>
      </c>
      <c r="E93" t="s">
        <v>19</v>
      </c>
      <c r="F93">
        <v>1</v>
      </c>
      <c r="G93">
        <f t="shared" si="24"/>
        <v>155</v>
      </c>
      <c r="I93">
        <v>2150</v>
      </c>
      <c r="J93" t="s">
        <v>31</v>
      </c>
      <c r="K93">
        <f t="shared" si="25"/>
        <v>157.5</v>
      </c>
      <c r="L93" cm="1">
        <f t="array" ref="L93">STOWA2024_NDJF_T(A93*60,K93,I93,J93,"")</f>
        <v>742.25717351392029</v>
      </c>
      <c r="M93">
        <f t="shared" si="26"/>
        <v>1.3472419475124764E-3</v>
      </c>
    </row>
    <row r="94" spans="1:13" x14ac:dyDescent="0.3">
      <c r="A94">
        <v>96</v>
      </c>
      <c r="B94" s="1">
        <f>M93</f>
        <v>1.3472419475124764E-3</v>
      </c>
      <c r="C94">
        <f t="shared" si="19"/>
        <v>1.3472419475124764E-3</v>
      </c>
      <c r="D94" t="s">
        <v>36</v>
      </c>
      <c r="E94" t="s">
        <v>19</v>
      </c>
      <c r="F94">
        <v>1</v>
      </c>
      <c r="G94">
        <f t="shared" si="24"/>
        <v>160</v>
      </c>
      <c r="I94">
        <v>2150</v>
      </c>
      <c r="J94" t="s">
        <v>31</v>
      </c>
      <c r="K94">
        <f>AVERAGE(G94:G95)</f>
        <v>85</v>
      </c>
      <c r="L94" cm="1">
        <f t="array" ref="L94">STOWA2024_NDJF_T(A94*60,K94,I94,J94,"")</f>
        <v>6.2639423598017423</v>
      </c>
      <c r="M94">
        <f>1/L94</f>
        <v>0.1596438700358109</v>
      </c>
    </row>
    <row r="95" spans="1:13" x14ac:dyDescent="0.3">
      <c r="A95">
        <v>192</v>
      </c>
      <c r="B95" s="1">
        <f>365.25*24/A95 - M95</f>
        <v>20.190190685621779</v>
      </c>
      <c r="C95">
        <f>B95</f>
        <v>20.190190685621779</v>
      </c>
      <c r="D95" t="s">
        <v>36</v>
      </c>
      <c r="E95" t="s">
        <v>19</v>
      </c>
      <c r="F95">
        <v>1</v>
      </c>
      <c r="G95">
        <v>10</v>
      </c>
      <c r="I95">
        <v>2150</v>
      </c>
      <c r="J95" t="s">
        <v>31</v>
      </c>
      <c r="K95">
        <f>AVERAGE(G95:G97)</f>
        <v>15</v>
      </c>
      <c r="L95" cm="1">
        <f t="array" ref="L95">STOWA2024_NDJF_T(A95*60,K95,I95,J95,"")</f>
        <v>3.9267952204736944E-2</v>
      </c>
      <c r="M95">
        <f>1/L95</f>
        <v>25.466059314378221</v>
      </c>
    </row>
    <row r="96" spans="1:13" x14ac:dyDescent="0.3">
      <c r="A96">
        <v>192</v>
      </c>
      <c r="B96">
        <f t="shared" ref="B96:B100" si="27">M95-M96</f>
        <v>2.7142503200318835</v>
      </c>
      <c r="C96">
        <f t="shared" ref="C96:C125" si="28">B96</f>
        <v>2.7142503200318835</v>
      </c>
      <c r="D96" t="s">
        <v>36</v>
      </c>
      <c r="E96" t="s">
        <v>19</v>
      </c>
      <c r="F96">
        <v>1</v>
      </c>
      <c r="G96">
        <f t="shared" ref="G96:G100" si="29">G95+5</f>
        <v>15</v>
      </c>
      <c r="I96">
        <v>2150</v>
      </c>
      <c r="J96" t="s">
        <v>31</v>
      </c>
      <c r="K96">
        <f t="shared" ref="K96:K100" si="30">AVERAGE(G96:G97)</f>
        <v>17.5</v>
      </c>
      <c r="L96" cm="1">
        <f t="array" ref="L96">STOWA2024_NDJF_T(A96*60,K96,I96,J96,"")</f>
        <v>4.3952549014827473E-2</v>
      </c>
      <c r="M96">
        <f t="shared" ref="M96:M100" si="31">1/L96</f>
        <v>22.751808994346337</v>
      </c>
    </row>
    <row r="97" spans="1:13" x14ac:dyDescent="0.3">
      <c r="A97">
        <v>192</v>
      </c>
      <c r="B97">
        <f t="shared" si="27"/>
        <v>4.6232004210566373</v>
      </c>
      <c r="C97">
        <f t="shared" si="28"/>
        <v>4.6232004210566373</v>
      </c>
      <c r="D97" t="s">
        <v>36</v>
      </c>
      <c r="E97" t="s">
        <v>19</v>
      </c>
      <c r="F97">
        <v>1</v>
      </c>
      <c r="G97">
        <f t="shared" si="29"/>
        <v>20</v>
      </c>
      <c r="I97">
        <v>2150</v>
      </c>
      <c r="J97" t="s">
        <v>31</v>
      </c>
      <c r="K97">
        <f t="shared" si="30"/>
        <v>22.5</v>
      </c>
      <c r="L97" cm="1">
        <f t="array" ref="L97">STOWA2024_NDJF_T(A97*60,K97,I97,J97,"")</f>
        <v>5.5161431499678275E-2</v>
      </c>
      <c r="M97">
        <f t="shared" si="31"/>
        <v>18.1286085732897</v>
      </c>
    </row>
    <row r="98" spans="1:13" x14ac:dyDescent="0.3">
      <c r="A98">
        <v>192</v>
      </c>
      <c r="B98">
        <f t="shared" si="27"/>
        <v>3.718375693173515</v>
      </c>
      <c r="C98">
        <f t="shared" si="28"/>
        <v>3.718375693173515</v>
      </c>
      <c r="D98" t="s">
        <v>36</v>
      </c>
      <c r="E98" t="s">
        <v>19</v>
      </c>
      <c r="F98">
        <v>1</v>
      </c>
      <c r="G98">
        <f t="shared" si="29"/>
        <v>25</v>
      </c>
      <c r="I98">
        <v>2150</v>
      </c>
      <c r="J98" t="s">
        <v>31</v>
      </c>
      <c r="K98">
        <f t="shared" si="30"/>
        <v>27.5</v>
      </c>
      <c r="L98" cm="1">
        <f t="array" ref="L98">STOWA2024_NDJF_T(A98*60,K98,I98,J98,"")</f>
        <v>6.9395131107134286E-2</v>
      </c>
      <c r="M98">
        <f t="shared" si="31"/>
        <v>14.410232880116185</v>
      </c>
    </row>
    <row r="99" spans="1:13" x14ac:dyDescent="0.3">
      <c r="A99">
        <v>192</v>
      </c>
      <c r="B99">
        <f t="shared" si="27"/>
        <v>2.9837219258553915</v>
      </c>
      <c r="C99">
        <f t="shared" si="28"/>
        <v>2.9837219258553915</v>
      </c>
      <c r="D99" t="s">
        <v>36</v>
      </c>
      <c r="E99" t="s">
        <v>19</v>
      </c>
      <c r="F99">
        <v>1</v>
      </c>
      <c r="G99">
        <f t="shared" si="29"/>
        <v>30</v>
      </c>
      <c r="I99">
        <v>2150</v>
      </c>
      <c r="J99" t="s">
        <v>31</v>
      </c>
      <c r="K99">
        <f t="shared" si="30"/>
        <v>32.5</v>
      </c>
      <c r="L99" cm="1">
        <f t="array" ref="L99">STOWA2024_NDJF_T(A99*60,K99,I99,J99,"")</f>
        <v>8.7515778351143436E-2</v>
      </c>
      <c r="M99">
        <f t="shared" si="31"/>
        <v>11.426510954260793</v>
      </c>
    </row>
    <row r="100" spans="1:13" x14ac:dyDescent="0.3">
      <c r="A100">
        <v>192</v>
      </c>
      <c r="B100">
        <f t="shared" si="27"/>
        <v>2.3885638582196229</v>
      </c>
      <c r="C100">
        <f t="shared" si="28"/>
        <v>2.3885638582196229</v>
      </c>
      <c r="D100" t="s">
        <v>36</v>
      </c>
      <c r="E100" t="s">
        <v>19</v>
      </c>
      <c r="F100">
        <v>1</v>
      </c>
      <c r="G100">
        <f t="shared" si="29"/>
        <v>35</v>
      </c>
      <c r="I100">
        <v>2150</v>
      </c>
      <c r="J100" t="s">
        <v>31</v>
      </c>
      <c r="K100">
        <f t="shared" si="30"/>
        <v>37.5</v>
      </c>
      <c r="L100" cm="1">
        <f t="array" ref="L100">STOWA2024_NDJF_T(A100*60,K100,I100,J100,"")</f>
        <v>0.11064459543451224</v>
      </c>
      <c r="M100">
        <f t="shared" si="31"/>
        <v>9.0379470960411705</v>
      </c>
    </row>
    <row r="101" spans="1:13" x14ac:dyDescent="0.3">
      <c r="A101">
        <v>192</v>
      </c>
      <c r="B101">
        <f>M100-M101</f>
        <v>1.9075601021630764</v>
      </c>
      <c r="C101">
        <f t="shared" si="28"/>
        <v>1.9075601021630764</v>
      </c>
      <c r="D101" t="s">
        <v>36</v>
      </c>
      <c r="E101" t="s">
        <v>19</v>
      </c>
      <c r="F101">
        <v>1</v>
      </c>
      <c r="G101">
        <f>G100+5</f>
        <v>40</v>
      </c>
      <c r="I101">
        <v>2150</v>
      </c>
      <c r="J101" t="s">
        <v>31</v>
      </c>
      <c r="K101">
        <f>AVERAGE(G101:G102)</f>
        <v>42.5</v>
      </c>
      <c r="L101" cm="1">
        <f t="array" ref="L101">STOWA2024_NDJF_T(A101*60,K101,I101,J101,"")</f>
        <v>0.14024484237090717</v>
      </c>
      <c r="M101">
        <f>1/L101</f>
        <v>7.1303869938780942</v>
      </c>
    </row>
    <row r="102" spans="1:13" x14ac:dyDescent="0.3">
      <c r="A102">
        <v>192</v>
      </c>
      <c r="B102">
        <f t="shared" ref="B102:B124" si="32">M101-M102</f>
        <v>1.5195919859857998</v>
      </c>
      <c r="C102">
        <f t="shared" si="28"/>
        <v>1.5195919859857998</v>
      </c>
      <c r="D102" t="s">
        <v>36</v>
      </c>
      <c r="E102" t="s">
        <v>19</v>
      </c>
      <c r="F102">
        <v>1</v>
      </c>
      <c r="G102">
        <f t="shared" ref="G102:G125" si="33">G101+5</f>
        <v>45</v>
      </c>
      <c r="I102">
        <v>2150</v>
      </c>
      <c r="J102" t="s">
        <v>31</v>
      </c>
      <c r="K102">
        <f t="shared" ref="K102:K124" si="34">AVERAGE(G102:G103)</f>
        <v>47.5</v>
      </c>
      <c r="L102" cm="1">
        <f t="array" ref="L102">STOWA2024_NDJF_T(A102*60,K102,I102,J102,"")</f>
        <v>0.17822786228927867</v>
      </c>
      <c r="M102">
        <f t="shared" ref="M102:M124" si="35">1/L102</f>
        <v>5.6107950078922944</v>
      </c>
    </row>
    <row r="103" spans="1:13" x14ac:dyDescent="0.3">
      <c r="A103">
        <v>192</v>
      </c>
      <c r="B103">
        <f t="shared" si="32"/>
        <v>1.2075529136244905</v>
      </c>
      <c r="C103">
        <f t="shared" si="28"/>
        <v>1.2075529136244905</v>
      </c>
      <c r="D103" t="s">
        <v>36</v>
      </c>
      <c r="E103" t="s">
        <v>19</v>
      </c>
      <c r="F103">
        <v>1</v>
      </c>
      <c r="G103">
        <f t="shared" si="33"/>
        <v>50</v>
      </c>
      <c r="I103">
        <v>2150</v>
      </c>
      <c r="J103" t="s">
        <v>31</v>
      </c>
      <c r="K103">
        <f t="shared" si="34"/>
        <v>52.5</v>
      </c>
      <c r="L103" cm="1">
        <f t="array" ref="L103">STOWA2024_NDJF_T(A103*60,K103,I103,J103,"")</f>
        <v>0.22710538702875604</v>
      </c>
      <c r="M103">
        <f t="shared" si="35"/>
        <v>4.4032420942678039</v>
      </c>
    </row>
    <row r="104" spans="1:13" x14ac:dyDescent="0.3">
      <c r="A104">
        <v>192</v>
      </c>
      <c r="B104">
        <f t="shared" si="32"/>
        <v>0.95709053926090393</v>
      </c>
      <c r="C104">
        <f t="shared" si="28"/>
        <v>0.95709053926090393</v>
      </c>
      <c r="D104" t="s">
        <v>36</v>
      </c>
      <c r="E104" t="s">
        <v>19</v>
      </c>
      <c r="F104">
        <v>1</v>
      </c>
      <c r="G104">
        <f t="shared" si="33"/>
        <v>55</v>
      </c>
      <c r="I104">
        <v>2150</v>
      </c>
      <c r="J104" t="s">
        <v>31</v>
      </c>
      <c r="K104">
        <f t="shared" si="34"/>
        <v>57.5</v>
      </c>
      <c r="L104" cm="1">
        <f t="array" ref="L104">STOWA2024_NDJF_T(A104*60,K104,I104,J104,"")</f>
        <v>0.29017876435152828</v>
      </c>
      <c r="M104">
        <f t="shared" si="35"/>
        <v>3.4461515550069</v>
      </c>
    </row>
    <row r="105" spans="1:13" x14ac:dyDescent="0.3">
      <c r="A105">
        <v>192</v>
      </c>
      <c r="B105">
        <f t="shared" si="32"/>
        <v>0.75657897095353821</v>
      </c>
      <c r="C105">
        <f t="shared" si="28"/>
        <v>0.75657897095353821</v>
      </c>
      <c r="D105" t="s">
        <v>36</v>
      </c>
      <c r="E105" t="s">
        <v>19</v>
      </c>
      <c r="F105">
        <v>1</v>
      </c>
      <c r="G105">
        <f t="shared" si="33"/>
        <v>60</v>
      </c>
      <c r="I105">
        <v>2150</v>
      </c>
      <c r="J105" t="s">
        <v>31</v>
      </c>
      <c r="K105">
        <f t="shared" si="34"/>
        <v>62.5</v>
      </c>
      <c r="L105" cm="1">
        <f t="array" ref="L105">STOWA2024_NDJF_T(A105*60,K105,I105,J105,"")</f>
        <v>0.37180628845232155</v>
      </c>
      <c r="M105">
        <f t="shared" si="35"/>
        <v>2.6895725840533617</v>
      </c>
    </row>
    <row r="106" spans="1:13" x14ac:dyDescent="0.3">
      <c r="A106">
        <v>192</v>
      </c>
      <c r="B106">
        <f t="shared" si="32"/>
        <v>0.59646386869557722</v>
      </c>
      <c r="C106">
        <f t="shared" si="28"/>
        <v>0.59646386869557722</v>
      </c>
      <c r="D106" t="s">
        <v>36</v>
      </c>
      <c r="E106" t="s">
        <v>19</v>
      </c>
      <c r="F106">
        <v>1</v>
      </c>
      <c r="G106">
        <f t="shared" si="33"/>
        <v>65</v>
      </c>
      <c r="I106">
        <v>2150</v>
      </c>
      <c r="J106" t="s">
        <v>31</v>
      </c>
      <c r="K106">
        <f t="shared" si="34"/>
        <v>67.5</v>
      </c>
      <c r="L106" cm="1">
        <f t="array" ref="L106">STOWA2024_NDJF_T(A106*60,K106,I106,J106,"")</f>
        <v>0.47775827058704184</v>
      </c>
      <c r="M106">
        <f t="shared" si="35"/>
        <v>2.0931087153577845</v>
      </c>
    </row>
    <row r="107" spans="1:13" x14ac:dyDescent="0.3">
      <c r="A107">
        <v>192</v>
      </c>
      <c r="B107">
        <f t="shared" si="32"/>
        <v>0.46895213444651596</v>
      </c>
      <c r="C107">
        <f t="shared" si="28"/>
        <v>0.46895213444651596</v>
      </c>
      <c r="D107" t="s">
        <v>36</v>
      </c>
      <c r="E107" t="s">
        <v>19</v>
      </c>
      <c r="F107">
        <v>1</v>
      </c>
      <c r="G107">
        <f t="shared" si="33"/>
        <v>70</v>
      </c>
      <c r="I107">
        <v>2150</v>
      </c>
      <c r="J107" t="s">
        <v>31</v>
      </c>
      <c r="K107">
        <f t="shared" si="34"/>
        <v>72.5</v>
      </c>
      <c r="L107" cm="1">
        <f t="array" ref="L107">STOWA2024_NDJF_T(A107*60,K107,I107,J107,"")</f>
        <v>0.61570418256035886</v>
      </c>
      <c r="M107">
        <f t="shared" si="35"/>
        <v>1.6241565809112686</v>
      </c>
    </row>
    <row r="108" spans="1:13" x14ac:dyDescent="0.3">
      <c r="A108">
        <v>192</v>
      </c>
      <c r="B108">
        <f t="shared" si="32"/>
        <v>0.36764941486071745</v>
      </c>
      <c r="C108">
        <f t="shared" si="28"/>
        <v>0.36764941486071745</v>
      </c>
      <c r="D108" t="s">
        <v>36</v>
      </c>
      <c r="E108" t="s">
        <v>19</v>
      </c>
      <c r="F108">
        <v>1</v>
      </c>
      <c r="G108">
        <f t="shared" si="33"/>
        <v>75</v>
      </c>
      <c r="I108">
        <v>2150</v>
      </c>
      <c r="J108" t="s">
        <v>31</v>
      </c>
      <c r="K108">
        <f t="shared" si="34"/>
        <v>77.5</v>
      </c>
      <c r="L108" cm="1">
        <f t="array" ref="L108">STOWA2024_NDJF_T(A108*60,K108,I108,J108,"")</f>
        <v>0.79585698117679382</v>
      </c>
      <c r="M108">
        <f t="shared" si="35"/>
        <v>1.2565071660505511</v>
      </c>
    </row>
    <row r="109" spans="1:13" x14ac:dyDescent="0.3">
      <c r="A109">
        <v>192</v>
      </c>
      <c r="B109">
        <f t="shared" si="32"/>
        <v>0.28733908902974936</v>
      </c>
      <c r="C109">
        <f t="shared" si="28"/>
        <v>0.28733908902974936</v>
      </c>
      <c r="D109" t="s">
        <v>36</v>
      </c>
      <c r="E109" t="s">
        <v>19</v>
      </c>
      <c r="F109">
        <v>1</v>
      </c>
      <c r="G109">
        <f t="shared" si="33"/>
        <v>80</v>
      </c>
      <c r="I109">
        <v>2150</v>
      </c>
      <c r="J109" t="s">
        <v>31</v>
      </c>
      <c r="K109">
        <f t="shared" si="34"/>
        <v>82.5</v>
      </c>
      <c r="L109" cm="1">
        <f t="array" ref="L109">STOWA2024_NDJF_T(A109*60,K109,I109,J109,"")</f>
        <v>1.0318127719125612</v>
      </c>
      <c r="M109">
        <f t="shared" si="35"/>
        <v>0.96916807702080177</v>
      </c>
    </row>
    <row r="110" spans="1:13" x14ac:dyDescent="0.3">
      <c r="A110">
        <v>192</v>
      </c>
      <c r="B110">
        <f t="shared" si="32"/>
        <v>0.22402106754332995</v>
      </c>
      <c r="C110">
        <f t="shared" si="28"/>
        <v>0.22402106754332995</v>
      </c>
      <c r="D110" t="s">
        <v>36</v>
      </c>
      <c r="E110" t="s">
        <v>19</v>
      </c>
      <c r="F110">
        <v>1</v>
      </c>
      <c r="G110">
        <f t="shared" si="33"/>
        <v>85</v>
      </c>
      <c r="I110">
        <v>2150</v>
      </c>
      <c r="J110" t="s">
        <v>31</v>
      </c>
      <c r="K110">
        <f t="shared" si="34"/>
        <v>87.5</v>
      </c>
      <c r="L110" cm="1">
        <f t="array" ref="L110">STOWA2024_NDJF_T(A110*60,K110,I110,J110,"")</f>
        <v>1.3420170614403213</v>
      </c>
      <c r="M110">
        <f t="shared" si="35"/>
        <v>0.74514700947747181</v>
      </c>
    </row>
    <row r="111" spans="1:13" x14ac:dyDescent="0.3">
      <c r="A111">
        <v>192</v>
      </c>
      <c r="B111">
        <f t="shared" si="32"/>
        <v>0.17407732894090544</v>
      </c>
      <c r="C111">
        <f t="shared" si="28"/>
        <v>0.17407732894090544</v>
      </c>
      <c r="D111" t="s">
        <v>36</v>
      </c>
      <c r="E111" t="s">
        <v>19</v>
      </c>
      <c r="F111">
        <v>1</v>
      </c>
      <c r="G111">
        <f t="shared" si="33"/>
        <v>90</v>
      </c>
      <c r="I111">
        <v>2150</v>
      </c>
      <c r="J111" t="s">
        <v>31</v>
      </c>
      <c r="K111">
        <f t="shared" si="34"/>
        <v>92.5</v>
      </c>
      <c r="L111" cm="1">
        <f t="array" ref="L111">STOWA2024_NDJF_T(A111*60,K111,I111,J111,"")</f>
        <v>1.7510997940924105</v>
      </c>
      <c r="M111">
        <f t="shared" si="35"/>
        <v>0.57106968053656637</v>
      </c>
    </row>
    <row r="112" spans="1:13" x14ac:dyDescent="0.3">
      <c r="A112">
        <v>192</v>
      </c>
      <c r="B112">
        <f t="shared" si="32"/>
        <v>0.13485360279852665</v>
      </c>
      <c r="C112">
        <f t="shared" si="28"/>
        <v>0.13485360279852665</v>
      </c>
      <c r="D112" t="s">
        <v>36</v>
      </c>
      <c r="E112" t="s">
        <v>19</v>
      </c>
      <c r="F112">
        <v>1</v>
      </c>
      <c r="G112">
        <f t="shared" si="33"/>
        <v>95</v>
      </c>
      <c r="I112">
        <v>2150</v>
      </c>
      <c r="J112" t="s">
        <v>31</v>
      </c>
      <c r="K112">
        <f t="shared" si="34"/>
        <v>97.5</v>
      </c>
      <c r="L112" cm="1">
        <f t="array" ref="L112">STOWA2024_NDJF_T(A112*60,K112,I112,J112,"")</f>
        <v>2.2924418677674891</v>
      </c>
      <c r="M112">
        <f t="shared" si="35"/>
        <v>0.43621607773803972</v>
      </c>
    </row>
    <row r="113" spans="1:13" x14ac:dyDescent="0.3">
      <c r="A113">
        <v>192</v>
      </c>
      <c r="B113">
        <f t="shared" si="32"/>
        <v>0.10413111227205096</v>
      </c>
      <c r="C113">
        <f t="shared" si="28"/>
        <v>0.10413111227205096</v>
      </c>
      <c r="D113" t="s">
        <v>36</v>
      </c>
      <c r="E113" t="s">
        <v>19</v>
      </c>
      <c r="F113">
        <v>1</v>
      </c>
      <c r="G113">
        <f t="shared" si="33"/>
        <v>100</v>
      </c>
      <c r="I113">
        <v>2150</v>
      </c>
      <c r="J113" t="s">
        <v>31</v>
      </c>
      <c r="K113">
        <f t="shared" si="34"/>
        <v>102.5</v>
      </c>
      <c r="L113" cm="1">
        <f t="array" ref="L113">STOWA2024_NDJF_T(A113*60,K113,I113,J113,"")</f>
        <v>3.0112775463856924</v>
      </c>
      <c r="M113">
        <f t="shared" si="35"/>
        <v>0.33208496546598876</v>
      </c>
    </row>
    <row r="114" spans="1:13" x14ac:dyDescent="0.3">
      <c r="A114">
        <v>192</v>
      </c>
      <c r="B114">
        <f t="shared" si="32"/>
        <v>8.0150329966837242E-2</v>
      </c>
      <c r="C114">
        <f t="shared" si="28"/>
        <v>8.0150329966837242E-2</v>
      </c>
      <c r="D114" t="s">
        <v>36</v>
      </c>
      <c r="E114" t="s">
        <v>19</v>
      </c>
      <c r="F114">
        <v>1</v>
      </c>
      <c r="G114">
        <f t="shared" si="33"/>
        <v>105</v>
      </c>
      <c r="I114">
        <v>2150</v>
      </c>
      <c r="J114" t="s">
        <v>31</v>
      </c>
      <c r="K114">
        <f t="shared" si="34"/>
        <v>107.5</v>
      </c>
      <c r="L114" cm="1">
        <f t="array" ref="L114">STOWA2024_NDJF_T(A114*60,K114,I114,J114,"")</f>
        <v>3.9692835326858731</v>
      </c>
      <c r="M114">
        <f t="shared" si="35"/>
        <v>0.25193463549915152</v>
      </c>
    </row>
    <row r="115" spans="1:13" x14ac:dyDescent="0.3">
      <c r="A115">
        <v>192</v>
      </c>
      <c r="B115">
        <f t="shared" si="32"/>
        <v>6.1482389770244728E-2</v>
      </c>
      <c r="C115">
        <f t="shared" si="28"/>
        <v>6.1482389770244728E-2</v>
      </c>
      <c r="D115" t="s">
        <v>36</v>
      </c>
      <c r="E115" t="s">
        <v>19</v>
      </c>
      <c r="F115">
        <v>1</v>
      </c>
      <c r="G115">
        <f t="shared" si="33"/>
        <v>110</v>
      </c>
      <c r="I115">
        <v>2150</v>
      </c>
      <c r="J115" t="s">
        <v>31</v>
      </c>
      <c r="K115">
        <f t="shared" si="34"/>
        <v>112.5</v>
      </c>
      <c r="L115" cm="1">
        <f t="array" ref="L115">STOWA2024_NDJF_T(A115*60,K115,I115,J115,"")</f>
        <v>5.2506600600731081</v>
      </c>
      <c r="M115">
        <f t="shared" si="35"/>
        <v>0.19045224572890679</v>
      </c>
    </row>
    <row r="116" spans="1:13" x14ac:dyDescent="0.3">
      <c r="A116">
        <v>192</v>
      </c>
      <c r="B116">
        <f t="shared" si="32"/>
        <v>4.7002307422046585E-2</v>
      </c>
      <c r="C116">
        <f t="shared" si="28"/>
        <v>4.7002307422046585E-2</v>
      </c>
      <c r="D116" t="s">
        <v>36</v>
      </c>
      <c r="E116" t="s">
        <v>19</v>
      </c>
      <c r="F116">
        <v>1</v>
      </c>
      <c r="G116">
        <f t="shared" si="33"/>
        <v>115</v>
      </c>
      <c r="I116">
        <v>2150</v>
      </c>
      <c r="J116" t="s">
        <v>31</v>
      </c>
      <c r="K116">
        <f t="shared" si="34"/>
        <v>117.5</v>
      </c>
      <c r="L116" cm="1">
        <f t="array" ref="L116">STOWA2024_NDJF_T(A116*60,K116,I116,J116,"")</f>
        <v>6.9710730572839648</v>
      </c>
      <c r="M116">
        <f t="shared" si="35"/>
        <v>0.1434499383068602</v>
      </c>
    </row>
    <row r="117" spans="1:13" x14ac:dyDescent="0.3">
      <c r="A117">
        <v>192</v>
      </c>
      <c r="B117">
        <f t="shared" si="32"/>
        <v>3.5807003880736349E-2</v>
      </c>
      <c r="C117">
        <f t="shared" si="28"/>
        <v>3.5807003880736349E-2</v>
      </c>
      <c r="D117" t="s">
        <v>36</v>
      </c>
      <c r="E117" t="s">
        <v>19</v>
      </c>
      <c r="F117">
        <v>1</v>
      </c>
      <c r="G117">
        <f t="shared" si="33"/>
        <v>120</v>
      </c>
      <c r="I117">
        <v>2150</v>
      </c>
      <c r="J117" t="s">
        <v>31</v>
      </c>
      <c r="K117">
        <f t="shared" si="34"/>
        <v>122.5</v>
      </c>
      <c r="L117" cm="1">
        <f t="array" ref="L117">STOWA2024_NDJF_T(A117*60,K117,I117,J117,"")</f>
        <v>9.2899734230703963</v>
      </c>
      <c r="M117">
        <f t="shared" si="35"/>
        <v>0.10764293442612385</v>
      </c>
    </row>
    <row r="118" spans="1:13" x14ac:dyDescent="0.3">
      <c r="A118">
        <v>192</v>
      </c>
      <c r="B118">
        <f t="shared" si="32"/>
        <v>2.7178354906046073E-2</v>
      </c>
      <c r="C118">
        <f t="shared" si="28"/>
        <v>2.7178354906046073E-2</v>
      </c>
      <c r="D118" t="s">
        <v>36</v>
      </c>
      <c r="E118" t="s">
        <v>19</v>
      </c>
      <c r="F118">
        <v>1</v>
      </c>
      <c r="G118">
        <f t="shared" si="33"/>
        <v>125</v>
      </c>
      <c r="I118">
        <v>2150</v>
      </c>
      <c r="J118" t="s">
        <v>31</v>
      </c>
      <c r="K118">
        <f t="shared" si="34"/>
        <v>127.5</v>
      </c>
      <c r="L118" cm="1">
        <f t="array" ref="L118">STOWA2024_NDJF_T(A118*60,K118,I118,J118,"")</f>
        <v>12.427828567108547</v>
      </c>
      <c r="M118">
        <f t="shared" si="35"/>
        <v>8.0464579520077781E-2</v>
      </c>
    </row>
    <row r="119" spans="1:13" x14ac:dyDescent="0.3">
      <c r="A119">
        <v>192</v>
      </c>
      <c r="B119">
        <f t="shared" si="32"/>
        <v>2.0553624994816985E-2</v>
      </c>
      <c r="C119">
        <f t="shared" si="28"/>
        <v>2.0553624994816985E-2</v>
      </c>
      <c r="D119" t="s">
        <v>36</v>
      </c>
      <c r="E119" t="s">
        <v>19</v>
      </c>
      <c r="F119">
        <v>1</v>
      </c>
      <c r="G119">
        <f t="shared" si="33"/>
        <v>130</v>
      </c>
      <c r="I119">
        <v>2150</v>
      </c>
      <c r="J119" t="s">
        <v>31</v>
      </c>
      <c r="K119">
        <f t="shared" si="34"/>
        <v>132.5</v>
      </c>
      <c r="L119" cm="1">
        <f t="array" ref="L119">STOWA2024_NDJF_T(A119*60,K119,I119,J119,"")</f>
        <v>16.691438284101466</v>
      </c>
      <c r="M119">
        <f t="shared" si="35"/>
        <v>5.9910954525260796E-2</v>
      </c>
    </row>
    <row r="120" spans="1:13" x14ac:dyDescent="0.3">
      <c r="A120">
        <v>192</v>
      </c>
      <c r="B120">
        <f t="shared" si="32"/>
        <v>1.5484037867038586E-2</v>
      </c>
      <c r="C120">
        <f t="shared" si="28"/>
        <v>1.5484037867038586E-2</v>
      </c>
      <c r="D120" t="s">
        <v>36</v>
      </c>
      <c r="E120" t="s">
        <v>19</v>
      </c>
      <c r="F120">
        <v>1</v>
      </c>
      <c r="G120">
        <f t="shared" si="33"/>
        <v>135</v>
      </c>
      <c r="I120">
        <v>2150</v>
      </c>
      <c r="J120" t="s">
        <v>31</v>
      </c>
      <c r="K120">
        <f t="shared" si="34"/>
        <v>137.5</v>
      </c>
      <c r="L120" cm="1">
        <f t="array" ref="L120">STOWA2024_NDJF_T(A120*60,K120,I120,J120,"")</f>
        <v>22.50887694262094</v>
      </c>
      <c r="M120">
        <f t="shared" si="35"/>
        <v>4.442691665822221E-2</v>
      </c>
    </row>
    <row r="121" spans="1:13" x14ac:dyDescent="0.3">
      <c r="A121">
        <v>192</v>
      </c>
      <c r="B121">
        <f t="shared" si="32"/>
        <v>1.161924826023257E-2</v>
      </c>
      <c r="C121">
        <f t="shared" si="28"/>
        <v>1.161924826023257E-2</v>
      </c>
      <c r="D121" t="s">
        <v>36</v>
      </c>
      <c r="E121" t="s">
        <v>19</v>
      </c>
      <c r="F121">
        <v>1</v>
      </c>
      <c r="G121">
        <f t="shared" si="33"/>
        <v>140</v>
      </c>
      <c r="I121">
        <v>2150</v>
      </c>
      <c r="J121" t="s">
        <v>31</v>
      </c>
      <c r="K121">
        <f t="shared" si="34"/>
        <v>142.5</v>
      </c>
      <c r="L121" cm="1">
        <f t="array" ref="L121">STOWA2024_NDJF_T(A121*60,K121,I121,J121,"")</f>
        <v>30.480678720261544</v>
      </c>
      <c r="M121">
        <f t="shared" si="35"/>
        <v>3.2807668397989639E-2</v>
      </c>
    </row>
    <row r="122" spans="1:13" x14ac:dyDescent="0.3">
      <c r="A122">
        <v>192</v>
      </c>
      <c r="B122">
        <f t="shared" si="32"/>
        <v>8.6840432440314919E-3</v>
      </c>
      <c r="C122">
        <f t="shared" si="28"/>
        <v>8.6840432440314919E-3</v>
      </c>
      <c r="D122" t="s">
        <v>36</v>
      </c>
      <c r="E122" t="s">
        <v>19</v>
      </c>
      <c r="F122">
        <v>1</v>
      </c>
      <c r="G122">
        <f t="shared" si="33"/>
        <v>145</v>
      </c>
      <c r="I122">
        <v>2150</v>
      </c>
      <c r="J122" t="s">
        <v>31</v>
      </c>
      <c r="K122">
        <f t="shared" si="34"/>
        <v>147.5</v>
      </c>
      <c r="L122" cm="1">
        <f t="array" ref="L122">STOWA2024_NDJF_T(A122*60,K122,I122,J122,"")</f>
        <v>41.453139551703003</v>
      </c>
      <c r="M122">
        <f t="shared" si="35"/>
        <v>2.4123625153958148E-2</v>
      </c>
    </row>
    <row r="123" spans="1:13" x14ac:dyDescent="0.3">
      <c r="A123">
        <v>192</v>
      </c>
      <c r="B123">
        <f t="shared" si="32"/>
        <v>6.4634766669395653E-3</v>
      </c>
      <c r="C123">
        <f t="shared" si="28"/>
        <v>6.4634766669395653E-3</v>
      </c>
      <c r="D123" t="s">
        <v>36</v>
      </c>
      <c r="E123" t="s">
        <v>19</v>
      </c>
      <c r="F123">
        <v>1</v>
      </c>
      <c r="G123">
        <f t="shared" si="33"/>
        <v>150</v>
      </c>
      <c r="I123">
        <v>2150</v>
      </c>
      <c r="J123" t="s">
        <v>31</v>
      </c>
      <c r="K123">
        <f t="shared" si="34"/>
        <v>152.5</v>
      </c>
      <c r="L123" cm="1">
        <f t="array" ref="L123">STOWA2024_NDJF_T(A123*60,K123,I123,J123,"")</f>
        <v>56.624665457092185</v>
      </c>
      <c r="M123">
        <f t="shared" si="35"/>
        <v>1.7660148487018582E-2</v>
      </c>
    </row>
    <row r="124" spans="1:13" x14ac:dyDescent="0.3">
      <c r="A124">
        <v>192</v>
      </c>
      <c r="B124">
        <f t="shared" si="32"/>
        <v>4.7902551163847232E-3</v>
      </c>
      <c r="C124">
        <f t="shared" si="28"/>
        <v>4.7902551163847232E-3</v>
      </c>
      <c r="D124" t="s">
        <v>36</v>
      </c>
      <c r="E124" t="s">
        <v>19</v>
      </c>
      <c r="F124">
        <v>1</v>
      </c>
      <c r="G124">
        <f t="shared" si="33"/>
        <v>155</v>
      </c>
      <c r="I124">
        <v>2150</v>
      </c>
      <c r="J124" t="s">
        <v>31</v>
      </c>
      <c r="K124">
        <f t="shared" si="34"/>
        <v>157.5</v>
      </c>
      <c r="L124" cm="1">
        <f t="array" ref="L124">STOWA2024_NDJF_T(A124*60,K124,I124,J124,"")</f>
        <v>77.700721459104727</v>
      </c>
      <c r="M124">
        <f t="shared" si="35"/>
        <v>1.2869893370633859E-2</v>
      </c>
    </row>
    <row r="125" spans="1:13" x14ac:dyDescent="0.3">
      <c r="A125">
        <v>192</v>
      </c>
      <c r="B125" s="1">
        <f>M124</f>
        <v>1.2869893370633859E-2</v>
      </c>
      <c r="C125">
        <f t="shared" si="28"/>
        <v>1.2869893370633859E-2</v>
      </c>
      <c r="D125" t="s">
        <v>36</v>
      </c>
      <c r="E125" t="s">
        <v>19</v>
      </c>
      <c r="F125">
        <v>1</v>
      </c>
      <c r="G125">
        <f t="shared" si="33"/>
        <v>160</v>
      </c>
      <c r="I125">
        <v>2150</v>
      </c>
      <c r="J125" t="s">
        <v>31</v>
      </c>
      <c r="K125">
        <f>AVERAGE(G125:G126)</f>
        <v>85</v>
      </c>
      <c r="L125" cm="1">
        <f t="array" ref="L125">STOWA2024_NDJF_T(A125*60,K125,I125,J125,"")</f>
        <v>1.1762656492689283</v>
      </c>
      <c r="M125">
        <f>1/L125</f>
        <v>0.85014809420093085</v>
      </c>
    </row>
    <row r="126" spans="1:13" x14ac:dyDescent="0.3">
      <c r="A126">
        <v>216</v>
      </c>
      <c r="B126" s="1">
        <f>365.25*24/A126 - M126</f>
        <v>16.251050689066108</v>
      </c>
      <c r="C126">
        <f>B126</f>
        <v>16.251050689066108</v>
      </c>
      <c r="D126" t="s">
        <v>36</v>
      </c>
      <c r="E126" t="s">
        <v>19</v>
      </c>
      <c r="F126">
        <v>1</v>
      </c>
      <c r="G126">
        <v>10</v>
      </c>
      <c r="I126">
        <v>2150</v>
      </c>
      <c r="J126" t="s">
        <v>31</v>
      </c>
      <c r="K126">
        <f>AVERAGE(G126:G128)</f>
        <v>15</v>
      </c>
      <c r="L126" cm="1">
        <f t="array" ref="L126">STOWA2024_NDJF_T(A126*60,K126,I126,J126,"")</f>
        <v>4.1097664967146168E-2</v>
      </c>
      <c r="M126">
        <f>1/L126</f>
        <v>24.332282644267227</v>
      </c>
    </row>
    <row r="127" spans="1:13" x14ac:dyDescent="0.3">
      <c r="A127">
        <v>216</v>
      </c>
      <c r="B127">
        <f t="shared" ref="B127:B131" si="36">M126-M127</f>
        <v>2.335592693941706</v>
      </c>
      <c r="C127">
        <f t="shared" ref="C127:C156" si="37">B127</f>
        <v>2.335592693941706</v>
      </c>
      <c r="D127" t="s">
        <v>36</v>
      </c>
      <c r="E127" t="s">
        <v>19</v>
      </c>
      <c r="F127">
        <v>1</v>
      </c>
      <c r="G127">
        <f t="shared" ref="G127:G131" si="38">G126+5</f>
        <v>15</v>
      </c>
      <c r="I127">
        <v>2150</v>
      </c>
      <c r="J127" t="s">
        <v>31</v>
      </c>
      <c r="K127">
        <f t="shared" ref="K127:K131" si="39">AVERAGE(G127:G128)</f>
        <v>17.5</v>
      </c>
      <c r="L127" cm="1">
        <f t="array" ref="L127">STOWA2024_NDJF_T(A127*60,K127,I127,J127,"")</f>
        <v>4.5461385429274616E-2</v>
      </c>
      <c r="M127">
        <f t="shared" ref="M127:M131" si="40">1/L127</f>
        <v>21.996689950325521</v>
      </c>
    </row>
    <row r="128" spans="1:13" x14ac:dyDescent="0.3">
      <c r="A128">
        <v>216</v>
      </c>
      <c r="B128">
        <f t="shared" si="36"/>
        <v>4.0559783362403223</v>
      </c>
      <c r="C128">
        <f t="shared" si="37"/>
        <v>4.0559783362403223</v>
      </c>
      <c r="D128" t="s">
        <v>36</v>
      </c>
      <c r="E128" t="s">
        <v>19</v>
      </c>
      <c r="F128">
        <v>1</v>
      </c>
      <c r="G128">
        <f t="shared" si="38"/>
        <v>20</v>
      </c>
      <c r="I128">
        <v>2150</v>
      </c>
      <c r="J128" t="s">
        <v>31</v>
      </c>
      <c r="K128">
        <f t="shared" si="39"/>
        <v>22.5</v>
      </c>
      <c r="L128" cm="1">
        <f t="array" ref="L128">STOWA2024_NDJF_T(A128*60,K128,I128,J128,"")</f>
        <v>5.5739149121314842E-2</v>
      </c>
      <c r="M128">
        <f t="shared" si="40"/>
        <v>17.940711614085199</v>
      </c>
    </row>
    <row r="129" spans="1:13" x14ac:dyDescent="0.3">
      <c r="A129">
        <v>216</v>
      </c>
      <c r="B129">
        <f t="shared" si="36"/>
        <v>3.3467474797179264</v>
      </c>
      <c r="C129">
        <f t="shared" si="37"/>
        <v>3.3467474797179264</v>
      </c>
      <c r="D129" t="s">
        <v>36</v>
      </c>
      <c r="E129" t="s">
        <v>19</v>
      </c>
      <c r="F129">
        <v>1</v>
      </c>
      <c r="G129">
        <f t="shared" si="38"/>
        <v>25</v>
      </c>
      <c r="I129">
        <v>2150</v>
      </c>
      <c r="J129" t="s">
        <v>31</v>
      </c>
      <c r="K129">
        <f t="shared" si="39"/>
        <v>27.5</v>
      </c>
      <c r="L129" cm="1">
        <f t="array" ref="L129">STOWA2024_NDJF_T(A129*60,K129,I129,J129,"")</f>
        <v>6.8521478523104196E-2</v>
      </c>
      <c r="M129">
        <f t="shared" si="40"/>
        <v>14.593964134367273</v>
      </c>
    </row>
    <row r="130" spans="1:13" x14ac:dyDescent="0.3">
      <c r="A130">
        <v>216</v>
      </c>
      <c r="B130">
        <f t="shared" si="36"/>
        <v>2.7546926408009771</v>
      </c>
      <c r="C130">
        <f t="shared" si="37"/>
        <v>2.7546926408009771</v>
      </c>
      <c r="D130" t="s">
        <v>36</v>
      </c>
      <c r="E130" t="s">
        <v>19</v>
      </c>
      <c r="F130">
        <v>1</v>
      </c>
      <c r="G130">
        <f t="shared" si="38"/>
        <v>30</v>
      </c>
      <c r="I130">
        <v>2150</v>
      </c>
      <c r="J130" t="s">
        <v>31</v>
      </c>
      <c r="K130">
        <f t="shared" si="39"/>
        <v>32.5</v>
      </c>
      <c r="L130" cm="1">
        <f t="array" ref="L130">STOWA2024_NDJF_T(A130*60,K130,I130,J130,"")</f>
        <v>8.4464656507237001E-2</v>
      </c>
      <c r="M130">
        <f t="shared" si="40"/>
        <v>11.839271493566295</v>
      </c>
    </row>
    <row r="131" spans="1:13" x14ac:dyDescent="0.3">
      <c r="A131">
        <v>216</v>
      </c>
      <c r="B131">
        <f t="shared" si="36"/>
        <v>2.2615477983381158</v>
      </c>
      <c r="C131">
        <f t="shared" si="37"/>
        <v>2.2615477983381158</v>
      </c>
      <c r="D131" t="s">
        <v>36</v>
      </c>
      <c r="E131" t="s">
        <v>19</v>
      </c>
      <c r="F131">
        <v>1</v>
      </c>
      <c r="G131">
        <f t="shared" si="38"/>
        <v>35</v>
      </c>
      <c r="I131">
        <v>2150</v>
      </c>
      <c r="J131" t="s">
        <v>31</v>
      </c>
      <c r="K131">
        <f t="shared" si="39"/>
        <v>37.5</v>
      </c>
      <c r="L131" cm="1">
        <f t="array" ref="L131">STOWA2024_NDJF_T(A131*60,K131,I131,J131,"")</f>
        <v>0.10440894223104606</v>
      </c>
      <c r="M131">
        <f t="shared" si="40"/>
        <v>9.5777236952281797</v>
      </c>
    </row>
    <row r="132" spans="1:13" x14ac:dyDescent="0.3">
      <c r="A132">
        <v>216</v>
      </c>
      <c r="B132">
        <f>M131-M132</f>
        <v>1.8517613354463665</v>
      </c>
      <c r="C132">
        <f t="shared" si="37"/>
        <v>1.8517613354463665</v>
      </c>
      <c r="D132" t="s">
        <v>36</v>
      </c>
      <c r="E132" t="s">
        <v>19</v>
      </c>
      <c r="F132">
        <v>1</v>
      </c>
      <c r="G132">
        <f>G131+5</f>
        <v>40</v>
      </c>
      <c r="I132">
        <v>2150</v>
      </c>
      <c r="J132" t="s">
        <v>31</v>
      </c>
      <c r="K132">
        <f>AVERAGE(G132:G133)</f>
        <v>42.5</v>
      </c>
      <c r="L132" cm="1">
        <f t="array" ref="L132">STOWA2024_NDJF_T(A132*60,K132,I132,J132,"")</f>
        <v>0.12943371368278847</v>
      </c>
      <c r="M132">
        <f>1/L132</f>
        <v>7.7259623597818132</v>
      </c>
    </row>
    <row r="133" spans="1:13" x14ac:dyDescent="0.3">
      <c r="A133">
        <v>216</v>
      </c>
      <c r="B133">
        <f t="shared" ref="B133:B155" si="41">M132-M133</f>
        <v>1.5120441328071124</v>
      </c>
      <c r="C133">
        <f t="shared" si="37"/>
        <v>1.5120441328071124</v>
      </c>
      <c r="D133" t="s">
        <v>36</v>
      </c>
      <c r="E133" t="s">
        <v>19</v>
      </c>
      <c r="F133">
        <v>1</v>
      </c>
      <c r="G133">
        <f t="shared" ref="G133:G156" si="42">G132+5</f>
        <v>45</v>
      </c>
      <c r="I133">
        <v>2150</v>
      </c>
      <c r="J133" t="s">
        <v>31</v>
      </c>
      <c r="K133">
        <f t="shared" ref="K133:K155" si="43">AVERAGE(G133:G134)</f>
        <v>47.5</v>
      </c>
      <c r="L133" cm="1">
        <f t="array" ref="L133">STOWA2024_NDJF_T(A133*60,K133,I133,J133,"")</f>
        <v>0.16092905691275222</v>
      </c>
      <c r="M133">
        <f t="shared" ref="M133:M155" si="44">1/L133</f>
        <v>6.2139182269747009</v>
      </c>
    </row>
    <row r="134" spans="1:13" x14ac:dyDescent="0.3">
      <c r="A134">
        <v>216</v>
      </c>
      <c r="B134">
        <f t="shared" si="41"/>
        <v>1.2312739419960179</v>
      </c>
      <c r="C134">
        <f t="shared" si="37"/>
        <v>1.2312739419960179</v>
      </c>
      <c r="D134" t="s">
        <v>36</v>
      </c>
      <c r="E134" t="s">
        <v>19</v>
      </c>
      <c r="F134">
        <v>1</v>
      </c>
      <c r="G134">
        <f t="shared" si="42"/>
        <v>50</v>
      </c>
      <c r="I134">
        <v>2150</v>
      </c>
      <c r="J134" t="s">
        <v>31</v>
      </c>
      <c r="K134">
        <f t="shared" si="43"/>
        <v>52.5</v>
      </c>
      <c r="L134" cm="1">
        <f t="array" ref="L134">STOWA2024_NDJF_T(A134*60,K134,I134,J134,"")</f>
        <v>0.20069664676138491</v>
      </c>
      <c r="M134">
        <f t="shared" si="44"/>
        <v>4.9826442849786829</v>
      </c>
    </row>
    <row r="135" spans="1:13" x14ac:dyDescent="0.3">
      <c r="A135">
        <v>216</v>
      </c>
      <c r="B135">
        <f t="shared" si="41"/>
        <v>0.99972810969164172</v>
      </c>
      <c r="C135">
        <f t="shared" si="37"/>
        <v>0.99972810969164172</v>
      </c>
      <c r="D135" t="s">
        <v>36</v>
      </c>
      <c r="E135" t="s">
        <v>19</v>
      </c>
      <c r="F135">
        <v>1</v>
      </c>
      <c r="G135">
        <f t="shared" si="42"/>
        <v>55</v>
      </c>
      <c r="I135">
        <v>2150</v>
      </c>
      <c r="J135" t="s">
        <v>31</v>
      </c>
      <c r="K135">
        <f t="shared" si="43"/>
        <v>57.5</v>
      </c>
      <c r="L135" cm="1">
        <f t="array" ref="L135">STOWA2024_NDJF_T(A135*60,K135,I135,J135,"")</f>
        <v>0.25107231887146908</v>
      </c>
      <c r="M135">
        <f t="shared" si="44"/>
        <v>3.9829161752870412</v>
      </c>
    </row>
    <row r="136" spans="1:13" x14ac:dyDescent="0.3">
      <c r="A136">
        <v>216</v>
      </c>
      <c r="B136">
        <f t="shared" si="41"/>
        <v>0.80932493189503285</v>
      </c>
      <c r="C136">
        <f t="shared" si="37"/>
        <v>0.80932493189503285</v>
      </c>
      <c r="D136" t="s">
        <v>36</v>
      </c>
      <c r="E136" t="s">
        <v>19</v>
      </c>
      <c r="F136">
        <v>1</v>
      </c>
      <c r="G136">
        <f t="shared" si="42"/>
        <v>60</v>
      </c>
      <c r="I136">
        <v>2150</v>
      </c>
      <c r="J136" t="s">
        <v>31</v>
      </c>
      <c r="K136">
        <f t="shared" si="43"/>
        <v>62.5</v>
      </c>
      <c r="L136" cm="1">
        <f t="array" ref="L136">STOWA2024_NDJF_T(A136*60,K136,I136,J136,"")</f>
        <v>0.31510044089079875</v>
      </c>
      <c r="M136">
        <f t="shared" si="44"/>
        <v>3.1735912433920084</v>
      </c>
    </row>
    <row r="137" spans="1:13" x14ac:dyDescent="0.3">
      <c r="A137">
        <v>216</v>
      </c>
      <c r="B137">
        <f t="shared" si="41"/>
        <v>0.65319219066374501</v>
      </c>
      <c r="C137">
        <f t="shared" si="37"/>
        <v>0.65319219066374501</v>
      </c>
      <c r="D137" t="s">
        <v>36</v>
      </c>
      <c r="E137" t="s">
        <v>19</v>
      </c>
      <c r="F137">
        <v>1</v>
      </c>
      <c r="G137">
        <f t="shared" si="42"/>
        <v>65</v>
      </c>
      <c r="I137">
        <v>2150</v>
      </c>
      <c r="J137" t="s">
        <v>31</v>
      </c>
      <c r="K137">
        <f t="shared" si="43"/>
        <v>67.5</v>
      </c>
      <c r="L137" cm="1">
        <f t="array" ref="L137">STOWA2024_NDJF_T(A137*60,K137,I137,J137,"")</f>
        <v>0.39676256778367192</v>
      </c>
      <c r="M137">
        <f t="shared" si="44"/>
        <v>2.5203990527282634</v>
      </c>
    </row>
    <row r="138" spans="1:13" x14ac:dyDescent="0.3">
      <c r="A138">
        <v>216</v>
      </c>
      <c r="B138">
        <f t="shared" si="41"/>
        <v>0.52553024904537216</v>
      </c>
      <c r="C138">
        <f t="shared" si="37"/>
        <v>0.52553024904537216</v>
      </c>
      <c r="D138" t="s">
        <v>36</v>
      </c>
      <c r="E138" t="s">
        <v>19</v>
      </c>
      <c r="F138">
        <v>1</v>
      </c>
      <c r="G138">
        <f t="shared" si="42"/>
        <v>70</v>
      </c>
      <c r="I138">
        <v>2150</v>
      </c>
      <c r="J138" t="s">
        <v>31</v>
      </c>
      <c r="K138">
        <f t="shared" si="43"/>
        <v>72.5</v>
      </c>
      <c r="L138" cm="1">
        <f t="array" ref="L138">STOWA2024_NDJF_T(A138*60,K138,I138,J138,"")</f>
        <v>0.50128609869171237</v>
      </c>
      <c r="M138">
        <f t="shared" si="44"/>
        <v>1.9948688036828912</v>
      </c>
    </row>
    <row r="139" spans="1:13" x14ac:dyDescent="0.3">
      <c r="A139">
        <v>216</v>
      </c>
      <c r="B139">
        <f t="shared" si="41"/>
        <v>0.42146920281700528</v>
      </c>
      <c r="C139">
        <f t="shared" si="37"/>
        <v>0.42146920281700528</v>
      </c>
      <c r="D139" t="s">
        <v>36</v>
      </c>
      <c r="E139" t="s">
        <v>19</v>
      </c>
      <c r="F139">
        <v>1</v>
      </c>
      <c r="G139">
        <f t="shared" si="42"/>
        <v>75</v>
      </c>
      <c r="I139">
        <v>2150</v>
      </c>
      <c r="J139" t="s">
        <v>31</v>
      </c>
      <c r="K139">
        <f t="shared" si="43"/>
        <v>77.5</v>
      </c>
      <c r="L139" cm="1">
        <f t="array" ref="L139">STOWA2024_NDJF_T(A139*60,K139,I139,J139,"")</f>
        <v>0.63556645079207597</v>
      </c>
      <c r="M139">
        <f t="shared" si="44"/>
        <v>1.5733996008658859</v>
      </c>
    </row>
    <row r="140" spans="1:13" x14ac:dyDescent="0.3">
      <c r="A140">
        <v>216</v>
      </c>
      <c r="B140">
        <f t="shared" si="41"/>
        <v>0.33688115019475773</v>
      </c>
      <c r="C140">
        <f t="shared" si="37"/>
        <v>0.33688115019475773</v>
      </c>
      <c r="D140" t="s">
        <v>36</v>
      </c>
      <c r="E140" t="s">
        <v>19</v>
      </c>
      <c r="F140">
        <v>1</v>
      </c>
      <c r="G140">
        <f t="shared" si="42"/>
        <v>80</v>
      </c>
      <c r="I140">
        <v>2150</v>
      </c>
      <c r="J140" t="s">
        <v>31</v>
      </c>
      <c r="K140">
        <f t="shared" si="43"/>
        <v>82.5</v>
      </c>
      <c r="L140" cm="1">
        <f t="array" ref="L140">STOWA2024_NDJF_T(A140*60,K140,I140,J140,"")</f>
        <v>0.80872226326848884</v>
      </c>
      <c r="M140">
        <f t="shared" si="44"/>
        <v>1.2365184506711282</v>
      </c>
    </row>
    <row r="141" spans="1:13" x14ac:dyDescent="0.3">
      <c r="A141">
        <v>216</v>
      </c>
      <c r="B141">
        <f t="shared" si="41"/>
        <v>0.26829073033608675</v>
      </c>
      <c r="C141">
        <f t="shared" si="37"/>
        <v>0.26829073033608675</v>
      </c>
      <c r="D141" t="s">
        <v>36</v>
      </c>
      <c r="E141" t="s">
        <v>19</v>
      </c>
      <c r="F141">
        <v>1</v>
      </c>
      <c r="G141">
        <f t="shared" si="42"/>
        <v>85</v>
      </c>
      <c r="I141">
        <v>2150</v>
      </c>
      <c r="J141" t="s">
        <v>31</v>
      </c>
      <c r="K141">
        <f t="shared" si="43"/>
        <v>87.5</v>
      </c>
      <c r="L141" cm="1">
        <f t="array" ref="L141">STOWA2024_NDJF_T(A141*60,K141,I141,J141,"")</f>
        <v>1.0328148833148096</v>
      </c>
      <c r="M141">
        <f t="shared" si="44"/>
        <v>0.96822772033504145</v>
      </c>
    </row>
    <row r="142" spans="1:13" x14ac:dyDescent="0.3">
      <c r="A142">
        <v>216</v>
      </c>
      <c r="B142">
        <f t="shared" si="41"/>
        <v>0.21302600435463492</v>
      </c>
      <c r="C142">
        <f t="shared" si="37"/>
        <v>0.21302600435463492</v>
      </c>
      <c r="D142" t="s">
        <v>36</v>
      </c>
      <c r="E142" t="s">
        <v>19</v>
      </c>
      <c r="F142">
        <v>1</v>
      </c>
      <c r="G142">
        <f t="shared" si="42"/>
        <v>90</v>
      </c>
      <c r="I142">
        <v>2150</v>
      </c>
      <c r="J142" t="s">
        <v>31</v>
      </c>
      <c r="K142">
        <f t="shared" si="43"/>
        <v>92.5</v>
      </c>
      <c r="L142" cm="1">
        <f t="array" ref="L142">STOWA2024_NDJF_T(A142*60,K142,I142,J142,"")</f>
        <v>1.3241495336140692</v>
      </c>
      <c r="M142">
        <f t="shared" si="44"/>
        <v>0.75520171598040653</v>
      </c>
    </row>
    <row r="143" spans="1:13" x14ac:dyDescent="0.3">
      <c r="A143">
        <v>216</v>
      </c>
      <c r="B143">
        <f t="shared" si="41"/>
        <v>0.16847646646183634</v>
      </c>
      <c r="C143">
        <f t="shared" si="37"/>
        <v>0.16847646646183634</v>
      </c>
      <c r="D143" t="s">
        <v>36</v>
      </c>
      <c r="E143" t="s">
        <v>19</v>
      </c>
      <c r="F143">
        <v>1</v>
      </c>
      <c r="G143">
        <f t="shared" si="42"/>
        <v>95</v>
      </c>
      <c r="I143">
        <v>2150</v>
      </c>
      <c r="J143" t="s">
        <v>31</v>
      </c>
      <c r="K143">
        <f t="shared" si="43"/>
        <v>97.5</v>
      </c>
      <c r="L143" cm="1">
        <f t="array" ref="L143">STOWA2024_NDJF_T(A143*60,K143,I143,J143,"")</f>
        <v>1.7043752605168041</v>
      </c>
      <c r="M143">
        <f t="shared" si="44"/>
        <v>0.58672524951857019</v>
      </c>
    </row>
    <row r="144" spans="1:13" x14ac:dyDescent="0.3">
      <c r="A144">
        <v>216</v>
      </c>
      <c r="B144">
        <f t="shared" si="41"/>
        <v>0.1327497602122058</v>
      </c>
      <c r="C144">
        <f t="shared" si="37"/>
        <v>0.1327497602122058</v>
      </c>
      <c r="D144" t="s">
        <v>36</v>
      </c>
      <c r="E144" t="s">
        <v>19</v>
      </c>
      <c r="F144">
        <v>1</v>
      </c>
      <c r="G144">
        <f t="shared" si="42"/>
        <v>100</v>
      </c>
      <c r="I144">
        <v>2150</v>
      </c>
      <c r="J144" t="s">
        <v>31</v>
      </c>
      <c r="K144">
        <f t="shared" si="43"/>
        <v>102.5</v>
      </c>
      <c r="L144" cm="1">
        <f t="array" ref="L144">STOWA2024_NDJF_T(A144*60,K144,I144,J144,"")</f>
        <v>2.2027620952133655</v>
      </c>
      <c r="M144">
        <f t="shared" si="44"/>
        <v>0.45397548930636439</v>
      </c>
    </row>
    <row r="145" spans="1:13" x14ac:dyDescent="0.3">
      <c r="A145">
        <v>216</v>
      </c>
      <c r="B145">
        <f t="shared" si="41"/>
        <v>0.10418904881185531</v>
      </c>
      <c r="C145">
        <f t="shared" si="37"/>
        <v>0.10418904881185531</v>
      </c>
      <c r="D145" t="s">
        <v>36</v>
      </c>
      <c r="E145" t="s">
        <v>19</v>
      </c>
      <c r="F145">
        <v>1</v>
      </c>
      <c r="G145">
        <f t="shared" si="42"/>
        <v>105</v>
      </c>
      <c r="I145">
        <v>2150</v>
      </c>
      <c r="J145" t="s">
        <v>31</v>
      </c>
      <c r="K145">
        <f t="shared" si="43"/>
        <v>107.5</v>
      </c>
      <c r="L145" cm="1">
        <f t="array" ref="L145">STOWA2024_NDJF_T(A145*60,K145,I145,J145,"")</f>
        <v>2.8588872644298458</v>
      </c>
      <c r="M145">
        <f t="shared" si="44"/>
        <v>0.34978644049450908</v>
      </c>
    </row>
    <row r="146" spans="1:13" x14ac:dyDescent="0.3">
      <c r="A146">
        <v>216</v>
      </c>
      <c r="B146">
        <f t="shared" si="41"/>
        <v>8.1450495517433108E-2</v>
      </c>
      <c r="C146">
        <f t="shared" si="37"/>
        <v>8.1450495517433108E-2</v>
      </c>
      <c r="D146" t="s">
        <v>36</v>
      </c>
      <c r="E146" t="s">
        <v>19</v>
      </c>
      <c r="F146">
        <v>1</v>
      </c>
      <c r="G146">
        <f t="shared" si="42"/>
        <v>110</v>
      </c>
      <c r="I146">
        <v>2150</v>
      </c>
      <c r="J146" t="s">
        <v>31</v>
      </c>
      <c r="K146">
        <f t="shared" si="43"/>
        <v>112.5</v>
      </c>
      <c r="L146" cm="1">
        <f t="array" ref="L146">STOWA2024_NDJF_T(A146*60,K146,I146,J146,"")</f>
        <v>3.7266718034567838</v>
      </c>
      <c r="M146">
        <f t="shared" si="44"/>
        <v>0.26833594497707597</v>
      </c>
    </row>
    <row r="147" spans="1:13" x14ac:dyDescent="0.3">
      <c r="A147">
        <v>216</v>
      </c>
      <c r="B147">
        <f t="shared" si="41"/>
        <v>6.3407134893083361E-2</v>
      </c>
      <c r="C147">
        <f t="shared" si="37"/>
        <v>6.3407134893083361E-2</v>
      </c>
      <c r="D147" t="s">
        <v>36</v>
      </c>
      <c r="E147" t="s">
        <v>19</v>
      </c>
      <c r="F147">
        <v>1</v>
      </c>
      <c r="G147">
        <f t="shared" si="42"/>
        <v>115</v>
      </c>
      <c r="I147">
        <v>2150</v>
      </c>
      <c r="J147" t="s">
        <v>31</v>
      </c>
      <c r="K147">
        <f t="shared" si="43"/>
        <v>117.5</v>
      </c>
      <c r="L147" cm="1">
        <f t="array" ref="L147">STOWA2024_NDJF_T(A147*60,K147,I147,J147,"")</f>
        <v>4.8797433586333598</v>
      </c>
      <c r="M147">
        <f t="shared" si="44"/>
        <v>0.20492881008399261</v>
      </c>
    </row>
    <row r="148" spans="1:13" x14ac:dyDescent="0.3">
      <c r="A148">
        <v>216</v>
      </c>
      <c r="B148">
        <f t="shared" si="41"/>
        <v>4.9152553125065973E-2</v>
      </c>
      <c r="C148">
        <f t="shared" si="37"/>
        <v>4.9152553125065973E-2</v>
      </c>
      <c r="D148" t="s">
        <v>36</v>
      </c>
      <c r="E148" t="s">
        <v>19</v>
      </c>
      <c r="F148">
        <v>1</v>
      </c>
      <c r="G148">
        <f t="shared" si="42"/>
        <v>120</v>
      </c>
      <c r="I148">
        <v>2150</v>
      </c>
      <c r="J148" t="s">
        <v>31</v>
      </c>
      <c r="K148">
        <f t="shared" si="43"/>
        <v>122.5</v>
      </c>
      <c r="L148" cm="1">
        <f t="array" ref="L148">STOWA2024_NDJF_T(A148*60,K148,I148,J148,"")</f>
        <v>6.4194635275109286</v>
      </c>
      <c r="M148">
        <f t="shared" si="44"/>
        <v>0.15577625695892663</v>
      </c>
    </row>
    <row r="149" spans="1:13" x14ac:dyDescent="0.3">
      <c r="A149">
        <v>216</v>
      </c>
      <c r="B149">
        <f t="shared" si="41"/>
        <v>3.793265399089589E-2</v>
      </c>
      <c r="C149">
        <f t="shared" si="37"/>
        <v>3.793265399089589E-2</v>
      </c>
      <c r="D149" t="s">
        <v>36</v>
      </c>
      <c r="E149" t="s">
        <v>19</v>
      </c>
      <c r="F149">
        <v>1</v>
      </c>
      <c r="G149">
        <f t="shared" si="42"/>
        <v>125</v>
      </c>
      <c r="I149">
        <v>2150</v>
      </c>
      <c r="J149" t="s">
        <v>31</v>
      </c>
      <c r="K149">
        <f t="shared" si="43"/>
        <v>127.5</v>
      </c>
      <c r="L149" cm="1">
        <f t="array" ref="L149">STOWA2024_NDJF_T(A149*60,K149,I149,J149,"")</f>
        <v>8.4858233693965168</v>
      </c>
      <c r="M149">
        <f t="shared" si="44"/>
        <v>0.11784360296803074</v>
      </c>
    </row>
    <row r="150" spans="1:13" x14ac:dyDescent="0.3">
      <c r="A150">
        <v>216</v>
      </c>
      <c r="B150">
        <f t="shared" si="41"/>
        <v>2.9139168923054279E-2</v>
      </c>
      <c r="C150">
        <f t="shared" si="37"/>
        <v>2.9139168923054279E-2</v>
      </c>
      <c r="D150" t="s">
        <v>36</v>
      </c>
      <c r="E150" t="s">
        <v>19</v>
      </c>
      <c r="F150">
        <v>1</v>
      </c>
      <c r="G150">
        <f t="shared" si="42"/>
        <v>130</v>
      </c>
      <c r="I150">
        <v>2150</v>
      </c>
      <c r="J150" t="s">
        <v>31</v>
      </c>
      <c r="K150">
        <f t="shared" si="43"/>
        <v>132.5</v>
      </c>
      <c r="L150" cm="1">
        <f t="array" ref="L150">STOWA2024_NDJF_T(A150*60,K150,I150,J150,"")</f>
        <v>11.273393610661701</v>
      </c>
      <c r="M150">
        <f t="shared" si="44"/>
        <v>8.8704434044976466E-2</v>
      </c>
    </row>
    <row r="151" spans="1:13" x14ac:dyDescent="0.3">
      <c r="A151">
        <v>216</v>
      </c>
      <c r="B151">
        <f t="shared" si="41"/>
        <v>2.2279060754218469E-2</v>
      </c>
      <c r="C151">
        <f t="shared" si="37"/>
        <v>2.2279060754218469E-2</v>
      </c>
      <c r="D151" t="s">
        <v>36</v>
      </c>
      <c r="E151" t="s">
        <v>19</v>
      </c>
      <c r="F151">
        <v>1</v>
      </c>
      <c r="G151">
        <f t="shared" si="42"/>
        <v>135</v>
      </c>
      <c r="I151">
        <v>2150</v>
      </c>
      <c r="J151" t="s">
        <v>31</v>
      </c>
      <c r="K151">
        <f t="shared" si="43"/>
        <v>137.5</v>
      </c>
      <c r="L151" cm="1">
        <f t="array" ref="L151">STOWA2024_NDJF_T(A151*60,K151,I151,J151,"")</f>
        <v>15.054488224293255</v>
      </c>
      <c r="M151">
        <f t="shared" si="44"/>
        <v>6.6425373290757997E-2</v>
      </c>
    </row>
    <row r="152" spans="1:13" x14ac:dyDescent="0.3">
      <c r="A152">
        <v>216</v>
      </c>
      <c r="B152">
        <f t="shared" si="41"/>
        <v>1.6949691825190724E-2</v>
      </c>
      <c r="C152">
        <f t="shared" si="37"/>
        <v>1.6949691825190724E-2</v>
      </c>
      <c r="D152" t="s">
        <v>36</v>
      </c>
      <c r="E152" t="s">
        <v>19</v>
      </c>
      <c r="F152">
        <v>1</v>
      </c>
      <c r="G152">
        <f t="shared" si="42"/>
        <v>140</v>
      </c>
      <c r="I152">
        <v>2150</v>
      </c>
      <c r="J152" t="s">
        <v>31</v>
      </c>
      <c r="K152">
        <f t="shared" si="43"/>
        <v>142.5</v>
      </c>
      <c r="L152" cm="1">
        <f t="array" ref="L152">STOWA2024_NDJF_T(A152*60,K152,I152,J152,"")</f>
        <v>20.211950000040982</v>
      </c>
      <c r="M152">
        <f t="shared" si="44"/>
        <v>4.9475681465567273E-2</v>
      </c>
    </row>
    <row r="153" spans="1:13" x14ac:dyDescent="0.3">
      <c r="A153">
        <v>216</v>
      </c>
      <c r="B153">
        <f t="shared" si="41"/>
        <v>1.2829600197519095E-2</v>
      </c>
      <c r="C153">
        <f t="shared" si="37"/>
        <v>1.2829600197519095E-2</v>
      </c>
      <c r="D153" t="s">
        <v>36</v>
      </c>
      <c r="E153" t="s">
        <v>19</v>
      </c>
      <c r="F153">
        <v>1</v>
      </c>
      <c r="G153">
        <f t="shared" si="42"/>
        <v>145</v>
      </c>
      <c r="I153">
        <v>2150</v>
      </c>
      <c r="J153" t="s">
        <v>31</v>
      </c>
      <c r="K153">
        <f t="shared" si="43"/>
        <v>147.5</v>
      </c>
      <c r="L153" cm="1">
        <f t="array" ref="L153">STOWA2024_NDJF_T(A153*60,K153,I153,J153,"")</f>
        <v>27.288047327229581</v>
      </c>
      <c r="M153">
        <f t="shared" si="44"/>
        <v>3.6646081268048178E-2</v>
      </c>
    </row>
    <row r="154" spans="1:13" x14ac:dyDescent="0.3">
      <c r="A154">
        <v>216</v>
      </c>
      <c r="B154">
        <f t="shared" si="41"/>
        <v>9.6591244600666704E-3</v>
      </c>
      <c r="C154">
        <f t="shared" si="37"/>
        <v>9.6591244600666704E-3</v>
      </c>
      <c r="D154" t="s">
        <v>36</v>
      </c>
      <c r="E154" t="s">
        <v>19</v>
      </c>
      <c r="F154">
        <v>1</v>
      </c>
      <c r="G154">
        <f t="shared" si="42"/>
        <v>150</v>
      </c>
      <c r="I154">
        <v>2150</v>
      </c>
      <c r="J154" t="s">
        <v>31</v>
      </c>
      <c r="K154">
        <f t="shared" si="43"/>
        <v>152.5</v>
      </c>
      <c r="L154" cm="1">
        <f t="array" ref="L154">STOWA2024_NDJF_T(A154*60,K154,I154,J154,"")</f>
        <v>37.054937580225634</v>
      </c>
      <c r="M154">
        <f t="shared" si="44"/>
        <v>2.6986956807981508E-2</v>
      </c>
    </row>
    <row r="155" spans="1:13" x14ac:dyDescent="0.3">
      <c r="A155">
        <v>216</v>
      </c>
      <c r="B155">
        <f t="shared" si="41"/>
        <v>7.2324417377815538E-3</v>
      </c>
      <c r="C155">
        <f t="shared" si="37"/>
        <v>7.2324417377815538E-3</v>
      </c>
      <c r="D155" t="s">
        <v>36</v>
      </c>
      <c r="E155" t="s">
        <v>19</v>
      </c>
      <c r="F155">
        <v>1</v>
      </c>
      <c r="G155">
        <f t="shared" si="42"/>
        <v>155</v>
      </c>
      <c r="I155">
        <v>2150</v>
      </c>
      <c r="J155" t="s">
        <v>31</v>
      </c>
      <c r="K155">
        <f t="shared" si="43"/>
        <v>157.5</v>
      </c>
      <c r="L155" cm="1">
        <f t="array" ref="L155">STOWA2024_NDJF_T(A155*60,K155,I155,J155,"")</f>
        <v>50.621338789961904</v>
      </c>
      <c r="M155">
        <f t="shared" si="44"/>
        <v>1.9754515070199954E-2</v>
      </c>
    </row>
    <row r="156" spans="1:13" x14ac:dyDescent="0.3">
      <c r="A156">
        <v>216</v>
      </c>
      <c r="B156" s="1">
        <f>M155</f>
        <v>1.9754515070199954E-2</v>
      </c>
      <c r="C156">
        <f t="shared" si="37"/>
        <v>1.9754515070199954E-2</v>
      </c>
      <c r="D156" t="s">
        <v>36</v>
      </c>
      <c r="E156" t="s">
        <v>19</v>
      </c>
      <c r="F156">
        <v>1</v>
      </c>
      <c r="G156">
        <f t="shared" si="42"/>
        <v>160</v>
      </c>
      <c r="I156">
        <v>2150</v>
      </c>
      <c r="J156" t="s">
        <v>31</v>
      </c>
      <c r="K156">
        <f>AVERAGE(G156:G157)</f>
        <v>160</v>
      </c>
      <c r="L156" cm="1">
        <f t="array" ref="L156">STOWA2024_NDJF_T(A156*60,K156,I156,J156,"")</f>
        <v>59.304684944508807</v>
      </c>
      <c r="M156">
        <f>1/L156</f>
        <v>1.6862074234703324E-2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21</vt:i4>
      </vt:variant>
    </vt:vector>
  </HeadingPairs>
  <TitlesOfParts>
    <vt:vector size="21" baseType="lpstr">
      <vt:lpstr>Start</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2024-05-02T21:06:37Z</dcterms:modified>
</cp:coreProperties>
</file>