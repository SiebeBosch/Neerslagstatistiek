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HUB\Neerslagstatistiek\Excel\"/>
    </mc:Choice>
  </mc:AlternateContent>
  <xr:revisionPtr revIDLastSave="0" documentId="13_ncr:1_{BAC64B1C-E874-4880-BD4A-06F69F12FCB4}" xr6:coauthVersionLast="47" xr6:coauthVersionMax="47" xr10:uidLastSave="{00000000-0000-0000-0000-000000000000}"/>
  <bookViews>
    <workbookView xWindow="-108" yWindow="-108" windowWidth="23256" windowHeight="12456" firstSheet="1" activeTab="1" xr2:uid="{FCAF0002-4C16-41A6-93A1-90D98D308330}"/>
  </bookViews>
  <sheets>
    <sheet name="Toelichting" sheetId="14" r:id="rId1"/>
    <sheet name="Parameters" sheetId="13" r:id="rId2"/>
    <sheet name="Tabel_GEV_area_15min.dat" sheetId="1" r:id="rId3"/>
    <sheet name="Tabel_GEV_area_30min.dat" sheetId="2" r:id="rId4"/>
    <sheet name="Tabel_GEV_area_60min.dat" sheetId="3" r:id="rId5"/>
    <sheet name="Tabel_GEV_area_120min.dat" sheetId="4" r:id="rId6"/>
    <sheet name="Tabel_GEV_area_04H.dat" sheetId="5" r:id="rId7"/>
    <sheet name="Tabel_GEV_area_08H.dat" sheetId="6" r:id="rId8"/>
    <sheet name="Tabel_GEV_area_12H.dat" sheetId="7" r:id="rId9"/>
    <sheet name="Tabel_GEV_area_24H.dat" sheetId="8" r:id="rId10"/>
    <sheet name="Tabel_GEV_area_02D.dat" sheetId="9" r:id="rId11"/>
    <sheet name="Tabel_GEV_area_04D.dat" sheetId="10" r:id="rId12"/>
    <sheet name="Tabel_GEV_area_08D.dat" sheetId="11" r:id="rId13"/>
    <sheet name="Tabel_GEV_area_09D.dat" sheetId="12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2" i="13" l="1"/>
  <c r="B48" i="13"/>
  <c r="B47" i="13"/>
  <c r="B46" i="13"/>
  <c r="B45" i="13"/>
  <c r="B44" i="13"/>
  <c r="B43" i="13"/>
  <c r="E42" i="13"/>
  <c r="F42" i="13"/>
  <c r="G42" i="13"/>
  <c r="I42" i="13"/>
  <c r="J42" i="13"/>
  <c r="K42" i="13"/>
  <c r="L42" i="13"/>
  <c r="M42" i="13"/>
  <c r="B40" i="13"/>
  <c r="O25" i="13"/>
  <c r="O13" i="13"/>
  <c r="O1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M25" i="13"/>
  <c r="I25" i="13"/>
  <c r="H25" i="13"/>
  <c r="G25" i="13"/>
  <c r="F25" i="13"/>
  <c r="E25" i="13"/>
  <c r="D25" i="13"/>
  <c r="C25" i="13"/>
  <c r="A34" i="13"/>
  <c r="A33" i="13"/>
  <c r="A32" i="13"/>
  <c r="A31" i="13"/>
  <c r="A30" i="13"/>
  <c r="A29" i="13"/>
  <c r="A28" i="13"/>
  <c r="A27" i="13"/>
  <c r="A26" i="13"/>
  <c r="M22" i="13"/>
  <c r="M21" i="13"/>
  <c r="M20" i="13"/>
  <c r="M19" i="13"/>
  <c r="M18" i="13"/>
  <c r="M17" i="13"/>
  <c r="M16" i="13"/>
  <c r="M15" i="13"/>
  <c r="M14" i="13"/>
  <c r="L22" i="13"/>
  <c r="L21" i="13"/>
  <c r="L20" i="13"/>
  <c r="L19" i="13"/>
  <c r="L18" i="13"/>
  <c r="L17" i="13"/>
  <c r="L16" i="13"/>
  <c r="L15" i="13"/>
  <c r="L14" i="13"/>
  <c r="K22" i="13"/>
  <c r="K21" i="13"/>
  <c r="K20" i="13"/>
  <c r="K19" i="13"/>
  <c r="K18" i="13"/>
  <c r="K17" i="13"/>
  <c r="K16" i="13"/>
  <c r="K15" i="13"/>
  <c r="K14" i="13"/>
  <c r="J22" i="13"/>
  <c r="J21" i="13"/>
  <c r="J20" i="13"/>
  <c r="J19" i="13"/>
  <c r="J18" i="13"/>
  <c r="J17" i="13"/>
  <c r="J16" i="13"/>
  <c r="J15" i="13"/>
  <c r="J14" i="13"/>
  <c r="I22" i="13"/>
  <c r="I21" i="13"/>
  <c r="I20" i="13"/>
  <c r="I19" i="13"/>
  <c r="I18" i="13"/>
  <c r="I17" i="13"/>
  <c r="I16" i="13"/>
  <c r="I15" i="13"/>
  <c r="I14" i="13"/>
  <c r="H22" i="13"/>
  <c r="H21" i="13"/>
  <c r="H20" i="13"/>
  <c r="H19" i="13"/>
  <c r="H18" i="13"/>
  <c r="H17" i="13"/>
  <c r="H16" i="13"/>
  <c r="H15" i="13"/>
  <c r="H14" i="13"/>
  <c r="G22" i="13"/>
  <c r="G21" i="13"/>
  <c r="G20" i="13"/>
  <c r="G19" i="13"/>
  <c r="G18" i="13"/>
  <c r="G17" i="13"/>
  <c r="G16" i="13"/>
  <c r="G15" i="13"/>
  <c r="G14" i="13"/>
  <c r="F22" i="13"/>
  <c r="F21" i="13"/>
  <c r="F20" i="13"/>
  <c r="F19" i="13"/>
  <c r="F18" i="13"/>
  <c r="F17" i="13"/>
  <c r="F16" i="13"/>
  <c r="F15" i="13"/>
  <c r="F14" i="13"/>
  <c r="E22" i="13"/>
  <c r="E21" i="13"/>
  <c r="E20" i="13"/>
  <c r="E19" i="13"/>
  <c r="E18" i="13"/>
  <c r="E17" i="13"/>
  <c r="E16" i="13"/>
  <c r="E15" i="13"/>
  <c r="E14" i="13"/>
  <c r="D22" i="13"/>
  <c r="D21" i="13"/>
  <c r="D20" i="13"/>
  <c r="D19" i="13"/>
  <c r="D18" i="13"/>
  <c r="D17" i="13"/>
  <c r="D16" i="13"/>
  <c r="D15" i="13"/>
  <c r="D14" i="13"/>
  <c r="B22" i="13"/>
  <c r="B21" i="13"/>
  <c r="B20" i="13"/>
  <c r="B19" i="13"/>
  <c r="B18" i="13"/>
  <c r="B17" i="13"/>
  <c r="B16" i="13"/>
  <c r="B15" i="13"/>
  <c r="B14" i="13"/>
  <c r="C22" i="13"/>
  <c r="C21" i="13"/>
  <c r="C20" i="13"/>
  <c r="C19" i="13"/>
  <c r="C18" i="13"/>
  <c r="C17" i="13"/>
  <c r="C16" i="13"/>
  <c r="C15" i="13"/>
  <c r="C14" i="13"/>
  <c r="M10" i="13"/>
  <c r="L10" i="13"/>
  <c r="K10" i="13"/>
  <c r="J10" i="13"/>
  <c r="I10" i="13"/>
  <c r="H10" i="13"/>
  <c r="G10" i="13"/>
  <c r="F10" i="13"/>
  <c r="E10" i="13"/>
  <c r="D10" i="13"/>
  <c r="C10" i="13"/>
  <c r="M9" i="13"/>
  <c r="L9" i="13"/>
  <c r="K9" i="13"/>
  <c r="J9" i="13"/>
  <c r="I9" i="13"/>
  <c r="H9" i="13"/>
  <c r="G9" i="13"/>
  <c r="F9" i="13"/>
  <c r="E9" i="13"/>
  <c r="D9" i="13"/>
  <c r="C9" i="13"/>
  <c r="M8" i="13"/>
  <c r="L8" i="13"/>
  <c r="K8" i="13"/>
  <c r="J8" i="13"/>
  <c r="I8" i="13"/>
  <c r="H8" i="13"/>
  <c r="G8" i="13"/>
  <c r="F8" i="13"/>
  <c r="E8" i="13"/>
  <c r="D8" i="13"/>
  <c r="C8" i="13"/>
  <c r="M7" i="13"/>
  <c r="L7" i="13"/>
  <c r="K7" i="13"/>
  <c r="J7" i="13"/>
  <c r="I7" i="13"/>
  <c r="H7" i="13"/>
  <c r="G7" i="13"/>
  <c r="F7" i="13"/>
  <c r="E7" i="13"/>
  <c r="D7" i="13"/>
  <c r="C7" i="13"/>
  <c r="M6" i="13"/>
  <c r="L6" i="13"/>
  <c r="K6" i="13"/>
  <c r="J6" i="13"/>
  <c r="I6" i="13"/>
  <c r="H6" i="13"/>
  <c r="G6" i="13"/>
  <c r="F6" i="13"/>
  <c r="E6" i="13"/>
  <c r="D6" i="13"/>
  <c r="C6" i="13"/>
  <c r="M5" i="13"/>
  <c r="L5" i="13"/>
  <c r="K5" i="13"/>
  <c r="J5" i="13"/>
  <c r="I5" i="13"/>
  <c r="H5" i="13"/>
  <c r="G5" i="13"/>
  <c r="F5" i="13"/>
  <c r="E5" i="13"/>
  <c r="D5" i="13"/>
  <c r="C5" i="13"/>
  <c r="M4" i="13"/>
  <c r="L4" i="13"/>
  <c r="K4" i="13"/>
  <c r="J4" i="13"/>
  <c r="I4" i="13"/>
  <c r="H4" i="13"/>
  <c r="G4" i="13"/>
  <c r="F4" i="13"/>
  <c r="E4" i="13"/>
  <c r="D4" i="13"/>
  <c r="C4" i="13"/>
  <c r="M3" i="13"/>
  <c r="L3" i="13"/>
  <c r="K3" i="13"/>
  <c r="J3" i="13"/>
  <c r="I3" i="13"/>
  <c r="H3" i="13"/>
  <c r="G3" i="13"/>
  <c r="F3" i="13"/>
  <c r="E3" i="13"/>
  <c r="D3" i="13"/>
  <c r="C3" i="13"/>
  <c r="M2" i="13"/>
  <c r="L2" i="13"/>
  <c r="K2" i="13"/>
  <c r="J2" i="13"/>
  <c r="I2" i="13"/>
  <c r="H2" i="13"/>
  <c r="G2" i="13"/>
  <c r="F2" i="13"/>
  <c r="E2" i="13"/>
  <c r="D2" i="13"/>
  <c r="C2" i="13"/>
  <c r="B10" i="13"/>
  <c r="B9" i="13"/>
  <c r="B8" i="13"/>
  <c r="B7" i="13"/>
  <c r="B6" i="13"/>
  <c r="B5" i="13"/>
  <c r="B4" i="13"/>
  <c r="B3" i="13"/>
  <c r="B2" i="13"/>
  <c r="M13" i="13"/>
  <c r="L13" i="13"/>
  <c r="L25" i="13" s="1"/>
  <c r="K13" i="13"/>
  <c r="K25" i="13" s="1"/>
  <c r="J13" i="13"/>
  <c r="J25" i="13" s="1"/>
  <c r="I13" i="13"/>
  <c r="H13" i="13"/>
  <c r="G13" i="13"/>
  <c r="F13" i="13"/>
  <c r="E13" i="13"/>
  <c r="D13" i="13"/>
  <c r="C13" i="13"/>
  <c r="B13" i="13"/>
  <c r="B25" i="13" s="1"/>
  <c r="A22" i="13"/>
  <c r="A21" i="13"/>
  <c r="A20" i="13"/>
  <c r="A19" i="13"/>
  <c r="A18" i="13"/>
  <c r="A17" i="13"/>
  <c r="A16" i="13"/>
  <c r="A15" i="13"/>
  <c r="A14" i="13"/>
  <c r="A10" i="13"/>
  <c r="A9" i="13"/>
  <c r="A8" i="13"/>
  <c r="A7" i="13"/>
  <c r="A6" i="13"/>
  <c r="A5" i="13"/>
  <c r="A4" i="13"/>
  <c r="A3" i="13"/>
  <c r="A2" i="13"/>
  <c r="B42" i="13" a="1"/>
  <c r="B41" i="13" a="1"/>
  <c r="B39" i="13" a="1"/>
  <c r="B38" i="13" a="1"/>
  <c r="B37" i="13" a="1"/>
  <c r="O34" i="13" a="1"/>
  <c r="O33" i="13" a="1"/>
  <c r="O32" i="13" a="1"/>
  <c r="O30" i="13" a="1"/>
  <c r="O29" i="13" a="1"/>
  <c r="O28" i="13" a="1"/>
  <c r="O27" i="13" a="1"/>
  <c r="O31" i="13" a="1"/>
  <c r="O26" i="13" a="1"/>
  <c r="O35" i="13" a="1"/>
  <c r="O22" i="13" a="1"/>
  <c r="O21" i="13" a="1"/>
  <c r="O20" i="13" a="1"/>
  <c r="O18" i="13" a="1"/>
  <c r="O17" i="13" a="1"/>
  <c r="O16" i="13" a="1"/>
  <c r="O15" i="13" a="1"/>
  <c r="O14" i="13" a="1"/>
  <c r="O23" i="13" a="1"/>
  <c r="O19" i="13" a="1"/>
  <c r="O11" i="13" a="1"/>
  <c r="O2" i="13" a="1"/>
  <c r="O10" i="13" a="1"/>
  <c r="O9" i="13" a="1"/>
  <c r="O8" i="13" a="1"/>
  <c r="O7" i="13" a="1"/>
  <c r="O6" i="13" a="1"/>
  <c r="O5" i="13" a="1"/>
  <c r="O4" i="13" a="1"/>
  <c r="O3" i="13" a="1"/>
  <c r="B42" i="13" l="1"/>
  <c r="B41" i="13"/>
  <c r="B39" i="13"/>
  <c r="B38" i="13"/>
  <c r="B37" i="13"/>
  <c r="O35" i="13"/>
  <c r="O26" i="13"/>
  <c r="O31" i="13"/>
  <c r="O27" i="13"/>
  <c r="O28" i="13"/>
  <c r="O29" i="13"/>
  <c r="O30" i="13"/>
  <c r="O32" i="13"/>
  <c r="O33" i="13"/>
  <c r="O34" i="13"/>
  <c r="O19" i="13"/>
  <c r="O23" i="13"/>
  <c r="O14" i="13"/>
  <c r="O15" i="13"/>
  <c r="O16" i="13"/>
  <c r="O17" i="13"/>
  <c r="O18" i="13"/>
  <c r="O20" i="13"/>
  <c r="O21" i="13"/>
  <c r="O22" i="13"/>
  <c r="O11" i="13"/>
  <c r="O2" i="13"/>
  <c r="O10" i="13"/>
  <c r="O9" i="13"/>
  <c r="O8" i="13"/>
  <c r="O7" i="13"/>
  <c r="O6" i="13"/>
  <c r="O5" i="13"/>
  <c r="O4" i="13"/>
  <c r="O3" i="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<sst xmlns="http://schemas.openxmlformats.org/spreadsheetml/2006/main" count="197" uniqueCount="32">
  <si>
    <t>Site</t>
  </si>
  <si>
    <t>years</t>
  </si>
  <si>
    <t>locpar_LM</t>
  </si>
  <si>
    <t>sclpar_LM</t>
  </si>
  <si>
    <t>k_LM</t>
  </si>
  <si>
    <t>CV_LM</t>
  </si>
  <si>
    <t>1 pixel</t>
  </si>
  <si>
    <t>9 pixels</t>
  </si>
  <si>
    <t>25 pixels</t>
  </si>
  <si>
    <t>49 pixels</t>
  </si>
  <si>
    <t>81 pixels</t>
  </si>
  <si>
    <t>121 pixels</t>
  </si>
  <si>
    <t>169 pixels</t>
  </si>
  <si>
    <t>225 pixels</t>
  </si>
  <si>
    <t>289 pixels</t>
  </si>
  <si>
    <t>loc</t>
  </si>
  <si>
    <t>Dit document bevat de benodigde kansverdelingsparameters zoals door Aart Overeem geïntroduceerd om de gebiedsoppervlaktereductie te kunnen berekenen.</t>
  </si>
  <si>
    <t>Overeem heeft hiertoe een R-script aangeleverd. Echter is de wens vaak om zijn script ook in andere programmeertalen te kunnen implementeren. Vandaar hier de parameters in een meer generiek tabelformaat.</t>
  </si>
  <si>
    <t>disp</t>
  </si>
  <si>
    <t>kappa</t>
  </si>
  <si>
    <t>x_series</t>
  </si>
  <si>
    <t>A_series</t>
  </si>
  <si>
    <t>T_series_Langbein</t>
  </si>
  <si>
    <t>Aref</t>
  </si>
  <si>
    <t>duur</t>
  </si>
  <si>
    <t>Area</t>
  </si>
  <si>
    <t>k</t>
  </si>
  <si>
    <t>lijst_Duur</t>
  </si>
  <si>
    <t>lijst_Area</t>
  </si>
  <si>
    <t>lijst_loc</t>
  </si>
  <si>
    <t>lijst_disp</t>
  </si>
  <si>
    <t>lijst_kappa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</si>
</sst>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796BA-C34D-4830-A5D3-A7FE10B312EB}">
  <sheetPr codeName="Blad1"/>
  <dimension ref="B2:B3"/>
  <sheetViews>
    <sheetView workbookViewId="0">
      <selection activeCell="B4" sqref="B4"/>
    </sheetView>
  </sheetViews>
  <sheetFormatPr defaultRowHeight="14.4" x14ac:dyDescent="0.3"/>
  <sheetData>
    <row r="2" spans="2:2" x14ac:dyDescent="0.3">
      <c r="B2" t="s">
        <v>16</v>
      </c>
    </row>
    <row r="3" spans="2:2" x14ac:dyDescent="0.3">
      <c r="B3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DB4C6-1EA7-4485-AF4B-1B0FDD595954}">
  <sheetPr codeName="Blad2"/>
  <dimension ref="A1:O48"/>
  <sheetViews>
    <sheetView tabSelected="1" topLeftCell="A19" workbookViewId="0">
      <selection activeCell="K23" sqref="K23"/>
    </sheetView>
  </sheetViews>
  <sheetFormatPr defaultRowHeight="14.4" x14ac:dyDescent="0.3"/>
  <sheetData>
    <row r="1" spans="1:15" x14ac:dyDescent="0.3">
      <c r="A1" t="s">
        <v>15</v>
      </c>
      <c r="B1">
        <v>0.25</v>
      </c>
      <c r="C1">
        <v>0.5</v>
      </c>
      <c r="D1">
        <v>1</v>
      </c>
      <c r="E1">
        <v>2</v>
      </c>
      <c r="F1">
        <v>4</v>
      </c>
      <c r="G1">
        <v>8</v>
      </c>
      <c r="H1">
        <v>12</v>
      </c>
      <c r="I1">
        <v>24</v>
      </c>
      <c r="J1">
        <v>48</v>
      </c>
      <c r="K1">
        <v>96</v>
      </c>
      <c r="L1">
        <v>192</v>
      </c>
      <c r="M1">
        <v>216</v>
      </c>
      <c r="O1" t="str">
        <f>"Dim " &amp;A1 &amp;"(,) as Double = {"</f>
        <v>Dim loc(,) as Double = {</v>
      </c>
    </row>
    <row r="2" spans="1:15" x14ac:dyDescent="0.3">
      <c r="A2" t="str">
        <f>Tabel_GEV_area_15min.dat!A2</f>
        <v>1 pixel</v>
      </c>
      <c r="B2">
        <f>Tabel_GEV_area_15min.dat!$C2</f>
        <v>7.9960164125717501</v>
      </c>
      <c r="C2">
        <f>Tabel_GEV_area_30min.dat!$C2</f>
        <v>10.454655143857201</v>
      </c>
      <c r="D2">
        <f>Tabel_GEV_area_60min.dat!$C2</f>
        <v>13.218049837702999</v>
      </c>
      <c r="E2">
        <f>Tabel_GEV_area_120min.dat!$C2</f>
        <v>16.770494264298701</v>
      </c>
      <c r="F2">
        <f>Tabel_GEV_area_04H.dat!$C2</f>
        <v>20.592411046545699</v>
      </c>
      <c r="G2">
        <f>Tabel_GEV_area_08H.dat!$C2</f>
        <v>25.4984238527503</v>
      </c>
      <c r="H2">
        <f>Tabel_GEV_area_12H.dat!$C2</f>
        <v>28.575107251472101</v>
      </c>
      <c r="I2">
        <f>Tabel_GEV_area_24H.dat!$C2</f>
        <v>34.136582266700998</v>
      </c>
      <c r="J2">
        <f>Tabel_GEV_area_02D.dat!$C2</f>
        <v>41.9004197187678</v>
      </c>
      <c r="K2">
        <f>Tabel_GEV_area_04D.dat!$C2</f>
        <v>51.522661955007202</v>
      </c>
      <c r="L2">
        <f>Tabel_GEV_area_08D.dat!$C2</f>
        <v>70.187211934030501</v>
      </c>
      <c r="M2">
        <f>Tabel_GEV_area_09D.dat!$C2</f>
        <v>74.123915851667704</v>
      </c>
      <c r="O2" t="str" cm="1">
        <f t="array" ref="O2">"{" &amp; CONCATENATEWITHDELIMITER(B2:M2,",") &amp;"}"</f>
        <v>{7.996016,10.45466,13.21805,16.77049,20.59241,25.49842,28.57511,34.13658,41.90042,51.52266,70.18721,74.12392}</v>
      </c>
    </row>
    <row r="3" spans="1:15" x14ac:dyDescent="0.3">
      <c r="A3" t="str">
        <f>Tabel_GEV_area_15min.dat!A3</f>
        <v>9 pixels</v>
      </c>
      <c r="B3">
        <f>Tabel_GEV_area_15min.dat!$C3</f>
        <v>6.6173340911389396</v>
      </c>
      <c r="C3">
        <f>Tabel_GEV_area_30min.dat!$C3</f>
        <v>9.3302023601473305</v>
      </c>
      <c r="D3">
        <f>Tabel_GEV_area_60min.dat!$C3</f>
        <v>12.3188911160318</v>
      </c>
      <c r="E3">
        <f>Tabel_GEV_area_120min.dat!$C3</f>
        <v>16.036803779538701</v>
      </c>
      <c r="F3">
        <f>Tabel_GEV_area_04H.dat!$C3</f>
        <v>19.995094451789399</v>
      </c>
      <c r="G3">
        <f>Tabel_GEV_area_08H.dat!$C3</f>
        <v>24.9376842328987</v>
      </c>
      <c r="H3">
        <f>Tabel_GEV_area_12H.dat!$C3</f>
        <v>28.041486440680298</v>
      </c>
      <c r="I3">
        <f>Tabel_GEV_area_24H.dat!$C3</f>
        <v>33.599275433104403</v>
      </c>
      <c r="J3">
        <f>Tabel_GEV_area_02D.dat!$C3</f>
        <v>41.401140304283501</v>
      </c>
      <c r="K3">
        <f>Tabel_GEV_area_04D.dat!$C3</f>
        <v>51.070498777886201</v>
      </c>
      <c r="L3">
        <f>Tabel_GEV_area_08D.dat!$C3</f>
        <v>69.742029880399599</v>
      </c>
      <c r="M3">
        <f>Tabel_GEV_area_09D.dat!$C3</f>
        <v>73.732905068130904</v>
      </c>
      <c r="O3" t="str" cm="1">
        <f t="array" ref="O3">"{" &amp; CONCATENATEWITHDELIMITER(B3:M3,",") &amp;"}"</f>
        <v>{6.617334,9.330202,12.31889,16.0368,19.99509,24.93768,28.04149,33.59928,41.40114,51.0705,69.74203,73.73291}</v>
      </c>
    </row>
    <row r="4" spans="1:15" x14ac:dyDescent="0.3">
      <c r="A4" t="str">
        <f>Tabel_GEV_area_15min.dat!A4</f>
        <v>25 pixels</v>
      </c>
      <c r="B4">
        <f>Tabel_GEV_area_15min.dat!$C4</f>
        <v>5.5543506551719499</v>
      </c>
      <c r="C4">
        <f>Tabel_GEV_area_30min.dat!$C4</f>
        <v>8.3733217409595007</v>
      </c>
      <c r="D4">
        <f>Tabel_GEV_area_60min.dat!$C4</f>
        <v>11.5328027927596</v>
      </c>
      <c r="E4">
        <f>Tabel_GEV_area_120min.dat!$C4</f>
        <v>15.381186895456</v>
      </c>
      <c r="F4">
        <f>Tabel_GEV_area_04H.dat!$C4</f>
        <v>19.433331900896999</v>
      </c>
      <c r="G4">
        <f>Tabel_GEV_area_08H.dat!$C4</f>
        <v>24.439061276167301</v>
      </c>
      <c r="H4">
        <f>Tabel_GEV_area_12H.dat!$C4</f>
        <v>27.570183546930998</v>
      </c>
      <c r="I4">
        <f>Tabel_GEV_area_24H.dat!$C4</f>
        <v>33.076095770284702</v>
      </c>
      <c r="J4">
        <f>Tabel_GEV_area_02D.dat!$C4</f>
        <v>40.874760767040797</v>
      </c>
      <c r="K4">
        <f>Tabel_GEV_area_04D.dat!$C4</f>
        <v>50.566856896730499</v>
      </c>
      <c r="L4">
        <f>Tabel_GEV_area_08D.dat!$C4</f>
        <v>69.249361843731805</v>
      </c>
      <c r="M4">
        <f>Tabel_GEV_area_09D.dat!$C4</f>
        <v>73.258344162229804</v>
      </c>
      <c r="O4" t="str" cm="1">
        <f t="array" ref="O4">"{" &amp; CONCATENATEWITHDELIMITER(B4:M4,",") &amp;"}"</f>
        <v>{5.554351,8.373322,11.5328,15.38119,19.43333,24.43906,27.57018,33.0761,40.87476,50.56686,69.24936,73.25834}</v>
      </c>
    </row>
    <row r="5" spans="1:15" x14ac:dyDescent="0.3">
      <c r="A5" t="str">
        <f>Tabel_GEV_area_15min.dat!A5</f>
        <v>49 pixels</v>
      </c>
      <c r="B5">
        <f>Tabel_GEV_area_15min.dat!$C5</f>
        <v>4.7678576961319203</v>
      </c>
      <c r="C5">
        <f>Tabel_GEV_area_30min.dat!$C5</f>
        <v>7.6010246396561101</v>
      </c>
      <c r="D5">
        <f>Tabel_GEV_area_60min.dat!$C5</f>
        <v>10.8701551239488</v>
      </c>
      <c r="E5">
        <f>Tabel_GEV_area_120min.dat!$C5</f>
        <v>14.823703156773099</v>
      </c>
      <c r="F5">
        <f>Tabel_GEV_area_04H.dat!$C5</f>
        <v>18.937734948851102</v>
      </c>
      <c r="G5">
        <f>Tabel_GEV_area_08H.dat!$C5</f>
        <v>24.021778294964498</v>
      </c>
      <c r="H5">
        <f>Tabel_GEV_area_12H.dat!$C5</f>
        <v>27.154651600466401</v>
      </c>
      <c r="I5">
        <f>Tabel_GEV_area_24H.dat!$C5</f>
        <v>32.596088003719501</v>
      </c>
      <c r="J5">
        <f>Tabel_GEV_area_02D.dat!$C5</f>
        <v>40.361792024727301</v>
      </c>
      <c r="K5">
        <f>Tabel_GEV_area_04D.dat!$C5</f>
        <v>50.074362055797003</v>
      </c>
      <c r="L5">
        <f>Tabel_GEV_area_08D.dat!$C5</f>
        <v>68.7564890232306</v>
      </c>
      <c r="M5">
        <f>Tabel_GEV_area_09D.dat!$C5</f>
        <v>72.757050863469999</v>
      </c>
      <c r="O5" t="str" cm="1">
        <f t="array" ref="O5">"{" &amp; CONCATENATEWITHDELIMITER(B5:M5,",") &amp;"}"</f>
        <v>{4.767858,7.601025,10.87016,14.8237,18.93773,24.02178,27.15465,32.59609,40.36179,50.07436,68.75649,72.75705}</v>
      </c>
    </row>
    <row r="6" spans="1:15" x14ac:dyDescent="0.3">
      <c r="A6" t="str">
        <f>Tabel_GEV_area_15min.dat!A6</f>
        <v>81 pixels</v>
      </c>
      <c r="B6">
        <f>Tabel_GEV_area_15min.dat!$C6</f>
        <v>4.1659749199578497</v>
      </c>
      <c r="C6">
        <f>Tabel_GEV_area_30min.dat!$C6</f>
        <v>6.9585239865349404</v>
      </c>
      <c r="D6">
        <f>Tabel_GEV_area_60min.dat!$C6</f>
        <v>10.2973312132505</v>
      </c>
      <c r="E6">
        <f>Tabel_GEV_area_120min.dat!$C6</f>
        <v>14.345104963333799</v>
      </c>
      <c r="F6">
        <f>Tabel_GEV_area_04H.dat!$C6</f>
        <v>18.5066339713206</v>
      </c>
      <c r="G6">
        <f>Tabel_GEV_area_08H.dat!$C6</f>
        <v>23.639548992532202</v>
      </c>
      <c r="H6">
        <f>Tabel_GEV_area_12H.dat!$C6</f>
        <v>26.75410806539</v>
      </c>
      <c r="I6">
        <f>Tabel_GEV_area_24H.dat!$C6</f>
        <v>32.120962226083599</v>
      </c>
      <c r="J6">
        <f>Tabel_GEV_area_02D.dat!$C6</f>
        <v>39.891730662804299</v>
      </c>
      <c r="K6">
        <f>Tabel_GEV_area_04D.dat!$C6</f>
        <v>49.604660472702697</v>
      </c>
      <c r="L6">
        <f>Tabel_GEV_area_08D.dat!$C6</f>
        <v>68.261956179375204</v>
      </c>
      <c r="M6">
        <f>Tabel_GEV_area_09D.dat!$C6</f>
        <v>72.241017276770805</v>
      </c>
      <c r="O6" t="str" cm="1">
        <f t="array" ref="O6">"{" &amp; CONCATENATEWITHDELIMITER(B6:M6,",") &amp;"}"</f>
        <v>{4.165975,6.958524,10.29733,14.3451,18.50663,23.63955,26.75411,32.12096,39.89173,49.60466,68.26196,72.24102}</v>
      </c>
    </row>
    <row r="7" spans="1:15" x14ac:dyDescent="0.3">
      <c r="A7" t="str">
        <f>Tabel_GEV_area_15min.dat!A7</f>
        <v>121 pixels</v>
      </c>
      <c r="B7">
        <f>Tabel_GEV_area_15min.dat!$C7</f>
        <v>3.7014995093494201</v>
      </c>
      <c r="C7">
        <f>Tabel_GEV_area_30min.dat!$C7</f>
        <v>6.4039461161634001</v>
      </c>
      <c r="D7">
        <f>Tabel_GEV_area_60min.dat!$C7</f>
        <v>9.80095639203887</v>
      </c>
      <c r="E7">
        <f>Tabel_GEV_area_120min.dat!$C7</f>
        <v>13.9223073450949</v>
      </c>
      <c r="F7">
        <f>Tabel_GEV_area_04H.dat!$C7</f>
        <v>18.1030219173478</v>
      </c>
      <c r="G7">
        <f>Tabel_GEV_area_08H.dat!$C7</f>
        <v>23.272903257390301</v>
      </c>
      <c r="H7">
        <f>Tabel_GEV_area_12H.dat!$C7</f>
        <v>26.3717275851971</v>
      </c>
      <c r="I7">
        <f>Tabel_GEV_area_24H.dat!$C7</f>
        <v>31.671209684885</v>
      </c>
      <c r="J7">
        <f>Tabel_GEV_area_02D.dat!$C7</f>
        <v>39.448019959292601</v>
      </c>
      <c r="K7">
        <f>Tabel_GEV_area_04D.dat!$C7</f>
        <v>49.143374046170102</v>
      </c>
      <c r="L7">
        <f>Tabel_GEV_area_08D.dat!$C7</f>
        <v>67.718537541862503</v>
      </c>
      <c r="M7">
        <f>Tabel_GEV_area_09D.dat!$C7</f>
        <v>71.691345810989105</v>
      </c>
      <c r="O7" t="str" cm="1">
        <f t="array" ref="O7">"{" &amp; CONCATENATEWITHDELIMITER(B7:M7,",") &amp;"}"</f>
        <v>{3.7015,6.403946,9.800956,13.92231,18.10302,23.2729,26.37173,31.67121,39.44802,49.14337,67.71854,71.69135}</v>
      </c>
    </row>
    <row r="8" spans="1:15" x14ac:dyDescent="0.3">
      <c r="A8" t="str">
        <f>Tabel_GEV_area_15min.dat!A8</f>
        <v>169 pixels</v>
      </c>
      <c r="B8">
        <f>Tabel_GEV_area_15min.dat!$C8</f>
        <v>3.3405737394644199</v>
      </c>
      <c r="C8">
        <f>Tabel_GEV_area_30min.dat!$C8</f>
        <v>5.91926666648388</v>
      </c>
      <c r="D8">
        <f>Tabel_GEV_area_60min.dat!$C8</f>
        <v>9.3472001762435504</v>
      </c>
      <c r="E8">
        <f>Tabel_GEV_area_120min.dat!$C8</f>
        <v>13.539268902388001</v>
      </c>
      <c r="F8">
        <f>Tabel_GEV_area_04H.dat!$C8</f>
        <v>17.738765450445001</v>
      </c>
      <c r="G8">
        <f>Tabel_GEV_area_08H.dat!$C8</f>
        <v>22.9312157399957</v>
      </c>
      <c r="H8">
        <f>Tabel_GEV_area_12H.dat!$C8</f>
        <v>26.024414311460699</v>
      </c>
      <c r="I8">
        <f>Tabel_GEV_area_24H.dat!$C8</f>
        <v>31.2787050596421</v>
      </c>
      <c r="J8">
        <f>Tabel_GEV_area_02D.dat!$C8</f>
        <v>39.067810192605897</v>
      </c>
      <c r="K8">
        <f>Tabel_GEV_area_04D.dat!$C8</f>
        <v>48.7405579514312</v>
      </c>
      <c r="L8">
        <f>Tabel_GEV_area_08D.dat!$C8</f>
        <v>67.217164238321004</v>
      </c>
      <c r="M8">
        <f>Tabel_GEV_area_09D.dat!$C8</f>
        <v>71.193331679965496</v>
      </c>
      <c r="O8" t="str" cm="1">
        <f t="array" ref="O8">"{" &amp; CONCATENATEWITHDELIMITER(B8:M8,",") &amp;"}"</f>
        <v>{3.340574,5.919267,9.3472,13.53927,17.73877,22.93122,26.02441,31.27871,39.06781,48.74056,67.21716,71.19333}</v>
      </c>
    </row>
    <row r="9" spans="1:15" x14ac:dyDescent="0.3">
      <c r="A9" t="str">
        <f>Tabel_GEV_area_15min.dat!A9</f>
        <v>225 pixels</v>
      </c>
      <c r="B9">
        <f>Tabel_GEV_area_15min.dat!$C9</f>
        <v>3.0569848478812398</v>
      </c>
      <c r="C9">
        <f>Tabel_GEV_area_30min.dat!$C9</f>
        <v>5.5048261911955798</v>
      </c>
      <c r="D9">
        <f>Tabel_GEV_area_60min.dat!$C9</f>
        <v>8.9420282916707095</v>
      </c>
      <c r="E9">
        <f>Tabel_GEV_area_120min.dat!$C9</f>
        <v>13.193250502101799</v>
      </c>
      <c r="F9">
        <f>Tabel_GEV_area_04H.dat!$C9</f>
        <v>17.435402053428799</v>
      </c>
      <c r="G9">
        <f>Tabel_GEV_area_08H.dat!$C9</f>
        <v>22.626283704388602</v>
      </c>
      <c r="H9">
        <f>Tabel_GEV_area_12H.dat!$C9</f>
        <v>25.7333904730299</v>
      </c>
      <c r="I9">
        <f>Tabel_GEV_area_24H.dat!$C9</f>
        <v>30.969570958487999</v>
      </c>
      <c r="J9">
        <f>Tabel_GEV_area_02D.dat!$C9</f>
        <v>38.777312303821702</v>
      </c>
      <c r="K9">
        <f>Tabel_GEV_area_04D.dat!$C9</f>
        <v>48.4306594877267</v>
      </c>
      <c r="L9">
        <f>Tabel_GEV_area_08D.dat!$C9</f>
        <v>66.867955404320497</v>
      </c>
      <c r="M9">
        <f>Tabel_GEV_area_09D.dat!$C9</f>
        <v>70.844852979626594</v>
      </c>
      <c r="O9" t="str" cm="1">
        <f t="array" ref="O9">"{" &amp; CONCATENATEWITHDELIMITER(B9:M9,",") &amp;"}"</f>
        <v>{3.056985,5.504826,8.942028,13.19325,17.4354,22.62628,25.73339,30.96957,38.77731,48.43066,66.86796,70.84485}</v>
      </c>
    </row>
    <row r="10" spans="1:15" x14ac:dyDescent="0.3">
      <c r="A10" t="str">
        <f>Tabel_GEV_area_15min.dat!A10</f>
        <v>289 pixels</v>
      </c>
      <c r="B10">
        <f>Tabel_GEV_area_15min.dat!$C10</f>
        <v>2.82968125249177</v>
      </c>
      <c r="C10">
        <f>Tabel_GEV_area_30min.dat!$C10</f>
        <v>5.1518121779264696</v>
      </c>
      <c r="D10">
        <f>Tabel_GEV_area_60min.dat!$C10</f>
        <v>8.5700267375488401</v>
      </c>
      <c r="E10">
        <f>Tabel_GEV_area_120min.dat!$C10</f>
        <v>12.870599632278299</v>
      </c>
      <c r="F10">
        <f>Tabel_GEV_area_04H.dat!$C10</f>
        <v>17.162161147694501</v>
      </c>
      <c r="G10">
        <f>Tabel_GEV_area_08H.dat!$C10</f>
        <v>22.340724983760399</v>
      </c>
      <c r="H10">
        <f>Tabel_GEV_area_12H.dat!$C10</f>
        <v>25.469144492210798</v>
      </c>
      <c r="I10">
        <f>Tabel_GEV_area_24H.dat!$C10</f>
        <v>30.696169180035</v>
      </c>
      <c r="J10">
        <f>Tabel_GEV_area_02D.dat!$C10</f>
        <v>38.5264397374482</v>
      </c>
      <c r="K10">
        <f>Tabel_GEV_area_04D.dat!$C10</f>
        <v>48.141460564565001</v>
      </c>
      <c r="L10">
        <f>Tabel_GEV_area_08D.dat!$C10</f>
        <v>66.575367477218805</v>
      </c>
      <c r="M10">
        <f>Tabel_GEV_area_09D.dat!$C10</f>
        <v>70.556521741899402</v>
      </c>
      <c r="O10" t="str" cm="1">
        <f t="array" ref="O10">"{" &amp; CONCATENATEWITHDELIMITER(B10:M10,",") &amp;"}"</f>
        <v>{2.829681,5.151812,8.570027,12.8706,17.16216,22.34072,25.46914,30.69617,38.52644,48.14146,66.57537,70.55652}</v>
      </c>
    </row>
    <row r="11" spans="1:15" x14ac:dyDescent="0.3">
      <c r="O11" t="str" cm="1">
        <f t="array" ref="O11">O1 &amp;CONCATENATEWITHDELIMITER(O2:O10,",") &amp;"}"</f>
        <v>Dim loc(,) as Double = {{7.996016,10.45466,13.21805,16.77049,20.59241,25.49842,28.57511,34.13658,41.90042,51.52266,70.18721,74.12392},{6.617334,9.330202,12.31889,16.0368,19.99509,24.93768,28.04149,33.59928,41.40114,51.0705,69.74203,73.73291},{5.554351,8.373322,11.5328,15.38119,19.43333,24.43906,27.57018,33.0761,40.87476,50.56686,69.24936,73.25834},{4.767858,7.601025,10.87016,14.8237,18.93773,24.02178,27.15465,32.59609,40.36179,50.07436,68.75649,72.75705},{4.165975,6.958524,10.29733,14.3451,18.50663,23.63955,26.75411,32.12096,39.89173,49.60466,68.26196,72.24102},{3.7015,6.403946,9.800956,13.92231,18.10302,23.2729,26.37173,31.67121,39.44802,49.14337,67.71854,71.69135},{3.340574,5.919267,9.3472,13.53927,17.73877,22.93122,26.02441,31.27871,39.06781,48.74056,67.21716,71.19333},{3.056985,5.504826,8.942028,13.19325,17.4354,22.62628,25.73339,30.96957,38.77731,48.43066,66.86796,70.84485},{2.829681,5.151812,8.570027,12.8706,17.16216,22.34072,25.46914,30.69617,38.52644,48.14146,66.57537,70.55652}}</v>
      </c>
    </row>
    <row r="13" spans="1:15" x14ac:dyDescent="0.3">
      <c r="A13" t="s">
        <v>18</v>
      </c>
      <c r="B13">
        <f>B1</f>
        <v>0.25</v>
      </c>
      <c r="C13">
        <f t="shared" ref="C13:M13" si="0">C1</f>
        <v>0.5</v>
      </c>
      <c r="D13">
        <f t="shared" si="0"/>
        <v>1</v>
      </c>
      <c r="E13">
        <f t="shared" si="0"/>
        <v>2</v>
      </c>
      <c r="F13">
        <f t="shared" si="0"/>
        <v>4</v>
      </c>
      <c r="G13">
        <f t="shared" si="0"/>
        <v>8</v>
      </c>
      <c r="H13">
        <f t="shared" si="0"/>
        <v>12</v>
      </c>
      <c r="I13">
        <f t="shared" si="0"/>
        <v>24</v>
      </c>
      <c r="J13">
        <f t="shared" si="0"/>
        <v>48</v>
      </c>
      <c r="K13">
        <f t="shared" si="0"/>
        <v>96</v>
      </c>
      <c r="L13">
        <f t="shared" si="0"/>
        <v>192</v>
      </c>
      <c r="M13">
        <f t="shared" si="0"/>
        <v>216</v>
      </c>
      <c r="O13" t="str">
        <f>"Dim " &amp;A13 &amp;"(,) as Double = {"</f>
        <v>Dim disp(,) as Double = {</v>
      </c>
    </row>
    <row r="14" spans="1:15" x14ac:dyDescent="0.3">
      <c r="A14" t="str">
        <f>Tabel_GEV_area_15min.dat!A2</f>
        <v>1 pixel</v>
      </c>
      <c r="B14">
        <f>Tabel_GEV_area_15min.dat!$F2</f>
        <v>0.34545960998435599</v>
      </c>
      <c r="C14">
        <f>Tabel_GEV_area_30min.dat!$F2</f>
        <v>0.33823739910343098</v>
      </c>
      <c r="D14">
        <f>Tabel_GEV_area_60min.dat!$F2</f>
        <v>0.31652762304714699</v>
      </c>
      <c r="E14">
        <f>Tabel_GEV_area_120min.dat!$F2</f>
        <v>0.292683856304298</v>
      </c>
      <c r="F14">
        <f>Tabel_GEV_area_04H.dat!$F2</f>
        <v>0.27359189080879598</v>
      </c>
      <c r="G14">
        <f>Tabel_GEV_area_08H.dat!$F2</f>
        <v>0.26033536998068202</v>
      </c>
      <c r="H14">
        <f>Tabel_GEV_area_12H.dat!$F2</f>
        <v>0.25651565179341301</v>
      </c>
      <c r="I14">
        <f>Tabel_GEV_area_24H.dat!$F2</f>
        <v>0.24870470127090399</v>
      </c>
      <c r="J14">
        <f>Tabel_GEV_area_02D.dat!$F2</f>
        <v>0.23969595497516399</v>
      </c>
      <c r="K14">
        <f>Tabel_GEV_area_04D.dat!$F2</f>
        <v>0.24107274157414399</v>
      </c>
      <c r="L14">
        <f>Tabel_GEV_area_08D.dat!$F2</f>
        <v>0.21963377334701401</v>
      </c>
      <c r="M14">
        <f>Tabel_GEV_area_09D.dat!$F2</f>
        <v>0.217471054440495</v>
      </c>
      <c r="O14" t="str" cm="1">
        <f t="array" ref="O14">"{" &amp; CONCATENATEWITHDELIMITER(B14:M14,",") &amp;"}"</f>
        <v>{0.34546,0.338237,0.316528,0.292684,0.273592,0.260335,0.256516,0.248705,0.239696,0.241073,0.219634,0.217471}</v>
      </c>
    </row>
    <row r="15" spans="1:15" x14ac:dyDescent="0.3">
      <c r="A15" t="str">
        <f>Tabel_GEV_area_15min.dat!A3</f>
        <v>9 pixels</v>
      </c>
      <c r="B15">
        <f>Tabel_GEV_area_15min.dat!$F3</f>
        <v>0.329455055940785</v>
      </c>
      <c r="C15">
        <f>Tabel_GEV_area_30min.dat!$F3</f>
        <v>0.31941764477972701</v>
      </c>
      <c r="D15">
        <f>Tabel_GEV_area_60min.dat!$F3</f>
        <v>0.29860777506074598</v>
      </c>
      <c r="E15">
        <f>Tabel_GEV_area_120min.dat!$F3</f>
        <v>0.279128461179457</v>
      </c>
      <c r="F15">
        <f>Tabel_GEV_area_04H.dat!$F3</f>
        <v>0.26385014659772899</v>
      </c>
      <c r="G15">
        <f>Tabel_GEV_area_08H.dat!$F3</f>
        <v>0.25069572229811699</v>
      </c>
      <c r="H15">
        <f>Tabel_GEV_area_12H.dat!$F3</f>
        <v>0.24690823760194</v>
      </c>
      <c r="I15">
        <f>Tabel_GEV_area_24H.dat!$F3</f>
        <v>0.24141837750072201</v>
      </c>
      <c r="J15">
        <f>Tabel_GEV_area_02D.dat!$F3</f>
        <v>0.234040373403165</v>
      </c>
      <c r="K15">
        <f>Tabel_GEV_area_04D.dat!$F3</f>
        <v>0.23698220515842999</v>
      </c>
      <c r="L15">
        <f>Tabel_GEV_area_08D.dat!$F3</f>
        <v>0.215274541730967</v>
      </c>
      <c r="M15">
        <f>Tabel_GEV_area_09D.dat!$F3</f>
        <v>0.213011187817643</v>
      </c>
      <c r="O15" t="str" cm="1">
        <f t="array" ref="O15">"{" &amp; CONCATENATEWITHDELIMITER(B15:M15,",") &amp;"}"</f>
        <v>{0.329455,0.319418,0.298608,0.279128,0.26385,0.250696,0.246908,0.241418,0.23404,0.236982,0.215275,0.213011}</v>
      </c>
    </row>
    <row r="16" spans="1:15" x14ac:dyDescent="0.3">
      <c r="A16" t="str">
        <f>Tabel_GEV_area_15min.dat!A4</f>
        <v>25 pixels</v>
      </c>
      <c r="B16">
        <f>Tabel_GEV_area_15min.dat!$F4</f>
        <v>0.32155824120367199</v>
      </c>
      <c r="C16">
        <f>Tabel_GEV_area_30min.dat!$F4</f>
        <v>0.30620095155657601</v>
      </c>
      <c r="D16">
        <f>Tabel_GEV_area_60min.dat!$F4</f>
        <v>0.28324654124054999</v>
      </c>
      <c r="E16">
        <f>Tabel_GEV_area_120min.dat!$F4</f>
        <v>0.26930197160866298</v>
      </c>
      <c r="F16">
        <f>Tabel_GEV_area_04H.dat!$F4</f>
        <v>0.25658393622128201</v>
      </c>
      <c r="G16">
        <f>Tabel_GEV_area_08H.dat!$F4</f>
        <v>0.24329344671480499</v>
      </c>
      <c r="H16">
        <f>Tabel_GEV_area_12H.dat!$F4</f>
        <v>0.239318041950248</v>
      </c>
      <c r="I16">
        <f>Tabel_GEV_area_24H.dat!$F4</f>
        <v>0.235156568753082</v>
      </c>
      <c r="J16">
        <f>Tabel_GEV_area_02D.dat!$F4</f>
        <v>0.228243072166741</v>
      </c>
      <c r="K16">
        <f>Tabel_GEV_area_04D.dat!$F4</f>
        <v>0.23294338904120701</v>
      </c>
      <c r="L16">
        <f>Tabel_GEV_area_08D.dat!$F4</f>
        <v>0.21130668487205601</v>
      </c>
      <c r="M16">
        <f>Tabel_GEV_area_09D.dat!$F4</f>
        <v>0.20939975778067299</v>
      </c>
      <c r="O16" t="str" cm="1">
        <f t="array" ref="O16">"{" &amp; CONCATENATEWITHDELIMITER(B16:M16,",") &amp;"}"</f>
        <v>{0.321558,0.306201,0.283247,0.269302,0.256584,0.243293,0.239318,0.235157,0.228243,0.232943,0.211307,0.2094}</v>
      </c>
    </row>
    <row r="17" spans="1:15" x14ac:dyDescent="0.3">
      <c r="A17" t="str">
        <f>Tabel_GEV_area_15min.dat!A5</f>
        <v>49 pixels</v>
      </c>
      <c r="B17">
        <f>Tabel_GEV_area_15min.dat!$F5</f>
        <v>0.31166179567326102</v>
      </c>
      <c r="C17">
        <f>Tabel_GEV_area_30min.dat!$F5</f>
        <v>0.29599817566037101</v>
      </c>
      <c r="D17">
        <f>Tabel_GEV_area_60min.dat!$F5</f>
        <v>0.270597117385042</v>
      </c>
      <c r="E17">
        <f>Tabel_GEV_area_120min.dat!$F5</f>
        <v>0.26129582129699203</v>
      </c>
      <c r="F17">
        <f>Tabel_GEV_area_04H.dat!$F5</f>
        <v>0.25111395661816399</v>
      </c>
      <c r="G17">
        <f>Tabel_GEV_area_08H.dat!$F5</f>
        <v>0.23746667565684401</v>
      </c>
      <c r="H17">
        <f>Tabel_GEV_area_12H.dat!$F5</f>
        <v>0.23326292597876799</v>
      </c>
      <c r="I17">
        <f>Tabel_GEV_area_24H.dat!$F5</f>
        <v>0.22980174168233999</v>
      </c>
      <c r="J17">
        <f>Tabel_GEV_area_02D.dat!$F5</f>
        <v>0.22280855924114901</v>
      </c>
      <c r="K17">
        <f>Tabel_GEV_area_04D.dat!$F5</f>
        <v>0.22915303796985001</v>
      </c>
      <c r="L17">
        <f>Tabel_GEV_area_08D.dat!$F5</f>
        <v>0.20696436176474201</v>
      </c>
      <c r="M17">
        <f>Tabel_GEV_area_09D.dat!$F5</f>
        <v>0.205572442355971</v>
      </c>
      <c r="O17" t="str" cm="1">
        <f t="array" ref="O17">"{" &amp; CONCATENATEWITHDELIMITER(B17:M17,",") &amp;"}"</f>
        <v>{0.311662,0.295998,0.270597,0.261296,0.251114,0.237467,0.233263,0.229802,0.222809,0.229153,0.206964,0.205572}</v>
      </c>
    </row>
    <row r="18" spans="1:15" x14ac:dyDescent="0.3">
      <c r="A18" t="str">
        <f>Tabel_GEV_area_15min.dat!A6</f>
        <v>81 pixels</v>
      </c>
      <c r="B18">
        <f>Tabel_GEV_area_15min.dat!$F6</f>
        <v>0.299561270948559</v>
      </c>
      <c r="C18">
        <f>Tabel_GEV_area_30min.dat!$F6</f>
        <v>0.284698000407061</v>
      </c>
      <c r="D18">
        <f>Tabel_GEV_area_60min.dat!$F6</f>
        <v>0.25957139703030202</v>
      </c>
      <c r="E18">
        <f>Tabel_GEV_area_120min.dat!$F6</f>
        <v>0.25451026764186202</v>
      </c>
      <c r="F18">
        <f>Tabel_GEV_area_04H.dat!$F6</f>
        <v>0.24633282513725399</v>
      </c>
      <c r="G18">
        <f>Tabel_GEV_area_08H.dat!$F6</f>
        <v>0.230953259016275</v>
      </c>
      <c r="H18">
        <f>Tabel_GEV_area_12H.dat!$F6</f>
        <v>0.22690852141495299</v>
      </c>
      <c r="I18">
        <f>Tabel_GEV_area_24H.dat!$F6</f>
        <v>0.22512573836546099</v>
      </c>
      <c r="J18">
        <f>Tabel_GEV_area_02D.dat!$F6</f>
        <v>0.21895953396652301</v>
      </c>
      <c r="K18">
        <f>Tabel_GEV_area_04D.dat!$F6</f>
        <v>0.22640790129073399</v>
      </c>
      <c r="L18">
        <f>Tabel_GEV_area_08D.dat!$F6</f>
        <v>0.202634834409498</v>
      </c>
      <c r="M18">
        <f>Tabel_GEV_area_09D.dat!$F6</f>
        <v>0.201738982863439</v>
      </c>
      <c r="O18" t="str" cm="1">
        <f t="array" ref="O18">"{" &amp; CONCATENATEWITHDELIMITER(B18:M18,",") &amp;"}"</f>
        <v>{0.299561,0.284698,0.259571,0.25451,0.246333,0.230953,0.226909,0.225126,0.21896,0.226408,0.202635,0.201739}</v>
      </c>
    </row>
    <row r="19" spans="1:15" x14ac:dyDescent="0.3">
      <c r="A19" t="str">
        <f>Tabel_GEV_area_15min.dat!A7</f>
        <v>121 pixels</v>
      </c>
      <c r="B19">
        <f>Tabel_GEV_area_15min.dat!$F7</f>
        <v>0.28824028765812798</v>
      </c>
      <c r="C19">
        <f>Tabel_GEV_area_30min.dat!$F7</f>
        <v>0.27383902439302599</v>
      </c>
      <c r="D19">
        <f>Tabel_GEV_area_60min.dat!$F7</f>
        <v>0.24903993401083799</v>
      </c>
      <c r="E19">
        <f>Tabel_GEV_area_120min.dat!$F7</f>
        <v>0.24811044655537801</v>
      </c>
      <c r="F19">
        <f>Tabel_GEV_area_04H.dat!$F7</f>
        <v>0.24167725352804501</v>
      </c>
      <c r="G19">
        <f>Tabel_GEV_area_08H.dat!$F7</f>
        <v>0.22501727991595399</v>
      </c>
      <c r="H19">
        <f>Tabel_GEV_area_12H.dat!$F7</f>
        <v>0.221013668747786</v>
      </c>
      <c r="I19">
        <f>Tabel_GEV_area_24H.dat!$F7</f>
        <v>0.222185305956247</v>
      </c>
      <c r="J19">
        <f>Tabel_GEV_area_02D.dat!$F7</f>
        <v>0.215601551791201</v>
      </c>
      <c r="K19">
        <f>Tabel_GEV_area_04D.dat!$F7</f>
        <v>0.22429269580122599</v>
      </c>
      <c r="L19">
        <f>Tabel_GEV_area_08D.dat!$F7</f>
        <v>0.19809865223183901</v>
      </c>
      <c r="M19">
        <f>Tabel_GEV_area_09D.dat!$F7</f>
        <v>0.19756229310660101</v>
      </c>
      <c r="O19" t="str" cm="1">
        <f t="array" ref="O19">"{" &amp; CONCATENATEWITHDELIMITER(B19:M19,",") &amp;"}"</f>
        <v>{0.28824,0.273839,0.24904,0.24811,0.241677,0.225017,0.221014,0.222185,0.215602,0.224293,0.198099,0.197562}</v>
      </c>
    </row>
    <row r="20" spans="1:15" x14ac:dyDescent="0.3">
      <c r="A20" t="str">
        <f>Tabel_GEV_area_15min.dat!A8</f>
        <v>169 pixels</v>
      </c>
      <c r="B20">
        <f>Tabel_GEV_area_15min.dat!$F8</f>
        <v>0.27942185289408</v>
      </c>
      <c r="C20">
        <f>Tabel_GEV_area_30min.dat!$F8</f>
        <v>0.26551164513422598</v>
      </c>
      <c r="D20">
        <f>Tabel_GEV_area_60min.dat!$F8</f>
        <v>0.23988991073932101</v>
      </c>
      <c r="E20">
        <f>Tabel_GEV_area_120min.dat!$F8</f>
        <v>0.241396480378367</v>
      </c>
      <c r="F20">
        <f>Tabel_GEV_area_04H.dat!$F8</f>
        <v>0.23713104422339201</v>
      </c>
      <c r="G20">
        <f>Tabel_GEV_area_08H.dat!$F8</f>
        <v>0.21905488333907699</v>
      </c>
      <c r="H20">
        <f>Tabel_GEV_area_12H.dat!$F8</f>
        <v>0.216173204247784</v>
      </c>
      <c r="I20">
        <f>Tabel_GEV_area_24H.dat!$F8</f>
        <v>0.22041794836497999</v>
      </c>
      <c r="J20">
        <f>Tabel_GEV_area_02D.dat!$F8</f>
        <v>0.212475214580748</v>
      </c>
      <c r="K20">
        <f>Tabel_GEV_area_04D.dat!$F8</f>
        <v>0.22237190051973599</v>
      </c>
      <c r="L20">
        <f>Tabel_GEV_area_08D.dat!$F8</f>
        <v>0.19376847035155501</v>
      </c>
      <c r="M20">
        <f>Tabel_GEV_area_09D.dat!$F8</f>
        <v>0.19340935405128801</v>
      </c>
      <c r="O20" t="str" cm="1">
        <f t="array" ref="O20">"{" &amp; CONCATENATEWITHDELIMITER(B20:M20,",") &amp;"}"</f>
        <v>{0.279422,0.265512,0.23989,0.241396,0.237131,0.219055,0.216173,0.220418,0.212475,0.222372,0.193768,0.193409}</v>
      </c>
    </row>
    <row r="21" spans="1:15" x14ac:dyDescent="0.3">
      <c r="A21" t="str">
        <f>Tabel_GEV_area_15min.dat!A9</f>
        <v>225 pixels</v>
      </c>
      <c r="B21">
        <f>Tabel_GEV_area_15min.dat!$F9</f>
        <v>0.27346937519928999</v>
      </c>
      <c r="C21">
        <f>Tabel_GEV_area_30min.dat!$F9</f>
        <v>0.25972523961570299</v>
      </c>
      <c r="D21">
        <f>Tabel_GEV_area_60min.dat!$F9</f>
        <v>0.23361346452572199</v>
      </c>
      <c r="E21">
        <f>Tabel_GEV_area_120min.dat!$F9</f>
        <v>0.23509301743371799</v>
      </c>
      <c r="F21">
        <f>Tabel_GEV_area_04H.dat!$F9</f>
        <v>0.232891079197069</v>
      </c>
      <c r="G21">
        <f>Tabel_GEV_area_08H.dat!$F9</f>
        <v>0.214354127220826</v>
      </c>
      <c r="H21">
        <f>Tabel_GEV_area_12H.dat!$F9</f>
        <v>0.21283150669078299</v>
      </c>
      <c r="I21">
        <f>Tabel_GEV_area_24H.dat!$F9</f>
        <v>0.21945454742725501</v>
      </c>
      <c r="J21">
        <f>Tabel_GEV_area_02D.dat!$F9</f>
        <v>0.209859439184168</v>
      </c>
      <c r="K21">
        <f>Tabel_GEV_area_04D.dat!$F9</f>
        <v>0.22013349033308699</v>
      </c>
      <c r="L21">
        <f>Tabel_GEV_area_08D.dat!$F9</f>
        <v>0.18987284456654999</v>
      </c>
      <c r="M21">
        <f>Tabel_GEV_area_09D.dat!$F9</f>
        <v>0.190005552014752</v>
      </c>
      <c r="O21" t="str" cm="1">
        <f t="array" ref="O21">"{" &amp; CONCATENATEWITHDELIMITER(B21:M21,",") &amp;"}"</f>
        <v>{0.273469,0.259725,0.233613,0.235093,0.232891,0.214354,0.212832,0.219455,0.209859,0.220133,0.189873,0.190006}</v>
      </c>
    </row>
    <row r="22" spans="1:15" x14ac:dyDescent="0.3">
      <c r="A22" t="str">
        <f>Tabel_GEV_area_15min.dat!A10</f>
        <v>289 pixels</v>
      </c>
      <c r="B22">
        <f>Tabel_GEV_area_15min.dat!$F10</f>
        <v>0.26893456758940998</v>
      </c>
      <c r="C22">
        <f>Tabel_GEV_area_30min.dat!$F10</f>
        <v>0.25530887387054002</v>
      </c>
      <c r="D22">
        <f>Tabel_GEV_area_60min.dat!$F10</f>
        <v>0.229662731254204</v>
      </c>
      <c r="E22">
        <f>Tabel_GEV_area_120min.dat!$F10</f>
        <v>0.22858172317787101</v>
      </c>
      <c r="F22">
        <f>Tabel_GEV_area_04H.dat!$F10</f>
        <v>0.22751719151320099</v>
      </c>
      <c r="G22">
        <f>Tabel_GEV_area_08H.dat!$F10</f>
        <v>0.20952080474228499</v>
      </c>
      <c r="H22">
        <f>Tabel_GEV_area_12H.dat!$F10</f>
        <v>0.20985431458071099</v>
      </c>
      <c r="I22">
        <f>Tabel_GEV_area_24H.dat!$F10</f>
        <v>0.21882483597019101</v>
      </c>
      <c r="J22">
        <f>Tabel_GEV_area_02D.dat!$F10</f>
        <v>0.20700692505344201</v>
      </c>
      <c r="K22">
        <f>Tabel_GEV_area_04D.dat!$F10</f>
        <v>0.216793034816539</v>
      </c>
      <c r="L22">
        <f>Tabel_GEV_area_08D.dat!$F10</f>
        <v>0.185722674645976</v>
      </c>
      <c r="M22">
        <f>Tabel_GEV_area_09D.dat!$F10</f>
        <v>0.18693491473587401</v>
      </c>
      <c r="O22" t="str" cm="1">
        <f t="array" ref="O22">"{" &amp; CONCATENATEWITHDELIMITER(B22:M22,",") &amp;"}"</f>
        <v>{0.268935,0.255309,0.229663,0.228582,0.227517,0.209521,0.209854,0.218825,0.207007,0.216793,0.185723,0.186935}</v>
      </c>
    </row>
    <row r="23" spans="1:15" x14ac:dyDescent="0.3">
      <c r="O23" t="str" cm="1">
        <f t="array" ref="O23">O13 &amp;CONCATENATEWITHDELIMITER(O14:O22,",") &amp;"}"</f>
        <v>Dim disp(,) as Double = {{0.34546,0.338237,0.316528,0.292684,0.273592,0.260335,0.256516,0.248705,0.239696,0.241073,0.219634,0.217471},{0.329455,0.319418,0.298608,0.279128,0.26385,0.250696,0.246908,0.241418,0.23404,0.236982,0.215275,0.213011},{0.321558,0.306201,0.283247,0.269302,0.256584,0.243293,0.239318,0.235157,0.228243,0.232943,0.211307,0.2094},{0.311662,0.295998,0.270597,0.261296,0.251114,0.237467,0.233263,0.229802,0.222809,0.229153,0.206964,0.205572},{0.299561,0.284698,0.259571,0.25451,0.246333,0.230953,0.226909,0.225126,0.21896,0.226408,0.202635,0.201739},{0.28824,0.273839,0.24904,0.24811,0.241677,0.225017,0.221014,0.222185,0.215602,0.224293,0.198099,0.197562},{0.279422,0.265512,0.23989,0.241396,0.237131,0.219055,0.216173,0.220418,0.212475,0.222372,0.193768,0.193409},{0.273469,0.259725,0.233613,0.235093,0.232891,0.214354,0.212832,0.219455,0.209859,0.220133,0.189873,0.190006},{0.268935,0.255309,0.229663,0.228582,0.227517,0.209521,0.209854,0.218825,0.207007,0.216793,0.185723,0.186935}}</v>
      </c>
    </row>
    <row r="25" spans="1:15" x14ac:dyDescent="0.3">
      <c r="A25" t="s">
        <v>19</v>
      </c>
      <c r="B25">
        <f>B13</f>
        <v>0.25</v>
      </c>
      <c r="C25">
        <f t="shared" ref="C25:M25" si="1">C13</f>
        <v>0.5</v>
      </c>
      <c r="D25">
        <f t="shared" si="1"/>
        <v>1</v>
      </c>
      <c r="E25">
        <f t="shared" si="1"/>
        <v>2</v>
      </c>
      <c r="F25">
        <f t="shared" si="1"/>
        <v>4</v>
      </c>
      <c r="G25">
        <f t="shared" si="1"/>
        <v>8</v>
      </c>
      <c r="H25">
        <f t="shared" si="1"/>
        <v>12</v>
      </c>
      <c r="I25">
        <f t="shared" si="1"/>
        <v>24</v>
      </c>
      <c r="J25">
        <f t="shared" si="1"/>
        <v>48</v>
      </c>
      <c r="K25">
        <f t="shared" si="1"/>
        <v>96</v>
      </c>
      <c r="L25">
        <f t="shared" si="1"/>
        <v>192</v>
      </c>
      <c r="M25">
        <f t="shared" si="1"/>
        <v>216</v>
      </c>
      <c r="O25" t="str">
        <f>"Dim " &amp;A25 &amp;"(,) as Double = {"</f>
        <v>Dim kappa(,) as Double = {</v>
      </c>
    </row>
    <row r="26" spans="1:15" x14ac:dyDescent="0.3">
      <c r="A26" t="str">
        <f>Tabel_GEV_area_15min.dat!A2</f>
        <v>1 pixel</v>
      </c>
      <c r="B26">
        <f>Tabel_GEV_area_15min.dat!$E2</f>
        <v>-9.90140162497294E-2</v>
      </c>
      <c r="C26">
        <f>Tabel_GEV_area_30min.dat!$E2</f>
        <v>-0.133557989496117</v>
      </c>
      <c r="D26">
        <f>Tabel_GEV_area_60min.dat!$E2</f>
        <v>-0.16968667491971801</v>
      </c>
      <c r="E26">
        <f>Tabel_GEV_area_120min.dat!$E2</f>
        <v>-0.176262468754872</v>
      </c>
      <c r="F26">
        <f>Tabel_GEV_area_04H.dat!$E2</f>
        <v>-0.17533844006220101</v>
      </c>
      <c r="G26">
        <f>Tabel_GEV_area_08H.dat!$E2</f>
        <v>-0.18817748828570899</v>
      </c>
      <c r="H26">
        <f>Tabel_GEV_area_12H.dat!$E2</f>
        <v>-0.19112162062238799</v>
      </c>
      <c r="I26">
        <f>Tabel_GEV_area_24H.dat!$E2</f>
        <v>-0.19031675974203299</v>
      </c>
      <c r="J26">
        <f>Tabel_GEV_area_02D.dat!$E2</f>
        <v>-0.16581365221165001</v>
      </c>
      <c r="K26">
        <f>Tabel_GEV_area_04D.dat!$E2</f>
        <v>-0.11837384493823901</v>
      </c>
      <c r="L26">
        <f>Tabel_GEV_area_08D.dat!$E2</f>
        <v>-6.0505168263816002E-2</v>
      </c>
      <c r="M26">
        <f>Tabel_GEV_area_09D.dat!$E2</f>
        <v>-5.1252240894208198E-2</v>
      </c>
      <c r="O26" t="str" cm="1">
        <f t="array" ref="O26">"{" &amp; CONCATENATEWITHDELIMITER(B26:M26,",") &amp;"}"</f>
        <v>{-0.09901,-0.13356,-0.16969,-0.17626,-0.17534,-0.18818,-0.19112,-0.19032,-0.16581,-0.11837,-0.06051,-0.05125}</v>
      </c>
    </row>
    <row r="27" spans="1:15" x14ac:dyDescent="0.3">
      <c r="A27" t="str">
        <f>Tabel_GEV_area_15min.dat!A3</f>
        <v>9 pixels</v>
      </c>
      <c r="B27">
        <f>Tabel_GEV_area_15min.dat!$E3</f>
        <v>-7.2529678934022498E-2</v>
      </c>
      <c r="C27">
        <f>Tabel_GEV_area_30min.dat!$E3</f>
        <v>-9.56040791114591E-2</v>
      </c>
      <c r="D27">
        <f>Tabel_GEV_area_60min.dat!$E3</f>
        <v>-0.142810043113753</v>
      </c>
      <c r="E27">
        <f>Tabel_GEV_area_120min.dat!$E3</f>
        <v>-0.16261708069762301</v>
      </c>
      <c r="F27">
        <f>Tabel_GEV_area_04H.dat!$E3</f>
        <v>-0.16977816087085201</v>
      </c>
      <c r="G27">
        <f>Tabel_GEV_area_08H.dat!$E3</f>
        <v>-0.19090477985745399</v>
      </c>
      <c r="H27">
        <f>Tabel_GEV_area_12H.dat!$E3</f>
        <v>-0.19509276632478201</v>
      </c>
      <c r="I27">
        <f>Tabel_GEV_area_24H.dat!$E3</f>
        <v>-0.192502372266216</v>
      </c>
      <c r="J27">
        <f>Tabel_GEV_area_02D.dat!$E3</f>
        <v>-0.16266779043278001</v>
      </c>
      <c r="K27">
        <f>Tabel_GEV_area_04D.dat!$E3</f>
        <v>-0.11254398128323199</v>
      </c>
      <c r="L27">
        <f>Tabel_GEV_area_08D.dat!$E3</f>
        <v>-5.4680405201897798E-2</v>
      </c>
      <c r="M27">
        <f>Tabel_GEV_area_09D.dat!$E3</f>
        <v>-4.58452704818572E-2</v>
      </c>
      <c r="O27" t="str" cm="1">
        <f t="array" ref="O27">"{" &amp; CONCATENATEWITHDELIMITER(B27:M27,",") &amp;"}"</f>
        <v>{-0.07253,-0.0956,-0.14281,-0.16262,-0.16978,-0.1909,-0.19509,-0.1925,-0.16267,-0.11254,-0.05468,-0.04585}</v>
      </c>
    </row>
    <row r="28" spans="1:15" x14ac:dyDescent="0.3">
      <c r="A28" t="str">
        <f>Tabel_GEV_area_15min.dat!A4</f>
        <v>25 pixels</v>
      </c>
      <c r="B28">
        <f>Tabel_GEV_area_15min.dat!$E4</f>
        <v>-6.7077549116026702E-2</v>
      </c>
      <c r="C28">
        <f>Tabel_GEV_area_30min.dat!$E4</f>
        <v>-6.6387764364687907E-2</v>
      </c>
      <c r="D28">
        <f>Tabel_GEV_area_60min.dat!$E4</f>
        <v>-0.11794288644090301</v>
      </c>
      <c r="E28">
        <f>Tabel_GEV_area_120min.dat!$E4</f>
        <v>-0.147080445986701</v>
      </c>
      <c r="F28">
        <f>Tabel_GEV_area_04H.dat!$E4</f>
        <v>-0.16382235595189401</v>
      </c>
      <c r="G28">
        <f>Tabel_GEV_area_08H.dat!$E4</f>
        <v>-0.187364433003022</v>
      </c>
      <c r="H28">
        <f>Tabel_GEV_area_12H.dat!$E4</f>
        <v>-0.191492342802146</v>
      </c>
      <c r="I28">
        <f>Tabel_GEV_area_24H.dat!$E4</f>
        <v>-0.19454948235098399</v>
      </c>
      <c r="J28">
        <f>Tabel_GEV_area_02D.dat!$E4</f>
        <v>-0.16286289344656699</v>
      </c>
      <c r="K28">
        <f>Tabel_GEV_area_04D.dat!$E4</f>
        <v>-0.110052744226073</v>
      </c>
      <c r="L28">
        <f>Tabel_GEV_area_08D.dat!$E4</f>
        <v>-5.1383736252945199E-2</v>
      </c>
      <c r="M28">
        <f>Tabel_GEV_area_09D.dat!$E4</f>
        <v>-4.1568811272700699E-2</v>
      </c>
      <c r="O28" t="str" cm="1">
        <f t="array" ref="O28">"{" &amp; CONCATENATEWITHDELIMITER(B28:M28,",") &amp;"}"</f>
        <v>{-0.06708,-0.06639,-0.11794,-0.14708,-0.16382,-0.18736,-0.19149,-0.19455,-0.16286,-0.11005,-0.05138,-0.04157}</v>
      </c>
    </row>
    <row r="29" spans="1:15" x14ac:dyDescent="0.3">
      <c r="A29" t="str">
        <f>Tabel_GEV_area_15min.dat!A5</f>
        <v>49 pixels</v>
      </c>
      <c r="B29">
        <f>Tabel_GEV_area_15min.dat!$E5</f>
        <v>-7.0613801779815202E-2</v>
      </c>
      <c r="C29">
        <f>Tabel_GEV_area_30min.dat!$E5</f>
        <v>-4.64676578408127E-2</v>
      </c>
      <c r="D29">
        <f>Tabel_GEV_area_60min.dat!$E5</f>
        <v>-9.9664262656446095E-2</v>
      </c>
      <c r="E29">
        <f>Tabel_GEV_area_120min.dat!$E5</f>
        <v>-0.13144847322435399</v>
      </c>
      <c r="F29">
        <f>Tabel_GEV_area_04H.dat!$E5</f>
        <v>-0.15964606422924399</v>
      </c>
      <c r="G29">
        <f>Tabel_GEV_area_08H.dat!$E5</f>
        <v>-0.17771250694898499</v>
      </c>
      <c r="H29">
        <f>Tabel_GEV_area_12H.dat!$E5</f>
        <v>-0.18473148862316</v>
      </c>
      <c r="I29">
        <f>Tabel_GEV_area_24H.dat!$E5</f>
        <v>-0.19777642204131601</v>
      </c>
      <c r="J29">
        <f>Tabel_GEV_area_02D.dat!$E5</f>
        <v>-0.168583707983155</v>
      </c>
      <c r="K29">
        <f>Tabel_GEV_area_04D.dat!$E5</f>
        <v>-0.110412309798056</v>
      </c>
      <c r="L29">
        <f>Tabel_GEV_area_08D.dat!$E5</f>
        <v>-4.9859716917586401E-2</v>
      </c>
      <c r="M29">
        <f>Tabel_GEV_area_09D.dat!$E5</f>
        <v>-3.8955753306746298E-2</v>
      </c>
      <c r="O29" t="str" cm="1">
        <f t="array" ref="O29">"{" &amp; CONCATENATEWITHDELIMITER(B29:M29,",") &amp;"}"</f>
        <v>{-0.07061,-0.04647,-0.09966,-0.13145,-0.15965,-0.17771,-0.18473,-0.19778,-0.16858,-0.11041,-0.04986,-0.03896}</v>
      </c>
    </row>
    <row r="30" spans="1:15" x14ac:dyDescent="0.3">
      <c r="A30" t="str">
        <f>Tabel_GEV_area_15min.dat!A6</f>
        <v>81 pixels</v>
      </c>
      <c r="B30">
        <f>Tabel_GEV_area_15min.dat!$E6</f>
        <v>-8.3557127954152502E-2</v>
      </c>
      <c r="C30">
        <f>Tabel_GEV_area_30min.dat!$E6</f>
        <v>-4.1021882260848803E-2</v>
      </c>
      <c r="D30">
        <f>Tabel_GEV_area_60min.dat!$E6</f>
        <v>-8.5529043377726002E-2</v>
      </c>
      <c r="E30">
        <f>Tabel_GEV_area_120min.dat!$E6</f>
        <v>-0.110252512485808</v>
      </c>
      <c r="F30">
        <f>Tabel_GEV_area_04H.dat!$E6</f>
        <v>-0.15106485003321099</v>
      </c>
      <c r="G30">
        <f>Tabel_GEV_area_08H.dat!$E6</f>
        <v>-0.16734171963060501</v>
      </c>
      <c r="H30">
        <f>Tabel_GEV_area_12H.dat!$E6</f>
        <v>-0.179518976394131</v>
      </c>
      <c r="I30">
        <f>Tabel_GEV_area_24H.dat!$E6</f>
        <v>-0.201510106651065</v>
      </c>
      <c r="J30">
        <f>Tabel_GEV_area_02D.dat!$E6</f>
        <v>-0.171198675915258</v>
      </c>
      <c r="K30">
        <f>Tabel_GEV_area_04D.dat!$E6</f>
        <v>-0.108175486217544</v>
      </c>
      <c r="L30">
        <f>Tabel_GEV_area_08D.dat!$E6</f>
        <v>-4.8495637746027997E-2</v>
      </c>
      <c r="M30">
        <f>Tabel_GEV_area_09D.dat!$E6</f>
        <v>-3.6693081756613198E-2</v>
      </c>
      <c r="O30" t="str" cm="1">
        <f t="array" ref="O30">"{" &amp; CONCATENATEWITHDELIMITER(B30:M30,",") &amp;"}"</f>
        <v>{-0.08356,-0.04102,-0.08553,-0.11025,-0.15106,-0.16734,-0.17952,-0.20151,-0.1712,-0.10818,-0.0485,-0.03669}</v>
      </c>
    </row>
    <row r="31" spans="1:15" x14ac:dyDescent="0.3">
      <c r="A31" t="str">
        <f>Tabel_GEV_area_15min.dat!A7</f>
        <v>121 pixels</v>
      </c>
      <c r="B31">
        <f>Tabel_GEV_area_15min.dat!$E7</f>
        <v>-9.9931972838709499E-2</v>
      </c>
      <c r="C31">
        <f>Tabel_GEV_area_30min.dat!$E7</f>
        <v>-4.9614861442100103E-2</v>
      </c>
      <c r="D31">
        <f>Tabel_GEV_area_60min.dat!$E7</f>
        <v>-7.4132481542486098E-2</v>
      </c>
      <c r="E31">
        <f>Tabel_GEV_area_120min.dat!$E7</f>
        <v>-8.6663336670774804E-2</v>
      </c>
      <c r="F31">
        <f>Tabel_GEV_area_04H.dat!$E7</f>
        <v>-0.14399868668275501</v>
      </c>
      <c r="G31">
        <f>Tabel_GEV_area_08H.dat!$E7</f>
        <v>-0.15535459267763699</v>
      </c>
      <c r="H31">
        <f>Tabel_GEV_area_12H.dat!$E7</f>
        <v>-0.17439190262495499</v>
      </c>
      <c r="I31">
        <f>Tabel_GEV_area_24H.dat!$E7</f>
        <v>-0.20062059486348</v>
      </c>
      <c r="J31">
        <f>Tabel_GEV_area_02D.dat!$E7</f>
        <v>-0.17439314696515501</v>
      </c>
      <c r="K31">
        <f>Tabel_GEV_area_04D.dat!$E7</f>
        <v>-0.106691835063473</v>
      </c>
      <c r="L31">
        <f>Tabel_GEV_area_08D.dat!$E7</f>
        <v>-5.1395847869451797E-2</v>
      </c>
      <c r="M31">
        <f>Tabel_GEV_area_09D.dat!$E7</f>
        <v>-3.78007973080677E-2</v>
      </c>
      <c r="O31" t="str" cm="1">
        <f t="array" ref="O31">"{" &amp; CONCATENATEWITHDELIMITER(B31:M31,",") &amp;"}"</f>
        <v>{-0.09993,-0.04961,-0.07413,-0.08666,-0.144,-0.15535,-0.17439,-0.20062,-0.17439,-0.10669,-0.0514,-0.0378}</v>
      </c>
    </row>
    <row r="32" spans="1:15" x14ac:dyDescent="0.3">
      <c r="A32" t="str">
        <f>Tabel_GEV_area_15min.dat!A8</f>
        <v>169 pixels</v>
      </c>
      <c r="B32">
        <f>Tabel_GEV_area_15min.dat!$E8</f>
        <v>-0.110177688433509</v>
      </c>
      <c r="C32">
        <f>Tabel_GEV_area_30min.dat!$E8</f>
        <v>-6.1851845439086402E-2</v>
      </c>
      <c r="D32">
        <f>Tabel_GEV_area_60min.dat!$E8</f>
        <v>-6.7041171074904399E-2</v>
      </c>
      <c r="E32">
        <f>Tabel_GEV_area_120min.dat!$E8</f>
        <v>-6.3068053798020898E-2</v>
      </c>
      <c r="F32">
        <f>Tabel_GEV_area_04H.dat!$E8</f>
        <v>-0.13326516032331401</v>
      </c>
      <c r="G32">
        <f>Tabel_GEV_area_08H.dat!$E8</f>
        <v>-0.14123465477130501</v>
      </c>
      <c r="H32">
        <f>Tabel_GEV_area_12H.dat!$E8</f>
        <v>-0.164196101952651</v>
      </c>
      <c r="I32">
        <f>Tabel_GEV_area_24H.dat!$E8</f>
        <v>-0.19338106302380401</v>
      </c>
      <c r="J32">
        <f>Tabel_GEV_area_02D.dat!$E8</f>
        <v>-0.17530266848645701</v>
      </c>
      <c r="K32">
        <f>Tabel_GEV_area_04D.dat!$E8</f>
        <v>-0.104118385624191</v>
      </c>
      <c r="L32">
        <f>Tabel_GEV_area_08D.dat!$E8</f>
        <v>-5.7206144216447499E-2</v>
      </c>
      <c r="M32">
        <f>Tabel_GEV_area_09D.dat!$E8</f>
        <v>-4.1291932579774697E-2</v>
      </c>
      <c r="O32" t="str" cm="1">
        <f t="array" ref="O32">"{" &amp; CONCATENATEWITHDELIMITER(B32:M32,",") &amp;"}"</f>
        <v>{-0.11018,-0.06185,-0.06704,-0.06307,-0.13327,-0.14123,-0.1642,-0.19338,-0.1753,-0.10412,-0.05721,-0.04129}</v>
      </c>
    </row>
    <row r="33" spans="1:15" x14ac:dyDescent="0.3">
      <c r="A33" t="str">
        <f>Tabel_GEV_area_15min.dat!A9</f>
        <v>225 pixels</v>
      </c>
      <c r="B33">
        <f>Tabel_GEV_area_15min.dat!$E9</f>
        <v>-0.113226502553864</v>
      </c>
      <c r="C33">
        <f>Tabel_GEV_area_30min.dat!$E9</f>
        <v>-7.0346830472566096E-2</v>
      </c>
      <c r="D33">
        <f>Tabel_GEV_area_60min.dat!$E9</f>
        <v>-5.7067474283716398E-2</v>
      </c>
      <c r="E33">
        <f>Tabel_GEV_area_120min.dat!$E9</f>
        <v>-3.7557174148050002E-2</v>
      </c>
      <c r="F33">
        <f>Tabel_GEV_area_04H.dat!$E9</f>
        <v>-0.11648130087866</v>
      </c>
      <c r="G33">
        <f>Tabel_GEV_area_08H.dat!$E9</f>
        <v>-0.12589007534284699</v>
      </c>
      <c r="H33">
        <f>Tabel_GEV_area_12H.dat!$E9</f>
        <v>-0.150030730964239</v>
      </c>
      <c r="I33">
        <f>Tabel_GEV_area_24H.dat!$E9</f>
        <v>-0.183561465189088</v>
      </c>
      <c r="J33">
        <f>Tabel_GEV_area_02D.dat!$E9</f>
        <v>-0.17377962242446099</v>
      </c>
      <c r="K33">
        <f>Tabel_GEV_area_04D.dat!$E9</f>
        <v>-0.10271210286023499</v>
      </c>
      <c r="L33">
        <f>Tabel_GEV_area_08D.dat!$E9</f>
        <v>-6.4601203600272203E-2</v>
      </c>
      <c r="M33">
        <f>Tabel_GEV_area_09D.dat!$E9</f>
        <v>-4.5498437512225001E-2</v>
      </c>
      <c r="O33" t="str" cm="1">
        <f t="array" ref="O33">"{" &amp; CONCATENATEWITHDELIMITER(B33:M33,",") &amp;"}"</f>
        <v>{-0.11323,-0.07035,-0.05707,-0.03756,-0.11648,-0.12589,-0.15003,-0.18356,-0.17378,-0.10271,-0.0646,-0.0455}</v>
      </c>
    </row>
    <row r="34" spans="1:15" x14ac:dyDescent="0.3">
      <c r="A34" t="str">
        <f>Tabel_GEV_area_15min.dat!A10</f>
        <v>289 pixels</v>
      </c>
      <c r="B34">
        <f>Tabel_GEV_area_15min.dat!$E10</f>
        <v>-0.11095229909144499</v>
      </c>
      <c r="C34">
        <f>Tabel_GEV_area_30min.dat!$E10</f>
        <v>-7.4672145360133099E-2</v>
      </c>
      <c r="D34">
        <f>Tabel_GEV_area_60min.dat!$E10</f>
        <v>-4.2933178839220501E-2</v>
      </c>
      <c r="E34">
        <f>Tabel_GEV_area_120min.dat!$E10</f>
        <v>-1.19834876493325E-2</v>
      </c>
      <c r="F34">
        <f>Tabel_GEV_area_04H.dat!$E10</f>
        <v>-9.94474016655955E-2</v>
      </c>
      <c r="G34">
        <f>Tabel_GEV_area_08H.dat!$E10</f>
        <v>-0.112837615794725</v>
      </c>
      <c r="H34">
        <f>Tabel_GEV_area_12H.dat!$E10</f>
        <v>-0.13568858834724201</v>
      </c>
      <c r="I34">
        <f>Tabel_GEV_area_24H.dat!$E10</f>
        <v>-0.17342980357049601</v>
      </c>
      <c r="J34">
        <f>Tabel_GEV_area_02D.dat!$E10</f>
        <v>-0.17328638074091601</v>
      </c>
      <c r="K34">
        <f>Tabel_GEV_area_04D.dat!$E10</f>
        <v>-0.10678585580842299</v>
      </c>
      <c r="L34">
        <f>Tabel_GEV_area_08D.dat!$E10</f>
        <v>-7.4572630413223998E-2</v>
      </c>
      <c r="M34">
        <f>Tabel_GEV_area_09D.dat!$E10</f>
        <v>-4.9949910210763303E-2</v>
      </c>
      <c r="O34" t="str" cm="1">
        <f t="array" ref="O34">"{" &amp; CONCATENATEWITHDELIMITER(B34:M34,",") &amp;"}"</f>
        <v>{-0.11095,-0.07467,-0.04293,-0.01198,-0.09945,-0.11284,-0.13569,-0.17343,-0.17329,-0.10679,-0.07457,-0.04995}</v>
      </c>
    </row>
    <row r="35" spans="1:15" x14ac:dyDescent="0.3">
      <c r="O35" t="str" cm="1">
        <f t="array" ref="O35">O25 &amp;CONCATENATEWITHDELIMITER(O26:O34,",") &amp;"}"</f>
        <v>Dim kappa(,) as Double = {{-0.09901,-0.13356,-0.16969,-0.17626,-0.17534,-0.18818,-0.19112,-0.19032,-0.16581,-0.11837,-0.06051,-0.05125},{-0.07253,-0.0956,-0.14281,-0.16262,-0.16978,-0.1909,-0.19509,-0.1925,-0.16267,-0.11254,-0.05468,-0.04585},{-0.06708,-0.06639,-0.11794,-0.14708,-0.16382,-0.18736,-0.19149,-0.19455,-0.16286,-0.11005,-0.05138,-0.04157},{-0.07061,-0.04647,-0.09966,-0.13145,-0.15965,-0.17771,-0.18473,-0.19778,-0.16858,-0.11041,-0.04986,-0.03896},{-0.08356,-0.04102,-0.08553,-0.11025,-0.15106,-0.16734,-0.17952,-0.20151,-0.1712,-0.10818,-0.0485,-0.03669},{-0.09993,-0.04961,-0.07413,-0.08666,-0.144,-0.15535,-0.17439,-0.20062,-0.17439,-0.10669,-0.0514,-0.0378},{-0.11018,-0.06185,-0.06704,-0.06307,-0.13327,-0.14123,-0.1642,-0.19338,-0.1753,-0.10412,-0.05721,-0.04129},{-0.11323,-0.07035,-0.05707,-0.03756,-0.11648,-0.12589,-0.15003,-0.18356,-0.17378,-0.10271,-0.0646,-0.0455},{-0.11095,-0.07467,-0.04293,-0.01198,-0.09945,-0.11284,-0.13569,-0.17343,-0.17329,-0.10679,-0.07457,-0.04995}}</v>
      </c>
    </row>
    <row r="37" spans="1:15" x14ac:dyDescent="0.3">
      <c r="A37" t="s">
        <v>20</v>
      </c>
      <c r="B37" t="str" cm="1">
        <f t="array" ref="B37">"Dim " &amp;A37 &amp;"() as Double = {" &amp; CONCATENATEWITHDELIMITER(B25:M25,",") &amp;"}"</f>
        <v>Dim x_series() as Double = {0.25,0.5,1,2,4,8,12,24,48,96,192,216}</v>
      </c>
    </row>
    <row r="38" spans="1:15" x14ac:dyDescent="0.3">
      <c r="A38" t="s">
        <v>21</v>
      </c>
      <c r="B38" t="str" cm="1">
        <f t="array" ref="B38">"Dim " &amp;A38 &amp;"() as Double = {" &amp; CONCATENATEWITHDELIMITER(M38:M38,",") &amp;"}"</f>
        <v>Dim A_series() as Double = {10}</v>
      </c>
      <c r="M38">
        <v>10</v>
      </c>
    </row>
    <row r="39" spans="1:15" x14ac:dyDescent="0.3">
      <c r="A39" t="s">
        <v>22</v>
      </c>
      <c r="B39" t="str" cm="1">
        <f t="array" ref="B39">"Dim " &amp;A39 &amp;"() as Double = {" &amp; CONCATENATEWITHDELIMITER(D39:M39,",") &amp;"}"</f>
        <v>Dim T_series_Langbein() as Double = {0.5,1,2,5,10,20,25,30,50,100}</v>
      </c>
      <c r="D39">
        <v>0.5</v>
      </c>
      <c r="E39">
        <v>1</v>
      </c>
      <c r="F39">
        <v>2</v>
      </c>
      <c r="G39">
        <v>5</v>
      </c>
      <c r="H39">
        <v>10</v>
      </c>
      <c r="I39">
        <v>20</v>
      </c>
      <c r="J39">
        <v>25</v>
      </c>
      <c r="K39">
        <v>30</v>
      </c>
      <c r="L39">
        <v>50</v>
      </c>
      <c r="M39">
        <v>100</v>
      </c>
    </row>
    <row r="40" spans="1:15" x14ac:dyDescent="0.3">
      <c r="A40" t="s">
        <v>23</v>
      </c>
      <c r="B40" t="str">
        <f>"Dim " &amp;A40 &amp;" as Double = " &amp; M40</f>
        <v>Dim Aref as Double = 5.73</v>
      </c>
      <c r="M40">
        <v>5.73</v>
      </c>
    </row>
    <row r="41" spans="1:15" x14ac:dyDescent="0.3">
      <c r="A41" t="s">
        <v>24</v>
      </c>
      <c r="B41" t="str" cm="1">
        <f t="array" ref="B41">"Dim " &amp;A41 &amp;"() as Double = {" &amp; CONCATENATEWITHDELIMITER(B25:M25,",") &amp;"}"</f>
        <v>Dim duur() as Double = {0.25,0.5,1,2,4,8,12,24,48,96,192,216}</v>
      </c>
    </row>
    <row r="42" spans="1:15" x14ac:dyDescent="0.3">
      <c r="A42" t="s">
        <v>25</v>
      </c>
      <c r="B42" t="str" cm="1">
        <f t="array" ref="B42">"Dim " &amp;A42 &amp;"() as Double = {" &amp; CONCATENATEWITHDELIMITER(E42:M42,",") &amp;"}"</f>
        <v>Dim Area() as Double = {5.73,51.57,143.25,280.77,464.13,693.33,968.37,1289.25,1655.97}</v>
      </c>
      <c r="E42">
        <f>1*5.73</f>
        <v>5.73</v>
      </c>
      <c r="F42">
        <f>3*3*5.73</f>
        <v>51.570000000000007</v>
      </c>
      <c r="G42">
        <f>5*5*5.73</f>
        <v>143.25</v>
      </c>
      <c r="H42">
        <f>7*7*5.73</f>
        <v>280.77000000000004</v>
      </c>
      <c r="I42">
        <f>9*9*5.73</f>
        <v>464.13000000000005</v>
      </c>
      <c r="J42">
        <f>11*11*5.73</f>
        <v>693.33</v>
      </c>
      <c r="K42">
        <f>13*13*5.73</f>
        <v>968.37000000000012</v>
      </c>
      <c r="L42">
        <f>15*15*5.73</f>
        <v>1289.25</v>
      </c>
      <c r="M42">
        <f>17*17*5.73</f>
        <v>1655.97</v>
      </c>
    </row>
    <row r="43" spans="1:15" x14ac:dyDescent="0.3">
      <c r="A43" t="s">
        <v>26</v>
      </c>
      <c r="B43" t="str">
        <f>"Dim " &amp;A43 &amp;" as Double = " &amp; M43</f>
        <v>Dim k as Double = 0</v>
      </c>
      <c r="M43">
        <v>0</v>
      </c>
    </row>
    <row r="44" spans="1:15" x14ac:dyDescent="0.3">
      <c r="A44" t="s">
        <v>27</v>
      </c>
      <c r="B44" t="str">
        <f>"Dim " &amp;A44 &amp;"() as Double"</f>
        <v>Dim lijst_Duur() as Double</v>
      </c>
    </row>
    <row r="45" spans="1:15" x14ac:dyDescent="0.3">
      <c r="A45" t="s">
        <v>28</v>
      </c>
      <c r="B45" t="str">
        <f>"Dim " &amp;A45 &amp;"() as Double"</f>
        <v>Dim lijst_Area() as Double</v>
      </c>
    </row>
    <row r="46" spans="1:15" x14ac:dyDescent="0.3">
      <c r="A46" t="s">
        <v>29</v>
      </c>
      <c r="B46" t="str">
        <f>"Dim " &amp;A46 &amp;"() as Double"</f>
        <v>Dim lijst_loc() as Double</v>
      </c>
    </row>
    <row r="47" spans="1:15" x14ac:dyDescent="0.3">
      <c r="A47" t="s">
        <v>30</v>
      </c>
      <c r="B47" t="str">
        <f>"Dim " &amp;A47 &amp;"() as Double"</f>
        <v>Dim lijst_disp() as Double</v>
      </c>
    </row>
    <row r="48" spans="1:15" x14ac:dyDescent="0.3">
      <c r="A48" t="s">
        <v>31</v>
      </c>
      <c r="B48" t="str">
        <f>"Dim " &amp;A48 &amp;"() as Double"</f>
        <v>Dim lijst_kappa() as Double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4DCC3-06CA-4DF6-AA9C-D34DBDA622A9}">
  <sheetPr codeName="Blad3"/>
  <dimension ref="A1:F10"/>
  <sheetViews>
    <sheetView workbookViewId="0">
      <selection activeCell="D3" sqref="D3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>
        <v>117610</v>
      </c>
      <c r="C2">
        <v>7.9960164125717501</v>
      </c>
      <c r="D2">
        <v>2.7623007113155502</v>
      </c>
      <c r="E2">
        <v>-9.90140162497294E-2</v>
      </c>
      <c r="F2">
        <v>0.34545960998435599</v>
      </c>
    </row>
    <row r="3" spans="1:6" x14ac:dyDescent="0.3">
      <c r="A3" t="s">
        <v>7</v>
      </c>
      <c r="B3">
        <v>96957</v>
      </c>
      <c r="C3">
        <v>6.6173340911389396</v>
      </c>
      <c r="D3">
        <v>2.1801141731750402</v>
      </c>
      <c r="E3">
        <v>-7.2529678934022498E-2</v>
      </c>
      <c r="F3">
        <v>0.329455055940785</v>
      </c>
    </row>
    <row r="4" spans="1:6" x14ac:dyDescent="0.3">
      <c r="A4" t="s">
        <v>8</v>
      </c>
      <c r="B4">
        <v>81434</v>
      </c>
      <c r="C4">
        <v>5.5543506551719499</v>
      </c>
      <c r="D4">
        <v>1.7860472277055599</v>
      </c>
      <c r="E4">
        <v>-6.7077549116026702E-2</v>
      </c>
      <c r="F4">
        <v>0.32155824120367199</v>
      </c>
    </row>
    <row r="5" spans="1:6" x14ac:dyDescent="0.3">
      <c r="A5" t="s">
        <v>9</v>
      </c>
      <c r="B5">
        <v>69084</v>
      </c>
      <c r="C5">
        <v>4.7678576961319203</v>
      </c>
      <c r="D5">
        <v>1.4859590910910501</v>
      </c>
      <c r="E5">
        <v>-7.0613801779815202E-2</v>
      </c>
      <c r="F5">
        <v>0.31166179567326102</v>
      </c>
    </row>
    <row r="6" spans="1:6" x14ac:dyDescent="0.3">
      <c r="A6" t="s">
        <v>10</v>
      </c>
      <c r="B6">
        <v>59071</v>
      </c>
      <c r="C6">
        <v>4.1659749199578497</v>
      </c>
      <c r="D6">
        <v>1.2479647417624</v>
      </c>
      <c r="E6">
        <v>-8.3557127954152502E-2</v>
      </c>
      <c r="F6">
        <v>0.299561270948559</v>
      </c>
    </row>
    <row r="7" spans="1:6" x14ac:dyDescent="0.3">
      <c r="A7" t="s">
        <v>11</v>
      </c>
      <c r="B7">
        <v>50084</v>
      </c>
      <c r="C7">
        <v>3.7014995093494201</v>
      </c>
      <c r="D7">
        <v>1.0669212833413</v>
      </c>
      <c r="E7">
        <v>-9.9931972838709499E-2</v>
      </c>
      <c r="F7">
        <v>0.28824028765812798</v>
      </c>
    </row>
    <row r="8" spans="1:6" x14ac:dyDescent="0.3">
      <c r="A8" t="s">
        <v>12</v>
      </c>
      <c r="B8">
        <v>42047</v>
      </c>
      <c r="C8">
        <v>3.3405737394644199</v>
      </c>
      <c r="D8">
        <v>0.93342930401045598</v>
      </c>
      <c r="E8">
        <v>-0.110177688433509</v>
      </c>
      <c r="F8">
        <v>0.27942185289408</v>
      </c>
    </row>
    <row r="9" spans="1:6" x14ac:dyDescent="0.3">
      <c r="A9" t="s">
        <v>13</v>
      </c>
      <c r="B9">
        <v>34884</v>
      </c>
      <c r="C9">
        <v>3.0569848478812398</v>
      </c>
      <c r="D9">
        <v>0.83599173634377899</v>
      </c>
      <c r="E9">
        <v>-0.113226502553864</v>
      </c>
      <c r="F9">
        <v>0.27346937519928999</v>
      </c>
    </row>
    <row r="10" spans="1:6" x14ac:dyDescent="0.3">
      <c r="A10" t="s">
        <v>14</v>
      </c>
      <c r="B10">
        <v>28063</v>
      </c>
      <c r="C10">
        <v>2.82968125249177</v>
      </c>
      <c r="D10">
        <v>0.76099910405473403</v>
      </c>
      <c r="E10">
        <v>-0.11095229909144499</v>
      </c>
      <c r="F10">
        <v>0.26893456758940998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21AA7-B6D9-449D-9220-EE48CC44CEFA}">
  <sheetPr codeName="Blad4"/>
  <dimension ref="A1:F10"/>
  <sheetViews>
    <sheetView workbookViewId="0">
      <selection activeCell="E19" sqref="E19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>
        <v>117610</v>
      </c>
      <c r="C2">
        <v>10.454655143857201</v>
      </c>
      <c r="D2">
        <v>3.5361553643815502</v>
      </c>
      <c r="E2">
        <v>-0.133557989496117</v>
      </c>
      <c r="F2">
        <v>0.33823739910343098</v>
      </c>
    </row>
    <row r="3" spans="1:6" x14ac:dyDescent="0.3">
      <c r="A3" t="s">
        <v>7</v>
      </c>
      <c r="B3">
        <v>96957</v>
      </c>
      <c r="C3">
        <v>9.3302023601473305</v>
      </c>
      <c r="D3">
        <v>2.9802312631965102</v>
      </c>
      <c r="E3">
        <v>-9.56040791114591E-2</v>
      </c>
      <c r="F3">
        <v>0.31941764477972701</v>
      </c>
    </row>
    <row r="4" spans="1:6" x14ac:dyDescent="0.3">
      <c r="A4" t="s">
        <v>8</v>
      </c>
      <c r="B4">
        <v>81434</v>
      </c>
      <c r="C4">
        <v>8.3733217409595007</v>
      </c>
      <c r="D4">
        <v>2.5639190847711602</v>
      </c>
      <c r="E4">
        <v>-6.6387764364687907E-2</v>
      </c>
      <c r="F4">
        <v>0.30620095155657601</v>
      </c>
    </row>
    <row r="5" spans="1:6" x14ac:dyDescent="0.3">
      <c r="A5" t="s">
        <v>9</v>
      </c>
      <c r="B5">
        <v>69084</v>
      </c>
      <c r="C5">
        <v>7.6010246396561101</v>
      </c>
      <c r="D5">
        <v>2.24988942648773</v>
      </c>
      <c r="E5">
        <v>-4.64676578408127E-2</v>
      </c>
      <c r="F5">
        <v>0.29599817566037101</v>
      </c>
    </row>
    <row r="6" spans="1:6" x14ac:dyDescent="0.3">
      <c r="A6" t="s">
        <v>10</v>
      </c>
      <c r="B6">
        <v>59071</v>
      </c>
      <c r="C6">
        <v>6.9585239865349404</v>
      </c>
      <c r="D6">
        <v>1.9810778647510701</v>
      </c>
      <c r="E6">
        <v>-4.1021882260848803E-2</v>
      </c>
      <c r="F6">
        <v>0.284698000407061</v>
      </c>
    </row>
    <row r="7" spans="1:6" x14ac:dyDescent="0.3">
      <c r="A7" t="s">
        <v>11</v>
      </c>
      <c r="B7">
        <v>50084</v>
      </c>
      <c r="C7">
        <v>6.4039461161634001</v>
      </c>
      <c r="D7">
        <v>1.75365035671569</v>
      </c>
      <c r="E7">
        <v>-4.9614861442100103E-2</v>
      </c>
      <c r="F7">
        <v>0.27383902439302599</v>
      </c>
    </row>
    <row r="8" spans="1:6" x14ac:dyDescent="0.3">
      <c r="A8" t="s">
        <v>12</v>
      </c>
      <c r="B8">
        <v>42047</v>
      </c>
      <c r="C8">
        <v>5.91926666648388</v>
      </c>
      <c r="D8">
        <v>1.57163423060632</v>
      </c>
      <c r="E8">
        <v>-6.1851845439086402E-2</v>
      </c>
      <c r="F8">
        <v>0.26551164513422598</v>
      </c>
    </row>
    <row r="9" spans="1:6" x14ac:dyDescent="0.3">
      <c r="A9" t="s">
        <v>13</v>
      </c>
      <c r="B9">
        <v>34884</v>
      </c>
      <c r="C9">
        <v>5.5048261911955798</v>
      </c>
      <c r="D9">
        <v>1.42974230155107</v>
      </c>
      <c r="E9">
        <v>-7.0346830472566096E-2</v>
      </c>
      <c r="F9">
        <v>0.25972523961570299</v>
      </c>
    </row>
    <row r="10" spans="1:6" x14ac:dyDescent="0.3">
      <c r="A10" t="s">
        <v>14</v>
      </c>
      <c r="B10">
        <v>28063</v>
      </c>
      <c r="C10">
        <v>5.1518121779264696</v>
      </c>
      <c r="D10">
        <v>1.3153033655389399</v>
      </c>
      <c r="E10">
        <v>-7.4672145360133099E-2</v>
      </c>
      <c r="F10">
        <v>0.25530887387054002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91453-AA5F-48D8-848A-63A704EEA941}">
  <sheetPr codeName="Blad5"/>
  <dimension ref="A1:F10"/>
  <sheetViews>
    <sheetView workbookViewId="0">
      <selection sqref="A1:F11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>
        <v>117610</v>
      </c>
      <c r="C2">
        <v>13.218049837702999</v>
      </c>
      <c r="D2">
        <v>4.1838778964468499</v>
      </c>
      <c r="E2">
        <v>-0.16968667491971801</v>
      </c>
      <c r="F2">
        <v>0.31652762304714699</v>
      </c>
    </row>
    <row r="3" spans="1:6" x14ac:dyDescent="0.3">
      <c r="A3" t="s">
        <v>7</v>
      </c>
      <c r="B3">
        <v>96957</v>
      </c>
      <c r="C3">
        <v>12.3188911160318</v>
      </c>
      <c r="D3">
        <v>3.6785166673738399</v>
      </c>
      <c r="E3">
        <v>-0.142810043113753</v>
      </c>
      <c r="F3">
        <v>0.29860777506074598</v>
      </c>
    </row>
    <row r="4" spans="1:6" x14ac:dyDescent="0.3">
      <c r="A4" t="s">
        <v>8</v>
      </c>
      <c r="B4">
        <v>81434</v>
      </c>
      <c r="C4">
        <v>11.5328027927596</v>
      </c>
      <c r="D4">
        <v>3.2666265018585001</v>
      </c>
      <c r="E4">
        <v>-0.11794288644090301</v>
      </c>
      <c r="F4">
        <v>0.28324654124054999</v>
      </c>
    </row>
    <row r="5" spans="1:6" x14ac:dyDescent="0.3">
      <c r="A5" t="s">
        <v>9</v>
      </c>
      <c r="B5">
        <v>69084</v>
      </c>
      <c r="C5">
        <v>10.8701551239488</v>
      </c>
      <c r="D5">
        <v>2.94143264206879</v>
      </c>
      <c r="E5">
        <v>-9.9664262656446095E-2</v>
      </c>
      <c r="F5">
        <v>0.270597117385042</v>
      </c>
    </row>
    <row r="6" spans="1:6" x14ac:dyDescent="0.3">
      <c r="A6" t="s">
        <v>10</v>
      </c>
      <c r="B6">
        <v>59071</v>
      </c>
      <c r="C6">
        <v>10.2973312132505</v>
      </c>
      <c r="D6">
        <v>2.67289264870716</v>
      </c>
      <c r="E6">
        <v>-8.5529043377726002E-2</v>
      </c>
      <c r="F6">
        <v>0.25957139703030202</v>
      </c>
    </row>
    <row r="7" spans="1:6" x14ac:dyDescent="0.3">
      <c r="A7" t="s">
        <v>11</v>
      </c>
      <c r="B7">
        <v>50084</v>
      </c>
      <c r="C7">
        <v>9.80095639203887</v>
      </c>
      <c r="D7">
        <v>2.4408295331164598</v>
      </c>
      <c r="E7">
        <v>-7.4132481542486098E-2</v>
      </c>
      <c r="F7">
        <v>0.24903993401083799</v>
      </c>
    </row>
    <row r="8" spans="1:6" x14ac:dyDescent="0.3">
      <c r="A8" t="s">
        <v>12</v>
      </c>
      <c r="B8">
        <v>42047</v>
      </c>
      <c r="C8">
        <v>9.3472001762435504</v>
      </c>
      <c r="D8">
        <v>2.2422990159416298</v>
      </c>
      <c r="E8">
        <v>-6.7041171074904399E-2</v>
      </c>
      <c r="F8">
        <v>0.23988991073932101</v>
      </c>
    </row>
    <row r="9" spans="1:6" x14ac:dyDescent="0.3">
      <c r="A9" t="s">
        <v>13</v>
      </c>
      <c r="B9">
        <v>34884</v>
      </c>
      <c r="C9">
        <v>8.9420282916707095</v>
      </c>
      <c r="D9">
        <v>2.0889782091042202</v>
      </c>
      <c r="E9">
        <v>-5.7067474283716398E-2</v>
      </c>
      <c r="F9">
        <v>0.23361346452572199</v>
      </c>
    </row>
    <row r="10" spans="1:6" x14ac:dyDescent="0.3">
      <c r="A10" t="s">
        <v>14</v>
      </c>
      <c r="B10">
        <v>28063</v>
      </c>
      <c r="C10">
        <v>8.5700267375488401</v>
      </c>
      <c r="D10">
        <v>1.9682157474670201</v>
      </c>
      <c r="E10">
        <v>-4.2933178839220501E-2</v>
      </c>
      <c r="F10">
        <v>0.229662731254204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417B2-A016-40E0-AC45-25015BC361C2}">
  <sheetPr codeName="Blad6"/>
  <dimension ref="A1:F10"/>
  <sheetViews>
    <sheetView workbookViewId="0">
      <selection activeCell="E14" sqref="E14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>
        <v>117610</v>
      </c>
      <c r="C2">
        <v>16.770494264298701</v>
      </c>
      <c r="D2">
        <v>4.9084529334040496</v>
      </c>
      <c r="E2">
        <v>-0.176262468754872</v>
      </c>
      <c r="F2">
        <v>0.292683856304298</v>
      </c>
    </row>
    <row r="3" spans="1:6" x14ac:dyDescent="0.3">
      <c r="A3" t="s">
        <v>7</v>
      </c>
      <c r="B3">
        <v>96957</v>
      </c>
      <c r="C3">
        <v>16.036803779538701</v>
      </c>
      <c r="D3">
        <v>4.4763283612195499</v>
      </c>
      <c r="E3">
        <v>-0.16261708069762301</v>
      </c>
      <c r="F3">
        <v>0.279128461179457</v>
      </c>
    </row>
    <row r="4" spans="1:6" x14ac:dyDescent="0.3">
      <c r="A4" t="s">
        <v>8</v>
      </c>
      <c r="B4">
        <v>81434</v>
      </c>
      <c r="C4">
        <v>15.381186895456</v>
      </c>
      <c r="D4">
        <v>4.1421839566276297</v>
      </c>
      <c r="E4">
        <v>-0.147080445986701</v>
      </c>
      <c r="F4">
        <v>0.26930197160866298</v>
      </c>
    </row>
    <row r="5" spans="1:6" x14ac:dyDescent="0.3">
      <c r="A5" t="s">
        <v>9</v>
      </c>
      <c r="B5">
        <v>69084</v>
      </c>
      <c r="C5">
        <v>14.823703156773099</v>
      </c>
      <c r="D5">
        <v>3.8733716910118301</v>
      </c>
      <c r="E5">
        <v>-0.13144847322435399</v>
      </c>
      <c r="F5">
        <v>0.26129582129699203</v>
      </c>
    </row>
    <row r="6" spans="1:6" x14ac:dyDescent="0.3">
      <c r="A6" t="s">
        <v>10</v>
      </c>
      <c r="B6">
        <v>59071</v>
      </c>
      <c r="C6">
        <v>14.345104963333799</v>
      </c>
      <c r="D6">
        <v>3.6509765035686801</v>
      </c>
      <c r="E6">
        <v>-0.110252512485808</v>
      </c>
      <c r="F6">
        <v>0.25451026764186202</v>
      </c>
    </row>
    <row r="7" spans="1:6" x14ac:dyDescent="0.3">
      <c r="A7" t="s">
        <v>11</v>
      </c>
      <c r="B7">
        <v>50084</v>
      </c>
      <c r="C7">
        <v>13.9223073450949</v>
      </c>
      <c r="D7">
        <v>3.4542698924727202</v>
      </c>
      <c r="E7">
        <v>-8.6663336670774804E-2</v>
      </c>
      <c r="F7">
        <v>0.24811044655537801</v>
      </c>
    </row>
    <row r="8" spans="1:6" x14ac:dyDescent="0.3">
      <c r="A8" t="s">
        <v>12</v>
      </c>
      <c r="B8">
        <v>42047</v>
      </c>
      <c r="C8">
        <v>13.539268902388001</v>
      </c>
      <c r="D8">
        <v>3.2683318599327298</v>
      </c>
      <c r="E8">
        <v>-6.3068053798020898E-2</v>
      </c>
      <c r="F8">
        <v>0.241396480378367</v>
      </c>
    </row>
    <row r="9" spans="1:6" x14ac:dyDescent="0.3">
      <c r="A9" t="s">
        <v>13</v>
      </c>
      <c r="B9">
        <v>34884</v>
      </c>
      <c r="C9">
        <v>13.193250502101799</v>
      </c>
      <c r="D9">
        <v>3.1016410702980401</v>
      </c>
      <c r="E9">
        <v>-3.7557174148050002E-2</v>
      </c>
      <c r="F9">
        <v>0.23509301743371799</v>
      </c>
    </row>
    <row r="10" spans="1:6" x14ac:dyDescent="0.3">
      <c r="A10" t="s">
        <v>14</v>
      </c>
      <c r="B10">
        <v>28063</v>
      </c>
      <c r="C10">
        <v>12.870599632278299</v>
      </c>
      <c r="D10">
        <v>2.94198384227863</v>
      </c>
      <c r="E10">
        <v>-1.19834876493325E-2</v>
      </c>
      <c r="F10">
        <v>0.22858172317787101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3A99F-BD32-449D-BEDA-4D3A73B16E9C}">
  <sheetPr codeName="Blad7"/>
  <dimension ref="A1:F10"/>
  <sheetViews>
    <sheetView workbookViewId="0">
      <selection sqref="A1:F11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>
        <v>117610</v>
      </c>
      <c r="C2">
        <v>20.592411046545699</v>
      </c>
      <c r="D2">
        <v>5.6339166745363798</v>
      </c>
      <c r="E2">
        <v>-0.17533844006220101</v>
      </c>
      <c r="F2">
        <v>0.27359189080879598</v>
      </c>
    </row>
    <row r="3" spans="1:6" x14ac:dyDescent="0.3">
      <c r="A3" t="s">
        <v>7</v>
      </c>
      <c r="B3">
        <v>96957</v>
      </c>
      <c r="C3">
        <v>19.995094451789399</v>
      </c>
      <c r="D3">
        <v>5.2757086023400701</v>
      </c>
      <c r="E3">
        <v>-0.16977816087085201</v>
      </c>
      <c r="F3">
        <v>0.26385014659772899</v>
      </c>
    </row>
    <row r="4" spans="1:6" x14ac:dyDescent="0.3">
      <c r="A4" t="s">
        <v>8</v>
      </c>
      <c r="B4">
        <v>81434</v>
      </c>
      <c r="C4">
        <v>19.433331900896999</v>
      </c>
      <c r="D4">
        <v>4.9862807930267499</v>
      </c>
      <c r="E4">
        <v>-0.16382235595189401</v>
      </c>
      <c r="F4">
        <v>0.25658393622128201</v>
      </c>
    </row>
    <row r="5" spans="1:6" x14ac:dyDescent="0.3">
      <c r="A5" t="s">
        <v>9</v>
      </c>
      <c r="B5">
        <v>69084</v>
      </c>
      <c r="C5">
        <v>18.937734948851102</v>
      </c>
      <c r="D5">
        <v>4.7555295523920904</v>
      </c>
      <c r="E5">
        <v>-0.15964606422924399</v>
      </c>
      <c r="F5">
        <v>0.25111395661816399</v>
      </c>
    </row>
    <row r="6" spans="1:6" x14ac:dyDescent="0.3">
      <c r="A6" t="s">
        <v>10</v>
      </c>
      <c r="B6">
        <v>59071</v>
      </c>
      <c r="C6">
        <v>18.5066339713206</v>
      </c>
      <c r="D6">
        <v>4.5587914299364698</v>
      </c>
      <c r="E6">
        <v>-0.15106485003321099</v>
      </c>
      <c r="F6">
        <v>0.24633282513725399</v>
      </c>
    </row>
    <row r="7" spans="1:6" x14ac:dyDescent="0.3">
      <c r="A7" t="s">
        <v>11</v>
      </c>
      <c r="B7">
        <v>50084</v>
      </c>
      <c r="C7">
        <v>18.1030219173478</v>
      </c>
      <c r="D7">
        <v>4.3750886175426302</v>
      </c>
      <c r="E7">
        <v>-0.14399868668275501</v>
      </c>
      <c r="F7">
        <v>0.24167725352804501</v>
      </c>
    </row>
    <row r="8" spans="1:6" x14ac:dyDescent="0.3">
      <c r="A8" t="s">
        <v>12</v>
      </c>
      <c r="B8">
        <v>42047</v>
      </c>
      <c r="C8">
        <v>17.738765450445001</v>
      </c>
      <c r="D8">
        <v>4.2064119744978496</v>
      </c>
      <c r="E8">
        <v>-0.13326516032331401</v>
      </c>
      <c r="F8">
        <v>0.23713104422339201</v>
      </c>
    </row>
    <row r="9" spans="1:6" x14ac:dyDescent="0.3">
      <c r="A9" t="s">
        <v>13</v>
      </c>
      <c r="B9">
        <v>34884</v>
      </c>
      <c r="C9">
        <v>17.435402053428799</v>
      </c>
      <c r="D9">
        <v>4.0605496004578301</v>
      </c>
      <c r="E9">
        <v>-0.11648130087866</v>
      </c>
      <c r="F9">
        <v>0.232891079197069</v>
      </c>
    </row>
    <row r="10" spans="1:6" x14ac:dyDescent="0.3">
      <c r="A10" t="s">
        <v>14</v>
      </c>
      <c r="B10">
        <v>28063</v>
      </c>
      <c r="C10">
        <v>17.162161147694501</v>
      </c>
      <c r="D10">
        <v>3.9046867046204099</v>
      </c>
      <c r="E10">
        <v>-9.94474016655955E-2</v>
      </c>
      <c r="F10">
        <v>0.22751719151320099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643F5-3996-4B09-8FE4-71D33A2F87D0}">
  <sheetPr codeName="Blad8"/>
  <dimension ref="A1:F10"/>
  <sheetViews>
    <sheetView workbookViewId="0">
      <selection sqref="A1:F11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>
        <v>117610</v>
      </c>
      <c r="C2">
        <v>25.4984238527503</v>
      </c>
      <c r="D2">
        <v>6.6381416076299899</v>
      </c>
      <c r="E2">
        <v>-0.18817748828570899</v>
      </c>
      <c r="F2">
        <v>0.26033536998068202</v>
      </c>
    </row>
    <row r="3" spans="1:6" x14ac:dyDescent="0.3">
      <c r="A3" t="s">
        <v>7</v>
      </c>
      <c r="B3">
        <v>96957</v>
      </c>
      <c r="C3">
        <v>24.9376842328987</v>
      </c>
      <c r="D3">
        <v>6.2517707612089</v>
      </c>
      <c r="E3">
        <v>-0.19090477985745399</v>
      </c>
      <c r="F3">
        <v>0.25069572229811699</v>
      </c>
    </row>
    <row r="4" spans="1:6" x14ac:dyDescent="0.3">
      <c r="A4" t="s">
        <v>8</v>
      </c>
      <c r="B4">
        <v>81434</v>
      </c>
      <c r="C4">
        <v>24.439061276167301</v>
      </c>
      <c r="D4">
        <v>5.94586345235306</v>
      </c>
      <c r="E4">
        <v>-0.187364433003022</v>
      </c>
      <c r="F4">
        <v>0.24329344671480499</v>
      </c>
    </row>
    <row r="5" spans="1:6" x14ac:dyDescent="0.3">
      <c r="A5" t="s">
        <v>9</v>
      </c>
      <c r="B5">
        <v>69084</v>
      </c>
      <c r="C5">
        <v>24.021778294964498</v>
      </c>
      <c r="D5">
        <v>5.70437183507096</v>
      </c>
      <c r="E5">
        <v>-0.17771250694898499</v>
      </c>
      <c r="F5">
        <v>0.23746667565684401</v>
      </c>
    </row>
    <row r="6" spans="1:6" x14ac:dyDescent="0.3">
      <c r="A6" t="s">
        <v>10</v>
      </c>
      <c r="B6">
        <v>59071</v>
      </c>
      <c r="C6">
        <v>23.639548992532202</v>
      </c>
      <c r="D6">
        <v>5.4596308815002201</v>
      </c>
      <c r="E6">
        <v>-0.16734171963060501</v>
      </c>
      <c r="F6">
        <v>0.230953259016275</v>
      </c>
    </row>
    <row r="7" spans="1:6" x14ac:dyDescent="0.3">
      <c r="A7" t="s">
        <v>11</v>
      </c>
      <c r="B7">
        <v>50084</v>
      </c>
      <c r="C7">
        <v>23.272903257390301</v>
      </c>
      <c r="D7">
        <v>5.2368053867251003</v>
      </c>
      <c r="E7">
        <v>-0.15535459267763699</v>
      </c>
      <c r="F7">
        <v>0.22501727991595399</v>
      </c>
    </row>
    <row r="8" spans="1:6" x14ac:dyDescent="0.3">
      <c r="A8" t="s">
        <v>12</v>
      </c>
      <c r="B8">
        <v>42047</v>
      </c>
      <c r="C8">
        <v>22.9312157399957</v>
      </c>
      <c r="D8">
        <v>5.0231947887479702</v>
      </c>
      <c r="E8">
        <v>-0.14123465477130501</v>
      </c>
      <c r="F8">
        <v>0.21905488333907699</v>
      </c>
    </row>
    <row r="9" spans="1:6" x14ac:dyDescent="0.3">
      <c r="A9" t="s">
        <v>13</v>
      </c>
      <c r="B9">
        <v>34884</v>
      </c>
      <c r="C9">
        <v>22.626283704388602</v>
      </c>
      <c r="D9">
        <v>4.8500372957050102</v>
      </c>
      <c r="E9">
        <v>-0.12589007534284699</v>
      </c>
      <c r="F9">
        <v>0.214354127220826</v>
      </c>
    </row>
    <row r="10" spans="1:6" x14ac:dyDescent="0.3">
      <c r="A10" t="s">
        <v>14</v>
      </c>
      <c r="B10">
        <v>28063</v>
      </c>
      <c r="C10">
        <v>22.340724983760399</v>
      </c>
      <c r="D10">
        <v>4.68084667712355</v>
      </c>
      <c r="E10">
        <v>-0.112837615794725</v>
      </c>
      <c r="F10">
        <v>0.20952080474228499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AEA0B-9297-402E-A3FB-A6CBF754A5FA}">
  <sheetPr codeName="Blad9"/>
  <dimension ref="A1:F10"/>
  <sheetViews>
    <sheetView workbookViewId="0">
      <selection sqref="A1:F11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>
        <v>117610</v>
      </c>
      <c r="C2">
        <v>28.575107251472101</v>
      </c>
      <c r="D2">
        <v>7.32996226167805</v>
      </c>
      <c r="E2">
        <v>-0.19112162062238799</v>
      </c>
      <c r="F2">
        <v>0.25651565179341301</v>
      </c>
    </row>
    <row r="3" spans="1:6" x14ac:dyDescent="0.3">
      <c r="A3" t="s">
        <v>7</v>
      </c>
      <c r="B3">
        <v>96957</v>
      </c>
      <c r="C3">
        <v>28.041486440680298</v>
      </c>
      <c r="D3">
        <v>6.92367399680706</v>
      </c>
      <c r="E3">
        <v>-0.19509276632478201</v>
      </c>
      <c r="F3">
        <v>0.24690823760194</v>
      </c>
    </row>
    <row r="4" spans="1:6" x14ac:dyDescent="0.3">
      <c r="A4" t="s">
        <v>8</v>
      </c>
      <c r="B4">
        <v>81434</v>
      </c>
      <c r="C4">
        <v>27.570183546930998</v>
      </c>
      <c r="D4">
        <v>6.5980423426604702</v>
      </c>
      <c r="E4">
        <v>-0.191492342802146</v>
      </c>
      <c r="F4">
        <v>0.239318041950248</v>
      </c>
    </row>
    <row r="5" spans="1:6" x14ac:dyDescent="0.3">
      <c r="A5" t="s">
        <v>9</v>
      </c>
      <c r="B5">
        <v>69084</v>
      </c>
      <c r="C5">
        <v>27.154651600466401</v>
      </c>
      <c r="D5">
        <v>6.3341734862588197</v>
      </c>
      <c r="E5">
        <v>-0.18473148862316</v>
      </c>
      <c r="F5">
        <v>0.23326292597876799</v>
      </c>
    </row>
    <row r="6" spans="1:6" x14ac:dyDescent="0.3">
      <c r="A6" t="s">
        <v>10</v>
      </c>
      <c r="B6">
        <v>59071</v>
      </c>
      <c r="C6">
        <v>26.75410806539</v>
      </c>
      <c r="D6">
        <v>6.0707351028935204</v>
      </c>
      <c r="E6">
        <v>-0.179518976394131</v>
      </c>
      <c r="F6">
        <v>0.22690852141495299</v>
      </c>
    </row>
    <row r="7" spans="1:6" x14ac:dyDescent="0.3">
      <c r="A7" t="s">
        <v>11</v>
      </c>
      <c r="B7">
        <v>50084</v>
      </c>
      <c r="C7">
        <v>26.3717275851971</v>
      </c>
      <c r="D7">
        <v>5.8285122648216001</v>
      </c>
      <c r="E7">
        <v>-0.17439190262495499</v>
      </c>
      <c r="F7">
        <v>0.221013668747786</v>
      </c>
    </row>
    <row r="8" spans="1:6" x14ac:dyDescent="0.3">
      <c r="A8" t="s">
        <v>12</v>
      </c>
      <c r="B8">
        <v>42047</v>
      </c>
      <c r="C8">
        <v>26.024414311460699</v>
      </c>
      <c r="D8">
        <v>5.6257810303803497</v>
      </c>
      <c r="E8">
        <v>-0.164196101952651</v>
      </c>
      <c r="F8">
        <v>0.216173204247784</v>
      </c>
    </row>
    <row r="9" spans="1:6" x14ac:dyDescent="0.3">
      <c r="A9" t="s">
        <v>13</v>
      </c>
      <c r="B9">
        <v>34884</v>
      </c>
      <c r="C9">
        <v>25.7333904730299</v>
      </c>
      <c r="D9">
        <v>5.4768762666372002</v>
      </c>
      <c r="E9">
        <v>-0.150030730964239</v>
      </c>
      <c r="F9">
        <v>0.21283150669078299</v>
      </c>
    </row>
    <row r="10" spans="1:6" x14ac:dyDescent="0.3">
      <c r="A10" t="s">
        <v>14</v>
      </c>
      <c r="B10">
        <v>28063</v>
      </c>
      <c r="C10">
        <v>25.469144492210798</v>
      </c>
      <c r="D10">
        <v>5.3448098603699901</v>
      </c>
      <c r="E10">
        <v>-0.13568858834724201</v>
      </c>
      <c r="F10">
        <v>0.20985431458071099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D4C1D-56F7-41A7-AE51-D5855D161FAE}">
  <sheetPr codeName="Blad10"/>
  <dimension ref="A1:F10"/>
  <sheetViews>
    <sheetView workbookViewId="0">
      <selection sqref="A1:F11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>
        <v>117610</v>
      </c>
      <c r="C2">
        <v>34.136582266700998</v>
      </c>
      <c r="D2">
        <v>8.4899284950495097</v>
      </c>
      <c r="E2">
        <v>-0.19031675974203299</v>
      </c>
      <c r="F2">
        <v>0.24870470127090399</v>
      </c>
    </row>
    <row r="3" spans="1:6" x14ac:dyDescent="0.3">
      <c r="A3" t="s">
        <v>7</v>
      </c>
      <c r="B3">
        <v>96957</v>
      </c>
      <c r="C3">
        <v>33.599275433104403</v>
      </c>
      <c r="D3">
        <v>8.1114825602599403</v>
      </c>
      <c r="E3">
        <v>-0.192502372266216</v>
      </c>
      <c r="F3">
        <v>0.24141837750072201</v>
      </c>
    </row>
    <row r="4" spans="1:6" x14ac:dyDescent="0.3">
      <c r="A4" t="s">
        <v>8</v>
      </c>
      <c r="B4">
        <v>81434</v>
      </c>
      <c r="C4">
        <v>33.076095770284702</v>
      </c>
      <c r="D4">
        <v>7.7780611890884801</v>
      </c>
      <c r="E4">
        <v>-0.19454948235098399</v>
      </c>
      <c r="F4">
        <v>0.235156568753082</v>
      </c>
    </row>
    <row r="5" spans="1:6" x14ac:dyDescent="0.3">
      <c r="A5" t="s">
        <v>9</v>
      </c>
      <c r="B5">
        <v>69084</v>
      </c>
      <c r="C5">
        <v>32.596088003719501</v>
      </c>
      <c r="D5">
        <v>7.4906377952855596</v>
      </c>
      <c r="E5">
        <v>-0.19777642204131601</v>
      </c>
      <c r="F5">
        <v>0.22980174168233999</v>
      </c>
    </row>
    <row r="6" spans="1:6" x14ac:dyDescent="0.3">
      <c r="A6" t="s">
        <v>10</v>
      </c>
      <c r="B6">
        <v>59071</v>
      </c>
      <c r="C6">
        <v>32.120962226083599</v>
      </c>
      <c r="D6">
        <v>7.23125533815616</v>
      </c>
      <c r="E6">
        <v>-0.201510106651065</v>
      </c>
      <c r="F6">
        <v>0.22512573836546099</v>
      </c>
    </row>
    <row r="7" spans="1:6" x14ac:dyDescent="0.3">
      <c r="A7" t="s">
        <v>11</v>
      </c>
      <c r="B7">
        <v>50084</v>
      </c>
      <c r="C7">
        <v>31.671209684885</v>
      </c>
      <c r="D7">
        <v>7.0368774138406396</v>
      </c>
      <c r="E7">
        <v>-0.20062059486348</v>
      </c>
      <c r="F7">
        <v>0.222185305956247</v>
      </c>
    </row>
    <row r="8" spans="1:6" x14ac:dyDescent="0.3">
      <c r="A8" t="s">
        <v>12</v>
      </c>
      <c r="B8">
        <v>42047</v>
      </c>
      <c r="C8">
        <v>31.2787050596421</v>
      </c>
      <c r="D8">
        <v>6.89438799675961</v>
      </c>
      <c r="E8">
        <v>-0.19338106302380401</v>
      </c>
      <c r="F8">
        <v>0.22041794836497999</v>
      </c>
    </row>
    <row r="9" spans="1:6" x14ac:dyDescent="0.3">
      <c r="A9" t="s">
        <v>13</v>
      </c>
      <c r="B9">
        <v>34884</v>
      </c>
      <c r="C9">
        <v>30.969570958487999</v>
      </c>
      <c r="D9">
        <v>6.7964131787112496</v>
      </c>
      <c r="E9">
        <v>-0.183561465189088</v>
      </c>
      <c r="F9">
        <v>0.21945454742725501</v>
      </c>
    </row>
    <row r="10" spans="1:6" x14ac:dyDescent="0.3">
      <c r="A10" t="s">
        <v>14</v>
      </c>
      <c r="B10">
        <v>28063</v>
      </c>
      <c r="C10">
        <v>30.696169180035</v>
      </c>
      <c r="D10">
        <v>6.7170841857343797</v>
      </c>
      <c r="E10">
        <v>-0.17342980357049601</v>
      </c>
      <c r="F10">
        <v>0.21882483597019101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73F62-C85D-472F-91D9-98A0F41BAE31}">
  <sheetPr codeName="Blad11"/>
  <dimension ref="A1:F10"/>
  <sheetViews>
    <sheetView workbookViewId="0">
      <selection sqref="A1:F11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>
        <v>117610</v>
      </c>
      <c r="C2">
        <v>41.9004197187678</v>
      </c>
      <c r="D2">
        <v>10.043361118350299</v>
      </c>
      <c r="E2">
        <v>-0.16581365221165001</v>
      </c>
      <c r="F2">
        <v>0.23969595497516399</v>
      </c>
    </row>
    <row r="3" spans="1:6" x14ac:dyDescent="0.3">
      <c r="A3" t="s">
        <v>7</v>
      </c>
      <c r="B3">
        <v>96957</v>
      </c>
      <c r="C3">
        <v>41.401140304283501</v>
      </c>
      <c r="D3">
        <v>9.6895383361313296</v>
      </c>
      <c r="E3">
        <v>-0.16266779043278001</v>
      </c>
      <c r="F3">
        <v>0.234040373403165</v>
      </c>
    </row>
    <row r="4" spans="1:6" x14ac:dyDescent="0.3">
      <c r="A4" t="s">
        <v>8</v>
      </c>
      <c r="B4">
        <v>81434</v>
      </c>
      <c r="C4">
        <v>40.874760767040797</v>
      </c>
      <c r="D4">
        <v>9.3293809715499698</v>
      </c>
      <c r="E4">
        <v>-0.16286289344656699</v>
      </c>
      <c r="F4">
        <v>0.228243072166741</v>
      </c>
    </row>
    <row r="5" spans="1:6" x14ac:dyDescent="0.3">
      <c r="A5" t="s">
        <v>9</v>
      </c>
      <c r="B5">
        <v>69084</v>
      </c>
      <c r="C5">
        <v>40.361792024727301</v>
      </c>
      <c r="D5">
        <v>8.9929527294203702</v>
      </c>
      <c r="E5">
        <v>-0.168583707983155</v>
      </c>
      <c r="F5">
        <v>0.22280855924114901</v>
      </c>
    </row>
    <row r="6" spans="1:6" x14ac:dyDescent="0.3">
      <c r="A6" t="s">
        <v>10</v>
      </c>
      <c r="B6">
        <v>59071</v>
      </c>
      <c r="C6">
        <v>39.891730662804299</v>
      </c>
      <c r="D6">
        <v>8.7346747550457007</v>
      </c>
      <c r="E6">
        <v>-0.171198675915258</v>
      </c>
      <c r="F6">
        <v>0.21895953396652301</v>
      </c>
    </row>
    <row r="7" spans="1:6" x14ac:dyDescent="0.3">
      <c r="A7" t="s">
        <v>11</v>
      </c>
      <c r="B7">
        <v>50084</v>
      </c>
      <c r="C7">
        <v>39.448019959292601</v>
      </c>
      <c r="D7">
        <v>8.5050543183137606</v>
      </c>
      <c r="E7">
        <v>-0.17439314696515501</v>
      </c>
      <c r="F7">
        <v>0.215601551791201</v>
      </c>
    </row>
    <row r="8" spans="1:6" x14ac:dyDescent="0.3">
      <c r="A8" t="s">
        <v>12</v>
      </c>
      <c r="B8">
        <v>42047</v>
      </c>
      <c r="C8">
        <v>39.067810192605897</v>
      </c>
      <c r="D8">
        <v>8.3009413538738492</v>
      </c>
      <c r="E8">
        <v>-0.17530266848645701</v>
      </c>
      <c r="F8">
        <v>0.212475214580748</v>
      </c>
    </row>
    <row r="9" spans="1:6" x14ac:dyDescent="0.3">
      <c r="A9" t="s">
        <v>13</v>
      </c>
      <c r="B9">
        <v>34884</v>
      </c>
      <c r="C9">
        <v>38.777312303821702</v>
      </c>
      <c r="D9">
        <v>8.1377850131493492</v>
      </c>
      <c r="E9">
        <v>-0.17377962242446099</v>
      </c>
      <c r="F9">
        <v>0.209859439184168</v>
      </c>
    </row>
    <row r="10" spans="1:6" x14ac:dyDescent="0.3">
      <c r="A10" t="s">
        <v>14</v>
      </c>
      <c r="B10">
        <v>28063</v>
      </c>
      <c r="C10">
        <v>38.5264397374482</v>
      </c>
      <c r="D10">
        <v>7.9752398233059099</v>
      </c>
      <c r="E10">
        <v>-0.17328638074091601</v>
      </c>
      <c r="F10">
        <v>0.20700692505344201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305DC-4358-4E7D-BDE8-799EE8D7EBAC}">
  <sheetPr codeName="Blad12"/>
  <dimension ref="A1:F10"/>
  <sheetViews>
    <sheetView workbookViewId="0">
      <selection sqref="A1:F11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>
        <v>117610</v>
      </c>
      <c r="C2">
        <v>51.522661955007202</v>
      </c>
      <c r="D2">
        <v>12.4207093706914</v>
      </c>
      <c r="E2">
        <v>-0.11837384493823901</v>
      </c>
      <c r="F2">
        <v>0.24107274157414399</v>
      </c>
    </row>
    <row r="3" spans="1:6" x14ac:dyDescent="0.3">
      <c r="A3" t="s">
        <v>7</v>
      </c>
      <c r="B3">
        <v>96957</v>
      </c>
      <c r="C3">
        <v>51.070498777886201</v>
      </c>
      <c r="D3">
        <v>12.1027994189244</v>
      </c>
      <c r="E3">
        <v>-0.11254398128323199</v>
      </c>
      <c r="F3">
        <v>0.23698220515842999</v>
      </c>
    </row>
    <row r="4" spans="1:6" x14ac:dyDescent="0.3">
      <c r="A4" t="s">
        <v>8</v>
      </c>
      <c r="B4">
        <v>81434</v>
      </c>
      <c r="C4">
        <v>50.566856896730499</v>
      </c>
      <c r="D4">
        <v>11.7792150186861</v>
      </c>
      <c r="E4">
        <v>-0.110052744226073</v>
      </c>
      <c r="F4">
        <v>0.23294338904120701</v>
      </c>
    </row>
    <row r="5" spans="1:6" x14ac:dyDescent="0.3">
      <c r="A5" t="s">
        <v>9</v>
      </c>
      <c r="B5">
        <v>69084</v>
      </c>
      <c r="C5">
        <v>50.074362055797003</v>
      </c>
      <c r="D5">
        <v>11.474692189488</v>
      </c>
      <c r="E5">
        <v>-0.110412309798056</v>
      </c>
      <c r="F5">
        <v>0.22915303796985001</v>
      </c>
    </row>
    <row r="6" spans="1:6" x14ac:dyDescent="0.3">
      <c r="A6" t="s">
        <v>10</v>
      </c>
      <c r="B6">
        <v>59071</v>
      </c>
      <c r="C6">
        <v>49.604660472702697</v>
      </c>
      <c r="D6">
        <v>11.2308870718641</v>
      </c>
      <c r="E6">
        <v>-0.108175486217544</v>
      </c>
      <c r="F6">
        <v>0.22640790129073399</v>
      </c>
    </row>
    <row r="7" spans="1:6" x14ac:dyDescent="0.3">
      <c r="A7" t="s">
        <v>11</v>
      </c>
      <c r="B7">
        <v>50084</v>
      </c>
      <c r="C7">
        <v>49.143374046170102</v>
      </c>
      <c r="D7">
        <v>11.0224998455835</v>
      </c>
      <c r="E7">
        <v>-0.106691835063473</v>
      </c>
      <c r="F7">
        <v>0.22429269580122599</v>
      </c>
    </row>
    <row r="8" spans="1:6" x14ac:dyDescent="0.3">
      <c r="A8" t="s">
        <v>12</v>
      </c>
      <c r="B8">
        <v>42047</v>
      </c>
      <c r="C8">
        <v>48.7405579514312</v>
      </c>
      <c r="D8">
        <v>10.8385305040521</v>
      </c>
      <c r="E8">
        <v>-0.104118385624191</v>
      </c>
      <c r="F8">
        <v>0.22237190051973599</v>
      </c>
    </row>
    <row r="9" spans="1:6" x14ac:dyDescent="0.3">
      <c r="A9" t="s">
        <v>13</v>
      </c>
      <c r="B9">
        <v>34884</v>
      </c>
      <c r="C9">
        <v>48.4306594877267</v>
      </c>
      <c r="D9">
        <v>10.661210112166501</v>
      </c>
      <c r="E9">
        <v>-0.10271210286023499</v>
      </c>
      <c r="F9">
        <v>0.22013349033308699</v>
      </c>
    </row>
    <row r="10" spans="1:6" x14ac:dyDescent="0.3">
      <c r="A10" t="s">
        <v>14</v>
      </c>
      <c r="B10">
        <v>28063</v>
      </c>
      <c r="C10">
        <v>48.141460564565001</v>
      </c>
      <c r="D10">
        <v>10.4367333362928</v>
      </c>
      <c r="E10">
        <v>-0.10678585580842299</v>
      </c>
      <c r="F10">
        <v>0.216793034816539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C5FBE-C2D0-4BFA-8A25-1866C88D6B5E}">
  <sheetPr codeName="Blad13"/>
  <dimension ref="A1:F10"/>
  <sheetViews>
    <sheetView workbookViewId="0">
      <selection sqref="A1:F11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>
        <v>117610</v>
      </c>
      <c r="C2">
        <v>70.187211934030501</v>
      </c>
      <c r="D2">
        <v>15.415482197777701</v>
      </c>
      <c r="E2">
        <v>-6.0505168263816002E-2</v>
      </c>
      <c r="F2">
        <v>0.21963377334701401</v>
      </c>
    </row>
    <row r="3" spans="1:6" x14ac:dyDescent="0.3">
      <c r="A3" t="s">
        <v>7</v>
      </c>
      <c r="B3">
        <v>96957</v>
      </c>
      <c r="C3">
        <v>69.742029880399599</v>
      </c>
      <c r="D3">
        <v>15.013683521890499</v>
      </c>
      <c r="E3">
        <v>-5.4680405201897798E-2</v>
      </c>
      <c r="F3">
        <v>0.215274541730967</v>
      </c>
    </row>
    <row r="4" spans="1:6" x14ac:dyDescent="0.3">
      <c r="A4" t="s">
        <v>8</v>
      </c>
      <c r="B4">
        <v>81434</v>
      </c>
      <c r="C4">
        <v>69.249361843731805</v>
      </c>
      <c r="D4">
        <v>14.6328530807044</v>
      </c>
      <c r="E4">
        <v>-5.1383736252945199E-2</v>
      </c>
      <c r="F4">
        <v>0.21130668487205601</v>
      </c>
    </row>
    <row r="5" spans="1:6" x14ac:dyDescent="0.3">
      <c r="A5" t="s">
        <v>9</v>
      </c>
      <c r="B5">
        <v>69084</v>
      </c>
      <c r="C5">
        <v>68.7564890232306</v>
      </c>
      <c r="D5">
        <v>14.230142867877399</v>
      </c>
      <c r="E5">
        <v>-4.9859716917586401E-2</v>
      </c>
      <c r="F5">
        <v>0.20696436176474201</v>
      </c>
    </row>
    <row r="6" spans="1:6" x14ac:dyDescent="0.3">
      <c r="A6" t="s">
        <v>10</v>
      </c>
      <c r="B6">
        <v>59071</v>
      </c>
      <c r="C6">
        <v>68.261956179375204</v>
      </c>
      <c r="D6">
        <v>13.832250186876101</v>
      </c>
      <c r="E6">
        <v>-4.8495637746027997E-2</v>
      </c>
      <c r="F6">
        <v>0.202634834409498</v>
      </c>
    </row>
    <row r="7" spans="1:6" x14ac:dyDescent="0.3">
      <c r="A7" t="s">
        <v>11</v>
      </c>
      <c r="B7">
        <v>50084</v>
      </c>
      <c r="C7">
        <v>67.718537541862503</v>
      </c>
      <c r="D7">
        <v>13.4149510181542</v>
      </c>
      <c r="E7">
        <v>-5.1395847869451797E-2</v>
      </c>
      <c r="F7">
        <v>0.19809865223183901</v>
      </c>
    </row>
    <row r="8" spans="1:6" x14ac:dyDescent="0.3">
      <c r="A8" t="s">
        <v>12</v>
      </c>
      <c r="B8">
        <v>42047</v>
      </c>
      <c r="C8">
        <v>67.217164238321004</v>
      </c>
      <c r="D8">
        <v>13.024567095828701</v>
      </c>
      <c r="E8">
        <v>-5.7206144216447499E-2</v>
      </c>
      <c r="F8">
        <v>0.19376847035155501</v>
      </c>
    </row>
    <row r="9" spans="1:6" x14ac:dyDescent="0.3">
      <c r="A9" t="s">
        <v>13</v>
      </c>
      <c r="B9">
        <v>34884</v>
      </c>
      <c r="C9">
        <v>66.867955404320497</v>
      </c>
      <c r="D9">
        <v>12.6964089029675</v>
      </c>
      <c r="E9">
        <v>-6.4601203600272203E-2</v>
      </c>
      <c r="F9">
        <v>0.18987284456654999</v>
      </c>
    </row>
    <row r="10" spans="1:6" x14ac:dyDescent="0.3">
      <c r="A10" t="s">
        <v>14</v>
      </c>
      <c r="B10">
        <v>28063</v>
      </c>
      <c r="C10">
        <v>66.575367477218805</v>
      </c>
      <c r="D10">
        <v>12.3645553134078</v>
      </c>
      <c r="E10">
        <v>-7.4572630413223998E-2</v>
      </c>
      <c r="F10">
        <v>0.185722674645976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0BE-48E8-47AE-BB1E-50A417BD05CB}">
  <sheetPr codeName="Blad14"/>
  <dimension ref="A1:F10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>
        <v>117610</v>
      </c>
      <c r="C2">
        <v>74.123915851667704</v>
      </c>
      <c r="D2">
        <v>16.119806139520701</v>
      </c>
      <c r="E2">
        <v>-5.1252240894208198E-2</v>
      </c>
      <c r="F2">
        <v>0.217471054440495</v>
      </c>
    </row>
    <row r="3" spans="1:6" x14ac:dyDescent="0.3">
      <c r="A3" t="s">
        <v>7</v>
      </c>
      <c r="B3">
        <v>96957</v>
      </c>
      <c r="C3">
        <v>73.732905068130904</v>
      </c>
      <c r="D3">
        <v>15.7059336898081</v>
      </c>
      <c r="E3">
        <v>-4.58452704818572E-2</v>
      </c>
      <c r="F3">
        <v>0.213011187817643</v>
      </c>
    </row>
    <row r="4" spans="1:6" x14ac:dyDescent="0.3">
      <c r="A4" t="s">
        <v>8</v>
      </c>
      <c r="B4">
        <v>81434</v>
      </c>
      <c r="C4">
        <v>73.258344162229804</v>
      </c>
      <c r="D4">
        <v>15.340279522984099</v>
      </c>
      <c r="E4">
        <v>-4.1568811272700699E-2</v>
      </c>
      <c r="F4">
        <v>0.20939975778067299</v>
      </c>
    </row>
    <row r="5" spans="1:6" x14ac:dyDescent="0.3">
      <c r="A5" t="s">
        <v>9</v>
      </c>
      <c r="B5">
        <v>69084</v>
      </c>
      <c r="C5">
        <v>72.757050863469999</v>
      </c>
      <c r="D5">
        <v>14.9568446446211</v>
      </c>
      <c r="E5">
        <v>-3.8955753306746298E-2</v>
      </c>
      <c r="F5">
        <v>0.205572442355971</v>
      </c>
    </row>
    <row r="6" spans="1:6" x14ac:dyDescent="0.3">
      <c r="A6" t="s">
        <v>10</v>
      </c>
      <c r="B6">
        <v>59071</v>
      </c>
      <c r="C6">
        <v>72.241017276770805</v>
      </c>
      <c r="D6">
        <v>14.5738293464359</v>
      </c>
      <c r="E6">
        <v>-3.6693081756613198E-2</v>
      </c>
      <c r="F6">
        <v>0.201738982863439</v>
      </c>
    </row>
    <row r="7" spans="1:6" x14ac:dyDescent="0.3">
      <c r="A7" t="s">
        <v>11</v>
      </c>
      <c r="B7">
        <v>50084</v>
      </c>
      <c r="C7">
        <v>71.691345810989105</v>
      </c>
      <c r="D7">
        <v>14.163506674317301</v>
      </c>
      <c r="E7">
        <v>-3.78007973080677E-2</v>
      </c>
      <c r="F7">
        <v>0.19756229310660101</v>
      </c>
    </row>
    <row r="8" spans="1:6" x14ac:dyDescent="0.3">
      <c r="A8" t="s">
        <v>12</v>
      </c>
      <c r="B8">
        <v>42047</v>
      </c>
      <c r="C8">
        <v>71.193331679965496</v>
      </c>
      <c r="D8">
        <v>13.7694562929812</v>
      </c>
      <c r="E8">
        <v>-4.1291932579774697E-2</v>
      </c>
      <c r="F8">
        <v>0.19340935405128801</v>
      </c>
    </row>
    <row r="9" spans="1:6" x14ac:dyDescent="0.3">
      <c r="A9" t="s">
        <v>13</v>
      </c>
      <c r="B9">
        <v>34884</v>
      </c>
      <c r="C9">
        <v>70.844852979626594</v>
      </c>
      <c r="D9">
        <v>13.460915397797899</v>
      </c>
      <c r="E9">
        <v>-4.5498437512225001E-2</v>
      </c>
      <c r="F9">
        <v>0.190005552014752</v>
      </c>
    </row>
    <row r="10" spans="1:6" x14ac:dyDescent="0.3">
      <c r="A10" t="s">
        <v>14</v>
      </c>
      <c r="B10">
        <v>28063</v>
      </c>
      <c r="C10">
        <v>70.556521741899402</v>
      </c>
      <c r="D10">
        <v>13.1894773758818</v>
      </c>
      <c r="E10">
        <v>-4.9949910210763303E-2</v>
      </c>
      <c r="F10">
        <v>0.18693491473587401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4C0E514-C02B-43A4-8945-2D6544E054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14</vt:i4>
      </vt:variant>
    </vt:vector>
  </HeadingPairs>
  <TitlesOfParts>
    <vt:vector size="14" baseType="lpstr">
      <vt:lpstr>Toelichting</vt:lpstr>
      <vt:lpstr>Parameters</vt:lpstr>
      <vt:lpstr>Tabel_GEV_area_15min.dat</vt:lpstr>
      <vt:lpstr>Tabel_GEV_area_30min.dat</vt:lpstr>
      <vt:lpstr>Tabel_GEV_area_60min.dat</vt:lpstr>
      <vt:lpstr>Tabel_GEV_area_120min.dat</vt:lpstr>
      <vt:lpstr>Tabel_GEV_area_04H.dat</vt:lpstr>
      <vt:lpstr>Tabel_GEV_area_08H.dat</vt:lpstr>
      <vt:lpstr>Tabel_GEV_area_12H.dat</vt:lpstr>
      <vt:lpstr>Tabel_GEV_area_24H.dat</vt:lpstr>
      <vt:lpstr>Tabel_GEV_area_02D.dat</vt:lpstr>
      <vt:lpstr>Tabel_GEV_area_04D.dat</vt:lpstr>
      <vt:lpstr>Tabel_GEV_area_08D.dat</vt:lpstr>
      <vt:lpstr>Tabel_GEV_area_09D.dat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Siebe Bosch</dc:creator>
  <cp:lastModifiedBy>Siebe Bosch</cp:lastModifiedBy>
  <dcterms:created xsi:type="dcterms:W3CDTF">2025-01-08T05:23:15Z</dcterms:created>
  <dcterms:modified xsi:type="dcterms:W3CDTF">2025-01-08T13:44:42Z</dcterms:modified>
</cp:coreProperties>
</file>