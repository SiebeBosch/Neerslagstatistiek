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Neerslagstatistiek\Excel\"/>
    </mc:Choice>
  </mc:AlternateContent>
  <xr:revisionPtr revIDLastSave="0" documentId="13_ncr:1_{F1DC4ABA-8D75-44F7-B22D-7A8FB72749B8}" xr6:coauthVersionLast="47" xr6:coauthVersionMax="47" xr10:uidLastSave="{00000000-0000-0000-0000-000000000000}"/>
  <bookViews>
    <workbookView xWindow="-108" yWindow="-108" windowWidth="23256" windowHeight="12456" xr2:uid="{AF977E9A-6CF3-45C6-9F9D-E64474C72C92}"/>
  </bookViews>
  <sheets>
    <sheet name="test" sheetId="20" r:id="rId1"/>
    <sheet name="24H.Chart" sheetId="17" r:id="rId2"/>
    <sheet name="2014 jaarrond" sheetId="1" r:id="rId3"/>
    <sheet name="2014 NDJF" sheetId="2" r:id="rId4"/>
    <sheet name="2030 JAAR center" sheetId="3" r:id="rId5"/>
    <sheet name="2030 NDJF center" sheetId="4" r:id="rId6"/>
    <sheet name="2030 JAAR upper" sheetId="5" r:id="rId7"/>
    <sheet name="2030 NDJF upper" sheetId="6" r:id="rId8"/>
    <sheet name="2030 JAAR lower" sheetId="7" r:id="rId9"/>
    <sheet name="2030 NDJF lower" sheetId="8" r:id="rId10"/>
    <sheet name="2050GL JAAR center" sheetId="9" r:id="rId11"/>
    <sheet name="2050GL NDJF center" sheetId="10" r:id="rId12"/>
    <sheet name="2050GH JAAR center" sheetId="11" r:id="rId13"/>
    <sheet name="2050GH NDJF center" sheetId="12" r:id="rId14"/>
    <sheet name="2050WL JAAR center" sheetId="13" r:id="rId15"/>
    <sheet name="2050WL NDJF center" sheetId="14" r:id="rId16"/>
    <sheet name="2050WH JAAR center" sheetId="15" r:id="rId17"/>
    <sheet name="2050WH NDJF center" sheetId="16" r:id="rId1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27" i="16" l="1"/>
  <c r="G128" i="16" s="1"/>
  <c r="J126" i="16"/>
  <c r="G96" i="16"/>
  <c r="G68" i="16"/>
  <c r="G69" i="16" s="1"/>
  <c r="G65" i="16"/>
  <c r="G66" i="16" s="1"/>
  <c r="G67" i="16" s="1"/>
  <c r="J64" i="16"/>
  <c r="G34" i="16"/>
  <c r="G4" i="16"/>
  <c r="G3" i="16"/>
  <c r="J3" i="16" s="1"/>
  <c r="G128" i="15"/>
  <c r="G129" i="15" s="1"/>
  <c r="J127" i="15"/>
  <c r="G127" i="15"/>
  <c r="G98" i="15"/>
  <c r="G99" i="15" s="1"/>
  <c r="J97" i="15"/>
  <c r="J96" i="15"/>
  <c r="G96" i="15"/>
  <c r="G97" i="15" s="1"/>
  <c r="J95" i="15"/>
  <c r="G70" i="15"/>
  <c r="G71" i="15" s="1"/>
  <c r="G68" i="15"/>
  <c r="G69" i="15" s="1"/>
  <c r="G65" i="15"/>
  <c r="G66" i="15" s="1"/>
  <c r="G67" i="15" s="1"/>
  <c r="J64" i="15"/>
  <c r="G38" i="15"/>
  <c r="G39" i="15" s="1"/>
  <c r="G34" i="15"/>
  <c r="G35" i="15" s="1"/>
  <c r="G36" i="15" s="1"/>
  <c r="G37" i="15" s="1"/>
  <c r="J33" i="15"/>
  <c r="G4" i="15"/>
  <c r="G3" i="15"/>
  <c r="J3" i="15" s="1"/>
  <c r="G128" i="14"/>
  <c r="G129" i="14" s="1"/>
  <c r="G127" i="14"/>
  <c r="G96" i="14"/>
  <c r="G65" i="14"/>
  <c r="G34" i="14"/>
  <c r="G4" i="14"/>
  <c r="G5" i="14" s="1"/>
  <c r="G3" i="14"/>
  <c r="J3" i="14" s="1"/>
  <c r="G127" i="13"/>
  <c r="G128" i="13" s="1"/>
  <c r="J126" i="13"/>
  <c r="G96" i="13"/>
  <c r="G66" i="13"/>
  <c r="G65" i="13"/>
  <c r="J65" i="13" s="1"/>
  <c r="G37" i="13"/>
  <c r="G36" i="13"/>
  <c r="J36" i="13" s="1"/>
  <c r="G34" i="13"/>
  <c r="G35" i="13" s="1"/>
  <c r="J33" i="13"/>
  <c r="G4" i="13"/>
  <c r="G3" i="13"/>
  <c r="G127" i="12"/>
  <c r="G98" i="12"/>
  <c r="G96" i="12"/>
  <c r="G97" i="12" s="1"/>
  <c r="J97" i="12" s="1"/>
  <c r="J95" i="12"/>
  <c r="G65" i="12"/>
  <c r="G36" i="12"/>
  <c r="G34" i="12"/>
  <c r="G35" i="12" s="1"/>
  <c r="J35" i="12" s="1"/>
  <c r="J33" i="12"/>
  <c r="G4" i="12"/>
  <c r="G3" i="12"/>
  <c r="G127" i="11"/>
  <c r="G98" i="11"/>
  <c r="G96" i="11"/>
  <c r="G97" i="11" s="1"/>
  <c r="J97" i="11" s="1"/>
  <c r="J95" i="11"/>
  <c r="G66" i="11"/>
  <c r="G65" i="11"/>
  <c r="G34" i="11"/>
  <c r="G35" i="11" s="1"/>
  <c r="G3" i="11"/>
  <c r="G4" i="11" s="1"/>
  <c r="G128" i="10"/>
  <c r="G127" i="10"/>
  <c r="G96" i="10"/>
  <c r="G67" i="10"/>
  <c r="G66" i="10"/>
  <c r="J66" i="10" s="1"/>
  <c r="G65" i="10"/>
  <c r="J64" i="10"/>
  <c r="G34" i="10"/>
  <c r="G5" i="10"/>
  <c r="G3" i="10"/>
  <c r="G4" i="10" s="1"/>
  <c r="J2" i="10"/>
  <c r="G127" i="9"/>
  <c r="G98" i="9"/>
  <c r="G99" i="9" s="1"/>
  <c r="G96" i="9"/>
  <c r="G97" i="9" s="1"/>
  <c r="J97" i="9" s="1"/>
  <c r="J95" i="9"/>
  <c r="G65" i="9"/>
  <c r="G36" i="9"/>
  <c r="G37" i="9" s="1"/>
  <c r="J35" i="9"/>
  <c r="J34" i="9"/>
  <c r="G34" i="9"/>
  <c r="G35" i="9" s="1"/>
  <c r="J33" i="9"/>
  <c r="G3" i="9"/>
  <c r="G128" i="8"/>
  <c r="G127" i="8"/>
  <c r="G96" i="8"/>
  <c r="G65" i="8"/>
  <c r="G34" i="8"/>
  <c r="G3" i="8"/>
  <c r="G127" i="7"/>
  <c r="G128" i="7" s="1"/>
  <c r="J126" i="7"/>
  <c r="G100" i="7"/>
  <c r="G101" i="7" s="1"/>
  <c r="G98" i="7"/>
  <c r="G99" i="7" s="1"/>
  <c r="J97" i="7"/>
  <c r="J96" i="7"/>
  <c r="G96" i="7"/>
  <c r="G97" i="7" s="1"/>
  <c r="J95" i="7"/>
  <c r="G65" i="7"/>
  <c r="G66" i="7" s="1"/>
  <c r="G34" i="7"/>
  <c r="G35" i="7" s="1"/>
  <c r="J33" i="7"/>
  <c r="G3" i="7"/>
  <c r="G127" i="6"/>
  <c r="G96" i="6"/>
  <c r="G65" i="6"/>
  <c r="G34" i="6"/>
  <c r="G3" i="6"/>
  <c r="G127" i="5"/>
  <c r="G98" i="5"/>
  <c r="G99" i="5" s="1"/>
  <c r="G100" i="5" s="1"/>
  <c r="J97" i="5"/>
  <c r="G96" i="5"/>
  <c r="G97" i="5" s="1"/>
  <c r="J95" i="5"/>
  <c r="G66" i="5"/>
  <c r="J65" i="5"/>
  <c r="G65" i="5"/>
  <c r="G34" i="5"/>
  <c r="G35" i="5" s="1"/>
  <c r="G36" i="5" s="1"/>
  <c r="J33" i="5"/>
  <c r="G4" i="5"/>
  <c r="G5" i="5" s="1"/>
  <c r="G3" i="5"/>
  <c r="G127" i="4"/>
  <c r="G128" i="4" s="1"/>
  <c r="J126" i="4"/>
  <c r="G98" i="4"/>
  <c r="G99" i="4" s="1"/>
  <c r="G96" i="4"/>
  <c r="G97" i="4" s="1"/>
  <c r="J95" i="4"/>
  <c r="G66" i="4"/>
  <c r="G67" i="4" s="1"/>
  <c r="G65" i="4"/>
  <c r="J65" i="4" s="1"/>
  <c r="J64" i="4"/>
  <c r="G34" i="4"/>
  <c r="G3" i="4"/>
  <c r="G128" i="3"/>
  <c r="G127" i="3"/>
  <c r="G96" i="3"/>
  <c r="G67" i="3"/>
  <c r="G65" i="3"/>
  <c r="G66" i="3" s="1"/>
  <c r="J64" i="3"/>
  <c r="G36" i="3"/>
  <c r="G37" i="3" s="1"/>
  <c r="G34" i="3"/>
  <c r="G35" i="3" s="1"/>
  <c r="J33" i="3"/>
  <c r="G3" i="3"/>
  <c r="G4" i="3" s="1"/>
  <c r="J2" i="3"/>
  <c r="G127" i="2"/>
  <c r="G96" i="2"/>
  <c r="G66" i="2"/>
  <c r="G67" i="2" s="1"/>
  <c r="G65" i="2"/>
  <c r="G34" i="2"/>
  <c r="G3" i="2"/>
  <c r="G127" i="1"/>
  <c r="G96" i="1"/>
  <c r="G65" i="1"/>
  <c r="G34" i="1"/>
  <c r="G35" i="1" s="1"/>
  <c r="G4" i="1"/>
  <c r="G5" i="1" s="1"/>
  <c r="G3" i="1"/>
  <c r="J3" i="1" s="1"/>
  <c r="K21" i="10" a="1"/>
  <c r="K16" i="9" a="1"/>
  <c r="K21" i="8" a="1"/>
  <c r="K18" i="7" a="1"/>
  <c r="K17" i="6" a="1"/>
  <c r="K18" i="5" a="1"/>
  <c r="K17" i="4" a="1"/>
  <c r="K16" i="3" a="1"/>
  <c r="K14" i="2" a="1"/>
  <c r="C2" i="20" a="1"/>
  <c r="C1" i="20" a="1"/>
  <c r="K3" i="7" a="1"/>
  <c r="K156" i="16" a="1"/>
  <c r="K146" i="16" a="1"/>
  <c r="K136" i="16" a="1"/>
  <c r="K126" i="16" a="1"/>
  <c r="K116" i="16" a="1"/>
  <c r="K106" i="16" a="1"/>
  <c r="K96" i="16" a="1"/>
  <c r="K86" i="16" a="1"/>
  <c r="K76" i="16" a="1"/>
  <c r="K66" i="16" a="1"/>
  <c r="K56" i="16" a="1"/>
  <c r="K46" i="16" a="1"/>
  <c r="K36" i="16" a="1"/>
  <c r="K26" i="16" a="1"/>
  <c r="K16" i="16" a="1"/>
  <c r="K6" i="16" a="1"/>
  <c r="K151" i="14" a="1"/>
  <c r="K141" i="14" a="1"/>
  <c r="K131" i="14" a="1"/>
  <c r="K121" i="14" a="1"/>
  <c r="K111" i="14" a="1"/>
  <c r="K101" i="14" a="1"/>
  <c r="K91" i="14" a="1"/>
  <c r="K81" i="14" a="1"/>
  <c r="K71" i="14" a="1"/>
  <c r="K61" i="14" a="1"/>
  <c r="K51" i="14" a="1"/>
  <c r="K41" i="14" a="1"/>
  <c r="K31" i="14" a="1"/>
  <c r="K21" i="14" a="1"/>
  <c r="K11" i="14" a="1"/>
  <c r="K156" i="12" a="1"/>
  <c r="K146" i="12" a="1"/>
  <c r="K136" i="12" a="1"/>
  <c r="K126" i="12" a="1"/>
  <c r="K116" i="12" a="1"/>
  <c r="K106" i="12" a="1"/>
  <c r="K96" i="12" a="1"/>
  <c r="K86" i="12" a="1"/>
  <c r="K76" i="12" a="1"/>
  <c r="K66" i="12" a="1"/>
  <c r="K56" i="12" a="1"/>
  <c r="K46" i="12" a="1"/>
  <c r="K36" i="12" a="1"/>
  <c r="K26" i="12" a="1"/>
  <c r="K16" i="12" a="1"/>
  <c r="K6" i="12" a="1"/>
  <c r="K151" i="10" a="1"/>
  <c r="K141" i="10" a="1"/>
  <c r="K131" i="10" a="1"/>
  <c r="K121" i="10" a="1"/>
  <c r="K111" i="10" a="1"/>
  <c r="K101" i="10" a="1"/>
  <c r="K91" i="10" a="1"/>
  <c r="K81" i="10" a="1"/>
  <c r="K71" i="10" a="1"/>
  <c r="K61" i="10" a="1"/>
  <c r="K51" i="10" a="1"/>
  <c r="K41" i="10" a="1"/>
  <c r="K31" i="10" a="1"/>
  <c r="K155" i="16" a="1"/>
  <c r="K132" i="16" a="1"/>
  <c r="K109" i="16" a="1"/>
  <c r="K73" i="16" a="1"/>
  <c r="K50" i="16" a="1"/>
  <c r="K27" i="16" a="1"/>
  <c r="K14" i="16" a="1"/>
  <c r="K146" i="14" a="1"/>
  <c r="K123" i="14" a="1"/>
  <c r="K110" i="14" a="1"/>
  <c r="K87" i="14" a="1"/>
  <c r="K64" i="14" a="1"/>
  <c r="K28" i="14" a="1"/>
  <c r="K5" i="14" a="1"/>
  <c r="K137" i="12" a="1"/>
  <c r="K124" i="12" a="1"/>
  <c r="K101" i="12" a="1"/>
  <c r="K78" i="12" a="1"/>
  <c r="K65" i="12" a="1"/>
  <c r="K42" i="12" a="1"/>
  <c r="K19" i="12" a="1"/>
  <c r="K138" i="10" a="1"/>
  <c r="K115" i="10" a="1"/>
  <c r="K92" i="10" a="1"/>
  <c r="K79" i="10" a="1"/>
  <c r="K68" i="10" a="1"/>
  <c r="K57" i="10" a="1"/>
  <c r="K46" i="10" a="1"/>
  <c r="K35" i="10" a="1"/>
  <c r="K24" i="10" a="1"/>
  <c r="K13" i="10" a="1"/>
  <c r="K147" i="8" a="1"/>
  <c r="K136" i="8" a="1"/>
  <c r="K115" i="8" a="1"/>
  <c r="K94" i="8" a="1"/>
  <c r="K73" i="8" a="1"/>
  <c r="K52" i="8" a="1"/>
  <c r="K31" i="8" a="1"/>
  <c r="K10" i="8" a="1"/>
  <c r="K144" i="6" a="1"/>
  <c r="K123" i="6" a="1"/>
  <c r="K102" i="6" a="1"/>
  <c r="K91" i="6" a="1"/>
  <c r="K81" i="6" a="1"/>
  <c r="K71" i="6" a="1"/>
  <c r="K61" i="6" a="1"/>
  <c r="K51" i="6" a="1"/>
  <c r="K41" i="6" a="1"/>
  <c r="K31" i="6" a="1"/>
  <c r="K21" i="6" a="1"/>
  <c r="K11" i="6" a="1"/>
  <c r="K156" i="4" a="1"/>
  <c r="K146" i="4" a="1"/>
  <c r="K136" i="4" a="1"/>
  <c r="K126" i="4" a="1"/>
  <c r="K116" i="4" a="1"/>
  <c r="K106" i="4" a="1"/>
  <c r="K96" i="4" a="1"/>
  <c r="K86" i="4" a="1"/>
  <c r="K76" i="4" a="1"/>
  <c r="K66" i="4" a="1"/>
  <c r="K56" i="4" a="1"/>
  <c r="K46" i="4" a="1"/>
  <c r="K36" i="4" a="1"/>
  <c r="K26" i="4" a="1"/>
  <c r="K143" i="16" a="1"/>
  <c r="K120" i="16" a="1"/>
  <c r="K97" i="16" a="1"/>
  <c r="K84" i="16" a="1"/>
  <c r="K61" i="16" a="1"/>
  <c r="K38" i="16" a="1"/>
  <c r="K25" i="16" a="1"/>
  <c r="K2" i="16" a="1"/>
  <c r="K134" i="14" a="1"/>
  <c r="K98" i="14" a="1"/>
  <c r="K75" i="14" a="1"/>
  <c r="K52" i="14" a="1"/>
  <c r="K39" i="14" a="1"/>
  <c r="K16" i="14" a="1"/>
  <c r="K148" i="12" a="1"/>
  <c r="K135" i="12" a="1"/>
  <c r="K112" i="12" a="1"/>
  <c r="K89" i="12" a="1"/>
  <c r="K53" i="12" a="1"/>
  <c r="K30" i="12" a="1"/>
  <c r="K7" i="12" a="1"/>
  <c r="K149" i="10" a="1"/>
  <c r="K126" i="10" a="1"/>
  <c r="K103" i="10" a="1"/>
  <c r="K90" i="10" a="1"/>
  <c r="K2" i="10" a="1"/>
  <c r="K146" i="8" a="1"/>
  <c r="K125" i="8" a="1"/>
  <c r="K104" i="8" a="1"/>
  <c r="K83" i="8" a="1"/>
  <c r="K62" i="8" a="1"/>
  <c r="K41" i="8" a="1"/>
  <c r="K20" i="8" a="1"/>
  <c r="K154" i="6" a="1"/>
  <c r="K133" i="6" a="1"/>
  <c r="K112" i="6" a="1"/>
  <c r="K101" i="6" a="1"/>
  <c r="K140" i="16" a="1"/>
  <c r="K117" i="16" a="1"/>
  <c r="K104" i="16" a="1"/>
  <c r="K81" i="16" a="1"/>
  <c r="K58" i="16" a="1"/>
  <c r="K45" i="16" a="1"/>
  <c r="K22" i="16" a="1"/>
  <c r="K154" i="14" a="1"/>
  <c r="K118" i="14" a="1"/>
  <c r="K95" i="14" a="1"/>
  <c r="K72" i="14" a="1"/>
  <c r="K59" i="14" a="1"/>
  <c r="K36" i="14" a="1"/>
  <c r="K13" i="14" a="1"/>
  <c r="K155" i="12" a="1"/>
  <c r="K132" i="12" a="1"/>
  <c r="K109" i="12" a="1"/>
  <c r="K73" i="12" a="1"/>
  <c r="K50" i="12" a="1"/>
  <c r="K27" i="12" a="1"/>
  <c r="K14" i="12" a="1"/>
  <c r="K146" i="10" a="1"/>
  <c r="K123" i="10" a="1"/>
  <c r="K110" i="10" a="1"/>
  <c r="K87" i="10" a="1"/>
  <c r="K9" i="10" a="1"/>
  <c r="K143" i="8" a="1"/>
  <c r="K122" i="8" a="1"/>
  <c r="K101" i="8" a="1"/>
  <c r="K80" i="8" a="1"/>
  <c r="K154" i="16" a="1"/>
  <c r="K141" i="16" a="1"/>
  <c r="K113" i="16" a="1"/>
  <c r="K100" i="16" a="1"/>
  <c r="K87" i="16" a="1"/>
  <c r="K3" i="16" a="1"/>
  <c r="K144" i="14" a="1"/>
  <c r="K129" i="14" a="1"/>
  <c r="K116" i="14" a="1"/>
  <c r="K103" i="14" a="1"/>
  <c r="K60" i="14" a="1"/>
  <c r="K19" i="14" a="1"/>
  <c r="K6" i="14" a="1"/>
  <c r="K147" i="12" a="1"/>
  <c r="K119" i="12" a="1"/>
  <c r="K63" i="12" a="1"/>
  <c r="K35" i="12" a="1"/>
  <c r="K22" i="12" a="1"/>
  <c r="K9" i="12" a="1"/>
  <c r="K122" i="10" a="1"/>
  <c r="K80" i="10" a="1"/>
  <c r="K54" i="10" a="1"/>
  <c r="K40" i="10" a="1"/>
  <c r="K15" i="10" a="1"/>
  <c r="K3" i="10" a="1"/>
  <c r="K132" i="8" a="1"/>
  <c r="K120" i="8" a="1"/>
  <c r="K108" i="8" a="1"/>
  <c r="K59" i="8" a="1"/>
  <c r="K24" i="8" a="1"/>
  <c r="K156" i="6" a="1"/>
  <c r="K132" i="6" a="1"/>
  <c r="K120" i="6" a="1"/>
  <c r="K97" i="6" a="1"/>
  <c r="K127" i="16" a="1"/>
  <c r="K85" i="16" a="1"/>
  <c r="K71" i="16" a="1"/>
  <c r="K43" i="16" a="1"/>
  <c r="K30" i="16" a="1"/>
  <c r="K17" i="16" a="1"/>
  <c r="K88" i="14" a="1"/>
  <c r="K74" i="14" a="1"/>
  <c r="K46" i="14" a="1"/>
  <c r="K33" i="14" a="1"/>
  <c r="K145" i="12" a="1"/>
  <c r="K104" i="12" a="1"/>
  <c r="K91" i="12" a="1"/>
  <c r="K77" i="12" a="1"/>
  <c r="K49" i="12" a="1"/>
  <c r="K148" i="10" a="1"/>
  <c r="K135" i="10" a="1"/>
  <c r="K120" i="10" a="1"/>
  <c r="K107" i="10" a="1"/>
  <c r="K94" i="10" a="1"/>
  <c r="K66" i="10" a="1"/>
  <c r="K53" i="10" a="1"/>
  <c r="K27" i="10" a="1"/>
  <c r="K156" i="8" a="1"/>
  <c r="K144" i="8" a="1"/>
  <c r="K95" i="8" a="1"/>
  <c r="K82" i="8" a="1"/>
  <c r="K70" i="8" a="1"/>
  <c r="K47" i="8" a="1"/>
  <c r="K35" i="8" a="1"/>
  <c r="K12" i="8" a="1"/>
  <c r="K143" i="6" a="1"/>
  <c r="K131" i="6" a="1"/>
  <c r="K108" i="6" a="1"/>
  <c r="K85" i="6" a="1"/>
  <c r="K74" i="6" a="1"/>
  <c r="K63" i="6" a="1"/>
  <c r="K52" i="6" a="1"/>
  <c r="K40" i="6" a="1"/>
  <c r="K29" i="6" a="1"/>
  <c r="K18" i="6" a="1"/>
  <c r="K7" i="6" a="1"/>
  <c r="K151" i="4" a="1"/>
  <c r="K140" i="4" a="1"/>
  <c r="K129" i="4" a="1"/>
  <c r="K118" i="4" a="1"/>
  <c r="K107" i="4" a="1"/>
  <c r="K95" i="4" a="1"/>
  <c r="K84" i="4" a="1"/>
  <c r="K73" i="4" a="1"/>
  <c r="K62" i="4" a="1"/>
  <c r="K51" i="4" a="1"/>
  <c r="K40" i="4" a="1"/>
  <c r="K29" i="4" a="1"/>
  <c r="K18" i="4" a="1"/>
  <c r="K8" i="4" a="1"/>
  <c r="K153" i="2" a="1"/>
  <c r="K143" i="2" a="1"/>
  <c r="K133" i="2" a="1"/>
  <c r="K123" i="2" a="1"/>
  <c r="K113" i="2" a="1"/>
  <c r="K103" i="2" a="1"/>
  <c r="K93" i="2" a="1"/>
  <c r="K83" i="2" a="1"/>
  <c r="K73" i="2" a="1"/>
  <c r="K63" i="2" a="1"/>
  <c r="K53" i="2" a="1"/>
  <c r="K43" i="2" a="1"/>
  <c r="K33" i="2" a="1"/>
  <c r="K23" i="2" a="1"/>
  <c r="K13" i="2" a="1"/>
  <c r="K3" i="2" a="1"/>
  <c r="K153" i="16" a="1"/>
  <c r="K125" i="16" a="1"/>
  <c r="K112" i="16" a="1"/>
  <c r="K99" i="16" a="1"/>
  <c r="K57" i="16" a="1"/>
  <c r="K15" i="16" a="1"/>
  <c r="K156" i="14" a="1"/>
  <c r="K143" i="14" a="1"/>
  <c r="K128" i="14" a="1"/>
  <c r="K115" i="14" a="1"/>
  <c r="K102" i="14" a="1"/>
  <c r="K18" i="14" a="1"/>
  <c r="K4" i="14" a="1"/>
  <c r="K131" i="12" a="1"/>
  <c r="K118" i="12" a="1"/>
  <c r="K75" i="12" a="1"/>
  <c r="K62" i="12" a="1"/>
  <c r="K34" i="12" a="1"/>
  <c r="K21" i="12" a="1"/>
  <c r="K8" i="12" a="1"/>
  <c r="K134" i="10" a="1"/>
  <c r="K78" i="10" a="1"/>
  <c r="K39" i="10" a="1"/>
  <c r="K14" i="10" a="1"/>
  <c r="K131" i="8" a="1"/>
  <c r="K119" i="8" a="1"/>
  <c r="K107" i="8" a="1"/>
  <c r="K58" i="8" a="1"/>
  <c r="K46" i="8" a="1"/>
  <c r="K23" i="8" a="1"/>
  <c r="K155" i="6" a="1"/>
  <c r="K119" i="6" a="1"/>
  <c r="K96" i="6" a="1"/>
  <c r="K150" i="16" a="1"/>
  <c r="K134" i="16" a="1"/>
  <c r="K121" i="16" a="1"/>
  <c r="K107" i="16" a="1"/>
  <c r="K92" i="16" a="1"/>
  <c r="K79" i="16" a="1"/>
  <c r="K23" i="16" a="1"/>
  <c r="K150" i="14" a="1"/>
  <c r="K137" i="14" a="1"/>
  <c r="K124" i="14" a="1"/>
  <c r="K82" i="14" a="1"/>
  <c r="K40" i="14" a="1"/>
  <c r="K26" i="14" a="1"/>
  <c r="K153" i="12" a="1"/>
  <c r="K140" i="12" a="1"/>
  <c r="K127" i="12" a="1"/>
  <c r="K43" i="12" a="1"/>
  <c r="K29" i="12" a="1"/>
  <c r="K156" i="10" a="1"/>
  <c r="K143" i="10" a="1"/>
  <c r="K100" i="10" a="1"/>
  <c r="K60" i="10" a="1"/>
  <c r="K34" i="10" a="1"/>
  <c r="K8" i="10" a="1"/>
  <c r="K151" i="8" a="1"/>
  <c r="K139" i="8" a="1"/>
  <c r="K127" i="8" a="1"/>
  <c r="K89" i="8" a="1"/>
  <c r="K77" i="8" a="1"/>
  <c r="K65" i="8" a="1"/>
  <c r="K42" i="8" a="1"/>
  <c r="K18" i="8" a="1"/>
  <c r="K6" i="8" a="1"/>
  <c r="K138" i="6" a="1"/>
  <c r="K115" i="6" a="1"/>
  <c r="K92" i="6" a="1"/>
  <c r="K135" i="16" a="1"/>
  <c r="K67" i="16" a="1"/>
  <c r="K49" i="16" a="1"/>
  <c r="K32" i="16" a="1"/>
  <c r="K13" i="16" a="1"/>
  <c r="K83" i="14" a="1"/>
  <c r="K66" i="14" a="1"/>
  <c r="K30" i="14" a="1"/>
  <c r="K14" i="14" a="1"/>
  <c r="K134" i="12" a="1"/>
  <c r="K117" i="12" a="1"/>
  <c r="K82" i="12" a="1"/>
  <c r="K67" i="12" a="1"/>
  <c r="K31" i="12" a="1"/>
  <c r="K133" i="10" a="1"/>
  <c r="K98" i="10" a="1"/>
  <c r="K83" i="10" a="1"/>
  <c r="K64" i="10" a="1"/>
  <c r="K140" i="8" a="1"/>
  <c r="K124" i="8" a="1"/>
  <c r="K78" i="8" a="1"/>
  <c r="K49" i="8" a="1"/>
  <c r="K19" i="8" a="1"/>
  <c r="K146" i="6" a="1"/>
  <c r="K116" i="6" a="1"/>
  <c r="K87" i="6" a="1"/>
  <c r="K45" i="6" a="1"/>
  <c r="K32" i="6" a="1"/>
  <c r="K144" i="4" a="1"/>
  <c r="K131" i="4" a="1"/>
  <c r="K89" i="4" a="1"/>
  <c r="K75" i="4" a="1"/>
  <c r="K33" i="4" a="1"/>
  <c r="K20" i="4" a="1"/>
  <c r="K137" i="2" a="1"/>
  <c r="K125" i="2" a="1"/>
  <c r="K87" i="2" a="1"/>
  <c r="K75" i="2" a="1"/>
  <c r="K26" i="2" a="1"/>
  <c r="K63" i="14" a="1"/>
  <c r="K29" i="10" a="1"/>
  <c r="K152" i="16" a="1"/>
  <c r="K118" i="16" a="1"/>
  <c r="K101" i="16" a="1"/>
  <c r="K82" i="16" a="1"/>
  <c r="K65" i="16" a="1"/>
  <c r="K152" i="14" a="1"/>
  <c r="K135" i="14" a="1"/>
  <c r="K117" i="14" a="1"/>
  <c r="K99" i="14" a="1"/>
  <c r="K48" i="14" a="1"/>
  <c r="K151" i="12" a="1"/>
  <c r="K115" i="12" a="1"/>
  <c r="K99" i="12" a="1"/>
  <c r="K64" i="12" a="1"/>
  <c r="K47" i="12" a="1"/>
  <c r="K12" i="12" a="1"/>
  <c r="K152" i="10" a="1"/>
  <c r="K116" i="10" a="1"/>
  <c r="K48" i="10" a="1"/>
  <c r="K32" i="10" a="1"/>
  <c r="K16" i="10" a="1"/>
  <c r="K154" i="8" a="1"/>
  <c r="K109" i="8" a="1"/>
  <c r="K92" i="8" a="1"/>
  <c r="K63" i="8" a="1"/>
  <c r="K33" i="8" a="1"/>
  <c r="K4" i="8" a="1"/>
  <c r="K129" i="6" a="1"/>
  <c r="K100" i="6" a="1"/>
  <c r="K72" i="6" a="1"/>
  <c r="K58" i="6" a="1"/>
  <c r="K16" i="6" a="1"/>
  <c r="K3" i="6" a="1"/>
  <c r="K115" i="4" a="1"/>
  <c r="K102" i="4" a="1"/>
  <c r="K60" i="4" a="1"/>
  <c r="K47" i="4" a="1"/>
  <c r="K6" i="4" a="1"/>
  <c r="K149" i="2" a="1"/>
  <c r="K111" i="2" a="1"/>
  <c r="K99" i="2" a="1"/>
  <c r="K61" i="2" a="1"/>
  <c r="K49" i="2" a="1"/>
  <c r="K37" i="2" a="1"/>
  <c r="K79" i="14" a="1"/>
  <c r="K130" i="12" a="1"/>
  <c r="K44" i="12" a="1"/>
  <c r="K113" i="10" a="1"/>
  <c r="K45" i="10" a="1"/>
  <c r="K151" i="16" a="1"/>
  <c r="K64" i="16" a="1"/>
  <c r="K48" i="16" a="1"/>
  <c r="K31" i="16" a="1"/>
  <c r="K12" i="16" a="1"/>
  <c r="K80" i="14" a="1"/>
  <c r="K65" i="14" a="1"/>
  <c r="K47" i="14" a="1"/>
  <c r="K29" i="14" a="1"/>
  <c r="K12" i="14" a="1"/>
  <c r="K133" i="12" a="1"/>
  <c r="K98" i="12" a="1"/>
  <c r="K81" i="12" a="1"/>
  <c r="K45" i="12" a="1"/>
  <c r="K150" i="10" a="1"/>
  <c r="K132" i="10" a="1"/>
  <c r="K114" i="10" a="1"/>
  <c r="K97" i="10" a="1"/>
  <c r="K82" i="10" a="1"/>
  <c r="K63" i="10" a="1"/>
  <c r="K47" i="10" a="1"/>
  <c r="K30" i="10" a="1"/>
  <c r="K153" i="8" a="1"/>
  <c r="K123" i="8" a="1"/>
  <c r="K76" i="8" a="1"/>
  <c r="K48" i="8" a="1"/>
  <c r="K145" i="6" a="1"/>
  <c r="K86" i="6" a="1"/>
  <c r="K57" i="6" a="1"/>
  <c r="K44" i="6" a="1"/>
  <c r="K30" i="6" a="1"/>
  <c r="K2" i="6" a="1"/>
  <c r="K143" i="4" a="1"/>
  <c r="K130" i="4" a="1"/>
  <c r="K101" i="4" a="1"/>
  <c r="K88" i="4" a="1"/>
  <c r="K74" i="4" a="1"/>
  <c r="K45" i="4" a="1"/>
  <c r="K32" i="4" a="1"/>
  <c r="K19" i="4" a="1"/>
  <c r="K148" i="2" a="1"/>
  <c r="K136" i="2" a="1"/>
  <c r="K124" i="2" a="1"/>
  <c r="K98" i="2" a="1"/>
  <c r="K86" i="2" a="1"/>
  <c r="K74" i="2" a="1"/>
  <c r="K48" i="2" a="1"/>
  <c r="K25" i="2" a="1"/>
  <c r="K12" i="2" a="1"/>
  <c r="K98" i="16" a="1"/>
  <c r="K11" i="16" a="1"/>
  <c r="K27" i="14" a="1"/>
  <c r="K80" i="12" a="1"/>
  <c r="K77" i="10" a="1"/>
  <c r="K152" i="8" a="1"/>
  <c r="K90" i="8" a="1"/>
  <c r="K75" i="8" a="1"/>
  <c r="K45" i="8" a="1"/>
  <c r="K141" i="6" a="1"/>
  <c r="K133" i="16" a="1"/>
  <c r="K115" i="16" a="1"/>
  <c r="K29" i="16" a="1"/>
  <c r="K149" i="14" a="1"/>
  <c r="K133" i="14" a="1"/>
  <c r="K97" i="14" a="1"/>
  <c r="K45" i="14" a="1"/>
  <c r="K10" i="14" a="1"/>
  <c r="K150" i="12" a="1"/>
  <c r="K114" i="12" a="1"/>
  <c r="K97" i="12" a="1"/>
  <c r="K61" i="12" a="1"/>
  <c r="K28" i="12" a="1"/>
  <c r="K11" i="12" a="1"/>
  <c r="K147" i="10" a="1"/>
  <c r="K130" i="10" a="1"/>
  <c r="K138" i="8" a="1"/>
  <c r="K106" i="8" a="1"/>
  <c r="K91" i="8" a="1"/>
  <c r="K61" i="8" a="1"/>
  <c r="K32" i="8" a="1"/>
  <c r="K17" i="8" a="1"/>
  <c r="K3" i="8" a="1"/>
  <c r="K142" i="6" a="1"/>
  <c r="K128" i="6" a="1"/>
  <c r="K114" i="6" a="1"/>
  <c r="K99" i="6" a="1"/>
  <c r="K84" i="6" a="1"/>
  <c r="K70" i="6" a="1"/>
  <c r="K28" i="6" a="1"/>
  <c r="K15" i="6" a="1"/>
  <c r="K128" i="4" a="1"/>
  <c r="K114" i="4" a="1"/>
  <c r="K72" i="4" a="1"/>
  <c r="K59" i="4" a="1"/>
  <c r="K5" i="4" a="1"/>
  <c r="K122" i="2" a="1"/>
  <c r="K110" i="2" a="1"/>
  <c r="K72" i="2" a="1"/>
  <c r="K60" i="2" a="1"/>
  <c r="K36" i="2" a="1"/>
  <c r="K80" i="16" a="1"/>
  <c r="K63" i="16" a="1"/>
  <c r="K47" i="16" a="1"/>
  <c r="K114" i="14" a="1"/>
  <c r="K95" i="12" a="1"/>
  <c r="K96" i="10" a="1"/>
  <c r="K62" i="10" a="1"/>
  <c r="K12" i="10" a="1"/>
  <c r="K16" i="8" a="1"/>
  <c r="K149" i="16" a="1"/>
  <c r="K128" i="16" a="1"/>
  <c r="K59" i="16" a="1"/>
  <c r="K35" i="16" a="1"/>
  <c r="K10" i="16" a="1"/>
  <c r="K122" i="14" a="1"/>
  <c r="K96" i="14" a="1"/>
  <c r="K76" i="14" a="1"/>
  <c r="K139" i="12" a="1"/>
  <c r="K113" i="12" a="1"/>
  <c r="K92" i="12" a="1"/>
  <c r="K155" i="10" a="1"/>
  <c r="K129" i="10" a="1"/>
  <c r="K108" i="10" a="1"/>
  <c r="K19" i="10" a="1"/>
  <c r="K133" i="8" a="1"/>
  <c r="K71" i="8" a="1"/>
  <c r="K30" i="8" a="1"/>
  <c r="K13" i="8" a="1"/>
  <c r="K127" i="6" a="1"/>
  <c r="K109" i="6" a="1"/>
  <c r="K73" i="6" a="1"/>
  <c r="K37" i="6" a="1"/>
  <c r="K4" i="6" a="1"/>
  <c r="K139" i="4" a="1"/>
  <c r="K105" i="4" a="1"/>
  <c r="K70" i="4" a="1"/>
  <c r="K37" i="4" a="1"/>
  <c r="K142" i="2" a="1"/>
  <c r="K112" i="2" a="1"/>
  <c r="K80" i="2" a="1"/>
  <c r="K50" i="2" a="1"/>
  <c r="K34" i="2" a="1"/>
  <c r="K19" i="2" a="1"/>
  <c r="K8" i="16" a="1"/>
  <c r="K68" i="12" a="1"/>
  <c r="K127" i="10" a="1"/>
  <c r="K84" i="10" a="1"/>
  <c r="K50" i="8" a="1"/>
  <c r="K9" i="8" a="1"/>
  <c r="K125" i="6" a="1"/>
  <c r="K88" i="6" a="1"/>
  <c r="K53" i="6" a="1"/>
  <c r="K19" i="6" a="1"/>
  <c r="K121" i="4" a="1"/>
  <c r="K52" i="4" a="1"/>
  <c r="K156" i="2" a="1"/>
  <c r="K108" i="2" a="1"/>
  <c r="K64" i="2" a="1"/>
  <c r="K31" i="2" a="1"/>
  <c r="K102" i="16" a="1"/>
  <c r="K77" i="16" a="1"/>
  <c r="K139" i="14" a="1"/>
  <c r="K2" i="14" a="1"/>
  <c r="K18" i="12" a="1"/>
  <c r="K37" i="10" a="1"/>
  <c r="K17" i="10" a="1"/>
  <c r="K129" i="8" a="1"/>
  <c r="K87" i="8" a="1"/>
  <c r="K137" i="4" a="1"/>
  <c r="K15" i="4" a="1"/>
  <c r="K140" i="2" a="1"/>
  <c r="K92" i="2" a="1"/>
  <c r="K2" i="2" a="1"/>
  <c r="K44" i="14" a="1"/>
  <c r="K60" i="12" a="1"/>
  <c r="K125" i="10" a="1"/>
  <c r="K86" i="8" a="1"/>
  <c r="K148" i="16" a="1"/>
  <c r="K55" i="16" a="1"/>
  <c r="K9" i="16" a="1"/>
  <c r="K142" i="14" a="1"/>
  <c r="K120" i="14" a="1"/>
  <c r="K73" i="14" a="1"/>
  <c r="K53" i="14" a="1"/>
  <c r="K111" i="12" a="1"/>
  <c r="K90" i="12" a="1"/>
  <c r="K69" i="12" a="1"/>
  <c r="K128" i="10" a="1"/>
  <c r="K106" i="10" a="1"/>
  <c r="K85" i="10" a="1"/>
  <c r="K112" i="8" a="1"/>
  <c r="K69" i="8" a="1"/>
  <c r="K51" i="8" a="1"/>
  <c r="K29" i="8" a="1"/>
  <c r="K11" i="8" a="1"/>
  <c r="K148" i="6" a="1"/>
  <c r="K126" i="6" a="1"/>
  <c r="K107" i="6" a="1"/>
  <c r="K89" i="6" a="1"/>
  <c r="K54" i="6" a="1"/>
  <c r="K20" i="6" a="1"/>
  <c r="K155" i="4" a="1"/>
  <c r="K122" i="4" a="1"/>
  <c r="K87" i="4" a="1"/>
  <c r="K53" i="4" a="1"/>
  <c r="K2" i="4" a="1"/>
  <c r="K127" i="2" a="1"/>
  <c r="K95" i="2" a="1"/>
  <c r="K65" i="2" a="1"/>
  <c r="K47" i="2" a="1"/>
  <c r="K32" i="2" a="1"/>
  <c r="K5" i="2" a="1"/>
  <c r="K33" i="16" a="1"/>
  <c r="K119" i="14" a="1"/>
  <c r="K88" i="12" a="1"/>
  <c r="K105" i="10" a="1"/>
  <c r="K68" i="8" a="1"/>
  <c r="K147" i="6" a="1"/>
  <c r="K68" i="6" a="1"/>
  <c r="K154" i="4" a="1"/>
  <c r="K85" i="4" a="1"/>
  <c r="K34" i="4" a="1"/>
  <c r="K126" i="2" a="1"/>
  <c r="K78" i="2" a="1"/>
  <c r="K145" i="16" a="1"/>
  <c r="K93" i="14" a="1"/>
  <c r="K49" i="14" a="1"/>
  <c r="K40" i="12" a="1"/>
  <c r="K153" i="10" a="1"/>
  <c r="K58" i="10" a="1"/>
  <c r="K149" i="8" a="1"/>
  <c r="K110" i="8" a="1"/>
  <c r="K50" i="6" a="1"/>
  <c r="K103" i="4" a="1"/>
  <c r="K83" i="4" a="1"/>
  <c r="K50" i="4" a="1"/>
  <c r="K62" i="2" a="1"/>
  <c r="K17" i="2" a="1"/>
  <c r="K28" i="16" a="1"/>
  <c r="K23" i="14" a="1"/>
  <c r="K104" i="10" a="1"/>
  <c r="K8" i="8" a="1"/>
  <c r="K124" i="16" a="1"/>
  <c r="K103" i="16" a="1"/>
  <c r="K78" i="16" a="1"/>
  <c r="K34" i="16" a="1"/>
  <c r="K140" i="14" a="1"/>
  <c r="K94" i="14" a="1"/>
  <c r="K50" i="14" a="1"/>
  <c r="K25" i="14" a="1"/>
  <c r="K3" i="14" a="1"/>
  <c r="K138" i="12" a="1"/>
  <c r="K41" i="12" a="1"/>
  <c r="K20" i="12" a="1"/>
  <c r="K154" i="10" a="1"/>
  <c r="K59" i="10" a="1"/>
  <c r="K38" i="10" a="1"/>
  <c r="K18" i="10" a="1"/>
  <c r="K150" i="8" a="1"/>
  <c r="K130" i="8" a="1"/>
  <c r="K111" i="8" a="1"/>
  <c r="K88" i="8" a="1"/>
  <c r="K69" i="6" a="1"/>
  <c r="K36" i="6" a="1"/>
  <c r="K138" i="4" a="1"/>
  <c r="K104" i="4" a="1"/>
  <c r="K69" i="4" a="1"/>
  <c r="K35" i="4" a="1"/>
  <c r="K16" i="4" a="1"/>
  <c r="K141" i="2" a="1"/>
  <c r="K109" i="2" a="1"/>
  <c r="K79" i="2" a="1"/>
  <c r="K18" i="2" a="1"/>
  <c r="K147" i="16" a="1"/>
  <c r="K54" i="16" a="1"/>
  <c r="K70" i="14" a="1"/>
  <c r="K24" i="14" a="1"/>
  <c r="K110" i="12" a="1"/>
  <c r="K28" i="8" a="1"/>
  <c r="K106" i="6" a="1"/>
  <c r="K35" i="6" a="1"/>
  <c r="K68" i="4" a="1"/>
  <c r="K94" i="2" a="1"/>
  <c r="K46" i="2" a="1"/>
  <c r="K4" i="2" a="1"/>
  <c r="K123" i="16" a="1"/>
  <c r="K95" i="16" a="1"/>
  <c r="K75" i="16" a="1"/>
  <c r="K53" i="16" a="1"/>
  <c r="K7" i="16" a="1"/>
  <c r="K69" i="14" a="1"/>
  <c r="K87" i="12" a="1"/>
  <c r="K11" i="10" a="1"/>
  <c r="K105" i="8" a="1"/>
  <c r="K67" i="8" a="1"/>
  <c r="K27" i="8" a="1"/>
  <c r="K144" i="16" a="1"/>
  <c r="K19" i="16" a="1"/>
  <c r="K125" i="12" a="1"/>
  <c r="K94" i="12" a="1"/>
  <c r="K145" i="10" a="1"/>
  <c r="K118" i="10" a="1"/>
  <c r="K52" i="10" a="1"/>
  <c r="K23" i="10" a="1"/>
  <c r="K36" i="8" a="1"/>
  <c r="K2" i="8" a="1"/>
  <c r="K79" i="6" a="1"/>
  <c r="K59" i="6" a="1"/>
  <c r="K10" i="6" a="1"/>
  <c r="K97" i="4" a="1"/>
  <c r="K49" i="4" a="1"/>
  <c r="K7" i="4" a="1"/>
  <c r="K139" i="2" a="1"/>
  <c r="K118" i="2" a="1"/>
  <c r="K100" i="2" a="1"/>
  <c r="K56" i="2" a="1"/>
  <c r="K38" i="2" a="1"/>
  <c r="K16" i="2" a="1"/>
  <c r="K34" i="8" a="1"/>
  <c r="K142" i="4" a="1"/>
  <c r="K94" i="4" a="1"/>
  <c r="K25" i="4" a="1"/>
  <c r="K76" i="2" a="1"/>
  <c r="K142" i="16" a="1"/>
  <c r="K18" i="16" a="1"/>
  <c r="K67" i="14" a="1"/>
  <c r="K154" i="12" a="1"/>
  <c r="K93" i="12" a="1"/>
  <c r="K57" i="12" a="1"/>
  <c r="K144" i="10" a="1"/>
  <c r="K76" i="10" a="1"/>
  <c r="K22" i="10" a="1"/>
  <c r="K116" i="8" a="1"/>
  <c r="K26" i="8" a="1"/>
  <c r="K103" i="6" a="1"/>
  <c r="K9" i="6" a="1"/>
  <c r="K117" i="4" a="1"/>
  <c r="K48" i="4" a="1"/>
  <c r="K4" i="4" a="1"/>
  <c r="K35" i="2" a="1"/>
  <c r="K74" i="16" a="1"/>
  <c r="K104" i="14" a="1"/>
  <c r="K24" i="12" a="1"/>
  <c r="K75" i="10" a="1"/>
  <c r="K153" i="6" a="1"/>
  <c r="K111" i="16" a="1"/>
  <c r="K83" i="16" a="1"/>
  <c r="K44" i="16" a="1"/>
  <c r="K136" i="14" a="1"/>
  <c r="K105" i="14" a="1"/>
  <c r="K68" i="14" a="1"/>
  <c r="K37" i="14" a="1"/>
  <c r="K7" i="14" a="1"/>
  <c r="K58" i="12" a="1"/>
  <c r="K25" i="12" a="1"/>
  <c r="K86" i="10" a="1"/>
  <c r="K145" i="8" a="1"/>
  <c r="K117" i="8" a="1"/>
  <c r="K85" i="8" a="1"/>
  <c r="K57" i="8" a="1"/>
  <c r="K134" i="6" a="1"/>
  <c r="K104" i="6" a="1"/>
  <c r="K56" i="6" a="1"/>
  <c r="K33" i="6" a="1"/>
  <c r="K119" i="4" a="1"/>
  <c r="K138" i="2" a="1"/>
  <c r="K97" i="2" a="1"/>
  <c r="K42" i="16" a="1"/>
  <c r="K132" i="14" a="1"/>
  <c r="K123" i="12" a="1"/>
  <c r="K117" i="10" a="1"/>
  <c r="K50" i="10" a="1"/>
  <c r="K56" i="8" a="1"/>
  <c r="K78" i="6" a="1"/>
  <c r="K71" i="4" a="1"/>
  <c r="K117" i="2" a="1"/>
  <c r="K55" i="2" a="1"/>
  <c r="K15" i="2" a="1"/>
  <c r="K110" i="16" a="1"/>
  <c r="K130" i="14" a="1"/>
  <c r="K55" i="12" a="1"/>
  <c r="K20" i="10" a="1"/>
  <c r="K142" i="8" a="1"/>
  <c r="K84" i="8" a="1"/>
  <c r="K130" i="6" a="1"/>
  <c r="K55" i="6" a="1"/>
  <c r="K141" i="4" a="1"/>
  <c r="K131" i="16" a="1"/>
  <c r="K94" i="16" a="1"/>
  <c r="K68" i="16" a="1"/>
  <c r="K37" i="16" a="1"/>
  <c r="K155" i="14" a="1"/>
  <c r="K125" i="14" a="1"/>
  <c r="K89" i="14" a="1"/>
  <c r="K22" i="14" a="1"/>
  <c r="K143" i="12" a="1"/>
  <c r="K79" i="12" a="1"/>
  <c r="K51" i="12" a="1"/>
  <c r="K13" i="12" a="1"/>
  <c r="K102" i="10" a="1"/>
  <c r="K42" i="10" a="1"/>
  <c r="K7" i="10" a="1"/>
  <c r="K102" i="8" a="1"/>
  <c r="K149" i="6" a="1"/>
  <c r="K94" i="6" a="1"/>
  <c r="K67" i="6" a="1"/>
  <c r="K47" i="6" a="1"/>
  <c r="K24" i="6" a="1"/>
  <c r="K153" i="4" a="1"/>
  <c r="K110" i="4" a="1"/>
  <c r="K41" i="4" a="1"/>
  <c r="K151" i="2" a="1"/>
  <c r="K107" i="2" a="1"/>
  <c r="K89" i="2" a="1"/>
  <c r="K68" i="2" a="1"/>
  <c r="K45" i="2" a="1"/>
  <c r="K8" i="2" a="1"/>
  <c r="K86" i="14" a="1"/>
  <c r="K56" i="14" a="1"/>
  <c r="K20" i="14" a="1"/>
  <c r="K108" i="12" a="1"/>
  <c r="K10" i="12" a="1"/>
  <c r="K137" i="10" a="1"/>
  <c r="K70" i="10" a="1"/>
  <c r="K36" i="10" a="1"/>
  <c r="K134" i="8" a="1"/>
  <c r="K74" i="8" a="1"/>
  <c r="K43" i="8" a="1"/>
  <c r="K140" i="6" a="1"/>
  <c r="K118" i="6" a="1"/>
  <c r="K46" i="6" a="1"/>
  <c r="K132" i="4" a="1"/>
  <c r="K82" i="4" a="1"/>
  <c r="K63" i="4" a="1"/>
  <c r="K39" i="4" a="1"/>
  <c r="K14" i="4" a="1"/>
  <c r="K130" i="2" a="1"/>
  <c r="K88" i="2" a="1"/>
  <c r="K27" i="2" a="1"/>
  <c r="K130" i="16" a="1"/>
  <c r="K93" i="16" a="1"/>
  <c r="K142" i="12" a="1"/>
  <c r="K74" i="12" a="1"/>
  <c r="K48" i="12" a="1"/>
  <c r="K139" i="16" a="1"/>
  <c r="K147" i="14" a="1"/>
  <c r="K92" i="14" a="1"/>
  <c r="K56" i="10" a="1"/>
  <c r="K126" i="8" a="1"/>
  <c r="K81" i="8" a="1"/>
  <c r="K109" i="4" a="1"/>
  <c r="K13" i="4" a="1"/>
  <c r="K145" i="2" a="1"/>
  <c r="K116" i="2" a="1"/>
  <c r="K58" i="2" a="1"/>
  <c r="K30" i="2" a="1"/>
  <c r="K7" i="2" a="1"/>
  <c r="K85" i="14" a="1"/>
  <c r="K84" i="12" a="1"/>
  <c r="K77" i="6" a="1"/>
  <c r="K133" i="4" a="1"/>
  <c r="K11" i="4" a="1"/>
  <c r="K114" i="2" a="1"/>
  <c r="K28" i="2" a="1"/>
  <c r="K84" i="14" a="1"/>
  <c r="K83" i="12" a="1"/>
  <c r="K5" i="10" a="1"/>
  <c r="K118" i="8" a="1"/>
  <c r="K99" i="4" a="1"/>
  <c r="K106" i="2" a="1"/>
  <c r="K54" i="2" a="1"/>
  <c r="K129" i="16" a="1"/>
  <c r="K44" i="10" a="1"/>
  <c r="K114" i="8" a="1"/>
  <c r="K76" i="6" a="1"/>
  <c r="K38" i="4" a="1"/>
  <c r="K134" i="2" a="1"/>
  <c r="K81" i="2" a="1"/>
  <c r="K72" i="16" a="1"/>
  <c r="K113" i="8" a="1"/>
  <c r="K127" i="4" a="1"/>
  <c r="K132" i="2" a="1"/>
  <c r="K22" i="2" a="1"/>
  <c r="K21" i="16" a="1"/>
  <c r="K126" i="14" a="1"/>
  <c r="K43" i="10" a="1"/>
  <c r="K25" i="8" a="1"/>
  <c r="K31" i="4" a="1"/>
  <c r="K77" i="2" a="1"/>
  <c r="K109" i="14" a="1"/>
  <c r="K70" i="12" a="1"/>
  <c r="K64" i="6" a="1"/>
  <c r="K120" i="4" a="1"/>
  <c r="K27" i="4" a="1"/>
  <c r="K41" i="2" a="1"/>
  <c r="K108" i="16" a="1"/>
  <c r="K9" i="14" a="1"/>
  <c r="K72" i="10" a="1"/>
  <c r="K15" i="8" a="1"/>
  <c r="K24" i="4" a="1"/>
  <c r="K121" i="2" a="1"/>
  <c r="K57" i="14" a="1"/>
  <c r="K90" i="16" a="1"/>
  <c r="K40" i="16" a="1"/>
  <c r="K90" i="14" a="1"/>
  <c r="K42" i="14" a="1"/>
  <c r="K144" i="12" a="1"/>
  <c r="K100" i="12" a="1"/>
  <c r="K39" i="12" a="1"/>
  <c r="K99" i="10" a="1"/>
  <c r="K40" i="8" a="1"/>
  <c r="K5" i="8" a="1"/>
  <c r="K82" i="6" a="1"/>
  <c r="K48" i="6" a="1"/>
  <c r="K14" i="6" a="1"/>
  <c r="K135" i="4" a="1"/>
  <c r="K78" i="4" a="1"/>
  <c r="K43" i="4" a="1"/>
  <c r="K85" i="2" a="1"/>
  <c r="K13" i="6" a="1"/>
  <c r="K134" i="4" a="1"/>
  <c r="K108" i="4" a="1"/>
  <c r="K12" i="4" a="1"/>
  <c r="K144" i="2" a="1"/>
  <c r="K115" i="2" a="1"/>
  <c r="K57" i="2" a="1"/>
  <c r="K29" i="2" a="1"/>
  <c r="K6" i="2" a="1"/>
  <c r="K39" i="16" a="1"/>
  <c r="K138" i="14" a="1"/>
  <c r="K38" i="14" a="1"/>
  <c r="K141" i="12" a="1"/>
  <c r="K85" i="12" a="1"/>
  <c r="K142" i="10" a="1"/>
  <c r="K95" i="10" a="1"/>
  <c r="K6" i="10" a="1"/>
  <c r="K39" i="8" a="1"/>
  <c r="K152" i="6" a="1"/>
  <c r="K80" i="6" a="1"/>
  <c r="K77" i="4" a="1"/>
  <c r="K84" i="2" a="1"/>
  <c r="K24" i="16" a="1"/>
  <c r="K35" i="14" a="1"/>
  <c r="K37" i="12" a="1"/>
  <c r="K93" i="10" a="1"/>
  <c r="K151" i="6" a="1"/>
  <c r="K43" i="6" a="1"/>
  <c r="K135" i="2" a="1"/>
  <c r="K111" i="6" a="1"/>
  <c r="K67" i="4" a="1"/>
  <c r="K34" i="14" a="1"/>
  <c r="K33" i="12" a="1"/>
  <c r="K8" i="6" a="1"/>
  <c r="K52" i="2" a="1"/>
  <c r="K122" i="16" a="1"/>
  <c r="K78" i="14" a="1"/>
  <c r="K89" i="10" a="1"/>
  <c r="K4" i="10" a="1"/>
  <c r="K110" i="6" a="1"/>
  <c r="K39" i="6" a="1"/>
  <c r="K98" i="4" a="1"/>
  <c r="K105" i="2" a="1"/>
  <c r="K70" i="16" a="1"/>
  <c r="K128" i="12" a="1"/>
  <c r="K32" i="12" a="1"/>
  <c r="K139" i="6" a="1"/>
  <c r="K75" i="6" a="1"/>
  <c r="K9" i="4" a="1"/>
  <c r="K51" i="2" a="1"/>
  <c r="K69" i="16" a="1"/>
  <c r="K103" i="8" a="1"/>
  <c r="K105" i="6" a="1"/>
  <c r="K38" i="6" a="1"/>
  <c r="K125" i="4" a="1"/>
  <c r="K64" i="4" a="1"/>
  <c r="K131" i="2" a="1"/>
  <c r="K119" i="16" a="1"/>
  <c r="K113" i="14" a="1"/>
  <c r="K122" i="12" a="1"/>
  <c r="K23" i="12" a="1"/>
  <c r="K98" i="6" a="1"/>
  <c r="K30" i="4" a="1"/>
  <c r="K102" i="2" a="1"/>
  <c r="K44" i="2" a="1"/>
  <c r="K114" i="16" a="1"/>
  <c r="K17" i="12" a="1"/>
  <c r="K124" i="10" a="1"/>
  <c r="K33" i="10" a="1"/>
  <c r="K64" i="8" a="1"/>
  <c r="K137" i="6" a="1"/>
  <c r="K65" i="6" a="1"/>
  <c r="K152" i="4" a="1"/>
  <c r="K28" i="4" a="1"/>
  <c r="K20" i="2" a="1"/>
  <c r="K62" i="14" a="1"/>
  <c r="K121" i="12" a="1"/>
  <c r="K15" i="12" a="1"/>
  <c r="K73" i="10" a="1"/>
  <c r="K150" i="4" a="1"/>
  <c r="K58" i="4" a="1"/>
  <c r="K154" i="2" a="1"/>
  <c r="K101" i="2" a="1"/>
  <c r="K141" i="8" a="1"/>
  <c r="K95" i="6" a="1"/>
  <c r="K152" i="2" a="1"/>
  <c r="K108" i="14" a="1"/>
  <c r="K119" i="10" a="1"/>
  <c r="K62" i="6" a="1"/>
  <c r="K26" i="6" a="1"/>
  <c r="K149" i="4" a="1"/>
  <c r="K69" i="2" a="1"/>
  <c r="K11" i="2" a="1"/>
  <c r="K107" i="12" a="1"/>
  <c r="K138" i="16" a="1"/>
  <c r="K145" i="14" a="1"/>
  <c r="K38" i="12" a="1"/>
  <c r="K55" i="10" a="1"/>
  <c r="K121" i="8" a="1"/>
  <c r="K117" i="6" a="1"/>
  <c r="K89" i="16" a="1"/>
  <c r="K79" i="8" a="1"/>
  <c r="K100" i="4" a="1"/>
  <c r="K42" i="4" a="1"/>
  <c r="K137" i="16" a="1"/>
  <c r="K140" i="10" a="1"/>
  <c r="K49" i="10" a="1"/>
  <c r="K113" i="6" a="1"/>
  <c r="K12" i="6" a="1"/>
  <c r="K82" i="2" a="1"/>
  <c r="K88" i="16" a="1"/>
  <c r="K38" i="8" a="1"/>
  <c r="K127" i="14" a="1"/>
  <c r="K129" i="12" a="1"/>
  <c r="K139" i="10" a="1"/>
  <c r="K72" i="8" a="1"/>
  <c r="K150" i="6" a="1"/>
  <c r="K42" i="6" a="1"/>
  <c r="K10" i="4" a="1"/>
  <c r="K24" i="2" a="1"/>
  <c r="K32" i="14" a="1"/>
  <c r="K37" i="8" a="1"/>
  <c r="K6" i="6" a="1"/>
  <c r="K65" i="4" a="1"/>
  <c r="K136" i="10" a="1"/>
  <c r="K66" i="8" a="1"/>
  <c r="K77" i="14" a="1"/>
  <c r="K88" i="10" a="1"/>
  <c r="K155" i="8" a="1"/>
  <c r="K66" i="6" a="1"/>
  <c r="K5" i="6" a="1"/>
  <c r="K93" i="4" a="1"/>
  <c r="K3" i="4" a="1"/>
  <c r="K104" i="2" a="1"/>
  <c r="K21" i="2" a="1"/>
  <c r="K20" i="16" a="1"/>
  <c r="K17" i="14" a="1"/>
  <c r="K72" i="12" a="1"/>
  <c r="K148" i="8" a="1"/>
  <c r="K61" i="4" a="1"/>
  <c r="K155" i="2" a="1"/>
  <c r="K71" i="2" a="1"/>
  <c r="K62" i="16" a="1"/>
  <c r="K74" i="10" a="1"/>
  <c r="K100" i="8" a="1"/>
  <c r="K22" i="8" a="1"/>
  <c r="K34" i="6" a="1"/>
  <c r="K124" i="4" a="1"/>
  <c r="K92" i="4" a="1"/>
  <c r="K129" i="2" a="1"/>
  <c r="K42" i="2" a="1"/>
  <c r="K5" i="16" a="1"/>
  <c r="K112" i="14" a="1"/>
  <c r="K15" i="14" a="1"/>
  <c r="K71" i="12" a="1"/>
  <c r="K60" i="8" a="1"/>
  <c r="K27" i="6" a="1"/>
  <c r="K123" i="4" a="1"/>
  <c r="K128" i="2" a="1"/>
  <c r="K70" i="2" a="1"/>
  <c r="K60" i="16" a="1"/>
  <c r="K58" i="14" a="1"/>
  <c r="K120" i="12" a="1"/>
  <c r="K28" i="10" a="1"/>
  <c r="K99" i="8" a="1"/>
  <c r="K136" i="6" a="1"/>
  <c r="K91" i="4" a="1"/>
  <c r="K57" i="4" a="1"/>
  <c r="K4" i="16" a="1"/>
  <c r="K5" i="12" a="1"/>
  <c r="K26" i="10" a="1"/>
  <c r="K55" i="8" a="1"/>
  <c r="K90" i="4" a="1"/>
  <c r="K96" i="2" a="1"/>
  <c r="K59" i="12" a="1"/>
  <c r="K137" i="8" a="1"/>
  <c r="K105" i="16" a="1"/>
  <c r="K8" i="14" a="1"/>
  <c r="K69" i="10" a="1"/>
  <c r="K44" i="8" a="1"/>
  <c r="K80" i="4" a="1"/>
  <c r="K119" i="2" a="1"/>
  <c r="K9" i="2" a="1"/>
  <c r="K67" i="10" a="1"/>
  <c r="K55" i="4" a="1"/>
  <c r="K91" i="16" a="1"/>
  <c r="K65" i="10" a="1"/>
  <c r="K91" i="2" a="1"/>
  <c r="K25" i="10" a="1"/>
  <c r="K54" i="4" a="1"/>
  <c r="K51" i="16" a="1"/>
  <c r="K90" i="2" a="1"/>
  <c r="K22" i="6" a="1"/>
  <c r="K10" i="10" a="1"/>
  <c r="K67" i="2" a="1"/>
  <c r="K135" i="8" a="1"/>
  <c r="K54" i="12" a="1"/>
  <c r="K22" i="4" a="1"/>
  <c r="K122" i="6" a="1"/>
  <c r="K145" i="4" a="1"/>
  <c r="K59" i="2" a="1"/>
  <c r="K4" i="12" a="1"/>
  <c r="K93" i="6" a="1"/>
  <c r="K113" i="4" a="1"/>
  <c r="K40" i="2" a="1"/>
  <c r="K106" i="14" a="1"/>
  <c r="K112" i="4" a="1"/>
  <c r="K3" i="12" a="1"/>
  <c r="K90" i="6" a="1"/>
  <c r="K100" i="14" a="1"/>
  <c r="K111" i="4" a="1"/>
  <c r="K112" i="10" a="1"/>
  <c r="K60" i="6" a="1"/>
  <c r="K120" i="2" a="1"/>
  <c r="K49" i="6" a="1"/>
  <c r="K79" i="4" a="1"/>
  <c r="K152" i="12" a="1"/>
  <c r="K149" i="12" a="1"/>
  <c r="K14" i="8" a="1"/>
  <c r="K25" i="6" a="1"/>
  <c r="K105" i="12" a="1"/>
  <c r="K103" i="12" a="1"/>
  <c r="K7" i="8" a="1"/>
  <c r="K102" i="12" a="1"/>
  <c r="K23" i="4" a="1"/>
  <c r="K124" i="6" a="1"/>
  <c r="K153" i="14" a="1"/>
  <c r="K147" i="4" a="1"/>
  <c r="K52" i="12" a="1"/>
  <c r="K96" i="8" a="1"/>
  <c r="K55" i="14" a="1"/>
  <c r="K93" i="8" a="1"/>
  <c r="K109" i="10" a="1"/>
  <c r="K81" i="4" a="1"/>
  <c r="K43" i="14" a="1"/>
  <c r="K52" i="16" a="1"/>
  <c r="K23" i="6" a="1"/>
  <c r="K44" i="4" a="1"/>
  <c r="K41" i="16" a="1"/>
  <c r="K135" i="6" a="1"/>
  <c r="K148" i="4" a="1"/>
  <c r="K66" i="2" a="1"/>
  <c r="K148" i="14" a="1"/>
  <c r="K128" i="8" a="1"/>
  <c r="K121" i="6" a="1"/>
  <c r="K21" i="4" a="1"/>
  <c r="K107" i="14" a="1"/>
  <c r="K98" i="8" a="1"/>
  <c r="K150" i="2" a="1"/>
  <c r="K147" i="2" a="1"/>
  <c r="K97" i="8" a="1"/>
  <c r="K39" i="2" a="1"/>
  <c r="K2" i="12" a="1"/>
  <c r="K146" i="2" a="1"/>
  <c r="K83" i="6" a="1"/>
  <c r="K54" i="14" a="1"/>
  <c r="K54" i="8" a="1"/>
  <c r="K10" i="2" a="1"/>
  <c r="K53" i="8" a="1"/>
  <c r="B2" i="20" a="1"/>
  <c r="B1" i="20" a="1"/>
  <c r="K21" i="10" l="1"/>
  <c r="K16" i="9"/>
  <c r="K21" i="8"/>
  <c r="K18" i="7"/>
  <c r="K17" i="6"/>
  <c r="K18" i="5"/>
  <c r="K17" i="4"/>
  <c r="K16" i="3"/>
  <c r="K14" i="2"/>
  <c r="C2" i="20"/>
  <c r="C1" i="20"/>
  <c r="K3" i="7"/>
  <c r="K53" i="8"/>
  <c r="K10" i="2"/>
  <c r="K54" i="8"/>
  <c r="K54" i="14"/>
  <c r="K83" i="6"/>
  <c r="K146" i="2"/>
  <c r="K2" i="12"/>
  <c r="K39" i="2"/>
  <c r="K97" i="8"/>
  <c r="K147" i="2"/>
  <c r="K150" i="2"/>
  <c r="K98" i="8"/>
  <c r="K107" i="14"/>
  <c r="K21" i="4"/>
  <c r="K121" i="6"/>
  <c r="K128" i="8"/>
  <c r="K148" i="14"/>
  <c r="K66" i="2"/>
  <c r="K148" i="4"/>
  <c r="K135" i="6"/>
  <c r="K41" i="16"/>
  <c r="K44" i="4"/>
  <c r="K23" i="6"/>
  <c r="K52" i="16"/>
  <c r="K43" i="14"/>
  <c r="K81" i="4"/>
  <c r="K109" i="10"/>
  <c r="K93" i="8"/>
  <c r="K55" i="14"/>
  <c r="K96" i="8"/>
  <c r="K52" i="12"/>
  <c r="K147" i="4"/>
  <c r="K153" i="14"/>
  <c r="K124" i="6"/>
  <c r="K23" i="4"/>
  <c r="K102" i="12"/>
  <c r="K7" i="8"/>
  <c r="K103" i="12"/>
  <c r="K105" i="12"/>
  <c r="K25" i="6"/>
  <c r="K14" i="8"/>
  <c r="K149" i="12"/>
  <c r="K152" i="12"/>
  <c r="K79" i="4"/>
  <c r="K49" i="6"/>
  <c r="K120" i="2"/>
  <c r="K60" i="6"/>
  <c r="K112" i="10"/>
  <c r="K111" i="4"/>
  <c r="K100" i="14"/>
  <c r="K90" i="6"/>
  <c r="K3" i="12"/>
  <c r="K112" i="4"/>
  <c r="K106" i="14"/>
  <c r="K40" i="2"/>
  <c r="K113" i="4"/>
  <c r="K93" i="6"/>
  <c r="K4" i="12"/>
  <c r="K59" i="2"/>
  <c r="K145" i="4"/>
  <c r="K122" i="6"/>
  <c r="K22" i="4"/>
  <c r="K54" i="12"/>
  <c r="K135" i="8"/>
  <c r="K67" i="2"/>
  <c r="K10" i="10"/>
  <c r="K22" i="6"/>
  <c r="K90" i="2"/>
  <c r="K51" i="16"/>
  <c r="K54" i="4"/>
  <c r="K25" i="10"/>
  <c r="K91" i="2"/>
  <c r="K65" i="10"/>
  <c r="K91" i="16"/>
  <c r="K55" i="4"/>
  <c r="K67" i="10"/>
  <c r="K9" i="2"/>
  <c r="K119" i="2"/>
  <c r="K80" i="4"/>
  <c r="K44" i="8"/>
  <c r="K69" i="10"/>
  <c r="K8" i="14"/>
  <c r="K105" i="16"/>
  <c r="K137" i="8"/>
  <c r="K59" i="12"/>
  <c r="K96" i="2"/>
  <c r="K90" i="4"/>
  <c r="K55" i="8"/>
  <c r="K26" i="10"/>
  <c r="K5" i="12"/>
  <c r="K4" i="16"/>
  <c r="K57" i="4"/>
  <c r="K91" i="4"/>
  <c r="K136" i="6"/>
  <c r="K99" i="8"/>
  <c r="K28" i="10"/>
  <c r="K120" i="12"/>
  <c r="K58" i="14"/>
  <c r="K60" i="16"/>
  <c r="K70" i="2"/>
  <c r="K128" i="2"/>
  <c r="K123" i="4"/>
  <c r="K27" i="6"/>
  <c r="K60" i="8"/>
  <c r="K71" i="12"/>
  <c r="K15" i="14"/>
  <c r="K112" i="14"/>
  <c r="K5" i="16"/>
  <c r="K42" i="2"/>
  <c r="K129" i="2"/>
  <c r="K92" i="4"/>
  <c r="K124" i="4"/>
  <c r="K34" i="6"/>
  <c r="K22" i="8"/>
  <c r="K100" i="8"/>
  <c r="K74" i="10"/>
  <c r="K62" i="16"/>
  <c r="K71" i="2"/>
  <c r="K155" i="2"/>
  <c r="K61" i="4"/>
  <c r="K148" i="8"/>
  <c r="K72" i="12"/>
  <c r="K17" i="14"/>
  <c r="K20" i="16"/>
  <c r="K21" i="2"/>
  <c r="K104" i="2"/>
  <c r="K3" i="4"/>
  <c r="K93" i="4"/>
  <c r="K5" i="6"/>
  <c r="K66" i="6"/>
  <c r="K155" i="8"/>
  <c r="K88" i="10"/>
  <c r="K77" i="14"/>
  <c r="K66" i="8"/>
  <c r="K136" i="10"/>
  <c r="K65" i="4"/>
  <c r="K6" i="6"/>
  <c r="K37" i="8"/>
  <c r="K32" i="14"/>
  <c r="K24" i="2"/>
  <c r="K10" i="4"/>
  <c r="K42" i="6"/>
  <c r="K150" i="6"/>
  <c r="K72" i="8"/>
  <c r="K139" i="10"/>
  <c r="K129" i="12"/>
  <c r="K127" i="14"/>
  <c r="K38" i="8"/>
  <c r="K88" i="16"/>
  <c r="K82" i="2"/>
  <c r="K12" i="6"/>
  <c r="K113" i="6"/>
  <c r="K49" i="10"/>
  <c r="K140" i="10"/>
  <c r="K137" i="16"/>
  <c r="K42" i="4"/>
  <c r="K100" i="4"/>
  <c r="K79" i="8"/>
  <c r="K89" i="16"/>
  <c r="K117" i="6"/>
  <c r="K121" i="8"/>
  <c r="K55" i="10"/>
  <c r="K38" i="12"/>
  <c r="K145" i="14"/>
  <c r="K138" i="16"/>
  <c r="K107" i="12"/>
  <c r="K11" i="2"/>
  <c r="K69" i="2"/>
  <c r="K149" i="4"/>
  <c r="K26" i="6"/>
  <c r="K62" i="6"/>
  <c r="K119" i="10"/>
  <c r="K108" i="14"/>
  <c r="K152" i="2"/>
  <c r="K95" i="6"/>
  <c r="K141" i="8"/>
  <c r="K101" i="2"/>
  <c r="K154" i="2"/>
  <c r="K58" i="4"/>
  <c r="K150" i="4"/>
  <c r="K73" i="10"/>
  <c r="K15" i="12"/>
  <c r="K121" i="12"/>
  <c r="K62" i="14"/>
  <c r="K20" i="2"/>
  <c r="K28" i="4"/>
  <c r="K152" i="4"/>
  <c r="K65" i="6"/>
  <c r="K137" i="6"/>
  <c r="K64" i="8"/>
  <c r="K33" i="10"/>
  <c r="K124" i="10"/>
  <c r="K17" i="12"/>
  <c r="K114" i="16"/>
  <c r="K44" i="2"/>
  <c r="K102" i="2"/>
  <c r="K30" i="4"/>
  <c r="K98" i="6"/>
  <c r="K23" i="12"/>
  <c r="K122" i="12"/>
  <c r="K113" i="14"/>
  <c r="K119" i="16"/>
  <c r="K131" i="2"/>
  <c r="K64" i="4"/>
  <c r="K125" i="4"/>
  <c r="K38" i="6"/>
  <c r="K105" i="6"/>
  <c r="K103" i="8"/>
  <c r="K69" i="16"/>
  <c r="K51" i="2"/>
  <c r="K9" i="4"/>
  <c r="K75" i="6"/>
  <c r="K139" i="6"/>
  <c r="K32" i="12"/>
  <c r="K128" i="12"/>
  <c r="K70" i="16"/>
  <c r="K105" i="2"/>
  <c r="K98" i="4"/>
  <c r="K39" i="6"/>
  <c r="K110" i="6"/>
  <c r="K4" i="10"/>
  <c r="K89" i="10"/>
  <c r="K78" i="14"/>
  <c r="K122" i="16"/>
  <c r="K52" i="2"/>
  <c r="K8" i="6"/>
  <c r="K33" i="12"/>
  <c r="K34" i="14"/>
  <c r="K67" i="4"/>
  <c r="K111" i="6"/>
  <c r="K135" i="2"/>
  <c r="K43" i="6"/>
  <c r="K151" i="6"/>
  <c r="K93" i="10"/>
  <c r="K37" i="12"/>
  <c r="K35" i="14"/>
  <c r="K24" i="16"/>
  <c r="K84" i="2"/>
  <c r="K77" i="4"/>
  <c r="K80" i="6"/>
  <c r="K152" i="6"/>
  <c r="K39" i="8"/>
  <c r="K6" i="10"/>
  <c r="K95" i="10"/>
  <c r="K142" i="10"/>
  <c r="K85" i="12"/>
  <c r="K141" i="12"/>
  <c r="K38" i="14"/>
  <c r="K138" i="14"/>
  <c r="K39" i="16"/>
  <c r="K6" i="2"/>
  <c r="K29" i="2"/>
  <c r="K57" i="2"/>
  <c r="K115" i="2"/>
  <c r="K144" i="2"/>
  <c r="K12" i="4"/>
  <c r="K108" i="4"/>
  <c r="K134" i="4"/>
  <c r="K13" i="6"/>
  <c r="K85" i="2"/>
  <c r="K43" i="4"/>
  <c r="K78" i="4"/>
  <c r="K135" i="4"/>
  <c r="K14" i="6"/>
  <c r="K48" i="6"/>
  <c r="K82" i="6"/>
  <c r="K5" i="8"/>
  <c r="K40" i="8"/>
  <c r="K99" i="10"/>
  <c r="K39" i="12"/>
  <c r="K100" i="12"/>
  <c r="K144" i="12"/>
  <c r="K42" i="14"/>
  <c r="K90" i="14"/>
  <c r="K40" i="16"/>
  <c r="K90" i="16"/>
  <c r="K57" i="14"/>
  <c r="K121" i="2"/>
  <c r="K24" i="4"/>
  <c r="K15" i="8"/>
  <c r="K72" i="10"/>
  <c r="K9" i="14"/>
  <c r="K108" i="16"/>
  <c r="K41" i="2"/>
  <c r="K27" i="4"/>
  <c r="K120" i="4"/>
  <c r="K64" i="6"/>
  <c r="K70" i="12"/>
  <c r="K109" i="14"/>
  <c r="K77" i="2"/>
  <c r="K31" i="4"/>
  <c r="K25" i="8"/>
  <c r="K43" i="10"/>
  <c r="K126" i="14"/>
  <c r="K21" i="16"/>
  <c r="K22" i="2"/>
  <c r="K132" i="2"/>
  <c r="K127" i="4"/>
  <c r="K113" i="8"/>
  <c r="K72" i="16"/>
  <c r="K81" i="2"/>
  <c r="K134" i="2"/>
  <c r="K38" i="4"/>
  <c r="K76" i="6"/>
  <c r="K114" i="8"/>
  <c r="K44" i="10"/>
  <c r="K129" i="16"/>
  <c r="K54" i="2"/>
  <c r="K106" i="2"/>
  <c r="K99" i="4"/>
  <c r="K118" i="8"/>
  <c r="K5" i="10"/>
  <c r="K83" i="12"/>
  <c r="K84" i="14"/>
  <c r="K28" i="2"/>
  <c r="K114" i="2"/>
  <c r="K11" i="4"/>
  <c r="K133" i="4"/>
  <c r="K77" i="6"/>
  <c r="K84" i="12"/>
  <c r="K85" i="14"/>
  <c r="K7" i="2"/>
  <c r="K30" i="2"/>
  <c r="K58" i="2"/>
  <c r="K116" i="2"/>
  <c r="K145" i="2"/>
  <c r="K13" i="4"/>
  <c r="K109" i="4"/>
  <c r="K81" i="8"/>
  <c r="K126" i="8"/>
  <c r="K56" i="10"/>
  <c r="K92" i="14"/>
  <c r="K147" i="14"/>
  <c r="K139" i="16"/>
  <c r="K48" i="12"/>
  <c r="K74" i="12"/>
  <c r="K142" i="12"/>
  <c r="K93" i="16"/>
  <c r="K130" i="16"/>
  <c r="K27" i="2"/>
  <c r="K88" i="2"/>
  <c r="K130" i="2"/>
  <c r="K14" i="4"/>
  <c r="K39" i="4"/>
  <c r="K63" i="4"/>
  <c r="K82" i="4"/>
  <c r="K132" i="4"/>
  <c r="K46" i="6"/>
  <c r="K118" i="6"/>
  <c r="K140" i="6"/>
  <c r="K43" i="8"/>
  <c r="K74" i="8"/>
  <c r="K134" i="8"/>
  <c r="K36" i="10"/>
  <c r="K70" i="10"/>
  <c r="K137" i="10"/>
  <c r="K10" i="12"/>
  <c r="K108" i="12"/>
  <c r="K20" i="14"/>
  <c r="K56" i="14"/>
  <c r="K86" i="14"/>
  <c r="K8" i="2"/>
  <c r="K45" i="2"/>
  <c r="K68" i="2"/>
  <c r="K89" i="2"/>
  <c r="K107" i="2"/>
  <c r="K151" i="2"/>
  <c r="K41" i="4"/>
  <c r="K110" i="4"/>
  <c r="K153" i="4"/>
  <c r="K24" i="6"/>
  <c r="K47" i="6"/>
  <c r="K67" i="6"/>
  <c r="K94" i="6"/>
  <c r="K149" i="6"/>
  <c r="K102" i="8"/>
  <c r="K7" i="10"/>
  <c r="K42" i="10"/>
  <c r="K102" i="10"/>
  <c r="K13" i="12"/>
  <c r="K51" i="12"/>
  <c r="K79" i="12"/>
  <c r="K143" i="12"/>
  <c r="K22" i="14"/>
  <c r="K89" i="14"/>
  <c r="K125" i="14"/>
  <c r="K155" i="14"/>
  <c r="K37" i="16"/>
  <c r="K68" i="16"/>
  <c r="K94" i="16"/>
  <c r="K131" i="16"/>
  <c r="K141" i="4"/>
  <c r="K55" i="6"/>
  <c r="K130" i="6"/>
  <c r="K84" i="8"/>
  <c r="K142" i="8"/>
  <c r="K20" i="10"/>
  <c r="K55" i="12"/>
  <c r="K130" i="14"/>
  <c r="K110" i="16"/>
  <c r="K15" i="2"/>
  <c r="K55" i="2"/>
  <c r="K117" i="2"/>
  <c r="K71" i="4"/>
  <c r="K78" i="6"/>
  <c r="K56" i="8"/>
  <c r="K50" i="10"/>
  <c r="K117" i="10"/>
  <c r="K123" i="12"/>
  <c r="K132" i="14"/>
  <c r="K42" i="16"/>
  <c r="K97" i="2"/>
  <c r="K138" i="2"/>
  <c r="K119" i="4"/>
  <c r="K33" i="6"/>
  <c r="K56" i="6"/>
  <c r="K104" i="6"/>
  <c r="K134" i="6"/>
  <c r="K57" i="8"/>
  <c r="K85" i="8"/>
  <c r="K117" i="8"/>
  <c r="K145" i="8"/>
  <c r="K86" i="10"/>
  <c r="K25" i="12"/>
  <c r="K58" i="12"/>
  <c r="K7" i="14"/>
  <c r="K37" i="14"/>
  <c r="K68" i="14"/>
  <c r="K105" i="14"/>
  <c r="K136" i="14"/>
  <c r="K44" i="16"/>
  <c r="K83" i="16"/>
  <c r="K111" i="16"/>
  <c r="K153" i="6"/>
  <c r="K75" i="10"/>
  <c r="K24" i="12"/>
  <c r="K104" i="14"/>
  <c r="K74" i="16"/>
  <c r="K35" i="2"/>
  <c r="K4" i="4"/>
  <c r="K48" i="4"/>
  <c r="K117" i="4"/>
  <c r="K9" i="6"/>
  <c r="K103" i="6"/>
  <c r="K26" i="8"/>
  <c r="K116" i="8"/>
  <c r="K22" i="10"/>
  <c r="K76" i="10"/>
  <c r="K144" i="10"/>
  <c r="K57" i="12"/>
  <c r="K93" i="12"/>
  <c r="K154" i="12"/>
  <c r="K67" i="14"/>
  <c r="K18" i="16"/>
  <c r="K142" i="16"/>
  <c r="K76" i="2"/>
  <c r="K25" i="4"/>
  <c r="K94" i="4"/>
  <c r="K142" i="4"/>
  <c r="K34" i="8"/>
  <c r="K16" i="2"/>
  <c r="K38" i="2"/>
  <c r="K56" i="2"/>
  <c r="K100" i="2"/>
  <c r="K118" i="2"/>
  <c r="K139" i="2"/>
  <c r="K7" i="4"/>
  <c r="K49" i="4"/>
  <c r="K97" i="4"/>
  <c r="K10" i="6"/>
  <c r="K59" i="6"/>
  <c r="K79" i="6"/>
  <c r="K2" i="8"/>
  <c r="K36" i="8"/>
  <c r="K23" i="10"/>
  <c r="K52" i="10"/>
  <c r="K118" i="10"/>
  <c r="K145" i="10"/>
  <c r="K94" i="12"/>
  <c r="K125" i="12"/>
  <c r="K19" i="16"/>
  <c r="K144" i="16"/>
  <c r="K27" i="8"/>
  <c r="K67" i="8"/>
  <c r="K105" i="8"/>
  <c r="K11" i="10"/>
  <c r="K87" i="12"/>
  <c r="K69" i="14"/>
  <c r="K7" i="16"/>
  <c r="K53" i="16"/>
  <c r="K75" i="16"/>
  <c r="K95" i="16"/>
  <c r="K123" i="16"/>
  <c r="K4" i="2"/>
  <c r="K46" i="2"/>
  <c r="K94" i="2"/>
  <c r="K68" i="4"/>
  <c r="K35" i="6"/>
  <c r="K106" i="6"/>
  <c r="K28" i="8"/>
  <c r="K110" i="12"/>
  <c r="K24" i="14"/>
  <c r="K70" i="14"/>
  <c r="K54" i="16"/>
  <c r="K147" i="16"/>
  <c r="K18" i="2"/>
  <c r="K79" i="2"/>
  <c r="K109" i="2"/>
  <c r="K141" i="2"/>
  <c r="K16" i="4"/>
  <c r="K35" i="4"/>
  <c r="K69" i="4"/>
  <c r="K104" i="4"/>
  <c r="K138" i="4"/>
  <c r="K36" i="6"/>
  <c r="K69" i="6"/>
  <c r="K88" i="8"/>
  <c r="K111" i="8"/>
  <c r="K130" i="8"/>
  <c r="K150" i="8"/>
  <c r="K18" i="10"/>
  <c r="K38" i="10"/>
  <c r="K59" i="10"/>
  <c r="K154" i="10"/>
  <c r="K20" i="12"/>
  <c r="K41" i="12"/>
  <c r="K138" i="12"/>
  <c r="K3" i="14"/>
  <c r="K25" i="14"/>
  <c r="K50" i="14"/>
  <c r="K94" i="14"/>
  <c r="K140" i="14"/>
  <c r="K34" i="16"/>
  <c r="K78" i="16"/>
  <c r="K103" i="16"/>
  <c r="K124" i="16"/>
  <c r="K8" i="8"/>
  <c r="K104" i="10"/>
  <c r="K23" i="14"/>
  <c r="K28" i="16"/>
  <c r="K17" i="2"/>
  <c r="K62" i="2"/>
  <c r="K50" i="4"/>
  <c r="K83" i="4"/>
  <c r="K103" i="4"/>
  <c r="K50" i="6"/>
  <c r="K110" i="8"/>
  <c r="K149" i="8"/>
  <c r="K58" i="10"/>
  <c r="K153" i="10"/>
  <c r="K40" i="12"/>
  <c r="K49" i="14"/>
  <c r="K93" i="14"/>
  <c r="K145" i="16"/>
  <c r="K78" i="2"/>
  <c r="K126" i="2"/>
  <c r="K34" i="4"/>
  <c r="K85" i="4"/>
  <c r="K154" i="4"/>
  <c r="K68" i="6"/>
  <c r="K147" i="6"/>
  <c r="K68" i="8"/>
  <c r="K105" i="10"/>
  <c r="K88" i="12"/>
  <c r="K119" i="14"/>
  <c r="K33" i="16"/>
  <c r="K5" i="2"/>
  <c r="K32" i="2"/>
  <c r="K47" i="2"/>
  <c r="K65" i="2"/>
  <c r="K95" i="2"/>
  <c r="K127" i="2"/>
  <c r="K2" i="4"/>
  <c r="K53" i="4"/>
  <c r="K87" i="4"/>
  <c r="K122" i="4"/>
  <c r="K155" i="4"/>
  <c r="K20" i="6"/>
  <c r="K54" i="6"/>
  <c r="K89" i="6"/>
  <c r="K107" i="6"/>
  <c r="K126" i="6"/>
  <c r="K148" i="6"/>
  <c r="K11" i="8"/>
  <c r="K29" i="8"/>
  <c r="K51" i="8"/>
  <c r="K69" i="8"/>
  <c r="K112" i="8"/>
  <c r="K85" i="10"/>
  <c r="K106" i="10"/>
  <c r="K128" i="10"/>
  <c r="K69" i="12"/>
  <c r="K90" i="12"/>
  <c r="K111" i="12"/>
  <c r="K53" i="14"/>
  <c r="K73" i="14"/>
  <c r="K120" i="14"/>
  <c r="K142" i="14"/>
  <c r="K9" i="16"/>
  <c r="K55" i="16"/>
  <c r="K148" i="16"/>
  <c r="K86" i="8"/>
  <c r="K125" i="10"/>
  <c r="K60" i="12"/>
  <c r="K44" i="14"/>
  <c r="K2" i="2"/>
  <c r="K92" i="2"/>
  <c r="K140" i="2"/>
  <c r="K15" i="4"/>
  <c r="K137" i="4"/>
  <c r="K87" i="8"/>
  <c r="K129" i="8"/>
  <c r="K17" i="10"/>
  <c r="K37" i="10"/>
  <c r="K18" i="12"/>
  <c r="K2" i="14"/>
  <c r="K139" i="14"/>
  <c r="K77" i="16"/>
  <c r="K102" i="16"/>
  <c r="K31" i="2"/>
  <c r="K64" i="2"/>
  <c r="K108" i="2"/>
  <c r="K156" i="2"/>
  <c r="K52" i="4"/>
  <c r="K121" i="4"/>
  <c r="K19" i="6"/>
  <c r="K53" i="6"/>
  <c r="K88" i="6"/>
  <c r="K125" i="6"/>
  <c r="K9" i="8"/>
  <c r="K50" i="8"/>
  <c r="K84" i="10"/>
  <c r="K127" i="10"/>
  <c r="K68" i="12"/>
  <c r="K8" i="16"/>
  <c r="K19" i="2"/>
  <c r="K34" i="2"/>
  <c r="K50" i="2"/>
  <c r="K80" i="2"/>
  <c r="K112" i="2"/>
  <c r="K142" i="2"/>
  <c r="K37" i="4"/>
  <c r="K70" i="4"/>
  <c r="K105" i="4"/>
  <c r="K139" i="4"/>
  <c r="K4" i="6"/>
  <c r="K37" i="6"/>
  <c r="K73" i="6"/>
  <c r="K109" i="6"/>
  <c r="K127" i="6"/>
  <c r="K13" i="8"/>
  <c r="K30" i="8"/>
  <c r="K71" i="8"/>
  <c r="K133" i="8"/>
  <c r="K19" i="10"/>
  <c r="K108" i="10"/>
  <c r="K129" i="10"/>
  <c r="K155" i="10"/>
  <c r="K92" i="12"/>
  <c r="K113" i="12"/>
  <c r="K139" i="12"/>
  <c r="K76" i="14"/>
  <c r="K96" i="14"/>
  <c r="K122" i="14"/>
  <c r="K10" i="16"/>
  <c r="K35" i="16"/>
  <c r="K59" i="16"/>
  <c r="K128" i="16"/>
  <c r="K149" i="16"/>
  <c r="K16" i="8"/>
  <c r="K12" i="10"/>
  <c r="K62" i="10"/>
  <c r="K96" i="10"/>
  <c r="K95" i="12"/>
  <c r="K114" i="14"/>
  <c r="K47" i="16"/>
  <c r="K63" i="16"/>
  <c r="K80" i="16"/>
  <c r="K36" i="2"/>
  <c r="K60" i="2"/>
  <c r="K72" i="2"/>
  <c r="K110" i="2"/>
  <c r="K122" i="2"/>
  <c r="K5" i="4"/>
  <c r="K59" i="4"/>
  <c r="K72" i="4"/>
  <c r="K114" i="4"/>
  <c r="K128" i="4"/>
  <c r="K15" i="6"/>
  <c r="K28" i="6"/>
  <c r="K70" i="6"/>
  <c r="K84" i="6"/>
  <c r="K99" i="6"/>
  <c r="K114" i="6"/>
  <c r="K128" i="6"/>
  <c r="K142" i="6"/>
  <c r="K3" i="8"/>
  <c r="K17" i="8"/>
  <c r="K32" i="8"/>
  <c r="K61" i="8"/>
  <c r="K91" i="8"/>
  <c r="K106" i="8"/>
  <c r="K138" i="8"/>
  <c r="K130" i="10"/>
  <c r="K147" i="10"/>
  <c r="K11" i="12"/>
  <c r="K28" i="12"/>
  <c r="K61" i="12"/>
  <c r="K97" i="12"/>
  <c r="K114" i="12"/>
  <c r="K150" i="12"/>
  <c r="K10" i="14"/>
  <c r="K45" i="14"/>
  <c r="K97" i="14"/>
  <c r="K133" i="14"/>
  <c r="K149" i="14"/>
  <c r="K29" i="16"/>
  <c r="K115" i="16"/>
  <c r="K133" i="16"/>
  <c r="K141" i="6"/>
  <c r="K45" i="8"/>
  <c r="K75" i="8"/>
  <c r="K90" i="8"/>
  <c r="K152" i="8"/>
  <c r="K77" i="10"/>
  <c r="K80" i="12"/>
  <c r="K27" i="14"/>
  <c r="K11" i="16"/>
  <c r="K98" i="16"/>
  <c r="K12" i="2"/>
  <c r="K25" i="2"/>
  <c r="K48" i="2"/>
  <c r="K74" i="2"/>
  <c r="K86" i="2"/>
  <c r="K98" i="2"/>
  <c r="K124" i="2"/>
  <c r="K136" i="2"/>
  <c r="K148" i="2"/>
  <c r="K19" i="4"/>
  <c r="K32" i="4"/>
  <c r="K45" i="4"/>
  <c r="K74" i="4"/>
  <c r="K88" i="4"/>
  <c r="K101" i="4"/>
  <c r="K130" i="4"/>
  <c r="K143" i="4"/>
  <c r="K2" i="6"/>
  <c r="K30" i="6"/>
  <c r="K44" i="6"/>
  <c r="K57" i="6"/>
  <c r="K86" i="6"/>
  <c r="K145" i="6"/>
  <c r="K48" i="8"/>
  <c r="K76" i="8"/>
  <c r="K123" i="8"/>
  <c r="K153" i="8"/>
  <c r="K30" i="10"/>
  <c r="K47" i="10"/>
  <c r="K63" i="10"/>
  <c r="K82" i="10"/>
  <c r="K97" i="10"/>
  <c r="K114" i="10"/>
  <c r="K132" i="10"/>
  <c r="K150" i="10"/>
  <c r="K45" i="12"/>
  <c r="K81" i="12"/>
  <c r="K98" i="12"/>
  <c r="K133" i="12"/>
  <c r="K12" i="14"/>
  <c r="K29" i="14"/>
  <c r="K47" i="14"/>
  <c r="K65" i="14"/>
  <c r="K80" i="14"/>
  <c r="K12" i="16"/>
  <c r="K31" i="16"/>
  <c r="K48" i="16"/>
  <c r="K64" i="16"/>
  <c r="K151" i="16"/>
  <c r="K45" i="10"/>
  <c r="K113" i="10"/>
  <c r="K44" i="12"/>
  <c r="K130" i="12"/>
  <c r="K79" i="14"/>
  <c r="K37" i="2"/>
  <c r="K49" i="2"/>
  <c r="K61" i="2"/>
  <c r="K99" i="2"/>
  <c r="K111" i="2"/>
  <c r="K149" i="2"/>
  <c r="K6" i="4"/>
  <c r="K47" i="4"/>
  <c r="K60" i="4"/>
  <c r="K102" i="4"/>
  <c r="K115" i="4"/>
  <c r="K3" i="6"/>
  <c r="K16" i="6"/>
  <c r="K58" i="6"/>
  <c r="K72" i="6"/>
  <c r="K100" i="6"/>
  <c r="K129" i="6"/>
  <c r="K4" i="8"/>
  <c r="K33" i="8"/>
  <c r="K63" i="8"/>
  <c r="K92" i="8"/>
  <c r="K109" i="8"/>
  <c r="K154" i="8"/>
  <c r="K16" i="10"/>
  <c r="K32" i="10"/>
  <c r="K48" i="10"/>
  <c r="K116" i="10"/>
  <c r="K152" i="10"/>
  <c r="K12" i="12"/>
  <c r="K47" i="12"/>
  <c r="K64" i="12"/>
  <c r="K99" i="12"/>
  <c r="K115" i="12"/>
  <c r="K151" i="12"/>
  <c r="K48" i="14"/>
  <c r="K99" i="14"/>
  <c r="K117" i="14"/>
  <c r="K135" i="14"/>
  <c r="K152" i="14"/>
  <c r="K65" i="16"/>
  <c r="K82" i="16"/>
  <c r="K101" i="16"/>
  <c r="K118" i="16"/>
  <c r="K152" i="16"/>
  <c r="K29" i="10"/>
  <c r="K63" i="14"/>
  <c r="K26" i="2"/>
  <c r="K75" i="2"/>
  <c r="K87" i="2"/>
  <c r="K125" i="2"/>
  <c r="K137" i="2"/>
  <c r="K20" i="4"/>
  <c r="K33" i="4"/>
  <c r="K75" i="4"/>
  <c r="K89" i="4"/>
  <c r="K131" i="4"/>
  <c r="K144" i="4"/>
  <c r="K32" i="6"/>
  <c r="K45" i="6"/>
  <c r="K87" i="6"/>
  <c r="K116" i="6"/>
  <c r="K146" i="6"/>
  <c r="K19" i="8"/>
  <c r="K49" i="8"/>
  <c r="K78" i="8"/>
  <c r="K124" i="8"/>
  <c r="K140" i="8"/>
  <c r="K64" i="10"/>
  <c r="K83" i="10"/>
  <c r="K98" i="10"/>
  <c r="K133" i="10"/>
  <c r="K31" i="12"/>
  <c r="K67" i="12"/>
  <c r="K82" i="12"/>
  <c r="K117" i="12"/>
  <c r="K134" i="12"/>
  <c r="K14" i="14"/>
  <c r="K30" i="14"/>
  <c r="K66" i="14"/>
  <c r="K83" i="14"/>
  <c r="K13" i="16"/>
  <c r="K32" i="16"/>
  <c r="K49" i="16"/>
  <c r="K67" i="16"/>
  <c r="K135" i="16"/>
  <c r="K92" i="6"/>
  <c r="K115" i="6"/>
  <c r="K138" i="6"/>
  <c r="K6" i="8"/>
  <c r="K18" i="8"/>
  <c r="K42" i="8"/>
  <c r="K65" i="8"/>
  <c r="K77" i="8"/>
  <c r="K89" i="8"/>
  <c r="K127" i="8"/>
  <c r="K139" i="8"/>
  <c r="K151" i="8"/>
  <c r="K8" i="10"/>
  <c r="K34" i="10"/>
  <c r="K60" i="10"/>
  <c r="K100" i="10"/>
  <c r="K143" i="10"/>
  <c r="K156" i="10"/>
  <c r="K29" i="12"/>
  <c r="K43" i="12"/>
  <c r="K127" i="12"/>
  <c r="K140" i="12"/>
  <c r="K153" i="12"/>
  <c r="K26" i="14"/>
  <c r="K40" i="14"/>
  <c r="K82" i="14"/>
  <c r="K124" i="14"/>
  <c r="K137" i="14"/>
  <c r="K150" i="14"/>
  <c r="K23" i="16"/>
  <c r="K79" i="16"/>
  <c r="K92" i="16"/>
  <c r="K107" i="16"/>
  <c r="K121" i="16"/>
  <c r="K134" i="16"/>
  <c r="K150" i="16"/>
  <c r="K96" i="6"/>
  <c r="K119" i="6"/>
  <c r="K155" i="6"/>
  <c r="K23" i="8"/>
  <c r="K46" i="8"/>
  <c r="K58" i="8"/>
  <c r="K107" i="8"/>
  <c r="K119" i="8"/>
  <c r="K131" i="8"/>
  <c r="K14" i="10"/>
  <c r="K39" i="10"/>
  <c r="K78" i="10"/>
  <c r="K134" i="10"/>
  <c r="K8" i="12"/>
  <c r="K21" i="12"/>
  <c r="K34" i="12"/>
  <c r="K62" i="12"/>
  <c r="K75" i="12"/>
  <c r="K118" i="12"/>
  <c r="K131" i="12"/>
  <c r="K4" i="14"/>
  <c r="K18" i="14"/>
  <c r="K102" i="14"/>
  <c r="K115" i="14"/>
  <c r="K128" i="14"/>
  <c r="K143" i="14"/>
  <c r="K156" i="14"/>
  <c r="K15" i="16"/>
  <c r="K57" i="16"/>
  <c r="K99" i="16"/>
  <c r="K112" i="16"/>
  <c r="K125" i="16"/>
  <c r="K153" i="16"/>
  <c r="K3" i="2"/>
  <c r="K13" i="2"/>
  <c r="K23" i="2"/>
  <c r="K33" i="2"/>
  <c r="K43" i="2"/>
  <c r="K53" i="2"/>
  <c r="K63" i="2"/>
  <c r="K73" i="2"/>
  <c r="K83" i="2"/>
  <c r="K93" i="2"/>
  <c r="K103" i="2"/>
  <c r="K113" i="2"/>
  <c r="K123" i="2"/>
  <c r="K133" i="2"/>
  <c r="K143" i="2"/>
  <c r="K153" i="2"/>
  <c r="K8" i="4"/>
  <c r="K18" i="4"/>
  <c r="K29" i="4"/>
  <c r="K40" i="4"/>
  <c r="K51" i="4"/>
  <c r="K62" i="4"/>
  <c r="K73" i="4"/>
  <c r="K84" i="4"/>
  <c r="K95" i="4"/>
  <c r="K107" i="4"/>
  <c r="K118" i="4"/>
  <c r="K129" i="4"/>
  <c r="K140" i="4"/>
  <c r="K151" i="4"/>
  <c r="K7" i="6"/>
  <c r="K18" i="6"/>
  <c r="K29" i="6"/>
  <c r="K40" i="6"/>
  <c r="K52" i="6"/>
  <c r="K63" i="6"/>
  <c r="K74" i="6"/>
  <c r="K85" i="6"/>
  <c r="K108" i="6"/>
  <c r="K131" i="6"/>
  <c r="K143" i="6"/>
  <c r="K12" i="8"/>
  <c r="K35" i="8"/>
  <c r="K47" i="8"/>
  <c r="K70" i="8"/>
  <c r="K82" i="8"/>
  <c r="K95" i="8"/>
  <c r="K144" i="8"/>
  <c r="K156" i="8"/>
  <c r="K27" i="10"/>
  <c r="K53" i="10"/>
  <c r="K66" i="10"/>
  <c r="K94" i="10"/>
  <c r="K107" i="10"/>
  <c r="K120" i="10"/>
  <c r="K135" i="10"/>
  <c r="K148" i="10"/>
  <c r="K49" i="12"/>
  <c r="K77" i="12"/>
  <c r="K91" i="12"/>
  <c r="K104" i="12"/>
  <c r="K145" i="12"/>
  <c r="K33" i="14"/>
  <c r="K46" i="14"/>
  <c r="K74" i="14"/>
  <c r="K88" i="14"/>
  <c r="K17" i="16"/>
  <c r="K30" i="16"/>
  <c r="K43" i="16"/>
  <c r="K71" i="16"/>
  <c r="K85" i="16"/>
  <c r="K127" i="16"/>
  <c r="K97" i="6"/>
  <c r="K120" i="6"/>
  <c r="K132" i="6"/>
  <c r="K156" i="6"/>
  <c r="K24" i="8"/>
  <c r="K59" i="8"/>
  <c r="K108" i="8"/>
  <c r="K120" i="8"/>
  <c r="K132" i="8"/>
  <c r="K3" i="10"/>
  <c r="K15" i="10"/>
  <c r="K40" i="10"/>
  <c r="K54" i="10"/>
  <c r="K80" i="10"/>
  <c r="K122" i="10"/>
  <c r="K9" i="12"/>
  <c r="K22" i="12"/>
  <c r="K35" i="12"/>
  <c r="K63" i="12"/>
  <c r="K119" i="12"/>
  <c r="K147" i="12"/>
  <c r="K6" i="14"/>
  <c r="K19" i="14"/>
  <c r="K60" i="14"/>
  <c r="K103" i="14"/>
  <c r="K116" i="14"/>
  <c r="K129" i="14"/>
  <c r="K144" i="14"/>
  <c r="K3" i="16"/>
  <c r="K87" i="16"/>
  <c r="K100" i="16"/>
  <c r="K113" i="16"/>
  <c r="K141" i="16"/>
  <c r="K154" i="16"/>
  <c r="K80" i="8"/>
  <c r="K101" i="8"/>
  <c r="K122" i="8"/>
  <c r="K143" i="8"/>
  <c r="K9" i="10"/>
  <c r="K87" i="10"/>
  <c r="K110" i="10"/>
  <c r="K123" i="10"/>
  <c r="K146" i="10"/>
  <c r="K14" i="12"/>
  <c r="K27" i="12"/>
  <c r="K50" i="12"/>
  <c r="K73" i="12"/>
  <c r="K109" i="12"/>
  <c r="K132" i="12"/>
  <c r="K155" i="12"/>
  <c r="K13" i="14"/>
  <c r="K36" i="14"/>
  <c r="K59" i="14"/>
  <c r="K72" i="14"/>
  <c r="K95" i="14"/>
  <c r="K118" i="14"/>
  <c r="K154" i="14"/>
  <c r="K22" i="16"/>
  <c r="K45" i="16"/>
  <c r="K58" i="16"/>
  <c r="K81" i="16"/>
  <c r="K104" i="16"/>
  <c r="K117" i="16"/>
  <c r="K140" i="16"/>
  <c r="K101" i="6"/>
  <c r="K112" i="6"/>
  <c r="K133" i="6"/>
  <c r="K154" i="6"/>
  <c r="K20" i="8"/>
  <c r="K41" i="8"/>
  <c r="K62" i="8"/>
  <c r="K83" i="8"/>
  <c r="K104" i="8"/>
  <c r="K125" i="8"/>
  <c r="K146" i="8"/>
  <c r="K2" i="10"/>
  <c r="K90" i="10"/>
  <c r="K103" i="10"/>
  <c r="K126" i="10"/>
  <c r="K149" i="10"/>
  <c r="K7" i="12"/>
  <c r="K30" i="12"/>
  <c r="K53" i="12"/>
  <c r="K89" i="12"/>
  <c r="K112" i="12"/>
  <c r="K135" i="12"/>
  <c r="K148" i="12"/>
  <c r="K16" i="14"/>
  <c r="K39" i="14"/>
  <c r="K52" i="14"/>
  <c r="K75" i="14"/>
  <c r="K98" i="14"/>
  <c r="K134" i="14"/>
  <c r="K2" i="16"/>
  <c r="K25" i="16"/>
  <c r="K38" i="16"/>
  <c r="K61" i="16"/>
  <c r="K84" i="16"/>
  <c r="K97" i="16"/>
  <c r="K120" i="16"/>
  <c r="K143" i="16"/>
  <c r="K26" i="4"/>
  <c r="K36" i="4"/>
  <c r="K46" i="4"/>
  <c r="K56" i="4"/>
  <c r="K66" i="4"/>
  <c r="K76" i="4"/>
  <c r="K86" i="4"/>
  <c r="K96" i="4"/>
  <c r="K106" i="4"/>
  <c r="K116" i="4"/>
  <c r="K126" i="4"/>
  <c r="K136" i="4"/>
  <c r="K146" i="4"/>
  <c r="K156" i="4"/>
  <c r="K11" i="6"/>
  <c r="K21" i="6"/>
  <c r="K31" i="6"/>
  <c r="K41" i="6"/>
  <c r="K51" i="6"/>
  <c r="K61" i="6"/>
  <c r="K71" i="6"/>
  <c r="K81" i="6"/>
  <c r="K91" i="6"/>
  <c r="K102" i="6"/>
  <c r="K123" i="6"/>
  <c r="K144" i="6"/>
  <c r="K10" i="8"/>
  <c r="K31" i="8"/>
  <c r="K52" i="8"/>
  <c r="K73" i="8"/>
  <c r="K94" i="8"/>
  <c r="K115" i="8"/>
  <c r="K136" i="8"/>
  <c r="K147" i="8"/>
  <c r="K13" i="10"/>
  <c r="K24" i="10"/>
  <c r="K35" i="10"/>
  <c r="K46" i="10"/>
  <c r="K57" i="10"/>
  <c r="K68" i="10"/>
  <c r="K79" i="10"/>
  <c r="K92" i="10"/>
  <c r="K115" i="10"/>
  <c r="K138" i="10"/>
  <c r="K19" i="12"/>
  <c r="K42" i="12"/>
  <c r="K65" i="12"/>
  <c r="K78" i="12"/>
  <c r="K101" i="12"/>
  <c r="K124" i="12"/>
  <c r="K137" i="12"/>
  <c r="K5" i="14"/>
  <c r="K28" i="14"/>
  <c r="K64" i="14"/>
  <c r="K87" i="14"/>
  <c r="K110" i="14"/>
  <c r="K123" i="14"/>
  <c r="K146" i="14"/>
  <c r="K14" i="16"/>
  <c r="K27" i="16"/>
  <c r="K50" i="16"/>
  <c r="K73" i="16"/>
  <c r="K109" i="16"/>
  <c r="K132" i="16"/>
  <c r="K155" i="16"/>
  <c r="K31" i="10"/>
  <c r="K41" i="10"/>
  <c r="K51" i="10"/>
  <c r="K61" i="10"/>
  <c r="K71" i="10"/>
  <c r="K81" i="10"/>
  <c r="K91" i="10"/>
  <c r="K101" i="10"/>
  <c r="K111" i="10"/>
  <c r="K121" i="10"/>
  <c r="K131" i="10"/>
  <c r="K141" i="10"/>
  <c r="K151" i="10"/>
  <c r="K6" i="12"/>
  <c r="K16" i="12"/>
  <c r="K26" i="12"/>
  <c r="K36" i="12"/>
  <c r="K46" i="12"/>
  <c r="K56" i="12"/>
  <c r="K66" i="12"/>
  <c r="K76" i="12"/>
  <c r="K86" i="12"/>
  <c r="K96" i="12"/>
  <c r="K106" i="12"/>
  <c r="K116" i="12"/>
  <c r="K126" i="12"/>
  <c r="K136" i="12"/>
  <c r="K146" i="12"/>
  <c r="K156" i="12"/>
  <c r="K11" i="14"/>
  <c r="K21" i="14"/>
  <c r="K31" i="14"/>
  <c r="K41" i="14"/>
  <c r="K51" i="14"/>
  <c r="K61" i="14"/>
  <c r="K71" i="14"/>
  <c r="K81" i="14"/>
  <c r="K91" i="14"/>
  <c r="K101" i="14"/>
  <c r="K111" i="14"/>
  <c r="K121" i="14"/>
  <c r="K131" i="14"/>
  <c r="K141" i="14"/>
  <c r="K151" i="14"/>
  <c r="K6" i="16"/>
  <c r="K16" i="16"/>
  <c r="K26" i="16"/>
  <c r="K36" i="16"/>
  <c r="K46" i="16"/>
  <c r="K56" i="16"/>
  <c r="K66" i="16"/>
  <c r="K76" i="16"/>
  <c r="K86" i="16"/>
  <c r="K96" i="16"/>
  <c r="K106" i="16"/>
  <c r="K116" i="16"/>
  <c r="K126" i="16"/>
  <c r="K136" i="16"/>
  <c r="K146" i="16"/>
  <c r="K156" i="16"/>
  <c r="B2" i="20"/>
  <c r="B1" i="20"/>
  <c r="G97" i="16"/>
  <c r="J95" i="16"/>
  <c r="G5" i="16"/>
  <c r="J2" i="16"/>
  <c r="J96" i="16"/>
  <c r="J4" i="16"/>
  <c r="J69" i="16"/>
  <c r="J68" i="16"/>
  <c r="J67" i="16"/>
  <c r="J65" i="16"/>
  <c r="G35" i="16"/>
  <c r="J34" i="16"/>
  <c r="J66" i="16"/>
  <c r="G70" i="16"/>
  <c r="G129" i="16"/>
  <c r="J128" i="16"/>
  <c r="J127" i="16"/>
  <c r="L97" i="15"/>
  <c r="L96" i="15"/>
  <c r="L127" i="15"/>
  <c r="L95" i="15"/>
  <c r="G72" i="15"/>
  <c r="J70" i="15"/>
  <c r="J69" i="15"/>
  <c r="J68" i="15"/>
  <c r="J67" i="15"/>
  <c r="J129" i="15"/>
  <c r="J38" i="15"/>
  <c r="J65" i="15"/>
  <c r="G130" i="15"/>
  <c r="J34" i="15"/>
  <c r="J98" i="15"/>
  <c r="J66" i="15"/>
  <c r="J35" i="15"/>
  <c r="J126" i="15"/>
  <c r="J128" i="15"/>
  <c r="G40" i="15"/>
  <c r="J37" i="15"/>
  <c r="G5" i="15"/>
  <c r="J2" i="15"/>
  <c r="J4" i="15"/>
  <c r="J36" i="15"/>
  <c r="G100" i="15"/>
  <c r="G130" i="14"/>
  <c r="G97" i="14"/>
  <c r="J95" i="14"/>
  <c r="J96" i="14"/>
  <c r="G6" i="14"/>
  <c r="J5" i="14" s="1"/>
  <c r="G35" i="14"/>
  <c r="J33" i="14"/>
  <c r="J128" i="14"/>
  <c r="J4" i="14"/>
  <c r="J126" i="14"/>
  <c r="J127" i="14"/>
  <c r="J64" i="14"/>
  <c r="J65" i="14"/>
  <c r="J2" i="14"/>
  <c r="G66" i="14"/>
  <c r="G67" i="13"/>
  <c r="J66" i="13"/>
  <c r="J64" i="13"/>
  <c r="G38" i="13"/>
  <c r="J37" i="13" s="1"/>
  <c r="G5" i="13"/>
  <c r="J2" i="13"/>
  <c r="J4" i="13"/>
  <c r="G97" i="13"/>
  <c r="J95" i="13"/>
  <c r="J96" i="13"/>
  <c r="J3" i="13"/>
  <c r="J35" i="13"/>
  <c r="G129" i="13"/>
  <c r="J128" i="13"/>
  <c r="J34" i="13"/>
  <c r="J127" i="13"/>
  <c r="G37" i="12"/>
  <c r="G99" i="12"/>
  <c r="J98" i="12"/>
  <c r="J2" i="12"/>
  <c r="G5" i="12"/>
  <c r="J4" i="12" s="1"/>
  <c r="G128" i="12"/>
  <c r="J126" i="12"/>
  <c r="J127" i="12"/>
  <c r="J3" i="12"/>
  <c r="J64" i="12"/>
  <c r="G66" i="12"/>
  <c r="J65" i="12"/>
  <c r="J34" i="12"/>
  <c r="J96" i="12"/>
  <c r="L95" i="11"/>
  <c r="G5" i="11"/>
  <c r="J4" i="11"/>
  <c r="G36" i="11"/>
  <c r="J35" i="11" s="1"/>
  <c r="G128" i="11"/>
  <c r="J126" i="11"/>
  <c r="G99" i="11"/>
  <c r="J98" i="11"/>
  <c r="J2" i="11"/>
  <c r="J3" i="11"/>
  <c r="J64" i="11"/>
  <c r="J33" i="11"/>
  <c r="J65" i="11"/>
  <c r="G67" i="11"/>
  <c r="J34" i="11"/>
  <c r="J96" i="11"/>
  <c r="G68" i="10"/>
  <c r="G129" i="10"/>
  <c r="J126" i="10"/>
  <c r="J128" i="10"/>
  <c r="J5" i="10"/>
  <c r="G6" i="10"/>
  <c r="G97" i="10"/>
  <c r="J95" i="10"/>
  <c r="J96" i="10"/>
  <c r="G35" i="10"/>
  <c r="J33" i="10"/>
  <c r="J34" i="10"/>
  <c r="J4" i="10"/>
  <c r="J127" i="10"/>
  <c r="J65" i="10"/>
  <c r="J3" i="10"/>
  <c r="G128" i="9"/>
  <c r="J127" i="9" s="1"/>
  <c r="G66" i="9"/>
  <c r="G4" i="9"/>
  <c r="J3" i="9" s="1"/>
  <c r="G100" i="9"/>
  <c r="J64" i="9"/>
  <c r="J96" i="9"/>
  <c r="J98" i="9"/>
  <c r="J36" i="9"/>
  <c r="G38" i="9"/>
  <c r="G4" i="8"/>
  <c r="J3" i="8"/>
  <c r="G35" i="8"/>
  <c r="J34" i="8"/>
  <c r="J33" i="8"/>
  <c r="G129" i="8"/>
  <c r="J128" i="8"/>
  <c r="G97" i="8"/>
  <c r="J96" i="8"/>
  <c r="J126" i="8"/>
  <c r="J127" i="8"/>
  <c r="G66" i="8"/>
  <c r="J95" i="8"/>
  <c r="L126" i="7"/>
  <c r="L96" i="7"/>
  <c r="L97" i="7"/>
  <c r="L95" i="7"/>
  <c r="G36" i="7"/>
  <c r="J35" i="7"/>
  <c r="J34" i="7"/>
  <c r="J100" i="7"/>
  <c r="G129" i="7"/>
  <c r="J128" i="7"/>
  <c r="J127" i="7"/>
  <c r="G4" i="7"/>
  <c r="J3" i="7" s="1"/>
  <c r="G102" i="7"/>
  <c r="G67" i="7"/>
  <c r="J64" i="7"/>
  <c r="J65" i="7"/>
  <c r="J99" i="7"/>
  <c r="J98" i="7"/>
  <c r="G35" i="6"/>
  <c r="J34" i="6"/>
  <c r="J33" i="6"/>
  <c r="G97" i="6"/>
  <c r="J96" i="6"/>
  <c r="G4" i="6"/>
  <c r="J2" i="6" s="1"/>
  <c r="J3" i="6"/>
  <c r="G66" i="6"/>
  <c r="J95" i="6"/>
  <c r="G128" i="6"/>
  <c r="J126" i="6" s="1"/>
  <c r="G101" i="5"/>
  <c r="J100" i="5"/>
  <c r="G37" i="5"/>
  <c r="J36" i="5"/>
  <c r="J127" i="5"/>
  <c r="J35" i="5"/>
  <c r="J5" i="5"/>
  <c r="G67" i="5"/>
  <c r="J66" i="5"/>
  <c r="J4" i="5"/>
  <c r="J99" i="5"/>
  <c r="J98" i="5"/>
  <c r="G6" i="5"/>
  <c r="J2" i="5"/>
  <c r="J3" i="5"/>
  <c r="J64" i="5"/>
  <c r="G128" i="5"/>
  <c r="J96" i="5"/>
  <c r="J34" i="5"/>
  <c r="G100" i="4"/>
  <c r="G35" i="4"/>
  <c r="J33" i="4"/>
  <c r="J66" i="4"/>
  <c r="G4" i="4"/>
  <c r="J3" i="4"/>
  <c r="G68" i="4"/>
  <c r="J98" i="4"/>
  <c r="J34" i="4"/>
  <c r="J127" i="4"/>
  <c r="J97" i="4"/>
  <c r="G129" i="4"/>
  <c r="J128" i="4"/>
  <c r="J96" i="4"/>
  <c r="G38" i="3"/>
  <c r="J37" i="3"/>
  <c r="J36" i="3"/>
  <c r="G97" i="3"/>
  <c r="J95" i="3"/>
  <c r="G5" i="3"/>
  <c r="J96" i="3"/>
  <c r="G68" i="3"/>
  <c r="J3" i="3"/>
  <c r="G129" i="3"/>
  <c r="J127" i="3"/>
  <c r="J34" i="3"/>
  <c r="J66" i="3"/>
  <c r="J126" i="3"/>
  <c r="J35" i="3"/>
  <c r="J65" i="3"/>
  <c r="G35" i="2"/>
  <c r="J34" i="2"/>
  <c r="J33" i="2"/>
  <c r="G4" i="2"/>
  <c r="J66" i="2"/>
  <c r="G68" i="2"/>
  <c r="G97" i="2"/>
  <c r="J96" i="2"/>
  <c r="G128" i="2"/>
  <c r="J64" i="2"/>
  <c r="J65" i="2"/>
  <c r="G128" i="1"/>
  <c r="J127" i="1" s="1"/>
  <c r="G97" i="1"/>
  <c r="J95" i="1"/>
  <c r="J96" i="1"/>
  <c r="G66" i="1"/>
  <c r="G36" i="1"/>
  <c r="J34" i="1"/>
  <c r="J33" i="1"/>
  <c r="G6" i="1"/>
  <c r="J4" i="1"/>
  <c r="K125" i="7" a="1"/>
  <c r="K32" i="5" a="1"/>
  <c r="K76" i="13" a="1"/>
  <c r="K156" i="9" a="1"/>
  <c r="K115" i="5" a="1"/>
  <c r="K154" i="9" a="1"/>
  <c r="K79" i="5" a="1"/>
  <c r="K53" i="15" a="1"/>
  <c r="K65" i="5" a="1"/>
  <c r="K55" i="15" a="1"/>
  <c r="K128" i="3" a="1"/>
  <c r="K80" i="9" a="1"/>
  <c r="K21" i="9" a="1"/>
  <c r="K101" i="13" a="1"/>
  <c r="K20" i="11" a="1"/>
  <c r="K37" i="11" a="1"/>
  <c r="K79" i="11" a="1"/>
  <c r="K13" i="5" a="1"/>
  <c r="K50" i="5" a="1"/>
  <c r="K117" i="11" a="1"/>
  <c r="K122" i="9" a="1"/>
  <c r="K119" i="9" a="1"/>
  <c r="K146" i="9" a="1"/>
  <c r="K40" i="3" a="1"/>
  <c r="K142" i="9" a="1"/>
  <c r="K37" i="7" a="1"/>
  <c r="K150" i="7" a="1"/>
  <c r="K135" i="9" a="1"/>
  <c r="K90" i="13" a="1"/>
  <c r="K118" i="9" a="1"/>
  <c r="K147" i="7" a="1"/>
  <c r="K49" i="5" a="1"/>
  <c r="K135" i="13" a="1"/>
  <c r="K141" i="3" a="1"/>
  <c r="K48" i="7" a="1"/>
  <c r="K45" i="15" a="1"/>
  <c r="K120" i="13" a="1"/>
  <c r="K84" i="15" a="1"/>
  <c r="K145" i="7" a="1"/>
  <c r="K45" i="7" a="1"/>
  <c r="K27" i="15" a="1"/>
  <c r="K42" i="15" a="1"/>
  <c r="K133" i="5" a="1"/>
  <c r="K135" i="7" a="1"/>
  <c r="K81" i="3" a="1"/>
  <c r="K142" i="13" a="1"/>
  <c r="K143" i="9" a="1"/>
  <c r="K150" i="5" a="1"/>
  <c r="K4" i="13" a="1"/>
  <c r="K86" i="11" a="1"/>
  <c r="K119" i="7" a="1"/>
  <c r="K81" i="11" a="1"/>
  <c r="K25" i="5" a="1"/>
  <c r="K99" i="7" a="1"/>
  <c r="K113" i="3" a="1"/>
  <c r="K121" i="5" a="1"/>
  <c r="K110" i="11" a="1"/>
  <c r="K134" i="11" a="1"/>
  <c r="K152" i="15" a="1"/>
  <c r="K46" i="3" a="1"/>
  <c r="K121" i="13" a="1"/>
  <c r="K7" i="7" a="1"/>
  <c r="K69" i="7" a="1"/>
  <c r="K29" i="3" a="1"/>
  <c r="K23" i="9" a="1"/>
  <c r="K100" i="11" a="1"/>
  <c r="K51" i="15" a="1"/>
  <c r="K111" i="3" a="1"/>
  <c r="K138" i="5" a="1"/>
  <c r="K132" i="3" a="1"/>
  <c r="K40" i="15" a="1"/>
  <c r="K84" i="13" a="1"/>
  <c r="K100" i="13" a="1"/>
  <c r="K109" i="9" a="1"/>
  <c r="K9" i="9" a="1"/>
  <c r="K20" i="5" a="1"/>
  <c r="K70" i="11" a="1"/>
  <c r="K89" i="15" a="1"/>
  <c r="K42" i="9" a="1"/>
  <c r="K2" i="13" a="1"/>
  <c r="K114" i="13" a="1"/>
  <c r="K125" i="3" a="1"/>
  <c r="K33" i="5" a="1"/>
  <c r="K144" i="9" a="1"/>
  <c r="K83" i="5" a="1"/>
  <c r="K142" i="15" a="1"/>
  <c r="K47" i="11" a="1"/>
  <c r="K14" i="15" a="1"/>
  <c r="K34" i="11" a="1"/>
  <c r="K89" i="13" a="1"/>
  <c r="K18" i="11" a="1"/>
  <c r="K119" i="3" a="1"/>
  <c r="K106" i="3" a="1"/>
  <c r="K93" i="11" a="1"/>
  <c r="K54" i="15" a="1"/>
  <c r="K92" i="9" a="1"/>
  <c r="K122" i="15" a="1"/>
  <c r="K55" i="13" a="1"/>
  <c r="K36" i="3" a="1"/>
  <c r="K3" i="11" a="1"/>
  <c r="K70" i="15" a="1"/>
  <c r="K15" i="13" a="1"/>
  <c r="K46" i="13" a="1"/>
  <c r="K129" i="5" a="1"/>
  <c r="K63" i="5" a="1"/>
  <c r="K107" i="11" a="1"/>
  <c r="K151" i="15" a="1"/>
  <c r="K84" i="11" a="1"/>
  <c r="K122" i="5" a="1"/>
  <c r="K88" i="5" a="1"/>
  <c r="K114" i="3" a="1"/>
  <c r="K57" i="9" a="1"/>
  <c r="K5" i="15" a="1"/>
  <c r="K82" i="15" a="1"/>
  <c r="K104" i="11" a="1"/>
  <c r="K50" i="11" a="1"/>
  <c r="K4" i="11" a="1"/>
  <c r="K77" i="15" a="1"/>
  <c r="K134" i="9" a="1"/>
  <c r="K64" i="15" a="1"/>
  <c r="K37" i="5" a="1"/>
  <c r="K46" i="7" a="1"/>
  <c r="K30" i="13" a="1"/>
  <c r="K83" i="3" a="1"/>
  <c r="K113" i="11" a="1"/>
  <c r="K141" i="11" a="1"/>
  <c r="K79" i="3" a="1"/>
  <c r="K129" i="13" a="1"/>
  <c r="K41" i="15" a="1"/>
  <c r="K7" i="9" a="1"/>
  <c r="K116" i="3" a="1"/>
  <c r="K5" i="9" a="1"/>
  <c r="K18" i="13" a="1"/>
  <c r="K148" i="9" a="1"/>
  <c r="K125" i="13" a="1"/>
  <c r="K137" i="11" a="1"/>
  <c r="K69" i="9" a="1"/>
  <c r="K139" i="9" a="1"/>
  <c r="K54" i="9" a="1"/>
  <c r="K148" i="3" a="1"/>
  <c r="K83" i="11" a="1"/>
  <c r="K137" i="7" a="1"/>
  <c r="K91" i="9" a="1"/>
  <c r="K128" i="5" a="1"/>
  <c r="K117" i="7" a="1"/>
  <c r="K13" i="3" a="1"/>
  <c r="K22" i="15" a="1"/>
  <c r="K112" i="5" a="1"/>
  <c r="K94" i="13" a="1"/>
  <c r="K56" i="3" a="1"/>
  <c r="K106" i="15" a="1"/>
  <c r="K26" i="11" a="1"/>
  <c r="K137" i="9" a="1"/>
  <c r="K88" i="13" a="1"/>
  <c r="K110" i="9" a="1"/>
  <c r="K133" i="3" a="1"/>
  <c r="K153" i="13" a="1"/>
  <c r="K84" i="5" a="1"/>
  <c r="K87" i="3" a="1"/>
  <c r="K93" i="13" a="1"/>
  <c r="K139" i="7" a="1"/>
  <c r="K110" i="3" a="1"/>
  <c r="K121" i="9" a="1"/>
  <c r="K127" i="9" a="1"/>
  <c r="K77" i="11" a="1"/>
  <c r="K104" i="9" a="1"/>
  <c r="K94" i="15" a="1"/>
  <c r="K27" i="13" a="1"/>
  <c r="K126" i="11" a="1"/>
  <c r="K20" i="13" a="1"/>
  <c r="K33" i="9" a="1"/>
  <c r="K60" i="3" a="1"/>
  <c r="K134" i="15" a="1"/>
  <c r="K7" i="5" a="1"/>
  <c r="K108" i="15" a="1"/>
  <c r="K67" i="9" a="1"/>
  <c r="K37" i="13" a="1"/>
  <c r="K132" i="11" a="1"/>
  <c r="K141" i="13" a="1"/>
  <c r="K3" i="9" a="1"/>
  <c r="K46" i="11" a="1"/>
  <c r="K65" i="9" a="1"/>
  <c r="K132" i="9" a="1"/>
  <c r="K58" i="9" a="1"/>
  <c r="K27" i="5" a="1"/>
  <c r="K112" i="15" a="1"/>
  <c r="K103" i="5" a="1"/>
  <c r="K62" i="11" a="1"/>
  <c r="K7" i="3" a="1"/>
  <c r="K69" i="15" a="1"/>
  <c r="K29" i="7" a="1"/>
  <c r="K109" i="11" a="1"/>
  <c r="K15" i="15" a="1"/>
  <c r="K118" i="11" a="1"/>
  <c r="K145" i="11" a="1"/>
  <c r="K82" i="13" a="1"/>
  <c r="K107" i="15" a="1"/>
  <c r="K35" i="7" a="1"/>
  <c r="K135" i="3" a="1"/>
  <c r="K131" i="7" a="1"/>
  <c r="K139" i="5" a="1"/>
  <c r="K42" i="3" a="1"/>
  <c r="K144" i="13" a="1"/>
  <c r="K91" i="5" a="1"/>
  <c r="K153" i="7" a="1"/>
  <c r="K82" i="7" a="1"/>
  <c r="K124" i="3" a="1"/>
  <c r="K71" i="7" a="1"/>
  <c r="K72" i="3" a="1"/>
  <c r="K147" i="5" a="1"/>
  <c r="K109" i="3" a="1"/>
  <c r="K21" i="13" a="1"/>
  <c r="K138" i="15" a="1"/>
  <c r="K134" i="3" a="1"/>
  <c r="K103" i="7" a="1"/>
  <c r="K116" i="9" a="1"/>
  <c r="K126" i="9" a="1"/>
  <c r="K47" i="3" a="1"/>
  <c r="K42" i="5" a="1"/>
  <c r="K152" i="11" a="1"/>
  <c r="K106" i="9" a="1"/>
  <c r="K81" i="9" a="1"/>
  <c r="K39" i="7" a="1"/>
  <c r="K96" i="13" a="1"/>
  <c r="K104" i="13" a="1"/>
  <c r="K17" i="9" a="1"/>
  <c r="K94" i="7" a="1"/>
  <c r="K138" i="7" a="1"/>
  <c r="K74" i="3" a="1"/>
  <c r="K98" i="13" a="1"/>
  <c r="K29" i="5" a="1"/>
  <c r="K149" i="5" a="1"/>
  <c r="K49" i="11" a="1"/>
  <c r="K115" i="3" a="1"/>
  <c r="K101" i="11" a="1"/>
  <c r="K101" i="7" a="1"/>
  <c r="K65" i="15" a="1"/>
  <c r="K60" i="5" a="1"/>
  <c r="K83" i="13" a="1"/>
  <c r="K78" i="5" a="1"/>
  <c r="K12" i="11" a="1"/>
  <c r="K19" i="7" a="1"/>
  <c r="K61" i="13" a="1"/>
  <c r="K56" i="15" a="1"/>
  <c r="K70" i="9" a="1"/>
  <c r="K153" i="5" a="1"/>
  <c r="K77" i="3" a="1"/>
  <c r="K3" i="15" a="1"/>
  <c r="K126" i="13" a="1"/>
  <c r="K7" i="13" a="1"/>
  <c r="K26" i="13" a="1"/>
  <c r="K76" i="5" a="1"/>
  <c r="K32" i="3" a="1"/>
  <c r="K68" i="7" a="1"/>
  <c r="K20" i="15" a="1"/>
  <c r="K85" i="13" a="1"/>
  <c r="K91" i="15" a="1"/>
  <c r="K35" i="9" a="1"/>
  <c r="K121" i="11" a="1"/>
  <c r="K15" i="11" a="1"/>
  <c r="K9" i="15" a="1"/>
  <c r="K79" i="9" a="1"/>
  <c r="K12" i="3" a="1"/>
  <c r="K71" i="3" a="1"/>
  <c r="K107" i="5" a="1"/>
  <c r="K18" i="9" a="1"/>
  <c r="K15" i="9" a="1"/>
  <c r="K37" i="9" a="1"/>
  <c r="K138" i="13" a="1"/>
  <c r="K12" i="15" a="1"/>
  <c r="K35" i="15" a="1"/>
  <c r="K103" i="15" a="1"/>
  <c r="K146" i="7" a="1"/>
  <c r="K21" i="11" a="1"/>
  <c r="K24" i="5" a="1"/>
  <c r="K20" i="3" a="1"/>
  <c r="K95" i="13" a="1"/>
  <c r="K17" i="15" a="1"/>
  <c r="K35" i="5" a="1"/>
  <c r="K51" i="11" a="1"/>
  <c r="K137" i="15" a="1"/>
  <c r="K31" i="15" a="1"/>
  <c r="K97" i="11" a="1"/>
  <c r="K48" i="11" a="1"/>
  <c r="K60" i="15" a="1"/>
  <c r="K38" i="11" a="1"/>
  <c r="K90" i="15" a="1"/>
  <c r="K51" i="7" a="1"/>
  <c r="K53" i="7" a="1"/>
  <c r="K38" i="3" a="1"/>
  <c r="K55" i="11" a="1"/>
  <c r="K36" i="11" a="1"/>
  <c r="K40" i="13" a="1"/>
  <c r="K125" i="9" a="1"/>
  <c r="K39" i="13" a="1"/>
  <c r="K62" i="13" a="1"/>
  <c r="K140" i="13" a="1"/>
  <c r="K56" i="13" a="1"/>
  <c r="K99" i="15" a="1"/>
  <c r="K87" i="9" a="1"/>
  <c r="K75" i="3" a="1"/>
  <c r="K131" i="13" a="1"/>
  <c r="K19" i="13" a="1"/>
  <c r="K86" i="9" a="1"/>
  <c r="K99" i="13" a="1"/>
  <c r="K7" i="11" a="1"/>
  <c r="K89" i="7" a="1"/>
  <c r="K149" i="11" a="1"/>
  <c r="K152" i="7" a="1"/>
  <c r="K5" i="3" a="1"/>
  <c r="K73" i="9" a="1"/>
  <c r="K78" i="11" a="1"/>
  <c r="K125" i="15" a="1"/>
  <c r="K74" i="9" a="1"/>
  <c r="K69" i="11" a="1"/>
  <c r="K73" i="11" a="1"/>
  <c r="K9" i="7" a="1"/>
  <c r="K19" i="15" a="1"/>
  <c r="K75" i="13" a="1"/>
  <c r="K47" i="7" a="1"/>
  <c r="K43" i="7" a="1"/>
  <c r="K45" i="11" a="1"/>
  <c r="K36" i="15" a="1"/>
  <c r="K66" i="9" a="1"/>
  <c r="K153" i="11" a="1"/>
  <c r="K81" i="15" a="1"/>
  <c r="K85" i="5" a="1"/>
  <c r="K102" i="9" a="1"/>
  <c r="K32" i="11" a="1"/>
  <c r="K113" i="5" a="1"/>
  <c r="K135" i="11" a="1"/>
  <c r="K150" i="11" a="1"/>
  <c r="K104" i="15" a="1"/>
  <c r="K113" i="13" a="1"/>
  <c r="K124" i="11" a="1"/>
  <c r="K117" i="3" a="1"/>
  <c r="K57" i="7" a="1"/>
  <c r="K132" i="7" a="1"/>
  <c r="K87" i="7" a="1"/>
  <c r="K140" i="9" a="1"/>
  <c r="K78" i="9" a="1"/>
  <c r="K125" i="11" a="1"/>
  <c r="K116" i="7" a="1"/>
  <c r="K99" i="5" a="1"/>
  <c r="K107" i="3" a="1"/>
  <c r="K27" i="3" a="1"/>
  <c r="K23" i="13" a="1"/>
  <c r="K45" i="13" a="1"/>
  <c r="K133" i="7" a="1"/>
  <c r="K43" i="13" a="1"/>
  <c r="K88" i="3" a="1"/>
  <c r="K32" i="13" a="1"/>
  <c r="K145" i="15" a="1"/>
  <c r="K152" i="5" a="1"/>
  <c r="K23" i="7" a="1"/>
  <c r="K62" i="15" a="1"/>
  <c r="K47" i="9" a="1"/>
  <c r="K65" i="11" a="1"/>
  <c r="K145" i="9" a="1"/>
  <c r="K156" i="15" a="1"/>
  <c r="K24" i="3" a="1"/>
  <c r="K28" i="13" a="1"/>
  <c r="K62" i="7" a="1"/>
  <c r="K73" i="15" a="1"/>
  <c r="K14" i="5" a="1"/>
  <c r="K26" i="5" a="1"/>
  <c r="K123" i="3" a="1"/>
  <c r="K109" i="7" a="1"/>
  <c r="K35" i="13" a="1"/>
  <c r="K30" i="3" a="1"/>
  <c r="K102" i="3" a="1"/>
  <c r="K44" i="15" a="1"/>
  <c r="K19" i="11" a="1"/>
  <c r="K61" i="15" a="1"/>
  <c r="K8" i="5" a="1"/>
  <c r="K140" i="11" a="1"/>
  <c r="K120" i="11" a="1"/>
  <c r="K92" i="3" a="1"/>
  <c r="K108" i="13" a="1"/>
  <c r="K155" i="3" a="1"/>
  <c r="K5" i="5" a="1"/>
  <c r="K88" i="7" a="1"/>
  <c r="K142" i="7" a="1"/>
  <c r="K26" i="15" a="1"/>
  <c r="K101" i="9" a="1"/>
  <c r="K77" i="13" a="1"/>
  <c r="K13" i="9" a="1"/>
  <c r="K13" i="11" a="1"/>
  <c r="K141" i="7" a="1"/>
  <c r="K118" i="15" a="1"/>
  <c r="K155" i="15" a="1"/>
  <c r="K51" i="5" a="1"/>
  <c r="K147" i="13" a="1"/>
  <c r="K49" i="7" a="1"/>
  <c r="K130" i="9" a="1"/>
  <c r="K55" i="7" a="1"/>
  <c r="K21" i="15" a="1"/>
  <c r="K117" i="5" a="1"/>
  <c r="K140" i="15" a="1"/>
  <c r="K92" i="13" a="1"/>
  <c r="K126" i="3" a="1"/>
  <c r="K14" i="13" a="1"/>
  <c r="K39" i="15" a="1"/>
  <c r="K143" i="3" a="1"/>
  <c r="K93" i="3" a="1"/>
  <c r="K68" i="5" a="1"/>
  <c r="K47" i="15" a="1"/>
  <c r="K111" i="7" a="1"/>
  <c r="K71" i="9" a="1"/>
  <c r="K139" i="15" a="1"/>
  <c r="K136" i="5" a="1"/>
  <c r="K14" i="3" a="1"/>
  <c r="K26" i="3" a="1"/>
  <c r="K88" i="11" a="1"/>
  <c r="K122" i="7" a="1"/>
  <c r="K15" i="7" a="1"/>
  <c r="K102" i="5" a="1"/>
  <c r="K101" i="5" a="1"/>
  <c r="K133" i="11" a="1"/>
  <c r="K134" i="13" a="1"/>
  <c r="K28" i="15" a="1"/>
  <c r="K42" i="7" a="1"/>
  <c r="K92" i="15" a="1"/>
  <c r="K35" i="3" a="1"/>
  <c r="K107" i="7" a="1"/>
  <c r="K130" i="11" a="1"/>
  <c r="K102" i="7" a="1"/>
  <c r="K89" i="5" a="1"/>
  <c r="K138" i="9" a="1"/>
  <c r="K4" i="5" a="1"/>
  <c r="K38" i="15" a="1"/>
  <c r="K100" i="5" a="1"/>
  <c r="K119" i="13" a="1"/>
  <c r="K10" i="5" a="1"/>
  <c r="K23" i="11" a="1"/>
  <c r="K10" i="3" a="1"/>
  <c r="K59" i="9" a="1"/>
  <c r="K53" i="9" a="1"/>
  <c r="K95" i="5" a="1"/>
  <c r="K123" i="7" a="1"/>
  <c r="K53" i="5" a="1"/>
  <c r="K64" i="9" a="1"/>
  <c r="K88" i="9" a="1"/>
  <c r="K101" i="15" a="1"/>
  <c r="K104" i="3" a="1"/>
  <c r="K58" i="5" a="1"/>
  <c r="K139" i="11" a="1"/>
  <c r="K122" i="13" a="1"/>
  <c r="K46" i="5" a="1"/>
  <c r="K85" i="7" a="1"/>
  <c r="K59" i="13" a="1"/>
  <c r="K146" i="5" a="1"/>
  <c r="K70" i="13" a="1"/>
  <c r="K112" i="3" a="1"/>
  <c r="K46" i="9" a="1"/>
  <c r="K60" i="13" a="1"/>
  <c r="K155" i="11" a="1"/>
  <c r="K90" i="5" a="1"/>
  <c r="K43" i="11" a="1"/>
  <c r="K92" i="11" a="1"/>
  <c r="K86" i="13" a="1"/>
  <c r="K9" i="13" a="1"/>
  <c r="K88" i="15" a="1"/>
  <c r="K68" i="15" a="1"/>
  <c r="K154" i="5" a="1"/>
  <c r="K49" i="13" a="1"/>
  <c r="K84" i="9" a="1"/>
  <c r="K95" i="1" a="1"/>
  <c r="K64" i="11" a="1"/>
  <c r="K105" i="3" a="1"/>
  <c r="K135" i="5" a="1"/>
  <c r="K76" i="9" a="1"/>
  <c r="K14" i="11" a="1"/>
  <c r="K28" i="9" a="1"/>
  <c r="K139" i="3" a="1"/>
  <c r="K16" i="11" a="1"/>
  <c r="K58" i="13" a="1"/>
  <c r="K150" i="3" a="1"/>
  <c r="K29" i="11" a="1"/>
  <c r="K54" i="3" a="1"/>
  <c r="K8" i="11" a="1"/>
  <c r="K30" i="15" a="1"/>
  <c r="K116" i="5" a="1"/>
  <c r="K31" i="11" a="1"/>
  <c r="K89" i="9" a="1"/>
  <c r="K31" i="9" a="1"/>
  <c r="K69" i="5" a="1"/>
  <c r="K80" i="11" a="1"/>
  <c r="K115" i="9" a="1"/>
  <c r="K140" i="5" a="1"/>
  <c r="K72" i="11" a="1"/>
  <c r="K156" i="3" a="1"/>
  <c r="K34" i="15" a="1"/>
  <c r="K37" i="3" a="1"/>
  <c r="K93" i="9" a="1"/>
  <c r="K78" i="13" a="1"/>
  <c r="K139" i="13" a="1"/>
  <c r="K11" i="7" a="1"/>
  <c r="K57" i="5" a="1"/>
  <c r="K7" i="15" a="1"/>
  <c r="K142" i="5" a="1"/>
  <c r="K151" i="13" a="1"/>
  <c r="K108" i="9" a="1"/>
  <c r="K44" i="7" a="1"/>
  <c r="K36" i="9" a="1"/>
  <c r="K86" i="15" a="1"/>
  <c r="K51" i="3" a="1"/>
  <c r="K134" i="7" a="1"/>
  <c r="K135" i="15" a="1"/>
  <c r="K52" i="7" a="1"/>
  <c r="K5" i="11" a="1"/>
  <c r="K26" i="7" a="1"/>
  <c r="K105" i="11" a="1"/>
  <c r="K154" i="3" a="1"/>
  <c r="K106" i="11" a="1"/>
  <c r="K127" i="1" a="1"/>
  <c r="K59" i="3" a="1"/>
  <c r="K71" i="11" a="1"/>
  <c r="K122" i="3" a="1"/>
  <c r="K78" i="15" a="1"/>
  <c r="K130" i="13" a="1"/>
  <c r="K131" i="5" a="1"/>
  <c r="K114" i="7" a="1"/>
  <c r="K72" i="7" a="1"/>
  <c r="K10" i="7" a="1"/>
  <c r="K151" i="11" a="1"/>
  <c r="K101" i="3" a="1"/>
  <c r="K4" i="15" a="1"/>
  <c r="K113" i="9" a="1"/>
  <c r="K97" i="13" a="1"/>
  <c r="K115" i="15" a="1"/>
  <c r="K124" i="13" a="1"/>
  <c r="K143" i="7" a="1"/>
  <c r="K67" i="11" a="1"/>
  <c r="K116" i="11" a="1"/>
  <c r="K154" i="11" a="1"/>
  <c r="K79" i="13" a="1"/>
  <c r="K153" i="15" a="1"/>
  <c r="K80" i="5" a="1"/>
  <c r="K148" i="7" a="1"/>
  <c r="K3" i="5" a="1"/>
  <c r="K11" i="11" a="1"/>
  <c r="K81" i="7" a="1"/>
  <c r="K125" i="5" a="1"/>
  <c r="K50" i="13" a="1"/>
  <c r="K117" i="13" a="1"/>
  <c r="K33" i="11" a="1"/>
  <c r="K40" i="11" a="1"/>
  <c r="K40" i="7" a="1"/>
  <c r="K155" i="9" a="1"/>
  <c r="K52" i="15" a="1"/>
  <c r="K57" i="15" a="1"/>
  <c r="K148" i="11" a="1"/>
  <c r="K110" i="15" a="1"/>
  <c r="K152" i="13" a="1"/>
  <c r="K36" i="7" a="1"/>
  <c r="K151" i="3" a="1"/>
  <c r="K36" i="13" a="1"/>
  <c r="K111" i="9" a="1"/>
  <c r="K82" i="5" a="1"/>
  <c r="K19" i="9" a="1"/>
  <c r="K98" i="9" a="1"/>
  <c r="K156" i="5" a="1"/>
  <c r="K105" i="15" a="1"/>
  <c r="K74" i="5" a="1"/>
  <c r="K22" i="11" a="1"/>
  <c r="K90" i="7" a="1"/>
  <c r="K116" i="15" a="1"/>
  <c r="K115" i="13" a="1"/>
  <c r="K130" i="5" a="1"/>
  <c r="K112" i="7" a="1"/>
  <c r="K151" i="7" a="1"/>
  <c r="K34" i="9" a="1"/>
  <c r="K44" i="13" a="1"/>
  <c r="K124" i="9" a="1"/>
  <c r="K6" i="3" a="1"/>
  <c r="K98" i="7" a="1"/>
  <c r="K22" i="3" a="1"/>
  <c r="K87" i="11" a="1"/>
  <c r="K137" i="13" a="1"/>
  <c r="K115" i="11" a="1"/>
  <c r="K129" i="11" a="1"/>
  <c r="K89" i="3" a="1"/>
  <c r="K48" i="15" a="1"/>
  <c r="K118" i="13" a="1"/>
  <c r="K49" i="15" a="1"/>
  <c r="K80" i="3" a="1"/>
  <c r="K152" i="9" a="1"/>
  <c r="K86" i="3" a="1"/>
  <c r="K9" i="11" a="1"/>
  <c r="K30" i="7" a="1"/>
  <c r="K132" i="15" a="1"/>
  <c r="K8" i="7" a="1"/>
  <c r="K22" i="13" a="1"/>
  <c r="K17" i="11" a="1"/>
  <c r="K111" i="15" a="1"/>
  <c r="K75" i="11" a="1"/>
  <c r="K33" i="15" a="1"/>
  <c r="K53" i="11" a="1"/>
  <c r="K149" i="13" a="1"/>
  <c r="K38" i="7" a="1"/>
  <c r="K11" i="5" a="1"/>
  <c r="K33" i="3" a="1"/>
  <c r="K82" i="3" a="1"/>
  <c r="K30" i="9" a="1"/>
  <c r="K72" i="9" a="1"/>
  <c r="K34" i="5" a="1"/>
  <c r="K91" i="3" a="1"/>
  <c r="K8" i="9" a="1"/>
  <c r="K44" i="3" a="1"/>
  <c r="K64" i="5" a="1"/>
  <c r="K100" i="3" a="1"/>
  <c r="K106" i="5" a="1"/>
  <c r="K32" i="9" a="1"/>
  <c r="K91" i="7" a="1"/>
  <c r="K118" i="5" a="1"/>
  <c r="K15" i="3" a="1"/>
  <c r="K110" i="7" a="1"/>
  <c r="K10" i="15" a="1"/>
  <c r="K154" i="15" a="1"/>
  <c r="K33" i="1" a="1"/>
  <c r="K17" i="7" a="1"/>
  <c r="K156" i="11" a="1"/>
  <c r="K145" i="5" a="1"/>
  <c r="K52" i="9" a="1"/>
  <c r="K41" i="9" a="1"/>
  <c r="K119" i="5" a="1"/>
  <c r="K136" i="15" a="1"/>
  <c r="K11" i="9" a="1"/>
  <c r="K64" i="3" a="1"/>
  <c r="K127" i="13" a="1"/>
  <c r="K136" i="3" a="1"/>
  <c r="K149" i="9" a="1"/>
  <c r="K8" i="13" a="1"/>
  <c r="K65" i="13" a="1"/>
  <c r="K104" i="7" a="1"/>
  <c r="K99" i="11" a="1"/>
  <c r="K131" i="9" a="1"/>
  <c r="K70" i="5" a="1"/>
  <c r="K45" i="5" a="1"/>
  <c r="K89" i="11" a="1"/>
  <c r="K52" i="11" a="1"/>
  <c r="K109" i="13" a="1"/>
  <c r="K54" i="7" a="1"/>
  <c r="K3" i="3" a="1"/>
  <c r="K73" i="7" a="1"/>
  <c r="K68" i="13" a="1"/>
  <c r="K5" i="7" a="1"/>
  <c r="K63" i="3" a="1"/>
  <c r="K114" i="5" a="1"/>
  <c r="K147" i="11" a="1"/>
  <c r="K99" i="3" a="1"/>
  <c r="K16" i="7" a="1"/>
  <c r="K107" i="13" a="1"/>
  <c r="K103" i="9" a="1"/>
  <c r="K95" i="9" a="1"/>
  <c r="K93" i="15" a="1"/>
  <c r="K63" i="13" a="1"/>
  <c r="K74" i="11" a="1"/>
  <c r="K2" i="15" a="1"/>
  <c r="K23" i="15" a="1"/>
  <c r="K123" i="5" a="1"/>
  <c r="K103" i="3" a="1"/>
  <c r="K149" i="7" a="1"/>
  <c r="K136" i="7" a="1"/>
  <c r="K41" i="13" a="1"/>
  <c r="K2" i="1" a="1"/>
  <c r="K103" i="11" a="1"/>
  <c r="K51" i="9" a="1"/>
  <c r="K10" i="13" a="1"/>
  <c r="K4" i="7" a="1"/>
  <c r="K76" i="11" a="1"/>
  <c r="K149" i="3" a="1"/>
  <c r="K155" i="7" a="1"/>
  <c r="K27" i="11" a="1"/>
  <c r="K68" i="11" a="1"/>
  <c r="K148" i="13" a="1"/>
  <c r="K144" i="5" a="1"/>
  <c r="K8" i="15" a="1"/>
  <c r="K84" i="7" a="1"/>
  <c r="K4" i="9" a="1"/>
  <c r="K145" i="3" a="1"/>
  <c r="K73" i="5" a="1"/>
  <c r="K94" i="9" a="1"/>
  <c r="K113" i="15" a="1"/>
  <c r="K27" i="9" a="1"/>
  <c r="K54" i="5" a="1"/>
  <c r="K129" i="3" a="1"/>
  <c r="K120" i="9" a="1"/>
  <c r="K90" i="3" a="1"/>
  <c r="K85" i="3" a="1"/>
  <c r="K151" i="9" a="1"/>
  <c r="K39" i="11" a="1"/>
  <c r="K31" i="13" a="1"/>
  <c r="K18" i="3" a="1"/>
  <c r="K131" i="11" a="1"/>
  <c r="K2" i="3" a="1"/>
  <c r="K142" i="11" a="1"/>
  <c r="K144" i="7" a="1"/>
  <c r="K84" i="3" a="1"/>
  <c r="K31" i="3" a="1"/>
  <c r="K62" i="5" a="1"/>
  <c r="K123" i="11" a="1"/>
  <c r="K41" i="11" a="1"/>
  <c r="K143" i="5" a="1"/>
  <c r="K150" i="15" a="1"/>
  <c r="K68" i="9" a="1"/>
  <c r="K155" i="13" a="1"/>
  <c r="K17" i="13" a="1"/>
  <c r="K154" i="7" a="1"/>
  <c r="K2" i="7" a="1"/>
  <c r="K25" i="7" a="1"/>
  <c r="K45" i="9" a="1"/>
  <c r="K50" i="3" a="1"/>
  <c r="K60" i="7" a="1"/>
  <c r="K3" i="1" a="1"/>
  <c r="K108" i="3" a="1"/>
  <c r="K86" i="5" a="1"/>
  <c r="K79" i="7" a="1"/>
  <c r="K92" i="5" a="1"/>
  <c r="K120" i="3" a="1"/>
  <c r="K67" i="15" a="1"/>
  <c r="K61" i="3" a="1"/>
  <c r="K147" i="15" a="1"/>
  <c r="K4" i="1" a="1"/>
  <c r="K63" i="15" a="1"/>
  <c r="K2" i="5" a="1"/>
  <c r="K105" i="5" a="1"/>
  <c r="K71" i="15" a="1"/>
  <c r="K17" i="5" a="1"/>
  <c r="K75" i="7" a="1"/>
  <c r="K80" i="13" a="1"/>
  <c r="K65" i="3" a="1"/>
  <c r="K49" i="9" a="1"/>
  <c r="K35" i="11" a="1"/>
  <c r="K151" i="5" a="1"/>
  <c r="K56" i="9" a="1"/>
  <c r="K132" i="13" a="1"/>
  <c r="K123" i="15" a="1"/>
  <c r="K124" i="15" a="1"/>
  <c r="K25" i="3" a="1"/>
  <c r="K56" i="11" a="1"/>
  <c r="K54" i="11" a="1"/>
  <c r="K104" i="5" a="1"/>
  <c r="K153" i="9" a="1"/>
  <c r="K78" i="3" a="1"/>
  <c r="K91" i="11" a="1"/>
  <c r="K39" i="9" a="1"/>
  <c r="K58" i="7" a="1"/>
  <c r="K132" i="5" a="1"/>
  <c r="K57" i="13" a="1"/>
  <c r="K24" i="7" a="1"/>
  <c r="K94" i="11" a="1"/>
  <c r="K66" i="13" a="1"/>
  <c r="K41" i="3" a="1"/>
  <c r="K124" i="7" a="1"/>
  <c r="K105" i="9" a="1"/>
  <c r="K149" i="15" a="1"/>
  <c r="K28" i="3" a="1"/>
  <c r="K55" i="5" a="1"/>
  <c r="K138" i="11" a="1"/>
  <c r="K123" i="9" a="1"/>
  <c r="K108" i="11" a="1"/>
  <c r="K33" i="13" a="1"/>
  <c r="K111" i="11" a="1"/>
  <c r="K25" i="15" a="1"/>
  <c r="K102" i="13" a="1"/>
  <c r="K142" i="3" a="1"/>
  <c r="K150" i="13" a="1"/>
  <c r="K32" i="15" a="1"/>
  <c r="K75" i="15" a="1"/>
  <c r="K52" i="13" a="1"/>
  <c r="K59" i="5" a="1"/>
  <c r="K77" i="5" a="1"/>
  <c r="K13" i="15" a="1"/>
  <c r="K82" i="9" a="1"/>
  <c r="K16" i="13" a="1"/>
  <c r="K130" i="15" a="1"/>
  <c r="K38" i="5" a="1"/>
  <c r="K58" i="11" a="1"/>
  <c r="K67" i="3" a="1"/>
  <c r="K79" i="15" a="1"/>
  <c r="K14" i="7" a="1"/>
  <c r="K23" i="3" a="1"/>
  <c r="K65" i="7" a="1"/>
  <c r="K96" i="9" a="1"/>
  <c r="K90" i="9" a="1"/>
  <c r="K2" i="9" a="1"/>
  <c r="K129" i="9" a="1"/>
  <c r="K10" i="11" a="1"/>
  <c r="K98" i="3" a="1"/>
  <c r="K13" i="7" a="1"/>
  <c r="K62" i="3" a="1"/>
  <c r="K25" i="11" a="1"/>
  <c r="K11" i="15" a="1"/>
  <c r="K118" i="7" a="1"/>
  <c r="K29" i="9" a="1"/>
  <c r="K73" i="13" a="1"/>
  <c r="K120" i="7" a="1"/>
  <c r="K66" i="7" a="1"/>
  <c r="K117" i="9" a="1"/>
  <c r="K141" i="9" a="1"/>
  <c r="K87" i="13" a="1"/>
  <c r="K66" i="15" a="1"/>
  <c r="K56" i="5" a="1"/>
  <c r="K71" i="5" a="1"/>
  <c r="K50" i="15" a="1"/>
  <c r="K128" i="9" a="1"/>
  <c r="K58" i="15" a="1"/>
  <c r="K47" i="13" a="1"/>
  <c r="K29" i="13" a="1"/>
  <c r="K111" i="5" a="1"/>
  <c r="K143" i="11" a="1"/>
  <c r="K22" i="5" a="1"/>
  <c r="K19" i="5" a="1"/>
  <c r="K72" i="15" a="1"/>
  <c r="K18" i="15" a="1"/>
  <c r="K100" i="15" a="1"/>
  <c r="K119" i="15" a="1"/>
  <c r="K49" i="3" a="1"/>
  <c r="K133" i="9" a="1"/>
  <c r="K20" i="7" a="1"/>
  <c r="K47" i="5" a="1"/>
  <c r="K29" i="15" a="1"/>
  <c r="K123" i="13" a="1"/>
  <c r="K124" i="5" a="1"/>
  <c r="K9" i="5" a="1"/>
  <c r="K28" i="7" a="1"/>
  <c r="K40" i="5" a="1"/>
  <c r="K71" i="13" a="1"/>
  <c r="K67" i="7" a="1"/>
  <c r="K114" i="11" a="1"/>
  <c r="K97" i="5" a="1"/>
  <c r="K48" i="13" a="1"/>
  <c r="K105" i="7" a="1"/>
  <c r="K70" i="3" a="1"/>
  <c r="K69" i="13" a="1"/>
  <c r="K81" i="5" a="1"/>
  <c r="K50" i="9" a="1"/>
  <c r="K141" i="15" a="1"/>
  <c r="K43" i="3" a="1"/>
  <c r="K6" i="7" a="1"/>
  <c r="K98" i="5" a="1"/>
  <c r="K16" i="15" a="1"/>
  <c r="K12" i="13" a="1"/>
  <c r="K66" i="3" a="1"/>
  <c r="K51" i="13" a="1"/>
  <c r="K83" i="15" a="1"/>
  <c r="K102" i="11" a="1"/>
  <c r="K15" i="5" a="1"/>
  <c r="K121" i="15" a="1"/>
  <c r="K96" i="1" a="1"/>
  <c r="K40" i="9" a="1"/>
  <c r="K10" i="9" a="1"/>
  <c r="K150" i="9" a="1"/>
  <c r="K44" i="9" a="1"/>
  <c r="K42" i="13" a="1"/>
  <c r="K112" i="13" a="1"/>
  <c r="K39" i="5" a="1"/>
  <c r="K136" i="13" a="1"/>
  <c r="K38" i="13" a="1"/>
  <c r="K72" i="5" a="1"/>
  <c r="K9" i="3" a="1"/>
  <c r="K114" i="15" a="1"/>
  <c r="K45" i="3" a="1"/>
  <c r="K118" i="3" a="1"/>
  <c r="K31" i="5" a="1"/>
  <c r="K140" i="7" a="1"/>
  <c r="K61" i="7" a="1"/>
  <c r="K4" i="3" a="1"/>
  <c r="K21" i="7" a="1"/>
  <c r="K117" i="15" a="1"/>
  <c r="K38" i="9" a="1"/>
  <c r="K87" i="5" a="1"/>
  <c r="K146" i="13" a="1"/>
  <c r="K116" i="13" a="1"/>
  <c r="K62" i="9" a="1"/>
  <c r="K144" i="11" a="1"/>
  <c r="K143" i="15" a="1"/>
  <c r="K75" i="9" a="1"/>
  <c r="K121" i="3" a="1"/>
  <c r="K144" i="15" a="1"/>
  <c r="K3" i="13" a="1"/>
  <c r="K24" i="9" a="1"/>
  <c r="K133" i="13" a="1"/>
  <c r="K77" i="9" a="1"/>
  <c r="K130" i="7" a="1"/>
  <c r="K72" i="13" a="1"/>
  <c r="K61" i="5" a="1"/>
  <c r="K131" i="3" a="1"/>
  <c r="K141" i="5" a="1"/>
  <c r="K12" i="5" a="1"/>
  <c r="K23" i="5" a="1"/>
  <c r="K41" i="5" a="1"/>
  <c r="K24" i="11" a="1"/>
  <c r="K108" i="7" a="1"/>
  <c r="K56" i="7" a="1"/>
  <c r="K28" i="11" a="1"/>
  <c r="K25" i="9" a="1"/>
  <c r="K100" i="9" a="1"/>
  <c r="K119" i="11" a="1"/>
  <c r="K97" i="9" a="1"/>
  <c r="K34" i="3" a="1"/>
  <c r="K16" i="5" a="1"/>
  <c r="K63" i="9" a="1"/>
  <c r="K120" i="15" a="1"/>
  <c r="K60" i="9" a="1"/>
  <c r="K133" i="15" a="1"/>
  <c r="K105" i="13" a="1"/>
  <c r="K32" i="7" a="1"/>
  <c r="K87" i="15" a="1"/>
  <c r="K140" i="3" a="1"/>
  <c r="K41" i="7" a="1"/>
  <c r="K67" i="13" a="1"/>
  <c r="K94" i="3" a="1"/>
  <c r="K14" i="9" a="1"/>
  <c r="K28" i="5" a="1"/>
  <c r="K106" i="13" a="1"/>
  <c r="K50" i="7" a="1"/>
  <c r="K60" i="11" a="1"/>
  <c r="K148" i="5" a="1"/>
  <c r="K100" i="7" a="1"/>
  <c r="K64" i="7" a="1"/>
  <c r="K34" i="13" a="1"/>
  <c r="K156" i="13" a="1"/>
  <c r="K110" i="13" a="1"/>
  <c r="K42" i="11" a="1"/>
  <c r="K134" i="5" a="1"/>
  <c r="K127" i="5" a="1"/>
  <c r="K57" i="3" a="1"/>
  <c r="K64" i="13" a="1"/>
  <c r="K107" i="9" a="1"/>
  <c r="K85" i="15" a="1"/>
  <c r="K63" i="7" a="1"/>
  <c r="K130" i="3" a="1"/>
  <c r="K131" i="15" a="1"/>
  <c r="K20" i="9" a="1"/>
  <c r="K46" i="15" a="1"/>
  <c r="K39" i="3" a="1"/>
  <c r="K76" i="3" a="1"/>
  <c r="K13" i="13" a="1"/>
  <c r="K11" i="3" a="1"/>
  <c r="K61" i="11" a="1"/>
  <c r="K138" i="3" a="1"/>
  <c r="K78" i="7" a="1"/>
  <c r="K81" i="13" a="1"/>
  <c r="K24" i="13" a="1"/>
  <c r="K111" i="13" a="1"/>
  <c r="K12" i="7" a="1"/>
  <c r="K121" i="7" a="1"/>
  <c r="K120" i="5" a="1"/>
  <c r="K69" i="3" a="1"/>
  <c r="K21" i="3" a="1"/>
  <c r="K17" i="3" a="1"/>
  <c r="K6" i="15" a="1"/>
  <c r="K115" i="7" a="1"/>
  <c r="K24" i="15" a="1"/>
  <c r="K44" i="5" a="1"/>
  <c r="K75" i="5" a="1"/>
  <c r="K153" i="3" a="1"/>
  <c r="K98" i="11" a="1"/>
  <c r="K66" i="11" a="1"/>
  <c r="K58" i="3" a="1"/>
  <c r="K22" i="7" a="1"/>
  <c r="K57" i="11" a="1"/>
  <c r="K6" i="9" a="1"/>
  <c r="K80" i="7" a="1"/>
  <c r="K76" i="7" a="1"/>
  <c r="K112" i="9" a="1"/>
  <c r="K8" i="3" a="1"/>
  <c r="K97" i="3" a="1"/>
  <c r="K33" i="7" a="1"/>
  <c r="K154" i="13" a="1"/>
  <c r="K93" i="7" a="1"/>
  <c r="K31" i="7" a="1"/>
  <c r="K122" i="11" a="1"/>
  <c r="K99" i="9" a="1"/>
  <c r="K22" i="9" a="1"/>
  <c r="K48" i="9" a="1"/>
  <c r="K94" i="5" a="1"/>
  <c r="K52" i="3" a="1"/>
  <c r="K48" i="5" a="1"/>
  <c r="K55" i="3" a="1"/>
  <c r="K96" i="5" a="1"/>
  <c r="K6" i="13" a="1"/>
  <c r="K77" i="7" a="1"/>
  <c r="K155" i="5" a="1"/>
  <c r="K59" i="15" a="1"/>
  <c r="K92" i="7" a="1"/>
  <c r="K106" i="7" a="1"/>
  <c r="K137" i="3" a="1"/>
  <c r="K43" i="15" a="1"/>
  <c r="K85" i="9" a="1"/>
  <c r="K61" i="9" a="1"/>
  <c r="K54" i="13" a="1"/>
  <c r="K136" i="9" a="1"/>
  <c r="K52" i="5" a="1"/>
  <c r="K146" i="3" a="1"/>
  <c r="K136" i="11" a="1"/>
  <c r="K93" i="5" a="1"/>
  <c r="K112" i="11" a="1"/>
  <c r="K34" i="1" a="1"/>
  <c r="K43" i="9" a="1"/>
  <c r="K67" i="5" a="1"/>
  <c r="K83" i="7" a="1"/>
  <c r="K145" i="13" a="1"/>
  <c r="K37" i="15" a="1"/>
  <c r="K147" i="3" a="1"/>
  <c r="K19" i="3" a="1"/>
  <c r="K73" i="3" a="1"/>
  <c r="K90" i="11" a="1"/>
  <c r="K12" i="9" a="1"/>
  <c r="K80" i="15" a="1"/>
  <c r="K59" i="11" a="1"/>
  <c r="K91" i="13" a="1"/>
  <c r="K44" i="11" a="1"/>
  <c r="K85" i="11" a="1"/>
  <c r="K152" i="3" a="1"/>
  <c r="K109" i="5" a="1"/>
  <c r="K27" i="7" a="1"/>
  <c r="K53" i="13" a="1"/>
  <c r="K144" i="3" a="1"/>
  <c r="K102" i="15" a="1"/>
  <c r="K30" i="11" a="1"/>
  <c r="K146" i="11" a="1"/>
  <c r="K36" i="5" a="1"/>
  <c r="K74" i="13" a="1"/>
  <c r="K109" i="15" a="1"/>
  <c r="K156" i="7" a="1"/>
  <c r="K68" i="3" a="1"/>
  <c r="K137" i="5" a="1"/>
  <c r="K53" i="3" a="1"/>
  <c r="K6" i="5" a="1"/>
  <c r="K2" i="11" a="1"/>
  <c r="K114" i="9" a="1"/>
  <c r="K11" i="13" a="1"/>
  <c r="K83" i="9" a="1"/>
  <c r="K6" i="11" a="1"/>
  <c r="K108" i="5" a="1"/>
  <c r="K25" i="13" a="1"/>
  <c r="K113" i="7" a="1"/>
  <c r="K143" i="13" a="1"/>
  <c r="K76" i="15" a="1"/>
  <c r="K148" i="15" a="1"/>
  <c r="K66" i="5" a="1"/>
  <c r="K34" i="7" a="1"/>
  <c r="K74" i="15" a="1"/>
  <c r="K86" i="7" a="1"/>
  <c r="K26" i="9" a="1"/>
  <c r="K128" i="13" a="1"/>
  <c r="K48" i="3" a="1"/>
  <c r="K5" i="13" a="1"/>
  <c r="K59" i="7" a="1"/>
  <c r="K110" i="5" a="1"/>
  <c r="K74" i="7" a="1"/>
  <c r="K30" i="5" a="1"/>
  <c r="K146" i="15" a="1"/>
  <c r="K82" i="11" a="1"/>
  <c r="K70" i="7" a="1"/>
  <c r="K63" i="11" a="1"/>
  <c r="K55" i="9" a="1"/>
  <c r="K43" i="5" a="1"/>
  <c r="K21" i="5" a="1"/>
  <c r="K103" i="13" a="1"/>
  <c r="K147" i="9" a="1"/>
  <c r="K104" i="13" l="1"/>
  <c r="K79" i="3"/>
  <c r="K61" i="9"/>
  <c r="K6" i="9"/>
  <c r="K14" i="3"/>
  <c r="K24" i="7"/>
  <c r="K145" i="15"/>
  <c r="K116" i="7"/>
  <c r="K104" i="11"/>
  <c r="K22" i="3"/>
  <c r="K113" i="15"/>
  <c r="K32" i="9"/>
  <c r="K100" i="5"/>
  <c r="L100" i="5" s="1"/>
  <c r="K84" i="11"/>
  <c r="K61" i="11"/>
  <c r="K39" i="3"/>
  <c r="K40" i="13"/>
  <c r="K88" i="3"/>
  <c r="K125" i="5"/>
  <c r="K65" i="13"/>
  <c r="L65" i="13" s="1"/>
  <c r="L33" i="2"/>
  <c r="L95" i="10"/>
  <c r="K46" i="15"/>
  <c r="K77" i="7"/>
  <c r="K29" i="15"/>
  <c r="K14" i="9"/>
  <c r="K89" i="13"/>
  <c r="K140" i="13"/>
  <c r="K2" i="15"/>
  <c r="L2" i="15" s="1"/>
  <c r="K38" i="3"/>
  <c r="K31" i="15"/>
  <c r="K86" i="11"/>
  <c r="K75" i="13"/>
  <c r="K53" i="3"/>
  <c r="L98" i="12"/>
  <c r="K66" i="9"/>
  <c r="K141" i="5"/>
  <c r="K60" i="7"/>
  <c r="K33" i="3"/>
  <c r="L33" i="3" s="1"/>
  <c r="B33" i="3" s="1"/>
  <c r="C33" i="3" s="1"/>
  <c r="K41" i="3"/>
  <c r="K49" i="3"/>
  <c r="L34" i="6"/>
  <c r="K43" i="7"/>
  <c r="K84" i="9"/>
  <c r="K80" i="7"/>
  <c r="K62" i="15"/>
  <c r="K32" i="15"/>
  <c r="K156" i="5"/>
  <c r="K73" i="7"/>
  <c r="K143" i="11"/>
  <c r="K69" i="3"/>
  <c r="K37" i="11"/>
  <c r="K55" i="3"/>
  <c r="K6" i="3"/>
  <c r="L128" i="10"/>
  <c r="K115" i="3"/>
  <c r="K9" i="9"/>
  <c r="K52" i="7"/>
  <c r="K53" i="15"/>
  <c r="K123" i="15"/>
  <c r="K74" i="5"/>
  <c r="K110" i="7"/>
  <c r="K19" i="11"/>
  <c r="K152" i="11"/>
  <c r="L3" i="14"/>
  <c r="K148" i="7"/>
  <c r="K89" i="9"/>
  <c r="K121" i="3"/>
  <c r="K104" i="7"/>
  <c r="K19" i="7"/>
  <c r="K44" i="7"/>
  <c r="K99" i="15"/>
  <c r="K17" i="5"/>
  <c r="K50" i="7"/>
  <c r="K102" i="7"/>
  <c r="K81" i="9"/>
  <c r="K96" i="5"/>
  <c r="L96" i="5" s="1"/>
  <c r="K107" i="3"/>
  <c r="K80" i="11"/>
  <c r="K14" i="7"/>
  <c r="K124" i="13"/>
  <c r="K120" i="3"/>
  <c r="K43" i="9"/>
  <c r="K54" i="11"/>
  <c r="K54" i="5"/>
  <c r="K136" i="3"/>
  <c r="K10" i="7"/>
  <c r="L69" i="16"/>
  <c r="K146" i="11"/>
  <c r="K32" i="7"/>
  <c r="K100" i="7"/>
  <c r="L100" i="7" s="1"/>
  <c r="K104" i="3"/>
  <c r="K82" i="13"/>
  <c r="K11" i="13"/>
  <c r="K98" i="7"/>
  <c r="L98" i="7" s="1"/>
  <c r="K41" i="9"/>
  <c r="K114" i="11"/>
  <c r="K25" i="3"/>
  <c r="K127" i="9"/>
  <c r="L127" i="9" s="1"/>
  <c r="K109" i="11"/>
  <c r="K49" i="15"/>
  <c r="K46" i="5"/>
  <c r="K83" i="7"/>
  <c r="K125" i="3"/>
  <c r="K35" i="11"/>
  <c r="L35" i="11" s="1"/>
  <c r="K151" i="3"/>
  <c r="K12" i="9"/>
  <c r="K53" i="13"/>
  <c r="K44" i="11"/>
  <c r="K98" i="11"/>
  <c r="L98" i="11" s="1"/>
  <c r="K125" i="11"/>
  <c r="K88" i="9"/>
  <c r="K16" i="15"/>
  <c r="K92" i="3"/>
  <c r="K144" i="9"/>
  <c r="K33" i="7"/>
  <c r="L33" i="7" s="1"/>
  <c r="B33" i="7" s="1"/>
  <c r="C33" i="7" s="1"/>
  <c r="L65" i="12"/>
  <c r="K30" i="13"/>
  <c r="K36" i="5"/>
  <c r="L36" i="5" s="1"/>
  <c r="K102" i="11"/>
  <c r="K116" i="13"/>
  <c r="K52" i="9"/>
  <c r="K67" i="15"/>
  <c r="L67" i="15" s="1"/>
  <c r="K16" i="13"/>
  <c r="K133" i="13"/>
  <c r="K129" i="5"/>
  <c r="K136" i="15"/>
  <c r="K145" i="3"/>
  <c r="K35" i="13"/>
  <c r="L35" i="13" s="1"/>
  <c r="K4" i="3"/>
  <c r="K85" i="5"/>
  <c r="K84" i="3"/>
  <c r="K101" i="15"/>
  <c r="K35" i="5"/>
  <c r="L35" i="5" s="1"/>
  <c r="K6" i="7"/>
  <c r="K116" i="15"/>
  <c r="L95" i="4"/>
  <c r="B95" i="4" s="1"/>
  <c r="C95" i="4" s="1"/>
  <c r="K71" i="13"/>
  <c r="K8" i="3"/>
  <c r="K120" i="5"/>
  <c r="L35" i="12"/>
  <c r="K87" i="3"/>
  <c r="K103" i="9"/>
  <c r="K66" i="7"/>
  <c r="K65" i="11"/>
  <c r="L65" i="11" s="1"/>
  <c r="K96" i="13"/>
  <c r="L96" i="13" s="1"/>
  <c r="K149" i="3"/>
  <c r="K20" i="15"/>
  <c r="K94" i="3"/>
  <c r="K100" i="3"/>
  <c r="K13" i="5"/>
  <c r="L34" i="2"/>
  <c r="K73" i="5"/>
  <c r="K118" i="3"/>
  <c r="K88" i="11"/>
  <c r="K136" i="13"/>
  <c r="K76" i="13"/>
  <c r="K52" i="15"/>
  <c r="L98" i="4"/>
  <c r="K7" i="3"/>
  <c r="K72" i="15"/>
  <c r="K120" i="11"/>
  <c r="K56" i="7"/>
  <c r="K24" i="13"/>
  <c r="K59" i="7"/>
  <c r="K114" i="13"/>
  <c r="K78" i="13"/>
  <c r="K19" i="5"/>
  <c r="K29" i="7"/>
  <c r="K124" i="3"/>
  <c r="K94" i="11"/>
  <c r="K42" i="9"/>
  <c r="K97" i="9"/>
  <c r="L97" i="9" s="1"/>
  <c r="K30" i="5"/>
  <c r="K78" i="15"/>
  <c r="K73" i="3"/>
  <c r="K134" i="11"/>
  <c r="K69" i="9"/>
  <c r="K36" i="9"/>
  <c r="L36" i="9" s="1"/>
  <c r="K20" i="9"/>
  <c r="K5" i="7"/>
  <c r="K108" i="7"/>
  <c r="K37" i="13"/>
  <c r="L37" i="13" s="1"/>
  <c r="K86" i="7"/>
  <c r="K139" i="3"/>
  <c r="K107" i="9"/>
  <c r="K44" i="13"/>
  <c r="K147" i="3"/>
  <c r="K43" i="11"/>
  <c r="K11" i="9"/>
  <c r="K120" i="13"/>
  <c r="K70" i="3"/>
  <c r="K134" i="9"/>
  <c r="K137" i="9"/>
  <c r="K130" i="11"/>
  <c r="L127" i="14"/>
  <c r="K85" i="11"/>
  <c r="K118" i="13"/>
  <c r="K76" i="3"/>
  <c r="K90" i="3"/>
  <c r="K13" i="3"/>
  <c r="K144" i="11"/>
  <c r="K68" i="15"/>
  <c r="L68" i="15" s="1"/>
  <c r="K31" i="3"/>
  <c r="K22" i="13"/>
  <c r="K119" i="11"/>
  <c r="L34" i="8"/>
  <c r="K81" i="13"/>
  <c r="L126" i="4"/>
  <c r="B126" i="4" s="1"/>
  <c r="C126" i="4" s="1"/>
  <c r="K54" i="7"/>
  <c r="K111" i="7"/>
  <c r="K105" i="13"/>
  <c r="K23" i="3"/>
  <c r="K25" i="5"/>
  <c r="K92" i="5"/>
  <c r="K105" i="11"/>
  <c r="K136" i="11"/>
  <c r="L33" i="10"/>
  <c r="K74" i="13"/>
  <c r="K26" i="5"/>
  <c r="K30" i="9"/>
  <c r="K36" i="11"/>
  <c r="K112" i="15"/>
  <c r="K49" i="5"/>
  <c r="K100" i="15"/>
  <c r="K150" i="13"/>
  <c r="K65" i="15"/>
  <c r="L65" i="15" s="1"/>
  <c r="K138" i="9"/>
  <c r="K59" i="15"/>
  <c r="K114" i="9"/>
  <c r="K127" i="5"/>
  <c r="L127" i="5" s="1"/>
  <c r="K53" i="7"/>
  <c r="K87" i="5"/>
  <c r="K36" i="13"/>
  <c r="L36" i="13" s="1"/>
  <c r="K125" i="15"/>
  <c r="K70" i="11"/>
  <c r="K72" i="13"/>
  <c r="K18" i="9"/>
  <c r="K4" i="7"/>
  <c r="K47" i="13"/>
  <c r="K61" i="3"/>
  <c r="K133" i="5"/>
  <c r="K34" i="11"/>
  <c r="L34" i="11" s="1"/>
  <c r="K77" i="9"/>
  <c r="K19" i="13"/>
  <c r="K146" i="3"/>
  <c r="K67" i="5"/>
  <c r="K90" i="13"/>
  <c r="K130" i="3"/>
  <c r="L3" i="4"/>
  <c r="K100" i="9"/>
  <c r="K140" i="7"/>
  <c r="K7" i="13"/>
  <c r="K14" i="15"/>
  <c r="K42" i="13"/>
  <c r="K9" i="11"/>
  <c r="K111" i="3"/>
  <c r="K72" i="5"/>
  <c r="K146" i="5"/>
  <c r="K68" i="9"/>
  <c r="K154" i="11"/>
  <c r="K38" i="9"/>
  <c r="K64" i="5"/>
  <c r="L4" i="14"/>
  <c r="K114" i="15"/>
  <c r="K76" i="9"/>
  <c r="K79" i="5"/>
  <c r="K132" i="13"/>
  <c r="L66" i="2"/>
  <c r="K17" i="7"/>
  <c r="K21" i="15"/>
  <c r="K42" i="5"/>
  <c r="K17" i="13"/>
  <c r="K93" i="3"/>
  <c r="K31" i="11"/>
  <c r="K105" i="3"/>
  <c r="K83" i="9"/>
  <c r="K89" i="15"/>
  <c r="K58" i="5"/>
  <c r="K99" i="5"/>
  <c r="L99" i="5" s="1"/>
  <c r="K109" i="15"/>
  <c r="K31" i="13"/>
  <c r="K59" i="5"/>
  <c r="K134" i="13"/>
  <c r="K51" i="3"/>
  <c r="L127" i="10"/>
  <c r="K72" i="7"/>
  <c r="K59" i="11"/>
  <c r="K105" i="15"/>
  <c r="K63" i="13"/>
  <c r="K7" i="7"/>
  <c r="K98" i="5"/>
  <c r="L98" i="5" s="1"/>
  <c r="K63" i="7"/>
  <c r="K43" i="5"/>
  <c r="K15" i="3"/>
  <c r="K27" i="9"/>
  <c r="L3" i="7"/>
  <c r="K60" i="3"/>
  <c r="K123" i="13"/>
  <c r="K121" i="9"/>
  <c r="K122" i="13"/>
  <c r="K140" i="15"/>
  <c r="K83" i="11"/>
  <c r="K28" i="3"/>
  <c r="K34" i="3"/>
  <c r="L34" i="3" s="1"/>
  <c r="K34" i="9"/>
  <c r="L34" i="9" s="1"/>
  <c r="K28" i="7"/>
  <c r="K109" i="13"/>
  <c r="K119" i="5"/>
  <c r="K2" i="11"/>
  <c r="L2" i="11" s="1"/>
  <c r="L66" i="4"/>
  <c r="K38" i="7"/>
  <c r="L3" i="8"/>
  <c r="K126" i="3"/>
  <c r="L126" i="3" s="1"/>
  <c r="K78" i="9"/>
  <c r="K15" i="7"/>
  <c r="K122" i="7"/>
  <c r="K83" i="5"/>
  <c r="L65" i="4"/>
  <c r="K98" i="3"/>
  <c r="L66" i="16"/>
  <c r="K136" i="9"/>
  <c r="K129" i="9"/>
  <c r="K152" i="15"/>
  <c r="K46" i="13"/>
  <c r="K55" i="7"/>
  <c r="K138" i="3"/>
  <c r="K101" i="7"/>
  <c r="K21" i="5"/>
  <c r="K149" i="5"/>
  <c r="K89" i="7"/>
  <c r="K13" i="9"/>
  <c r="K64" i="3"/>
  <c r="L64" i="3" s="1"/>
  <c r="B64" i="3" s="1"/>
  <c r="C64" i="3" s="1"/>
  <c r="K128" i="13"/>
  <c r="L128" i="13" s="1"/>
  <c r="K103" i="7"/>
  <c r="K12" i="3"/>
  <c r="K132" i="7"/>
  <c r="K56" i="11"/>
  <c r="K110" i="5"/>
  <c r="K93" i="7"/>
  <c r="K62" i="3"/>
  <c r="K119" i="9"/>
  <c r="K81" i="15"/>
  <c r="K76" i="11"/>
  <c r="K40" i="15"/>
  <c r="K29" i="3"/>
  <c r="K45" i="7"/>
  <c r="K132" i="5"/>
  <c r="K17" i="11"/>
  <c r="K17" i="15"/>
  <c r="K145" i="5"/>
  <c r="K85" i="3"/>
  <c r="K5" i="13"/>
  <c r="K35" i="3"/>
  <c r="L35" i="3" s="1"/>
  <c r="K55" i="15"/>
  <c r="K104" i="5"/>
  <c r="K154" i="7"/>
  <c r="K79" i="11"/>
  <c r="K74" i="15"/>
  <c r="K21" i="3"/>
  <c r="K84" i="5"/>
  <c r="K97" i="5"/>
  <c r="L97" i="5" s="1"/>
  <c r="K135" i="5"/>
  <c r="L64" i="12"/>
  <c r="K22" i="11"/>
  <c r="K145" i="9"/>
  <c r="K68" i="7"/>
  <c r="K123" i="5"/>
  <c r="K74" i="11"/>
  <c r="K147" i="9"/>
  <c r="K117" i="13"/>
  <c r="K78" i="3"/>
  <c r="K109" i="5"/>
  <c r="K147" i="5"/>
  <c r="K150" i="15"/>
  <c r="K87" i="11"/>
  <c r="K156" i="11"/>
  <c r="K78" i="7"/>
  <c r="K62" i="7"/>
  <c r="K72" i="9"/>
  <c r="K115" i="7"/>
  <c r="K41" i="7"/>
  <c r="L97" i="4"/>
  <c r="K84" i="15"/>
  <c r="K66" i="11"/>
  <c r="K62" i="11"/>
  <c r="K51" i="13"/>
  <c r="K152" i="13"/>
  <c r="K122" i="3"/>
  <c r="K83" i="13"/>
  <c r="K10" i="15"/>
  <c r="K10" i="13"/>
  <c r="K71" i="15"/>
  <c r="K11" i="5"/>
  <c r="K5" i="3"/>
  <c r="K13" i="13"/>
  <c r="K120" i="9"/>
  <c r="K66" i="15"/>
  <c r="L66" i="15" s="1"/>
  <c r="K87" i="9"/>
  <c r="K67" i="9"/>
  <c r="K63" i="9"/>
  <c r="K114" i="5"/>
  <c r="K155" i="5"/>
  <c r="K90" i="5"/>
  <c r="K125" i="13"/>
  <c r="K77" i="15"/>
  <c r="K131" i="13"/>
  <c r="K50" i="3"/>
  <c r="L95" i="6"/>
  <c r="K137" i="13"/>
  <c r="K38" i="15"/>
  <c r="K117" i="7"/>
  <c r="L127" i="8"/>
  <c r="K60" i="13"/>
  <c r="K121" i="5"/>
  <c r="K156" i="13"/>
  <c r="K108" i="5"/>
  <c r="K12" i="5"/>
  <c r="K6" i="5"/>
  <c r="K92" i="15"/>
  <c r="K61" i="5"/>
  <c r="K98" i="13"/>
  <c r="K66" i="3"/>
  <c r="L66" i="3" s="1"/>
  <c r="K142" i="7"/>
  <c r="K113" i="5"/>
  <c r="K136" i="5"/>
  <c r="K57" i="15"/>
  <c r="K32" i="13"/>
  <c r="K24" i="9"/>
  <c r="K6" i="11"/>
  <c r="L96" i="6"/>
  <c r="K89" i="3"/>
  <c r="K49" i="9"/>
  <c r="K149" i="7"/>
  <c r="K106" i="7"/>
  <c r="K23" i="7"/>
  <c r="K37" i="15"/>
  <c r="L37" i="15" s="1"/>
  <c r="K43" i="13"/>
  <c r="K81" i="7"/>
  <c r="K113" i="3"/>
  <c r="K147" i="7"/>
  <c r="K147" i="15"/>
  <c r="K73" i="11"/>
  <c r="K107" i="5"/>
  <c r="K47" i="7"/>
  <c r="K36" i="3"/>
  <c r="L36" i="3" s="1"/>
  <c r="K118" i="7"/>
  <c r="K117" i="9"/>
  <c r="K51" i="7"/>
  <c r="K4" i="13"/>
  <c r="L4" i="13" s="1"/>
  <c r="K138" i="7"/>
  <c r="K126" i="13"/>
  <c r="L126" i="13" s="1"/>
  <c r="B126" i="13" s="1"/>
  <c r="C126" i="13" s="1"/>
  <c r="K26" i="3"/>
  <c r="K42" i="15"/>
  <c r="K122" i="11"/>
  <c r="K71" i="5"/>
  <c r="K139" i="13"/>
  <c r="K52" i="3"/>
  <c r="K23" i="13"/>
  <c r="K38" i="13"/>
  <c r="K30" i="7"/>
  <c r="K135" i="9"/>
  <c r="K102" i="3"/>
  <c r="K74" i="7"/>
  <c r="K41" i="5"/>
  <c r="K2" i="13"/>
  <c r="L2" i="13" s="1"/>
  <c r="K148" i="5"/>
  <c r="K22" i="7"/>
  <c r="K59" i="13"/>
  <c r="K20" i="11"/>
  <c r="K11" i="15"/>
  <c r="K12" i="7"/>
  <c r="K20" i="5"/>
  <c r="K9" i="7"/>
  <c r="K42" i="3"/>
  <c r="K148" i="11"/>
  <c r="K143" i="3"/>
  <c r="K116" i="5"/>
  <c r="K61" i="15"/>
  <c r="K115" i="11"/>
  <c r="K19" i="15"/>
  <c r="L33" i="6"/>
  <c r="K31" i="5"/>
  <c r="K141" i="13"/>
  <c r="K49" i="11"/>
  <c r="K37" i="3"/>
  <c r="L37" i="3" s="1"/>
  <c r="K126" i="9"/>
  <c r="K69" i="5"/>
  <c r="K115" i="15"/>
  <c r="K131" i="3"/>
  <c r="L65" i="10"/>
  <c r="K25" i="11"/>
  <c r="K15" i="5"/>
  <c r="K114" i="7"/>
  <c r="K91" i="7"/>
  <c r="L3" i="10"/>
  <c r="K104" i="9"/>
  <c r="K42" i="11"/>
  <c r="K97" i="11"/>
  <c r="L97" i="11" s="1"/>
  <c r="L4" i="12"/>
  <c r="K8" i="11"/>
  <c r="K108" i="9"/>
  <c r="K56" i="13"/>
  <c r="K111" i="13"/>
  <c r="K142" i="15"/>
  <c r="K58" i="13"/>
  <c r="K33" i="9"/>
  <c r="L33" i="9" s="1"/>
  <c r="B33" i="9" s="1"/>
  <c r="C33" i="9" s="1"/>
  <c r="K106" i="13"/>
  <c r="K116" i="9"/>
  <c r="L67" i="16"/>
  <c r="K80" i="13"/>
  <c r="K46" i="7"/>
  <c r="K120" i="7"/>
  <c r="L65" i="14"/>
  <c r="K5" i="11"/>
  <c r="K114" i="3"/>
  <c r="K153" i="9"/>
  <c r="K86" i="15"/>
  <c r="L97" i="12"/>
  <c r="K57" i="5"/>
  <c r="L34" i="4"/>
  <c r="K50" i="9"/>
  <c r="K69" i="13"/>
  <c r="K15" i="13"/>
  <c r="K64" i="9"/>
  <c r="L64" i="9" s="1"/>
  <c r="K18" i="3"/>
  <c r="K75" i="7"/>
  <c r="K63" i="11"/>
  <c r="K77" i="5"/>
  <c r="K6" i="13"/>
  <c r="K10" i="5"/>
  <c r="K139" i="7"/>
  <c r="K137" i="15"/>
  <c r="K130" i="9"/>
  <c r="K60" i="5"/>
  <c r="K14" i="5"/>
  <c r="K102" i="13"/>
  <c r="K81" i="3"/>
  <c r="K77" i="13"/>
  <c r="L127" i="4"/>
  <c r="K51" i="15"/>
  <c r="K87" i="13"/>
  <c r="K134" i="3"/>
  <c r="K57" i="7"/>
  <c r="K154" i="15"/>
  <c r="K47" i="11"/>
  <c r="K16" i="5"/>
  <c r="K64" i="11"/>
  <c r="L64" i="11" s="1"/>
  <c r="L96" i="16"/>
  <c r="K103" i="13"/>
  <c r="K68" i="3"/>
  <c r="K92" i="13"/>
  <c r="K69" i="7"/>
  <c r="K60" i="9"/>
  <c r="K95" i="13"/>
  <c r="L95" i="13" s="1"/>
  <c r="K156" i="7"/>
  <c r="K40" i="9"/>
  <c r="K74" i="9"/>
  <c r="K112" i="9"/>
  <c r="K65" i="5"/>
  <c r="L65" i="5" s="1"/>
  <c r="L33" i="8"/>
  <c r="K25" i="9"/>
  <c r="K60" i="11"/>
  <c r="K28" i="11"/>
  <c r="K33" i="13"/>
  <c r="L33" i="13" s="1"/>
  <c r="B33" i="13" s="1"/>
  <c r="C33" i="13" s="1"/>
  <c r="K153" i="13"/>
  <c r="K41" i="13"/>
  <c r="K91" i="13"/>
  <c r="K67" i="7"/>
  <c r="K13" i="7"/>
  <c r="K32" i="3"/>
  <c r="K144" i="5"/>
  <c r="L64" i="10"/>
  <c r="B64" i="10" s="1"/>
  <c r="C64" i="10" s="1"/>
  <c r="K110" i="13"/>
  <c r="K123" i="9"/>
  <c r="K64" i="7"/>
  <c r="L64" i="7" s="1"/>
  <c r="K72" i="3"/>
  <c r="K92" i="7"/>
  <c r="K109" i="7"/>
  <c r="K94" i="5"/>
  <c r="K48" i="15"/>
  <c r="K106" i="11"/>
  <c r="L4" i="10"/>
  <c r="K101" i="3"/>
  <c r="K70" i="9"/>
  <c r="K96" i="9"/>
  <c r="L96" i="9" s="1"/>
  <c r="K121" i="13"/>
  <c r="K155" i="13"/>
  <c r="K154" i="3"/>
  <c r="K112" i="7"/>
  <c r="K133" i="11"/>
  <c r="K151" i="5"/>
  <c r="K143" i="13"/>
  <c r="K75" i="5"/>
  <c r="L5" i="10"/>
  <c r="K47" i="9"/>
  <c r="K40" i="7"/>
  <c r="K69" i="15"/>
  <c r="L69" i="15" s="1"/>
  <c r="K94" i="13"/>
  <c r="K95" i="5"/>
  <c r="L95" i="5" s="1"/>
  <c r="B95" i="5" s="1"/>
  <c r="C95" i="5" s="1"/>
  <c r="K39" i="7"/>
  <c r="K10" i="9"/>
  <c r="K131" i="9"/>
  <c r="K35" i="7"/>
  <c r="L35" i="7" s="1"/>
  <c r="K143" i="15"/>
  <c r="K142" i="5"/>
  <c r="K137" i="3"/>
  <c r="K34" i="15"/>
  <c r="L34" i="15" s="1"/>
  <c r="K110" i="9"/>
  <c r="K149" i="15"/>
  <c r="K7" i="9"/>
  <c r="K105" i="5"/>
  <c r="K56" i="5"/>
  <c r="K11" i="3"/>
  <c r="K10" i="3"/>
  <c r="K63" i="15"/>
  <c r="K33" i="15"/>
  <c r="L33" i="15" s="1"/>
  <c r="B33" i="15" s="1"/>
  <c r="C33" i="15" s="1"/>
  <c r="K45" i="15"/>
  <c r="K26" i="11"/>
  <c r="L96" i="2"/>
  <c r="K150" i="11"/>
  <c r="K91" i="3"/>
  <c r="K12" i="13"/>
  <c r="K88" i="7"/>
  <c r="K118" i="15"/>
  <c r="K128" i="5"/>
  <c r="K88" i="15"/>
  <c r="K71" i="9"/>
  <c r="K144" i="15"/>
  <c r="K47" i="5"/>
  <c r="K148" i="9"/>
  <c r="K54" i="15"/>
  <c r="K146" i="7"/>
  <c r="K100" i="13"/>
  <c r="K75" i="3"/>
  <c r="K111" i="5"/>
  <c r="K141" i="11"/>
  <c r="K139" i="15"/>
  <c r="K146" i="13"/>
  <c r="K82" i="5"/>
  <c r="K81" i="11"/>
  <c r="K82" i="15"/>
  <c r="K117" i="3"/>
  <c r="K35" i="9"/>
  <c r="L35" i="9" s="1"/>
  <c r="K80" i="15"/>
  <c r="K71" i="3"/>
  <c r="K39" i="9"/>
  <c r="K151" i="15"/>
  <c r="K106" i="5"/>
  <c r="K67" i="13"/>
  <c r="K19" i="9"/>
  <c r="K11" i="11"/>
  <c r="K13" i="15"/>
  <c r="K142" i="9"/>
  <c r="K29" i="9"/>
  <c r="K3" i="15"/>
  <c r="L3" i="15" s="1"/>
  <c r="K108" i="3"/>
  <c r="K99" i="13"/>
  <c r="K85" i="13"/>
  <c r="K57" i="11"/>
  <c r="K90" i="15"/>
  <c r="K46" i="9"/>
  <c r="K140" i="5"/>
  <c r="K135" i="13"/>
  <c r="K150" i="5"/>
  <c r="K9" i="15"/>
  <c r="K80" i="9"/>
  <c r="K12" i="11"/>
  <c r="K58" i="7"/>
  <c r="K109" i="9"/>
  <c r="K144" i="3"/>
  <c r="K77" i="3"/>
  <c r="K27" i="15"/>
  <c r="K152" i="9"/>
  <c r="K80" i="3"/>
  <c r="K47" i="15"/>
  <c r="K141" i="9"/>
  <c r="K150" i="7"/>
  <c r="K143" i="5"/>
  <c r="K20" i="7"/>
  <c r="K31" i="7"/>
  <c r="K3" i="3"/>
  <c r="L3" i="3" s="1"/>
  <c r="K142" i="3"/>
  <c r="K121" i="15"/>
  <c r="K116" i="11"/>
  <c r="K16" i="7"/>
  <c r="K145" i="11"/>
  <c r="L126" i="10"/>
  <c r="K84" i="7"/>
  <c r="K28" i="15"/>
  <c r="K139" i="5"/>
  <c r="K102" i="15"/>
  <c r="K2" i="1"/>
  <c r="K126" i="11"/>
  <c r="L126" i="11" s="1"/>
  <c r="K149" i="13"/>
  <c r="K39" i="15"/>
  <c r="K80" i="5"/>
  <c r="K82" i="7"/>
  <c r="K23" i="5"/>
  <c r="K132" i="11"/>
  <c r="K54" i="13"/>
  <c r="K48" i="5"/>
  <c r="K119" i="15"/>
  <c r="K148" i="3"/>
  <c r="K58" i="9"/>
  <c r="L95" i="12"/>
  <c r="B95" i="12" s="1"/>
  <c r="C95" i="12" s="1"/>
  <c r="K41" i="15"/>
  <c r="K103" i="3"/>
  <c r="K51" i="9"/>
  <c r="K22" i="15"/>
  <c r="K131" i="5"/>
  <c r="K10" i="11"/>
  <c r="K98" i="9"/>
  <c r="L98" i="9" s="1"/>
  <c r="K54" i="3"/>
  <c r="K106" i="15"/>
  <c r="K33" i="5"/>
  <c r="L33" i="5" s="1"/>
  <c r="B33" i="5" s="1"/>
  <c r="C33" i="5" s="1"/>
  <c r="K45" i="5"/>
  <c r="K73" i="15"/>
  <c r="K45" i="3"/>
  <c r="K16" i="11"/>
  <c r="K86" i="5"/>
  <c r="K58" i="15"/>
  <c r="K2" i="9"/>
  <c r="K110" i="3"/>
  <c r="K139" i="11"/>
  <c r="K97" i="3"/>
  <c r="L126" i="12"/>
  <c r="K51" i="5"/>
  <c r="K26" i="7"/>
  <c r="K134" i="7"/>
  <c r="K88" i="5"/>
  <c r="K148" i="13"/>
  <c r="K155" i="7"/>
  <c r="L3" i="12"/>
  <c r="K140" i="9"/>
  <c r="L96" i="10"/>
  <c r="K113" i="13"/>
  <c r="K90" i="7"/>
  <c r="K124" i="7"/>
  <c r="K34" i="5"/>
  <c r="L34" i="5" s="1"/>
  <c r="K119" i="3"/>
  <c r="K152" i="3"/>
  <c r="K51" i="11"/>
  <c r="K8" i="7"/>
  <c r="K21" i="11"/>
  <c r="K89" i="5"/>
  <c r="K78" i="11"/>
  <c r="K23" i="15"/>
  <c r="K56" i="9"/>
  <c r="K100" i="11"/>
  <c r="K25" i="13"/>
  <c r="L3" i="6"/>
  <c r="K149" i="11"/>
  <c r="K130" i="5"/>
  <c r="K153" i="11"/>
  <c r="K135" i="15"/>
  <c r="K127" i="13"/>
  <c r="L127" i="13" s="1"/>
  <c r="K32" i="5"/>
  <c r="L65" i="2"/>
  <c r="K28" i="5"/>
  <c r="K79" i="15"/>
  <c r="K20" i="3"/>
  <c r="K75" i="9"/>
  <c r="K8" i="15"/>
  <c r="K140" i="3"/>
  <c r="K17" i="9"/>
  <c r="K12" i="15"/>
  <c r="K89" i="11"/>
  <c r="K82" i="9"/>
  <c r="L127" i="12"/>
  <c r="K138" i="11"/>
  <c r="K55" i="5"/>
  <c r="K79" i="9"/>
  <c r="K101" i="13"/>
  <c r="K123" i="3"/>
  <c r="K118" i="5"/>
  <c r="K71" i="11"/>
  <c r="K107" i="7"/>
  <c r="K144" i="7"/>
  <c r="K58" i="3"/>
  <c r="K29" i="13"/>
  <c r="K120" i="15"/>
  <c r="L34" i="12"/>
  <c r="K153" i="7"/>
  <c r="K124" i="9"/>
  <c r="K83" i="15"/>
  <c r="K103" i="11"/>
  <c r="K56" i="15"/>
  <c r="K14" i="11"/>
  <c r="K155" i="9"/>
  <c r="K21" i="7"/>
  <c r="K46" i="3"/>
  <c r="K133" i="15"/>
  <c r="K21" i="13"/>
  <c r="K121" i="7"/>
  <c r="K70" i="7"/>
  <c r="K145" i="13"/>
  <c r="L64" i="2"/>
  <c r="L2" i="10"/>
  <c r="B2" i="10" s="1"/>
  <c r="C2" i="10" s="1"/>
  <c r="K48" i="13"/>
  <c r="K92" i="11"/>
  <c r="K40" i="11"/>
  <c r="K88" i="13"/>
  <c r="K29" i="11"/>
  <c r="K53" i="9"/>
  <c r="K150" i="9"/>
  <c r="L64" i="4"/>
  <c r="B64" i="4" s="1"/>
  <c r="C64" i="4" s="1"/>
  <c r="L95" i="8"/>
  <c r="K24" i="11"/>
  <c r="K7" i="15"/>
  <c r="K90" i="11"/>
  <c r="L95" i="16"/>
  <c r="K110" i="11"/>
  <c r="L3" i="16"/>
  <c r="K55" i="9"/>
  <c r="L2" i="14"/>
  <c r="K48" i="9"/>
  <c r="L126" i="14"/>
  <c r="K5" i="5"/>
  <c r="L5" i="5" s="1"/>
  <c r="K44" i="3"/>
  <c r="K8" i="9"/>
  <c r="K155" i="11"/>
  <c r="K48" i="7"/>
  <c r="K54" i="9"/>
  <c r="K4" i="11"/>
  <c r="L4" i="11" s="1"/>
  <c r="K82" i="11"/>
  <c r="K108" i="13"/>
  <c r="K36" i="15"/>
  <c r="L36" i="15" s="1"/>
  <c r="K102" i="5"/>
  <c r="K141" i="7"/>
  <c r="K91" i="9"/>
  <c r="K112" i="11"/>
  <c r="K9" i="13"/>
  <c r="K6" i="15"/>
  <c r="K34" i="13"/>
  <c r="L34" i="13" s="1"/>
  <c r="K64" i="15"/>
  <c r="L64" i="15" s="1"/>
  <c r="B64" i="15" s="1"/>
  <c r="C64" i="15" s="1"/>
  <c r="K18" i="13"/>
  <c r="K49" i="7"/>
  <c r="K93" i="11"/>
  <c r="K103" i="15"/>
  <c r="K85" i="9"/>
  <c r="K124" i="15"/>
  <c r="K32" i="11"/>
  <c r="K61" i="7"/>
  <c r="K156" i="3"/>
  <c r="K3" i="13"/>
  <c r="L3" i="13" s="1"/>
  <c r="K95" i="9"/>
  <c r="L95" i="9" s="1"/>
  <c r="B95" i="9" s="1"/>
  <c r="C95" i="9" s="1"/>
  <c r="K5" i="15"/>
  <c r="K35" i="15"/>
  <c r="L35" i="15" s="1"/>
  <c r="K107" i="11"/>
  <c r="K22" i="9"/>
  <c r="K39" i="13"/>
  <c r="K133" i="7"/>
  <c r="L96" i="8"/>
  <c r="K24" i="5"/>
  <c r="K40" i="3"/>
  <c r="K34" i="7"/>
  <c r="L34" i="7" s="1"/>
  <c r="K151" i="7"/>
  <c r="K24" i="3"/>
  <c r="K55" i="13"/>
  <c r="K101" i="5"/>
  <c r="K62" i="13"/>
  <c r="K27" i="11"/>
  <c r="K38" i="11"/>
  <c r="K112" i="3"/>
  <c r="K107" i="13"/>
  <c r="K15" i="11"/>
  <c r="K128" i="3"/>
  <c r="K45" i="9"/>
  <c r="K153" i="5"/>
  <c r="L128" i="16"/>
  <c r="K2" i="7"/>
  <c r="L2" i="12"/>
  <c r="K37" i="7"/>
  <c r="K26" i="9"/>
  <c r="K128" i="9"/>
  <c r="K50" i="15"/>
  <c r="K44" i="5"/>
  <c r="K58" i="11"/>
  <c r="K59" i="3"/>
  <c r="K94" i="9"/>
  <c r="K85" i="7"/>
  <c r="K111" i="9"/>
  <c r="K67" i="11"/>
  <c r="K3" i="9"/>
  <c r="L3" i="9" s="1"/>
  <c r="K101" i="11"/>
  <c r="K73" i="13"/>
  <c r="K43" i="15"/>
  <c r="K29" i="5"/>
  <c r="K131" i="7"/>
  <c r="K154" i="9"/>
  <c r="K7" i="11"/>
  <c r="K68" i="13"/>
  <c r="K76" i="15"/>
  <c r="K48" i="11"/>
  <c r="K14" i="13"/>
  <c r="K153" i="15"/>
  <c r="K30" i="15"/>
  <c r="K112" i="5"/>
  <c r="K156" i="15"/>
  <c r="K66" i="5"/>
  <c r="L66" i="5" s="1"/>
  <c r="K48" i="3"/>
  <c r="L126" i="8"/>
  <c r="K82" i="3"/>
  <c r="K52" i="13"/>
  <c r="K31" i="9"/>
  <c r="K37" i="5"/>
  <c r="K97" i="13"/>
  <c r="K132" i="9"/>
  <c r="L34" i="16"/>
  <c r="K112" i="13"/>
  <c r="K62" i="9"/>
  <c r="K39" i="5"/>
  <c r="K44" i="9"/>
  <c r="K124" i="5"/>
  <c r="K27" i="13"/>
  <c r="K77" i="11"/>
  <c r="K81" i="5"/>
  <c r="K70" i="15"/>
  <c r="L70" i="15" s="1"/>
  <c r="K56" i="3"/>
  <c r="K123" i="7"/>
  <c r="K27" i="7"/>
  <c r="L126" i="6"/>
  <c r="K20" i="13"/>
  <c r="K93" i="5"/>
  <c r="K129" i="3"/>
  <c r="L66" i="10"/>
  <c r="K117" i="5"/>
  <c r="K116" i="3"/>
  <c r="K106" i="3"/>
  <c r="K86" i="9"/>
  <c r="K3" i="1"/>
  <c r="L3" i="1" s="1"/>
  <c r="K122" i="5"/>
  <c r="K113" i="7"/>
  <c r="K145" i="7"/>
  <c r="K87" i="7"/>
  <c r="K104" i="15"/>
  <c r="K131" i="15"/>
  <c r="K18" i="11"/>
  <c r="L96" i="4"/>
  <c r="K149" i="9"/>
  <c r="K65" i="7"/>
  <c r="L65" i="7" s="1"/>
  <c r="K133" i="9"/>
  <c r="K146" i="9"/>
  <c r="K140" i="11"/>
  <c r="K8" i="13"/>
  <c r="L127" i="16"/>
  <c r="K78" i="5"/>
  <c r="K135" i="7"/>
  <c r="K101" i="9"/>
  <c r="K52" i="11"/>
  <c r="K64" i="13"/>
  <c r="L64" i="13" s="1"/>
  <c r="K148" i="15"/>
  <c r="K138" i="5"/>
  <c r="K125" i="7"/>
  <c r="K23" i="9"/>
  <c r="K129" i="11"/>
  <c r="K93" i="13"/>
  <c r="K138" i="15"/>
  <c r="L34" i="10"/>
  <c r="K143" i="9"/>
  <c r="L33" i="4"/>
  <c r="K73" i="9"/>
  <c r="K132" i="3"/>
  <c r="K99" i="9"/>
  <c r="K130" i="15"/>
  <c r="K134" i="5"/>
  <c r="K108" i="11"/>
  <c r="K15" i="15"/>
  <c r="K137" i="5"/>
  <c r="K30" i="11"/>
  <c r="L96" i="14"/>
  <c r="K22" i="5"/>
  <c r="L4" i="16"/>
  <c r="L128" i="4"/>
  <c r="K136" i="7"/>
  <c r="K138" i="13"/>
  <c r="K17" i="3"/>
  <c r="K133" i="3"/>
  <c r="K37" i="9"/>
  <c r="L126" i="16"/>
  <c r="B126" i="16" s="1"/>
  <c r="C126" i="16" s="1"/>
  <c r="K19" i="3"/>
  <c r="K21" i="9"/>
  <c r="K4" i="15"/>
  <c r="L4" i="15" s="1"/>
  <c r="K117" i="15"/>
  <c r="K151" i="13"/>
  <c r="K76" i="5"/>
  <c r="K28" i="9"/>
  <c r="K111" i="11"/>
  <c r="K26" i="13"/>
  <c r="K93" i="15"/>
  <c r="K63" i="3"/>
  <c r="K71" i="7"/>
  <c r="K39" i="11"/>
  <c r="K91" i="5"/>
  <c r="K105" i="9"/>
  <c r="K151" i="11"/>
  <c r="K61" i="13"/>
  <c r="K85" i="15"/>
  <c r="K65" i="3"/>
  <c r="L65" i="3" s="1"/>
  <c r="K109" i="3"/>
  <c r="K103" i="5"/>
  <c r="K105" i="7"/>
  <c r="K113" i="9"/>
  <c r="K46" i="11"/>
  <c r="K154" i="13"/>
  <c r="K4" i="5"/>
  <c r="K152" i="7"/>
  <c r="K110" i="15"/>
  <c r="K11" i="7"/>
  <c r="K93" i="9"/>
  <c r="K33" i="11"/>
  <c r="L33" i="11" s="1"/>
  <c r="K150" i="3"/>
  <c r="L128" i="14"/>
  <c r="K59" i="9"/>
  <c r="K155" i="3"/>
  <c r="K123" i="11"/>
  <c r="K91" i="11"/>
  <c r="K75" i="11"/>
  <c r="K137" i="11"/>
  <c r="K27" i="5"/>
  <c r="K45" i="11"/>
  <c r="K155" i="15"/>
  <c r="K130" i="7"/>
  <c r="K57" i="13"/>
  <c r="K7" i="5"/>
  <c r="K23" i="11"/>
  <c r="K108" i="15"/>
  <c r="K9" i="3"/>
  <c r="K151" i="9"/>
  <c r="L96" i="12"/>
  <c r="K141" i="3"/>
  <c r="K139" i="9"/>
  <c r="K134" i="15"/>
  <c r="K50" i="11"/>
  <c r="K53" i="5"/>
  <c r="K135" i="11"/>
  <c r="K4" i="9"/>
  <c r="K25" i="15"/>
  <c r="K70" i="5"/>
  <c r="K13" i="11"/>
  <c r="K86" i="13"/>
  <c r="K137" i="7"/>
  <c r="K50" i="13"/>
  <c r="L64" i="16"/>
  <c r="B64" i="16" s="1"/>
  <c r="C64" i="16" s="1"/>
  <c r="K52" i="5"/>
  <c r="K5" i="9"/>
  <c r="K147" i="13"/>
  <c r="K24" i="15"/>
  <c r="K2" i="3"/>
  <c r="L2" i="3" s="1"/>
  <c r="B2" i="3" s="1"/>
  <c r="C2" i="3" s="1"/>
  <c r="K2" i="5"/>
  <c r="L2" i="5" s="1"/>
  <c r="K42" i="7"/>
  <c r="K102" i="9"/>
  <c r="K113" i="11"/>
  <c r="K84" i="13"/>
  <c r="K146" i="15"/>
  <c r="K83" i="3"/>
  <c r="K72" i="11"/>
  <c r="K111" i="15"/>
  <c r="K86" i="3"/>
  <c r="K63" i="5"/>
  <c r="K119" i="7"/>
  <c r="K57" i="9"/>
  <c r="K124" i="11"/>
  <c r="K142" i="13"/>
  <c r="K91" i="15"/>
  <c r="K74" i="3"/>
  <c r="K9" i="5"/>
  <c r="K43" i="3"/>
  <c r="K152" i="5"/>
  <c r="K76" i="7"/>
  <c r="K125" i="9"/>
  <c r="K55" i="11"/>
  <c r="K45" i="13"/>
  <c r="K122" i="15"/>
  <c r="K3" i="5"/>
  <c r="L3" i="5" s="1"/>
  <c r="K99" i="7"/>
  <c r="L99" i="7" s="1"/>
  <c r="K118" i="9"/>
  <c r="K92" i="9"/>
  <c r="K118" i="11"/>
  <c r="K49" i="13"/>
  <c r="K87" i="15"/>
  <c r="K141" i="15"/>
  <c r="K60" i="15"/>
  <c r="K70" i="13"/>
  <c r="K115" i="9"/>
  <c r="K66" i="13"/>
  <c r="L66" i="13" s="1"/>
  <c r="K121" i="11"/>
  <c r="K131" i="11"/>
  <c r="K142" i="11"/>
  <c r="K8" i="5"/>
  <c r="L68" i="16"/>
  <c r="K99" i="11"/>
  <c r="K117" i="11"/>
  <c r="K69" i="11"/>
  <c r="K53" i="11"/>
  <c r="K68" i="5"/>
  <c r="K40" i="5"/>
  <c r="L65" i="16"/>
  <c r="K50" i="5"/>
  <c r="K75" i="15"/>
  <c r="K144" i="13"/>
  <c r="K79" i="7"/>
  <c r="K28" i="13"/>
  <c r="K99" i="3"/>
  <c r="K122" i="9"/>
  <c r="L2" i="16"/>
  <c r="K57" i="3"/>
  <c r="K90" i="9"/>
  <c r="K27" i="3"/>
  <c r="K156" i="9"/>
  <c r="K143" i="7"/>
  <c r="K153" i="3"/>
  <c r="K62" i="5"/>
  <c r="K94" i="7"/>
  <c r="K115" i="13"/>
  <c r="K135" i="3"/>
  <c r="K115" i="5"/>
  <c r="K68" i="11"/>
  <c r="K47" i="3"/>
  <c r="K36" i="7"/>
  <c r="K3" i="11"/>
  <c r="L3" i="11" s="1"/>
  <c r="K79" i="13"/>
  <c r="K67" i="3"/>
  <c r="K18" i="15"/>
  <c r="K106" i="9"/>
  <c r="K130" i="13"/>
  <c r="L33" i="12"/>
  <c r="B33" i="12" s="1"/>
  <c r="C33" i="12" s="1"/>
  <c r="K65" i="9"/>
  <c r="K41" i="11"/>
  <c r="K129" i="13"/>
  <c r="K44" i="15"/>
  <c r="K30" i="3"/>
  <c r="K38" i="5"/>
  <c r="K147" i="11"/>
  <c r="K119" i="13"/>
  <c r="K26" i="15"/>
  <c r="K154" i="5"/>
  <c r="K25" i="7"/>
  <c r="K15" i="9"/>
  <c r="K94" i="15"/>
  <c r="K132" i="15"/>
  <c r="K107" i="15"/>
  <c r="G98" i="16"/>
  <c r="J33" i="16"/>
  <c r="G36" i="16"/>
  <c r="J35" i="16"/>
  <c r="G130" i="16"/>
  <c r="G6" i="16"/>
  <c r="G71" i="16"/>
  <c r="L129" i="15"/>
  <c r="L128" i="15"/>
  <c r="L98" i="15"/>
  <c r="B98" i="15" s="1"/>
  <c r="C98" i="15" s="1"/>
  <c r="L38" i="15"/>
  <c r="L126" i="15"/>
  <c r="G101" i="15"/>
  <c r="J100" i="15"/>
  <c r="G6" i="15"/>
  <c r="B96" i="15"/>
  <c r="C96" i="15" s="1"/>
  <c r="B95" i="15"/>
  <c r="C95" i="15" s="1"/>
  <c r="J99" i="15"/>
  <c r="B97" i="15"/>
  <c r="C97" i="15" s="1"/>
  <c r="G41" i="15"/>
  <c r="J72" i="15"/>
  <c r="G73" i="15"/>
  <c r="J71" i="15"/>
  <c r="J39" i="15"/>
  <c r="G131" i="15"/>
  <c r="J130" i="15"/>
  <c r="L5" i="14"/>
  <c r="L64" i="14"/>
  <c r="L33" i="14"/>
  <c r="L95" i="14"/>
  <c r="G98" i="14"/>
  <c r="J97" i="14"/>
  <c r="G131" i="14"/>
  <c r="J130" i="14"/>
  <c r="G67" i="14"/>
  <c r="J129" i="14"/>
  <c r="G36" i="14"/>
  <c r="J35" i="14"/>
  <c r="J34" i="14"/>
  <c r="G7" i="14"/>
  <c r="J6" i="14"/>
  <c r="G98" i="13"/>
  <c r="J97" i="13" s="1"/>
  <c r="G68" i="13"/>
  <c r="G6" i="13"/>
  <c r="G130" i="13"/>
  <c r="J129" i="13" s="1"/>
  <c r="G39" i="13"/>
  <c r="G38" i="12"/>
  <c r="J37" i="12" s="1"/>
  <c r="G129" i="12"/>
  <c r="J128" i="12"/>
  <c r="G6" i="12"/>
  <c r="J5" i="12" s="1"/>
  <c r="G100" i="12"/>
  <c r="J36" i="12"/>
  <c r="G67" i="12"/>
  <c r="J66" i="12"/>
  <c r="L96" i="11"/>
  <c r="G129" i="11"/>
  <c r="J128" i="11"/>
  <c r="G100" i="11"/>
  <c r="G37" i="11"/>
  <c r="G6" i="11"/>
  <c r="J127" i="11"/>
  <c r="G68" i="11"/>
  <c r="J66" i="11"/>
  <c r="B95" i="11"/>
  <c r="C95" i="11" s="1"/>
  <c r="G7" i="10"/>
  <c r="G130" i="10"/>
  <c r="J129" i="10" s="1"/>
  <c r="J68" i="10"/>
  <c r="G69" i="10"/>
  <c r="G36" i="10"/>
  <c r="J35" i="10" s="1"/>
  <c r="G98" i="10"/>
  <c r="J67" i="10"/>
  <c r="G101" i="9"/>
  <c r="J100" i="9"/>
  <c r="J99" i="9"/>
  <c r="G5" i="9"/>
  <c r="J4" i="9"/>
  <c r="J2" i="9"/>
  <c r="G67" i="9"/>
  <c r="J66" i="9"/>
  <c r="J126" i="9"/>
  <c r="G39" i="9"/>
  <c r="J38" i="9"/>
  <c r="J65" i="9"/>
  <c r="G129" i="9"/>
  <c r="J128" i="9"/>
  <c r="J37" i="9"/>
  <c r="L128" i="8"/>
  <c r="G67" i="8"/>
  <c r="J66" i="8"/>
  <c r="J65" i="8"/>
  <c r="G36" i="8"/>
  <c r="J35" i="8"/>
  <c r="G5" i="8"/>
  <c r="J4" i="8"/>
  <c r="J64" i="8"/>
  <c r="G98" i="8"/>
  <c r="J97" i="8"/>
  <c r="G130" i="8"/>
  <c r="J2" i="8"/>
  <c r="B97" i="7"/>
  <c r="C97" i="7" s="1"/>
  <c r="L128" i="7"/>
  <c r="L127" i="7"/>
  <c r="B126" i="7"/>
  <c r="C126" i="7" s="1"/>
  <c r="B96" i="7"/>
  <c r="C96" i="7" s="1"/>
  <c r="B95" i="7"/>
  <c r="C95" i="7" s="1"/>
  <c r="G103" i="7"/>
  <c r="G37" i="7"/>
  <c r="J36" i="7"/>
  <c r="G5" i="7"/>
  <c r="J4" i="7"/>
  <c r="J2" i="7"/>
  <c r="G130" i="7"/>
  <c r="J101" i="7"/>
  <c r="G68" i="7"/>
  <c r="J67" i="7" s="1"/>
  <c r="J66" i="7"/>
  <c r="L2" i="6"/>
  <c r="J127" i="6"/>
  <c r="G98" i="6"/>
  <c r="J97" i="6"/>
  <c r="G67" i="6"/>
  <c r="J66" i="6"/>
  <c r="J65" i="6"/>
  <c r="G5" i="6"/>
  <c r="J4" i="6"/>
  <c r="G129" i="6"/>
  <c r="J64" i="6"/>
  <c r="G36" i="6"/>
  <c r="J35" i="6"/>
  <c r="L64" i="5"/>
  <c r="L4" i="5"/>
  <c r="G129" i="5"/>
  <c r="J128" i="5"/>
  <c r="G102" i="5"/>
  <c r="G38" i="5"/>
  <c r="J37" i="5" s="1"/>
  <c r="G7" i="5"/>
  <c r="J6" i="5"/>
  <c r="G68" i="5"/>
  <c r="J126" i="5"/>
  <c r="G69" i="4"/>
  <c r="J68" i="4"/>
  <c r="G5" i="4"/>
  <c r="J4" i="4"/>
  <c r="J2" i="4"/>
  <c r="G101" i="4"/>
  <c r="J100" i="4" s="1"/>
  <c r="J99" i="4"/>
  <c r="J35" i="4"/>
  <c r="G36" i="4"/>
  <c r="J67" i="4"/>
  <c r="G130" i="4"/>
  <c r="J129" i="4" s="1"/>
  <c r="L127" i="3"/>
  <c r="L96" i="3"/>
  <c r="L95" i="3"/>
  <c r="J129" i="3"/>
  <c r="G130" i="3"/>
  <c r="J128" i="3"/>
  <c r="G69" i="3"/>
  <c r="J68" i="3"/>
  <c r="J67" i="3"/>
  <c r="G6" i="3"/>
  <c r="J4" i="3"/>
  <c r="G98" i="3"/>
  <c r="J97" i="3" s="1"/>
  <c r="G39" i="3"/>
  <c r="J38" i="3"/>
  <c r="G5" i="2"/>
  <c r="J4" i="2"/>
  <c r="G129" i="2"/>
  <c r="J128" i="2"/>
  <c r="G69" i="2"/>
  <c r="J68" i="2"/>
  <c r="J127" i="2"/>
  <c r="J3" i="2"/>
  <c r="J126" i="2"/>
  <c r="J97" i="2"/>
  <c r="G98" i="2"/>
  <c r="J95" i="2"/>
  <c r="J67" i="2"/>
  <c r="J2" i="2"/>
  <c r="G36" i="2"/>
  <c r="J35" i="2"/>
  <c r="K127" i="1"/>
  <c r="L127" i="1" s="1"/>
  <c r="G129" i="1"/>
  <c r="J128" i="1" s="1"/>
  <c r="J126" i="1"/>
  <c r="K96" i="1"/>
  <c r="L96" i="1" s="1"/>
  <c r="K95" i="1"/>
  <c r="L95" i="1" s="1"/>
  <c r="G98" i="1"/>
  <c r="J97" i="1"/>
  <c r="G67" i="1"/>
  <c r="J66" i="1"/>
  <c r="J65" i="1"/>
  <c r="J64" i="1"/>
  <c r="K34" i="1"/>
  <c r="L34" i="1" s="1"/>
  <c r="K33" i="1"/>
  <c r="L33" i="1" s="1"/>
  <c r="J36" i="1"/>
  <c r="G37" i="1"/>
  <c r="J35" i="1"/>
  <c r="K4" i="1"/>
  <c r="G7" i="1"/>
  <c r="J6" i="1" s="1"/>
  <c r="J5" i="1"/>
  <c r="K97" i="1" a="1"/>
  <c r="K36" i="1" a="1"/>
  <c r="K5" i="1" a="1"/>
  <c r="K35" i="1" a="1"/>
  <c r="K66" i="1" a="1"/>
  <c r="K65" i="1" a="1"/>
  <c r="K6" i="1" a="1"/>
  <c r="K64" i="1" a="1"/>
  <c r="K126" i="1" a="1"/>
  <c r="K128" i="1" a="1"/>
  <c r="B4" i="15" l="1"/>
  <c r="C4" i="15" s="1"/>
  <c r="B98" i="12"/>
  <c r="C98" i="12" s="1"/>
  <c r="B98" i="9"/>
  <c r="C98" i="9" s="1"/>
  <c r="B96" i="4"/>
  <c r="C96" i="4" s="1"/>
  <c r="B97" i="9"/>
  <c r="C97" i="9" s="1"/>
  <c r="B34" i="7"/>
  <c r="C34" i="7" s="1"/>
  <c r="B3" i="3"/>
  <c r="C3" i="3" s="1"/>
  <c r="B35" i="15"/>
  <c r="C35" i="15" s="1"/>
  <c r="B127" i="4"/>
  <c r="C127" i="4" s="1"/>
  <c r="B66" i="13"/>
  <c r="C66" i="13" s="1"/>
  <c r="B4" i="16"/>
  <c r="C4" i="16" s="1"/>
  <c r="B3" i="10"/>
  <c r="C3" i="10" s="1"/>
  <c r="B127" i="16"/>
  <c r="C127" i="16" s="1"/>
  <c r="B34" i="13"/>
  <c r="C34" i="13" s="1"/>
  <c r="B65" i="3"/>
  <c r="C65" i="3" s="1"/>
  <c r="B66" i="5"/>
  <c r="C66" i="5" s="1"/>
  <c r="B37" i="13"/>
  <c r="C37" i="13" s="1"/>
  <c r="B97" i="5"/>
  <c r="C97" i="5" s="1"/>
  <c r="B65" i="4"/>
  <c r="C65" i="4" s="1"/>
  <c r="B5" i="10"/>
  <c r="C5" i="10" s="1"/>
  <c r="B34" i="9"/>
  <c r="C34" i="9" s="1"/>
  <c r="B97" i="11"/>
  <c r="C97" i="11" s="1"/>
  <c r="B98" i="11"/>
  <c r="C98" i="11" s="1"/>
  <c r="B38" i="15"/>
  <c r="C38" i="15" s="1"/>
  <c r="B35" i="9"/>
  <c r="C35" i="9" s="1"/>
  <c r="B66" i="4"/>
  <c r="C66" i="4" s="1"/>
  <c r="B36" i="13"/>
  <c r="C36" i="13" s="1"/>
  <c r="B66" i="10"/>
  <c r="C66" i="10" s="1"/>
  <c r="B97" i="12"/>
  <c r="C97" i="12" s="1"/>
  <c r="B36" i="9"/>
  <c r="C36" i="9" s="1"/>
  <c r="B35" i="12"/>
  <c r="C35" i="12" s="1"/>
  <c r="B66" i="15"/>
  <c r="C66" i="15" s="1"/>
  <c r="L4" i="1"/>
  <c r="B4" i="1" s="1"/>
  <c r="C4" i="1" s="1"/>
  <c r="L33" i="16"/>
  <c r="L35" i="16"/>
  <c r="B35" i="16" s="1"/>
  <c r="C35" i="16" s="1"/>
  <c r="G99" i="16"/>
  <c r="J98" i="16"/>
  <c r="J97" i="16"/>
  <c r="B68" i="16"/>
  <c r="C68" i="16" s="1"/>
  <c r="B95" i="16"/>
  <c r="C95" i="16" s="1"/>
  <c r="B96" i="16"/>
  <c r="C96" i="16" s="1"/>
  <c r="B3" i="16"/>
  <c r="C3" i="16" s="1"/>
  <c r="B2" i="16"/>
  <c r="C2" i="16" s="1"/>
  <c r="B36" i="15"/>
  <c r="C36" i="15" s="1"/>
  <c r="B69" i="15"/>
  <c r="C69" i="15" s="1"/>
  <c r="G131" i="16"/>
  <c r="B128" i="16"/>
  <c r="C128" i="16" s="1"/>
  <c r="B69" i="16"/>
  <c r="C69" i="16" s="1"/>
  <c r="G72" i="16"/>
  <c r="J71" i="16"/>
  <c r="J70" i="16"/>
  <c r="B66" i="16"/>
  <c r="C66" i="16" s="1"/>
  <c r="B34" i="12"/>
  <c r="C34" i="12" s="1"/>
  <c r="B67" i="15"/>
  <c r="C67" i="15" s="1"/>
  <c r="J129" i="16"/>
  <c r="B67" i="16"/>
  <c r="C67" i="16" s="1"/>
  <c r="G7" i="16"/>
  <c r="J6" i="16"/>
  <c r="J5" i="16"/>
  <c r="B129" i="15"/>
  <c r="C129" i="15" s="1"/>
  <c r="B96" i="12"/>
  <c r="C96" i="12" s="1"/>
  <c r="B65" i="16"/>
  <c r="C65" i="16" s="1"/>
  <c r="G37" i="16"/>
  <c r="J36" i="16"/>
  <c r="L72" i="15"/>
  <c r="L130" i="15"/>
  <c r="B130" i="15" s="1"/>
  <c r="C130" i="15" s="1"/>
  <c r="L39" i="15"/>
  <c r="B39" i="15" s="1"/>
  <c r="C39" i="15" s="1"/>
  <c r="L100" i="15"/>
  <c r="L99" i="15"/>
  <c r="L71" i="15"/>
  <c r="G42" i="15"/>
  <c r="J41" i="15"/>
  <c r="J40" i="15"/>
  <c r="B128" i="15"/>
  <c r="C128" i="15" s="1"/>
  <c r="B68" i="15"/>
  <c r="C68" i="15" s="1"/>
  <c r="B34" i="15"/>
  <c r="C34" i="15" s="1"/>
  <c r="B65" i="15"/>
  <c r="C65" i="15" s="1"/>
  <c r="G7" i="15"/>
  <c r="J5" i="15"/>
  <c r="B5" i="14"/>
  <c r="C5" i="14" s="1"/>
  <c r="G102" i="15"/>
  <c r="J101" i="15" s="1"/>
  <c r="B3" i="15"/>
  <c r="C3" i="15" s="1"/>
  <c r="B2" i="15"/>
  <c r="C2" i="15" s="1"/>
  <c r="G132" i="15"/>
  <c r="B70" i="15"/>
  <c r="C70" i="15" s="1"/>
  <c r="G74" i="15"/>
  <c r="J73" i="15"/>
  <c r="B127" i="15"/>
  <c r="C127" i="15" s="1"/>
  <c r="B126" i="15"/>
  <c r="C126" i="15" s="1"/>
  <c r="B37" i="15"/>
  <c r="C37" i="15" s="1"/>
  <c r="L130" i="14"/>
  <c r="L6" i="14"/>
  <c r="B6" i="14" s="1"/>
  <c r="C6" i="14" s="1"/>
  <c r="L97" i="14"/>
  <c r="B97" i="14" s="1"/>
  <c r="C97" i="14" s="1"/>
  <c r="L129" i="14"/>
  <c r="B129" i="14" s="1"/>
  <c r="C129" i="14" s="1"/>
  <c r="L34" i="14"/>
  <c r="B34" i="14" s="1"/>
  <c r="C34" i="14" s="1"/>
  <c r="L35" i="14"/>
  <c r="B3" i="14"/>
  <c r="C3" i="14" s="1"/>
  <c r="B2" i="14"/>
  <c r="C2" i="14" s="1"/>
  <c r="G68" i="14"/>
  <c r="B100" i="7"/>
  <c r="C100" i="7" s="1"/>
  <c r="B4" i="12"/>
  <c r="C4" i="12" s="1"/>
  <c r="G132" i="14"/>
  <c r="J131" i="14" s="1"/>
  <c r="G99" i="14"/>
  <c r="G37" i="14"/>
  <c r="J36" i="14"/>
  <c r="B33" i="14"/>
  <c r="C33" i="14" s="1"/>
  <c r="B95" i="14"/>
  <c r="C95" i="14" s="1"/>
  <c r="B96" i="14"/>
  <c r="C96" i="14" s="1"/>
  <c r="B127" i="14"/>
  <c r="C127" i="14" s="1"/>
  <c r="B126" i="14"/>
  <c r="C126" i="14" s="1"/>
  <c r="B128" i="14"/>
  <c r="C128" i="14" s="1"/>
  <c r="B65" i="14"/>
  <c r="C65" i="14" s="1"/>
  <c r="B64" i="14"/>
  <c r="C64" i="14" s="1"/>
  <c r="B4" i="14"/>
  <c r="C4" i="14" s="1"/>
  <c r="J7" i="14"/>
  <c r="G8" i="14"/>
  <c r="J66" i="14"/>
  <c r="L129" i="13"/>
  <c r="B129" i="13" s="1"/>
  <c r="C129" i="13" s="1"/>
  <c r="L97" i="13"/>
  <c r="B97" i="13" s="1"/>
  <c r="C97" i="13" s="1"/>
  <c r="G69" i="13"/>
  <c r="J68" i="13"/>
  <c r="B65" i="13"/>
  <c r="C65" i="13" s="1"/>
  <c r="B64" i="13"/>
  <c r="C64" i="13" s="1"/>
  <c r="G40" i="13"/>
  <c r="J39" i="13"/>
  <c r="B35" i="13"/>
  <c r="C35" i="13" s="1"/>
  <c r="G7" i="13"/>
  <c r="J6" i="13" s="1"/>
  <c r="B3" i="13"/>
  <c r="C3" i="13" s="1"/>
  <c r="B2" i="13"/>
  <c r="C2" i="13" s="1"/>
  <c r="J67" i="13"/>
  <c r="J38" i="13"/>
  <c r="B128" i="10"/>
  <c r="C128" i="10" s="1"/>
  <c r="J5" i="13"/>
  <c r="B96" i="13"/>
  <c r="C96" i="13" s="1"/>
  <c r="B95" i="13"/>
  <c r="C95" i="13" s="1"/>
  <c r="B4" i="13"/>
  <c r="C4" i="13" s="1"/>
  <c r="G99" i="13"/>
  <c r="J98" i="13"/>
  <c r="B128" i="13"/>
  <c r="C128" i="13" s="1"/>
  <c r="G131" i="13"/>
  <c r="J130" i="13"/>
  <c r="B127" i="13"/>
  <c r="C127" i="13" s="1"/>
  <c r="L37" i="12"/>
  <c r="L5" i="12"/>
  <c r="B5" i="12" s="1"/>
  <c r="C5" i="12" s="1"/>
  <c r="L36" i="12"/>
  <c r="L128" i="12"/>
  <c r="B128" i="12" s="1"/>
  <c r="C128" i="12" s="1"/>
  <c r="L66" i="12"/>
  <c r="B66" i="12" s="1"/>
  <c r="C66" i="12" s="1"/>
  <c r="G101" i="12"/>
  <c r="J100" i="12"/>
  <c r="B126" i="12"/>
  <c r="C126" i="12" s="1"/>
  <c r="B127" i="12"/>
  <c r="C127" i="12" s="1"/>
  <c r="G39" i="12"/>
  <c r="J38" i="12"/>
  <c r="G68" i="12"/>
  <c r="B64" i="12"/>
  <c r="C64" i="12" s="1"/>
  <c r="B65" i="12"/>
  <c r="C65" i="12" s="1"/>
  <c r="B4" i="11"/>
  <c r="C4" i="11" s="1"/>
  <c r="G7" i="12"/>
  <c r="J6" i="12"/>
  <c r="B35" i="5"/>
  <c r="C35" i="5" s="1"/>
  <c r="B96" i="11"/>
  <c r="C96" i="11" s="1"/>
  <c r="B35" i="11"/>
  <c r="C35" i="11" s="1"/>
  <c r="J99" i="12"/>
  <c r="B3" i="12"/>
  <c r="C3" i="12" s="1"/>
  <c r="B2" i="12"/>
  <c r="C2" i="12" s="1"/>
  <c r="G130" i="12"/>
  <c r="L66" i="11"/>
  <c r="B66" i="11" s="1"/>
  <c r="C66" i="11" s="1"/>
  <c r="L128" i="11"/>
  <c r="L127" i="11"/>
  <c r="B127" i="11" s="1"/>
  <c r="C127" i="11" s="1"/>
  <c r="G101" i="11"/>
  <c r="J100" i="11"/>
  <c r="J99" i="11"/>
  <c r="G69" i="11"/>
  <c r="J68" i="11"/>
  <c r="J67" i="11"/>
  <c r="G7" i="11"/>
  <c r="J6" i="11"/>
  <c r="B126" i="11"/>
  <c r="C126" i="11" s="1"/>
  <c r="G38" i="11"/>
  <c r="J129" i="11"/>
  <c r="G130" i="11"/>
  <c r="B65" i="11"/>
  <c r="C65" i="11" s="1"/>
  <c r="B64" i="11"/>
  <c r="C64" i="11" s="1"/>
  <c r="J5" i="11"/>
  <c r="B3" i="11"/>
  <c r="C3" i="11" s="1"/>
  <c r="B2" i="11"/>
  <c r="C2" i="11" s="1"/>
  <c r="B34" i="11"/>
  <c r="C34" i="11" s="1"/>
  <c r="B33" i="11"/>
  <c r="C33" i="11" s="1"/>
  <c r="B128" i="7"/>
  <c r="C128" i="7" s="1"/>
  <c r="J36" i="11"/>
  <c r="B65" i="10"/>
  <c r="C65" i="10" s="1"/>
  <c r="L129" i="10"/>
  <c r="B129" i="10" s="1"/>
  <c r="C129" i="10" s="1"/>
  <c r="L35" i="10"/>
  <c r="B35" i="10" s="1"/>
  <c r="C35" i="10" s="1"/>
  <c r="L67" i="10"/>
  <c r="L68" i="10"/>
  <c r="B96" i="10"/>
  <c r="C96" i="10" s="1"/>
  <c r="B95" i="10"/>
  <c r="C95" i="10" s="1"/>
  <c r="G99" i="10"/>
  <c r="J97" i="10"/>
  <c r="B4" i="10"/>
  <c r="C4" i="10" s="1"/>
  <c r="G8" i="10"/>
  <c r="J7" i="10"/>
  <c r="B127" i="10"/>
  <c r="C127" i="10" s="1"/>
  <c r="B126" i="10"/>
  <c r="C126" i="10" s="1"/>
  <c r="B5" i="5"/>
  <c r="C5" i="5" s="1"/>
  <c r="B99" i="7"/>
  <c r="C99" i="7" s="1"/>
  <c r="G37" i="10"/>
  <c r="G131" i="10"/>
  <c r="J130" i="10" s="1"/>
  <c r="J6" i="10"/>
  <c r="B99" i="5"/>
  <c r="C99" i="5" s="1"/>
  <c r="G70" i="10"/>
  <c r="J69" i="10"/>
  <c r="B34" i="10"/>
  <c r="C34" i="10" s="1"/>
  <c r="B33" i="10"/>
  <c r="C33" i="10" s="1"/>
  <c r="L2" i="9"/>
  <c r="L37" i="9"/>
  <c r="B37" i="9" s="1"/>
  <c r="C37" i="9" s="1"/>
  <c r="L65" i="9"/>
  <c r="B65" i="9" s="1"/>
  <c r="C65" i="9" s="1"/>
  <c r="L66" i="9"/>
  <c r="L100" i="9"/>
  <c r="L126" i="9"/>
  <c r="L38" i="9"/>
  <c r="L4" i="9"/>
  <c r="B4" i="9" s="1"/>
  <c r="C4" i="9" s="1"/>
  <c r="L99" i="9"/>
  <c r="B99" i="9" s="1"/>
  <c r="C99" i="9" s="1"/>
  <c r="L128" i="9"/>
  <c r="B128" i="9" s="1"/>
  <c r="C128" i="9" s="1"/>
  <c r="G68" i="9"/>
  <c r="B34" i="5"/>
  <c r="C34" i="5" s="1"/>
  <c r="G6" i="9"/>
  <c r="J5" i="9" s="1"/>
  <c r="G102" i="9"/>
  <c r="B100" i="5"/>
  <c r="C100" i="5" s="1"/>
  <c r="G130" i="9"/>
  <c r="B64" i="9"/>
  <c r="C64" i="9" s="1"/>
  <c r="B96" i="9"/>
  <c r="C96" i="9" s="1"/>
  <c r="G40" i="9"/>
  <c r="L64" i="8"/>
  <c r="L4" i="8"/>
  <c r="B4" i="8" s="1"/>
  <c r="C4" i="8" s="1"/>
  <c r="L65" i="8"/>
  <c r="L66" i="8"/>
  <c r="L97" i="8"/>
  <c r="B97" i="8" s="1"/>
  <c r="C97" i="8" s="1"/>
  <c r="L35" i="8"/>
  <c r="B35" i="8" s="1"/>
  <c r="C35" i="8" s="1"/>
  <c r="L2" i="8"/>
  <c r="G37" i="8"/>
  <c r="J36" i="8"/>
  <c r="B95" i="8"/>
  <c r="C95" i="8" s="1"/>
  <c r="B96" i="8"/>
  <c r="C96" i="8" s="1"/>
  <c r="G131" i="8"/>
  <c r="J130" i="8"/>
  <c r="B127" i="8"/>
  <c r="C127" i="8" s="1"/>
  <c r="B126" i="8"/>
  <c r="C126" i="8" s="1"/>
  <c r="G6" i="8"/>
  <c r="J5" i="8" s="1"/>
  <c r="G68" i="8"/>
  <c r="B33" i="8"/>
  <c r="C33" i="8" s="1"/>
  <c r="B34" i="8"/>
  <c r="C34" i="8" s="1"/>
  <c r="J129" i="8"/>
  <c r="B127" i="7"/>
  <c r="C127" i="7" s="1"/>
  <c r="G99" i="8"/>
  <c r="J98" i="8"/>
  <c r="B128" i="8"/>
  <c r="C128" i="8" s="1"/>
  <c r="L67" i="7"/>
  <c r="L101" i="7"/>
  <c r="B101" i="7" s="1"/>
  <c r="C101" i="7" s="1"/>
  <c r="L4" i="7"/>
  <c r="B4" i="7" s="1"/>
  <c r="C4" i="7" s="1"/>
  <c r="L66" i="7"/>
  <c r="B66" i="7" s="1"/>
  <c r="C66" i="7" s="1"/>
  <c r="L2" i="7"/>
  <c r="L36" i="7"/>
  <c r="B36" i="7" s="1"/>
  <c r="C36" i="7" s="1"/>
  <c r="G131" i="7"/>
  <c r="J130" i="7"/>
  <c r="G6" i="7"/>
  <c r="J5" i="7" s="1"/>
  <c r="J129" i="7"/>
  <c r="B98" i="7"/>
  <c r="C98" i="7" s="1"/>
  <c r="G69" i="7"/>
  <c r="J68" i="7"/>
  <c r="B65" i="7"/>
  <c r="C65" i="7" s="1"/>
  <c r="B64" i="7"/>
  <c r="C64" i="7" s="1"/>
  <c r="B35" i="7"/>
  <c r="C35" i="7" s="1"/>
  <c r="G104" i="7"/>
  <c r="J102" i="7"/>
  <c r="G38" i="7"/>
  <c r="L4" i="6"/>
  <c r="B4" i="6" s="1"/>
  <c r="C4" i="6" s="1"/>
  <c r="L66" i="6"/>
  <c r="L127" i="6"/>
  <c r="B127" i="6" s="1"/>
  <c r="C127" i="6" s="1"/>
  <c r="L97" i="6"/>
  <c r="B97" i="6" s="1"/>
  <c r="C97" i="6" s="1"/>
  <c r="L35" i="6"/>
  <c r="B35" i="6" s="1"/>
  <c r="C35" i="6" s="1"/>
  <c r="L65" i="6"/>
  <c r="L64" i="6"/>
  <c r="B98" i="4"/>
  <c r="C98" i="4" s="1"/>
  <c r="B95" i="6"/>
  <c r="C95" i="6" s="1"/>
  <c r="B96" i="6"/>
  <c r="C96" i="6" s="1"/>
  <c r="G130" i="6"/>
  <c r="G99" i="6"/>
  <c r="J98" i="6"/>
  <c r="B33" i="6"/>
  <c r="C33" i="6" s="1"/>
  <c r="B34" i="6"/>
  <c r="C34" i="6" s="1"/>
  <c r="G37" i="6"/>
  <c r="J36" i="6" s="1"/>
  <c r="G6" i="6"/>
  <c r="J5" i="6" s="1"/>
  <c r="B3" i="6"/>
  <c r="C3" i="6" s="1"/>
  <c r="B2" i="6"/>
  <c r="C2" i="6" s="1"/>
  <c r="G68" i="6"/>
  <c r="J67" i="6" s="1"/>
  <c r="B35" i="3"/>
  <c r="C35" i="3" s="1"/>
  <c r="J128" i="6"/>
  <c r="B126" i="6"/>
  <c r="C126" i="6" s="1"/>
  <c r="L37" i="5"/>
  <c r="B37" i="5" s="1"/>
  <c r="C37" i="5" s="1"/>
  <c r="L128" i="5"/>
  <c r="B128" i="5" s="1"/>
  <c r="C128" i="5" s="1"/>
  <c r="L6" i="5"/>
  <c r="B6" i="5" s="1"/>
  <c r="C6" i="5" s="1"/>
  <c r="L126" i="5"/>
  <c r="G130" i="5"/>
  <c r="B3" i="5"/>
  <c r="C3" i="5" s="1"/>
  <c r="B2" i="5"/>
  <c r="C2" i="5" s="1"/>
  <c r="B4" i="5"/>
  <c r="C4" i="5" s="1"/>
  <c r="G69" i="5"/>
  <c r="J68" i="5"/>
  <c r="B98" i="5"/>
  <c r="C98" i="5" s="1"/>
  <c r="G39" i="5"/>
  <c r="B65" i="5"/>
  <c r="C65" i="5" s="1"/>
  <c r="B64" i="5"/>
  <c r="C64" i="5" s="1"/>
  <c r="B36" i="3"/>
  <c r="C36" i="3" s="1"/>
  <c r="G103" i="5"/>
  <c r="J102" i="5"/>
  <c r="B36" i="5"/>
  <c r="C36" i="5" s="1"/>
  <c r="J67" i="5"/>
  <c r="B96" i="5"/>
  <c r="C96" i="5" s="1"/>
  <c r="G8" i="5"/>
  <c r="J101" i="5"/>
  <c r="L100" i="4"/>
  <c r="L129" i="4"/>
  <c r="B129" i="4" s="1"/>
  <c r="C129" i="4" s="1"/>
  <c r="L4" i="4"/>
  <c r="B4" i="4" s="1"/>
  <c r="C4" i="4" s="1"/>
  <c r="L67" i="4"/>
  <c r="B67" i="4" s="1"/>
  <c r="C67" i="4" s="1"/>
  <c r="L68" i="4"/>
  <c r="L35" i="4"/>
  <c r="B35" i="4" s="1"/>
  <c r="C35" i="4" s="1"/>
  <c r="L2" i="4"/>
  <c r="L99" i="4"/>
  <c r="G6" i="4"/>
  <c r="J5" i="4" s="1"/>
  <c r="B33" i="4"/>
  <c r="C33" i="4" s="1"/>
  <c r="B34" i="4"/>
  <c r="C34" i="4" s="1"/>
  <c r="G37" i="4"/>
  <c r="J36" i="4" s="1"/>
  <c r="B97" i="4"/>
  <c r="C97" i="4" s="1"/>
  <c r="G102" i="4"/>
  <c r="J101" i="4"/>
  <c r="G131" i="4"/>
  <c r="J130" i="4"/>
  <c r="G70" i="4"/>
  <c r="B128" i="4"/>
  <c r="C128" i="4" s="1"/>
  <c r="B34" i="3"/>
  <c r="C34" i="3" s="1"/>
  <c r="L97" i="3"/>
  <c r="B97" i="3" s="1"/>
  <c r="C97" i="3" s="1"/>
  <c r="L129" i="3"/>
  <c r="L4" i="3"/>
  <c r="B4" i="3" s="1"/>
  <c r="C4" i="3" s="1"/>
  <c r="L68" i="3"/>
  <c r="L128" i="3"/>
  <c r="B128" i="3" s="1"/>
  <c r="C128" i="3" s="1"/>
  <c r="L38" i="3"/>
  <c r="L67" i="3"/>
  <c r="B67" i="3" s="1"/>
  <c r="C67" i="3" s="1"/>
  <c r="G70" i="3"/>
  <c r="B66" i="3"/>
  <c r="C66" i="3" s="1"/>
  <c r="G131" i="3"/>
  <c r="J130" i="3"/>
  <c r="B127" i="3"/>
  <c r="C127" i="3" s="1"/>
  <c r="B126" i="3"/>
  <c r="C126" i="3" s="1"/>
  <c r="G7" i="3"/>
  <c r="J6" i="3" s="1"/>
  <c r="J5" i="3"/>
  <c r="G40" i="3"/>
  <c r="G99" i="3"/>
  <c r="J98" i="3"/>
  <c r="B37" i="3"/>
  <c r="C37" i="3" s="1"/>
  <c r="B95" i="3"/>
  <c r="C95" i="3" s="1"/>
  <c r="B96" i="3"/>
  <c r="C96" i="3" s="1"/>
  <c r="L97" i="2"/>
  <c r="B97" i="2" s="1"/>
  <c r="C97" i="2" s="1"/>
  <c r="L127" i="2"/>
  <c r="L128" i="2"/>
  <c r="L126" i="2"/>
  <c r="L68" i="2"/>
  <c r="L4" i="2"/>
  <c r="L35" i="2"/>
  <c r="L67" i="2"/>
  <c r="L95" i="2"/>
  <c r="L3" i="2"/>
  <c r="L2" i="2"/>
  <c r="G70" i="2"/>
  <c r="J69" i="2" s="1"/>
  <c r="G6" i="2"/>
  <c r="J5" i="2" s="1"/>
  <c r="G37" i="2"/>
  <c r="B33" i="2"/>
  <c r="C33" i="2" s="1"/>
  <c r="B34" i="2"/>
  <c r="C34" i="2" s="1"/>
  <c r="B65" i="2"/>
  <c r="C65" i="2" s="1"/>
  <c r="B64" i="2"/>
  <c r="C64" i="2" s="1"/>
  <c r="G130" i="2"/>
  <c r="J129" i="2" s="1"/>
  <c r="G99" i="2"/>
  <c r="J98" i="2"/>
  <c r="B66" i="2"/>
  <c r="C66" i="2" s="1"/>
  <c r="K128" i="1"/>
  <c r="L128" i="1" s="1"/>
  <c r="B128" i="1" s="1"/>
  <c r="C128" i="1" s="1"/>
  <c r="K126" i="1"/>
  <c r="L126" i="1" s="1"/>
  <c r="G130" i="1"/>
  <c r="J129" i="1" s="1"/>
  <c r="K97" i="1"/>
  <c r="L97" i="1" s="1"/>
  <c r="B97" i="1" s="1"/>
  <c r="C97" i="1" s="1"/>
  <c r="G99" i="1"/>
  <c r="B95" i="1"/>
  <c r="C95" i="1" s="1"/>
  <c r="B96" i="1"/>
  <c r="C96" i="1" s="1"/>
  <c r="K64" i="1"/>
  <c r="L64" i="1" s="1"/>
  <c r="K65" i="1"/>
  <c r="L65" i="1" s="1"/>
  <c r="K66" i="1"/>
  <c r="L66" i="1" s="1"/>
  <c r="G68" i="1"/>
  <c r="K36" i="1"/>
  <c r="L36" i="1" s="1"/>
  <c r="K35" i="1"/>
  <c r="L35" i="1" s="1"/>
  <c r="B35" i="1" s="1"/>
  <c r="C35" i="1" s="1"/>
  <c r="B34" i="1"/>
  <c r="C34" i="1" s="1"/>
  <c r="B33" i="1"/>
  <c r="C33" i="1" s="1"/>
  <c r="G38" i="1"/>
  <c r="J37" i="1" s="1"/>
  <c r="K6" i="1"/>
  <c r="K5" i="1"/>
  <c r="K37" i="1" a="1"/>
  <c r="K129" i="1" a="1"/>
  <c r="B72" i="15" l="1"/>
  <c r="C72" i="15" s="1"/>
  <c r="B100" i="15"/>
  <c r="C100" i="15" s="1"/>
  <c r="B71" i="15"/>
  <c r="C71" i="15" s="1"/>
  <c r="B99" i="15"/>
  <c r="C99" i="15" s="1"/>
  <c r="B130" i="14"/>
  <c r="C130" i="14" s="1"/>
  <c r="L5" i="1"/>
  <c r="B5" i="1" s="1"/>
  <c r="C5" i="1" s="1"/>
  <c r="L6" i="1"/>
  <c r="L5" i="16"/>
  <c r="L129" i="16"/>
  <c r="L36" i="16"/>
  <c r="L98" i="16"/>
  <c r="L6" i="16"/>
  <c r="L97" i="16"/>
  <c r="L70" i="16"/>
  <c r="L71" i="16"/>
  <c r="G132" i="16"/>
  <c r="G8" i="16"/>
  <c r="J7" i="16"/>
  <c r="J130" i="16"/>
  <c r="G38" i="16"/>
  <c r="J99" i="16"/>
  <c r="G100" i="16"/>
  <c r="G73" i="16"/>
  <c r="B34" i="16"/>
  <c r="C34" i="16" s="1"/>
  <c r="B33" i="16"/>
  <c r="C33" i="16" s="1"/>
  <c r="L101" i="15"/>
  <c r="B101" i="15" s="1"/>
  <c r="C101" i="15" s="1"/>
  <c r="L73" i="15"/>
  <c r="B73" i="15" s="1"/>
  <c r="C73" i="15" s="1"/>
  <c r="L41" i="15"/>
  <c r="L40" i="15"/>
  <c r="B41" i="15" s="1"/>
  <c r="C41" i="15" s="1"/>
  <c r="L5" i="15"/>
  <c r="G75" i="15"/>
  <c r="J74" i="15"/>
  <c r="G103" i="15"/>
  <c r="J102" i="15" s="1"/>
  <c r="G133" i="15"/>
  <c r="J132" i="15" s="1"/>
  <c r="G8" i="15"/>
  <c r="J7" i="15" s="1"/>
  <c r="J131" i="15"/>
  <c r="G43" i="15"/>
  <c r="J6" i="15"/>
  <c r="L131" i="14"/>
  <c r="B131" i="14" s="1"/>
  <c r="C131" i="14" s="1"/>
  <c r="L7" i="14"/>
  <c r="B7" i="14" s="1"/>
  <c r="C7" i="14" s="1"/>
  <c r="L36" i="14"/>
  <c r="B36" i="14" s="1"/>
  <c r="C36" i="14" s="1"/>
  <c r="L66" i="14"/>
  <c r="G69" i="14"/>
  <c r="J68" i="14"/>
  <c r="J67" i="14"/>
  <c r="G100" i="14"/>
  <c r="G133" i="14"/>
  <c r="J132" i="14"/>
  <c r="G38" i="14"/>
  <c r="J37" i="14" s="1"/>
  <c r="B35" i="14"/>
  <c r="C35" i="14" s="1"/>
  <c r="G9" i="14"/>
  <c r="J8" i="14"/>
  <c r="J98" i="14"/>
  <c r="L6" i="13"/>
  <c r="L67" i="13"/>
  <c r="L98" i="13"/>
  <c r="L68" i="13"/>
  <c r="L5" i="13"/>
  <c r="L130" i="13"/>
  <c r="L39" i="13"/>
  <c r="L38" i="13"/>
  <c r="G41" i="13"/>
  <c r="J40" i="13" s="1"/>
  <c r="G70" i="13"/>
  <c r="G8" i="13"/>
  <c r="J7" i="13" s="1"/>
  <c r="G100" i="13"/>
  <c r="J99" i="13" s="1"/>
  <c r="G132" i="13"/>
  <c r="L38" i="12"/>
  <c r="B38" i="12" s="1"/>
  <c r="C38" i="12" s="1"/>
  <c r="L6" i="12"/>
  <c r="B6" i="12" s="1"/>
  <c r="C6" i="12" s="1"/>
  <c r="L99" i="12"/>
  <c r="L100" i="12"/>
  <c r="G40" i="12"/>
  <c r="G131" i="12"/>
  <c r="J130" i="12"/>
  <c r="G8" i="12"/>
  <c r="J7" i="12" s="1"/>
  <c r="B37" i="12"/>
  <c r="C37" i="12" s="1"/>
  <c r="B36" i="12"/>
  <c r="C36" i="12" s="1"/>
  <c r="G69" i="12"/>
  <c r="J68" i="12"/>
  <c r="J101" i="12"/>
  <c r="G102" i="12"/>
  <c r="J67" i="12"/>
  <c r="J129" i="12"/>
  <c r="B68" i="2"/>
  <c r="C68" i="2" s="1"/>
  <c r="B128" i="11"/>
  <c r="C128" i="11" s="1"/>
  <c r="L129" i="11"/>
  <c r="B129" i="11" s="1"/>
  <c r="C129" i="11" s="1"/>
  <c r="L67" i="11"/>
  <c r="B67" i="11" s="1"/>
  <c r="C67" i="11" s="1"/>
  <c r="L99" i="11"/>
  <c r="L5" i="11"/>
  <c r="L100" i="11"/>
  <c r="L36" i="11"/>
  <c r="L6" i="11"/>
  <c r="L68" i="11"/>
  <c r="G102" i="11"/>
  <c r="G39" i="11"/>
  <c r="J38" i="11"/>
  <c r="J37" i="11"/>
  <c r="G8" i="11"/>
  <c r="J7" i="11" s="1"/>
  <c r="J69" i="11"/>
  <c r="G70" i="11"/>
  <c r="B100" i="9"/>
  <c r="C100" i="9" s="1"/>
  <c r="G131" i="11"/>
  <c r="J130" i="11"/>
  <c r="L130" i="10"/>
  <c r="B130" i="10" s="1"/>
  <c r="C130" i="10" s="1"/>
  <c r="L7" i="10"/>
  <c r="L97" i="10"/>
  <c r="L69" i="10"/>
  <c r="B69" i="10" s="1"/>
  <c r="C69" i="10" s="1"/>
  <c r="L6" i="10"/>
  <c r="G9" i="10"/>
  <c r="J8" i="10"/>
  <c r="G38" i="10"/>
  <c r="J37" i="10"/>
  <c r="G100" i="10"/>
  <c r="J36" i="10"/>
  <c r="B68" i="10"/>
  <c r="C68" i="10" s="1"/>
  <c r="B67" i="10"/>
  <c r="C67" i="10" s="1"/>
  <c r="J70" i="10"/>
  <c r="G71" i="10"/>
  <c r="G132" i="10"/>
  <c r="J131" i="10" s="1"/>
  <c r="J98" i="10"/>
  <c r="L5" i="9"/>
  <c r="B5" i="9" s="1"/>
  <c r="C5" i="9" s="1"/>
  <c r="G69" i="9"/>
  <c r="J68" i="9"/>
  <c r="G41" i="9"/>
  <c r="G131" i="9"/>
  <c r="J130" i="9"/>
  <c r="B66" i="9"/>
  <c r="C66" i="9" s="1"/>
  <c r="J39" i="9"/>
  <c r="J129" i="9"/>
  <c r="G103" i="9"/>
  <c r="J102" i="9"/>
  <c r="B38" i="9"/>
  <c r="C38" i="9" s="1"/>
  <c r="G7" i="9"/>
  <c r="J67" i="9"/>
  <c r="B127" i="9"/>
  <c r="C127" i="9" s="1"/>
  <c r="B126" i="9"/>
  <c r="C126" i="9" s="1"/>
  <c r="J101" i="9"/>
  <c r="B3" i="9"/>
  <c r="C3" i="9" s="1"/>
  <c r="B2" i="9"/>
  <c r="C2" i="9" s="1"/>
  <c r="L5" i="8"/>
  <c r="B5" i="8" s="1"/>
  <c r="C5" i="8" s="1"/>
  <c r="L98" i="8"/>
  <c r="B98" i="8" s="1"/>
  <c r="C98" i="8" s="1"/>
  <c r="L36" i="8"/>
  <c r="B36" i="8" s="1"/>
  <c r="C36" i="8" s="1"/>
  <c r="L130" i="8"/>
  <c r="L129" i="8"/>
  <c r="G38" i="8"/>
  <c r="G69" i="8"/>
  <c r="J68" i="8"/>
  <c r="J67" i="8"/>
  <c r="B67" i="7"/>
  <c r="C67" i="7" s="1"/>
  <c r="G132" i="8"/>
  <c r="J99" i="8"/>
  <c r="G100" i="8"/>
  <c r="B3" i="8"/>
  <c r="C3" i="8" s="1"/>
  <c r="B2" i="8"/>
  <c r="C2" i="8" s="1"/>
  <c r="G7" i="8"/>
  <c r="J6" i="8"/>
  <c r="B66" i="8"/>
  <c r="C66" i="8" s="1"/>
  <c r="B65" i="8"/>
  <c r="C65" i="8" s="1"/>
  <c r="B64" i="8"/>
  <c r="C64" i="8" s="1"/>
  <c r="L5" i="7"/>
  <c r="B5" i="7" s="1"/>
  <c r="C5" i="7" s="1"/>
  <c r="L129" i="7"/>
  <c r="L130" i="7"/>
  <c r="L68" i="7"/>
  <c r="B68" i="7" s="1"/>
  <c r="C68" i="7" s="1"/>
  <c r="L102" i="7"/>
  <c r="B102" i="7" s="1"/>
  <c r="C102" i="7" s="1"/>
  <c r="G105" i="7"/>
  <c r="J104" i="7"/>
  <c r="B3" i="7"/>
  <c r="C3" i="7" s="1"/>
  <c r="B2" i="7"/>
  <c r="C2" i="7" s="1"/>
  <c r="G7" i="7"/>
  <c r="J6" i="7"/>
  <c r="G132" i="7"/>
  <c r="J103" i="7"/>
  <c r="J69" i="7"/>
  <c r="G70" i="7"/>
  <c r="G39" i="7"/>
  <c r="J38" i="7"/>
  <c r="J37" i="7"/>
  <c r="B4" i="2"/>
  <c r="C4" i="2" s="1"/>
  <c r="B66" i="6"/>
  <c r="C66" i="6" s="1"/>
  <c r="L67" i="6"/>
  <c r="B67" i="6" s="1"/>
  <c r="C67" i="6" s="1"/>
  <c r="L5" i="6"/>
  <c r="B5" i="6" s="1"/>
  <c r="C5" i="6" s="1"/>
  <c r="L36" i="6"/>
  <c r="B36" i="6" s="1"/>
  <c r="C36" i="6" s="1"/>
  <c r="L98" i="6"/>
  <c r="B98" i="6" s="1"/>
  <c r="C98" i="6" s="1"/>
  <c r="L128" i="6"/>
  <c r="B128" i="6" s="1"/>
  <c r="C128" i="6" s="1"/>
  <c r="B65" i="6"/>
  <c r="C65" i="6" s="1"/>
  <c r="B64" i="6"/>
  <c r="C64" i="6" s="1"/>
  <c r="G100" i="6"/>
  <c r="J99" i="6" s="1"/>
  <c r="G69" i="6"/>
  <c r="J68" i="6"/>
  <c r="G131" i="6"/>
  <c r="J130" i="6"/>
  <c r="G38" i="6"/>
  <c r="J129" i="6"/>
  <c r="G7" i="6"/>
  <c r="J6" i="6"/>
  <c r="L68" i="5"/>
  <c r="L67" i="5"/>
  <c r="L101" i="5"/>
  <c r="L102" i="5"/>
  <c r="G9" i="5"/>
  <c r="J8" i="5"/>
  <c r="G131" i="5"/>
  <c r="J130" i="5"/>
  <c r="B100" i="4"/>
  <c r="C100" i="4" s="1"/>
  <c r="J129" i="5"/>
  <c r="B127" i="5"/>
  <c r="C127" i="5" s="1"/>
  <c r="B126" i="5"/>
  <c r="C126" i="5" s="1"/>
  <c r="G40" i="5"/>
  <c r="J69" i="5"/>
  <c r="G70" i="5"/>
  <c r="J7" i="5"/>
  <c r="G104" i="5"/>
  <c r="J103" i="5" s="1"/>
  <c r="B36" i="1"/>
  <c r="C36" i="1" s="1"/>
  <c r="J38" i="5"/>
  <c r="L5" i="4"/>
  <c r="B5" i="4" s="1"/>
  <c r="C5" i="4" s="1"/>
  <c r="L36" i="4"/>
  <c r="B36" i="4" s="1"/>
  <c r="C36" i="4" s="1"/>
  <c r="L101" i="4"/>
  <c r="B101" i="4" s="1"/>
  <c r="C101" i="4" s="1"/>
  <c r="L130" i="4"/>
  <c r="B130" i="4" s="1"/>
  <c r="C130" i="4" s="1"/>
  <c r="G71" i="4"/>
  <c r="J70" i="4"/>
  <c r="J69" i="4"/>
  <c r="B99" i="4"/>
  <c r="C99" i="4" s="1"/>
  <c r="B68" i="4"/>
  <c r="C68" i="4" s="1"/>
  <c r="G38" i="4"/>
  <c r="J37" i="4" s="1"/>
  <c r="B68" i="3"/>
  <c r="C68" i="3" s="1"/>
  <c r="G132" i="4"/>
  <c r="J131" i="4" s="1"/>
  <c r="G7" i="4"/>
  <c r="B3" i="4"/>
  <c r="C3" i="4" s="1"/>
  <c r="B2" i="4"/>
  <c r="C2" i="4" s="1"/>
  <c r="G103" i="4"/>
  <c r="B129" i="3"/>
  <c r="C129" i="3" s="1"/>
  <c r="L6" i="3"/>
  <c r="L98" i="3"/>
  <c r="B98" i="3" s="1"/>
  <c r="C98" i="3" s="1"/>
  <c r="L5" i="3"/>
  <c r="L130" i="3"/>
  <c r="B130" i="3" s="1"/>
  <c r="C130" i="3" s="1"/>
  <c r="G100" i="3"/>
  <c r="J99" i="3"/>
  <c r="G41" i="3"/>
  <c r="G71" i="3"/>
  <c r="J70" i="3"/>
  <c r="J39" i="3"/>
  <c r="G132" i="3"/>
  <c r="J131" i="3" s="1"/>
  <c r="J69" i="3"/>
  <c r="G8" i="3"/>
  <c r="J7" i="3" s="1"/>
  <c r="B38" i="3"/>
  <c r="C38" i="3" s="1"/>
  <c r="B67" i="2"/>
  <c r="C67" i="2" s="1"/>
  <c r="L69" i="2"/>
  <c r="B69" i="2" s="1"/>
  <c r="C69" i="2" s="1"/>
  <c r="L5" i="2"/>
  <c r="B5" i="2" s="1"/>
  <c r="C5" i="2" s="1"/>
  <c r="L129" i="2"/>
  <c r="B129" i="2" s="1"/>
  <c r="C129" i="2" s="1"/>
  <c r="L98" i="2"/>
  <c r="B98" i="2" s="1"/>
  <c r="C98" i="2" s="1"/>
  <c r="B3" i="2"/>
  <c r="C3" i="2" s="1"/>
  <c r="B2" i="2"/>
  <c r="C2" i="2" s="1"/>
  <c r="G100" i="2"/>
  <c r="J99" i="2" s="1"/>
  <c r="B96" i="2"/>
  <c r="C96" i="2" s="1"/>
  <c r="B95" i="2"/>
  <c r="C95" i="2" s="1"/>
  <c r="B35" i="2"/>
  <c r="C35" i="2" s="1"/>
  <c r="B128" i="2"/>
  <c r="C128" i="2" s="1"/>
  <c r="J37" i="2"/>
  <c r="G38" i="2"/>
  <c r="G7" i="2"/>
  <c r="J6" i="2"/>
  <c r="G71" i="2"/>
  <c r="J70" i="2" s="1"/>
  <c r="G131" i="2"/>
  <c r="J130" i="2"/>
  <c r="B127" i="2"/>
  <c r="C127" i="2" s="1"/>
  <c r="B126" i="2"/>
  <c r="C126" i="2" s="1"/>
  <c r="J36" i="2"/>
  <c r="K129" i="1"/>
  <c r="L129" i="1" s="1"/>
  <c r="B129" i="1" s="1"/>
  <c r="C129" i="1" s="1"/>
  <c r="J130" i="1"/>
  <c r="G131" i="1"/>
  <c r="B126" i="1"/>
  <c r="C126" i="1" s="1"/>
  <c r="B127" i="1"/>
  <c r="C127" i="1" s="1"/>
  <c r="G100" i="1"/>
  <c r="J99" i="1"/>
  <c r="J98" i="1"/>
  <c r="G69" i="1"/>
  <c r="J68" i="1"/>
  <c r="J67" i="1"/>
  <c r="B66" i="1"/>
  <c r="C66" i="1" s="1"/>
  <c r="B65" i="1"/>
  <c r="C65" i="1" s="1"/>
  <c r="B64" i="1"/>
  <c r="C64" i="1" s="1"/>
  <c r="K37" i="1"/>
  <c r="L37" i="1" s="1"/>
  <c r="B37" i="1" s="1"/>
  <c r="C37" i="1" s="1"/>
  <c r="G39" i="1"/>
  <c r="J38" i="1" s="1"/>
  <c r="J2" i="1"/>
  <c r="K67" i="1" a="1"/>
  <c r="K98" i="1" a="1"/>
  <c r="K68" i="1" a="1"/>
  <c r="K130" i="1" a="1"/>
  <c r="K38" i="1" a="1"/>
  <c r="K99" i="1" a="1"/>
  <c r="B6" i="1" l="1"/>
  <c r="C6" i="1" s="1"/>
  <c r="B6" i="3"/>
  <c r="C6" i="3" s="1"/>
  <c r="B40" i="15"/>
  <c r="C40" i="15" s="1"/>
  <c r="L99" i="16"/>
  <c r="B99" i="16" s="1"/>
  <c r="C99" i="16" s="1"/>
  <c r="L130" i="16"/>
  <c r="B130" i="16" s="1"/>
  <c r="C130" i="16" s="1"/>
  <c r="L7" i="16"/>
  <c r="B7" i="16" s="1"/>
  <c r="C7" i="16" s="1"/>
  <c r="G39" i="16"/>
  <c r="J38" i="16" s="1"/>
  <c r="G133" i="16"/>
  <c r="J132" i="16"/>
  <c r="J37" i="16"/>
  <c r="G9" i="16"/>
  <c r="J8" i="16"/>
  <c r="J131" i="16"/>
  <c r="B71" i="16"/>
  <c r="C71" i="16" s="1"/>
  <c r="B70" i="16"/>
  <c r="C70" i="16" s="1"/>
  <c r="B98" i="16"/>
  <c r="C98" i="16" s="1"/>
  <c r="B97" i="16"/>
  <c r="C97" i="16" s="1"/>
  <c r="G74" i="16"/>
  <c r="J73" i="16"/>
  <c r="J72" i="16"/>
  <c r="B36" i="16"/>
  <c r="C36" i="16" s="1"/>
  <c r="B129" i="16"/>
  <c r="C129" i="16" s="1"/>
  <c r="G101" i="16"/>
  <c r="J100" i="16"/>
  <c r="B6" i="16"/>
  <c r="C6" i="16" s="1"/>
  <c r="B5" i="16"/>
  <c r="C5" i="16" s="1"/>
  <c r="L7" i="15"/>
  <c r="L132" i="15"/>
  <c r="L102" i="15"/>
  <c r="B102" i="15" s="1"/>
  <c r="C102" i="15" s="1"/>
  <c r="L74" i="15"/>
  <c r="L6" i="15"/>
  <c r="B6" i="15" s="1"/>
  <c r="C6" i="15" s="1"/>
  <c r="L131" i="15"/>
  <c r="G76" i="15"/>
  <c r="J75" i="15"/>
  <c r="B5" i="15"/>
  <c r="C5" i="15" s="1"/>
  <c r="G44" i="15"/>
  <c r="J43" i="15"/>
  <c r="G104" i="15"/>
  <c r="J103" i="15"/>
  <c r="J42" i="15"/>
  <c r="G9" i="15"/>
  <c r="J8" i="15"/>
  <c r="G134" i="15"/>
  <c r="J133" i="15" s="1"/>
  <c r="L37" i="14"/>
  <c r="B37" i="14" s="1"/>
  <c r="C37" i="14" s="1"/>
  <c r="L98" i="14"/>
  <c r="L132" i="14"/>
  <c r="B132" i="14" s="1"/>
  <c r="C132" i="14" s="1"/>
  <c r="L8" i="14"/>
  <c r="B8" i="14" s="1"/>
  <c r="C8" i="14" s="1"/>
  <c r="L67" i="14"/>
  <c r="B67" i="14" s="1"/>
  <c r="C67" i="14" s="1"/>
  <c r="L68" i="14"/>
  <c r="G101" i="14"/>
  <c r="J100" i="14"/>
  <c r="B66" i="14"/>
  <c r="C66" i="14" s="1"/>
  <c r="G70" i="14"/>
  <c r="G10" i="14"/>
  <c r="J9" i="14" s="1"/>
  <c r="G39" i="14"/>
  <c r="J38" i="14"/>
  <c r="G134" i="14"/>
  <c r="J99" i="14"/>
  <c r="L7" i="13"/>
  <c r="B7" i="13" s="1"/>
  <c r="C7" i="13" s="1"/>
  <c r="L40" i="13"/>
  <c r="B40" i="13" s="1"/>
  <c r="C40" i="13" s="1"/>
  <c r="L99" i="13"/>
  <c r="B99" i="13" s="1"/>
  <c r="C99" i="13" s="1"/>
  <c r="B39" i="13"/>
  <c r="C39" i="13" s="1"/>
  <c r="B38" i="13"/>
  <c r="C38" i="13" s="1"/>
  <c r="B130" i="13"/>
  <c r="C130" i="13" s="1"/>
  <c r="G133" i="13"/>
  <c r="J132" i="13"/>
  <c r="G9" i="13"/>
  <c r="J8" i="13" s="1"/>
  <c r="G71" i="13"/>
  <c r="J70" i="13"/>
  <c r="J131" i="13"/>
  <c r="B68" i="13"/>
  <c r="C68" i="13" s="1"/>
  <c r="B67" i="13"/>
  <c r="C67" i="13" s="1"/>
  <c r="G101" i="13"/>
  <c r="J100" i="13"/>
  <c r="J69" i="13"/>
  <c r="G42" i="13"/>
  <c r="J41" i="13"/>
  <c r="B6" i="13"/>
  <c r="C6" i="13" s="1"/>
  <c r="B5" i="13"/>
  <c r="C5" i="13" s="1"/>
  <c r="B98" i="13"/>
  <c r="C98" i="13" s="1"/>
  <c r="L7" i="12"/>
  <c r="B7" i="12" s="1"/>
  <c r="C7" i="12" s="1"/>
  <c r="L67" i="12"/>
  <c r="L68" i="12"/>
  <c r="L101" i="12"/>
  <c r="B101" i="12" s="1"/>
  <c r="C101" i="12" s="1"/>
  <c r="L130" i="12"/>
  <c r="L129" i="12"/>
  <c r="G132" i="12"/>
  <c r="J131" i="12" s="1"/>
  <c r="B100" i="12"/>
  <c r="C100" i="12" s="1"/>
  <c r="B99" i="12"/>
  <c r="C99" i="12" s="1"/>
  <c r="G70" i="12"/>
  <c r="G9" i="12"/>
  <c r="J8" i="12"/>
  <c r="G41" i="12"/>
  <c r="J39" i="12"/>
  <c r="G103" i="12"/>
  <c r="J102" i="12"/>
  <c r="L7" i="11"/>
  <c r="B7" i="11" s="1"/>
  <c r="C7" i="11" s="1"/>
  <c r="L37" i="11"/>
  <c r="B37" i="11" s="1"/>
  <c r="C37" i="11" s="1"/>
  <c r="L69" i="11"/>
  <c r="B69" i="11" s="1"/>
  <c r="C69" i="11" s="1"/>
  <c r="L130" i="11"/>
  <c r="B130" i="11" s="1"/>
  <c r="C130" i="11" s="1"/>
  <c r="L38" i="11"/>
  <c r="G132" i="11"/>
  <c r="B6" i="11"/>
  <c r="C6" i="11" s="1"/>
  <c r="B5" i="11"/>
  <c r="C5" i="11" s="1"/>
  <c r="G40" i="11"/>
  <c r="G103" i="11"/>
  <c r="J102" i="11"/>
  <c r="B36" i="11"/>
  <c r="C36" i="11" s="1"/>
  <c r="B100" i="11"/>
  <c r="C100" i="11" s="1"/>
  <c r="B99" i="11"/>
  <c r="C99" i="11" s="1"/>
  <c r="B68" i="11"/>
  <c r="C68" i="11" s="1"/>
  <c r="G9" i="11"/>
  <c r="J8" i="11"/>
  <c r="J101" i="11"/>
  <c r="G71" i="11"/>
  <c r="J70" i="11"/>
  <c r="L131" i="10"/>
  <c r="B131" i="10" s="1"/>
  <c r="C131" i="10" s="1"/>
  <c r="L8" i="10"/>
  <c r="B8" i="10" s="1"/>
  <c r="C8" i="10" s="1"/>
  <c r="L98" i="10"/>
  <c r="L36" i="10"/>
  <c r="L70" i="10"/>
  <c r="B70" i="10" s="1"/>
  <c r="C70" i="10" s="1"/>
  <c r="L37" i="10"/>
  <c r="G10" i="10"/>
  <c r="J9" i="10" s="1"/>
  <c r="G101" i="10"/>
  <c r="J100" i="10"/>
  <c r="B7" i="10"/>
  <c r="C7" i="10" s="1"/>
  <c r="B6" i="10"/>
  <c r="C6" i="10" s="1"/>
  <c r="J99" i="10"/>
  <c r="G39" i="10"/>
  <c r="J38" i="10" s="1"/>
  <c r="B97" i="10"/>
  <c r="C97" i="10" s="1"/>
  <c r="G133" i="10"/>
  <c r="J132" i="10"/>
  <c r="G72" i="10"/>
  <c r="L102" i="9"/>
  <c r="L130" i="9"/>
  <c r="L129" i="9"/>
  <c r="L101" i="9"/>
  <c r="L68" i="9"/>
  <c r="L39" i="9"/>
  <c r="L67" i="9"/>
  <c r="G104" i="9"/>
  <c r="G70" i="9"/>
  <c r="J69" i="9" s="1"/>
  <c r="G8" i="9"/>
  <c r="G132" i="9"/>
  <c r="J41" i="9"/>
  <c r="G42" i="9"/>
  <c r="J40" i="9"/>
  <c r="J6" i="9"/>
  <c r="L99" i="8"/>
  <c r="B99" i="8" s="1"/>
  <c r="C99" i="8" s="1"/>
  <c r="L67" i="8"/>
  <c r="L68" i="8"/>
  <c r="L6" i="8"/>
  <c r="B6" i="8" s="1"/>
  <c r="C6" i="8" s="1"/>
  <c r="G133" i="8"/>
  <c r="J132" i="8"/>
  <c r="J131" i="8"/>
  <c r="G70" i="8"/>
  <c r="J69" i="8" s="1"/>
  <c r="G39" i="8"/>
  <c r="J38" i="8"/>
  <c r="J37" i="8"/>
  <c r="B130" i="8"/>
  <c r="C130" i="8" s="1"/>
  <c r="B129" i="8"/>
  <c r="C129" i="8" s="1"/>
  <c r="J7" i="8"/>
  <c r="G8" i="8"/>
  <c r="G101" i="8"/>
  <c r="J100" i="8"/>
  <c r="L6" i="7"/>
  <c r="B6" i="7" s="1"/>
  <c r="C6" i="7" s="1"/>
  <c r="L38" i="7"/>
  <c r="L104" i="7"/>
  <c r="L103" i="7"/>
  <c r="L37" i="7"/>
  <c r="L69" i="7"/>
  <c r="B69" i="7" s="1"/>
  <c r="C69" i="7" s="1"/>
  <c r="G106" i="7"/>
  <c r="J105" i="7"/>
  <c r="G133" i="7"/>
  <c r="G8" i="7"/>
  <c r="J7" i="7" s="1"/>
  <c r="G40" i="7"/>
  <c r="G71" i="7"/>
  <c r="J70" i="7"/>
  <c r="B130" i="7"/>
  <c r="C130" i="7" s="1"/>
  <c r="B129" i="7"/>
  <c r="C129" i="7" s="1"/>
  <c r="J131" i="7"/>
  <c r="L99" i="6"/>
  <c r="B99" i="6" s="1"/>
  <c r="C99" i="6" s="1"/>
  <c r="L68" i="6"/>
  <c r="B68" i="6" s="1"/>
  <c r="C68" i="6" s="1"/>
  <c r="L6" i="6"/>
  <c r="B6" i="6" s="1"/>
  <c r="C6" i="6" s="1"/>
  <c r="L129" i="6"/>
  <c r="B129" i="6" s="1"/>
  <c r="C129" i="6" s="1"/>
  <c r="L130" i="6"/>
  <c r="G132" i="6"/>
  <c r="G8" i="6"/>
  <c r="G70" i="6"/>
  <c r="J69" i="6" s="1"/>
  <c r="G101" i="6"/>
  <c r="J100" i="6"/>
  <c r="G39" i="6"/>
  <c r="J38" i="6"/>
  <c r="J37" i="6"/>
  <c r="L103" i="5"/>
  <c r="B103" i="5" s="1"/>
  <c r="C103" i="5" s="1"/>
  <c r="L129" i="5"/>
  <c r="L130" i="5"/>
  <c r="L8" i="5"/>
  <c r="L7" i="5"/>
  <c r="L38" i="5"/>
  <c r="L69" i="5"/>
  <c r="B69" i="5" s="1"/>
  <c r="C69" i="5" s="1"/>
  <c r="G41" i="5"/>
  <c r="J40" i="5"/>
  <c r="G132" i="5"/>
  <c r="G10" i="5"/>
  <c r="B102" i="5"/>
  <c r="C102" i="5" s="1"/>
  <c r="B101" i="5"/>
  <c r="C101" i="5" s="1"/>
  <c r="G71" i="5"/>
  <c r="B68" i="5"/>
  <c r="C68" i="5" s="1"/>
  <c r="B67" i="5"/>
  <c r="C67" i="5" s="1"/>
  <c r="J39" i="5"/>
  <c r="G105" i="5"/>
  <c r="J104" i="5"/>
  <c r="L131" i="4"/>
  <c r="B131" i="4" s="1"/>
  <c r="C131" i="4" s="1"/>
  <c r="L37" i="4"/>
  <c r="B37" i="4" s="1"/>
  <c r="C37" i="4" s="1"/>
  <c r="L70" i="4"/>
  <c r="L69" i="4"/>
  <c r="G8" i="4"/>
  <c r="J7" i="4" s="1"/>
  <c r="G104" i="4"/>
  <c r="J102" i="4"/>
  <c r="J6" i="4"/>
  <c r="G133" i="4"/>
  <c r="J132" i="4"/>
  <c r="B5" i="3"/>
  <c r="C5" i="3" s="1"/>
  <c r="G39" i="4"/>
  <c r="J38" i="4"/>
  <c r="G72" i="4"/>
  <c r="J71" i="4"/>
  <c r="L131" i="3"/>
  <c r="B131" i="3" s="1"/>
  <c r="C131" i="3" s="1"/>
  <c r="L7" i="3"/>
  <c r="B7" i="3" s="1"/>
  <c r="C7" i="3" s="1"/>
  <c r="L70" i="3"/>
  <c r="L39" i="3"/>
  <c r="L99" i="3"/>
  <c r="B99" i="3" s="1"/>
  <c r="C99" i="3" s="1"/>
  <c r="L69" i="3"/>
  <c r="J71" i="3"/>
  <c r="G72" i="3"/>
  <c r="G42" i="3"/>
  <c r="J41" i="3"/>
  <c r="G133" i="3"/>
  <c r="J132" i="3"/>
  <c r="J40" i="3"/>
  <c r="G101" i="3"/>
  <c r="J100" i="3"/>
  <c r="G9" i="3"/>
  <c r="J8" i="3" s="1"/>
  <c r="L99" i="2"/>
  <c r="B99" i="2" s="1"/>
  <c r="C99" i="2" s="1"/>
  <c r="L70" i="2"/>
  <c r="B70" i="2" s="1"/>
  <c r="C70" i="2" s="1"/>
  <c r="L36" i="2"/>
  <c r="L130" i="2"/>
  <c r="B130" i="2" s="1"/>
  <c r="C130" i="2" s="1"/>
  <c r="L6" i="2"/>
  <c r="L37" i="2"/>
  <c r="G72" i="2"/>
  <c r="G132" i="2"/>
  <c r="G8" i="2"/>
  <c r="G101" i="2"/>
  <c r="J100" i="2"/>
  <c r="G39" i="2"/>
  <c r="J38" i="2"/>
  <c r="K130" i="1"/>
  <c r="L130" i="1" s="1"/>
  <c r="B130" i="1" s="1"/>
  <c r="C130" i="1" s="1"/>
  <c r="G132" i="1"/>
  <c r="K98" i="1"/>
  <c r="L98" i="1" s="1"/>
  <c r="K99" i="1"/>
  <c r="L99" i="1" s="1"/>
  <c r="G101" i="1"/>
  <c r="K67" i="1"/>
  <c r="L67" i="1" s="1"/>
  <c r="K68" i="1"/>
  <c r="L68" i="1" s="1"/>
  <c r="G70" i="1"/>
  <c r="K38" i="1"/>
  <c r="L38" i="1" s="1"/>
  <c r="B38" i="1" s="1"/>
  <c r="C38" i="1" s="1"/>
  <c r="G40" i="1"/>
  <c r="J39" i="1"/>
  <c r="L2" i="1"/>
  <c r="K39" i="1" a="1"/>
  <c r="B104" i="7" l="1"/>
  <c r="C104" i="7" s="1"/>
  <c r="L38" i="16"/>
  <c r="L131" i="16"/>
  <c r="B131" i="16" s="1"/>
  <c r="C131" i="16" s="1"/>
  <c r="L8" i="16"/>
  <c r="B8" i="16" s="1"/>
  <c r="C8" i="16" s="1"/>
  <c r="L73" i="16"/>
  <c r="L37" i="16"/>
  <c r="L100" i="16"/>
  <c r="L72" i="16"/>
  <c r="L132" i="16"/>
  <c r="G10" i="16"/>
  <c r="G134" i="16"/>
  <c r="J133" i="16"/>
  <c r="G75" i="16"/>
  <c r="J74" i="16"/>
  <c r="J101" i="16"/>
  <c r="G102" i="16"/>
  <c r="B7" i="15"/>
  <c r="C7" i="15" s="1"/>
  <c r="G40" i="16"/>
  <c r="J39" i="16"/>
  <c r="L133" i="15"/>
  <c r="B133" i="15" s="1"/>
  <c r="C133" i="15" s="1"/>
  <c r="L43" i="15"/>
  <c r="L103" i="15"/>
  <c r="B103" i="15" s="1"/>
  <c r="C103" i="15" s="1"/>
  <c r="L75" i="15"/>
  <c r="B75" i="15" s="1"/>
  <c r="C75" i="15" s="1"/>
  <c r="L8" i="15"/>
  <c r="B8" i="15" s="1"/>
  <c r="C8" i="15" s="1"/>
  <c r="L42" i="15"/>
  <c r="G45" i="15"/>
  <c r="J44" i="15" s="1"/>
  <c r="G77" i="15"/>
  <c r="J76" i="15" s="1"/>
  <c r="G10" i="15"/>
  <c r="J9" i="15" s="1"/>
  <c r="G105" i="15"/>
  <c r="B132" i="15"/>
  <c r="C132" i="15" s="1"/>
  <c r="B131" i="15"/>
  <c r="C131" i="15" s="1"/>
  <c r="G135" i="15"/>
  <c r="J134" i="15"/>
  <c r="B74" i="15"/>
  <c r="C74" i="15" s="1"/>
  <c r="L9" i="14"/>
  <c r="B9" i="14" s="1"/>
  <c r="C9" i="14" s="1"/>
  <c r="L100" i="14"/>
  <c r="L99" i="14"/>
  <c r="B100" i="14" s="1"/>
  <c r="C100" i="14" s="1"/>
  <c r="L38" i="14"/>
  <c r="B38" i="14" s="1"/>
  <c r="C38" i="14" s="1"/>
  <c r="G71" i="14"/>
  <c r="J70" i="14"/>
  <c r="G135" i="14"/>
  <c r="J134" i="14"/>
  <c r="J69" i="14"/>
  <c r="J133" i="14"/>
  <c r="B98" i="14"/>
  <c r="C98" i="14" s="1"/>
  <c r="J10" i="14"/>
  <c r="G11" i="14"/>
  <c r="G102" i="14"/>
  <c r="B68" i="14"/>
  <c r="C68" i="14" s="1"/>
  <c r="J39" i="14"/>
  <c r="G40" i="14"/>
  <c r="L8" i="13"/>
  <c r="B8" i="13" s="1"/>
  <c r="C8" i="13" s="1"/>
  <c r="L132" i="13"/>
  <c r="L41" i="13"/>
  <c r="L69" i="13"/>
  <c r="L70" i="13"/>
  <c r="L100" i="13"/>
  <c r="B100" i="13" s="1"/>
  <c r="C100" i="13" s="1"/>
  <c r="L131" i="13"/>
  <c r="G134" i="13"/>
  <c r="J133" i="13"/>
  <c r="G102" i="13"/>
  <c r="J101" i="13"/>
  <c r="G72" i="13"/>
  <c r="G43" i="13"/>
  <c r="J42" i="13"/>
  <c r="G10" i="13"/>
  <c r="J9" i="13"/>
  <c r="L131" i="12"/>
  <c r="B131" i="12" s="1"/>
  <c r="C131" i="12" s="1"/>
  <c r="L39" i="12"/>
  <c r="L8" i="12"/>
  <c r="B8" i="12" s="1"/>
  <c r="C8" i="12" s="1"/>
  <c r="L102" i="12"/>
  <c r="B102" i="12" s="1"/>
  <c r="C102" i="12" s="1"/>
  <c r="G42" i="12"/>
  <c r="J41" i="12" s="1"/>
  <c r="G104" i="12"/>
  <c r="J103" i="12" s="1"/>
  <c r="G10" i="12"/>
  <c r="J9" i="12" s="1"/>
  <c r="G71" i="12"/>
  <c r="J70" i="12"/>
  <c r="B68" i="12"/>
  <c r="C68" i="12" s="1"/>
  <c r="B67" i="12"/>
  <c r="C67" i="12" s="1"/>
  <c r="J69" i="12"/>
  <c r="G133" i="12"/>
  <c r="J132" i="12"/>
  <c r="B130" i="12"/>
  <c r="C130" i="12" s="1"/>
  <c r="B129" i="12"/>
  <c r="C129" i="12" s="1"/>
  <c r="J40" i="12"/>
  <c r="L102" i="11"/>
  <c r="L70" i="11"/>
  <c r="B70" i="11" s="1"/>
  <c r="C70" i="11" s="1"/>
  <c r="L8" i="11"/>
  <c r="B8" i="11" s="1"/>
  <c r="C8" i="11" s="1"/>
  <c r="L101" i="11"/>
  <c r="G104" i="11"/>
  <c r="G72" i="11"/>
  <c r="G133" i="11"/>
  <c r="J132" i="11"/>
  <c r="G41" i="11"/>
  <c r="J40" i="11"/>
  <c r="J131" i="11"/>
  <c r="G10" i="11"/>
  <c r="B38" i="11"/>
  <c r="C38" i="11" s="1"/>
  <c r="J39" i="11"/>
  <c r="L9" i="10"/>
  <c r="B9" i="10" s="1"/>
  <c r="C9" i="10" s="1"/>
  <c r="L38" i="10"/>
  <c r="B38" i="10" s="1"/>
  <c r="C38" i="10" s="1"/>
  <c r="L100" i="10"/>
  <c r="L132" i="10"/>
  <c r="B132" i="10" s="1"/>
  <c r="C132" i="10" s="1"/>
  <c r="L99" i="10"/>
  <c r="G40" i="10"/>
  <c r="J39" i="10"/>
  <c r="G73" i="10"/>
  <c r="J72" i="10" s="1"/>
  <c r="B37" i="10"/>
  <c r="C37" i="10" s="1"/>
  <c r="B36" i="10"/>
  <c r="C36" i="10" s="1"/>
  <c r="G102" i="10"/>
  <c r="J101" i="10"/>
  <c r="J71" i="10"/>
  <c r="J133" i="10"/>
  <c r="G134" i="10"/>
  <c r="G11" i="10"/>
  <c r="J10" i="10"/>
  <c r="B98" i="10"/>
  <c r="C98" i="10" s="1"/>
  <c r="L69" i="9"/>
  <c r="B69" i="9" s="1"/>
  <c r="C69" i="9" s="1"/>
  <c r="L40" i="9"/>
  <c r="B40" i="9" s="1"/>
  <c r="C40" i="9" s="1"/>
  <c r="L41" i="9"/>
  <c r="L6" i="9"/>
  <c r="G105" i="9"/>
  <c r="J104" i="9" s="1"/>
  <c r="G133" i="9"/>
  <c r="J132" i="9"/>
  <c r="G9" i="9"/>
  <c r="J8" i="9"/>
  <c r="J7" i="9"/>
  <c r="B39" i="9"/>
  <c r="C39" i="9" s="1"/>
  <c r="J131" i="9"/>
  <c r="G71" i="9"/>
  <c r="J70" i="9"/>
  <c r="B102" i="9"/>
  <c r="C102" i="9" s="1"/>
  <c r="B101" i="9"/>
  <c r="C101" i="9" s="1"/>
  <c r="B130" i="9"/>
  <c r="C130" i="9" s="1"/>
  <c r="B129" i="9"/>
  <c r="C129" i="9" s="1"/>
  <c r="J103" i="9"/>
  <c r="B68" i="9"/>
  <c r="C68" i="9" s="1"/>
  <c r="B67" i="9"/>
  <c r="C67" i="9" s="1"/>
  <c r="G43" i="9"/>
  <c r="L69" i="8"/>
  <c r="B69" i="8" s="1"/>
  <c r="C69" i="8" s="1"/>
  <c r="L38" i="8"/>
  <c r="L131" i="8"/>
  <c r="L100" i="8"/>
  <c r="B100" i="8" s="1"/>
  <c r="C100" i="8" s="1"/>
  <c r="L7" i="8"/>
  <c r="B7" i="8" s="1"/>
  <c r="C7" i="8" s="1"/>
  <c r="L37" i="8"/>
  <c r="L132" i="8"/>
  <c r="G40" i="8"/>
  <c r="G134" i="8"/>
  <c r="G102" i="8"/>
  <c r="B103" i="7"/>
  <c r="C103" i="7" s="1"/>
  <c r="B68" i="8"/>
  <c r="C68" i="8" s="1"/>
  <c r="B67" i="8"/>
  <c r="C67" i="8" s="1"/>
  <c r="G71" i="8"/>
  <c r="J70" i="8"/>
  <c r="G9" i="8"/>
  <c r="J8" i="8"/>
  <c r="L7" i="7"/>
  <c r="B7" i="7" s="1"/>
  <c r="C7" i="7" s="1"/>
  <c r="L105" i="7"/>
  <c r="B105" i="7" s="1"/>
  <c r="C105" i="7" s="1"/>
  <c r="L70" i="7"/>
  <c r="B70" i="7" s="1"/>
  <c r="C70" i="7" s="1"/>
  <c r="L131" i="7"/>
  <c r="G41" i="7"/>
  <c r="J40" i="7"/>
  <c r="G107" i="7"/>
  <c r="B38" i="7"/>
  <c r="C38" i="7" s="1"/>
  <c r="B37" i="7"/>
  <c r="C37" i="7" s="1"/>
  <c r="G72" i="7"/>
  <c r="J39" i="7"/>
  <c r="G9" i="7"/>
  <c r="J8" i="7"/>
  <c r="G134" i="7"/>
  <c r="J133" i="7" s="1"/>
  <c r="J132" i="7"/>
  <c r="B130" i="6"/>
  <c r="C130" i="6" s="1"/>
  <c r="L69" i="6"/>
  <c r="B69" i="6" s="1"/>
  <c r="C69" i="6" s="1"/>
  <c r="L100" i="6"/>
  <c r="B100" i="6" s="1"/>
  <c r="C100" i="6" s="1"/>
  <c r="L37" i="6"/>
  <c r="L38" i="6"/>
  <c r="G71" i="6"/>
  <c r="J70" i="6"/>
  <c r="J101" i="6"/>
  <c r="G102" i="6"/>
  <c r="G133" i="6"/>
  <c r="J132" i="6"/>
  <c r="G9" i="6"/>
  <c r="J8" i="6"/>
  <c r="J7" i="6"/>
  <c r="J131" i="6"/>
  <c r="J39" i="6"/>
  <c r="G40" i="6"/>
  <c r="L39" i="5"/>
  <c r="B39" i="5" s="1"/>
  <c r="C39" i="5" s="1"/>
  <c r="L40" i="5"/>
  <c r="L104" i="5"/>
  <c r="B104" i="5" s="1"/>
  <c r="C104" i="5" s="1"/>
  <c r="G72" i="5"/>
  <c r="J71" i="5" s="1"/>
  <c r="G11" i="5"/>
  <c r="J9" i="5"/>
  <c r="G133" i="5"/>
  <c r="J132" i="5"/>
  <c r="B38" i="5"/>
  <c r="C38" i="5" s="1"/>
  <c r="B8" i="5"/>
  <c r="C8" i="5" s="1"/>
  <c r="B7" i="5"/>
  <c r="C7" i="5" s="1"/>
  <c r="B130" i="5"/>
  <c r="C130" i="5" s="1"/>
  <c r="B129" i="5"/>
  <c r="C129" i="5" s="1"/>
  <c r="J131" i="5"/>
  <c r="G42" i="5"/>
  <c r="G106" i="5"/>
  <c r="J105" i="5"/>
  <c r="J70" i="5"/>
  <c r="L7" i="4"/>
  <c r="L132" i="4"/>
  <c r="B132" i="4" s="1"/>
  <c r="C132" i="4" s="1"/>
  <c r="L6" i="4"/>
  <c r="L71" i="4"/>
  <c r="L102" i="4"/>
  <c r="L38" i="4"/>
  <c r="B38" i="4" s="1"/>
  <c r="C38" i="4" s="1"/>
  <c r="G105" i="4"/>
  <c r="J104" i="4"/>
  <c r="G9" i="4"/>
  <c r="J8" i="4"/>
  <c r="B70" i="4"/>
  <c r="C70" i="4" s="1"/>
  <c r="B69" i="4"/>
  <c r="C69" i="4" s="1"/>
  <c r="G134" i="4"/>
  <c r="J133" i="4"/>
  <c r="J103" i="4"/>
  <c r="J72" i="4"/>
  <c r="G73" i="4"/>
  <c r="J39" i="4"/>
  <c r="G40" i="4"/>
  <c r="L8" i="3"/>
  <c r="B8" i="3" s="1"/>
  <c r="C8" i="3" s="1"/>
  <c r="L100" i="3"/>
  <c r="B100" i="3" s="1"/>
  <c r="C100" i="3" s="1"/>
  <c r="L40" i="3"/>
  <c r="L41" i="3"/>
  <c r="L132" i="3"/>
  <c r="B132" i="3" s="1"/>
  <c r="C132" i="3" s="1"/>
  <c r="L71" i="3"/>
  <c r="B71" i="3" s="1"/>
  <c r="C71" i="3" s="1"/>
  <c r="G134" i="3"/>
  <c r="G43" i="3"/>
  <c r="G73" i="3"/>
  <c r="J72" i="3" s="1"/>
  <c r="B70" i="3"/>
  <c r="C70" i="3" s="1"/>
  <c r="B69" i="3"/>
  <c r="C69" i="3" s="1"/>
  <c r="J101" i="3"/>
  <c r="G102" i="3"/>
  <c r="B39" i="3"/>
  <c r="C39" i="3" s="1"/>
  <c r="J9" i="3"/>
  <c r="G10" i="3"/>
  <c r="L38" i="2"/>
  <c r="B38" i="2" s="1"/>
  <c r="C38" i="2" s="1"/>
  <c r="L100" i="2"/>
  <c r="B100" i="2" s="1"/>
  <c r="C100" i="2" s="1"/>
  <c r="G133" i="2"/>
  <c r="J132" i="2"/>
  <c r="J131" i="2"/>
  <c r="J101" i="2"/>
  <c r="G102" i="2"/>
  <c r="G9" i="2"/>
  <c r="J8" i="2"/>
  <c r="G73" i="2"/>
  <c r="J72" i="2" s="1"/>
  <c r="J7" i="2"/>
  <c r="J71" i="2"/>
  <c r="B6" i="2"/>
  <c r="C6" i="2" s="1"/>
  <c r="B37" i="2"/>
  <c r="C37" i="2" s="1"/>
  <c r="B36" i="2"/>
  <c r="C36" i="2" s="1"/>
  <c r="G40" i="2"/>
  <c r="G133" i="1"/>
  <c r="J131" i="1"/>
  <c r="G102" i="1"/>
  <c r="J101" i="1"/>
  <c r="J100" i="1"/>
  <c r="B99" i="1"/>
  <c r="C99" i="1" s="1"/>
  <c r="B98" i="1"/>
  <c r="C98" i="1" s="1"/>
  <c r="G71" i="1"/>
  <c r="J70" i="1"/>
  <c r="J69" i="1"/>
  <c r="B68" i="1"/>
  <c r="C68" i="1" s="1"/>
  <c r="B67" i="1"/>
  <c r="C67" i="1" s="1"/>
  <c r="K39" i="1"/>
  <c r="L39" i="1" s="1"/>
  <c r="B39" i="1" s="1"/>
  <c r="C39" i="1" s="1"/>
  <c r="G41" i="1"/>
  <c r="B2" i="1"/>
  <c r="C2" i="1" s="1"/>
  <c r="B3" i="1"/>
  <c r="C3" i="1" s="1"/>
  <c r="K101" i="1" a="1"/>
  <c r="K100" i="1" a="1"/>
  <c r="K70" i="1" a="1"/>
  <c r="K69" i="1" a="1"/>
  <c r="K131" i="1" a="1"/>
  <c r="L133" i="16" l="1"/>
  <c r="B133" i="16" s="1"/>
  <c r="C133" i="16" s="1"/>
  <c r="L101" i="16"/>
  <c r="B101" i="16" s="1"/>
  <c r="C101" i="16" s="1"/>
  <c r="L74" i="16"/>
  <c r="B74" i="16" s="1"/>
  <c r="C74" i="16" s="1"/>
  <c r="L39" i="16"/>
  <c r="B39" i="16" s="1"/>
  <c r="C39" i="16" s="1"/>
  <c r="G11" i="16"/>
  <c r="G135" i="16"/>
  <c r="J134" i="16" s="1"/>
  <c r="B38" i="16"/>
  <c r="C38" i="16" s="1"/>
  <c r="B37" i="16"/>
  <c r="C37" i="16" s="1"/>
  <c r="J9" i="16"/>
  <c r="B73" i="16"/>
  <c r="C73" i="16" s="1"/>
  <c r="B72" i="16"/>
  <c r="C72" i="16" s="1"/>
  <c r="B132" i="16"/>
  <c r="C132" i="16" s="1"/>
  <c r="G76" i="16"/>
  <c r="J75" i="16"/>
  <c r="B100" i="16"/>
  <c r="C100" i="16" s="1"/>
  <c r="G41" i="16"/>
  <c r="G103" i="16"/>
  <c r="J102" i="16"/>
  <c r="L9" i="15"/>
  <c r="B9" i="15" s="1"/>
  <c r="C9" i="15" s="1"/>
  <c r="L76" i="15"/>
  <c r="B76" i="15" s="1"/>
  <c r="C76" i="15" s="1"/>
  <c r="L44" i="15"/>
  <c r="B44" i="15" s="1"/>
  <c r="C44" i="15" s="1"/>
  <c r="L134" i="15"/>
  <c r="B134" i="15" s="1"/>
  <c r="C134" i="15" s="1"/>
  <c r="G136" i="15"/>
  <c r="J135" i="15"/>
  <c r="B99" i="14"/>
  <c r="C99" i="14" s="1"/>
  <c r="G106" i="15"/>
  <c r="J105" i="15"/>
  <c r="G11" i="15"/>
  <c r="G78" i="15"/>
  <c r="J77" i="15"/>
  <c r="G46" i="15"/>
  <c r="J45" i="15"/>
  <c r="B43" i="15"/>
  <c r="C43" i="15" s="1"/>
  <c r="B42" i="15"/>
  <c r="C42" i="15" s="1"/>
  <c r="B100" i="10"/>
  <c r="C100" i="10" s="1"/>
  <c r="J104" i="15"/>
  <c r="L69" i="14"/>
  <c r="L134" i="14"/>
  <c r="L70" i="14"/>
  <c r="L133" i="14"/>
  <c r="L10" i="14"/>
  <c r="B10" i="14" s="1"/>
  <c r="C10" i="14" s="1"/>
  <c r="L39" i="14"/>
  <c r="B39" i="14" s="1"/>
  <c r="C39" i="14" s="1"/>
  <c r="G41" i="14"/>
  <c r="G72" i="14"/>
  <c r="G103" i="14"/>
  <c r="J102" i="14"/>
  <c r="J101" i="14"/>
  <c r="G136" i="14"/>
  <c r="G12" i="14"/>
  <c r="J11" i="14"/>
  <c r="L42" i="13"/>
  <c r="B42" i="13" s="1"/>
  <c r="C42" i="13" s="1"/>
  <c r="L101" i="13"/>
  <c r="B101" i="13" s="1"/>
  <c r="C101" i="13" s="1"/>
  <c r="L9" i="13"/>
  <c r="B9" i="13" s="1"/>
  <c r="C9" i="13" s="1"/>
  <c r="L133" i="13"/>
  <c r="B133" i="13" s="1"/>
  <c r="C133" i="13" s="1"/>
  <c r="G73" i="13"/>
  <c r="J72" i="13"/>
  <c r="G103" i="13"/>
  <c r="J102" i="13" s="1"/>
  <c r="J71" i="13"/>
  <c r="G135" i="13"/>
  <c r="B132" i="13"/>
  <c r="C132" i="13" s="1"/>
  <c r="B131" i="13"/>
  <c r="C131" i="13" s="1"/>
  <c r="B70" i="13"/>
  <c r="C70" i="13" s="1"/>
  <c r="B69" i="13"/>
  <c r="C69" i="13" s="1"/>
  <c r="G11" i="13"/>
  <c r="J10" i="13"/>
  <c r="G44" i="13"/>
  <c r="J43" i="13"/>
  <c r="B41" i="13"/>
  <c r="C41" i="13" s="1"/>
  <c r="L103" i="12"/>
  <c r="B103" i="12" s="1"/>
  <c r="C103" i="12" s="1"/>
  <c r="L9" i="12"/>
  <c r="B9" i="12" s="1"/>
  <c r="C9" i="12" s="1"/>
  <c r="L41" i="12"/>
  <c r="L132" i="12"/>
  <c r="B132" i="12" s="1"/>
  <c r="C132" i="12" s="1"/>
  <c r="L40" i="12"/>
  <c r="B41" i="12" s="1"/>
  <c r="C41" i="12" s="1"/>
  <c r="L69" i="12"/>
  <c r="L70" i="12"/>
  <c r="G72" i="12"/>
  <c r="J71" i="12" s="1"/>
  <c r="G134" i="12"/>
  <c r="G105" i="12"/>
  <c r="J104" i="12"/>
  <c r="G43" i="12"/>
  <c r="B39" i="12"/>
  <c r="C39" i="12" s="1"/>
  <c r="G11" i="12"/>
  <c r="J10" i="12"/>
  <c r="L131" i="11"/>
  <c r="L40" i="11"/>
  <c r="L132" i="11"/>
  <c r="L39" i="11"/>
  <c r="G73" i="11"/>
  <c r="J72" i="11"/>
  <c r="B102" i="11"/>
  <c r="C102" i="11" s="1"/>
  <c r="B101" i="11"/>
  <c r="C101" i="11" s="1"/>
  <c r="G11" i="11"/>
  <c r="J10" i="11"/>
  <c r="G42" i="11"/>
  <c r="G105" i="11"/>
  <c r="J104" i="11"/>
  <c r="J133" i="11"/>
  <c r="G134" i="11"/>
  <c r="J103" i="11"/>
  <c r="J9" i="11"/>
  <c r="J71" i="11"/>
  <c r="L72" i="10"/>
  <c r="L133" i="10"/>
  <c r="B133" i="10" s="1"/>
  <c r="C133" i="10" s="1"/>
  <c r="L101" i="10"/>
  <c r="B101" i="10" s="1"/>
  <c r="C101" i="10" s="1"/>
  <c r="L10" i="10"/>
  <c r="B10" i="10" s="1"/>
  <c r="C10" i="10" s="1"/>
  <c r="L71" i="10"/>
  <c r="L39" i="10"/>
  <c r="B39" i="10" s="1"/>
  <c r="C39" i="10" s="1"/>
  <c r="G41" i="10"/>
  <c r="J40" i="10"/>
  <c r="G12" i="10"/>
  <c r="J11" i="10"/>
  <c r="G74" i="10"/>
  <c r="J73" i="10"/>
  <c r="B99" i="10"/>
  <c r="C99" i="10" s="1"/>
  <c r="J102" i="10"/>
  <c r="G103" i="10"/>
  <c r="G135" i="10"/>
  <c r="J134" i="10" s="1"/>
  <c r="L104" i="9"/>
  <c r="L70" i="9"/>
  <c r="B70" i="9" s="1"/>
  <c r="C70" i="9" s="1"/>
  <c r="L8" i="9"/>
  <c r="L103" i="9"/>
  <c r="L131" i="9"/>
  <c r="L7" i="9"/>
  <c r="L132" i="9"/>
  <c r="B6" i="9"/>
  <c r="C6" i="9" s="1"/>
  <c r="G44" i="9"/>
  <c r="J43" i="9"/>
  <c r="G10" i="9"/>
  <c r="J9" i="9" s="1"/>
  <c r="G106" i="9"/>
  <c r="J105" i="9"/>
  <c r="B41" i="9"/>
  <c r="C41" i="9" s="1"/>
  <c r="G72" i="9"/>
  <c r="J71" i="9" s="1"/>
  <c r="J42" i="9"/>
  <c r="G134" i="9"/>
  <c r="L8" i="8"/>
  <c r="B8" i="8" s="1"/>
  <c r="C8" i="8" s="1"/>
  <c r="L70" i="8"/>
  <c r="B70" i="8" s="1"/>
  <c r="C70" i="8" s="1"/>
  <c r="G135" i="8"/>
  <c r="J134" i="8"/>
  <c r="G41" i="8"/>
  <c r="J40" i="8"/>
  <c r="B38" i="8"/>
  <c r="C38" i="8" s="1"/>
  <c r="B37" i="8"/>
  <c r="C37" i="8" s="1"/>
  <c r="G103" i="8"/>
  <c r="J102" i="8"/>
  <c r="J101" i="8"/>
  <c r="J133" i="8"/>
  <c r="J39" i="8"/>
  <c r="G10" i="8"/>
  <c r="J9" i="8" s="1"/>
  <c r="B132" i="8"/>
  <c r="C132" i="8" s="1"/>
  <c r="B131" i="8"/>
  <c r="C131" i="8" s="1"/>
  <c r="G72" i="8"/>
  <c r="J71" i="8" s="1"/>
  <c r="L133" i="7"/>
  <c r="L39" i="7"/>
  <c r="L40" i="7"/>
  <c r="L8" i="7"/>
  <c r="B8" i="7" s="1"/>
  <c r="C8" i="7" s="1"/>
  <c r="L132" i="7"/>
  <c r="G108" i="7"/>
  <c r="J107" i="7"/>
  <c r="G73" i="7"/>
  <c r="G42" i="7"/>
  <c r="J41" i="7"/>
  <c r="B131" i="7"/>
  <c r="C131" i="7" s="1"/>
  <c r="J71" i="7"/>
  <c r="J106" i="7"/>
  <c r="G135" i="7"/>
  <c r="J134" i="7"/>
  <c r="G10" i="7"/>
  <c r="L132" i="6"/>
  <c r="L101" i="6"/>
  <c r="B101" i="6" s="1"/>
  <c r="C101" i="6" s="1"/>
  <c r="L70" i="6"/>
  <c r="B70" i="6" s="1"/>
  <c r="C70" i="6" s="1"/>
  <c r="L7" i="6"/>
  <c r="L39" i="6"/>
  <c r="B39" i="6" s="1"/>
  <c r="C39" i="6" s="1"/>
  <c r="L8" i="6"/>
  <c r="L131" i="6"/>
  <c r="G72" i="6"/>
  <c r="J71" i="6" s="1"/>
  <c r="G103" i="6"/>
  <c r="J102" i="6"/>
  <c r="G41" i="6"/>
  <c r="J40" i="6"/>
  <c r="B38" i="6"/>
  <c r="C38" i="6" s="1"/>
  <c r="B37" i="6"/>
  <c r="C37" i="6" s="1"/>
  <c r="G10" i="6"/>
  <c r="G134" i="6"/>
  <c r="L71" i="5"/>
  <c r="L132" i="5"/>
  <c r="L9" i="5"/>
  <c r="L131" i="5"/>
  <c r="L70" i="5"/>
  <c r="L105" i="5"/>
  <c r="G134" i="5"/>
  <c r="G12" i="5"/>
  <c r="J11" i="5"/>
  <c r="J10" i="5"/>
  <c r="G43" i="5"/>
  <c r="J42" i="5"/>
  <c r="J41" i="5"/>
  <c r="J106" i="5"/>
  <c r="G107" i="5"/>
  <c r="G73" i="5"/>
  <c r="J72" i="5"/>
  <c r="B40" i="5"/>
  <c r="C40" i="5" s="1"/>
  <c r="L103" i="4"/>
  <c r="B103" i="4" s="1"/>
  <c r="C103" i="4" s="1"/>
  <c r="L72" i="4"/>
  <c r="B72" i="4" s="1"/>
  <c r="C72" i="4" s="1"/>
  <c r="L8" i="4"/>
  <c r="B8" i="4" s="1"/>
  <c r="C8" i="4" s="1"/>
  <c r="L39" i="4"/>
  <c r="B39" i="4" s="1"/>
  <c r="C39" i="4" s="1"/>
  <c r="L133" i="4"/>
  <c r="L104" i="4"/>
  <c r="J134" i="4"/>
  <c r="G135" i="4"/>
  <c r="G106" i="4"/>
  <c r="J105" i="4"/>
  <c r="B7" i="4"/>
  <c r="C7" i="4" s="1"/>
  <c r="B6" i="4"/>
  <c r="C6" i="4" s="1"/>
  <c r="G10" i="4"/>
  <c r="J9" i="4"/>
  <c r="J40" i="4"/>
  <c r="G41" i="4"/>
  <c r="B71" i="4"/>
  <c r="C71" i="4" s="1"/>
  <c r="B102" i="4"/>
  <c r="C102" i="4" s="1"/>
  <c r="G74" i="4"/>
  <c r="J73" i="4"/>
  <c r="L72" i="3"/>
  <c r="B72" i="3" s="1"/>
  <c r="C72" i="3" s="1"/>
  <c r="L101" i="3"/>
  <c r="B101" i="3" s="1"/>
  <c r="C101" i="3" s="1"/>
  <c r="L9" i="3"/>
  <c r="B9" i="3" s="1"/>
  <c r="C9" i="3" s="1"/>
  <c r="B41" i="3"/>
  <c r="C41" i="3" s="1"/>
  <c r="G74" i="3"/>
  <c r="J73" i="3"/>
  <c r="G44" i="3"/>
  <c r="J42" i="3"/>
  <c r="G135" i="3"/>
  <c r="J134" i="3"/>
  <c r="J133" i="3"/>
  <c r="G11" i="3"/>
  <c r="J10" i="3"/>
  <c r="B40" i="3"/>
  <c r="C40" i="3" s="1"/>
  <c r="G103" i="3"/>
  <c r="J102" i="3"/>
  <c r="L72" i="2"/>
  <c r="L71" i="2"/>
  <c r="L8" i="2"/>
  <c r="L101" i="2"/>
  <c r="B101" i="2" s="1"/>
  <c r="C101" i="2" s="1"/>
  <c r="L7" i="2"/>
  <c r="L132" i="2"/>
  <c r="L131" i="2"/>
  <c r="G103" i="2"/>
  <c r="J102" i="2"/>
  <c r="G41" i="2"/>
  <c r="J40" i="2"/>
  <c r="J39" i="2"/>
  <c r="G74" i="2"/>
  <c r="J73" i="2"/>
  <c r="J9" i="2"/>
  <c r="G10" i="2"/>
  <c r="G134" i="2"/>
  <c r="K131" i="1"/>
  <c r="L131" i="1" s="1"/>
  <c r="G134" i="1"/>
  <c r="J133" i="1"/>
  <c r="J132" i="1"/>
  <c r="K100" i="1"/>
  <c r="L100" i="1" s="1"/>
  <c r="K101" i="1"/>
  <c r="L101" i="1" s="1"/>
  <c r="G103" i="1"/>
  <c r="K69" i="1"/>
  <c r="L69" i="1" s="1"/>
  <c r="K70" i="1"/>
  <c r="L70" i="1" s="1"/>
  <c r="G72" i="1"/>
  <c r="G42" i="1"/>
  <c r="J41" i="1"/>
  <c r="J40" i="1"/>
  <c r="G8" i="1"/>
  <c r="K132" i="1" a="1"/>
  <c r="K133" i="1" a="1"/>
  <c r="K41" i="1" a="1"/>
  <c r="K40" i="1" a="1"/>
  <c r="L134" i="16" l="1"/>
  <c r="B134" i="16" s="1"/>
  <c r="C134" i="16" s="1"/>
  <c r="L75" i="16"/>
  <c r="B75" i="16" s="1"/>
  <c r="C75" i="16" s="1"/>
  <c r="L9" i="16"/>
  <c r="L102" i="16"/>
  <c r="G12" i="16"/>
  <c r="J11" i="16"/>
  <c r="G104" i="16"/>
  <c r="J103" i="16"/>
  <c r="G42" i="16"/>
  <c r="G77" i="16"/>
  <c r="J76" i="16" s="1"/>
  <c r="G136" i="16"/>
  <c r="J135" i="16"/>
  <c r="J40" i="16"/>
  <c r="J10" i="16"/>
  <c r="L105" i="15"/>
  <c r="L77" i="15"/>
  <c r="B77" i="15" s="1"/>
  <c r="C77" i="15" s="1"/>
  <c r="L135" i="15"/>
  <c r="B135" i="15" s="1"/>
  <c r="C135" i="15" s="1"/>
  <c r="L45" i="15"/>
  <c r="B45" i="15" s="1"/>
  <c r="C45" i="15" s="1"/>
  <c r="L104" i="15"/>
  <c r="G79" i="15"/>
  <c r="G12" i="15"/>
  <c r="J11" i="15"/>
  <c r="G137" i="15"/>
  <c r="J136" i="15" s="1"/>
  <c r="J10" i="15"/>
  <c r="J106" i="15"/>
  <c r="G107" i="15"/>
  <c r="G47" i="15"/>
  <c r="L101" i="14"/>
  <c r="L11" i="14"/>
  <c r="B11" i="14" s="1"/>
  <c r="C11" i="14" s="1"/>
  <c r="L102" i="14"/>
  <c r="G42" i="14"/>
  <c r="B134" i="14"/>
  <c r="C134" i="14" s="1"/>
  <c r="B133" i="14"/>
  <c r="C133" i="14" s="1"/>
  <c r="G104" i="14"/>
  <c r="J103" i="14" s="1"/>
  <c r="G73" i="14"/>
  <c r="J72" i="14"/>
  <c r="J40" i="14"/>
  <c r="G13" i="14"/>
  <c r="J12" i="14"/>
  <c r="J136" i="14"/>
  <c r="G137" i="14"/>
  <c r="J71" i="14"/>
  <c r="J135" i="14"/>
  <c r="B70" i="14"/>
  <c r="C70" i="14" s="1"/>
  <c r="B69" i="14"/>
  <c r="C69" i="14" s="1"/>
  <c r="L102" i="13"/>
  <c r="B102" i="13" s="1"/>
  <c r="C102" i="13" s="1"/>
  <c r="L10" i="13"/>
  <c r="B10" i="13" s="1"/>
  <c r="C10" i="13" s="1"/>
  <c r="L71" i="13"/>
  <c r="L43" i="13"/>
  <c r="B43" i="13" s="1"/>
  <c r="C43" i="13" s="1"/>
  <c r="L72" i="13"/>
  <c r="G136" i="13"/>
  <c r="J135" i="13"/>
  <c r="G45" i="13"/>
  <c r="J44" i="13" s="1"/>
  <c r="B8" i="9"/>
  <c r="C8" i="9" s="1"/>
  <c r="G12" i="13"/>
  <c r="J11" i="13"/>
  <c r="J134" i="13"/>
  <c r="J103" i="13"/>
  <c r="G104" i="13"/>
  <c r="G74" i="13"/>
  <c r="J73" i="13"/>
  <c r="L71" i="12"/>
  <c r="B71" i="12" s="1"/>
  <c r="C71" i="12" s="1"/>
  <c r="L104" i="12"/>
  <c r="B104" i="12" s="1"/>
  <c r="C104" i="12" s="1"/>
  <c r="L10" i="12"/>
  <c r="B10" i="12" s="1"/>
  <c r="C10" i="12" s="1"/>
  <c r="G44" i="12"/>
  <c r="J43" i="12"/>
  <c r="G106" i="12"/>
  <c r="J105" i="12"/>
  <c r="G135" i="12"/>
  <c r="J134" i="12"/>
  <c r="J133" i="12"/>
  <c r="B70" i="12"/>
  <c r="C70" i="12" s="1"/>
  <c r="B69" i="12"/>
  <c r="C69" i="12" s="1"/>
  <c r="G73" i="12"/>
  <c r="B40" i="12"/>
  <c r="C40" i="12" s="1"/>
  <c r="G12" i="12"/>
  <c r="J11" i="12"/>
  <c r="J42" i="12"/>
  <c r="L10" i="11"/>
  <c r="L72" i="11"/>
  <c r="L9" i="11"/>
  <c r="L133" i="11"/>
  <c r="B133" i="11" s="1"/>
  <c r="C133" i="11" s="1"/>
  <c r="L104" i="11"/>
  <c r="L103" i="11"/>
  <c r="L71" i="11"/>
  <c r="B40" i="11"/>
  <c r="C40" i="11" s="1"/>
  <c r="B39" i="11"/>
  <c r="C39" i="11" s="1"/>
  <c r="G106" i="11"/>
  <c r="J105" i="11" s="1"/>
  <c r="G43" i="11"/>
  <c r="J42" i="11"/>
  <c r="G74" i="11"/>
  <c r="J73" i="11"/>
  <c r="J41" i="11"/>
  <c r="G12" i="11"/>
  <c r="J11" i="11"/>
  <c r="B133" i="7"/>
  <c r="C133" i="7" s="1"/>
  <c r="B7" i="9"/>
  <c r="C7" i="9" s="1"/>
  <c r="G135" i="11"/>
  <c r="J134" i="11"/>
  <c r="B132" i="11"/>
  <c r="C132" i="11" s="1"/>
  <c r="B131" i="11"/>
  <c r="C131" i="11" s="1"/>
  <c r="L134" i="10"/>
  <c r="B134" i="10" s="1"/>
  <c r="C134" i="10" s="1"/>
  <c r="L11" i="10"/>
  <c r="B11" i="10" s="1"/>
  <c r="C11" i="10" s="1"/>
  <c r="L73" i="10"/>
  <c r="B73" i="10" s="1"/>
  <c r="C73" i="10" s="1"/>
  <c r="L40" i="10"/>
  <c r="L102" i="10"/>
  <c r="B102" i="10" s="1"/>
  <c r="C102" i="10" s="1"/>
  <c r="G75" i="10"/>
  <c r="J74" i="10"/>
  <c r="B72" i="10"/>
  <c r="C72" i="10" s="1"/>
  <c r="B71" i="10"/>
  <c r="C71" i="10" s="1"/>
  <c r="G136" i="10"/>
  <c r="J135" i="10"/>
  <c r="G13" i="10"/>
  <c r="J12" i="10"/>
  <c r="J41" i="10"/>
  <c r="G42" i="10"/>
  <c r="G104" i="10"/>
  <c r="J103" i="10" s="1"/>
  <c r="L71" i="9"/>
  <c r="B71" i="9" s="1"/>
  <c r="C71" i="9" s="1"/>
  <c r="L9" i="9"/>
  <c r="B9" i="9" s="1"/>
  <c r="C9" i="9" s="1"/>
  <c r="L105" i="9"/>
  <c r="B105" i="9" s="1"/>
  <c r="C105" i="9" s="1"/>
  <c r="L43" i="9"/>
  <c r="L42" i="9"/>
  <c r="G45" i="9"/>
  <c r="J44" i="9" s="1"/>
  <c r="B104" i="9"/>
  <c r="C104" i="9" s="1"/>
  <c r="B103" i="9"/>
  <c r="C103" i="9" s="1"/>
  <c r="G107" i="9"/>
  <c r="G135" i="9"/>
  <c r="J134" i="9"/>
  <c r="J133" i="9"/>
  <c r="G11" i="9"/>
  <c r="B132" i="9"/>
  <c r="C132" i="9" s="1"/>
  <c r="B131" i="9"/>
  <c r="C131" i="9" s="1"/>
  <c r="G73" i="9"/>
  <c r="J72" i="9"/>
  <c r="L9" i="8"/>
  <c r="B9" i="8" s="1"/>
  <c r="C9" i="8" s="1"/>
  <c r="L71" i="8"/>
  <c r="B71" i="8" s="1"/>
  <c r="C71" i="8" s="1"/>
  <c r="L101" i="8"/>
  <c r="L102" i="8"/>
  <c r="L39" i="8"/>
  <c r="L133" i="8"/>
  <c r="L40" i="8"/>
  <c r="L134" i="8"/>
  <c r="G42" i="8"/>
  <c r="G73" i="8"/>
  <c r="J72" i="8"/>
  <c r="G136" i="8"/>
  <c r="J135" i="8"/>
  <c r="G11" i="8"/>
  <c r="J103" i="8"/>
  <c r="G104" i="8"/>
  <c r="B132" i="7"/>
  <c r="C132" i="7" s="1"/>
  <c r="L41" i="7"/>
  <c r="B41" i="7" s="1"/>
  <c r="C41" i="7" s="1"/>
  <c r="L71" i="7"/>
  <c r="L107" i="7"/>
  <c r="L134" i="7"/>
  <c r="B134" i="7" s="1"/>
  <c r="C134" i="7" s="1"/>
  <c r="L106" i="7"/>
  <c r="G74" i="7"/>
  <c r="J73" i="7"/>
  <c r="J72" i="7"/>
  <c r="G43" i="7"/>
  <c r="J42" i="7" s="1"/>
  <c r="G136" i="7"/>
  <c r="J135" i="7"/>
  <c r="B40" i="7"/>
  <c r="C40" i="7" s="1"/>
  <c r="B39" i="7"/>
  <c r="C39" i="7" s="1"/>
  <c r="J108" i="7"/>
  <c r="G109" i="7"/>
  <c r="G11" i="7"/>
  <c r="J10" i="7" s="1"/>
  <c r="J9" i="7"/>
  <c r="L71" i="6"/>
  <c r="B71" i="6" s="1"/>
  <c r="C71" i="6" s="1"/>
  <c r="L102" i="6"/>
  <c r="B102" i="6" s="1"/>
  <c r="C102" i="6" s="1"/>
  <c r="L40" i="6"/>
  <c r="B40" i="6" s="1"/>
  <c r="C40" i="6" s="1"/>
  <c r="G104" i="6"/>
  <c r="B132" i="6"/>
  <c r="C132" i="6" s="1"/>
  <c r="B131" i="6"/>
  <c r="C131" i="6" s="1"/>
  <c r="G135" i="6"/>
  <c r="J134" i="6"/>
  <c r="J133" i="6"/>
  <c r="B8" i="6"/>
  <c r="C8" i="6" s="1"/>
  <c r="B7" i="6"/>
  <c r="C7" i="6" s="1"/>
  <c r="G42" i="6"/>
  <c r="G73" i="6"/>
  <c r="J72" i="6"/>
  <c r="G11" i="6"/>
  <c r="J10" i="6"/>
  <c r="J9" i="6"/>
  <c r="L41" i="5"/>
  <c r="L42" i="5"/>
  <c r="L72" i="5"/>
  <c r="B72" i="5" s="1"/>
  <c r="C72" i="5" s="1"/>
  <c r="L106" i="5"/>
  <c r="B106" i="5" s="1"/>
  <c r="C106" i="5" s="1"/>
  <c r="L10" i="5"/>
  <c r="B10" i="5" s="1"/>
  <c r="C10" i="5" s="1"/>
  <c r="L11" i="5"/>
  <c r="G44" i="5"/>
  <c r="J43" i="5"/>
  <c r="G13" i="5"/>
  <c r="J12" i="5" s="1"/>
  <c r="G135" i="5"/>
  <c r="J134" i="5"/>
  <c r="B71" i="5"/>
  <c r="C71" i="5" s="1"/>
  <c r="B70" i="5"/>
  <c r="C70" i="5" s="1"/>
  <c r="B105" i="5"/>
  <c r="C105" i="5" s="1"/>
  <c r="G74" i="5"/>
  <c r="J73" i="5"/>
  <c r="J133" i="5"/>
  <c r="B132" i="5"/>
  <c r="C132" i="5" s="1"/>
  <c r="B131" i="5"/>
  <c r="C131" i="5" s="1"/>
  <c r="B9" i="5"/>
  <c r="C9" i="5" s="1"/>
  <c r="G108" i="5"/>
  <c r="J107" i="5"/>
  <c r="L40" i="4"/>
  <c r="B40" i="4" s="1"/>
  <c r="C40" i="4" s="1"/>
  <c r="L134" i="4"/>
  <c r="B134" i="4" s="1"/>
  <c r="C134" i="4" s="1"/>
  <c r="L9" i="4"/>
  <c r="B9" i="4" s="1"/>
  <c r="C9" i="4" s="1"/>
  <c r="L105" i="4"/>
  <c r="B105" i="4" s="1"/>
  <c r="C105" i="4" s="1"/>
  <c r="L73" i="4"/>
  <c r="J74" i="4"/>
  <c r="G75" i="4"/>
  <c r="B133" i="4"/>
  <c r="C133" i="4" s="1"/>
  <c r="G11" i="4"/>
  <c r="G107" i="4"/>
  <c r="G136" i="4"/>
  <c r="G42" i="4"/>
  <c r="J41" i="4"/>
  <c r="B104" i="4"/>
  <c r="C104" i="4" s="1"/>
  <c r="L134" i="3"/>
  <c r="L73" i="3"/>
  <c r="B73" i="3" s="1"/>
  <c r="C73" i="3" s="1"/>
  <c r="L10" i="3"/>
  <c r="L133" i="3"/>
  <c r="L42" i="3"/>
  <c r="L102" i="3"/>
  <c r="B102" i="3" s="1"/>
  <c r="C102" i="3" s="1"/>
  <c r="G12" i="3"/>
  <c r="J11" i="3"/>
  <c r="G136" i="3"/>
  <c r="J135" i="3"/>
  <c r="G45" i="3"/>
  <c r="G75" i="3"/>
  <c r="G104" i="3"/>
  <c r="J103" i="3" s="1"/>
  <c r="J43" i="3"/>
  <c r="L9" i="2"/>
  <c r="B9" i="2" s="1"/>
  <c r="C9" i="2" s="1"/>
  <c r="L73" i="2"/>
  <c r="B73" i="2" s="1"/>
  <c r="C73" i="2" s="1"/>
  <c r="L40" i="2"/>
  <c r="L39" i="2"/>
  <c r="L102" i="2"/>
  <c r="B102" i="2" s="1"/>
  <c r="C102" i="2" s="1"/>
  <c r="B132" i="2"/>
  <c r="C132" i="2" s="1"/>
  <c r="B131" i="2"/>
  <c r="C131" i="2" s="1"/>
  <c r="B8" i="2"/>
  <c r="C8" i="2" s="1"/>
  <c r="B7" i="2"/>
  <c r="C7" i="2" s="1"/>
  <c r="G135" i="2"/>
  <c r="J134" i="2"/>
  <c r="G75" i="2"/>
  <c r="J74" i="2"/>
  <c r="G42" i="2"/>
  <c r="J103" i="2"/>
  <c r="G104" i="2"/>
  <c r="J133" i="2"/>
  <c r="B72" i="2"/>
  <c r="C72" i="2" s="1"/>
  <c r="B71" i="2"/>
  <c r="C71" i="2" s="1"/>
  <c r="G11" i="2"/>
  <c r="J10" i="2"/>
  <c r="K132" i="1"/>
  <c r="L132" i="1" s="1"/>
  <c r="B132" i="1" s="1"/>
  <c r="C132" i="1" s="1"/>
  <c r="K133" i="1"/>
  <c r="L133" i="1" s="1"/>
  <c r="G135" i="1"/>
  <c r="J134" i="1" s="1"/>
  <c r="B131" i="1"/>
  <c r="C131" i="1" s="1"/>
  <c r="G104" i="1"/>
  <c r="J103" i="1"/>
  <c r="J102" i="1"/>
  <c r="B101" i="1"/>
  <c r="C101" i="1" s="1"/>
  <c r="B100" i="1"/>
  <c r="C100" i="1" s="1"/>
  <c r="G73" i="1"/>
  <c r="J72" i="1"/>
  <c r="J71" i="1"/>
  <c r="B70" i="1"/>
  <c r="C70" i="1" s="1"/>
  <c r="B69" i="1"/>
  <c r="C69" i="1" s="1"/>
  <c r="K41" i="1"/>
  <c r="L41" i="1" s="1"/>
  <c r="K40" i="1"/>
  <c r="L40" i="1" s="1"/>
  <c r="G43" i="1"/>
  <c r="J42" i="1"/>
  <c r="G9" i="1"/>
  <c r="J7" i="1"/>
  <c r="J8" i="1"/>
  <c r="K103" i="1" a="1"/>
  <c r="K42" i="1" a="1"/>
  <c r="K102" i="1" a="1"/>
  <c r="K134" i="1" a="1"/>
  <c r="K71" i="1" a="1"/>
  <c r="K7" i="1" a="1"/>
  <c r="K72" i="1" a="1"/>
  <c r="K8" i="1" a="1"/>
  <c r="L76" i="16" l="1"/>
  <c r="B76" i="16" s="1"/>
  <c r="C76" i="16" s="1"/>
  <c r="L10" i="16"/>
  <c r="B10" i="16" s="1"/>
  <c r="C10" i="16" s="1"/>
  <c r="L135" i="16"/>
  <c r="B135" i="16" s="1"/>
  <c r="C135" i="16" s="1"/>
  <c r="L103" i="16"/>
  <c r="B103" i="16" s="1"/>
  <c r="C103" i="16" s="1"/>
  <c r="L11" i="16"/>
  <c r="L40" i="16"/>
  <c r="G137" i="16"/>
  <c r="J136" i="16"/>
  <c r="G43" i="16"/>
  <c r="B102" i="16"/>
  <c r="C102" i="16" s="1"/>
  <c r="B9" i="16"/>
  <c r="C9" i="16" s="1"/>
  <c r="G78" i="16"/>
  <c r="J77" i="16" s="1"/>
  <c r="G13" i="16"/>
  <c r="J41" i="16"/>
  <c r="G105" i="16"/>
  <c r="L136" i="15"/>
  <c r="B136" i="15" s="1"/>
  <c r="C136" i="15" s="1"/>
  <c r="L10" i="15"/>
  <c r="L106" i="15"/>
  <c r="B106" i="15" s="1"/>
  <c r="C106" i="15" s="1"/>
  <c r="L11" i="15"/>
  <c r="G48" i="15"/>
  <c r="J47" i="15"/>
  <c r="G138" i="15"/>
  <c r="J137" i="15"/>
  <c r="G80" i="15"/>
  <c r="B105" i="15"/>
  <c r="C105" i="15" s="1"/>
  <c r="B104" i="15"/>
  <c r="C104" i="15" s="1"/>
  <c r="J46" i="15"/>
  <c r="J12" i="15"/>
  <c r="G13" i="15"/>
  <c r="J78" i="15"/>
  <c r="G108" i="15"/>
  <c r="J107" i="15"/>
  <c r="L103" i="14"/>
  <c r="B103" i="14" s="1"/>
  <c r="C103" i="14" s="1"/>
  <c r="L12" i="14"/>
  <c r="B12" i="14" s="1"/>
  <c r="C12" i="14" s="1"/>
  <c r="L40" i="14"/>
  <c r="L135" i="14"/>
  <c r="L71" i="14"/>
  <c r="L136" i="14"/>
  <c r="L72" i="14"/>
  <c r="G14" i="14"/>
  <c r="J13" i="14"/>
  <c r="G138" i="14"/>
  <c r="J137" i="14"/>
  <c r="G43" i="14"/>
  <c r="J42" i="14"/>
  <c r="G74" i="14"/>
  <c r="J73" i="14"/>
  <c r="G105" i="14"/>
  <c r="J104" i="14"/>
  <c r="J41" i="14"/>
  <c r="B102" i="14"/>
  <c r="C102" i="14" s="1"/>
  <c r="B101" i="14"/>
  <c r="C101" i="14" s="1"/>
  <c r="L44" i="13"/>
  <c r="B44" i="13" s="1"/>
  <c r="C44" i="13" s="1"/>
  <c r="L73" i="13"/>
  <c r="B73" i="13" s="1"/>
  <c r="C73" i="13" s="1"/>
  <c r="L135" i="13"/>
  <c r="L134" i="13"/>
  <c r="L11" i="13"/>
  <c r="L103" i="13"/>
  <c r="B103" i="13" s="1"/>
  <c r="C103" i="13" s="1"/>
  <c r="G13" i="13"/>
  <c r="J12" i="13" s="1"/>
  <c r="G75" i="13"/>
  <c r="B72" i="13"/>
  <c r="C72" i="13" s="1"/>
  <c r="B71" i="13"/>
  <c r="C71" i="13" s="1"/>
  <c r="G137" i="13"/>
  <c r="J136" i="13"/>
  <c r="G105" i="13"/>
  <c r="J104" i="13"/>
  <c r="G46" i="13"/>
  <c r="J45" i="13" s="1"/>
  <c r="L133" i="12"/>
  <c r="L105" i="12"/>
  <c r="B105" i="12" s="1"/>
  <c r="C105" i="12" s="1"/>
  <c r="L42" i="12"/>
  <c r="L43" i="12"/>
  <c r="L134" i="12"/>
  <c r="L11" i="12"/>
  <c r="B11" i="12" s="1"/>
  <c r="C11" i="12" s="1"/>
  <c r="G13" i="12"/>
  <c r="G45" i="12"/>
  <c r="J44" i="12" s="1"/>
  <c r="G74" i="12"/>
  <c r="J73" i="12"/>
  <c r="G136" i="12"/>
  <c r="J135" i="12"/>
  <c r="J106" i="12"/>
  <c r="G107" i="12"/>
  <c r="J72" i="12"/>
  <c r="L105" i="11"/>
  <c r="B105" i="11" s="1"/>
  <c r="C105" i="11" s="1"/>
  <c r="L73" i="11"/>
  <c r="B73" i="11" s="1"/>
  <c r="C73" i="11" s="1"/>
  <c r="L134" i="11"/>
  <c r="B134" i="11" s="1"/>
  <c r="C134" i="11" s="1"/>
  <c r="L42" i="11"/>
  <c r="L11" i="11"/>
  <c r="B11" i="11" s="1"/>
  <c r="C11" i="11" s="1"/>
  <c r="L41" i="11"/>
  <c r="B104" i="11"/>
  <c r="C104" i="11" s="1"/>
  <c r="B103" i="11"/>
  <c r="C103" i="11" s="1"/>
  <c r="G44" i="11"/>
  <c r="J43" i="11"/>
  <c r="G136" i="11"/>
  <c r="J135" i="11"/>
  <c r="B10" i="11"/>
  <c r="C10" i="11" s="1"/>
  <c r="B9" i="11"/>
  <c r="C9" i="11" s="1"/>
  <c r="G13" i="11"/>
  <c r="G75" i="11"/>
  <c r="J74" i="11" s="1"/>
  <c r="G107" i="11"/>
  <c r="B72" i="11"/>
  <c r="C72" i="11" s="1"/>
  <c r="B71" i="11"/>
  <c r="C71" i="11" s="1"/>
  <c r="L103" i="10"/>
  <c r="B103" i="10" s="1"/>
  <c r="C103" i="10" s="1"/>
  <c r="L41" i="10"/>
  <c r="B41" i="10" s="1"/>
  <c r="C41" i="10" s="1"/>
  <c r="L135" i="10"/>
  <c r="B135" i="10" s="1"/>
  <c r="C135" i="10" s="1"/>
  <c r="L74" i="10"/>
  <c r="B74" i="10" s="1"/>
  <c r="C74" i="10" s="1"/>
  <c r="L12" i="10"/>
  <c r="G76" i="10"/>
  <c r="J75" i="10"/>
  <c r="G137" i="10"/>
  <c r="G105" i="10"/>
  <c r="G14" i="10"/>
  <c r="J13" i="10"/>
  <c r="B40" i="10"/>
  <c r="C40" i="10" s="1"/>
  <c r="G43" i="10"/>
  <c r="J42" i="10"/>
  <c r="L44" i="9"/>
  <c r="B44" i="9" s="1"/>
  <c r="C44" i="9" s="1"/>
  <c r="L133" i="9"/>
  <c r="L72" i="9"/>
  <c r="B72" i="9" s="1"/>
  <c r="C72" i="9" s="1"/>
  <c r="L134" i="9"/>
  <c r="G136" i="9"/>
  <c r="J135" i="9"/>
  <c r="G108" i="9"/>
  <c r="J107" i="9"/>
  <c r="J106" i="9"/>
  <c r="G12" i="9"/>
  <c r="J11" i="9"/>
  <c r="J10" i="9"/>
  <c r="G46" i="9"/>
  <c r="G74" i="9"/>
  <c r="J73" i="9"/>
  <c r="B43" i="9"/>
  <c r="C43" i="9" s="1"/>
  <c r="B42" i="9"/>
  <c r="C42" i="9" s="1"/>
  <c r="L72" i="8"/>
  <c r="B72" i="8" s="1"/>
  <c r="C72" i="8" s="1"/>
  <c r="L135" i="8"/>
  <c r="B135" i="8" s="1"/>
  <c r="C135" i="8" s="1"/>
  <c r="L103" i="8"/>
  <c r="B103" i="8" s="1"/>
  <c r="C103" i="8" s="1"/>
  <c r="B40" i="8"/>
  <c r="C40" i="8" s="1"/>
  <c r="B39" i="8"/>
  <c r="C39" i="8" s="1"/>
  <c r="G105" i="8"/>
  <c r="J104" i="8"/>
  <c r="B102" i="8"/>
  <c r="C102" i="8" s="1"/>
  <c r="B101" i="8"/>
  <c r="C101" i="8" s="1"/>
  <c r="G12" i="8"/>
  <c r="J11" i="8"/>
  <c r="G137" i="8"/>
  <c r="J42" i="8"/>
  <c r="G43" i="8"/>
  <c r="G74" i="8"/>
  <c r="J73" i="8"/>
  <c r="J41" i="8"/>
  <c r="B134" i="8"/>
  <c r="C134" i="8" s="1"/>
  <c r="B133" i="8"/>
  <c r="C133" i="8" s="1"/>
  <c r="J10" i="8"/>
  <c r="L42" i="7"/>
  <c r="B42" i="7" s="1"/>
  <c r="C42" i="7" s="1"/>
  <c r="L10" i="7"/>
  <c r="L72" i="7"/>
  <c r="L135" i="7"/>
  <c r="B135" i="7" s="1"/>
  <c r="C135" i="7" s="1"/>
  <c r="L73" i="7"/>
  <c r="L9" i="7"/>
  <c r="L108" i="7"/>
  <c r="B108" i="7" s="1"/>
  <c r="C108" i="7" s="1"/>
  <c r="G75" i="7"/>
  <c r="J74" i="7"/>
  <c r="B107" i="7"/>
  <c r="C107" i="7" s="1"/>
  <c r="B106" i="7"/>
  <c r="C106" i="7" s="1"/>
  <c r="G137" i="7"/>
  <c r="J109" i="7"/>
  <c r="G110" i="7"/>
  <c r="B71" i="7"/>
  <c r="C71" i="7" s="1"/>
  <c r="G44" i="7"/>
  <c r="J43" i="7"/>
  <c r="G12" i="7"/>
  <c r="J11" i="7"/>
  <c r="L9" i="6"/>
  <c r="L10" i="6"/>
  <c r="L134" i="6"/>
  <c r="L133" i="6"/>
  <c r="L72" i="6"/>
  <c r="B72" i="6" s="1"/>
  <c r="C72" i="6" s="1"/>
  <c r="G105" i="6"/>
  <c r="J104" i="6"/>
  <c r="J42" i="6"/>
  <c r="G43" i="6"/>
  <c r="G12" i="6"/>
  <c r="J11" i="6"/>
  <c r="J103" i="6"/>
  <c r="J41" i="6"/>
  <c r="G74" i="6"/>
  <c r="J73" i="6"/>
  <c r="G136" i="6"/>
  <c r="J135" i="6"/>
  <c r="L12" i="5"/>
  <c r="B12" i="5" s="1"/>
  <c r="C12" i="5" s="1"/>
  <c r="L134" i="5"/>
  <c r="L43" i="5"/>
  <c r="B43" i="5" s="1"/>
  <c r="C43" i="5" s="1"/>
  <c r="L133" i="5"/>
  <c r="L73" i="5"/>
  <c r="L107" i="5"/>
  <c r="G136" i="5"/>
  <c r="J135" i="5"/>
  <c r="G45" i="5"/>
  <c r="J44" i="5" s="1"/>
  <c r="B11" i="5"/>
  <c r="C11" i="5" s="1"/>
  <c r="G14" i="5"/>
  <c r="J13" i="5"/>
  <c r="J108" i="5"/>
  <c r="G109" i="5"/>
  <c r="G75" i="5"/>
  <c r="B42" i="5"/>
  <c r="C42" i="5" s="1"/>
  <c r="B41" i="5"/>
  <c r="C41" i="5" s="1"/>
  <c r="L41" i="4"/>
  <c r="B41" i="4" s="1"/>
  <c r="C41" i="4" s="1"/>
  <c r="L74" i="4"/>
  <c r="B74" i="4" s="1"/>
  <c r="C74" i="4" s="1"/>
  <c r="G108" i="4"/>
  <c r="J107" i="4"/>
  <c r="G43" i="4"/>
  <c r="J42" i="4"/>
  <c r="G12" i="4"/>
  <c r="J11" i="4"/>
  <c r="G137" i="4"/>
  <c r="J136" i="4"/>
  <c r="B73" i="4"/>
  <c r="C73" i="4" s="1"/>
  <c r="J106" i="4"/>
  <c r="J10" i="4"/>
  <c r="G76" i="4"/>
  <c r="J75" i="4"/>
  <c r="J135" i="4"/>
  <c r="L103" i="3"/>
  <c r="B103" i="3" s="1"/>
  <c r="C103" i="3" s="1"/>
  <c r="L11" i="3"/>
  <c r="B11" i="3" s="1"/>
  <c r="C11" i="3" s="1"/>
  <c r="L135" i="3"/>
  <c r="B135" i="3" s="1"/>
  <c r="C135" i="3" s="1"/>
  <c r="L43" i="3"/>
  <c r="B43" i="3" s="1"/>
  <c r="C43" i="3" s="1"/>
  <c r="G76" i="3"/>
  <c r="J75" i="3" s="1"/>
  <c r="G46" i="3"/>
  <c r="J45" i="3"/>
  <c r="B42" i="3"/>
  <c r="C42" i="3" s="1"/>
  <c r="G13" i="3"/>
  <c r="J12" i="3" s="1"/>
  <c r="B134" i="3"/>
  <c r="C134" i="3" s="1"/>
  <c r="B133" i="3"/>
  <c r="C133" i="3" s="1"/>
  <c r="G105" i="3"/>
  <c r="J104" i="3"/>
  <c r="J74" i="3"/>
  <c r="J44" i="3"/>
  <c r="G137" i="3"/>
  <c r="B10" i="3"/>
  <c r="C10" i="3" s="1"/>
  <c r="L134" i="2"/>
  <c r="L133" i="2"/>
  <c r="L10" i="2"/>
  <c r="B10" i="2" s="1"/>
  <c r="C10" i="2" s="1"/>
  <c r="L74" i="2"/>
  <c r="B74" i="2" s="1"/>
  <c r="C74" i="2" s="1"/>
  <c r="L103" i="2"/>
  <c r="B103" i="2" s="1"/>
  <c r="C103" i="2" s="1"/>
  <c r="G12" i="2"/>
  <c r="J11" i="2"/>
  <c r="G43" i="2"/>
  <c r="J42" i="2"/>
  <c r="G136" i="2"/>
  <c r="J135" i="2"/>
  <c r="B40" i="2"/>
  <c r="C40" i="2" s="1"/>
  <c r="B39" i="2"/>
  <c r="C39" i="2" s="1"/>
  <c r="J41" i="2"/>
  <c r="G76" i="2"/>
  <c r="G105" i="2"/>
  <c r="J104" i="2"/>
  <c r="K134" i="1"/>
  <c r="L134" i="1" s="1"/>
  <c r="B134" i="1" s="1"/>
  <c r="C134" i="1" s="1"/>
  <c r="G136" i="1"/>
  <c r="J135" i="1" s="1"/>
  <c r="B133" i="1"/>
  <c r="C133" i="1" s="1"/>
  <c r="K102" i="1"/>
  <c r="L102" i="1" s="1"/>
  <c r="K103" i="1"/>
  <c r="L103" i="1" s="1"/>
  <c r="G105" i="1"/>
  <c r="J104" i="1"/>
  <c r="K71" i="1"/>
  <c r="L71" i="1" s="1"/>
  <c r="K72" i="1"/>
  <c r="L72" i="1" s="1"/>
  <c r="G74" i="1"/>
  <c r="J73" i="1"/>
  <c r="K42" i="1"/>
  <c r="L42" i="1" s="1"/>
  <c r="B42" i="1" s="1"/>
  <c r="C42" i="1" s="1"/>
  <c r="G44" i="1"/>
  <c r="J43" i="1"/>
  <c r="B41" i="1"/>
  <c r="C41" i="1" s="1"/>
  <c r="B40" i="1"/>
  <c r="C40" i="1" s="1"/>
  <c r="K7" i="1"/>
  <c r="G10" i="1"/>
  <c r="K8" i="1"/>
  <c r="K43" i="1" a="1"/>
  <c r="K104" i="1" a="1"/>
  <c r="K73" i="1" a="1"/>
  <c r="K135" i="1" a="1"/>
  <c r="L8" i="1" l="1"/>
  <c r="L7" i="1"/>
  <c r="B7" i="1" s="1"/>
  <c r="C7" i="1" s="1"/>
  <c r="L77" i="16"/>
  <c r="B77" i="16" s="1"/>
  <c r="C77" i="16" s="1"/>
  <c r="L41" i="16"/>
  <c r="B41" i="16" s="1"/>
  <c r="C41" i="16" s="1"/>
  <c r="L136" i="16"/>
  <c r="B136" i="16" s="1"/>
  <c r="C136" i="16" s="1"/>
  <c r="G44" i="16"/>
  <c r="J43" i="16"/>
  <c r="J42" i="16"/>
  <c r="B40" i="16"/>
  <c r="C40" i="16" s="1"/>
  <c r="G14" i="16"/>
  <c r="B11" i="16"/>
  <c r="C11" i="16" s="1"/>
  <c r="G79" i="16"/>
  <c r="G138" i="16"/>
  <c r="J137" i="16"/>
  <c r="G106" i="16"/>
  <c r="J105" i="16"/>
  <c r="J104" i="16"/>
  <c r="J12" i="16"/>
  <c r="L47" i="15"/>
  <c r="L78" i="15"/>
  <c r="L46" i="15"/>
  <c r="L137" i="15"/>
  <c r="B137" i="15" s="1"/>
  <c r="C137" i="15" s="1"/>
  <c r="L107" i="15"/>
  <c r="L12" i="15"/>
  <c r="B12" i="15" s="1"/>
  <c r="C12" i="15" s="1"/>
  <c r="G81" i="15"/>
  <c r="J80" i="15"/>
  <c r="G109" i="15"/>
  <c r="J79" i="15"/>
  <c r="G139" i="15"/>
  <c r="J138" i="15" s="1"/>
  <c r="G49" i="15"/>
  <c r="J48" i="15" s="1"/>
  <c r="G14" i="15"/>
  <c r="J13" i="15"/>
  <c r="B11" i="15"/>
  <c r="C11" i="15" s="1"/>
  <c r="B10" i="15"/>
  <c r="C10" i="15" s="1"/>
  <c r="L73" i="14"/>
  <c r="B73" i="14" s="1"/>
  <c r="C73" i="14" s="1"/>
  <c r="L41" i="14"/>
  <c r="B41" i="14" s="1"/>
  <c r="C41" i="14" s="1"/>
  <c r="L137" i="14"/>
  <c r="B137" i="14" s="1"/>
  <c r="C137" i="14" s="1"/>
  <c r="L13" i="14"/>
  <c r="B13" i="14" s="1"/>
  <c r="C13" i="14" s="1"/>
  <c r="L104" i="14"/>
  <c r="B104" i="14" s="1"/>
  <c r="C104" i="14" s="1"/>
  <c r="L42" i="14"/>
  <c r="G75" i="14"/>
  <c r="J74" i="14"/>
  <c r="G44" i="14"/>
  <c r="J43" i="14"/>
  <c r="B136" i="14"/>
  <c r="C136" i="14" s="1"/>
  <c r="B135" i="14"/>
  <c r="C135" i="14" s="1"/>
  <c r="G139" i="14"/>
  <c r="J138" i="14" s="1"/>
  <c r="B40" i="14"/>
  <c r="C40" i="14" s="1"/>
  <c r="G15" i="14"/>
  <c r="B72" i="14"/>
  <c r="C72" i="14" s="1"/>
  <c r="B71" i="14"/>
  <c r="C71" i="14" s="1"/>
  <c r="G106" i="14"/>
  <c r="J105" i="14"/>
  <c r="L12" i="13"/>
  <c r="B12" i="13" s="1"/>
  <c r="C12" i="13" s="1"/>
  <c r="L45" i="13"/>
  <c r="B45" i="13" s="1"/>
  <c r="C45" i="13" s="1"/>
  <c r="L104" i="13"/>
  <c r="L136" i="13"/>
  <c r="B136" i="13" s="1"/>
  <c r="C136" i="13" s="1"/>
  <c r="B135" i="13"/>
  <c r="C135" i="13" s="1"/>
  <c r="B134" i="13"/>
  <c r="C134" i="13" s="1"/>
  <c r="G76" i="13"/>
  <c r="J75" i="13"/>
  <c r="J74" i="13"/>
  <c r="B11" i="13"/>
  <c r="C11" i="13" s="1"/>
  <c r="G138" i="13"/>
  <c r="G14" i="13"/>
  <c r="J13" i="13"/>
  <c r="G47" i="13"/>
  <c r="J46" i="13"/>
  <c r="G106" i="13"/>
  <c r="J105" i="13"/>
  <c r="L44" i="12"/>
  <c r="B44" i="12" s="1"/>
  <c r="C44" i="12" s="1"/>
  <c r="L135" i="12"/>
  <c r="B135" i="12" s="1"/>
  <c r="C135" i="12" s="1"/>
  <c r="L72" i="12"/>
  <c r="L73" i="12"/>
  <c r="L106" i="12"/>
  <c r="G75" i="12"/>
  <c r="G137" i="12"/>
  <c r="J136" i="12"/>
  <c r="G14" i="12"/>
  <c r="J13" i="12"/>
  <c r="B43" i="12"/>
  <c r="C43" i="12" s="1"/>
  <c r="B42" i="12"/>
  <c r="C42" i="12" s="1"/>
  <c r="J12" i="12"/>
  <c r="G108" i="12"/>
  <c r="J107" i="12"/>
  <c r="G46" i="12"/>
  <c r="J45" i="12"/>
  <c r="B134" i="12"/>
  <c r="C134" i="12" s="1"/>
  <c r="B133" i="12"/>
  <c r="C133" i="12" s="1"/>
  <c r="L74" i="11"/>
  <c r="B74" i="11" s="1"/>
  <c r="C74" i="11" s="1"/>
  <c r="L43" i="11"/>
  <c r="B43" i="11" s="1"/>
  <c r="C43" i="11" s="1"/>
  <c r="L135" i="11"/>
  <c r="B135" i="11" s="1"/>
  <c r="C135" i="11" s="1"/>
  <c r="G137" i="11"/>
  <c r="J136" i="11"/>
  <c r="G45" i="11"/>
  <c r="B42" i="11"/>
  <c r="C42" i="11" s="1"/>
  <c r="B41" i="11"/>
  <c r="C41" i="11" s="1"/>
  <c r="G108" i="11"/>
  <c r="J107" i="11"/>
  <c r="G76" i="11"/>
  <c r="J75" i="11"/>
  <c r="G14" i="11"/>
  <c r="J13" i="11"/>
  <c r="J106" i="11"/>
  <c r="J12" i="11"/>
  <c r="L13" i="10"/>
  <c r="B13" i="10" s="1"/>
  <c r="C13" i="10" s="1"/>
  <c r="L42" i="10"/>
  <c r="B42" i="10" s="1"/>
  <c r="C42" i="10" s="1"/>
  <c r="L75" i="10"/>
  <c r="B75" i="10" s="1"/>
  <c r="C75" i="10" s="1"/>
  <c r="G106" i="10"/>
  <c r="J105" i="10" s="1"/>
  <c r="J104" i="10"/>
  <c r="B12" i="10"/>
  <c r="C12" i="10" s="1"/>
  <c r="G15" i="10"/>
  <c r="G138" i="10"/>
  <c r="J137" i="10"/>
  <c r="J136" i="10"/>
  <c r="G77" i="10"/>
  <c r="J76" i="10"/>
  <c r="G44" i="10"/>
  <c r="L106" i="9"/>
  <c r="L73" i="9"/>
  <c r="B73" i="9" s="1"/>
  <c r="C73" i="9" s="1"/>
  <c r="L11" i="9"/>
  <c r="L10" i="9"/>
  <c r="L107" i="9"/>
  <c r="L135" i="9"/>
  <c r="B135" i="9" s="1"/>
  <c r="C135" i="9" s="1"/>
  <c r="G47" i="9"/>
  <c r="J46" i="9" s="1"/>
  <c r="G13" i="9"/>
  <c r="J12" i="9"/>
  <c r="G137" i="9"/>
  <c r="J136" i="9"/>
  <c r="G75" i="9"/>
  <c r="B134" i="9"/>
  <c r="C134" i="9" s="1"/>
  <c r="B133" i="9"/>
  <c r="C133" i="9" s="1"/>
  <c r="G109" i="9"/>
  <c r="J45" i="9"/>
  <c r="L10" i="8"/>
  <c r="L73" i="8"/>
  <c r="B73" i="8" s="1"/>
  <c r="C73" i="8" s="1"/>
  <c r="L104" i="8"/>
  <c r="B104" i="8" s="1"/>
  <c r="C104" i="8" s="1"/>
  <c r="L11" i="8"/>
  <c r="L41" i="8"/>
  <c r="L42" i="8"/>
  <c r="G138" i="8"/>
  <c r="J137" i="8"/>
  <c r="G13" i="8"/>
  <c r="J12" i="8"/>
  <c r="G106" i="8"/>
  <c r="J105" i="8"/>
  <c r="G75" i="8"/>
  <c r="G44" i="8"/>
  <c r="J136" i="8"/>
  <c r="L74" i="7"/>
  <c r="B74" i="7" s="1"/>
  <c r="C74" i="7" s="1"/>
  <c r="L109" i="7"/>
  <c r="B109" i="7" s="1"/>
  <c r="C109" i="7" s="1"/>
  <c r="L11" i="7"/>
  <c r="B11" i="7" s="1"/>
  <c r="C11" i="7" s="1"/>
  <c r="L43" i="7"/>
  <c r="B43" i="7" s="1"/>
  <c r="C43" i="7" s="1"/>
  <c r="G138" i="7"/>
  <c r="J137" i="7"/>
  <c r="G76" i="7"/>
  <c r="J75" i="7"/>
  <c r="B10" i="7"/>
  <c r="C10" i="7" s="1"/>
  <c r="B9" i="7"/>
  <c r="C9" i="7" s="1"/>
  <c r="B73" i="7"/>
  <c r="C73" i="7" s="1"/>
  <c r="J136" i="7"/>
  <c r="B72" i="7"/>
  <c r="C72" i="7" s="1"/>
  <c r="G13" i="7"/>
  <c r="J12" i="7"/>
  <c r="G45" i="7"/>
  <c r="G111" i="7"/>
  <c r="J110" i="7" s="1"/>
  <c r="L11" i="6"/>
  <c r="B11" i="6" s="1"/>
  <c r="C11" i="6" s="1"/>
  <c r="L104" i="6"/>
  <c r="L73" i="6"/>
  <c r="B73" i="6" s="1"/>
  <c r="C73" i="6" s="1"/>
  <c r="L41" i="6"/>
  <c r="L135" i="6"/>
  <c r="B135" i="6" s="1"/>
  <c r="C135" i="6" s="1"/>
  <c r="L103" i="6"/>
  <c r="L42" i="6"/>
  <c r="J74" i="6"/>
  <c r="G75" i="6"/>
  <c r="G44" i="6"/>
  <c r="J43" i="6"/>
  <c r="B134" i="6"/>
  <c r="C134" i="6" s="1"/>
  <c r="B133" i="6"/>
  <c r="C133" i="6" s="1"/>
  <c r="G13" i="6"/>
  <c r="G137" i="6"/>
  <c r="J136" i="6"/>
  <c r="G106" i="6"/>
  <c r="J105" i="6"/>
  <c r="B10" i="6"/>
  <c r="C10" i="6" s="1"/>
  <c r="B9" i="6"/>
  <c r="C9" i="6" s="1"/>
  <c r="L44" i="5"/>
  <c r="B44" i="5" s="1"/>
  <c r="C44" i="5" s="1"/>
  <c r="L13" i="5"/>
  <c r="B13" i="5" s="1"/>
  <c r="C13" i="5" s="1"/>
  <c r="L108" i="5"/>
  <c r="B108" i="5" s="1"/>
  <c r="C108" i="5" s="1"/>
  <c r="L135" i="5"/>
  <c r="B135" i="5" s="1"/>
  <c r="C135" i="5" s="1"/>
  <c r="G137" i="5"/>
  <c r="J136" i="5"/>
  <c r="B134" i="5"/>
  <c r="C134" i="5" s="1"/>
  <c r="B133" i="5"/>
  <c r="C133" i="5" s="1"/>
  <c r="B73" i="5"/>
  <c r="C73" i="5" s="1"/>
  <c r="B107" i="5"/>
  <c r="C107" i="5" s="1"/>
  <c r="G15" i="5"/>
  <c r="J14" i="5" s="1"/>
  <c r="G46" i="5"/>
  <c r="G76" i="5"/>
  <c r="J75" i="5"/>
  <c r="J74" i="5"/>
  <c r="G110" i="5"/>
  <c r="J109" i="5"/>
  <c r="L11" i="4"/>
  <c r="L136" i="4"/>
  <c r="L42" i="4"/>
  <c r="B42" i="4" s="1"/>
  <c r="C42" i="4" s="1"/>
  <c r="L107" i="4"/>
  <c r="L75" i="4"/>
  <c r="L135" i="4"/>
  <c r="L106" i="4"/>
  <c r="L10" i="4"/>
  <c r="G44" i="4"/>
  <c r="J43" i="4"/>
  <c r="G13" i="4"/>
  <c r="J12" i="4"/>
  <c r="J108" i="4"/>
  <c r="G109" i="4"/>
  <c r="G77" i="4"/>
  <c r="J76" i="4" s="1"/>
  <c r="G138" i="4"/>
  <c r="J137" i="4"/>
  <c r="L12" i="3"/>
  <c r="B12" i="3" s="1"/>
  <c r="C12" i="3" s="1"/>
  <c r="L75" i="3"/>
  <c r="L45" i="3"/>
  <c r="L44" i="3"/>
  <c r="L74" i="3"/>
  <c r="L104" i="3"/>
  <c r="G47" i="3"/>
  <c r="J46" i="3" s="1"/>
  <c r="J137" i="3"/>
  <c r="G138" i="3"/>
  <c r="G14" i="3"/>
  <c r="J13" i="3"/>
  <c r="G77" i="3"/>
  <c r="J76" i="3" s="1"/>
  <c r="J136" i="3"/>
  <c r="G106" i="3"/>
  <c r="J105" i="3"/>
  <c r="L41" i="2"/>
  <c r="L42" i="2"/>
  <c r="L11" i="2"/>
  <c r="B11" i="2" s="1"/>
  <c r="C11" i="2" s="1"/>
  <c r="L104" i="2"/>
  <c r="B104" i="2" s="1"/>
  <c r="C104" i="2" s="1"/>
  <c r="L135" i="2"/>
  <c r="B135" i="2" s="1"/>
  <c r="C135" i="2" s="1"/>
  <c r="G137" i="2"/>
  <c r="J136" i="2"/>
  <c r="J12" i="2"/>
  <c r="G13" i="2"/>
  <c r="G106" i="2"/>
  <c r="B134" i="2"/>
  <c r="C134" i="2" s="1"/>
  <c r="B133" i="2"/>
  <c r="C133" i="2" s="1"/>
  <c r="J76" i="2"/>
  <c r="G77" i="2"/>
  <c r="G44" i="2"/>
  <c r="J43" i="2"/>
  <c r="J75" i="2"/>
  <c r="K135" i="1"/>
  <c r="L135" i="1" s="1"/>
  <c r="B135" i="1" s="1"/>
  <c r="C135" i="1" s="1"/>
  <c r="G137" i="1"/>
  <c r="J136" i="1"/>
  <c r="K104" i="1"/>
  <c r="L104" i="1" s="1"/>
  <c r="B104" i="1" s="1"/>
  <c r="C104" i="1" s="1"/>
  <c r="G106" i="1"/>
  <c r="J105" i="1"/>
  <c r="B103" i="1"/>
  <c r="C103" i="1" s="1"/>
  <c r="B102" i="1"/>
  <c r="C102" i="1" s="1"/>
  <c r="K73" i="1"/>
  <c r="L73" i="1" s="1"/>
  <c r="B73" i="1" s="1"/>
  <c r="C73" i="1" s="1"/>
  <c r="G75" i="1"/>
  <c r="B72" i="1"/>
  <c r="C72" i="1" s="1"/>
  <c r="B71" i="1"/>
  <c r="C71" i="1" s="1"/>
  <c r="K43" i="1"/>
  <c r="L43" i="1" s="1"/>
  <c r="B43" i="1" s="1"/>
  <c r="C43" i="1" s="1"/>
  <c r="G45" i="1"/>
  <c r="J44" i="1"/>
  <c r="G11" i="1"/>
  <c r="J10" i="1"/>
  <c r="J9" i="1"/>
  <c r="K105" i="1" a="1"/>
  <c r="K44" i="1" a="1"/>
  <c r="K136" i="1" a="1"/>
  <c r="K10" i="1" a="1"/>
  <c r="K9" i="1" a="1"/>
  <c r="B8" i="1" l="1"/>
  <c r="C8" i="1" s="1"/>
  <c r="L105" i="16"/>
  <c r="L42" i="16"/>
  <c r="B42" i="16" s="1"/>
  <c r="C42" i="16" s="1"/>
  <c r="L12" i="16"/>
  <c r="L137" i="16"/>
  <c r="B137" i="16" s="1"/>
  <c r="C137" i="16" s="1"/>
  <c r="L43" i="16"/>
  <c r="L104" i="16"/>
  <c r="G80" i="16"/>
  <c r="J79" i="16"/>
  <c r="G15" i="16"/>
  <c r="G107" i="16"/>
  <c r="J13" i="16"/>
  <c r="G45" i="16"/>
  <c r="J44" i="16" s="1"/>
  <c r="J78" i="16"/>
  <c r="G139" i="16"/>
  <c r="L48" i="15"/>
  <c r="B48" i="15" s="1"/>
  <c r="C48" i="15" s="1"/>
  <c r="L138" i="15"/>
  <c r="B138" i="15" s="1"/>
  <c r="C138" i="15" s="1"/>
  <c r="L13" i="15"/>
  <c r="L79" i="15"/>
  <c r="B79" i="15" s="1"/>
  <c r="C79" i="15" s="1"/>
  <c r="L80" i="15"/>
  <c r="G110" i="15"/>
  <c r="G82" i="15"/>
  <c r="J81" i="15"/>
  <c r="B47" i="15"/>
  <c r="C47" i="15" s="1"/>
  <c r="B46" i="15"/>
  <c r="C46" i="15" s="1"/>
  <c r="G50" i="15"/>
  <c r="G140" i="15"/>
  <c r="J139" i="15"/>
  <c r="J108" i="15"/>
  <c r="G15" i="15"/>
  <c r="B78" i="15"/>
  <c r="C78" i="15" s="1"/>
  <c r="B107" i="15"/>
  <c r="C107" i="15" s="1"/>
  <c r="L138" i="14"/>
  <c r="B138" i="14" s="1"/>
  <c r="C138" i="14" s="1"/>
  <c r="L43" i="14"/>
  <c r="B43" i="14" s="1"/>
  <c r="C43" i="14" s="1"/>
  <c r="L105" i="14"/>
  <c r="B105" i="14" s="1"/>
  <c r="C105" i="14" s="1"/>
  <c r="L74" i="14"/>
  <c r="B74" i="14" s="1"/>
  <c r="C74" i="14" s="1"/>
  <c r="G107" i="14"/>
  <c r="G76" i="14"/>
  <c r="J75" i="14"/>
  <c r="G16" i="14"/>
  <c r="J15" i="14"/>
  <c r="B42" i="14"/>
  <c r="C42" i="14" s="1"/>
  <c r="G140" i="14"/>
  <c r="J139" i="14"/>
  <c r="G45" i="14"/>
  <c r="J14" i="14"/>
  <c r="L75" i="13"/>
  <c r="L46" i="13"/>
  <c r="B46" i="13" s="1"/>
  <c r="C46" i="13" s="1"/>
  <c r="L13" i="13"/>
  <c r="B13" i="13" s="1"/>
  <c r="C13" i="13" s="1"/>
  <c r="L74" i="13"/>
  <c r="L105" i="13"/>
  <c r="B105" i="13" s="1"/>
  <c r="C105" i="13" s="1"/>
  <c r="G139" i="13"/>
  <c r="J138" i="13" s="1"/>
  <c r="G48" i="13"/>
  <c r="J47" i="13"/>
  <c r="G15" i="13"/>
  <c r="J14" i="13" s="1"/>
  <c r="B104" i="13"/>
  <c r="C104" i="13" s="1"/>
  <c r="J137" i="13"/>
  <c r="J76" i="13"/>
  <c r="G77" i="13"/>
  <c r="G107" i="13"/>
  <c r="L12" i="12"/>
  <c r="L13" i="12"/>
  <c r="L45" i="12"/>
  <c r="B45" i="12" s="1"/>
  <c r="C45" i="12" s="1"/>
  <c r="L107" i="12"/>
  <c r="B107" i="12" s="1"/>
  <c r="C107" i="12" s="1"/>
  <c r="L136" i="12"/>
  <c r="G76" i="12"/>
  <c r="J75" i="12" s="1"/>
  <c r="B73" i="12"/>
  <c r="C73" i="12" s="1"/>
  <c r="B72" i="12"/>
  <c r="C72" i="12" s="1"/>
  <c r="G15" i="12"/>
  <c r="G138" i="12"/>
  <c r="J137" i="12"/>
  <c r="B106" i="12"/>
  <c r="C106" i="12" s="1"/>
  <c r="J74" i="12"/>
  <c r="G47" i="12"/>
  <c r="J46" i="12" s="1"/>
  <c r="G109" i="12"/>
  <c r="L106" i="11"/>
  <c r="L107" i="11"/>
  <c r="L12" i="11"/>
  <c r="L136" i="11"/>
  <c r="B136" i="11" s="1"/>
  <c r="C136" i="11" s="1"/>
  <c r="L75" i="11"/>
  <c r="L13" i="11"/>
  <c r="G138" i="11"/>
  <c r="G77" i="11"/>
  <c r="G109" i="11"/>
  <c r="J108" i="11" s="1"/>
  <c r="G46" i="11"/>
  <c r="J45" i="11"/>
  <c r="J14" i="11"/>
  <c r="G15" i="11"/>
  <c r="J44" i="11"/>
  <c r="L105" i="10"/>
  <c r="L136" i="10"/>
  <c r="L104" i="10"/>
  <c r="L76" i="10"/>
  <c r="B76" i="10" s="1"/>
  <c r="C76" i="10" s="1"/>
  <c r="L137" i="10"/>
  <c r="G16" i="10"/>
  <c r="J15" i="10"/>
  <c r="G45" i="10"/>
  <c r="J43" i="10"/>
  <c r="G139" i="10"/>
  <c r="J138" i="10" s="1"/>
  <c r="J14" i="10"/>
  <c r="J106" i="10"/>
  <c r="G107" i="10"/>
  <c r="G78" i="10"/>
  <c r="L46" i="9"/>
  <c r="L45" i="9"/>
  <c r="L136" i="9"/>
  <c r="B136" i="9" s="1"/>
  <c r="C136" i="9" s="1"/>
  <c r="L12" i="9"/>
  <c r="B12" i="9" s="1"/>
  <c r="C12" i="9" s="1"/>
  <c r="G138" i="9"/>
  <c r="J137" i="9"/>
  <c r="G110" i="9"/>
  <c r="J109" i="9"/>
  <c r="J108" i="9"/>
  <c r="G76" i="9"/>
  <c r="J75" i="9"/>
  <c r="J74" i="9"/>
  <c r="G14" i="9"/>
  <c r="J13" i="9"/>
  <c r="G48" i="9"/>
  <c r="J47" i="9"/>
  <c r="B11" i="9"/>
  <c r="C11" i="9" s="1"/>
  <c r="B10" i="9"/>
  <c r="C10" i="9" s="1"/>
  <c r="B107" i="9"/>
  <c r="C107" i="9" s="1"/>
  <c r="B106" i="9"/>
  <c r="C106" i="9" s="1"/>
  <c r="L105" i="8"/>
  <c r="B105" i="8" s="1"/>
  <c r="C105" i="8" s="1"/>
  <c r="L136" i="8"/>
  <c r="L12" i="8"/>
  <c r="B12" i="8" s="1"/>
  <c r="C12" i="8" s="1"/>
  <c r="L137" i="8"/>
  <c r="G76" i="8"/>
  <c r="J75" i="8"/>
  <c r="G139" i="8"/>
  <c r="J74" i="8"/>
  <c r="G107" i="8"/>
  <c r="J106" i="8" s="1"/>
  <c r="G14" i="8"/>
  <c r="J13" i="8"/>
  <c r="J44" i="8"/>
  <c r="G45" i="8"/>
  <c r="B42" i="8"/>
  <c r="C42" i="8" s="1"/>
  <c r="B41" i="8"/>
  <c r="C41" i="8" s="1"/>
  <c r="J43" i="8"/>
  <c r="B11" i="8"/>
  <c r="C11" i="8" s="1"/>
  <c r="B10" i="8"/>
  <c r="C10" i="8" s="1"/>
  <c r="L110" i="7"/>
  <c r="B110" i="7" s="1"/>
  <c r="C110" i="7" s="1"/>
  <c r="L136" i="7"/>
  <c r="L75" i="7"/>
  <c r="B75" i="7" s="1"/>
  <c r="C75" i="7" s="1"/>
  <c r="L12" i="7"/>
  <c r="B12" i="7" s="1"/>
  <c r="C12" i="7" s="1"/>
  <c r="L137" i="7"/>
  <c r="G77" i="7"/>
  <c r="J76" i="7" s="1"/>
  <c r="G112" i="7"/>
  <c r="J111" i="7"/>
  <c r="G46" i="7"/>
  <c r="J45" i="7"/>
  <c r="G14" i="7"/>
  <c r="J13" i="7"/>
  <c r="J138" i="7"/>
  <c r="G139" i="7"/>
  <c r="J44" i="7"/>
  <c r="L74" i="6"/>
  <c r="B74" i="6" s="1"/>
  <c r="C74" i="6" s="1"/>
  <c r="L136" i="6"/>
  <c r="B136" i="6" s="1"/>
  <c r="C136" i="6" s="1"/>
  <c r="L43" i="6"/>
  <c r="B43" i="6" s="1"/>
  <c r="C43" i="6" s="1"/>
  <c r="L105" i="6"/>
  <c r="B105" i="6" s="1"/>
  <c r="C105" i="6" s="1"/>
  <c r="G45" i="6"/>
  <c r="J44" i="6" s="1"/>
  <c r="G107" i="6"/>
  <c r="J106" i="6" s="1"/>
  <c r="G14" i="6"/>
  <c r="J13" i="6"/>
  <c r="B42" i="6"/>
  <c r="C42" i="6" s="1"/>
  <c r="B41" i="6"/>
  <c r="C41" i="6" s="1"/>
  <c r="B104" i="6"/>
  <c r="C104" i="6" s="1"/>
  <c r="B103" i="6"/>
  <c r="C103" i="6" s="1"/>
  <c r="G76" i="6"/>
  <c r="J75" i="6"/>
  <c r="G138" i="6"/>
  <c r="J137" i="6"/>
  <c r="J12" i="6"/>
  <c r="L14" i="5"/>
  <c r="B14" i="5" s="1"/>
  <c r="C14" i="5" s="1"/>
  <c r="L109" i="5"/>
  <c r="B109" i="5" s="1"/>
  <c r="C109" i="5" s="1"/>
  <c r="L74" i="5"/>
  <c r="L75" i="5"/>
  <c r="L136" i="5"/>
  <c r="G47" i="5"/>
  <c r="J46" i="5" s="1"/>
  <c r="G111" i="5"/>
  <c r="G77" i="5"/>
  <c r="G16" i="5"/>
  <c r="J15" i="5"/>
  <c r="G138" i="5"/>
  <c r="J45" i="5"/>
  <c r="L76" i="4"/>
  <c r="B76" i="4" s="1"/>
  <c r="C76" i="4" s="1"/>
  <c r="L12" i="4"/>
  <c r="B12" i="4" s="1"/>
  <c r="C12" i="4" s="1"/>
  <c r="L43" i="4"/>
  <c r="B43" i="4" s="1"/>
  <c r="C43" i="4" s="1"/>
  <c r="L137" i="4"/>
  <c r="B137" i="4" s="1"/>
  <c r="C137" i="4" s="1"/>
  <c r="L108" i="4"/>
  <c r="B108" i="4" s="1"/>
  <c r="C108" i="4" s="1"/>
  <c r="G14" i="4"/>
  <c r="J13" i="4"/>
  <c r="B11" i="4"/>
  <c r="C11" i="4" s="1"/>
  <c r="B10" i="4"/>
  <c r="C10" i="4" s="1"/>
  <c r="B136" i="4"/>
  <c r="C136" i="4" s="1"/>
  <c r="B135" i="4"/>
  <c r="C135" i="4" s="1"/>
  <c r="G110" i="4"/>
  <c r="J109" i="4"/>
  <c r="B107" i="4"/>
  <c r="C107" i="4" s="1"/>
  <c r="B106" i="4"/>
  <c r="C106" i="4" s="1"/>
  <c r="J138" i="4"/>
  <c r="G139" i="4"/>
  <c r="G78" i="4"/>
  <c r="J77" i="4" s="1"/>
  <c r="G45" i="4"/>
  <c r="J44" i="4" s="1"/>
  <c r="B75" i="4"/>
  <c r="C75" i="4" s="1"/>
  <c r="B45" i="3"/>
  <c r="C45" i="3" s="1"/>
  <c r="L46" i="3"/>
  <c r="B46" i="3" s="1"/>
  <c r="C46" i="3" s="1"/>
  <c r="L76" i="3"/>
  <c r="B76" i="3" s="1"/>
  <c r="C76" i="3" s="1"/>
  <c r="L13" i="3"/>
  <c r="B13" i="3" s="1"/>
  <c r="C13" i="3" s="1"/>
  <c r="L136" i="3"/>
  <c r="L105" i="3"/>
  <c r="B105" i="3" s="1"/>
  <c r="C105" i="3" s="1"/>
  <c r="L137" i="3"/>
  <c r="G139" i="3"/>
  <c r="G107" i="3"/>
  <c r="G78" i="3"/>
  <c r="G15" i="3"/>
  <c r="J14" i="3"/>
  <c r="G48" i="3"/>
  <c r="B104" i="3"/>
  <c r="C104" i="3" s="1"/>
  <c r="B75" i="3"/>
  <c r="C75" i="3" s="1"/>
  <c r="B74" i="3"/>
  <c r="C74" i="3" s="1"/>
  <c r="B44" i="3"/>
  <c r="C44" i="3" s="1"/>
  <c r="L12" i="2"/>
  <c r="B12" i="2" s="1"/>
  <c r="C12" i="2" s="1"/>
  <c r="L76" i="2"/>
  <c r="L75" i="2"/>
  <c r="L136" i="2"/>
  <c r="L43" i="2"/>
  <c r="G107" i="2"/>
  <c r="J105" i="2"/>
  <c r="G138" i="2"/>
  <c r="J137" i="2"/>
  <c r="G14" i="2"/>
  <c r="J13" i="2"/>
  <c r="G45" i="2"/>
  <c r="G78" i="2"/>
  <c r="J77" i="2"/>
  <c r="B42" i="2"/>
  <c r="C42" i="2" s="1"/>
  <c r="B41" i="2"/>
  <c r="C41" i="2" s="1"/>
  <c r="K136" i="1"/>
  <c r="L136" i="1" s="1"/>
  <c r="B136" i="1" s="1"/>
  <c r="C136" i="1" s="1"/>
  <c r="J137" i="1"/>
  <c r="G138" i="1"/>
  <c r="K105" i="1"/>
  <c r="L105" i="1" s="1"/>
  <c r="B105" i="1" s="1"/>
  <c r="C105" i="1" s="1"/>
  <c r="G107" i="1"/>
  <c r="J106" i="1"/>
  <c r="G76" i="1"/>
  <c r="J75" i="1"/>
  <c r="J74" i="1"/>
  <c r="K44" i="1"/>
  <c r="L44" i="1" s="1"/>
  <c r="B44" i="1" s="1"/>
  <c r="C44" i="1" s="1"/>
  <c r="G46" i="1"/>
  <c r="K10" i="1"/>
  <c r="K9" i="1"/>
  <c r="G12" i="1"/>
  <c r="J11" i="1" s="1"/>
  <c r="K11" i="1" a="1"/>
  <c r="K74" i="1" a="1"/>
  <c r="K75" i="1" a="1"/>
  <c r="K106" i="1" a="1"/>
  <c r="K137" i="1" a="1"/>
  <c r="L9" i="1" l="1"/>
  <c r="B9" i="1" s="1"/>
  <c r="C9" i="1" s="1"/>
  <c r="L10" i="1"/>
  <c r="L44" i="16"/>
  <c r="B44" i="16" s="1"/>
  <c r="C44" i="16" s="1"/>
  <c r="L79" i="16"/>
  <c r="L78" i="16"/>
  <c r="L13" i="16"/>
  <c r="B13" i="16" s="1"/>
  <c r="C13" i="16" s="1"/>
  <c r="G108" i="16"/>
  <c r="J107" i="16"/>
  <c r="G140" i="16"/>
  <c r="J139" i="16"/>
  <c r="J106" i="16"/>
  <c r="G16" i="16"/>
  <c r="J15" i="16"/>
  <c r="G81" i="16"/>
  <c r="J80" i="16" s="1"/>
  <c r="B12" i="16"/>
  <c r="C12" i="16" s="1"/>
  <c r="G46" i="16"/>
  <c r="J45" i="16"/>
  <c r="B105" i="16"/>
  <c r="C105" i="16" s="1"/>
  <c r="B104" i="16"/>
  <c r="C104" i="16" s="1"/>
  <c r="B43" i="16"/>
  <c r="C43" i="16" s="1"/>
  <c r="J14" i="16"/>
  <c r="J138" i="16"/>
  <c r="L139" i="15"/>
  <c r="B139" i="15" s="1"/>
  <c r="C139" i="15" s="1"/>
  <c r="L81" i="15"/>
  <c r="B81" i="15" s="1"/>
  <c r="C81" i="15" s="1"/>
  <c r="L108" i="15"/>
  <c r="G51" i="15"/>
  <c r="J50" i="15"/>
  <c r="J49" i="15"/>
  <c r="G16" i="15"/>
  <c r="J15" i="15"/>
  <c r="B80" i="15"/>
  <c r="C80" i="15" s="1"/>
  <c r="B13" i="15"/>
  <c r="C13" i="15" s="1"/>
  <c r="G141" i="15"/>
  <c r="G83" i="15"/>
  <c r="J82" i="15"/>
  <c r="J110" i="15"/>
  <c r="G111" i="15"/>
  <c r="J109" i="15"/>
  <c r="J14" i="15"/>
  <c r="L75" i="14"/>
  <c r="B75" i="14" s="1"/>
  <c r="C75" i="14" s="1"/>
  <c r="L139" i="14"/>
  <c r="B139" i="14" s="1"/>
  <c r="C139" i="14" s="1"/>
  <c r="L14" i="14"/>
  <c r="L15" i="14"/>
  <c r="G141" i="14"/>
  <c r="J140" i="14" s="1"/>
  <c r="G77" i="14"/>
  <c r="J76" i="14" s="1"/>
  <c r="G17" i="14"/>
  <c r="G108" i="14"/>
  <c r="J107" i="14"/>
  <c r="G46" i="14"/>
  <c r="J45" i="14"/>
  <c r="J106" i="14"/>
  <c r="J44" i="14"/>
  <c r="L14" i="13"/>
  <c r="B14" i="13" s="1"/>
  <c r="C14" i="13" s="1"/>
  <c r="L138" i="13"/>
  <c r="L47" i="13"/>
  <c r="B47" i="13" s="1"/>
  <c r="C47" i="13" s="1"/>
  <c r="L137" i="13"/>
  <c r="L76" i="13"/>
  <c r="B76" i="13" s="1"/>
  <c r="C76" i="13" s="1"/>
  <c r="G108" i="13"/>
  <c r="J107" i="13"/>
  <c r="B75" i="13"/>
  <c r="C75" i="13" s="1"/>
  <c r="B74" i="13"/>
  <c r="C74" i="13" s="1"/>
  <c r="G49" i="13"/>
  <c r="J48" i="13"/>
  <c r="J106" i="13"/>
  <c r="G78" i="13"/>
  <c r="J15" i="13"/>
  <c r="G16" i="13"/>
  <c r="G140" i="13"/>
  <c r="L46" i="12"/>
  <c r="B46" i="12" s="1"/>
  <c r="C46" i="12" s="1"/>
  <c r="L75" i="12"/>
  <c r="L74" i="12"/>
  <c r="L137" i="12"/>
  <c r="G139" i="12"/>
  <c r="J138" i="12" s="1"/>
  <c r="B137" i="12"/>
  <c r="C137" i="12" s="1"/>
  <c r="G16" i="12"/>
  <c r="J15" i="12"/>
  <c r="G77" i="12"/>
  <c r="J76" i="12" s="1"/>
  <c r="G110" i="12"/>
  <c r="J109" i="12"/>
  <c r="J14" i="12"/>
  <c r="J108" i="12"/>
  <c r="G48" i="12"/>
  <c r="J47" i="12"/>
  <c r="B136" i="12"/>
  <c r="C136" i="12" s="1"/>
  <c r="B13" i="12"/>
  <c r="C13" i="12" s="1"/>
  <c r="B12" i="12"/>
  <c r="C12" i="12" s="1"/>
  <c r="L108" i="11"/>
  <c r="B108" i="11" s="1"/>
  <c r="C108" i="11" s="1"/>
  <c r="L45" i="11"/>
  <c r="L44" i="11"/>
  <c r="L14" i="11"/>
  <c r="B14" i="11" s="1"/>
  <c r="C14" i="11" s="1"/>
  <c r="G47" i="11"/>
  <c r="G139" i="11"/>
  <c r="B13" i="11"/>
  <c r="C13" i="11" s="1"/>
  <c r="B12" i="11"/>
  <c r="C12" i="11" s="1"/>
  <c r="B75" i="11"/>
  <c r="C75" i="11" s="1"/>
  <c r="G110" i="11"/>
  <c r="G78" i="11"/>
  <c r="J77" i="11"/>
  <c r="J76" i="11"/>
  <c r="J137" i="11"/>
  <c r="G16" i="11"/>
  <c r="J15" i="11"/>
  <c r="B107" i="11"/>
  <c r="C107" i="11" s="1"/>
  <c r="B106" i="11"/>
  <c r="C106" i="11" s="1"/>
  <c r="L138" i="10"/>
  <c r="B138" i="10" s="1"/>
  <c r="C138" i="10" s="1"/>
  <c r="L106" i="10"/>
  <c r="B106" i="10" s="1"/>
  <c r="C106" i="10" s="1"/>
  <c r="L15" i="10"/>
  <c r="L43" i="10"/>
  <c r="L14" i="10"/>
  <c r="G79" i="10"/>
  <c r="B105" i="10"/>
  <c r="C105" i="10" s="1"/>
  <c r="B104" i="10"/>
  <c r="C104" i="10" s="1"/>
  <c r="G140" i="10"/>
  <c r="G46" i="10"/>
  <c r="J45" i="10"/>
  <c r="J77" i="10"/>
  <c r="B137" i="10"/>
  <c r="C137" i="10" s="1"/>
  <c r="B136" i="10"/>
  <c r="C136" i="10" s="1"/>
  <c r="J44" i="10"/>
  <c r="G17" i="10"/>
  <c r="J16" i="10" s="1"/>
  <c r="G108" i="10"/>
  <c r="L75" i="9"/>
  <c r="L108" i="9"/>
  <c r="L13" i="9"/>
  <c r="B13" i="9" s="1"/>
  <c r="C13" i="9" s="1"/>
  <c r="L74" i="9"/>
  <c r="L47" i="9"/>
  <c r="B47" i="9" s="1"/>
  <c r="C47" i="9" s="1"/>
  <c r="L109" i="9"/>
  <c r="L137" i="9"/>
  <c r="B137" i="9" s="1"/>
  <c r="C137" i="9" s="1"/>
  <c r="G77" i="9"/>
  <c r="J76" i="9" s="1"/>
  <c r="G15" i="9"/>
  <c r="G139" i="9"/>
  <c r="J138" i="9" s="1"/>
  <c r="B46" i="9"/>
  <c r="C46" i="9" s="1"/>
  <c r="B45" i="9"/>
  <c r="C45" i="9" s="1"/>
  <c r="G111" i="9"/>
  <c r="G49" i="9"/>
  <c r="J48" i="9" s="1"/>
  <c r="L106" i="8"/>
  <c r="B106" i="8" s="1"/>
  <c r="C106" i="8" s="1"/>
  <c r="L44" i="8"/>
  <c r="L43" i="8"/>
  <c r="L75" i="8"/>
  <c r="L74" i="8"/>
  <c r="L13" i="8"/>
  <c r="G140" i="8"/>
  <c r="J139" i="8"/>
  <c r="G15" i="8"/>
  <c r="B137" i="8"/>
  <c r="C137" i="8" s="1"/>
  <c r="B136" i="8"/>
  <c r="C136" i="8" s="1"/>
  <c r="G108" i="8"/>
  <c r="J107" i="8"/>
  <c r="J138" i="8"/>
  <c r="J76" i="8"/>
  <c r="G77" i="8"/>
  <c r="G46" i="8"/>
  <c r="J45" i="8"/>
  <c r="L76" i="7"/>
  <c r="B76" i="7" s="1"/>
  <c r="C76" i="7" s="1"/>
  <c r="L13" i="7"/>
  <c r="B13" i="7" s="1"/>
  <c r="C13" i="7" s="1"/>
  <c r="L45" i="7"/>
  <c r="L44" i="7"/>
  <c r="L111" i="7"/>
  <c r="B111" i="7" s="1"/>
  <c r="C111" i="7" s="1"/>
  <c r="L138" i="7"/>
  <c r="G47" i="7"/>
  <c r="G113" i="7"/>
  <c r="J112" i="7"/>
  <c r="G78" i="7"/>
  <c r="J77" i="7"/>
  <c r="G140" i="7"/>
  <c r="J139" i="7"/>
  <c r="B137" i="7"/>
  <c r="C137" i="7" s="1"/>
  <c r="B136" i="7"/>
  <c r="C136" i="7" s="1"/>
  <c r="G15" i="7"/>
  <c r="J14" i="7" s="1"/>
  <c r="L44" i="6"/>
  <c r="B44" i="6" s="1"/>
  <c r="C44" i="6" s="1"/>
  <c r="L106" i="6"/>
  <c r="B106" i="6" s="1"/>
  <c r="C106" i="6" s="1"/>
  <c r="L137" i="6"/>
  <c r="B137" i="6" s="1"/>
  <c r="C137" i="6" s="1"/>
  <c r="L13" i="6"/>
  <c r="L12" i="6"/>
  <c r="L75" i="6"/>
  <c r="B75" i="6" s="1"/>
  <c r="C75" i="6" s="1"/>
  <c r="G139" i="6"/>
  <c r="J138" i="6" s="1"/>
  <c r="G108" i="6"/>
  <c r="J107" i="6"/>
  <c r="G46" i="6"/>
  <c r="J45" i="6"/>
  <c r="J14" i="6"/>
  <c r="G15" i="6"/>
  <c r="J76" i="6"/>
  <c r="G77" i="6"/>
  <c r="L46" i="5"/>
  <c r="L45" i="5"/>
  <c r="L15" i="5"/>
  <c r="B15" i="5" s="1"/>
  <c r="C15" i="5" s="1"/>
  <c r="G17" i="5"/>
  <c r="B136" i="5"/>
  <c r="C136" i="5" s="1"/>
  <c r="G139" i="5"/>
  <c r="J138" i="5" s="1"/>
  <c r="G78" i="5"/>
  <c r="J77" i="5"/>
  <c r="J76" i="5"/>
  <c r="G112" i="5"/>
  <c r="J111" i="5"/>
  <c r="J110" i="5"/>
  <c r="G48" i="5"/>
  <c r="J47" i="5"/>
  <c r="B75" i="5"/>
  <c r="C75" i="5" s="1"/>
  <c r="B74" i="5"/>
  <c r="C74" i="5" s="1"/>
  <c r="J137" i="5"/>
  <c r="L77" i="4"/>
  <c r="B77" i="4" s="1"/>
  <c r="C77" i="4" s="1"/>
  <c r="L44" i="4"/>
  <c r="B44" i="4" s="1"/>
  <c r="C44" i="4" s="1"/>
  <c r="L13" i="4"/>
  <c r="L109" i="4"/>
  <c r="B109" i="4" s="1"/>
  <c r="C109" i="4" s="1"/>
  <c r="L138" i="4"/>
  <c r="B138" i="4" s="1"/>
  <c r="C138" i="4" s="1"/>
  <c r="G46" i="4"/>
  <c r="J45" i="4"/>
  <c r="G140" i="4"/>
  <c r="J139" i="4" s="1"/>
  <c r="J14" i="4"/>
  <c r="G15" i="4"/>
  <c r="G111" i="4"/>
  <c r="J110" i="4"/>
  <c r="G79" i="4"/>
  <c r="J78" i="4"/>
  <c r="L14" i="3"/>
  <c r="B14" i="3" s="1"/>
  <c r="C14" i="3" s="1"/>
  <c r="G79" i="3"/>
  <c r="J78" i="3" s="1"/>
  <c r="J77" i="3"/>
  <c r="G108" i="3"/>
  <c r="J107" i="3"/>
  <c r="G49" i="3"/>
  <c r="J48" i="3" s="1"/>
  <c r="G16" i="3"/>
  <c r="J106" i="3"/>
  <c r="G140" i="3"/>
  <c r="J139" i="3"/>
  <c r="J138" i="3"/>
  <c r="B137" i="3"/>
  <c r="C137" i="3" s="1"/>
  <c r="B136" i="3"/>
  <c r="C136" i="3" s="1"/>
  <c r="J47" i="3"/>
  <c r="L105" i="2"/>
  <c r="L77" i="2"/>
  <c r="B77" i="2" s="1"/>
  <c r="C77" i="2" s="1"/>
  <c r="L13" i="2"/>
  <c r="B13" i="2" s="1"/>
  <c r="C13" i="2" s="1"/>
  <c r="L137" i="2"/>
  <c r="B137" i="2" s="1"/>
  <c r="C137" i="2" s="1"/>
  <c r="G46" i="2"/>
  <c r="J45" i="2"/>
  <c r="J14" i="2"/>
  <c r="G15" i="2"/>
  <c r="G108" i="2"/>
  <c r="J107" i="2"/>
  <c r="G79" i="2"/>
  <c r="B76" i="2"/>
  <c r="C76" i="2" s="1"/>
  <c r="B75" i="2"/>
  <c r="C75" i="2" s="1"/>
  <c r="G139" i="2"/>
  <c r="B136" i="2"/>
  <c r="C136" i="2" s="1"/>
  <c r="J44" i="2"/>
  <c r="J106" i="2"/>
  <c r="B43" i="2"/>
  <c r="C43" i="2" s="1"/>
  <c r="K137" i="1"/>
  <c r="L137" i="1" s="1"/>
  <c r="B137" i="1" s="1"/>
  <c r="C137" i="1" s="1"/>
  <c r="G139" i="1"/>
  <c r="K106" i="1"/>
  <c r="L106" i="1" s="1"/>
  <c r="B106" i="1" s="1"/>
  <c r="C106" i="1" s="1"/>
  <c r="G108" i="1"/>
  <c r="J107" i="1"/>
  <c r="K74" i="1"/>
  <c r="L74" i="1" s="1"/>
  <c r="K75" i="1"/>
  <c r="L75" i="1" s="1"/>
  <c r="G77" i="1"/>
  <c r="G47" i="1"/>
  <c r="J46" i="1"/>
  <c r="J45" i="1"/>
  <c r="K11" i="1"/>
  <c r="J12" i="1"/>
  <c r="G13" i="1"/>
  <c r="K107" i="1" a="1"/>
  <c r="K46" i="1" a="1"/>
  <c r="K12" i="1" a="1"/>
  <c r="K45" i="1" a="1"/>
  <c r="B10" i="1" l="1"/>
  <c r="C10" i="1" s="1"/>
  <c r="L11" i="1"/>
  <c r="B11" i="1" s="1"/>
  <c r="C11" i="1" s="1"/>
  <c r="L80" i="16"/>
  <c r="B80" i="16" s="1"/>
  <c r="C80" i="16" s="1"/>
  <c r="L15" i="16"/>
  <c r="L106" i="16"/>
  <c r="L138" i="16"/>
  <c r="L139" i="16"/>
  <c r="L107" i="16"/>
  <c r="L45" i="16"/>
  <c r="B45" i="16" s="1"/>
  <c r="C45" i="16" s="1"/>
  <c r="L14" i="16"/>
  <c r="B79" i="16"/>
  <c r="C79" i="16" s="1"/>
  <c r="B78" i="16"/>
  <c r="C78" i="16" s="1"/>
  <c r="G17" i="16"/>
  <c r="J16" i="16"/>
  <c r="G82" i="16"/>
  <c r="J81" i="16"/>
  <c r="G141" i="16"/>
  <c r="J140" i="16"/>
  <c r="G109" i="16"/>
  <c r="G47" i="16"/>
  <c r="J46" i="16"/>
  <c r="L15" i="15"/>
  <c r="L50" i="15"/>
  <c r="L109" i="15"/>
  <c r="B109" i="15" s="1"/>
  <c r="C109" i="15" s="1"/>
  <c r="L82" i="15"/>
  <c r="B82" i="15" s="1"/>
  <c r="C82" i="15" s="1"/>
  <c r="L49" i="15"/>
  <c r="L14" i="15"/>
  <c r="L110" i="15"/>
  <c r="G142" i="15"/>
  <c r="J141" i="15"/>
  <c r="G112" i="15"/>
  <c r="J111" i="15"/>
  <c r="G84" i="15"/>
  <c r="J140" i="15"/>
  <c r="J16" i="15"/>
  <c r="G17" i="15"/>
  <c r="G52" i="15"/>
  <c r="J51" i="15"/>
  <c r="B108" i="15"/>
  <c r="C108" i="15" s="1"/>
  <c r="L140" i="14"/>
  <c r="B140" i="14" s="1"/>
  <c r="C140" i="14" s="1"/>
  <c r="L76" i="14"/>
  <c r="B76" i="14" s="1"/>
  <c r="C76" i="14" s="1"/>
  <c r="L44" i="14"/>
  <c r="L107" i="14"/>
  <c r="L106" i="14"/>
  <c r="L45" i="14"/>
  <c r="G18" i="14"/>
  <c r="J17" i="14"/>
  <c r="J16" i="14"/>
  <c r="G142" i="14"/>
  <c r="J141" i="14"/>
  <c r="B15" i="14"/>
  <c r="C15" i="14" s="1"/>
  <c r="B14" i="14"/>
  <c r="C14" i="14" s="1"/>
  <c r="G109" i="14"/>
  <c r="J108" i="14" s="1"/>
  <c r="G78" i="14"/>
  <c r="J77" i="14"/>
  <c r="G47" i="14"/>
  <c r="J46" i="14" s="1"/>
  <c r="L107" i="13"/>
  <c r="L106" i="13"/>
  <c r="L48" i="13"/>
  <c r="B48" i="13" s="1"/>
  <c r="C48" i="13" s="1"/>
  <c r="L15" i="13"/>
  <c r="B15" i="13" s="1"/>
  <c r="C15" i="13" s="1"/>
  <c r="G141" i="13"/>
  <c r="J140" i="13"/>
  <c r="B138" i="13"/>
  <c r="C138" i="13" s="1"/>
  <c r="B137" i="13"/>
  <c r="C137" i="13" s="1"/>
  <c r="J139" i="13"/>
  <c r="G79" i="13"/>
  <c r="J78" i="13"/>
  <c r="J77" i="13"/>
  <c r="G50" i="13"/>
  <c r="J49" i="13" s="1"/>
  <c r="J108" i="13"/>
  <c r="G109" i="13"/>
  <c r="G17" i="13"/>
  <c r="L138" i="12"/>
  <c r="B138" i="12" s="1"/>
  <c r="C138" i="12" s="1"/>
  <c r="L76" i="12"/>
  <c r="B76" i="12" s="1"/>
  <c r="C76" i="12" s="1"/>
  <c r="L15" i="12"/>
  <c r="L47" i="12"/>
  <c r="B47" i="12" s="1"/>
  <c r="C47" i="12" s="1"/>
  <c r="L108" i="12"/>
  <c r="L109" i="12"/>
  <c r="L14" i="12"/>
  <c r="G111" i="12"/>
  <c r="G17" i="12"/>
  <c r="G49" i="12"/>
  <c r="B75" i="12"/>
  <c r="C75" i="12" s="1"/>
  <c r="B74" i="12"/>
  <c r="C74" i="12" s="1"/>
  <c r="G140" i="12"/>
  <c r="J139" i="12"/>
  <c r="G78" i="12"/>
  <c r="J77" i="12"/>
  <c r="L15" i="11"/>
  <c r="B15" i="11" s="1"/>
  <c r="C15" i="11" s="1"/>
  <c r="L76" i="11"/>
  <c r="L77" i="11"/>
  <c r="L137" i="11"/>
  <c r="G111" i="11"/>
  <c r="G48" i="11"/>
  <c r="J47" i="11"/>
  <c r="B45" i="11"/>
  <c r="C45" i="11" s="1"/>
  <c r="B44" i="11"/>
  <c r="C44" i="11" s="1"/>
  <c r="J46" i="11"/>
  <c r="G79" i="11"/>
  <c r="G140" i="11"/>
  <c r="J138" i="11"/>
  <c r="G17" i="11"/>
  <c r="J109" i="11"/>
  <c r="L16" i="10"/>
  <c r="B16" i="10" s="1"/>
  <c r="C16" i="10" s="1"/>
  <c r="L45" i="10"/>
  <c r="L44" i="10"/>
  <c r="L77" i="10"/>
  <c r="G47" i="10"/>
  <c r="J46" i="10"/>
  <c r="G80" i="10"/>
  <c r="J79" i="10"/>
  <c r="B43" i="10"/>
  <c r="C43" i="10" s="1"/>
  <c r="G141" i="10"/>
  <c r="J140" i="10"/>
  <c r="G109" i="10"/>
  <c r="J108" i="10"/>
  <c r="J107" i="10"/>
  <c r="B15" i="10"/>
  <c r="C15" i="10" s="1"/>
  <c r="B14" i="10"/>
  <c r="C14" i="10" s="1"/>
  <c r="G18" i="10"/>
  <c r="J17" i="10" s="1"/>
  <c r="J139" i="10"/>
  <c r="J78" i="10"/>
  <c r="L48" i="9"/>
  <c r="B48" i="9" s="1"/>
  <c r="C48" i="9" s="1"/>
  <c r="L138" i="9"/>
  <c r="B138" i="9" s="1"/>
  <c r="C138" i="9" s="1"/>
  <c r="L76" i="9"/>
  <c r="B76" i="9" s="1"/>
  <c r="C76" i="9" s="1"/>
  <c r="G16" i="9"/>
  <c r="J15" i="9"/>
  <c r="J14" i="9"/>
  <c r="G112" i="9"/>
  <c r="G140" i="9"/>
  <c r="J139" i="9"/>
  <c r="G50" i="9"/>
  <c r="B75" i="9"/>
  <c r="C75" i="9" s="1"/>
  <c r="B74" i="9"/>
  <c r="C74" i="9" s="1"/>
  <c r="J110" i="9"/>
  <c r="B109" i="9"/>
  <c r="C109" i="9" s="1"/>
  <c r="B108" i="9"/>
  <c r="C108" i="9" s="1"/>
  <c r="G78" i="9"/>
  <c r="J77" i="9"/>
  <c r="L107" i="8"/>
  <c r="B107" i="8" s="1"/>
  <c r="C107" i="8" s="1"/>
  <c r="L76" i="8"/>
  <c r="B76" i="8" s="1"/>
  <c r="C76" i="8" s="1"/>
  <c r="L139" i="8"/>
  <c r="L138" i="8"/>
  <c r="L45" i="8"/>
  <c r="G16" i="8"/>
  <c r="J15" i="8"/>
  <c r="J14" i="8"/>
  <c r="G141" i="8"/>
  <c r="J140" i="8" s="1"/>
  <c r="B75" i="8"/>
  <c r="C75" i="8" s="1"/>
  <c r="B74" i="8"/>
  <c r="C74" i="8" s="1"/>
  <c r="G47" i="8"/>
  <c r="J46" i="8" s="1"/>
  <c r="B13" i="8"/>
  <c r="C13" i="8" s="1"/>
  <c r="G109" i="8"/>
  <c r="J108" i="8" s="1"/>
  <c r="B44" i="8"/>
  <c r="C44" i="8" s="1"/>
  <c r="B43" i="8"/>
  <c r="C43" i="8" s="1"/>
  <c r="G78" i="8"/>
  <c r="J77" i="8"/>
  <c r="L14" i="7"/>
  <c r="B14" i="7" s="1"/>
  <c r="C14" i="7" s="1"/>
  <c r="L77" i="7"/>
  <c r="B77" i="7" s="1"/>
  <c r="C77" i="7" s="1"/>
  <c r="L112" i="7"/>
  <c r="B112" i="7" s="1"/>
  <c r="C112" i="7" s="1"/>
  <c r="L139" i="7"/>
  <c r="B139" i="7" s="1"/>
  <c r="C139" i="7" s="1"/>
  <c r="G141" i="7"/>
  <c r="G48" i="7"/>
  <c r="J47" i="7"/>
  <c r="G114" i="7"/>
  <c r="G79" i="7"/>
  <c r="J78" i="7" s="1"/>
  <c r="J46" i="7"/>
  <c r="B138" i="7"/>
  <c r="C138" i="7" s="1"/>
  <c r="G16" i="7"/>
  <c r="J15" i="7"/>
  <c r="B45" i="7"/>
  <c r="C45" i="7" s="1"/>
  <c r="B44" i="7"/>
  <c r="C44" i="7" s="1"/>
  <c r="L138" i="6"/>
  <c r="B138" i="6" s="1"/>
  <c r="C138" i="6" s="1"/>
  <c r="L45" i="6"/>
  <c r="B45" i="6" s="1"/>
  <c r="C45" i="6" s="1"/>
  <c r="L107" i="6"/>
  <c r="B107" i="6" s="1"/>
  <c r="C107" i="6" s="1"/>
  <c r="L76" i="6"/>
  <c r="L14" i="6"/>
  <c r="B14" i="6" s="1"/>
  <c r="C14" i="6" s="1"/>
  <c r="B13" i="6"/>
  <c r="C13" i="6" s="1"/>
  <c r="B12" i="6"/>
  <c r="C12" i="6" s="1"/>
  <c r="G78" i="6"/>
  <c r="J77" i="6"/>
  <c r="J46" i="6"/>
  <c r="G47" i="6"/>
  <c r="G109" i="6"/>
  <c r="J108" i="6" s="1"/>
  <c r="G140" i="6"/>
  <c r="J139" i="6"/>
  <c r="G16" i="6"/>
  <c r="J15" i="6"/>
  <c r="L138" i="5"/>
  <c r="L77" i="5"/>
  <c r="L137" i="5"/>
  <c r="L47" i="5"/>
  <c r="B47" i="5" s="1"/>
  <c r="C47" i="5" s="1"/>
  <c r="L111" i="5"/>
  <c r="L76" i="5"/>
  <c r="L110" i="5"/>
  <c r="G113" i="5"/>
  <c r="J112" i="5"/>
  <c r="G18" i="5"/>
  <c r="J17" i="5"/>
  <c r="G49" i="5"/>
  <c r="J48" i="5" s="1"/>
  <c r="B46" i="5"/>
  <c r="C46" i="5" s="1"/>
  <c r="B45" i="5"/>
  <c r="C45" i="5" s="1"/>
  <c r="G79" i="5"/>
  <c r="G140" i="5"/>
  <c r="J139" i="5"/>
  <c r="J16" i="5"/>
  <c r="L139" i="4"/>
  <c r="B139" i="4" s="1"/>
  <c r="C139" i="4" s="1"/>
  <c r="L14" i="4"/>
  <c r="B14" i="4" s="1"/>
  <c r="C14" i="4" s="1"/>
  <c r="L78" i="4"/>
  <c r="B78" i="4" s="1"/>
  <c r="C78" i="4" s="1"/>
  <c r="L110" i="4"/>
  <c r="B110" i="4" s="1"/>
  <c r="C110" i="4" s="1"/>
  <c r="L45" i="4"/>
  <c r="G16" i="4"/>
  <c r="J15" i="4"/>
  <c r="G47" i="4"/>
  <c r="J46" i="4" s="1"/>
  <c r="G112" i="4"/>
  <c r="J111" i="4" s="1"/>
  <c r="G80" i="4"/>
  <c r="J79" i="4"/>
  <c r="G141" i="4"/>
  <c r="J140" i="4"/>
  <c r="B13" i="4"/>
  <c r="C13" i="4" s="1"/>
  <c r="L48" i="3"/>
  <c r="L78" i="3"/>
  <c r="L138" i="3"/>
  <c r="L139" i="3"/>
  <c r="L106" i="3"/>
  <c r="L47" i="3"/>
  <c r="L77" i="3"/>
  <c r="L107" i="3"/>
  <c r="G17" i="3"/>
  <c r="G141" i="3"/>
  <c r="J15" i="3"/>
  <c r="G50" i="3"/>
  <c r="G109" i="3"/>
  <c r="G80" i="3"/>
  <c r="J79" i="3"/>
  <c r="L107" i="2"/>
  <c r="L14" i="2"/>
  <c r="B14" i="2" s="1"/>
  <c r="C14" i="2" s="1"/>
  <c r="L106" i="2"/>
  <c r="L44" i="2"/>
  <c r="L45" i="2"/>
  <c r="G80" i="2"/>
  <c r="J79" i="2"/>
  <c r="G109" i="2"/>
  <c r="G47" i="2"/>
  <c r="J46" i="2" s="1"/>
  <c r="J78" i="2"/>
  <c r="G16" i="2"/>
  <c r="J15" i="2"/>
  <c r="G140" i="2"/>
  <c r="J139" i="2"/>
  <c r="J138" i="2"/>
  <c r="B105" i="2"/>
  <c r="C105" i="2" s="1"/>
  <c r="G140" i="1"/>
  <c r="J138" i="1"/>
  <c r="K107" i="1"/>
  <c r="L107" i="1" s="1"/>
  <c r="B107" i="1" s="1"/>
  <c r="C107" i="1" s="1"/>
  <c r="G109" i="1"/>
  <c r="J108" i="1"/>
  <c r="G78" i="1"/>
  <c r="J77" i="1"/>
  <c r="J76" i="1"/>
  <c r="B75" i="1"/>
  <c r="C75" i="1" s="1"/>
  <c r="B74" i="1"/>
  <c r="C74" i="1" s="1"/>
  <c r="K45" i="1"/>
  <c r="L45" i="1" s="1"/>
  <c r="K46" i="1"/>
  <c r="L46" i="1" s="1"/>
  <c r="G48" i="1"/>
  <c r="K12" i="1"/>
  <c r="G14" i="1"/>
  <c r="J13" i="1" s="1"/>
  <c r="K138" i="1" a="1"/>
  <c r="K13" i="1" a="1"/>
  <c r="K77" i="1" a="1"/>
  <c r="K76" i="1" a="1"/>
  <c r="K108" i="1" a="1"/>
  <c r="B15" i="16" l="1"/>
  <c r="C15" i="16" s="1"/>
  <c r="B45" i="10"/>
  <c r="C45" i="10" s="1"/>
  <c r="B14" i="16"/>
  <c r="C14" i="16" s="1"/>
  <c r="L12" i="1"/>
  <c r="B12" i="1" s="1"/>
  <c r="C12" i="1" s="1"/>
  <c r="L81" i="16"/>
  <c r="B81" i="16" s="1"/>
  <c r="C81" i="16" s="1"/>
  <c r="L46" i="16"/>
  <c r="B46" i="16" s="1"/>
  <c r="C46" i="16" s="1"/>
  <c r="L16" i="16"/>
  <c r="B16" i="16" s="1"/>
  <c r="C16" i="16" s="1"/>
  <c r="L140" i="16"/>
  <c r="B140" i="16" s="1"/>
  <c r="C140" i="16" s="1"/>
  <c r="G110" i="16"/>
  <c r="J109" i="16"/>
  <c r="B139" i="16"/>
  <c r="C139" i="16" s="1"/>
  <c r="B138" i="16"/>
  <c r="C138" i="16" s="1"/>
  <c r="J108" i="16"/>
  <c r="B107" i="16"/>
  <c r="C107" i="16" s="1"/>
  <c r="B106" i="16"/>
  <c r="C106" i="16" s="1"/>
  <c r="G18" i="16"/>
  <c r="J17" i="16" s="1"/>
  <c r="G83" i="16"/>
  <c r="J82" i="16"/>
  <c r="G48" i="16"/>
  <c r="J47" i="16"/>
  <c r="G142" i="16"/>
  <c r="J141" i="16"/>
  <c r="L51" i="15"/>
  <c r="B51" i="15" s="1"/>
  <c r="C51" i="15" s="1"/>
  <c r="L16" i="15"/>
  <c r="L140" i="15"/>
  <c r="L111" i="15"/>
  <c r="L141" i="15"/>
  <c r="G113" i="15"/>
  <c r="J112" i="15"/>
  <c r="B50" i="15"/>
  <c r="C50" i="15" s="1"/>
  <c r="B49" i="15"/>
  <c r="C49" i="15" s="1"/>
  <c r="G53" i="15"/>
  <c r="J52" i="15"/>
  <c r="G85" i="15"/>
  <c r="J84" i="15"/>
  <c r="J83" i="15"/>
  <c r="G143" i="15"/>
  <c r="J142" i="15"/>
  <c r="B15" i="15"/>
  <c r="C15" i="15" s="1"/>
  <c r="B14" i="15"/>
  <c r="C14" i="15" s="1"/>
  <c r="B110" i="15"/>
  <c r="C110" i="15" s="1"/>
  <c r="G18" i="15"/>
  <c r="J17" i="15"/>
  <c r="B16" i="15"/>
  <c r="C16" i="15" s="1"/>
  <c r="L108" i="14"/>
  <c r="B108" i="14" s="1"/>
  <c r="C108" i="14" s="1"/>
  <c r="L46" i="14"/>
  <c r="B46" i="14" s="1"/>
  <c r="C46" i="14" s="1"/>
  <c r="L16" i="14"/>
  <c r="L141" i="14"/>
  <c r="B141" i="14" s="1"/>
  <c r="C141" i="14" s="1"/>
  <c r="L77" i="14"/>
  <c r="L17" i="14"/>
  <c r="B45" i="14"/>
  <c r="C45" i="14" s="1"/>
  <c r="B44" i="14"/>
  <c r="C44" i="14" s="1"/>
  <c r="G110" i="14"/>
  <c r="J109" i="14"/>
  <c r="G143" i="14"/>
  <c r="J142" i="14" s="1"/>
  <c r="G19" i="14"/>
  <c r="J18" i="14" s="1"/>
  <c r="B107" i="14"/>
  <c r="C107" i="14" s="1"/>
  <c r="B106" i="14"/>
  <c r="C106" i="14" s="1"/>
  <c r="G48" i="14"/>
  <c r="J47" i="14"/>
  <c r="G79" i="14"/>
  <c r="J78" i="14" s="1"/>
  <c r="L49" i="13"/>
  <c r="B49" i="13" s="1"/>
  <c r="C49" i="13" s="1"/>
  <c r="L77" i="13"/>
  <c r="L108" i="13"/>
  <c r="B108" i="13" s="1"/>
  <c r="C108" i="13" s="1"/>
  <c r="L78" i="13"/>
  <c r="L139" i="13"/>
  <c r="L140" i="13"/>
  <c r="G80" i="13"/>
  <c r="J79" i="13"/>
  <c r="G18" i="13"/>
  <c r="J17" i="13"/>
  <c r="G142" i="13"/>
  <c r="J141" i="13"/>
  <c r="J16" i="13"/>
  <c r="B107" i="13"/>
  <c r="C107" i="13" s="1"/>
  <c r="B106" i="13"/>
  <c r="C106" i="13" s="1"/>
  <c r="G51" i="13"/>
  <c r="J50" i="13"/>
  <c r="B44" i="10"/>
  <c r="C44" i="10" s="1"/>
  <c r="G110" i="13"/>
  <c r="L77" i="12"/>
  <c r="B77" i="12" s="1"/>
  <c r="C77" i="12" s="1"/>
  <c r="L139" i="12"/>
  <c r="B139" i="12" s="1"/>
  <c r="C139" i="12" s="1"/>
  <c r="G18" i="12"/>
  <c r="J17" i="12"/>
  <c r="B15" i="12"/>
  <c r="C15" i="12" s="1"/>
  <c r="B14" i="12"/>
  <c r="C14" i="12" s="1"/>
  <c r="G50" i="12"/>
  <c r="J49" i="12"/>
  <c r="J48" i="12"/>
  <c r="G112" i="12"/>
  <c r="J111" i="12"/>
  <c r="B109" i="12"/>
  <c r="C109" i="12" s="1"/>
  <c r="B108" i="12"/>
  <c r="C108" i="12" s="1"/>
  <c r="J16" i="12"/>
  <c r="J110" i="12"/>
  <c r="G79" i="12"/>
  <c r="J78" i="12" s="1"/>
  <c r="B107" i="2"/>
  <c r="C107" i="2" s="1"/>
  <c r="G141" i="12"/>
  <c r="L47" i="11"/>
  <c r="L46" i="11"/>
  <c r="L109" i="11"/>
  <c r="L138" i="11"/>
  <c r="B138" i="11" s="1"/>
  <c r="C138" i="11" s="1"/>
  <c r="G49" i="11"/>
  <c r="J48" i="11" s="1"/>
  <c r="G112" i="11"/>
  <c r="J111" i="11"/>
  <c r="G18" i="11"/>
  <c r="J17" i="11"/>
  <c r="B137" i="11"/>
  <c r="C137" i="11" s="1"/>
  <c r="G80" i="11"/>
  <c r="J79" i="11"/>
  <c r="J16" i="11"/>
  <c r="J140" i="11"/>
  <c r="G141" i="11"/>
  <c r="B77" i="11"/>
  <c r="C77" i="11" s="1"/>
  <c r="B76" i="11"/>
  <c r="C76" i="11" s="1"/>
  <c r="J78" i="11"/>
  <c r="J110" i="11"/>
  <c r="J139" i="11"/>
  <c r="L17" i="10"/>
  <c r="B17" i="10" s="1"/>
  <c r="C17" i="10" s="1"/>
  <c r="L140" i="10"/>
  <c r="L79" i="10"/>
  <c r="L139" i="10"/>
  <c r="L108" i="10"/>
  <c r="L46" i="10"/>
  <c r="L107" i="10"/>
  <c r="L78" i="10"/>
  <c r="G142" i="10"/>
  <c r="J141" i="10"/>
  <c r="G81" i="10"/>
  <c r="G110" i="10"/>
  <c r="G19" i="10"/>
  <c r="J18" i="10"/>
  <c r="G48" i="10"/>
  <c r="J47" i="10"/>
  <c r="B77" i="10"/>
  <c r="C77" i="10" s="1"/>
  <c r="L14" i="9"/>
  <c r="L110" i="9"/>
  <c r="L139" i="9"/>
  <c r="B139" i="9" s="1"/>
  <c r="C139" i="9" s="1"/>
  <c r="L77" i="9"/>
  <c r="B77" i="9" s="1"/>
  <c r="C77" i="9" s="1"/>
  <c r="L15" i="9"/>
  <c r="G51" i="9"/>
  <c r="J50" i="9"/>
  <c r="G113" i="9"/>
  <c r="J112" i="9"/>
  <c r="G141" i="9"/>
  <c r="J49" i="9"/>
  <c r="J111" i="9"/>
  <c r="G79" i="9"/>
  <c r="G17" i="9"/>
  <c r="L46" i="8"/>
  <c r="B46" i="8" s="1"/>
  <c r="C46" i="8" s="1"/>
  <c r="L140" i="8"/>
  <c r="B140" i="8" s="1"/>
  <c r="C140" i="8" s="1"/>
  <c r="L108" i="8"/>
  <c r="B108" i="8" s="1"/>
  <c r="C108" i="8" s="1"/>
  <c r="L14" i="8"/>
  <c r="L15" i="8"/>
  <c r="L77" i="8"/>
  <c r="B77" i="8" s="1"/>
  <c r="C77" i="8" s="1"/>
  <c r="G17" i="8"/>
  <c r="B139" i="8"/>
  <c r="C139" i="8" s="1"/>
  <c r="B138" i="8"/>
  <c r="C138" i="8" s="1"/>
  <c r="G142" i="8"/>
  <c r="J141" i="8"/>
  <c r="G48" i="8"/>
  <c r="G79" i="8"/>
  <c r="G110" i="8"/>
  <c r="J109" i="8"/>
  <c r="B45" i="8"/>
  <c r="C45" i="8" s="1"/>
  <c r="L78" i="7"/>
  <c r="B78" i="7" s="1"/>
  <c r="C78" i="7" s="1"/>
  <c r="L15" i="7"/>
  <c r="B15" i="7" s="1"/>
  <c r="C15" i="7" s="1"/>
  <c r="L46" i="7"/>
  <c r="L47" i="7"/>
  <c r="G142" i="7"/>
  <c r="J141" i="7"/>
  <c r="G115" i="7"/>
  <c r="J114" i="7"/>
  <c r="J140" i="7"/>
  <c r="G80" i="7"/>
  <c r="J79" i="7" s="1"/>
  <c r="J113" i="7"/>
  <c r="G49" i="7"/>
  <c r="G17" i="7"/>
  <c r="L108" i="6"/>
  <c r="B108" i="6" s="1"/>
  <c r="C108" i="6" s="1"/>
  <c r="L46" i="6"/>
  <c r="B46" i="6" s="1"/>
  <c r="C46" i="6" s="1"/>
  <c r="L15" i="6"/>
  <c r="B15" i="6" s="1"/>
  <c r="C15" i="6" s="1"/>
  <c r="L139" i="6"/>
  <c r="B139" i="6" s="1"/>
  <c r="C139" i="6" s="1"/>
  <c r="L77" i="6"/>
  <c r="B77" i="6" s="1"/>
  <c r="C77" i="6" s="1"/>
  <c r="G79" i="6"/>
  <c r="J78" i="6" s="1"/>
  <c r="G17" i="6"/>
  <c r="B76" i="6"/>
  <c r="C76" i="6" s="1"/>
  <c r="G110" i="6"/>
  <c r="J109" i="6"/>
  <c r="G48" i="6"/>
  <c r="J47" i="6"/>
  <c r="G141" i="6"/>
  <c r="L48" i="5"/>
  <c r="B48" i="5" s="1"/>
  <c r="C48" i="5" s="1"/>
  <c r="L17" i="5"/>
  <c r="L16" i="5"/>
  <c r="L139" i="5"/>
  <c r="B139" i="5" s="1"/>
  <c r="C139" i="5" s="1"/>
  <c r="L112" i="5"/>
  <c r="G19" i="5"/>
  <c r="B111" i="5"/>
  <c r="C111" i="5" s="1"/>
  <c r="B110" i="5"/>
  <c r="C110" i="5" s="1"/>
  <c r="G50" i="5"/>
  <c r="J49" i="5"/>
  <c r="G114" i="5"/>
  <c r="J113" i="5"/>
  <c r="B77" i="5"/>
  <c r="C77" i="5" s="1"/>
  <c r="B76" i="5"/>
  <c r="C76" i="5" s="1"/>
  <c r="G141" i="5"/>
  <c r="B138" i="5"/>
  <c r="C138" i="5" s="1"/>
  <c r="B137" i="5"/>
  <c r="C137" i="5" s="1"/>
  <c r="G80" i="5"/>
  <c r="J79" i="5"/>
  <c r="J78" i="5"/>
  <c r="L46" i="4"/>
  <c r="B46" i="4" s="1"/>
  <c r="C46" i="4" s="1"/>
  <c r="L111" i="4"/>
  <c r="B111" i="4" s="1"/>
  <c r="C111" i="4" s="1"/>
  <c r="L140" i="4"/>
  <c r="B140" i="4" s="1"/>
  <c r="C140" i="4" s="1"/>
  <c r="L15" i="4"/>
  <c r="L79" i="4"/>
  <c r="B79" i="4" s="1"/>
  <c r="C79" i="4" s="1"/>
  <c r="G113" i="4"/>
  <c r="J112" i="4"/>
  <c r="G48" i="4"/>
  <c r="J47" i="4"/>
  <c r="G81" i="4"/>
  <c r="J16" i="4"/>
  <c r="G17" i="4"/>
  <c r="G142" i="4"/>
  <c r="J141" i="4"/>
  <c r="B45" i="4"/>
  <c r="C45" i="4" s="1"/>
  <c r="L15" i="3"/>
  <c r="L79" i="3"/>
  <c r="B79" i="3" s="1"/>
  <c r="C79" i="3" s="1"/>
  <c r="G142" i="3"/>
  <c r="J141" i="3"/>
  <c r="G18" i="3"/>
  <c r="J17" i="3"/>
  <c r="B48" i="3"/>
  <c r="C48" i="3" s="1"/>
  <c r="B47" i="3"/>
  <c r="C47" i="3" s="1"/>
  <c r="G81" i="3"/>
  <c r="G110" i="3"/>
  <c r="J109" i="3"/>
  <c r="G51" i="3"/>
  <c r="J50" i="3"/>
  <c r="J49" i="3"/>
  <c r="J140" i="3"/>
  <c r="J16" i="3"/>
  <c r="B78" i="3"/>
  <c r="C78" i="3" s="1"/>
  <c r="B77" i="3"/>
  <c r="C77" i="3" s="1"/>
  <c r="B107" i="3"/>
  <c r="C107" i="3" s="1"/>
  <c r="B106" i="3"/>
  <c r="C106" i="3" s="1"/>
  <c r="B139" i="3"/>
  <c r="C139" i="3" s="1"/>
  <c r="B138" i="3"/>
  <c r="C138" i="3" s="1"/>
  <c r="J108" i="3"/>
  <c r="B106" i="2"/>
  <c r="C106" i="2" s="1"/>
  <c r="L46" i="2"/>
  <c r="B46" i="2" s="1"/>
  <c r="C46" i="2" s="1"/>
  <c r="L79" i="2"/>
  <c r="L138" i="2"/>
  <c r="L15" i="2"/>
  <c r="B15" i="2" s="1"/>
  <c r="C15" i="2" s="1"/>
  <c r="L139" i="2"/>
  <c r="L78" i="2"/>
  <c r="B45" i="2"/>
  <c r="C45" i="2" s="1"/>
  <c r="B44" i="2"/>
  <c r="C44" i="2" s="1"/>
  <c r="G110" i="2"/>
  <c r="J109" i="2"/>
  <c r="J16" i="2"/>
  <c r="G17" i="2"/>
  <c r="J108" i="2"/>
  <c r="G48" i="2"/>
  <c r="J80" i="2"/>
  <c r="G81" i="2"/>
  <c r="G141" i="2"/>
  <c r="J140" i="2" s="1"/>
  <c r="K138" i="1"/>
  <c r="L138" i="1" s="1"/>
  <c r="G141" i="1"/>
  <c r="J140" i="1" s="1"/>
  <c r="J139" i="1"/>
  <c r="K108" i="1"/>
  <c r="L108" i="1" s="1"/>
  <c r="B108" i="1" s="1"/>
  <c r="C108" i="1" s="1"/>
  <c r="G110" i="1"/>
  <c r="K76" i="1"/>
  <c r="L76" i="1" s="1"/>
  <c r="K77" i="1"/>
  <c r="L77" i="1" s="1"/>
  <c r="G79" i="1"/>
  <c r="J48" i="1"/>
  <c r="G49" i="1"/>
  <c r="J47" i="1"/>
  <c r="B46" i="1"/>
  <c r="C46" i="1" s="1"/>
  <c r="B45" i="1"/>
  <c r="C45" i="1" s="1"/>
  <c r="K13" i="1"/>
  <c r="G15" i="1"/>
  <c r="J14" i="1"/>
  <c r="K139" i="1" a="1"/>
  <c r="K47" i="1" a="1"/>
  <c r="K140" i="1" a="1"/>
  <c r="K14" i="1" a="1"/>
  <c r="K48" i="1" a="1"/>
  <c r="L13" i="1" l="1"/>
  <c r="B13" i="1" s="1"/>
  <c r="C13" i="1" s="1"/>
  <c r="L17" i="16"/>
  <c r="B17" i="16" s="1"/>
  <c r="C17" i="16" s="1"/>
  <c r="L141" i="16"/>
  <c r="B141" i="16" s="1"/>
  <c r="C141" i="16" s="1"/>
  <c r="L47" i="16"/>
  <c r="L82" i="16"/>
  <c r="B82" i="16" s="1"/>
  <c r="C82" i="16" s="1"/>
  <c r="L108" i="16"/>
  <c r="L109" i="16"/>
  <c r="B79" i="10"/>
  <c r="C79" i="10" s="1"/>
  <c r="G49" i="16"/>
  <c r="G19" i="16"/>
  <c r="J18" i="16"/>
  <c r="G143" i="16"/>
  <c r="J142" i="16" s="1"/>
  <c r="G111" i="16"/>
  <c r="G84" i="16"/>
  <c r="L84" i="15"/>
  <c r="L52" i="15"/>
  <c r="B52" i="15" s="1"/>
  <c r="C52" i="15" s="1"/>
  <c r="L112" i="15"/>
  <c r="B112" i="15" s="1"/>
  <c r="C112" i="15" s="1"/>
  <c r="L142" i="15"/>
  <c r="B142" i="15" s="1"/>
  <c r="C142" i="15" s="1"/>
  <c r="L83" i="15"/>
  <c r="L17" i="15"/>
  <c r="G86" i="15"/>
  <c r="J85" i="15" s="1"/>
  <c r="G54" i="15"/>
  <c r="G114" i="15"/>
  <c r="B141" i="15"/>
  <c r="C141" i="15" s="1"/>
  <c r="B140" i="15"/>
  <c r="C140" i="15" s="1"/>
  <c r="G19" i="15"/>
  <c r="B111" i="15"/>
  <c r="C111" i="15" s="1"/>
  <c r="G144" i="15"/>
  <c r="L142" i="14"/>
  <c r="B142" i="14" s="1"/>
  <c r="C142" i="14" s="1"/>
  <c r="L78" i="14"/>
  <c r="B78" i="14" s="1"/>
  <c r="C78" i="14" s="1"/>
  <c r="L18" i="14"/>
  <c r="B18" i="14" s="1"/>
  <c r="C18" i="14" s="1"/>
  <c r="L109" i="14"/>
  <c r="B109" i="14" s="1"/>
  <c r="C109" i="14" s="1"/>
  <c r="L47" i="14"/>
  <c r="B47" i="14" s="1"/>
  <c r="C47" i="14" s="1"/>
  <c r="G49" i="14"/>
  <c r="B77" i="14"/>
  <c r="C77" i="14" s="1"/>
  <c r="B17" i="14"/>
  <c r="C17" i="14" s="1"/>
  <c r="B16" i="14"/>
  <c r="C16" i="14" s="1"/>
  <c r="G20" i="14"/>
  <c r="J19" i="14"/>
  <c r="G144" i="14"/>
  <c r="G111" i="14"/>
  <c r="G80" i="14"/>
  <c r="J79" i="14"/>
  <c r="L141" i="13"/>
  <c r="B141" i="13" s="1"/>
  <c r="C141" i="13" s="1"/>
  <c r="L17" i="13"/>
  <c r="L50" i="13"/>
  <c r="B50" i="13" s="1"/>
  <c r="C50" i="13" s="1"/>
  <c r="L79" i="13"/>
  <c r="B79" i="13" s="1"/>
  <c r="C79" i="13" s="1"/>
  <c r="L16" i="13"/>
  <c r="G19" i="13"/>
  <c r="J18" i="13"/>
  <c r="G143" i="13"/>
  <c r="J142" i="13" s="1"/>
  <c r="G111" i="13"/>
  <c r="J110" i="13"/>
  <c r="J109" i="13"/>
  <c r="G52" i="13"/>
  <c r="B78" i="13"/>
  <c r="C78" i="13" s="1"/>
  <c r="B77" i="13"/>
  <c r="C77" i="13" s="1"/>
  <c r="G81" i="13"/>
  <c r="J80" i="13"/>
  <c r="B140" i="13"/>
  <c r="C140" i="13" s="1"/>
  <c r="B139" i="13"/>
  <c r="C139" i="13" s="1"/>
  <c r="L78" i="12"/>
  <c r="B78" i="12" s="1"/>
  <c r="C78" i="12" s="1"/>
  <c r="L49" i="12"/>
  <c r="L17" i="12"/>
  <c r="L111" i="12"/>
  <c r="L48" i="12"/>
  <c r="L110" i="12"/>
  <c r="L16" i="12"/>
  <c r="G142" i="12"/>
  <c r="J141" i="12"/>
  <c r="G113" i="12"/>
  <c r="J112" i="12"/>
  <c r="G51" i="12"/>
  <c r="J50" i="12"/>
  <c r="J140" i="12"/>
  <c r="G19" i="12"/>
  <c r="J18" i="12" s="1"/>
  <c r="G80" i="12"/>
  <c r="J79" i="12"/>
  <c r="L48" i="11"/>
  <c r="B48" i="11" s="1"/>
  <c r="C48" i="11" s="1"/>
  <c r="L16" i="11"/>
  <c r="L139" i="11"/>
  <c r="B139" i="11" s="1"/>
  <c r="C139" i="11" s="1"/>
  <c r="L17" i="11"/>
  <c r="L110" i="11"/>
  <c r="B110" i="11" s="1"/>
  <c r="C110" i="11" s="1"/>
  <c r="L79" i="11"/>
  <c r="L111" i="11"/>
  <c r="L78" i="11"/>
  <c r="L140" i="11"/>
  <c r="G19" i="11"/>
  <c r="B109" i="11"/>
  <c r="C109" i="11" s="1"/>
  <c r="G81" i="11"/>
  <c r="J80" i="11" s="1"/>
  <c r="G142" i="11"/>
  <c r="J141" i="11"/>
  <c r="B47" i="11"/>
  <c r="C47" i="11" s="1"/>
  <c r="B46" i="11"/>
  <c r="C46" i="11" s="1"/>
  <c r="G113" i="11"/>
  <c r="J112" i="11"/>
  <c r="G50" i="11"/>
  <c r="J49" i="11"/>
  <c r="L18" i="10"/>
  <c r="B18" i="10" s="1"/>
  <c r="C18" i="10" s="1"/>
  <c r="L141" i="10"/>
  <c r="B141" i="10" s="1"/>
  <c r="C141" i="10" s="1"/>
  <c r="L47" i="10"/>
  <c r="B47" i="10" s="1"/>
  <c r="C47" i="10" s="1"/>
  <c r="G111" i="10"/>
  <c r="J110" i="10"/>
  <c r="B78" i="10"/>
  <c r="C78" i="10" s="1"/>
  <c r="B140" i="10"/>
  <c r="C140" i="10" s="1"/>
  <c r="B139" i="10"/>
  <c r="C139" i="10" s="1"/>
  <c r="G20" i="10"/>
  <c r="J19" i="10"/>
  <c r="B108" i="10"/>
  <c r="C108" i="10" s="1"/>
  <c r="B107" i="10"/>
  <c r="C107" i="10" s="1"/>
  <c r="G49" i="10"/>
  <c r="J109" i="10"/>
  <c r="G82" i="10"/>
  <c r="J81" i="10"/>
  <c r="J80" i="10"/>
  <c r="G143" i="10"/>
  <c r="J142" i="10"/>
  <c r="B46" i="10"/>
  <c r="C46" i="10" s="1"/>
  <c r="L112" i="9"/>
  <c r="L111" i="9"/>
  <c r="L49" i="9"/>
  <c r="L50" i="9"/>
  <c r="G142" i="9"/>
  <c r="J141" i="9" s="1"/>
  <c r="G52" i="9"/>
  <c r="J51" i="9"/>
  <c r="J140" i="9"/>
  <c r="G18" i="9"/>
  <c r="J17" i="9"/>
  <c r="B110" i="9"/>
  <c r="C110" i="9" s="1"/>
  <c r="G80" i="9"/>
  <c r="J79" i="9"/>
  <c r="J78" i="9"/>
  <c r="G114" i="9"/>
  <c r="J16" i="9"/>
  <c r="B15" i="9"/>
  <c r="C15" i="9" s="1"/>
  <c r="B14" i="9"/>
  <c r="C14" i="9" s="1"/>
  <c r="L141" i="8"/>
  <c r="B141" i="8" s="1"/>
  <c r="C141" i="8" s="1"/>
  <c r="L109" i="8"/>
  <c r="B109" i="8" s="1"/>
  <c r="C109" i="8" s="1"/>
  <c r="G143" i="8"/>
  <c r="G111" i="8"/>
  <c r="J110" i="8" s="1"/>
  <c r="B15" i="8"/>
  <c r="C15" i="8" s="1"/>
  <c r="B14" i="8"/>
  <c r="C14" i="8" s="1"/>
  <c r="G80" i="8"/>
  <c r="J79" i="8"/>
  <c r="G49" i="8"/>
  <c r="J48" i="8" s="1"/>
  <c r="G18" i="8"/>
  <c r="J78" i="8"/>
  <c r="J16" i="8"/>
  <c r="J47" i="8"/>
  <c r="L79" i="7"/>
  <c r="B79" i="7" s="1"/>
  <c r="C79" i="7" s="1"/>
  <c r="L140" i="7"/>
  <c r="L141" i="7"/>
  <c r="L114" i="7"/>
  <c r="L113" i="7"/>
  <c r="G50" i="7"/>
  <c r="G116" i="7"/>
  <c r="G81" i="7"/>
  <c r="J80" i="7"/>
  <c r="G18" i="7"/>
  <c r="J17" i="7"/>
  <c r="B47" i="7"/>
  <c r="C47" i="7" s="1"/>
  <c r="B46" i="7"/>
  <c r="C46" i="7" s="1"/>
  <c r="J48" i="7"/>
  <c r="J16" i="7"/>
  <c r="G143" i="7"/>
  <c r="J142" i="7"/>
  <c r="L78" i="6"/>
  <c r="B78" i="6" s="1"/>
  <c r="C78" i="6" s="1"/>
  <c r="L109" i="6"/>
  <c r="B109" i="6" s="1"/>
  <c r="C109" i="6" s="1"/>
  <c r="L47" i="6"/>
  <c r="B47" i="6" s="1"/>
  <c r="C47" i="6" s="1"/>
  <c r="G111" i="6"/>
  <c r="G142" i="6"/>
  <c r="J141" i="6"/>
  <c r="G18" i="6"/>
  <c r="J17" i="6"/>
  <c r="J140" i="6"/>
  <c r="J16" i="6"/>
  <c r="G80" i="6"/>
  <c r="J79" i="6"/>
  <c r="J48" i="6"/>
  <c r="G49" i="6"/>
  <c r="L49" i="5"/>
  <c r="B49" i="5" s="1"/>
  <c r="C49" i="5" s="1"/>
  <c r="L113" i="5"/>
  <c r="B113" i="5" s="1"/>
  <c r="C113" i="5" s="1"/>
  <c r="L78" i="5"/>
  <c r="L79" i="5"/>
  <c r="G51" i="5"/>
  <c r="J50" i="5"/>
  <c r="G115" i="5"/>
  <c r="J114" i="5"/>
  <c r="G81" i="5"/>
  <c r="J80" i="5" s="1"/>
  <c r="G20" i="5"/>
  <c r="J18" i="5"/>
  <c r="G142" i="5"/>
  <c r="J141" i="5"/>
  <c r="J140" i="5"/>
  <c r="B17" i="5"/>
  <c r="C17" i="5" s="1"/>
  <c r="B16" i="5"/>
  <c r="C16" i="5" s="1"/>
  <c r="B112" i="5"/>
  <c r="C112" i="5" s="1"/>
  <c r="L47" i="4"/>
  <c r="B47" i="4" s="1"/>
  <c r="C47" i="4" s="1"/>
  <c r="L16" i="4"/>
  <c r="B16" i="4" s="1"/>
  <c r="C16" i="4" s="1"/>
  <c r="L141" i="4"/>
  <c r="L112" i="4"/>
  <c r="G82" i="4"/>
  <c r="J81" i="4"/>
  <c r="J80" i="4"/>
  <c r="G18" i="4"/>
  <c r="J17" i="4" s="1"/>
  <c r="G49" i="4"/>
  <c r="G114" i="4"/>
  <c r="J113" i="4"/>
  <c r="B15" i="4"/>
  <c r="C15" i="4" s="1"/>
  <c r="G143" i="4"/>
  <c r="L50" i="3"/>
  <c r="L109" i="3"/>
  <c r="L108" i="3"/>
  <c r="L17" i="3"/>
  <c r="L141" i="3"/>
  <c r="L140" i="3"/>
  <c r="L16" i="3"/>
  <c r="L49" i="3"/>
  <c r="G82" i="3"/>
  <c r="J81" i="3"/>
  <c r="G19" i="3"/>
  <c r="G143" i="3"/>
  <c r="G52" i="3"/>
  <c r="G111" i="3"/>
  <c r="J110" i="3" s="1"/>
  <c r="J80" i="3"/>
  <c r="B15" i="3"/>
  <c r="C15" i="3" s="1"/>
  <c r="L140" i="2"/>
  <c r="B140" i="2" s="1"/>
  <c r="C140" i="2" s="1"/>
  <c r="L16" i="2"/>
  <c r="B16" i="2" s="1"/>
  <c r="C16" i="2" s="1"/>
  <c r="L108" i="2"/>
  <c r="L80" i="2"/>
  <c r="L109" i="2"/>
  <c r="G49" i="2"/>
  <c r="G111" i="2"/>
  <c r="J110" i="2" s="1"/>
  <c r="G82" i="2"/>
  <c r="B139" i="2"/>
  <c r="C139" i="2" s="1"/>
  <c r="B138" i="2"/>
  <c r="C138" i="2" s="1"/>
  <c r="B79" i="2"/>
  <c r="C79" i="2" s="1"/>
  <c r="B78" i="2"/>
  <c r="C78" i="2" s="1"/>
  <c r="G18" i="2"/>
  <c r="J17" i="2"/>
  <c r="G142" i="2"/>
  <c r="J141" i="2"/>
  <c r="J47" i="2"/>
  <c r="K140" i="1"/>
  <c r="L140" i="1" s="1"/>
  <c r="K139" i="1"/>
  <c r="L139" i="1" s="1"/>
  <c r="G142" i="1"/>
  <c r="B138" i="1"/>
  <c r="C138" i="1" s="1"/>
  <c r="G111" i="1"/>
  <c r="J110" i="1"/>
  <c r="J109" i="1"/>
  <c r="G80" i="1"/>
  <c r="J79" i="1"/>
  <c r="J78" i="1"/>
  <c r="B77" i="1"/>
  <c r="C77" i="1" s="1"/>
  <c r="B76" i="1"/>
  <c r="C76" i="1" s="1"/>
  <c r="K47" i="1"/>
  <c r="L47" i="1" s="1"/>
  <c r="K48" i="1"/>
  <c r="L48" i="1" s="1"/>
  <c r="G50" i="1"/>
  <c r="J49" i="1"/>
  <c r="K14" i="1"/>
  <c r="G16" i="1"/>
  <c r="J15" i="1"/>
  <c r="K49" i="1" a="1"/>
  <c r="K110" i="1" a="1"/>
  <c r="K15" i="1" a="1"/>
  <c r="K79" i="1" a="1"/>
  <c r="K109" i="1" a="1"/>
  <c r="K78" i="1" a="1"/>
  <c r="B112" i="9" l="1"/>
  <c r="C112" i="9" s="1"/>
  <c r="L14" i="1"/>
  <c r="B14" i="1" s="1"/>
  <c r="C14" i="1" s="1"/>
  <c r="L142" i="16"/>
  <c r="B142" i="16" s="1"/>
  <c r="C142" i="16" s="1"/>
  <c r="L18" i="16"/>
  <c r="B18" i="16" s="1"/>
  <c r="C18" i="16" s="1"/>
  <c r="G20" i="16"/>
  <c r="J19" i="16"/>
  <c r="G85" i="16"/>
  <c r="J84" i="16"/>
  <c r="G144" i="16"/>
  <c r="G50" i="16"/>
  <c r="J49" i="16"/>
  <c r="J48" i="16"/>
  <c r="J83" i="16"/>
  <c r="B47" i="16"/>
  <c r="C47" i="16" s="1"/>
  <c r="G112" i="16"/>
  <c r="B109" i="16"/>
  <c r="C109" i="16" s="1"/>
  <c r="B108" i="16"/>
  <c r="C108" i="16" s="1"/>
  <c r="J110" i="16"/>
  <c r="L85" i="15"/>
  <c r="B85" i="15" s="1"/>
  <c r="C85" i="15" s="1"/>
  <c r="G55" i="15"/>
  <c r="J54" i="15"/>
  <c r="G145" i="15"/>
  <c r="J144" i="15"/>
  <c r="B84" i="15"/>
  <c r="C84" i="15" s="1"/>
  <c r="B83" i="15"/>
  <c r="C83" i="15" s="1"/>
  <c r="G20" i="15"/>
  <c r="J18" i="15"/>
  <c r="G115" i="15"/>
  <c r="J114" i="15"/>
  <c r="J113" i="15"/>
  <c r="J53" i="15"/>
  <c r="J86" i="15"/>
  <c r="G87" i="15"/>
  <c r="J143" i="15"/>
  <c r="B17" i="15"/>
  <c r="C17" i="15" s="1"/>
  <c r="L79" i="14"/>
  <c r="B79" i="14" s="1"/>
  <c r="C79" i="14" s="1"/>
  <c r="L19" i="14"/>
  <c r="B19" i="14" s="1"/>
  <c r="C19" i="14" s="1"/>
  <c r="G112" i="14"/>
  <c r="G50" i="14"/>
  <c r="J49" i="14"/>
  <c r="J110" i="14"/>
  <c r="G145" i="14"/>
  <c r="J144" i="14"/>
  <c r="G21" i="14"/>
  <c r="J20" i="14"/>
  <c r="J48" i="14"/>
  <c r="G81" i="14"/>
  <c r="J143" i="14"/>
  <c r="L142" i="13"/>
  <c r="B142" i="13" s="1"/>
  <c r="C142" i="13" s="1"/>
  <c r="L18" i="13"/>
  <c r="B18" i="13" s="1"/>
  <c r="C18" i="13" s="1"/>
  <c r="L109" i="13"/>
  <c r="L110" i="13"/>
  <c r="L80" i="13"/>
  <c r="B80" i="13" s="1"/>
  <c r="C80" i="13" s="1"/>
  <c r="G53" i="13"/>
  <c r="J52" i="13"/>
  <c r="G82" i="13"/>
  <c r="J81" i="13"/>
  <c r="B17" i="13"/>
  <c r="C17" i="13" s="1"/>
  <c r="B16" i="13"/>
  <c r="C16" i="13" s="1"/>
  <c r="G144" i="13"/>
  <c r="J143" i="13"/>
  <c r="J19" i="13"/>
  <c r="G20" i="13"/>
  <c r="G112" i="13"/>
  <c r="J51" i="13"/>
  <c r="L18" i="12"/>
  <c r="B18" i="12" s="1"/>
  <c r="C18" i="12" s="1"/>
  <c r="L140" i="12"/>
  <c r="L141" i="12"/>
  <c r="L50" i="12"/>
  <c r="L112" i="12"/>
  <c r="B112" i="12" s="1"/>
  <c r="C112" i="12" s="1"/>
  <c r="L79" i="12"/>
  <c r="B79" i="12" s="1"/>
  <c r="C79" i="12" s="1"/>
  <c r="G52" i="12"/>
  <c r="J51" i="12" s="1"/>
  <c r="B111" i="12"/>
  <c r="C111" i="12" s="1"/>
  <c r="B110" i="12"/>
  <c r="C110" i="12" s="1"/>
  <c r="G20" i="12"/>
  <c r="G143" i="12"/>
  <c r="G114" i="12"/>
  <c r="J113" i="12"/>
  <c r="B17" i="12"/>
  <c r="C17" i="12" s="1"/>
  <c r="B16" i="12"/>
  <c r="C16" i="12" s="1"/>
  <c r="B49" i="12"/>
  <c r="C49" i="12" s="1"/>
  <c r="B48" i="12"/>
  <c r="C48" i="12" s="1"/>
  <c r="G81" i="12"/>
  <c r="L80" i="11"/>
  <c r="B80" i="11" s="1"/>
  <c r="C80" i="11" s="1"/>
  <c r="L49" i="11"/>
  <c r="B49" i="11" s="1"/>
  <c r="C49" i="11" s="1"/>
  <c r="L112" i="11"/>
  <c r="B112" i="11" s="1"/>
  <c r="C112" i="11" s="1"/>
  <c r="L141" i="11"/>
  <c r="G82" i="11"/>
  <c r="J81" i="11" s="1"/>
  <c r="G20" i="11"/>
  <c r="J19" i="11"/>
  <c r="B79" i="11"/>
  <c r="C79" i="11" s="1"/>
  <c r="B78" i="11"/>
  <c r="C78" i="11" s="1"/>
  <c r="G114" i="11"/>
  <c r="J113" i="11"/>
  <c r="B140" i="11"/>
  <c r="C140" i="11" s="1"/>
  <c r="J18" i="11"/>
  <c r="B17" i="11"/>
  <c r="C17" i="11" s="1"/>
  <c r="B16" i="11"/>
  <c r="C16" i="11" s="1"/>
  <c r="G51" i="11"/>
  <c r="J50" i="11"/>
  <c r="B111" i="11"/>
  <c r="C111" i="11" s="1"/>
  <c r="B140" i="1"/>
  <c r="C140" i="1" s="1"/>
  <c r="G143" i="11"/>
  <c r="J142" i="11" s="1"/>
  <c r="L19" i="10"/>
  <c r="B19" i="10" s="1"/>
  <c r="C19" i="10" s="1"/>
  <c r="L110" i="10"/>
  <c r="L109" i="10"/>
  <c r="L142" i="10"/>
  <c r="L80" i="10"/>
  <c r="L81" i="10"/>
  <c r="G144" i="10"/>
  <c r="G83" i="10"/>
  <c r="J82" i="10" s="1"/>
  <c r="G112" i="10"/>
  <c r="J111" i="10"/>
  <c r="G21" i="10"/>
  <c r="J20" i="10"/>
  <c r="B111" i="9"/>
  <c r="C111" i="9" s="1"/>
  <c r="G50" i="10"/>
  <c r="J49" i="10"/>
  <c r="B139" i="1"/>
  <c r="C139" i="1" s="1"/>
  <c r="B17" i="3"/>
  <c r="C17" i="3" s="1"/>
  <c r="J48" i="10"/>
  <c r="L141" i="9"/>
  <c r="L17" i="9"/>
  <c r="L140" i="9"/>
  <c r="L51" i="9"/>
  <c r="B51" i="9" s="1"/>
  <c r="C51" i="9" s="1"/>
  <c r="L16" i="9"/>
  <c r="L78" i="9"/>
  <c r="L79" i="9"/>
  <c r="G19" i="9"/>
  <c r="J18" i="9" s="1"/>
  <c r="G53" i="9"/>
  <c r="J52" i="9"/>
  <c r="G143" i="9"/>
  <c r="G115" i="9"/>
  <c r="J114" i="9"/>
  <c r="J113" i="9"/>
  <c r="B50" i="9"/>
  <c r="C50" i="9" s="1"/>
  <c r="B49" i="9"/>
  <c r="C49" i="9" s="1"/>
  <c r="J80" i="9"/>
  <c r="G81" i="9"/>
  <c r="L48" i="8"/>
  <c r="L110" i="8"/>
  <c r="B110" i="8" s="1"/>
  <c r="C110" i="8" s="1"/>
  <c r="L79" i="8"/>
  <c r="L16" i="8"/>
  <c r="L78" i="8"/>
  <c r="L47" i="8"/>
  <c r="G19" i="8"/>
  <c r="G144" i="8"/>
  <c r="J142" i="8"/>
  <c r="G50" i="8"/>
  <c r="G81" i="8"/>
  <c r="J80" i="8" s="1"/>
  <c r="J111" i="8"/>
  <c r="G112" i="8"/>
  <c r="J17" i="8"/>
  <c r="L17" i="7"/>
  <c r="L80" i="7"/>
  <c r="B80" i="7" s="1"/>
  <c r="C80" i="7" s="1"/>
  <c r="L48" i="7"/>
  <c r="L142" i="7"/>
  <c r="B142" i="7" s="1"/>
  <c r="C142" i="7" s="1"/>
  <c r="L16" i="7"/>
  <c r="G117" i="7"/>
  <c r="J116" i="7"/>
  <c r="G51" i="7"/>
  <c r="J50" i="7"/>
  <c r="J115" i="7"/>
  <c r="J49" i="7"/>
  <c r="G144" i="7"/>
  <c r="B141" i="7"/>
  <c r="C141" i="7" s="1"/>
  <c r="B140" i="7"/>
  <c r="C140" i="7" s="1"/>
  <c r="J18" i="7"/>
  <c r="G19" i="7"/>
  <c r="G82" i="7"/>
  <c r="J81" i="7"/>
  <c r="B114" i="7"/>
  <c r="C114" i="7" s="1"/>
  <c r="B113" i="7"/>
  <c r="C113" i="7" s="1"/>
  <c r="L17" i="6"/>
  <c r="L79" i="6"/>
  <c r="B79" i="6" s="1"/>
  <c r="C79" i="6" s="1"/>
  <c r="L140" i="6"/>
  <c r="L141" i="6"/>
  <c r="L48" i="6"/>
  <c r="B48" i="6" s="1"/>
  <c r="C48" i="6" s="1"/>
  <c r="L16" i="6"/>
  <c r="J80" i="6"/>
  <c r="G81" i="6"/>
  <c r="G112" i="6"/>
  <c r="J110" i="6"/>
  <c r="G50" i="6"/>
  <c r="J49" i="6" s="1"/>
  <c r="G19" i="6"/>
  <c r="J142" i="6"/>
  <c r="G143" i="6"/>
  <c r="L80" i="5"/>
  <c r="B80" i="5" s="1"/>
  <c r="C80" i="5" s="1"/>
  <c r="L18" i="5"/>
  <c r="L50" i="5"/>
  <c r="B50" i="5" s="1"/>
  <c r="C50" i="5" s="1"/>
  <c r="L140" i="5"/>
  <c r="L141" i="5"/>
  <c r="L114" i="5"/>
  <c r="B114" i="5" s="1"/>
  <c r="C114" i="5" s="1"/>
  <c r="G21" i="5"/>
  <c r="J20" i="5"/>
  <c r="J19" i="5"/>
  <c r="G116" i="5"/>
  <c r="B79" i="5"/>
  <c r="C79" i="5" s="1"/>
  <c r="B78" i="5"/>
  <c r="C78" i="5" s="1"/>
  <c r="J142" i="5"/>
  <c r="G143" i="5"/>
  <c r="G82" i="5"/>
  <c r="J81" i="5"/>
  <c r="G52" i="5"/>
  <c r="L17" i="4"/>
  <c r="B17" i="4" s="1"/>
  <c r="C17" i="4" s="1"/>
  <c r="L113" i="4"/>
  <c r="B113" i="4" s="1"/>
  <c r="C113" i="4" s="1"/>
  <c r="L81" i="4"/>
  <c r="L80" i="4"/>
  <c r="G115" i="4"/>
  <c r="J114" i="4"/>
  <c r="G83" i="4"/>
  <c r="J82" i="4"/>
  <c r="G50" i="4"/>
  <c r="J48" i="4"/>
  <c r="G19" i="4"/>
  <c r="J18" i="4"/>
  <c r="B112" i="4"/>
  <c r="C112" i="4" s="1"/>
  <c r="G144" i="4"/>
  <c r="J142" i="4"/>
  <c r="B141" i="4"/>
  <c r="C141" i="4" s="1"/>
  <c r="L110" i="3"/>
  <c r="B110" i="3" s="1"/>
  <c r="C110" i="3" s="1"/>
  <c r="L81" i="3"/>
  <c r="L80" i="3"/>
  <c r="G20" i="3"/>
  <c r="G144" i="3"/>
  <c r="J143" i="3" s="1"/>
  <c r="B50" i="3"/>
  <c r="C50" i="3" s="1"/>
  <c r="B49" i="3"/>
  <c r="C49" i="3" s="1"/>
  <c r="B141" i="3"/>
  <c r="C141" i="3" s="1"/>
  <c r="B140" i="3"/>
  <c r="C140" i="3" s="1"/>
  <c r="G53" i="3"/>
  <c r="J142" i="3"/>
  <c r="J18" i="3"/>
  <c r="G83" i="3"/>
  <c r="J82" i="3"/>
  <c r="B16" i="3"/>
  <c r="C16" i="3" s="1"/>
  <c r="G112" i="3"/>
  <c r="J111" i="3"/>
  <c r="B109" i="3"/>
  <c r="C109" i="3" s="1"/>
  <c r="B108" i="3"/>
  <c r="C108" i="3" s="1"/>
  <c r="J51" i="3"/>
  <c r="L110" i="2"/>
  <c r="B110" i="2" s="1"/>
  <c r="C110" i="2" s="1"/>
  <c r="L47" i="2"/>
  <c r="L141" i="2"/>
  <c r="B141" i="2" s="1"/>
  <c r="C141" i="2" s="1"/>
  <c r="L17" i="2"/>
  <c r="B17" i="2" s="1"/>
  <c r="C17" i="2" s="1"/>
  <c r="G83" i="2"/>
  <c r="J82" i="2"/>
  <c r="G50" i="2"/>
  <c r="G112" i="2"/>
  <c r="J111" i="2"/>
  <c r="J48" i="2"/>
  <c r="G143" i="2"/>
  <c r="B80" i="2"/>
  <c r="C80" i="2" s="1"/>
  <c r="J81" i="2"/>
  <c r="J18" i="2"/>
  <c r="G19" i="2"/>
  <c r="B109" i="2"/>
  <c r="C109" i="2" s="1"/>
  <c r="B108" i="2"/>
  <c r="C108" i="2" s="1"/>
  <c r="G143" i="1"/>
  <c r="J141" i="1"/>
  <c r="K109" i="1"/>
  <c r="L109" i="1" s="1"/>
  <c r="K110" i="1"/>
  <c r="L110" i="1" s="1"/>
  <c r="G112" i="1"/>
  <c r="K78" i="1"/>
  <c r="L78" i="1" s="1"/>
  <c r="K79" i="1"/>
  <c r="L79" i="1" s="1"/>
  <c r="G81" i="1"/>
  <c r="K49" i="1"/>
  <c r="L49" i="1" s="1"/>
  <c r="B49" i="1" s="1"/>
  <c r="C49" i="1" s="1"/>
  <c r="G51" i="1"/>
  <c r="J50" i="1"/>
  <c r="B48" i="1"/>
  <c r="C48" i="1" s="1"/>
  <c r="B47" i="1"/>
  <c r="C47" i="1" s="1"/>
  <c r="K15" i="1"/>
  <c r="G17" i="1"/>
  <c r="K141" i="1" a="1"/>
  <c r="K50" i="1" a="1"/>
  <c r="L15" i="1" l="1"/>
  <c r="B15" i="1" s="1"/>
  <c r="C15" i="1" s="1"/>
  <c r="L83" i="16"/>
  <c r="L48" i="16"/>
  <c r="L19" i="16"/>
  <c r="L110" i="16"/>
  <c r="L84" i="16"/>
  <c r="L49" i="16"/>
  <c r="G51" i="16"/>
  <c r="J50" i="16"/>
  <c r="G21" i="16"/>
  <c r="J20" i="16"/>
  <c r="G145" i="16"/>
  <c r="J144" i="16"/>
  <c r="J143" i="16"/>
  <c r="G86" i="16"/>
  <c r="G113" i="16"/>
  <c r="J111" i="16"/>
  <c r="L144" i="15"/>
  <c r="L143" i="15"/>
  <c r="L54" i="15"/>
  <c r="L53" i="15"/>
  <c r="L113" i="15"/>
  <c r="L114" i="15"/>
  <c r="L18" i="15"/>
  <c r="L86" i="15"/>
  <c r="B86" i="15" s="1"/>
  <c r="C86" i="15" s="1"/>
  <c r="G116" i="15"/>
  <c r="J115" i="15" s="1"/>
  <c r="G88" i="15"/>
  <c r="G56" i="15"/>
  <c r="G21" i="15"/>
  <c r="J20" i="15"/>
  <c r="J19" i="15"/>
  <c r="G146" i="15"/>
  <c r="J145" i="15" s="1"/>
  <c r="L48" i="14"/>
  <c r="L20" i="14"/>
  <c r="B20" i="14" s="1"/>
  <c r="C20" i="14" s="1"/>
  <c r="L143" i="14"/>
  <c r="L110" i="14"/>
  <c r="L144" i="14"/>
  <c r="L49" i="14"/>
  <c r="G113" i="14"/>
  <c r="J112" i="14"/>
  <c r="G51" i="14"/>
  <c r="J50" i="14"/>
  <c r="J111" i="14"/>
  <c r="G146" i="14"/>
  <c r="J145" i="14" s="1"/>
  <c r="G82" i="14"/>
  <c r="J81" i="14" s="1"/>
  <c r="J21" i="14"/>
  <c r="G22" i="14"/>
  <c r="J80" i="14"/>
  <c r="L143" i="13"/>
  <c r="B143" i="13" s="1"/>
  <c r="C143" i="13" s="1"/>
  <c r="L52" i="13"/>
  <c r="L19" i="13"/>
  <c r="B19" i="13" s="1"/>
  <c r="C19" i="13" s="1"/>
  <c r="L81" i="13"/>
  <c r="L51" i="13"/>
  <c r="G113" i="13"/>
  <c r="J112" i="13"/>
  <c r="G83" i="13"/>
  <c r="J82" i="13"/>
  <c r="G54" i="13"/>
  <c r="J111" i="13"/>
  <c r="B110" i="13"/>
  <c r="C110" i="13" s="1"/>
  <c r="B109" i="13"/>
  <c r="C109" i="13" s="1"/>
  <c r="G145" i="13"/>
  <c r="G21" i="13"/>
  <c r="J20" i="13"/>
  <c r="L51" i="12"/>
  <c r="L113" i="12"/>
  <c r="B113" i="12" s="1"/>
  <c r="C113" i="12" s="1"/>
  <c r="G82" i="12"/>
  <c r="J81" i="12"/>
  <c r="B51" i="12"/>
  <c r="C51" i="12" s="1"/>
  <c r="G21" i="12"/>
  <c r="J20" i="12"/>
  <c r="J80" i="12"/>
  <c r="B50" i="12"/>
  <c r="C50" i="12" s="1"/>
  <c r="G144" i="12"/>
  <c r="J143" i="12"/>
  <c r="J142" i="12"/>
  <c r="J19" i="12"/>
  <c r="B141" i="12"/>
  <c r="C141" i="12" s="1"/>
  <c r="B140" i="12"/>
  <c r="C140" i="12" s="1"/>
  <c r="G53" i="12"/>
  <c r="J52" i="12"/>
  <c r="G115" i="12"/>
  <c r="J114" i="12"/>
  <c r="L142" i="11"/>
  <c r="B142" i="11" s="1"/>
  <c r="C142" i="11" s="1"/>
  <c r="L81" i="11"/>
  <c r="B81" i="11" s="1"/>
  <c r="C81" i="11" s="1"/>
  <c r="L19" i="11"/>
  <c r="L113" i="11"/>
  <c r="B113" i="11" s="1"/>
  <c r="C113" i="11" s="1"/>
  <c r="L50" i="11"/>
  <c r="B50" i="11" s="1"/>
  <c r="C50" i="11" s="1"/>
  <c r="L18" i="11"/>
  <c r="G52" i="11"/>
  <c r="J51" i="11"/>
  <c r="G115" i="11"/>
  <c r="G83" i="11"/>
  <c r="J82" i="11"/>
  <c r="G144" i="11"/>
  <c r="G21" i="11"/>
  <c r="J20" i="11"/>
  <c r="B141" i="11"/>
  <c r="C141" i="11" s="1"/>
  <c r="L82" i="10"/>
  <c r="B82" i="10" s="1"/>
  <c r="C82" i="10" s="1"/>
  <c r="L48" i="10"/>
  <c r="L49" i="10"/>
  <c r="L111" i="10"/>
  <c r="B111" i="10" s="1"/>
  <c r="C111" i="10" s="1"/>
  <c r="L20" i="10"/>
  <c r="B20" i="10" s="1"/>
  <c r="C20" i="10" s="1"/>
  <c r="G145" i="10"/>
  <c r="J144" i="10"/>
  <c r="B110" i="10"/>
  <c r="C110" i="10" s="1"/>
  <c r="B109" i="10"/>
  <c r="C109" i="10" s="1"/>
  <c r="G22" i="10"/>
  <c r="J21" i="10" s="1"/>
  <c r="G113" i="10"/>
  <c r="J112" i="10"/>
  <c r="B81" i="10"/>
  <c r="C81" i="10" s="1"/>
  <c r="B80" i="10"/>
  <c r="C80" i="10" s="1"/>
  <c r="G51" i="10"/>
  <c r="J50" i="10"/>
  <c r="G84" i="10"/>
  <c r="J143" i="10"/>
  <c r="B142" i="10"/>
  <c r="C142" i="10" s="1"/>
  <c r="L18" i="9"/>
  <c r="B18" i="9" s="1"/>
  <c r="C18" i="9" s="1"/>
  <c r="L80" i="9"/>
  <c r="B80" i="9" s="1"/>
  <c r="C80" i="9" s="1"/>
  <c r="L114" i="9"/>
  <c r="L52" i="9"/>
  <c r="B52" i="9" s="1"/>
  <c r="C52" i="9" s="1"/>
  <c r="L113" i="9"/>
  <c r="G116" i="9"/>
  <c r="J115" i="9" s="1"/>
  <c r="B79" i="9"/>
  <c r="C79" i="9" s="1"/>
  <c r="B78" i="9"/>
  <c r="C78" i="9" s="1"/>
  <c r="G144" i="9"/>
  <c r="G82" i="9"/>
  <c r="J81" i="9"/>
  <c r="B17" i="9"/>
  <c r="C17" i="9" s="1"/>
  <c r="B16" i="9"/>
  <c r="C16" i="9" s="1"/>
  <c r="J142" i="9"/>
  <c r="J53" i="9"/>
  <c r="G54" i="9"/>
  <c r="B141" i="9"/>
  <c r="C141" i="9" s="1"/>
  <c r="B140" i="9"/>
  <c r="C140" i="9" s="1"/>
  <c r="G20" i="9"/>
  <c r="L80" i="8"/>
  <c r="B80" i="8" s="1"/>
  <c r="C80" i="8" s="1"/>
  <c r="L142" i="8"/>
  <c r="L17" i="8"/>
  <c r="B17" i="8" s="1"/>
  <c r="C17" i="8" s="1"/>
  <c r="L111" i="8"/>
  <c r="B111" i="8" s="1"/>
  <c r="C111" i="8" s="1"/>
  <c r="G51" i="8"/>
  <c r="J50" i="8"/>
  <c r="G20" i="8"/>
  <c r="J19" i="8" s="1"/>
  <c r="J18" i="8"/>
  <c r="B79" i="8"/>
  <c r="C79" i="8" s="1"/>
  <c r="B78" i="8"/>
  <c r="C78" i="8" s="1"/>
  <c r="G113" i="8"/>
  <c r="J112" i="8"/>
  <c r="G82" i="8"/>
  <c r="J81" i="8"/>
  <c r="J49" i="8"/>
  <c r="G145" i="8"/>
  <c r="J144" i="8"/>
  <c r="J143" i="8"/>
  <c r="B48" i="8"/>
  <c r="C48" i="8" s="1"/>
  <c r="B47" i="8"/>
  <c r="C47" i="8" s="1"/>
  <c r="B16" i="8"/>
  <c r="C16" i="8" s="1"/>
  <c r="L115" i="7"/>
  <c r="L81" i="7"/>
  <c r="B81" i="7" s="1"/>
  <c r="C81" i="7" s="1"/>
  <c r="L50" i="7"/>
  <c r="L116" i="7"/>
  <c r="L49" i="7"/>
  <c r="L18" i="7"/>
  <c r="B18" i="7" s="1"/>
  <c r="C18" i="7" s="1"/>
  <c r="G145" i="7"/>
  <c r="J144" i="7"/>
  <c r="G52" i="7"/>
  <c r="J51" i="7"/>
  <c r="G118" i="7"/>
  <c r="B48" i="7"/>
  <c r="C48" i="7" s="1"/>
  <c r="J143" i="7"/>
  <c r="B17" i="7"/>
  <c r="C17" i="7" s="1"/>
  <c r="B16" i="7"/>
  <c r="C16" i="7" s="1"/>
  <c r="G83" i="7"/>
  <c r="J82" i="7"/>
  <c r="G20" i="7"/>
  <c r="J19" i="7" s="1"/>
  <c r="L49" i="6"/>
  <c r="B49" i="6" s="1"/>
  <c r="C49" i="6" s="1"/>
  <c r="L80" i="6"/>
  <c r="B80" i="6" s="1"/>
  <c r="C80" i="6" s="1"/>
  <c r="L142" i="6"/>
  <c r="B142" i="6" s="1"/>
  <c r="C142" i="6" s="1"/>
  <c r="L110" i="6"/>
  <c r="G20" i="6"/>
  <c r="G113" i="6"/>
  <c r="J112" i="6"/>
  <c r="G82" i="6"/>
  <c r="J81" i="6"/>
  <c r="J18" i="6"/>
  <c r="G51" i="6"/>
  <c r="J50" i="6"/>
  <c r="B17" i="6"/>
  <c r="C17" i="6" s="1"/>
  <c r="B16" i="6"/>
  <c r="C16" i="6" s="1"/>
  <c r="G144" i="6"/>
  <c r="J143" i="6" s="1"/>
  <c r="B141" i="6"/>
  <c r="C141" i="6" s="1"/>
  <c r="B140" i="6"/>
  <c r="C140" i="6" s="1"/>
  <c r="J111" i="6"/>
  <c r="L142" i="5"/>
  <c r="B142" i="5" s="1"/>
  <c r="C142" i="5" s="1"/>
  <c r="L81" i="5"/>
  <c r="B81" i="5" s="1"/>
  <c r="C81" i="5" s="1"/>
  <c r="L19" i="5"/>
  <c r="B19" i="5" s="1"/>
  <c r="C19" i="5" s="1"/>
  <c r="L20" i="5"/>
  <c r="G117" i="5"/>
  <c r="J116" i="5"/>
  <c r="G53" i="5"/>
  <c r="J52" i="5"/>
  <c r="J115" i="5"/>
  <c r="G22" i="5"/>
  <c r="J21" i="5" s="1"/>
  <c r="J51" i="5"/>
  <c r="B141" i="5"/>
  <c r="C141" i="5" s="1"/>
  <c r="B140" i="5"/>
  <c r="C140" i="5" s="1"/>
  <c r="G83" i="5"/>
  <c r="J82" i="5"/>
  <c r="B18" i="5"/>
  <c r="C18" i="5" s="1"/>
  <c r="G144" i="5"/>
  <c r="L18" i="4"/>
  <c r="B18" i="4" s="1"/>
  <c r="C18" i="4" s="1"/>
  <c r="L48" i="4"/>
  <c r="L114" i="4"/>
  <c r="L142" i="4"/>
  <c r="L82" i="4"/>
  <c r="B82" i="4" s="1"/>
  <c r="C82" i="4" s="1"/>
  <c r="G145" i="4"/>
  <c r="J144" i="4"/>
  <c r="G51" i="4"/>
  <c r="J50" i="4"/>
  <c r="G116" i="4"/>
  <c r="B81" i="4"/>
  <c r="C81" i="4" s="1"/>
  <c r="B80" i="4"/>
  <c r="C80" i="4" s="1"/>
  <c r="G20" i="4"/>
  <c r="J49" i="4"/>
  <c r="G84" i="4"/>
  <c r="J143" i="4"/>
  <c r="L143" i="3"/>
  <c r="L142" i="3"/>
  <c r="L51" i="3"/>
  <c r="L111" i="3"/>
  <c r="B111" i="3" s="1"/>
  <c r="C111" i="3" s="1"/>
  <c r="L82" i="3"/>
  <c r="B82" i="3" s="1"/>
  <c r="C82" i="3" s="1"/>
  <c r="L18" i="3"/>
  <c r="G54" i="3"/>
  <c r="J53" i="3" s="1"/>
  <c r="B81" i="3"/>
  <c r="C81" i="3" s="1"/>
  <c r="B80" i="3"/>
  <c r="C80" i="3" s="1"/>
  <c r="G84" i="3"/>
  <c r="J83" i="3" s="1"/>
  <c r="J52" i="3"/>
  <c r="G145" i="3"/>
  <c r="J144" i="3" s="1"/>
  <c r="G113" i="3"/>
  <c r="J112" i="3"/>
  <c r="G21" i="3"/>
  <c r="J20" i="3" s="1"/>
  <c r="J19" i="3"/>
  <c r="L48" i="2"/>
  <c r="B48" i="2" s="1"/>
  <c r="C48" i="2" s="1"/>
  <c r="L82" i="2"/>
  <c r="L18" i="2"/>
  <c r="B18" i="2" s="1"/>
  <c r="C18" i="2" s="1"/>
  <c r="L111" i="2"/>
  <c r="B111" i="2" s="1"/>
  <c r="C111" i="2" s="1"/>
  <c r="L81" i="2"/>
  <c r="G144" i="2"/>
  <c r="J143" i="2"/>
  <c r="G51" i="2"/>
  <c r="J50" i="2"/>
  <c r="J49" i="2"/>
  <c r="G20" i="2"/>
  <c r="J19" i="2"/>
  <c r="J142" i="2"/>
  <c r="G113" i="2"/>
  <c r="J112" i="2"/>
  <c r="J83" i="2"/>
  <c r="G84" i="2"/>
  <c r="B47" i="2"/>
  <c r="C47" i="2" s="1"/>
  <c r="K141" i="1"/>
  <c r="L141" i="1" s="1"/>
  <c r="G144" i="1"/>
  <c r="J143" i="1" s="1"/>
  <c r="J142" i="1"/>
  <c r="G113" i="1"/>
  <c r="J112" i="1"/>
  <c r="J111" i="1"/>
  <c r="B110" i="1"/>
  <c r="C110" i="1" s="1"/>
  <c r="B109" i="1"/>
  <c r="C109" i="1" s="1"/>
  <c r="G82" i="1"/>
  <c r="J80" i="1"/>
  <c r="B79" i="1"/>
  <c r="C79" i="1" s="1"/>
  <c r="B78" i="1"/>
  <c r="C78" i="1" s="1"/>
  <c r="K50" i="1"/>
  <c r="L50" i="1" s="1"/>
  <c r="B50" i="1" s="1"/>
  <c r="C50" i="1" s="1"/>
  <c r="G52" i="1"/>
  <c r="G18" i="1"/>
  <c r="J16" i="1"/>
  <c r="K143" i="1" a="1"/>
  <c r="K112" i="1" a="1"/>
  <c r="K80" i="1" a="1"/>
  <c r="K111" i="1" a="1"/>
  <c r="K142" i="1" a="1"/>
  <c r="K16" i="1" a="1"/>
  <c r="B50" i="7" l="1"/>
  <c r="C50" i="7" s="1"/>
  <c r="L144" i="16"/>
  <c r="L20" i="16"/>
  <c r="L111" i="16"/>
  <c r="B111" i="16" s="1"/>
  <c r="C111" i="16" s="1"/>
  <c r="L143" i="16"/>
  <c r="L50" i="16"/>
  <c r="B50" i="16" s="1"/>
  <c r="C50" i="16" s="1"/>
  <c r="G52" i="16"/>
  <c r="J51" i="16" s="1"/>
  <c r="B110" i="16"/>
  <c r="C110" i="16" s="1"/>
  <c r="B20" i="16"/>
  <c r="C20" i="16" s="1"/>
  <c r="G114" i="16"/>
  <c r="J113" i="16"/>
  <c r="G146" i="16"/>
  <c r="B19" i="16"/>
  <c r="C19" i="16" s="1"/>
  <c r="B49" i="16"/>
  <c r="C49" i="16" s="1"/>
  <c r="B48" i="16"/>
  <c r="C48" i="16" s="1"/>
  <c r="G87" i="16"/>
  <c r="J85" i="16"/>
  <c r="G22" i="16"/>
  <c r="J21" i="16" s="1"/>
  <c r="J112" i="16"/>
  <c r="B84" i="16"/>
  <c r="C84" i="16" s="1"/>
  <c r="B83" i="16"/>
  <c r="C83" i="16" s="1"/>
  <c r="L145" i="15"/>
  <c r="B145" i="15" s="1"/>
  <c r="C145" i="15" s="1"/>
  <c r="L115" i="15"/>
  <c r="B115" i="15" s="1"/>
  <c r="C115" i="15" s="1"/>
  <c r="L20" i="15"/>
  <c r="L19" i="15"/>
  <c r="G89" i="15"/>
  <c r="J88" i="15"/>
  <c r="J87" i="15"/>
  <c r="B114" i="15"/>
  <c r="C114" i="15" s="1"/>
  <c r="B113" i="15"/>
  <c r="C113" i="15" s="1"/>
  <c r="B144" i="15"/>
  <c r="C144" i="15" s="1"/>
  <c r="B143" i="15"/>
  <c r="C143" i="15" s="1"/>
  <c r="G22" i="15"/>
  <c r="J56" i="15"/>
  <c r="G57" i="15"/>
  <c r="J55" i="15"/>
  <c r="G117" i="15"/>
  <c r="J116" i="15"/>
  <c r="B18" i="15"/>
  <c r="C18" i="15" s="1"/>
  <c r="B54" i="15"/>
  <c r="C54" i="15" s="1"/>
  <c r="B53" i="15"/>
  <c r="C53" i="15" s="1"/>
  <c r="G147" i="15"/>
  <c r="J146" i="15"/>
  <c r="L145" i="14"/>
  <c r="B145" i="14" s="1"/>
  <c r="C145" i="14" s="1"/>
  <c r="L81" i="14"/>
  <c r="L111" i="14"/>
  <c r="B111" i="14" s="1"/>
  <c r="C111" i="14" s="1"/>
  <c r="L112" i="14"/>
  <c r="L80" i="14"/>
  <c r="L50" i="14"/>
  <c r="L21" i="14"/>
  <c r="B110" i="14"/>
  <c r="C110" i="14" s="1"/>
  <c r="G83" i="14"/>
  <c r="J82" i="14"/>
  <c r="G114" i="14"/>
  <c r="J113" i="14"/>
  <c r="B144" i="14"/>
  <c r="C144" i="14" s="1"/>
  <c r="B143" i="14"/>
  <c r="C143" i="14" s="1"/>
  <c r="G147" i="14"/>
  <c r="G23" i="14"/>
  <c r="J22" i="14"/>
  <c r="G52" i="14"/>
  <c r="J51" i="14" s="1"/>
  <c r="B49" i="14"/>
  <c r="C49" i="14" s="1"/>
  <c r="B48" i="14"/>
  <c r="C48" i="14" s="1"/>
  <c r="L111" i="13"/>
  <c r="L82" i="13"/>
  <c r="B82" i="13" s="1"/>
  <c r="C82" i="13" s="1"/>
  <c r="L112" i="13"/>
  <c r="L20" i="13"/>
  <c r="B20" i="13" s="1"/>
  <c r="C20" i="13" s="1"/>
  <c r="G22" i="13"/>
  <c r="J21" i="13" s="1"/>
  <c r="G146" i="13"/>
  <c r="J145" i="13" s="1"/>
  <c r="G55" i="13"/>
  <c r="J54" i="13"/>
  <c r="J53" i="13"/>
  <c r="G84" i="13"/>
  <c r="J83" i="13" s="1"/>
  <c r="B52" i="13"/>
  <c r="C52" i="13" s="1"/>
  <c r="B51" i="13"/>
  <c r="C51" i="13" s="1"/>
  <c r="B81" i="13"/>
  <c r="C81" i="13" s="1"/>
  <c r="G114" i="13"/>
  <c r="J113" i="13"/>
  <c r="J144" i="13"/>
  <c r="L52" i="12"/>
  <c r="B52" i="12" s="1"/>
  <c r="C52" i="12" s="1"/>
  <c r="L81" i="12"/>
  <c r="L142" i="12"/>
  <c r="L143" i="12"/>
  <c r="L80" i="12"/>
  <c r="L114" i="12"/>
  <c r="L19" i="12"/>
  <c r="L20" i="12"/>
  <c r="G22" i="12"/>
  <c r="J21" i="12" s="1"/>
  <c r="G116" i="12"/>
  <c r="J115" i="12" s="1"/>
  <c r="G54" i="12"/>
  <c r="J53" i="12" s="1"/>
  <c r="G83" i="12"/>
  <c r="J82" i="12"/>
  <c r="G145" i="12"/>
  <c r="J144" i="12"/>
  <c r="L51" i="11"/>
  <c r="B51" i="11" s="1"/>
  <c r="C51" i="11" s="1"/>
  <c r="L20" i="11"/>
  <c r="B20" i="11" s="1"/>
  <c r="C20" i="11" s="1"/>
  <c r="L82" i="11"/>
  <c r="B82" i="11" s="1"/>
  <c r="C82" i="11" s="1"/>
  <c r="G145" i="11"/>
  <c r="J144" i="11"/>
  <c r="G116" i="11"/>
  <c r="G53" i="11"/>
  <c r="J52" i="11"/>
  <c r="G84" i="11"/>
  <c r="J114" i="11"/>
  <c r="B19" i="11"/>
  <c r="C19" i="11" s="1"/>
  <c r="B18" i="11"/>
  <c r="C18" i="11" s="1"/>
  <c r="G22" i="11"/>
  <c r="J143" i="11"/>
  <c r="L21" i="10"/>
  <c r="B21" i="10" s="1"/>
  <c r="C21" i="10" s="1"/>
  <c r="L143" i="10"/>
  <c r="L112" i="10"/>
  <c r="B112" i="10" s="1"/>
  <c r="C112" i="10" s="1"/>
  <c r="L144" i="10"/>
  <c r="L50" i="10"/>
  <c r="B50" i="10" s="1"/>
  <c r="C50" i="10" s="1"/>
  <c r="G146" i="10"/>
  <c r="J145" i="10" s="1"/>
  <c r="G85" i="10"/>
  <c r="J84" i="10"/>
  <c r="J83" i="10"/>
  <c r="G52" i="10"/>
  <c r="B49" i="10"/>
  <c r="C49" i="10" s="1"/>
  <c r="B48" i="10"/>
  <c r="C48" i="10" s="1"/>
  <c r="G114" i="10"/>
  <c r="J113" i="10"/>
  <c r="G23" i="10"/>
  <c r="J22" i="10"/>
  <c r="L115" i="9"/>
  <c r="B115" i="9" s="1"/>
  <c r="C115" i="9" s="1"/>
  <c r="L81" i="9"/>
  <c r="B81" i="9" s="1"/>
  <c r="C81" i="9" s="1"/>
  <c r="L53" i="9"/>
  <c r="B53" i="9" s="1"/>
  <c r="C53" i="9" s="1"/>
  <c r="L142" i="9"/>
  <c r="G145" i="9"/>
  <c r="J144" i="9"/>
  <c r="B114" i="9"/>
  <c r="C114" i="9" s="1"/>
  <c r="B113" i="9"/>
  <c r="C113" i="9" s="1"/>
  <c r="G117" i="9"/>
  <c r="J116" i="9"/>
  <c r="G83" i="9"/>
  <c r="J82" i="9"/>
  <c r="J143" i="9"/>
  <c r="G55" i="9"/>
  <c r="J54" i="9"/>
  <c r="G21" i="9"/>
  <c r="J20" i="9"/>
  <c r="J19" i="9"/>
  <c r="L19" i="8"/>
  <c r="L81" i="8"/>
  <c r="B81" i="8" s="1"/>
  <c r="C81" i="8" s="1"/>
  <c r="L18" i="8"/>
  <c r="L112" i="8"/>
  <c r="B112" i="8" s="1"/>
  <c r="C112" i="8" s="1"/>
  <c r="L143" i="8"/>
  <c r="B143" i="8" s="1"/>
  <c r="C143" i="8" s="1"/>
  <c r="L50" i="8"/>
  <c r="L144" i="8"/>
  <c r="L49" i="8"/>
  <c r="G83" i="8"/>
  <c r="J82" i="8"/>
  <c r="B49" i="7"/>
  <c r="C49" i="7" s="1"/>
  <c r="G114" i="8"/>
  <c r="G52" i="8"/>
  <c r="J51" i="8"/>
  <c r="G146" i="8"/>
  <c r="B142" i="8"/>
  <c r="C142" i="8" s="1"/>
  <c r="G21" i="8"/>
  <c r="J20" i="8"/>
  <c r="L19" i="7"/>
  <c r="B19" i="7" s="1"/>
  <c r="C19" i="7" s="1"/>
  <c r="L144" i="7"/>
  <c r="L143" i="7"/>
  <c r="L51" i="7"/>
  <c r="B51" i="7" s="1"/>
  <c r="C51" i="7" s="1"/>
  <c r="L82" i="7"/>
  <c r="G53" i="7"/>
  <c r="J52" i="7"/>
  <c r="G84" i="7"/>
  <c r="G119" i="7"/>
  <c r="J118" i="7"/>
  <c r="G146" i="7"/>
  <c r="J117" i="7"/>
  <c r="G21" i="7"/>
  <c r="J20" i="7"/>
  <c r="B116" i="7"/>
  <c r="C116" i="7" s="1"/>
  <c r="B115" i="7"/>
  <c r="C115" i="7" s="1"/>
  <c r="L143" i="6"/>
  <c r="B143" i="6" s="1"/>
  <c r="C143" i="6" s="1"/>
  <c r="L50" i="6"/>
  <c r="B50" i="6" s="1"/>
  <c r="C50" i="6" s="1"/>
  <c r="L81" i="6"/>
  <c r="B81" i="6" s="1"/>
  <c r="C81" i="6" s="1"/>
  <c r="L111" i="6"/>
  <c r="B111" i="6" s="1"/>
  <c r="C111" i="6" s="1"/>
  <c r="L18" i="6"/>
  <c r="L112" i="6"/>
  <c r="G52" i="6"/>
  <c r="J51" i="6"/>
  <c r="G114" i="6"/>
  <c r="J113" i="6" s="1"/>
  <c r="B110" i="6"/>
  <c r="C110" i="6" s="1"/>
  <c r="G83" i="6"/>
  <c r="J82" i="6"/>
  <c r="J144" i="6"/>
  <c r="G145" i="6"/>
  <c r="G21" i="6"/>
  <c r="J20" i="6"/>
  <c r="J19" i="6"/>
  <c r="L21" i="5"/>
  <c r="B21" i="5" s="1"/>
  <c r="C21" i="5" s="1"/>
  <c r="L52" i="5"/>
  <c r="L51" i="5"/>
  <c r="L115" i="5"/>
  <c r="L116" i="5"/>
  <c r="L82" i="5"/>
  <c r="B82" i="5" s="1"/>
  <c r="C82" i="5" s="1"/>
  <c r="G23" i="5"/>
  <c r="J22" i="5"/>
  <c r="G145" i="5"/>
  <c r="G54" i="5"/>
  <c r="J53" i="5" s="1"/>
  <c r="J143" i="5"/>
  <c r="J117" i="5"/>
  <c r="G118" i="5"/>
  <c r="B20" i="5"/>
  <c r="C20" i="5" s="1"/>
  <c r="G84" i="5"/>
  <c r="L144" i="4"/>
  <c r="L143" i="4"/>
  <c r="B143" i="4" s="1"/>
  <c r="C143" i="4" s="1"/>
  <c r="L50" i="4"/>
  <c r="L49" i="4"/>
  <c r="G21" i="4"/>
  <c r="J20" i="4"/>
  <c r="J19" i="4"/>
  <c r="G117" i="4"/>
  <c r="J116" i="4"/>
  <c r="J115" i="4"/>
  <c r="G85" i="4"/>
  <c r="J84" i="4"/>
  <c r="J83" i="4"/>
  <c r="B114" i="4"/>
  <c r="C114" i="4" s="1"/>
  <c r="B48" i="4"/>
  <c r="C48" i="4" s="1"/>
  <c r="G52" i="4"/>
  <c r="J51" i="4"/>
  <c r="G146" i="4"/>
  <c r="J145" i="4" s="1"/>
  <c r="B142" i="4"/>
  <c r="C142" i="4" s="1"/>
  <c r="L20" i="3"/>
  <c r="L144" i="3"/>
  <c r="B144" i="3" s="1"/>
  <c r="C144" i="3" s="1"/>
  <c r="L83" i="3"/>
  <c r="B83" i="3" s="1"/>
  <c r="C83" i="3" s="1"/>
  <c r="L53" i="3"/>
  <c r="L19" i="3"/>
  <c r="L112" i="3"/>
  <c r="B112" i="3" s="1"/>
  <c r="C112" i="3" s="1"/>
  <c r="L52" i="3"/>
  <c r="G146" i="3"/>
  <c r="G22" i="3"/>
  <c r="B51" i="3"/>
  <c r="C51" i="3" s="1"/>
  <c r="G55" i="3"/>
  <c r="J54" i="3"/>
  <c r="B18" i="3"/>
  <c r="C18" i="3" s="1"/>
  <c r="B143" i="3"/>
  <c r="C143" i="3" s="1"/>
  <c r="B142" i="3"/>
  <c r="C142" i="3" s="1"/>
  <c r="G85" i="3"/>
  <c r="J84" i="3"/>
  <c r="J113" i="3"/>
  <c r="G114" i="3"/>
  <c r="L112" i="2"/>
  <c r="B112" i="2" s="1"/>
  <c r="C112" i="2" s="1"/>
  <c r="L50" i="2"/>
  <c r="L142" i="2"/>
  <c r="L19" i="2"/>
  <c r="B19" i="2" s="1"/>
  <c r="C19" i="2" s="1"/>
  <c r="L143" i="2"/>
  <c r="L83" i="2"/>
  <c r="B83" i="2" s="1"/>
  <c r="C83" i="2" s="1"/>
  <c r="L49" i="2"/>
  <c r="G114" i="2"/>
  <c r="J113" i="2"/>
  <c r="G21" i="2"/>
  <c r="J20" i="2"/>
  <c r="G52" i="2"/>
  <c r="J51" i="2"/>
  <c r="J144" i="2"/>
  <c r="G145" i="2"/>
  <c r="B82" i="2"/>
  <c r="C82" i="2" s="1"/>
  <c r="B81" i="2"/>
  <c r="C81" i="2" s="1"/>
  <c r="G85" i="2"/>
  <c r="J84" i="2"/>
  <c r="K143" i="1"/>
  <c r="L143" i="1" s="1"/>
  <c r="K142" i="1"/>
  <c r="L142" i="1" s="1"/>
  <c r="G145" i="1"/>
  <c r="J144" i="1"/>
  <c r="B141" i="1"/>
  <c r="C141" i="1" s="1"/>
  <c r="K111" i="1"/>
  <c r="L111" i="1" s="1"/>
  <c r="K112" i="1"/>
  <c r="L112" i="1" s="1"/>
  <c r="G114" i="1"/>
  <c r="J113" i="1"/>
  <c r="K80" i="1"/>
  <c r="L80" i="1" s="1"/>
  <c r="G83" i="1"/>
  <c r="J82" i="1"/>
  <c r="J81" i="1"/>
  <c r="G53" i="1"/>
  <c r="J51" i="1"/>
  <c r="K16" i="1"/>
  <c r="G19" i="1"/>
  <c r="J18" i="1" s="1"/>
  <c r="J17" i="1"/>
  <c r="K82" i="1" a="1"/>
  <c r="K144" i="1" a="1"/>
  <c r="K113" i="1" a="1"/>
  <c r="K51" i="1" a="1"/>
  <c r="K17" i="1" a="1"/>
  <c r="K18" i="1" a="1"/>
  <c r="K81" i="1" a="1"/>
  <c r="B20" i="15" l="1"/>
  <c r="C20" i="15" s="1"/>
  <c r="L16" i="1"/>
  <c r="B16" i="1" s="1"/>
  <c r="C16" i="1" s="1"/>
  <c r="L21" i="16"/>
  <c r="B21" i="16" s="1"/>
  <c r="C21" i="16" s="1"/>
  <c r="L51" i="16"/>
  <c r="B51" i="16" s="1"/>
  <c r="C51" i="16" s="1"/>
  <c r="L112" i="16"/>
  <c r="B112" i="16" s="1"/>
  <c r="C112" i="16" s="1"/>
  <c r="L113" i="16"/>
  <c r="L85" i="16"/>
  <c r="B19" i="15"/>
  <c r="C19" i="15" s="1"/>
  <c r="G88" i="16"/>
  <c r="J87" i="16"/>
  <c r="B144" i="16"/>
  <c r="C144" i="16" s="1"/>
  <c r="B143" i="16"/>
  <c r="C143" i="16" s="1"/>
  <c r="G147" i="16"/>
  <c r="J86" i="16"/>
  <c r="J145" i="16"/>
  <c r="G53" i="16"/>
  <c r="G115" i="16"/>
  <c r="J114" i="16"/>
  <c r="G23" i="16"/>
  <c r="J22" i="16"/>
  <c r="L146" i="15"/>
  <c r="B146" i="15" s="1"/>
  <c r="C146" i="15" s="1"/>
  <c r="L87" i="15"/>
  <c r="L88" i="15"/>
  <c r="L55" i="15"/>
  <c r="L56" i="15"/>
  <c r="L116" i="15"/>
  <c r="B116" i="15" s="1"/>
  <c r="C116" i="15" s="1"/>
  <c r="B50" i="2"/>
  <c r="C50" i="2" s="1"/>
  <c r="B143" i="1"/>
  <c r="C143" i="1" s="1"/>
  <c r="G23" i="15"/>
  <c r="J22" i="15"/>
  <c r="J21" i="15"/>
  <c r="G148" i="15"/>
  <c r="G90" i="15"/>
  <c r="G118" i="15"/>
  <c r="G58" i="15"/>
  <c r="L51" i="14"/>
  <c r="B51" i="14" s="1"/>
  <c r="C51" i="14" s="1"/>
  <c r="L82" i="14"/>
  <c r="B82" i="14" s="1"/>
  <c r="C82" i="14" s="1"/>
  <c r="L22" i="14"/>
  <c r="B22" i="14" s="1"/>
  <c r="C22" i="14" s="1"/>
  <c r="L113" i="14"/>
  <c r="B113" i="14" s="1"/>
  <c r="C113" i="14" s="1"/>
  <c r="G148" i="14"/>
  <c r="B21" i="14"/>
  <c r="C21" i="14" s="1"/>
  <c r="G24" i="14"/>
  <c r="B112" i="14"/>
  <c r="C112" i="14" s="1"/>
  <c r="G115" i="14"/>
  <c r="J114" i="14"/>
  <c r="B19" i="8"/>
  <c r="C19" i="8" s="1"/>
  <c r="B50" i="14"/>
  <c r="C50" i="14" s="1"/>
  <c r="J83" i="14"/>
  <c r="G84" i="14"/>
  <c r="G53" i="14"/>
  <c r="J52" i="14"/>
  <c r="B81" i="14"/>
  <c r="C81" i="14" s="1"/>
  <c r="B80" i="14"/>
  <c r="C80" i="14" s="1"/>
  <c r="J146" i="14"/>
  <c r="L83" i="13"/>
  <c r="B83" i="13" s="1"/>
  <c r="C83" i="13" s="1"/>
  <c r="L145" i="13"/>
  <c r="L21" i="13"/>
  <c r="B21" i="13" s="1"/>
  <c r="C21" i="13" s="1"/>
  <c r="L144" i="13"/>
  <c r="L113" i="13"/>
  <c r="B113" i="13" s="1"/>
  <c r="C113" i="13" s="1"/>
  <c r="L54" i="13"/>
  <c r="L53" i="13"/>
  <c r="G115" i="13"/>
  <c r="J114" i="13"/>
  <c r="G56" i="13"/>
  <c r="J55" i="13"/>
  <c r="G147" i="13"/>
  <c r="J146" i="13"/>
  <c r="G85" i="13"/>
  <c r="G23" i="13"/>
  <c r="J22" i="13"/>
  <c r="B112" i="13"/>
  <c r="C112" i="13" s="1"/>
  <c r="B111" i="13"/>
  <c r="C111" i="13" s="1"/>
  <c r="L53" i="12"/>
  <c r="B53" i="12" s="1"/>
  <c r="C53" i="12" s="1"/>
  <c r="L115" i="12"/>
  <c r="B115" i="12" s="1"/>
  <c r="C115" i="12" s="1"/>
  <c r="L21" i="12"/>
  <c r="B21" i="12" s="1"/>
  <c r="C21" i="12" s="1"/>
  <c r="L144" i="12"/>
  <c r="B144" i="12" s="1"/>
  <c r="C144" i="12" s="1"/>
  <c r="L82" i="12"/>
  <c r="G117" i="12"/>
  <c r="J116" i="12"/>
  <c r="G23" i="12"/>
  <c r="J22" i="12"/>
  <c r="B143" i="12"/>
  <c r="C143" i="12" s="1"/>
  <c r="B142" i="12"/>
  <c r="C142" i="12" s="1"/>
  <c r="G55" i="12"/>
  <c r="J54" i="12"/>
  <c r="G146" i="12"/>
  <c r="G84" i="12"/>
  <c r="J83" i="12" s="1"/>
  <c r="B20" i="12"/>
  <c r="C20" i="12" s="1"/>
  <c r="B19" i="12"/>
  <c r="C19" i="12" s="1"/>
  <c r="B81" i="12"/>
  <c r="C81" i="12" s="1"/>
  <c r="B80" i="12"/>
  <c r="C80" i="12" s="1"/>
  <c r="B114" i="12"/>
  <c r="C114" i="12" s="1"/>
  <c r="L144" i="11"/>
  <c r="L143" i="11"/>
  <c r="L114" i="11"/>
  <c r="L52" i="11"/>
  <c r="B52" i="11" s="1"/>
  <c r="C52" i="11" s="1"/>
  <c r="G85" i="11"/>
  <c r="J84" i="11"/>
  <c r="G54" i="11"/>
  <c r="G146" i="11"/>
  <c r="G23" i="11"/>
  <c r="J22" i="11"/>
  <c r="G117" i="11"/>
  <c r="J116" i="11"/>
  <c r="J21" i="11"/>
  <c r="J83" i="11"/>
  <c r="J115" i="11"/>
  <c r="L145" i="10"/>
  <c r="B145" i="10" s="1"/>
  <c r="C145" i="10" s="1"/>
  <c r="L84" i="10"/>
  <c r="L22" i="10"/>
  <c r="B22" i="10" s="1"/>
  <c r="C22" i="10" s="1"/>
  <c r="L83" i="10"/>
  <c r="L113" i="10"/>
  <c r="B113" i="10" s="1"/>
  <c r="C113" i="10" s="1"/>
  <c r="B50" i="4"/>
  <c r="C50" i="4" s="1"/>
  <c r="G24" i="10"/>
  <c r="J23" i="10" s="1"/>
  <c r="G53" i="10"/>
  <c r="J52" i="10"/>
  <c r="B144" i="10"/>
  <c r="C144" i="10" s="1"/>
  <c r="B143" i="10"/>
  <c r="C143" i="10" s="1"/>
  <c r="J51" i="10"/>
  <c r="G86" i="10"/>
  <c r="J85" i="10"/>
  <c r="G147" i="10"/>
  <c r="B144" i="4"/>
  <c r="C144" i="4" s="1"/>
  <c r="G115" i="10"/>
  <c r="L116" i="9"/>
  <c r="B116" i="9" s="1"/>
  <c r="C116" i="9" s="1"/>
  <c r="L143" i="9"/>
  <c r="B143" i="9" s="1"/>
  <c r="C143" i="9" s="1"/>
  <c r="L82" i="9"/>
  <c r="B82" i="9" s="1"/>
  <c r="C82" i="9" s="1"/>
  <c r="L19" i="9"/>
  <c r="L144" i="9"/>
  <c r="L20" i="9"/>
  <c r="L54" i="9"/>
  <c r="B54" i="9" s="1"/>
  <c r="C54" i="9" s="1"/>
  <c r="B18" i="8"/>
  <c r="C18" i="8" s="1"/>
  <c r="G146" i="9"/>
  <c r="B142" i="9"/>
  <c r="C142" i="9" s="1"/>
  <c r="G84" i="9"/>
  <c r="J117" i="9"/>
  <c r="G118" i="9"/>
  <c r="J21" i="9"/>
  <c r="G22" i="9"/>
  <c r="G56" i="9"/>
  <c r="L20" i="8"/>
  <c r="B20" i="8" s="1"/>
  <c r="C20" i="8" s="1"/>
  <c r="L51" i="8"/>
  <c r="B51" i="8" s="1"/>
  <c r="C51" i="8" s="1"/>
  <c r="L82" i="8"/>
  <c r="B82" i="8" s="1"/>
  <c r="C82" i="8" s="1"/>
  <c r="G115" i="8"/>
  <c r="J114" i="8"/>
  <c r="G84" i="8"/>
  <c r="J113" i="8"/>
  <c r="G22" i="8"/>
  <c r="G147" i="8"/>
  <c r="J146" i="8"/>
  <c r="G53" i="8"/>
  <c r="B50" i="8"/>
  <c r="C50" i="8" s="1"/>
  <c r="B49" i="8"/>
  <c r="C49" i="8" s="1"/>
  <c r="B144" i="8"/>
  <c r="C144" i="8" s="1"/>
  <c r="J145" i="8"/>
  <c r="L118" i="7"/>
  <c r="L52" i="7"/>
  <c r="B52" i="7" s="1"/>
  <c r="C52" i="7" s="1"/>
  <c r="L117" i="7"/>
  <c r="L20" i="7"/>
  <c r="B20" i="7" s="1"/>
  <c r="C20" i="7" s="1"/>
  <c r="G120" i="7"/>
  <c r="G85" i="7"/>
  <c r="J84" i="7"/>
  <c r="G22" i="7"/>
  <c r="B144" i="7"/>
  <c r="C144" i="7" s="1"/>
  <c r="B143" i="7"/>
  <c r="C143" i="7" s="1"/>
  <c r="G147" i="7"/>
  <c r="J146" i="7"/>
  <c r="J145" i="7"/>
  <c r="J83" i="7"/>
  <c r="G54" i="7"/>
  <c r="J53" i="7" s="1"/>
  <c r="B20" i="3"/>
  <c r="C20" i="3" s="1"/>
  <c r="B82" i="7"/>
  <c r="C82" i="7" s="1"/>
  <c r="L113" i="6"/>
  <c r="B113" i="6" s="1"/>
  <c r="C113" i="6" s="1"/>
  <c r="L19" i="6"/>
  <c r="B19" i="6" s="1"/>
  <c r="C19" i="6" s="1"/>
  <c r="L144" i="6"/>
  <c r="B144" i="6" s="1"/>
  <c r="C144" i="6" s="1"/>
  <c r="L82" i="6"/>
  <c r="B82" i="6" s="1"/>
  <c r="C82" i="6" s="1"/>
  <c r="L20" i="6"/>
  <c r="L51" i="6"/>
  <c r="B18" i="6"/>
  <c r="C18" i="6" s="1"/>
  <c r="G115" i="6"/>
  <c r="J114" i="6"/>
  <c r="G53" i="6"/>
  <c r="J52" i="6"/>
  <c r="B112" i="6"/>
  <c r="C112" i="6" s="1"/>
  <c r="J21" i="6"/>
  <c r="G22" i="6"/>
  <c r="G84" i="6"/>
  <c r="G146" i="6"/>
  <c r="L53" i="5"/>
  <c r="B53" i="5" s="1"/>
  <c r="C53" i="5" s="1"/>
  <c r="L143" i="5"/>
  <c r="L117" i="5"/>
  <c r="B117" i="5" s="1"/>
  <c r="C117" i="5" s="1"/>
  <c r="L22" i="5"/>
  <c r="B22" i="5" s="1"/>
  <c r="C22" i="5" s="1"/>
  <c r="G146" i="5"/>
  <c r="J144" i="5"/>
  <c r="B116" i="5"/>
  <c r="C116" i="5" s="1"/>
  <c r="B115" i="5"/>
  <c r="C115" i="5" s="1"/>
  <c r="G55" i="5"/>
  <c r="J54" i="5"/>
  <c r="G24" i="5"/>
  <c r="J23" i="5" s="1"/>
  <c r="B49" i="4"/>
  <c r="C49" i="4" s="1"/>
  <c r="G85" i="5"/>
  <c r="J84" i="5"/>
  <c r="J83" i="5"/>
  <c r="B52" i="5"/>
  <c r="C52" i="5" s="1"/>
  <c r="B51" i="5"/>
  <c r="C51" i="5" s="1"/>
  <c r="B53" i="3"/>
  <c r="C53" i="3" s="1"/>
  <c r="G119" i="5"/>
  <c r="J118" i="5"/>
  <c r="L145" i="4"/>
  <c r="B145" i="4" s="1"/>
  <c r="C145" i="4" s="1"/>
  <c r="L83" i="4"/>
  <c r="L20" i="4"/>
  <c r="L116" i="4"/>
  <c r="L51" i="4"/>
  <c r="B51" i="4" s="1"/>
  <c r="C51" i="4" s="1"/>
  <c r="L84" i="4"/>
  <c r="L115" i="4"/>
  <c r="L19" i="4"/>
  <c r="G22" i="4"/>
  <c r="J21" i="4" s="1"/>
  <c r="G86" i="4"/>
  <c r="J85" i="4" s="1"/>
  <c r="B52" i="3"/>
  <c r="C52" i="3" s="1"/>
  <c r="G53" i="4"/>
  <c r="J52" i="4"/>
  <c r="J117" i="4"/>
  <c r="G118" i="4"/>
  <c r="G147" i="4"/>
  <c r="J146" i="4"/>
  <c r="L54" i="3"/>
  <c r="B54" i="3" s="1"/>
  <c r="C54" i="3" s="1"/>
  <c r="L84" i="3"/>
  <c r="L113" i="3"/>
  <c r="B113" i="3" s="1"/>
  <c r="C113" i="3" s="1"/>
  <c r="G23" i="3"/>
  <c r="J22" i="3"/>
  <c r="G147" i="3"/>
  <c r="J146" i="3"/>
  <c r="G115" i="3"/>
  <c r="J114" i="3"/>
  <c r="G86" i="3"/>
  <c r="J85" i="3"/>
  <c r="J55" i="3"/>
  <c r="G56" i="3"/>
  <c r="J21" i="3"/>
  <c r="J145" i="3"/>
  <c r="B19" i="3"/>
  <c r="C19" i="3" s="1"/>
  <c r="L20" i="2"/>
  <c r="B20" i="2" s="1"/>
  <c r="C20" i="2" s="1"/>
  <c r="L51" i="2"/>
  <c r="B51" i="2" s="1"/>
  <c r="C51" i="2" s="1"/>
  <c r="L113" i="2"/>
  <c r="B113" i="2" s="1"/>
  <c r="C113" i="2" s="1"/>
  <c r="L84" i="2"/>
  <c r="B84" i="2" s="1"/>
  <c r="C84" i="2" s="1"/>
  <c r="L144" i="2"/>
  <c r="B144" i="2" s="1"/>
  <c r="C144" i="2" s="1"/>
  <c r="G115" i="2"/>
  <c r="J114" i="2"/>
  <c r="G53" i="2"/>
  <c r="J52" i="2"/>
  <c r="B49" i="2"/>
  <c r="C49" i="2" s="1"/>
  <c r="G86" i="2"/>
  <c r="B143" i="2"/>
  <c r="C143" i="2" s="1"/>
  <c r="B142" i="2"/>
  <c r="C142" i="2" s="1"/>
  <c r="J145" i="2"/>
  <c r="G146" i="2"/>
  <c r="G22" i="2"/>
  <c r="K144" i="1"/>
  <c r="L144" i="1" s="1"/>
  <c r="B144" i="1" s="1"/>
  <c r="C144" i="1" s="1"/>
  <c r="G146" i="1"/>
  <c r="J145" i="1" s="1"/>
  <c r="B142" i="1"/>
  <c r="C142" i="1" s="1"/>
  <c r="K113" i="1"/>
  <c r="L113" i="1" s="1"/>
  <c r="B113" i="1" s="1"/>
  <c r="C113" i="1" s="1"/>
  <c r="G115" i="1"/>
  <c r="B112" i="1"/>
  <c r="C112" i="1" s="1"/>
  <c r="B111" i="1"/>
  <c r="C111" i="1" s="1"/>
  <c r="K81" i="1"/>
  <c r="L81" i="1" s="1"/>
  <c r="B81" i="1" s="1"/>
  <c r="C81" i="1" s="1"/>
  <c r="K82" i="1"/>
  <c r="L82" i="1" s="1"/>
  <c r="G84" i="1"/>
  <c r="B80" i="1"/>
  <c r="C80" i="1" s="1"/>
  <c r="K51" i="1"/>
  <c r="L51" i="1" s="1"/>
  <c r="G54" i="1"/>
  <c r="J53" i="1"/>
  <c r="J52" i="1"/>
  <c r="K18" i="1"/>
  <c r="K17" i="1"/>
  <c r="G20" i="1"/>
  <c r="K145" i="1" a="1"/>
  <c r="K52" i="1" a="1"/>
  <c r="K53" i="1" a="1"/>
  <c r="L17" i="1" l="1"/>
  <c r="B17" i="1" s="1"/>
  <c r="C17" i="1" s="1"/>
  <c r="L18" i="1"/>
  <c r="L145" i="16"/>
  <c r="L86" i="16"/>
  <c r="B86" i="16" s="1"/>
  <c r="C86" i="16" s="1"/>
  <c r="L87" i="16"/>
  <c r="L22" i="16"/>
  <c r="B22" i="16" s="1"/>
  <c r="C22" i="16" s="1"/>
  <c r="L114" i="16"/>
  <c r="B114" i="16" s="1"/>
  <c r="C114" i="16" s="1"/>
  <c r="B85" i="16"/>
  <c r="C85" i="16" s="1"/>
  <c r="G116" i="16"/>
  <c r="G89" i="16"/>
  <c r="J88" i="16" s="1"/>
  <c r="B113" i="16"/>
  <c r="C113" i="16" s="1"/>
  <c r="G54" i="16"/>
  <c r="J147" i="16"/>
  <c r="G148" i="16"/>
  <c r="J146" i="16"/>
  <c r="G24" i="16"/>
  <c r="J52" i="16"/>
  <c r="L21" i="15"/>
  <c r="L22" i="15"/>
  <c r="G149" i="15"/>
  <c r="J148" i="15"/>
  <c r="G59" i="15"/>
  <c r="J58" i="15"/>
  <c r="B56" i="15"/>
  <c r="C56" i="15" s="1"/>
  <c r="B55" i="15"/>
  <c r="C55" i="15" s="1"/>
  <c r="G119" i="15"/>
  <c r="J118" i="15"/>
  <c r="J117" i="15"/>
  <c r="B88" i="15"/>
  <c r="C88" i="15" s="1"/>
  <c r="B87" i="15"/>
  <c r="C87" i="15" s="1"/>
  <c r="G91" i="15"/>
  <c r="J90" i="15"/>
  <c r="J147" i="15"/>
  <c r="G24" i="15"/>
  <c r="J57" i="15"/>
  <c r="J89" i="15"/>
  <c r="L52" i="14"/>
  <c r="B52" i="14" s="1"/>
  <c r="C52" i="14" s="1"/>
  <c r="L83" i="14"/>
  <c r="B83" i="14" s="1"/>
  <c r="C83" i="14" s="1"/>
  <c r="L114" i="14"/>
  <c r="B114" i="14" s="1"/>
  <c r="C114" i="14" s="1"/>
  <c r="L146" i="14"/>
  <c r="G85" i="14"/>
  <c r="J84" i="14"/>
  <c r="G25" i="14"/>
  <c r="J24" i="14"/>
  <c r="J23" i="14"/>
  <c r="G149" i="14"/>
  <c r="J148" i="14"/>
  <c r="J147" i="14"/>
  <c r="J115" i="14"/>
  <c r="G116" i="14"/>
  <c r="G54" i="14"/>
  <c r="L114" i="13"/>
  <c r="B114" i="13" s="1"/>
  <c r="C114" i="13" s="1"/>
  <c r="L22" i="13"/>
  <c r="B22" i="13" s="1"/>
  <c r="C22" i="13" s="1"/>
  <c r="L146" i="13"/>
  <c r="B146" i="13" s="1"/>
  <c r="C146" i="13" s="1"/>
  <c r="L55" i="13"/>
  <c r="B55" i="13" s="1"/>
  <c r="C55" i="13" s="1"/>
  <c r="G86" i="13"/>
  <c r="J85" i="13" s="1"/>
  <c r="G57" i="13"/>
  <c r="J56" i="13"/>
  <c r="B145" i="13"/>
  <c r="C145" i="13" s="1"/>
  <c r="B144" i="13"/>
  <c r="C144" i="13" s="1"/>
  <c r="G148" i="13"/>
  <c r="J147" i="13" s="1"/>
  <c r="B54" i="13"/>
  <c r="C54" i="13" s="1"/>
  <c r="B53" i="13"/>
  <c r="C53" i="13" s="1"/>
  <c r="G24" i="13"/>
  <c r="G116" i="13"/>
  <c r="J115" i="13" s="1"/>
  <c r="J84" i="13"/>
  <c r="L83" i="12"/>
  <c r="B83" i="12" s="1"/>
  <c r="C83" i="12" s="1"/>
  <c r="L54" i="12"/>
  <c r="B54" i="12" s="1"/>
  <c r="C54" i="12" s="1"/>
  <c r="L22" i="12"/>
  <c r="B22" i="12" s="1"/>
  <c r="C22" i="12" s="1"/>
  <c r="L116" i="12"/>
  <c r="G56" i="12"/>
  <c r="G24" i="12"/>
  <c r="J23" i="12" s="1"/>
  <c r="B82" i="12"/>
  <c r="C82" i="12" s="1"/>
  <c r="G118" i="12"/>
  <c r="J117" i="12" s="1"/>
  <c r="G85" i="12"/>
  <c r="J84" i="12"/>
  <c r="G147" i="12"/>
  <c r="J146" i="12"/>
  <c r="J145" i="12"/>
  <c r="L21" i="11"/>
  <c r="L84" i="11"/>
  <c r="L115" i="11"/>
  <c r="B115" i="11" s="1"/>
  <c r="C115" i="11" s="1"/>
  <c r="L116" i="11"/>
  <c r="L22" i="11"/>
  <c r="L83" i="11"/>
  <c r="G55" i="11"/>
  <c r="J54" i="11"/>
  <c r="B114" i="11"/>
  <c r="C114" i="11" s="1"/>
  <c r="G86" i="11"/>
  <c r="B144" i="11"/>
  <c r="C144" i="11" s="1"/>
  <c r="B143" i="11"/>
  <c r="C143" i="11" s="1"/>
  <c r="J117" i="11"/>
  <c r="G118" i="11"/>
  <c r="G24" i="11"/>
  <c r="J23" i="11" s="1"/>
  <c r="G147" i="11"/>
  <c r="J146" i="11"/>
  <c r="J145" i="11"/>
  <c r="J53" i="11"/>
  <c r="L23" i="10"/>
  <c r="B23" i="10" s="1"/>
  <c r="C23" i="10" s="1"/>
  <c r="L51" i="10"/>
  <c r="L85" i="10"/>
  <c r="B85" i="10" s="1"/>
  <c r="C85" i="10" s="1"/>
  <c r="L52" i="10"/>
  <c r="G54" i="10"/>
  <c r="J53" i="10" s="1"/>
  <c r="G116" i="10"/>
  <c r="J115" i="10" s="1"/>
  <c r="G148" i="10"/>
  <c r="J147" i="10"/>
  <c r="B84" i="10"/>
  <c r="C84" i="10" s="1"/>
  <c r="B83" i="10"/>
  <c r="C83" i="10" s="1"/>
  <c r="J146" i="10"/>
  <c r="J24" i="10"/>
  <c r="G25" i="10"/>
  <c r="J114" i="10"/>
  <c r="G87" i="10"/>
  <c r="J86" i="10"/>
  <c r="L117" i="9"/>
  <c r="B117" i="9" s="1"/>
  <c r="C117" i="9" s="1"/>
  <c r="L21" i="9"/>
  <c r="B21" i="9" s="1"/>
  <c r="C21" i="9" s="1"/>
  <c r="G85" i="9"/>
  <c r="J84" i="9"/>
  <c r="G57" i="9"/>
  <c r="B20" i="9"/>
  <c r="C20" i="9" s="1"/>
  <c r="B19" i="9"/>
  <c r="C19" i="9" s="1"/>
  <c r="J55" i="9"/>
  <c r="G23" i="9"/>
  <c r="J22" i="9"/>
  <c r="J83" i="9"/>
  <c r="G147" i="9"/>
  <c r="J146" i="9"/>
  <c r="B144" i="9"/>
  <c r="C144" i="9" s="1"/>
  <c r="J145" i="9"/>
  <c r="G119" i="9"/>
  <c r="J118" i="9" s="1"/>
  <c r="L113" i="8"/>
  <c r="L145" i="8"/>
  <c r="L146" i="8"/>
  <c r="L114" i="8"/>
  <c r="G116" i="8"/>
  <c r="G54" i="8"/>
  <c r="J53" i="8" s="1"/>
  <c r="G85" i="8"/>
  <c r="J84" i="8"/>
  <c r="G148" i="8"/>
  <c r="G23" i="8"/>
  <c r="J22" i="8"/>
  <c r="J21" i="8"/>
  <c r="J83" i="8"/>
  <c r="J52" i="8"/>
  <c r="L53" i="7"/>
  <c r="B53" i="7" s="1"/>
  <c r="C53" i="7" s="1"/>
  <c r="L146" i="7"/>
  <c r="L83" i="7"/>
  <c r="L84" i="7"/>
  <c r="L145" i="7"/>
  <c r="G86" i="7"/>
  <c r="G121" i="7"/>
  <c r="J120" i="7"/>
  <c r="G23" i="7"/>
  <c r="J22" i="7"/>
  <c r="J119" i="7"/>
  <c r="B118" i="7"/>
  <c r="C118" i="7" s="1"/>
  <c r="B117" i="7"/>
  <c r="C117" i="7" s="1"/>
  <c r="J21" i="7"/>
  <c r="J147" i="7"/>
  <c r="G148" i="7"/>
  <c r="G55" i="7"/>
  <c r="J54" i="7"/>
  <c r="L114" i="6"/>
  <c r="B114" i="6" s="1"/>
  <c r="C114" i="6" s="1"/>
  <c r="L52" i="6"/>
  <c r="B52" i="6" s="1"/>
  <c r="C52" i="6" s="1"/>
  <c r="L21" i="6"/>
  <c r="B21" i="6" s="1"/>
  <c r="C21" i="6" s="1"/>
  <c r="G23" i="6"/>
  <c r="J22" i="6"/>
  <c r="G116" i="6"/>
  <c r="G147" i="6"/>
  <c r="J146" i="6"/>
  <c r="G85" i="6"/>
  <c r="J84" i="6"/>
  <c r="J53" i="6"/>
  <c r="G54" i="6"/>
  <c r="J145" i="6"/>
  <c r="J83" i="6"/>
  <c r="B20" i="6"/>
  <c r="C20" i="6" s="1"/>
  <c r="B51" i="6"/>
  <c r="C51" i="6" s="1"/>
  <c r="L23" i="5"/>
  <c r="B23" i="5" s="1"/>
  <c r="C23" i="5" s="1"/>
  <c r="L54" i="5"/>
  <c r="B54" i="5" s="1"/>
  <c r="C54" i="5" s="1"/>
  <c r="L118" i="5"/>
  <c r="B118" i="5" s="1"/>
  <c r="C118" i="5" s="1"/>
  <c r="L83" i="5"/>
  <c r="L144" i="5"/>
  <c r="L84" i="5"/>
  <c r="G56" i="5"/>
  <c r="G25" i="5"/>
  <c r="J24" i="5"/>
  <c r="G147" i="5"/>
  <c r="J146" i="5"/>
  <c r="J145" i="5"/>
  <c r="J85" i="5"/>
  <c r="G86" i="5"/>
  <c r="B143" i="5"/>
  <c r="C143" i="5" s="1"/>
  <c r="G120" i="5"/>
  <c r="J119" i="5" s="1"/>
  <c r="L85" i="4"/>
  <c r="B85" i="4" s="1"/>
  <c r="C85" i="4" s="1"/>
  <c r="L21" i="4"/>
  <c r="B21" i="4" s="1"/>
  <c r="C21" i="4" s="1"/>
  <c r="L146" i="4"/>
  <c r="B146" i="4" s="1"/>
  <c r="C146" i="4" s="1"/>
  <c r="L52" i="4"/>
  <c r="B52" i="4" s="1"/>
  <c r="C52" i="4" s="1"/>
  <c r="L117" i="4"/>
  <c r="B117" i="4" s="1"/>
  <c r="C117" i="4" s="1"/>
  <c r="J53" i="4"/>
  <c r="G54" i="4"/>
  <c r="B20" i="4"/>
  <c r="C20" i="4" s="1"/>
  <c r="B19" i="4"/>
  <c r="C19" i="4" s="1"/>
  <c r="G148" i="4"/>
  <c r="G119" i="4"/>
  <c r="J118" i="4"/>
  <c r="B84" i="4"/>
  <c r="C84" i="4" s="1"/>
  <c r="B83" i="4"/>
  <c r="C83" i="4" s="1"/>
  <c r="G87" i="4"/>
  <c r="G23" i="4"/>
  <c r="J22" i="4"/>
  <c r="B116" i="4"/>
  <c r="C116" i="4" s="1"/>
  <c r="B115" i="4"/>
  <c r="C115" i="4" s="1"/>
  <c r="L55" i="3"/>
  <c r="B55" i="3" s="1"/>
  <c r="C55" i="3" s="1"/>
  <c r="L146" i="3"/>
  <c r="L22" i="3"/>
  <c r="L145" i="3"/>
  <c r="L85" i="3"/>
  <c r="B85" i="3" s="1"/>
  <c r="C85" i="3" s="1"/>
  <c r="L114" i="3"/>
  <c r="B114" i="3" s="1"/>
  <c r="C114" i="3" s="1"/>
  <c r="L21" i="3"/>
  <c r="G87" i="3"/>
  <c r="B84" i="3"/>
  <c r="C84" i="3" s="1"/>
  <c r="G116" i="3"/>
  <c r="G148" i="3"/>
  <c r="J147" i="3"/>
  <c r="G24" i="3"/>
  <c r="J23" i="3"/>
  <c r="G57" i="3"/>
  <c r="J56" i="3"/>
  <c r="L114" i="2"/>
  <c r="B114" i="2" s="1"/>
  <c r="C114" i="2" s="1"/>
  <c r="L52" i="2"/>
  <c r="B52" i="2" s="1"/>
  <c r="C52" i="2" s="1"/>
  <c r="L145" i="2"/>
  <c r="B145" i="2" s="1"/>
  <c r="C145" i="2" s="1"/>
  <c r="G87" i="2"/>
  <c r="J86" i="2"/>
  <c r="G54" i="2"/>
  <c r="J53" i="2" s="1"/>
  <c r="J115" i="2"/>
  <c r="G116" i="2"/>
  <c r="G23" i="2"/>
  <c r="J22" i="2"/>
  <c r="J21" i="2"/>
  <c r="G147" i="2"/>
  <c r="J85" i="2"/>
  <c r="K145" i="1"/>
  <c r="L145" i="1" s="1"/>
  <c r="B145" i="1" s="1"/>
  <c r="C145" i="1" s="1"/>
  <c r="G147" i="1"/>
  <c r="G116" i="1"/>
  <c r="J115" i="1"/>
  <c r="J114" i="1"/>
  <c r="G85" i="1"/>
  <c r="J84" i="1"/>
  <c r="J83" i="1"/>
  <c r="B82" i="1"/>
  <c r="C82" i="1" s="1"/>
  <c r="K52" i="1"/>
  <c r="L52" i="1" s="1"/>
  <c r="B52" i="1" s="1"/>
  <c r="C52" i="1" s="1"/>
  <c r="K53" i="1"/>
  <c r="L53" i="1" s="1"/>
  <c r="G55" i="1"/>
  <c r="B51" i="1"/>
  <c r="C51" i="1" s="1"/>
  <c r="G21" i="1"/>
  <c r="J19" i="1"/>
  <c r="K114" i="1" a="1"/>
  <c r="K84" i="1" a="1"/>
  <c r="K83" i="1" a="1"/>
  <c r="K19" i="1" a="1"/>
  <c r="K115" i="1" a="1"/>
  <c r="B18" i="1" l="1"/>
  <c r="C18" i="1" s="1"/>
  <c r="B87" i="16"/>
  <c r="C87" i="16" s="1"/>
  <c r="L88" i="16"/>
  <c r="B88" i="16" s="1"/>
  <c r="C88" i="16" s="1"/>
  <c r="L52" i="16"/>
  <c r="L146" i="16"/>
  <c r="B146" i="16" s="1"/>
  <c r="C146" i="16" s="1"/>
  <c r="L147" i="16"/>
  <c r="G117" i="16"/>
  <c r="J116" i="16"/>
  <c r="G25" i="16"/>
  <c r="J23" i="16"/>
  <c r="G55" i="16"/>
  <c r="J54" i="16"/>
  <c r="J53" i="16"/>
  <c r="G90" i="16"/>
  <c r="J89" i="16"/>
  <c r="J115" i="16"/>
  <c r="G149" i="16"/>
  <c r="J148" i="16"/>
  <c r="B145" i="16"/>
  <c r="C145" i="16" s="1"/>
  <c r="L147" i="15"/>
  <c r="L90" i="15"/>
  <c r="L89" i="15"/>
  <c r="L117" i="15"/>
  <c r="L118" i="15"/>
  <c r="L58" i="15"/>
  <c r="L57" i="15"/>
  <c r="L148" i="15"/>
  <c r="G92" i="15"/>
  <c r="J91" i="15"/>
  <c r="G60" i="15"/>
  <c r="J59" i="15"/>
  <c r="G25" i="15"/>
  <c r="J24" i="15"/>
  <c r="J119" i="15"/>
  <c r="G120" i="15"/>
  <c r="G150" i="15"/>
  <c r="J23" i="15"/>
  <c r="B22" i="15"/>
  <c r="C22" i="15" s="1"/>
  <c r="B21" i="15"/>
  <c r="C21" i="15" s="1"/>
  <c r="L24" i="14"/>
  <c r="L84" i="14"/>
  <c r="B84" i="14" s="1"/>
  <c r="C84" i="14" s="1"/>
  <c r="L115" i="14"/>
  <c r="B115" i="14" s="1"/>
  <c r="C115" i="14" s="1"/>
  <c r="L148" i="14"/>
  <c r="L147" i="14"/>
  <c r="L23" i="14"/>
  <c r="G26" i="14"/>
  <c r="B146" i="14"/>
  <c r="C146" i="14" s="1"/>
  <c r="G86" i="14"/>
  <c r="G55" i="14"/>
  <c r="J54" i="14"/>
  <c r="J149" i="14"/>
  <c r="G150" i="14"/>
  <c r="J53" i="14"/>
  <c r="G117" i="14"/>
  <c r="J116" i="14"/>
  <c r="L147" i="13"/>
  <c r="B147" i="13" s="1"/>
  <c r="C147" i="13" s="1"/>
  <c r="L85" i="13"/>
  <c r="L115" i="13"/>
  <c r="B115" i="13" s="1"/>
  <c r="C115" i="13" s="1"/>
  <c r="L84" i="13"/>
  <c r="L56" i="13"/>
  <c r="B56" i="13" s="1"/>
  <c r="C56" i="13" s="1"/>
  <c r="G58" i="13"/>
  <c r="J57" i="13"/>
  <c r="G87" i="13"/>
  <c r="J86" i="13"/>
  <c r="G117" i="13"/>
  <c r="G25" i="13"/>
  <c r="G149" i="13"/>
  <c r="J23" i="13"/>
  <c r="L117" i="12"/>
  <c r="B117" i="12" s="1"/>
  <c r="C117" i="12" s="1"/>
  <c r="L23" i="12"/>
  <c r="B23" i="12" s="1"/>
  <c r="C23" i="12" s="1"/>
  <c r="L145" i="12"/>
  <c r="L84" i="12"/>
  <c r="B84" i="12" s="1"/>
  <c r="C84" i="12" s="1"/>
  <c r="L146" i="12"/>
  <c r="G57" i="12"/>
  <c r="J56" i="12"/>
  <c r="B116" i="12"/>
  <c r="C116" i="12" s="1"/>
  <c r="G86" i="12"/>
  <c r="G119" i="12"/>
  <c r="J118" i="12"/>
  <c r="G25" i="12"/>
  <c r="J55" i="12"/>
  <c r="G148" i="12"/>
  <c r="L23" i="11"/>
  <c r="B23" i="11" s="1"/>
  <c r="C23" i="11" s="1"/>
  <c r="L54" i="11"/>
  <c r="L53" i="11"/>
  <c r="L117" i="11"/>
  <c r="B117" i="11" s="1"/>
  <c r="C117" i="11" s="1"/>
  <c r="L145" i="11"/>
  <c r="L146" i="11"/>
  <c r="B84" i="11"/>
  <c r="C84" i="11" s="1"/>
  <c r="B83" i="11"/>
  <c r="C83" i="11" s="1"/>
  <c r="G87" i="11"/>
  <c r="J86" i="11"/>
  <c r="J85" i="11"/>
  <c r="G56" i="11"/>
  <c r="J55" i="11" s="1"/>
  <c r="B116" i="11"/>
  <c r="C116" i="11" s="1"/>
  <c r="G148" i="11"/>
  <c r="G25" i="11"/>
  <c r="J24" i="11"/>
  <c r="G119" i="11"/>
  <c r="J118" i="11"/>
  <c r="B22" i="11"/>
  <c r="C22" i="11" s="1"/>
  <c r="B21" i="11"/>
  <c r="C21" i="11" s="1"/>
  <c r="L115" i="10"/>
  <c r="L53" i="10"/>
  <c r="B53" i="10" s="1"/>
  <c r="C53" i="10" s="1"/>
  <c r="L24" i="10"/>
  <c r="B24" i="10" s="1"/>
  <c r="C24" i="10" s="1"/>
  <c r="L147" i="10"/>
  <c r="L146" i="10"/>
  <c r="L86" i="10"/>
  <c r="B86" i="10" s="1"/>
  <c r="C86" i="10" s="1"/>
  <c r="L114" i="10"/>
  <c r="G88" i="10"/>
  <c r="G117" i="10"/>
  <c r="J116" i="10"/>
  <c r="G55" i="10"/>
  <c r="J54" i="10"/>
  <c r="B52" i="10"/>
  <c r="C52" i="10" s="1"/>
  <c r="B51" i="10"/>
  <c r="C51" i="10" s="1"/>
  <c r="G149" i="10"/>
  <c r="J148" i="10"/>
  <c r="G26" i="10"/>
  <c r="J25" i="10"/>
  <c r="L118" i="9"/>
  <c r="B118" i="9" s="1"/>
  <c r="C118" i="9" s="1"/>
  <c r="L83" i="9"/>
  <c r="L145" i="9"/>
  <c r="L84" i="9"/>
  <c r="L146" i="9"/>
  <c r="L22" i="9"/>
  <c r="B22" i="9" s="1"/>
  <c r="C22" i="9" s="1"/>
  <c r="L55" i="9"/>
  <c r="G24" i="9"/>
  <c r="J23" i="9" s="1"/>
  <c r="G58" i="9"/>
  <c r="G120" i="9"/>
  <c r="G86" i="9"/>
  <c r="J56" i="9"/>
  <c r="J147" i="9"/>
  <c r="G148" i="9"/>
  <c r="L53" i="8"/>
  <c r="L22" i="8"/>
  <c r="L84" i="8"/>
  <c r="L83" i="8"/>
  <c r="L52" i="8"/>
  <c r="L21" i="8"/>
  <c r="G149" i="8"/>
  <c r="J148" i="8"/>
  <c r="G86" i="8"/>
  <c r="G24" i="8"/>
  <c r="J147" i="8"/>
  <c r="G117" i="8"/>
  <c r="J116" i="8"/>
  <c r="G55" i="8"/>
  <c r="B146" i="8"/>
  <c r="C146" i="8" s="1"/>
  <c r="B145" i="8"/>
  <c r="C145" i="8" s="1"/>
  <c r="J115" i="8"/>
  <c r="B114" i="8"/>
  <c r="C114" i="8" s="1"/>
  <c r="B113" i="8"/>
  <c r="C113" i="8" s="1"/>
  <c r="L21" i="7"/>
  <c r="L120" i="7"/>
  <c r="L119" i="7"/>
  <c r="L22" i="7"/>
  <c r="L54" i="7"/>
  <c r="B54" i="7" s="1"/>
  <c r="C54" i="7" s="1"/>
  <c r="L147" i="7"/>
  <c r="B147" i="7" s="1"/>
  <c r="C147" i="7" s="1"/>
  <c r="G24" i="7"/>
  <c r="G122" i="7"/>
  <c r="J121" i="7"/>
  <c r="B84" i="7"/>
  <c r="C84" i="7" s="1"/>
  <c r="B83" i="7"/>
  <c r="C83" i="7" s="1"/>
  <c r="G149" i="7"/>
  <c r="G87" i="7"/>
  <c r="J85" i="7"/>
  <c r="B146" i="7"/>
  <c r="C146" i="7" s="1"/>
  <c r="B145" i="7"/>
  <c r="C145" i="7" s="1"/>
  <c r="G56" i="7"/>
  <c r="L146" i="6"/>
  <c r="L84" i="6"/>
  <c r="L53" i="6"/>
  <c r="B53" i="6" s="1"/>
  <c r="C53" i="6" s="1"/>
  <c r="L83" i="6"/>
  <c r="L22" i="6"/>
  <c r="B22" i="6" s="1"/>
  <c r="C22" i="6" s="1"/>
  <c r="L145" i="6"/>
  <c r="G148" i="6"/>
  <c r="J147" i="6" s="1"/>
  <c r="G117" i="6"/>
  <c r="J116" i="6"/>
  <c r="G24" i="6"/>
  <c r="G86" i="6"/>
  <c r="J115" i="6"/>
  <c r="G55" i="6"/>
  <c r="J54" i="6"/>
  <c r="L119" i="5"/>
  <c r="B119" i="5" s="1"/>
  <c r="C119" i="5" s="1"/>
  <c r="L146" i="5"/>
  <c r="L24" i="5"/>
  <c r="B24" i="5" s="1"/>
  <c r="C24" i="5" s="1"/>
  <c r="L145" i="5"/>
  <c r="L85" i="5"/>
  <c r="B85" i="5" s="1"/>
  <c r="C85" i="5" s="1"/>
  <c r="G148" i="5"/>
  <c r="G26" i="5"/>
  <c r="B84" i="5"/>
  <c r="C84" i="5" s="1"/>
  <c r="B83" i="5"/>
  <c r="C83" i="5" s="1"/>
  <c r="B144" i="5"/>
  <c r="C144" i="5" s="1"/>
  <c r="G87" i="5"/>
  <c r="G57" i="5"/>
  <c r="J56" i="5"/>
  <c r="J55" i="5"/>
  <c r="G121" i="5"/>
  <c r="J120" i="5" s="1"/>
  <c r="L118" i="4"/>
  <c r="B118" i="4" s="1"/>
  <c r="C118" i="4" s="1"/>
  <c r="L22" i="4"/>
  <c r="L53" i="4"/>
  <c r="B53" i="4" s="1"/>
  <c r="C53" i="4" s="1"/>
  <c r="G88" i="4"/>
  <c r="J87" i="4"/>
  <c r="J86" i="4"/>
  <c r="G120" i="4"/>
  <c r="G149" i="4"/>
  <c r="J148" i="4" s="1"/>
  <c r="G55" i="4"/>
  <c r="J54" i="4"/>
  <c r="J23" i="4"/>
  <c r="G24" i="4"/>
  <c r="J147" i="4"/>
  <c r="L23" i="3"/>
  <c r="B23" i="3" s="1"/>
  <c r="C23" i="3" s="1"/>
  <c r="L147" i="3"/>
  <c r="B147" i="3" s="1"/>
  <c r="C147" i="3" s="1"/>
  <c r="L56" i="3"/>
  <c r="B56" i="3" s="1"/>
  <c r="C56" i="3" s="1"/>
  <c r="G117" i="3"/>
  <c r="J116" i="3"/>
  <c r="J115" i="3"/>
  <c r="G149" i="3"/>
  <c r="J148" i="3"/>
  <c r="G88" i="3"/>
  <c r="B22" i="3"/>
  <c r="C22" i="3" s="1"/>
  <c r="B21" i="3"/>
  <c r="C21" i="3" s="1"/>
  <c r="J86" i="3"/>
  <c r="B146" i="3"/>
  <c r="C146" i="3" s="1"/>
  <c r="B145" i="3"/>
  <c r="C145" i="3" s="1"/>
  <c r="G58" i="3"/>
  <c r="J57" i="3"/>
  <c r="G25" i="3"/>
  <c r="L53" i="2"/>
  <c r="B53" i="2" s="1"/>
  <c r="C53" i="2" s="1"/>
  <c r="L22" i="2"/>
  <c r="L85" i="2"/>
  <c r="L21" i="2"/>
  <c r="L86" i="2"/>
  <c r="L115" i="2"/>
  <c r="B115" i="2" s="1"/>
  <c r="C115" i="2" s="1"/>
  <c r="G117" i="2"/>
  <c r="J116" i="2"/>
  <c r="G148" i="2"/>
  <c r="G24" i="2"/>
  <c r="G55" i="2"/>
  <c r="J54" i="2"/>
  <c r="J87" i="2"/>
  <c r="G88" i="2"/>
  <c r="J146" i="2"/>
  <c r="G148" i="1"/>
  <c r="J146" i="1"/>
  <c r="K114" i="1"/>
  <c r="L114" i="1" s="1"/>
  <c r="K115" i="1"/>
  <c r="L115" i="1" s="1"/>
  <c r="G117" i="1"/>
  <c r="K83" i="1"/>
  <c r="L83" i="1" s="1"/>
  <c r="K84" i="1"/>
  <c r="L84" i="1" s="1"/>
  <c r="G86" i="1"/>
  <c r="G56" i="1"/>
  <c r="J55" i="1"/>
  <c r="J54" i="1"/>
  <c r="B53" i="1"/>
  <c r="C53" i="1" s="1"/>
  <c r="K19" i="1"/>
  <c r="G22" i="1"/>
  <c r="J20" i="1"/>
  <c r="K20" i="1" a="1"/>
  <c r="K146" i="1" a="1"/>
  <c r="K54" i="1" a="1"/>
  <c r="K55" i="1" a="1"/>
  <c r="B148" i="14" l="1"/>
  <c r="C148" i="14" s="1"/>
  <c r="L19" i="1"/>
  <c r="L89" i="16"/>
  <c r="B89" i="16" s="1"/>
  <c r="C89" i="16" s="1"/>
  <c r="L54" i="16"/>
  <c r="L148" i="16"/>
  <c r="B148" i="16" s="1"/>
  <c r="C148" i="16" s="1"/>
  <c r="L116" i="16"/>
  <c r="L53" i="16"/>
  <c r="B54" i="16" s="1"/>
  <c r="C54" i="16" s="1"/>
  <c r="L23" i="16"/>
  <c r="L115" i="16"/>
  <c r="G91" i="16"/>
  <c r="J90" i="16"/>
  <c r="G26" i="16"/>
  <c r="J25" i="16"/>
  <c r="G150" i="16"/>
  <c r="B147" i="16"/>
  <c r="C147" i="16" s="1"/>
  <c r="J117" i="16"/>
  <c r="G118" i="16"/>
  <c r="B147" i="14"/>
  <c r="C147" i="14" s="1"/>
  <c r="B52" i="16"/>
  <c r="C52" i="16" s="1"/>
  <c r="G56" i="16"/>
  <c r="J55" i="16" s="1"/>
  <c r="J24" i="16"/>
  <c r="L24" i="15"/>
  <c r="L59" i="15"/>
  <c r="B59" i="15" s="1"/>
  <c r="C59" i="15" s="1"/>
  <c r="L23" i="15"/>
  <c r="L119" i="15"/>
  <c r="B119" i="15" s="1"/>
  <c r="C119" i="15" s="1"/>
  <c r="L91" i="15"/>
  <c r="B91" i="15" s="1"/>
  <c r="C91" i="15" s="1"/>
  <c r="G61" i="15"/>
  <c r="J60" i="15" s="1"/>
  <c r="G93" i="15"/>
  <c r="G151" i="15"/>
  <c r="J149" i="15"/>
  <c r="G26" i="15"/>
  <c r="B58" i="15"/>
  <c r="C58" i="15" s="1"/>
  <c r="B57" i="15"/>
  <c r="C57" i="15" s="1"/>
  <c r="B118" i="15"/>
  <c r="C118" i="15" s="1"/>
  <c r="B117" i="15"/>
  <c r="C117" i="15" s="1"/>
  <c r="B90" i="15"/>
  <c r="C90" i="15" s="1"/>
  <c r="B89" i="15"/>
  <c r="C89" i="15" s="1"/>
  <c r="G121" i="15"/>
  <c r="J120" i="15" s="1"/>
  <c r="B148" i="15"/>
  <c r="C148" i="15" s="1"/>
  <c r="B147" i="15"/>
  <c r="C147" i="15" s="1"/>
  <c r="L54" i="14"/>
  <c r="L116" i="14"/>
  <c r="B116" i="14" s="1"/>
  <c r="C116" i="14" s="1"/>
  <c r="L53" i="14"/>
  <c r="L149" i="14"/>
  <c r="B149" i="14" s="1"/>
  <c r="C149" i="14" s="1"/>
  <c r="G27" i="14"/>
  <c r="J26" i="14"/>
  <c r="G87" i="14"/>
  <c r="J86" i="14"/>
  <c r="G118" i="14"/>
  <c r="G56" i="14"/>
  <c r="J55" i="14" s="1"/>
  <c r="J85" i="14"/>
  <c r="J25" i="14"/>
  <c r="B24" i="14"/>
  <c r="C24" i="14" s="1"/>
  <c r="B23" i="14"/>
  <c r="C23" i="14" s="1"/>
  <c r="G151" i="14"/>
  <c r="J150" i="14"/>
  <c r="L57" i="13"/>
  <c r="B57" i="13" s="1"/>
  <c r="C57" i="13" s="1"/>
  <c r="L86" i="13"/>
  <c r="B86" i="13" s="1"/>
  <c r="C86" i="13" s="1"/>
  <c r="L23" i="13"/>
  <c r="G26" i="13"/>
  <c r="J25" i="13"/>
  <c r="B85" i="13"/>
  <c r="C85" i="13" s="1"/>
  <c r="B84" i="13"/>
  <c r="C84" i="13" s="1"/>
  <c r="J24" i="13"/>
  <c r="G118" i="13"/>
  <c r="J117" i="13"/>
  <c r="J116" i="13"/>
  <c r="G88" i="13"/>
  <c r="J87" i="13"/>
  <c r="G59" i="13"/>
  <c r="G150" i="13"/>
  <c r="J149" i="13"/>
  <c r="J148" i="13"/>
  <c r="L118" i="12"/>
  <c r="B118" i="12" s="1"/>
  <c r="C118" i="12" s="1"/>
  <c r="L56" i="12"/>
  <c r="L55" i="12"/>
  <c r="G58" i="12"/>
  <c r="J57" i="12" s="1"/>
  <c r="G149" i="12"/>
  <c r="J148" i="12"/>
  <c r="G87" i="12"/>
  <c r="J86" i="12"/>
  <c r="J147" i="12"/>
  <c r="B146" i="12"/>
  <c r="C146" i="12" s="1"/>
  <c r="B145" i="12"/>
  <c r="C145" i="12" s="1"/>
  <c r="G120" i="12"/>
  <c r="G26" i="12"/>
  <c r="J85" i="12"/>
  <c r="J24" i="12"/>
  <c r="L55" i="11"/>
  <c r="B55" i="11" s="1"/>
  <c r="C55" i="11" s="1"/>
  <c r="L85" i="11"/>
  <c r="L86" i="11"/>
  <c r="L118" i="11"/>
  <c r="B118" i="11" s="1"/>
  <c r="C118" i="11" s="1"/>
  <c r="L24" i="11"/>
  <c r="B24" i="11" s="1"/>
  <c r="C24" i="11" s="1"/>
  <c r="G88" i="11"/>
  <c r="J87" i="11" s="1"/>
  <c r="G120" i="11"/>
  <c r="G26" i="11"/>
  <c r="B146" i="11"/>
  <c r="C146" i="11" s="1"/>
  <c r="B145" i="11"/>
  <c r="C145" i="11" s="1"/>
  <c r="G149" i="11"/>
  <c r="J148" i="11"/>
  <c r="B54" i="11"/>
  <c r="C54" i="11" s="1"/>
  <c r="B53" i="11"/>
  <c r="C53" i="11" s="1"/>
  <c r="B146" i="5"/>
  <c r="C146" i="5" s="1"/>
  <c r="J147" i="11"/>
  <c r="G57" i="11"/>
  <c r="J56" i="11"/>
  <c r="L116" i="10"/>
  <c r="B116" i="10" s="1"/>
  <c r="C116" i="10" s="1"/>
  <c r="L54" i="10"/>
  <c r="B54" i="10" s="1"/>
  <c r="C54" i="10" s="1"/>
  <c r="L25" i="10"/>
  <c r="B25" i="10" s="1"/>
  <c r="C25" i="10" s="1"/>
  <c r="L148" i="10"/>
  <c r="G118" i="10"/>
  <c r="J117" i="10" s="1"/>
  <c r="B115" i="10"/>
  <c r="C115" i="10" s="1"/>
  <c r="B114" i="10"/>
  <c r="C114" i="10" s="1"/>
  <c r="G27" i="10"/>
  <c r="G56" i="10"/>
  <c r="G89" i="10"/>
  <c r="J88" i="10"/>
  <c r="J87" i="10"/>
  <c r="B147" i="10"/>
  <c r="C147" i="10" s="1"/>
  <c r="B146" i="10"/>
  <c r="C146" i="10" s="1"/>
  <c r="G150" i="10"/>
  <c r="L23" i="9"/>
  <c r="B23" i="9" s="1"/>
  <c r="C23" i="9" s="1"/>
  <c r="L147" i="9"/>
  <c r="B147" i="9" s="1"/>
  <c r="C147" i="9" s="1"/>
  <c r="L56" i="9"/>
  <c r="B56" i="9" s="1"/>
  <c r="C56" i="9" s="1"/>
  <c r="G87" i="9"/>
  <c r="J86" i="9"/>
  <c r="G121" i="9"/>
  <c r="J120" i="9" s="1"/>
  <c r="J85" i="9"/>
  <c r="G25" i="9"/>
  <c r="J24" i="9"/>
  <c r="B55" i="9"/>
  <c r="C55" i="9" s="1"/>
  <c r="G149" i="9"/>
  <c r="J148" i="9"/>
  <c r="B146" i="9"/>
  <c r="C146" i="9" s="1"/>
  <c r="B145" i="9"/>
  <c r="C145" i="9" s="1"/>
  <c r="J119" i="9"/>
  <c r="G59" i="9"/>
  <c r="J58" i="9"/>
  <c r="J57" i="9"/>
  <c r="B84" i="9"/>
  <c r="C84" i="9" s="1"/>
  <c r="B83" i="9"/>
  <c r="C83" i="9" s="1"/>
  <c r="L116" i="8"/>
  <c r="L148" i="8"/>
  <c r="L115" i="8"/>
  <c r="L147" i="8"/>
  <c r="G56" i="8"/>
  <c r="G118" i="8"/>
  <c r="G87" i="8"/>
  <c r="J86" i="8"/>
  <c r="B22" i="8"/>
  <c r="C22" i="8" s="1"/>
  <c r="B21" i="8"/>
  <c r="C21" i="8" s="1"/>
  <c r="G25" i="8"/>
  <c r="J24" i="8"/>
  <c r="J23" i="8"/>
  <c r="J85" i="8"/>
  <c r="J149" i="8"/>
  <c r="G150" i="8"/>
  <c r="B53" i="8"/>
  <c r="C53" i="8" s="1"/>
  <c r="B52" i="8"/>
  <c r="C52" i="8" s="1"/>
  <c r="B84" i="8"/>
  <c r="C84" i="8" s="1"/>
  <c r="B83" i="8"/>
  <c r="C83" i="8" s="1"/>
  <c r="J54" i="8"/>
  <c r="L85" i="7"/>
  <c r="L121" i="7"/>
  <c r="B121" i="7" s="1"/>
  <c r="C121" i="7" s="1"/>
  <c r="G150" i="7"/>
  <c r="J149" i="7" s="1"/>
  <c r="G57" i="7"/>
  <c r="J56" i="7" s="1"/>
  <c r="B120" i="7"/>
  <c r="C120" i="7" s="1"/>
  <c r="B119" i="7"/>
  <c r="C119" i="7" s="1"/>
  <c r="G25" i="7"/>
  <c r="J24" i="7"/>
  <c r="J55" i="7"/>
  <c r="G88" i="7"/>
  <c r="J148" i="7"/>
  <c r="G123" i="7"/>
  <c r="J122" i="7" s="1"/>
  <c r="J23" i="7"/>
  <c r="B145" i="5"/>
  <c r="C145" i="5" s="1"/>
  <c r="J86" i="7"/>
  <c r="B22" i="7"/>
  <c r="C22" i="7" s="1"/>
  <c r="B21" i="7"/>
  <c r="C21" i="7" s="1"/>
  <c r="L147" i="6"/>
  <c r="B147" i="6" s="1"/>
  <c r="C147" i="6" s="1"/>
  <c r="L116" i="6"/>
  <c r="L54" i="6"/>
  <c r="B54" i="6" s="1"/>
  <c r="C54" i="6" s="1"/>
  <c r="L115" i="6"/>
  <c r="G25" i="6"/>
  <c r="J24" i="6"/>
  <c r="B84" i="6"/>
  <c r="C84" i="6" s="1"/>
  <c r="B83" i="6"/>
  <c r="C83" i="6" s="1"/>
  <c r="G87" i="6"/>
  <c r="J86" i="6"/>
  <c r="G118" i="6"/>
  <c r="J117" i="6" s="1"/>
  <c r="B146" i="6"/>
  <c r="C146" i="6" s="1"/>
  <c r="B145" i="6"/>
  <c r="C145" i="6" s="1"/>
  <c r="J85" i="6"/>
  <c r="J23" i="6"/>
  <c r="G56" i="6"/>
  <c r="G149" i="6"/>
  <c r="J148" i="6"/>
  <c r="L120" i="5"/>
  <c r="B120" i="5" s="1"/>
  <c r="C120" i="5" s="1"/>
  <c r="L55" i="5"/>
  <c r="L56" i="5"/>
  <c r="G88" i="5"/>
  <c r="G27" i="5"/>
  <c r="J26" i="5"/>
  <c r="J25" i="5"/>
  <c r="G149" i="5"/>
  <c r="J148" i="5"/>
  <c r="G122" i="5"/>
  <c r="J121" i="5"/>
  <c r="J147" i="5"/>
  <c r="J57" i="5"/>
  <c r="G58" i="5"/>
  <c r="J86" i="5"/>
  <c r="L148" i="4"/>
  <c r="L23" i="4"/>
  <c r="B23" i="4" s="1"/>
  <c r="C23" i="4" s="1"/>
  <c r="L54" i="4"/>
  <c r="B54" i="4" s="1"/>
  <c r="C54" i="4" s="1"/>
  <c r="L86" i="4"/>
  <c r="L87" i="4"/>
  <c r="L147" i="4"/>
  <c r="G25" i="4"/>
  <c r="J24" i="4"/>
  <c r="G56" i="4"/>
  <c r="J55" i="4"/>
  <c r="G150" i="4"/>
  <c r="G121" i="4"/>
  <c r="J120" i="4" s="1"/>
  <c r="J119" i="4"/>
  <c r="J88" i="4"/>
  <c r="G89" i="4"/>
  <c r="B22" i="4"/>
  <c r="C22" i="4" s="1"/>
  <c r="L116" i="3"/>
  <c r="L115" i="3"/>
  <c r="L86" i="3"/>
  <c r="L148" i="3"/>
  <c r="L57" i="3"/>
  <c r="B57" i="3" s="1"/>
  <c r="C57" i="3" s="1"/>
  <c r="J25" i="3"/>
  <c r="G26" i="3"/>
  <c r="G89" i="3"/>
  <c r="J88" i="3"/>
  <c r="J24" i="3"/>
  <c r="G118" i="3"/>
  <c r="J117" i="3" s="1"/>
  <c r="J87" i="3"/>
  <c r="J149" i="3"/>
  <c r="G150" i="3"/>
  <c r="G59" i="3"/>
  <c r="L54" i="2"/>
  <c r="B54" i="2" s="1"/>
  <c r="C54" i="2" s="1"/>
  <c r="L146" i="2"/>
  <c r="L116" i="2"/>
  <c r="B116" i="2" s="1"/>
  <c r="C116" i="2" s="1"/>
  <c r="L87" i="2"/>
  <c r="B87" i="2" s="1"/>
  <c r="C87" i="2" s="1"/>
  <c r="G25" i="2"/>
  <c r="J24" i="2"/>
  <c r="G149" i="2"/>
  <c r="J148" i="2"/>
  <c r="B22" i="2"/>
  <c r="C22" i="2" s="1"/>
  <c r="B21" i="2"/>
  <c r="C21" i="2" s="1"/>
  <c r="J147" i="2"/>
  <c r="B86" i="2"/>
  <c r="C86" i="2" s="1"/>
  <c r="B85" i="2"/>
  <c r="C85" i="2" s="1"/>
  <c r="J55" i="2"/>
  <c r="G56" i="2"/>
  <c r="G118" i="2"/>
  <c r="J88" i="2"/>
  <c r="G89" i="2"/>
  <c r="J23" i="2"/>
  <c r="K146" i="1"/>
  <c r="L146" i="1" s="1"/>
  <c r="G149" i="1"/>
  <c r="J148" i="1"/>
  <c r="J147" i="1"/>
  <c r="G118" i="1"/>
  <c r="J117" i="1"/>
  <c r="J116" i="1"/>
  <c r="B115" i="1"/>
  <c r="C115" i="1" s="1"/>
  <c r="B114" i="1"/>
  <c r="C114" i="1" s="1"/>
  <c r="G87" i="1"/>
  <c r="J86" i="1"/>
  <c r="J85" i="1"/>
  <c r="B84" i="1"/>
  <c r="C84" i="1" s="1"/>
  <c r="B83" i="1"/>
  <c r="C83" i="1" s="1"/>
  <c r="K54" i="1"/>
  <c r="L54" i="1" s="1"/>
  <c r="K55" i="1"/>
  <c r="L55" i="1" s="1"/>
  <c r="G57" i="1"/>
  <c r="K20" i="1"/>
  <c r="G23" i="1"/>
  <c r="J21" i="1"/>
  <c r="B19" i="1"/>
  <c r="C19" i="1" s="1"/>
  <c r="K85" i="1" a="1"/>
  <c r="K147" i="1" a="1"/>
  <c r="K21" i="1" a="1"/>
  <c r="K86" i="1" a="1"/>
  <c r="K117" i="1" a="1"/>
  <c r="K148" i="1" a="1"/>
  <c r="K116" i="1" a="1"/>
  <c r="L20" i="1" l="1"/>
  <c r="B20" i="1" s="1"/>
  <c r="C20" i="1" s="1"/>
  <c r="L55" i="16"/>
  <c r="B55" i="16" s="1"/>
  <c r="C55" i="16" s="1"/>
  <c r="L25" i="16"/>
  <c r="L117" i="16"/>
  <c r="B117" i="16" s="1"/>
  <c r="C117" i="16" s="1"/>
  <c r="L90" i="16"/>
  <c r="B90" i="16" s="1"/>
  <c r="C90" i="16" s="1"/>
  <c r="L24" i="16"/>
  <c r="G151" i="16"/>
  <c r="J150" i="16"/>
  <c r="J149" i="16"/>
  <c r="B116" i="16"/>
  <c r="C116" i="16" s="1"/>
  <c r="B115" i="16"/>
  <c r="C115" i="16" s="1"/>
  <c r="B53" i="16"/>
  <c r="C53" i="16" s="1"/>
  <c r="G27" i="16"/>
  <c r="J26" i="16" s="1"/>
  <c r="J56" i="16"/>
  <c r="G57" i="16"/>
  <c r="G92" i="16"/>
  <c r="J91" i="16"/>
  <c r="B23" i="16"/>
  <c r="C23" i="16" s="1"/>
  <c r="G119" i="16"/>
  <c r="J118" i="16"/>
  <c r="L60" i="15"/>
  <c r="B60" i="15" s="1"/>
  <c r="C60" i="15" s="1"/>
  <c r="L120" i="15"/>
  <c r="B120" i="15" s="1"/>
  <c r="C120" i="15" s="1"/>
  <c r="L149" i="15"/>
  <c r="G152" i="15"/>
  <c r="J151" i="15"/>
  <c r="J150" i="15"/>
  <c r="B24" i="15"/>
  <c r="C24" i="15" s="1"/>
  <c r="B23" i="15"/>
  <c r="C23" i="15" s="1"/>
  <c r="G27" i="15"/>
  <c r="J25" i="15"/>
  <c r="G122" i="15"/>
  <c r="J121" i="15"/>
  <c r="G94" i="15"/>
  <c r="J94" i="15" s="1"/>
  <c r="J93" i="15"/>
  <c r="J92" i="15"/>
  <c r="G62" i="15"/>
  <c r="J61" i="15"/>
  <c r="L55" i="14"/>
  <c r="B55" i="14" s="1"/>
  <c r="C55" i="14" s="1"/>
  <c r="L86" i="14"/>
  <c r="L85" i="14"/>
  <c r="L150" i="14"/>
  <c r="B150" i="14" s="1"/>
  <c r="C150" i="14" s="1"/>
  <c r="L26" i="14"/>
  <c r="L25" i="14"/>
  <c r="G119" i="14"/>
  <c r="J118" i="14"/>
  <c r="G152" i="14"/>
  <c r="J151" i="14"/>
  <c r="B54" i="14"/>
  <c r="C54" i="14" s="1"/>
  <c r="B53" i="14"/>
  <c r="C53" i="14" s="1"/>
  <c r="G57" i="14"/>
  <c r="J56" i="14"/>
  <c r="J117" i="14"/>
  <c r="G88" i="14"/>
  <c r="G28" i="14"/>
  <c r="J27" i="14"/>
  <c r="L117" i="13"/>
  <c r="L149" i="13"/>
  <c r="L116" i="13"/>
  <c r="L148" i="13"/>
  <c r="L87" i="13"/>
  <c r="B87" i="13" s="1"/>
  <c r="C87" i="13" s="1"/>
  <c r="L24" i="13"/>
  <c r="B24" i="13" s="1"/>
  <c r="C24" i="13" s="1"/>
  <c r="L25" i="13"/>
  <c r="G89" i="13"/>
  <c r="J88" i="13" s="1"/>
  <c r="G27" i="13"/>
  <c r="J26" i="13"/>
  <c r="B23" i="13"/>
  <c r="C23" i="13" s="1"/>
  <c r="G60" i="13"/>
  <c r="J59" i="13"/>
  <c r="G119" i="13"/>
  <c r="G151" i="13"/>
  <c r="J150" i="13"/>
  <c r="J58" i="13"/>
  <c r="L57" i="12"/>
  <c r="B57" i="12" s="1"/>
  <c r="C57" i="12" s="1"/>
  <c r="L147" i="12"/>
  <c r="L148" i="12"/>
  <c r="L85" i="12"/>
  <c r="L86" i="12"/>
  <c r="L24" i="12"/>
  <c r="G121" i="12"/>
  <c r="J120" i="12"/>
  <c r="G150" i="12"/>
  <c r="B56" i="12"/>
  <c r="C56" i="12" s="1"/>
  <c r="B55" i="12"/>
  <c r="C55" i="12" s="1"/>
  <c r="G88" i="12"/>
  <c r="G59" i="12"/>
  <c r="J58" i="12"/>
  <c r="G27" i="12"/>
  <c r="J26" i="12"/>
  <c r="J119" i="12"/>
  <c r="J25" i="12"/>
  <c r="L87" i="11"/>
  <c r="B87" i="11" s="1"/>
  <c r="C87" i="11" s="1"/>
  <c r="L56" i="11"/>
  <c r="B56" i="11" s="1"/>
  <c r="C56" i="11" s="1"/>
  <c r="L148" i="11"/>
  <c r="L147" i="11"/>
  <c r="G27" i="11"/>
  <c r="J26" i="11"/>
  <c r="G58" i="11"/>
  <c r="G150" i="11"/>
  <c r="J149" i="11" s="1"/>
  <c r="G121" i="11"/>
  <c r="J120" i="11"/>
  <c r="J119" i="11"/>
  <c r="B86" i="11"/>
  <c r="C86" i="11" s="1"/>
  <c r="B85" i="11"/>
  <c r="C85" i="11" s="1"/>
  <c r="J25" i="11"/>
  <c r="G89" i="11"/>
  <c r="J88" i="11"/>
  <c r="L117" i="10"/>
  <c r="B117" i="10" s="1"/>
  <c r="C117" i="10" s="1"/>
  <c r="L87" i="10"/>
  <c r="L88" i="10"/>
  <c r="G57" i="10"/>
  <c r="J56" i="10" s="1"/>
  <c r="G28" i="10"/>
  <c r="J27" i="10"/>
  <c r="J55" i="10"/>
  <c r="J26" i="10"/>
  <c r="G151" i="10"/>
  <c r="J150" i="10"/>
  <c r="B148" i="10"/>
  <c r="C148" i="10" s="1"/>
  <c r="J149" i="10"/>
  <c r="G90" i="10"/>
  <c r="J89" i="10"/>
  <c r="G119" i="10"/>
  <c r="J118" i="10"/>
  <c r="L120" i="9"/>
  <c r="L148" i="9"/>
  <c r="B148" i="9" s="1"/>
  <c r="C148" i="9" s="1"/>
  <c r="L24" i="9"/>
  <c r="B24" i="9" s="1"/>
  <c r="C24" i="9" s="1"/>
  <c r="L57" i="9"/>
  <c r="L86" i="9"/>
  <c r="L85" i="9"/>
  <c r="L58" i="9"/>
  <c r="L119" i="9"/>
  <c r="G150" i="9"/>
  <c r="J149" i="9" s="1"/>
  <c r="G88" i="9"/>
  <c r="J87" i="9" s="1"/>
  <c r="G26" i="9"/>
  <c r="J25" i="9" s="1"/>
  <c r="G60" i="9"/>
  <c r="J59" i="9"/>
  <c r="G122" i="9"/>
  <c r="J121" i="9"/>
  <c r="L23" i="8"/>
  <c r="L54" i="8"/>
  <c r="L86" i="8"/>
  <c r="L85" i="8"/>
  <c r="L24" i="8"/>
  <c r="L149" i="8"/>
  <c r="G57" i="8"/>
  <c r="J56" i="8"/>
  <c r="G26" i="8"/>
  <c r="G119" i="8"/>
  <c r="J118" i="8"/>
  <c r="G88" i="8"/>
  <c r="J87" i="8" s="1"/>
  <c r="J117" i="8"/>
  <c r="J55" i="8"/>
  <c r="B116" i="8"/>
  <c r="C116" i="8" s="1"/>
  <c r="B115" i="8"/>
  <c r="C115" i="8" s="1"/>
  <c r="G151" i="8"/>
  <c r="J150" i="8"/>
  <c r="B148" i="8"/>
  <c r="C148" i="8" s="1"/>
  <c r="B147" i="8"/>
  <c r="C147" i="8" s="1"/>
  <c r="L122" i="7"/>
  <c r="B122" i="7" s="1"/>
  <c r="C122" i="7" s="1"/>
  <c r="L149" i="7"/>
  <c r="L56" i="7"/>
  <c r="L24" i="7"/>
  <c r="L86" i="7"/>
  <c r="B86" i="7" s="1"/>
  <c r="C86" i="7" s="1"/>
  <c r="L23" i="7"/>
  <c r="L148" i="7"/>
  <c r="L55" i="7"/>
  <c r="G89" i="7"/>
  <c r="J88" i="7"/>
  <c r="G26" i="7"/>
  <c r="J87" i="7"/>
  <c r="G58" i="7"/>
  <c r="J57" i="7"/>
  <c r="G124" i="7"/>
  <c r="G151" i="7"/>
  <c r="J150" i="7"/>
  <c r="B85" i="7"/>
  <c r="C85" i="7" s="1"/>
  <c r="L117" i="6"/>
  <c r="B117" i="6" s="1"/>
  <c r="C117" i="6" s="1"/>
  <c r="L148" i="6"/>
  <c r="B148" i="6" s="1"/>
  <c r="C148" i="6" s="1"/>
  <c r="L86" i="6"/>
  <c r="L23" i="6"/>
  <c r="L24" i="6"/>
  <c r="L85" i="6"/>
  <c r="J87" i="6"/>
  <c r="G88" i="6"/>
  <c r="G26" i="6"/>
  <c r="J25" i="6" s="1"/>
  <c r="G119" i="6"/>
  <c r="J118" i="6"/>
  <c r="G57" i="6"/>
  <c r="J56" i="6"/>
  <c r="B116" i="6"/>
  <c r="C116" i="6" s="1"/>
  <c r="B115" i="6"/>
  <c r="C115" i="6" s="1"/>
  <c r="J149" i="6"/>
  <c r="G150" i="6"/>
  <c r="J55" i="6"/>
  <c r="L25" i="5"/>
  <c r="L57" i="5"/>
  <c r="B57" i="5" s="1"/>
  <c r="C57" i="5" s="1"/>
  <c r="L121" i="5"/>
  <c r="B121" i="5" s="1"/>
  <c r="C121" i="5" s="1"/>
  <c r="L148" i="5"/>
  <c r="L86" i="5"/>
  <c r="L147" i="5"/>
  <c r="L26" i="5"/>
  <c r="G123" i="5"/>
  <c r="J122" i="5" s="1"/>
  <c r="G28" i="5"/>
  <c r="J27" i="5"/>
  <c r="G89" i="5"/>
  <c r="J88" i="5"/>
  <c r="G150" i="5"/>
  <c r="J149" i="5" s="1"/>
  <c r="B56" i="5"/>
  <c r="C56" i="5" s="1"/>
  <c r="B55" i="5"/>
  <c r="C55" i="5" s="1"/>
  <c r="J87" i="5"/>
  <c r="G59" i="5"/>
  <c r="J58" i="5"/>
  <c r="L120" i="4"/>
  <c r="L24" i="4"/>
  <c r="B24" i="4" s="1"/>
  <c r="C24" i="4" s="1"/>
  <c r="L55" i="4"/>
  <c r="B55" i="4" s="1"/>
  <c r="C55" i="4" s="1"/>
  <c r="L119" i="4"/>
  <c r="L88" i="4"/>
  <c r="B88" i="4" s="1"/>
  <c r="C88" i="4" s="1"/>
  <c r="G151" i="4"/>
  <c r="J150" i="4"/>
  <c r="J149" i="4"/>
  <c r="B148" i="4"/>
  <c r="C148" i="4" s="1"/>
  <c r="B147" i="4"/>
  <c r="C147" i="4" s="1"/>
  <c r="B87" i="4"/>
  <c r="C87" i="4" s="1"/>
  <c r="B86" i="4"/>
  <c r="C86" i="4" s="1"/>
  <c r="G26" i="4"/>
  <c r="J25" i="4"/>
  <c r="G122" i="4"/>
  <c r="J121" i="4"/>
  <c r="G57" i="4"/>
  <c r="G90" i="4"/>
  <c r="J89" i="4"/>
  <c r="L117" i="3"/>
  <c r="B117" i="3" s="1"/>
  <c r="C117" i="3" s="1"/>
  <c r="L88" i="3"/>
  <c r="L24" i="3"/>
  <c r="L149" i="3"/>
  <c r="B149" i="3" s="1"/>
  <c r="C149" i="3" s="1"/>
  <c r="L87" i="3"/>
  <c r="L25" i="3"/>
  <c r="G27" i="3"/>
  <c r="J26" i="3" s="1"/>
  <c r="G60" i="3"/>
  <c r="J59" i="3"/>
  <c r="B86" i="3"/>
  <c r="C86" i="3" s="1"/>
  <c r="B148" i="3"/>
  <c r="C148" i="3" s="1"/>
  <c r="G90" i="3"/>
  <c r="J58" i="3"/>
  <c r="B116" i="3"/>
  <c r="C116" i="3" s="1"/>
  <c r="B115" i="3"/>
  <c r="C115" i="3" s="1"/>
  <c r="G119" i="3"/>
  <c r="J118" i="3"/>
  <c r="G151" i="3"/>
  <c r="J150" i="3" s="1"/>
  <c r="L55" i="2"/>
  <c r="B55" i="2" s="1"/>
  <c r="C55" i="2" s="1"/>
  <c r="L147" i="2"/>
  <c r="B147" i="2" s="1"/>
  <c r="C147" i="2" s="1"/>
  <c r="L148" i="2"/>
  <c r="L88" i="2"/>
  <c r="B88" i="2" s="1"/>
  <c r="C88" i="2" s="1"/>
  <c r="L23" i="2"/>
  <c r="L24" i="2"/>
  <c r="G90" i="2"/>
  <c r="J89" i="2"/>
  <c r="G26" i="2"/>
  <c r="J25" i="2" s="1"/>
  <c r="J149" i="2"/>
  <c r="G150" i="2"/>
  <c r="G119" i="2"/>
  <c r="J117" i="2"/>
  <c r="B146" i="2"/>
  <c r="C146" i="2" s="1"/>
  <c r="G57" i="2"/>
  <c r="J56" i="2"/>
  <c r="K147" i="1"/>
  <c r="L147" i="1" s="1"/>
  <c r="B147" i="1" s="1"/>
  <c r="C147" i="1" s="1"/>
  <c r="K148" i="1"/>
  <c r="L148" i="1" s="1"/>
  <c r="G150" i="1"/>
  <c r="J149" i="1" s="1"/>
  <c r="B146" i="1"/>
  <c r="C146" i="1" s="1"/>
  <c r="K116" i="1"/>
  <c r="L116" i="1" s="1"/>
  <c r="K117" i="1"/>
  <c r="L117" i="1" s="1"/>
  <c r="G119" i="1"/>
  <c r="K85" i="1"/>
  <c r="L85" i="1" s="1"/>
  <c r="K86" i="1"/>
  <c r="L86" i="1" s="1"/>
  <c r="G88" i="1"/>
  <c r="G58" i="1"/>
  <c r="J57" i="1"/>
  <c r="J56" i="1"/>
  <c r="B55" i="1"/>
  <c r="C55" i="1" s="1"/>
  <c r="B54" i="1"/>
  <c r="C54" i="1" s="1"/>
  <c r="K21" i="1"/>
  <c r="G24" i="1"/>
  <c r="J23" i="1"/>
  <c r="J22" i="1"/>
  <c r="K149" i="1" a="1"/>
  <c r="K22" i="1" a="1"/>
  <c r="K57" i="1" a="1"/>
  <c r="K56" i="1" a="1"/>
  <c r="K23" i="1" a="1"/>
  <c r="B25" i="16" l="1"/>
  <c r="C25" i="16" s="1"/>
  <c r="L21" i="1"/>
  <c r="B21" i="1" s="1"/>
  <c r="C21" i="1" s="1"/>
  <c r="B24" i="16"/>
  <c r="C24" i="16" s="1"/>
  <c r="L26" i="16"/>
  <c r="B26" i="16" s="1"/>
  <c r="C26" i="16" s="1"/>
  <c r="L149" i="16"/>
  <c r="L91" i="16"/>
  <c r="B91" i="16" s="1"/>
  <c r="C91" i="16" s="1"/>
  <c r="L118" i="16"/>
  <c r="B118" i="16" s="1"/>
  <c r="C118" i="16" s="1"/>
  <c r="L56" i="16"/>
  <c r="B56" i="16" s="1"/>
  <c r="C56" i="16" s="1"/>
  <c r="L150" i="16"/>
  <c r="G120" i="16"/>
  <c r="J119" i="16"/>
  <c r="G93" i="16"/>
  <c r="G28" i="16"/>
  <c r="J27" i="16"/>
  <c r="G152" i="16"/>
  <c r="J151" i="16"/>
  <c r="G58" i="16"/>
  <c r="J57" i="16"/>
  <c r="L93" i="15"/>
  <c r="B94" i="15" s="1"/>
  <c r="C94" i="15" s="1"/>
  <c r="L150" i="15"/>
  <c r="B150" i="15" s="1"/>
  <c r="C150" i="15" s="1"/>
  <c r="L61" i="15"/>
  <c r="B61" i="15" s="1"/>
  <c r="C61" i="15" s="1"/>
  <c r="L121" i="15"/>
  <c r="L151" i="15"/>
  <c r="L94" i="15"/>
  <c r="L25" i="15"/>
  <c r="L92" i="15"/>
  <c r="B149" i="15"/>
  <c r="C149" i="15" s="1"/>
  <c r="G28" i="15"/>
  <c r="J27" i="15"/>
  <c r="G153" i="15"/>
  <c r="J152" i="15" s="1"/>
  <c r="G63" i="15"/>
  <c r="J63" i="15" s="1"/>
  <c r="J122" i="15"/>
  <c r="G123" i="15"/>
  <c r="J26" i="15"/>
  <c r="L151" i="14"/>
  <c r="B151" i="14" s="1"/>
  <c r="C151" i="14" s="1"/>
  <c r="L118" i="14"/>
  <c r="L117" i="14"/>
  <c r="L56" i="14"/>
  <c r="B56" i="14" s="1"/>
  <c r="C56" i="14" s="1"/>
  <c r="L27" i="14"/>
  <c r="G153" i="14"/>
  <c r="J152" i="14" s="1"/>
  <c r="G120" i="14"/>
  <c r="G29" i="14"/>
  <c r="J28" i="14"/>
  <c r="G89" i="14"/>
  <c r="B86" i="14"/>
  <c r="C86" i="14" s="1"/>
  <c r="B85" i="14"/>
  <c r="C85" i="14" s="1"/>
  <c r="B26" i="14"/>
  <c r="C26" i="14" s="1"/>
  <c r="B25" i="14"/>
  <c r="C25" i="14" s="1"/>
  <c r="J87" i="14"/>
  <c r="G58" i="14"/>
  <c r="J57" i="14" s="1"/>
  <c r="L88" i="13"/>
  <c r="B88" i="13" s="1"/>
  <c r="C88" i="13" s="1"/>
  <c r="L59" i="13"/>
  <c r="L26" i="13"/>
  <c r="B26" i="13" s="1"/>
  <c r="C26" i="13" s="1"/>
  <c r="L150" i="13"/>
  <c r="B150" i="13" s="1"/>
  <c r="C150" i="13" s="1"/>
  <c r="L58" i="13"/>
  <c r="B25" i="13"/>
  <c r="C25" i="13" s="1"/>
  <c r="B149" i="13"/>
  <c r="C149" i="13" s="1"/>
  <c r="B148" i="13"/>
  <c r="C148" i="13" s="1"/>
  <c r="B117" i="13"/>
  <c r="C117" i="13" s="1"/>
  <c r="B116" i="13"/>
  <c r="C116" i="13" s="1"/>
  <c r="G120" i="13"/>
  <c r="G61" i="13"/>
  <c r="G28" i="13"/>
  <c r="J27" i="13"/>
  <c r="G90" i="13"/>
  <c r="J89" i="13"/>
  <c r="G152" i="13"/>
  <c r="J151" i="13"/>
  <c r="J118" i="13"/>
  <c r="L119" i="12"/>
  <c r="L58" i="12"/>
  <c r="B58" i="12" s="1"/>
  <c r="C58" i="12" s="1"/>
  <c r="L120" i="12"/>
  <c r="L26" i="12"/>
  <c r="L25" i="12"/>
  <c r="B26" i="12" s="1"/>
  <c r="C26" i="12" s="1"/>
  <c r="B24" i="12"/>
  <c r="C24" i="12" s="1"/>
  <c r="B86" i="12"/>
  <c r="C86" i="12" s="1"/>
  <c r="B85" i="12"/>
  <c r="C85" i="12" s="1"/>
  <c r="G60" i="12"/>
  <c r="J59" i="12"/>
  <c r="G89" i="12"/>
  <c r="J88" i="12"/>
  <c r="J87" i="12"/>
  <c r="G122" i="12"/>
  <c r="J121" i="12"/>
  <c r="B148" i="12"/>
  <c r="C148" i="12" s="1"/>
  <c r="B147" i="12"/>
  <c r="C147" i="12" s="1"/>
  <c r="G151" i="12"/>
  <c r="J150" i="12"/>
  <c r="J149" i="12"/>
  <c r="G28" i="12"/>
  <c r="J27" i="12"/>
  <c r="L149" i="11"/>
  <c r="B149" i="11" s="1"/>
  <c r="C149" i="11" s="1"/>
  <c r="L120" i="11"/>
  <c r="L88" i="11"/>
  <c r="B88" i="11" s="1"/>
  <c r="C88" i="11" s="1"/>
  <c r="L25" i="11"/>
  <c r="L119" i="11"/>
  <c r="L26" i="11"/>
  <c r="B148" i="11"/>
  <c r="C148" i="11" s="1"/>
  <c r="B147" i="11"/>
  <c r="C147" i="11" s="1"/>
  <c r="G59" i="11"/>
  <c r="G90" i="11"/>
  <c r="J89" i="11"/>
  <c r="G122" i="11"/>
  <c r="G151" i="11"/>
  <c r="J57" i="11"/>
  <c r="G28" i="11"/>
  <c r="J27" i="11"/>
  <c r="L56" i="10"/>
  <c r="L26" i="10"/>
  <c r="L55" i="10"/>
  <c r="L118" i="10"/>
  <c r="B118" i="10" s="1"/>
  <c r="C118" i="10" s="1"/>
  <c r="L150" i="10"/>
  <c r="L27" i="10"/>
  <c r="L89" i="10"/>
  <c r="B89" i="10" s="1"/>
  <c r="C89" i="10" s="1"/>
  <c r="L149" i="10"/>
  <c r="G152" i="10"/>
  <c r="J151" i="10"/>
  <c r="G29" i="10"/>
  <c r="G120" i="10"/>
  <c r="J119" i="10"/>
  <c r="B88" i="10"/>
  <c r="C88" i="10" s="1"/>
  <c r="B87" i="10"/>
  <c r="C87" i="10" s="1"/>
  <c r="G58" i="10"/>
  <c r="J57" i="10"/>
  <c r="G91" i="10"/>
  <c r="J90" i="10"/>
  <c r="L87" i="9"/>
  <c r="B87" i="9" s="1"/>
  <c r="C87" i="9" s="1"/>
  <c r="L25" i="9"/>
  <c r="B25" i="9" s="1"/>
  <c r="C25" i="9" s="1"/>
  <c r="L149" i="9"/>
  <c r="B149" i="9" s="1"/>
  <c r="C149" i="9" s="1"/>
  <c r="L121" i="9"/>
  <c r="B121" i="9" s="1"/>
  <c r="C121" i="9" s="1"/>
  <c r="L59" i="9"/>
  <c r="B59" i="9" s="1"/>
  <c r="C59" i="9" s="1"/>
  <c r="B86" i="9"/>
  <c r="C86" i="9" s="1"/>
  <c r="B85" i="9"/>
  <c r="C85" i="9" s="1"/>
  <c r="B120" i="9"/>
  <c r="C120" i="9" s="1"/>
  <c r="B119" i="9"/>
  <c r="C119" i="9" s="1"/>
  <c r="B58" i="9"/>
  <c r="C58" i="9" s="1"/>
  <c r="G89" i="9"/>
  <c r="J88" i="9"/>
  <c r="G123" i="9"/>
  <c r="G61" i="9"/>
  <c r="J26" i="9"/>
  <c r="G27" i="9"/>
  <c r="G151" i="9"/>
  <c r="J150" i="9"/>
  <c r="B57" i="9"/>
  <c r="C57" i="9" s="1"/>
  <c r="L87" i="8"/>
  <c r="B87" i="8" s="1"/>
  <c r="C87" i="8" s="1"/>
  <c r="L55" i="8"/>
  <c r="B55" i="8" s="1"/>
  <c r="C55" i="8" s="1"/>
  <c r="L150" i="8"/>
  <c r="B150" i="8" s="1"/>
  <c r="C150" i="8" s="1"/>
  <c r="L117" i="8"/>
  <c r="L118" i="8"/>
  <c r="L56" i="8"/>
  <c r="G27" i="8"/>
  <c r="J26" i="8"/>
  <c r="J25" i="8"/>
  <c r="B149" i="8"/>
  <c r="C149" i="8" s="1"/>
  <c r="G152" i="8"/>
  <c r="J151" i="8"/>
  <c r="G120" i="8"/>
  <c r="J119" i="8" s="1"/>
  <c r="B54" i="8"/>
  <c r="C54" i="8" s="1"/>
  <c r="G89" i="8"/>
  <c r="G58" i="8"/>
  <c r="J57" i="8" s="1"/>
  <c r="B86" i="8"/>
  <c r="C86" i="8" s="1"/>
  <c r="B85" i="8"/>
  <c r="C85" i="8" s="1"/>
  <c r="B24" i="8"/>
  <c r="C24" i="8" s="1"/>
  <c r="B23" i="8"/>
  <c r="C23" i="8" s="1"/>
  <c r="L87" i="7"/>
  <c r="B87" i="7" s="1"/>
  <c r="C87" i="7" s="1"/>
  <c r="L88" i="7"/>
  <c r="L150" i="7"/>
  <c r="B150" i="7" s="1"/>
  <c r="C150" i="7" s="1"/>
  <c r="L57" i="7"/>
  <c r="B57" i="7" s="1"/>
  <c r="C57" i="7" s="1"/>
  <c r="G125" i="7"/>
  <c r="J125" i="7" s="1"/>
  <c r="B149" i="7"/>
  <c r="C149" i="7" s="1"/>
  <c r="B148" i="7"/>
  <c r="C148" i="7" s="1"/>
  <c r="G27" i="7"/>
  <c r="B24" i="7"/>
  <c r="C24" i="7" s="1"/>
  <c r="B23" i="7"/>
  <c r="C23" i="7" s="1"/>
  <c r="G152" i="7"/>
  <c r="J151" i="7"/>
  <c r="G59" i="7"/>
  <c r="J58" i="7" s="1"/>
  <c r="J25" i="7"/>
  <c r="G90" i="7"/>
  <c r="J89" i="7"/>
  <c r="B56" i="7"/>
  <c r="C56" i="7" s="1"/>
  <c r="B55" i="7"/>
  <c r="C55" i="7" s="1"/>
  <c r="J123" i="7"/>
  <c r="L25" i="6"/>
  <c r="B25" i="6" s="1"/>
  <c r="C25" i="6" s="1"/>
  <c r="L56" i="6"/>
  <c r="L118" i="6"/>
  <c r="B118" i="6" s="1"/>
  <c r="C118" i="6" s="1"/>
  <c r="L87" i="6"/>
  <c r="L55" i="6"/>
  <c r="L149" i="6"/>
  <c r="B149" i="6" s="1"/>
  <c r="C149" i="6" s="1"/>
  <c r="G120" i="6"/>
  <c r="J119" i="6" s="1"/>
  <c r="G27" i="6"/>
  <c r="J26" i="6"/>
  <c r="B24" i="6"/>
  <c r="C24" i="6" s="1"/>
  <c r="B23" i="6"/>
  <c r="C23" i="6" s="1"/>
  <c r="G58" i="6"/>
  <c r="J57" i="6" s="1"/>
  <c r="B86" i="6"/>
  <c r="C86" i="6" s="1"/>
  <c r="B85" i="6"/>
  <c r="C85" i="6" s="1"/>
  <c r="G89" i="6"/>
  <c r="J88" i="6"/>
  <c r="G151" i="6"/>
  <c r="J150" i="6"/>
  <c r="L122" i="5"/>
  <c r="B122" i="5" s="1"/>
  <c r="C122" i="5" s="1"/>
  <c r="L149" i="5"/>
  <c r="B149" i="5" s="1"/>
  <c r="C149" i="5" s="1"/>
  <c r="L88" i="5"/>
  <c r="L58" i="5"/>
  <c r="L27" i="5"/>
  <c r="B27" i="5" s="1"/>
  <c r="C27" i="5" s="1"/>
  <c r="L87" i="5"/>
  <c r="G60" i="5"/>
  <c r="G151" i="5"/>
  <c r="J150" i="5"/>
  <c r="G90" i="5"/>
  <c r="J89" i="5"/>
  <c r="G124" i="5"/>
  <c r="J123" i="5"/>
  <c r="B148" i="5"/>
  <c r="C148" i="5" s="1"/>
  <c r="B147" i="5"/>
  <c r="C147" i="5" s="1"/>
  <c r="G29" i="5"/>
  <c r="B86" i="5"/>
  <c r="C86" i="5" s="1"/>
  <c r="B88" i="3"/>
  <c r="C88" i="3" s="1"/>
  <c r="B26" i="5"/>
  <c r="C26" i="5" s="1"/>
  <c r="B25" i="5"/>
  <c r="C25" i="5" s="1"/>
  <c r="L150" i="4"/>
  <c r="L25" i="4"/>
  <c r="B25" i="4" s="1"/>
  <c r="C25" i="4" s="1"/>
  <c r="L149" i="4"/>
  <c r="L121" i="4"/>
  <c r="B121" i="4" s="1"/>
  <c r="C121" i="4" s="1"/>
  <c r="L89" i="4"/>
  <c r="G27" i="4"/>
  <c r="J26" i="4"/>
  <c r="G91" i="4"/>
  <c r="J90" i="4"/>
  <c r="G58" i="4"/>
  <c r="J57" i="4"/>
  <c r="B120" i="4"/>
  <c r="C120" i="4" s="1"/>
  <c r="B119" i="4"/>
  <c r="C119" i="4" s="1"/>
  <c r="B87" i="3"/>
  <c r="C87" i="3" s="1"/>
  <c r="J56" i="4"/>
  <c r="G152" i="4"/>
  <c r="J151" i="4"/>
  <c r="G123" i="4"/>
  <c r="J122" i="4" s="1"/>
  <c r="L26" i="3"/>
  <c r="B26" i="3" s="1"/>
  <c r="C26" i="3" s="1"/>
  <c r="L150" i="3"/>
  <c r="B150" i="3" s="1"/>
  <c r="C150" i="3" s="1"/>
  <c r="L59" i="3"/>
  <c r="L118" i="3"/>
  <c r="B118" i="3" s="1"/>
  <c r="C118" i="3" s="1"/>
  <c r="L58" i="3"/>
  <c r="G120" i="3"/>
  <c r="J119" i="3" s="1"/>
  <c r="B25" i="3"/>
  <c r="C25" i="3" s="1"/>
  <c r="B24" i="3"/>
  <c r="C24" i="3" s="1"/>
  <c r="G28" i="3"/>
  <c r="J27" i="3"/>
  <c r="G91" i="3"/>
  <c r="J90" i="3"/>
  <c r="J60" i="3"/>
  <c r="G61" i="3"/>
  <c r="G152" i="3"/>
  <c r="J151" i="3"/>
  <c r="J89" i="3"/>
  <c r="L25" i="2"/>
  <c r="B25" i="2" s="1"/>
  <c r="C25" i="2" s="1"/>
  <c r="L56" i="2"/>
  <c r="B56" i="2" s="1"/>
  <c r="C56" i="2" s="1"/>
  <c r="L149" i="2"/>
  <c r="B149" i="2" s="1"/>
  <c r="C149" i="2" s="1"/>
  <c r="L89" i="2"/>
  <c r="B89" i="2" s="1"/>
  <c r="C89" i="2" s="1"/>
  <c r="L117" i="2"/>
  <c r="G151" i="2"/>
  <c r="J150" i="2"/>
  <c r="B24" i="2"/>
  <c r="C24" i="2" s="1"/>
  <c r="B23" i="2"/>
  <c r="C23" i="2" s="1"/>
  <c r="G58" i="2"/>
  <c r="J57" i="2" s="1"/>
  <c r="G91" i="2"/>
  <c r="J90" i="2"/>
  <c r="G120" i="2"/>
  <c r="B148" i="2"/>
  <c r="C148" i="2" s="1"/>
  <c r="J118" i="2"/>
  <c r="G27" i="2"/>
  <c r="J26" i="2"/>
  <c r="K149" i="1"/>
  <c r="L149" i="1" s="1"/>
  <c r="B149" i="1" s="1"/>
  <c r="C149" i="1" s="1"/>
  <c r="G151" i="1"/>
  <c r="J150" i="1" s="1"/>
  <c r="B148" i="1"/>
  <c r="C148" i="1" s="1"/>
  <c r="G120" i="1"/>
  <c r="J119" i="1"/>
  <c r="J118" i="1"/>
  <c r="B117" i="1"/>
  <c r="C117" i="1" s="1"/>
  <c r="B116" i="1"/>
  <c r="C116" i="1" s="1"/>
  <c r="G89" i="1"/>
  <c r="J88" i="1"/>
  <c r="J87" i="1"/>
  <c r="B86" i="1"/>
  <c r="C86" i="1" s="1"/>
  <c r="B85" i="1"/>
  <c r="C85" i="1" s="1"/>
  <c r="K56" i="1"/>
  <c r="L56" i="1" s="1"/>
  <c r="K57" i="1"/>
  <c r="L57" i="1" s="1"/>
  <c r="G59" i="1"/>
  <c r="J58" i="1"/>
  <c r="K23" i="1"/>
  <c r="K22" i="1"/>
  <c r="G25" i="1"/>
  <c r="J24" i="1"/>
  <c r="K118" i="1" a="1"/>
  <c r="K88" i="1" a="1"/>
  <c r="K24" i="1" a="1"/>
  <c r="K87" i="1" a="1"/>
  <c r="K119" i="1" a="1"/>
  <c r="K58" i="1" a="1"/>
  <c r="K150" i="1" a="1"/>
  <c r="L22" i="1" l="1"/>
  <c r="B22" i="1" s="1"/>
  <c r="C22" i="1" s="1"/>
  <c r="L23" i="1"/>
  <c r="L151" i="16"/>
  <c r="B151" i="16" s="1"/>
  <c r="C151" i="16" s="1"/>
  <c r="L119" i="16"/>
  <c r="B119" i="16" s="1"/>
  <c r="C119" i="16" s="1"/>
  <c r="L57" i="16"/>
  <c r="B57" i="16" s="1"/>
  <c r="C57" i="16" s="1"/>
  <c r="L27" i="16"/>
  <c r="B27" i="16" s="1"/>
  <c r="C27" i="16" s="1"/>
  <c r="G153" i="16"/>
  <c r="J152" i="16"/>
  <c r="G121" i="16"/>
  <c r="J120" i="16"/>
  <c r="G29" i="16"/>
  <c r="J28" i="16"/>
  <c r="G94" i="16"/>
  <c r="J94" i="16" s="1"/>
  <c r="J93" i="16"/>
  <c r="G59" i="16"/>
  <c r="B150" i="16"/>
  <c r="C150" i="16" s="1"/>
  <c r="B149" i="16"/>
  <c r="C149" i="16" s="1"/>
  <c r="J92" i="16"/>
  <c r="L152" i="15"/>
  <c r="B152" i="15" s="1"/>
  <c r="C152" i="15" s="1"/>
  <c r="L26" i="15"/>
  <c r="B26" i="15" s="1"/>
  <c r="C26" i="15" s="1"/>
  <c r="L27" i="15"/>
  <c r="L63" i="15"/>
  <c r="L122" i="15"/>
  <c r="B122" i="15" s="1"/>
  <c r="C122" i="15" s="1"/>
  <c r="G29" i="15"/>
  <c r="J28" i="15"/>
  <c r="B25" i="15"/>
  <c r="C25" i="15" s="1"/>
  <c r="G124" i="15"/>
  <c r="J123" i="15"/>
  <c r="G154" i="15"/>
  <c r="J153" i="15"/>
  <c r="B93" i="15"/>
  <c r="C93" i="15" s="1"/>
  <c r="B92" i="15"/>
  <c r="C92" i="15" s="1"/>
  <c r="B151" i="15"/>
  <c r="C151" i="15" s="1"/>
  <c r="J62" i="15"/>
  <c r="B25" i="12"/>
  <c r="C25" i="12" s="1"/>
  <c r="B121" i="15"/>
  <c r="C121" i="15" s="1"/>
  <c r="L152" i="14"/>
  <c r="B152" i="14" s="1"/>
  <c r="C152" i="14" s="1"/>
  <c r="L57" i="14"/>
  <c r="B57" i="14" s="1"/>
  <c r="C57" i="14" s="1"/>
  <c r="L87" i="14"/>
  <c r="L28" i="14"/>
  <c r="B28" i="14" s="1"/>
  <c r="C28" i="14" s="1"/>
  <c r="G30" i="14"/>
  <c r="J29" i="14"/>
  <c r="G121" i="14"/>
  <c r="J120" i="14"/>
  <c r="B27" i="14"/>
  <c r="C27" i="14" s="1"/>
  <c r="B118" i="14"/>
  <c r="C118" i="14" s="1"/>
  <c r="B117" i="14"/>
  <c r="C117" i="14" s="1"/>
  <c r="G59" i="14"/>
  <c r="J58" i="14" s="1"/>
  <c r="G90" i="14"/>
  <c r="J89" i="14"/>
  <c r="J88" i="14"/>
  <c r="J119" i="14"/>
  <c r="G154" i="14"/>
  <c r="J153" i="14"/>
  <c r="L118" i="13"/>
  <c r="L27" i="13"/>
  <c r="B27" i="13" s="1"/>
  <c r="C27" i="13" s="1"/>
  <c r="L89" i="13"/>
  <c r="B89" i="13" s="1"/>
  <c r="C89" i="13" s="1"/>
  <c r="L151" i="13"/>
  <c r="B151" i="13" s="1"/>
  <c r="C151" i="13" s="1"/>
  <c r="G62" i="13"/>
  <c r="J61" i="13" s="1"/>
  <c r="G121" i="13"/>
  <c r="J120" i="13" s="1"/>
  <c r="J119" i="13"/>
  <c r="G153" i="13"/>
  <c r="J152" i="13"/>
  <c r="J60" i="13"/>
  <c r="G29" i="13"/>
  <c r="B59" i="13"/>
  <c r="C59" i="13" s="1"/>
  <c r="B58" i="13"/>
  <c r="C58" i="13" s="1"/>
  <c r="G91" i="13"/>
  <c r="J90" i="13"/>
  <c r="L87" i="12"/>
  <c r="L59" i="12"/>
  <c r="B59" i="12" s="1"/>
  <c r="C59" i="12" s="1"/>
  <c r="L27" i="12"/>
  <c r="B27" i="12" s="1"/>
  <c r="C27" i="12" s="1"/>
  <c r="L150" i="12"/>
  <c r="L121" i="12"/>
  <c r="B121" i="12" s="1"/>
  <c r="C121" i="12" s="1"/>
  <c r="L88" i="12"/>
  <c r="L149" i="12"/>
  <c r="G90" i="12"/>
  <c r="J89" i="12"/>
  <c r="G29" i="12"/>
  <c r="J28" i="12"/>
  <c r="G152" i="12"/>
  <c r="J151" i="12"/>
  <c r="G61" i="12"/>
  <c r="G123" i="12"/>
  <c r="B120" i="12"/>
  <c r="C120" i="12" s="1"/>
  <c r="B119" i="12"/>
  <c r="C119" i="12" s="1"/>
  <c r="L89" i="11"/>
  <c r="B89" i="11" s="1"/>
  <c r="C89" i="11" s="1"/>
  <c r="L57" i="11"/>
  <c r="L27" i="11"/>
  <c r="B27" i="11" s="1"/>
  <c r="C27" i="11" s="1"/>
  <c r="G29" i="11"/>
  <c r="B26" i="11"/>
  <c r="C26" i="11" s="1"/>
  <c r="B25" i="11"/>
  <c r="C25" i="11" s="1"/>
  <c r="G123" i="11"/>
  <c r="G91" i="11"/>
  <c r="J90" i="11" s="1"/>
  <c r="J121" i="11"/>
  <c r="B120" i="11"/>
  <c r="C120" i="11" s="1"/>
  <c r="B119" i="11"/>
  <c r="C119" i="11" s="1"/>
  <c r="B88" i="5"/>
  <c r="C88" i="5" s="1"/>
  <c r="G152" i="11"/>
  <c r="J151" i="11"/>
  <c r="G60" i="11"/>
  <c r="J59" i="11"/>
  <c r="J58" i="11"/>
  <c r="J150" i="11"/>
  <c r="L119" i="10"/>
  <c r="B119" i="10" s="1"/>
  <c r="C119" i="10" s="1"/>
  <c r="L151" i="10"/>
  <c r="B151" i="10" s="1"/>
  <c r="C151" i="10" s="1"/>
  <c r="L57" i="10"/>
  <c r="B57" i="10" s="1"/>
  <c r="C57" i="10" s="1"/>
  <c r="L90" i="10"/>
  <c r="B90" i="10" s="1"/>
  <c r="C90" i="10" s="1"/>
  <c r="G92" i="10"/>
  <c r="J91" i="10"/>
  <c r="B56" i="10"/>
  <c r="C56" i="10" s="1"/>
  <c r="B55" i="10"/>
  <c r="C55" i="10" s="1"/>
  <c r="G30" i="10"/>
  <c r="G153" i="10"/>
  <c r="B150" i="10"/>
  <c r="C150" i="10" s="1"/>
  <c r="B149" i="10"/>
  <c r="C149" i="10" s="1"/>
  <c r="G59" i="10"/>
  <c r="J58" i="10"/>
  <c r="B27" i="10"/>
  <c r="C27" i="10" s="1"/>
  <c r="B26" i="10"/>
  <c r="C26" i="10" s="1"/>
  <c r="G121" i="10"/>
  <c r="J120" i="10" s="1"/>
  <c r="J28" i="10"/>
  <c r="L88" i="9"/>
  <c r="B88" i="9" s="1"/>
  <c r="C88" i="9" s="1"/>
  <c r="L150" i="9"/>
  <c r="B150" i="9" s="1"/>
  <c r="C150" i="9" s="1"/>
  <c r="L26" i="9"/>
  <c r="B26" i="9" s="1"/>
  <c r="C26" i="9" s="1"/>
  <c r="G152" i="9"/>
  <c r="J151" i="9"/>
  <c r="G124" i="9"/>
  <c r="J123" i="9"/>
  <c r="G28" i="9"/>
  <c r="J27" i="9"/>
  <c r="J122" i="9"/>
  <c r="G90" i="9"/>
  <c r="J89" i="9"/>
  <c r="G62" i="9"/>
  <c r="J61" i="9"/>
  <c r="J60" i="9"/>
  <c r="L119" i="8"/>
  <c r="B119" i="8" s="1"/>
  <c r="C119" i="8" s="1"/>
  <c r="L57" i="8"/>
  <c r="B57" i="8" s="1"/>
  <c r="C57" i="8" s="1"/>
  <c r="L25" i="8"/>
  <c r="L26" i="8"/>
  <c r="L151" i="8"/>
  <c r="B151" i="8" s="1"/>
  <c r="C151" i="8" s="1"/>
  <c r="G153" i="8"/>
  <c r="J152" i="8" s="1"/>
  <c r="B118" i="8"/>
  <c r="C118" i="8" s="1"/>
  <c r="B117" i="8"/>
  <c r="C117" i="8" s="1"/>
  <c r="G90" i="8"/>
  <c r="J89" i="8"/>
  <c r="G28" i="8"/>
  <c r="J27" i="8"/>
  <c r="J58" i="8"/>
  <c r="G59" i="8"/>
  <c r="J88" i="8"/>
  <c r="B56" i="8"/>
  <c r="C56" i="8" s="1"/>
  <c r="G121" i="8"/>
  <c r="J120" i="8"/>
  <c r="B88" i="7"/>
  <c r="C88" i="7" s="1"/>
  <c r="L58" i="7"/>
  <c r="B58" i="7" s="1"/>
  <c r="C58" i="7" s="1"/>
  <c r="L125" i="7"/>
  <c r="L123" i="7"/>
  <c r="L151" i="7"/>
  <c r="B151" i="7" s="1"/>
  <c r="C151" i="7" s="1"/>
  <c r="L89" i="7"/>
  <c r="L25" i="7"/>
  <c r="G153" i="7"/>
  <c r="J124" i="7"/>
  <c r="G28" i="7"/>
  <c r="J27" i="7"/>
  <c r="J26" i="7"/>
  <c r="G91" i="7"/>
  <c r="J90" i="7"/>
  <c r="G60" i="7"/>
  <c r="J59" i="7"/>
  <c r="L57" i="6"/>
  <c r="B57" i="6" s="1"/>
  <c r="C57" i="6" s="1"/>
  <c r="L119" i="6"/>
  <c r="B119" i="6" s="1"/>
  <c r="C119" i="6" s="1"/>
  <c r="L88" i="6"/>
  <c r="B88" i="6" s="1"/>
  <c r="C88" i="6" s="1"/>
  <c r="L26" i="6"/>
  <c r="B26" i="6" s="1"/>
  <c r="C26" i="6" s="1"/>
  <c r="L150" i="6"/>
  <c r="G28" i="6"/>
  <c r="J27" i="6"/>
  <c r="G152" i="6"/>
  <c r="J151" i="6"/>
  <c r="B56" i="6"/>
  <c r="C56" i="6" s="1"/>
  <c r="B55" i="6"/>
  <c r="C55" i="6" s="1"/>
  <c r="G121" i="6"/>
  <c r="J120" i="6"/>
  <c r="G59" i="6"/>
  <c r="G90" i="6"/>
  <c r="J89" i="6" s="1"/>
  <c r="B87" i="6"/>
  <c r="C87" i="6" s="1"/>
  <c r="B87" i="5"/>
  <c r="C87" i="5" s="1"/>
  <c r="L150" i="5"/>
  <c r="B150" i="5" s="1"/>
  <c r="C150" i="5" s="1"/>
  <c r="L123" i="5"/>
  <c r="B123" i="5" s="1"/>
  <c r="C123" i="5" s="1"/>
  <c r="L89" i="5"/>
  <c r="G61" i="5"/>
  <c r="G125" i="5"/>
  <c r="J125" i="5" s="1"/>
  <c r="G91" i="5"/>
  <c r="J90" i="5"/>
  <c r="G152" i="5"/>
  <c r="J151" i="5"/>
  <c r="G30" i="5"/>
  <c r="J29" i="5"/>
  <c r="B58" i="5"/>
  <c r="C58" i="5" s="1"/>
  <c r="J59" i="5"/>
  <c r="J28" i="5"/>
  <c r="L122" i="4"/>
  <c r="B122" i="4" s="1"/>
  <c r="C122" i="4" s="1"/>
  <c r="L26" i="4"/>
  <c r="B26" i="4" s="1"/>
  <c r="C26" i="4" s="1"/>
  <c r="L56" i="4"/>
  <c r="L57" i="4"/>
  <c r="L151" i="4"/>
  <c r="B151" i="4" s="1"/>
  <c r="C151" i="4" s="1"/>
  <c r="L90" i="4"/>
  <c r="B90" i="4" s="1"/>
  <c r="C90" i="4" s="1"/>
  <c r="G59" i="4"/>
  <c r="J58" i="4"/>
  <c r="G28" i="4"/>
  <c r="J27" i="4"/>
  <c r="G124" i="4"/>
  <c r="J123" i="4" s="1"/>
  <c r="B89" i="4"/>
  <c r="C89" i="4" s="1"/>
  <c r="B150" i="4"/>
  <c r="C150" i="4" s="1"/>
  <c r="B149" i="4"/>
  <c r="C149" i="4" s="1"/>
  <c r="G92" i="4"/>
  <c r="J91" i="4"/>
  <c r="G153" i="4"/>
  <c r="J152" i="4"/>
  <c r="L119" i="3"/>
  <c r="B119" i="3" s="1"/>
  <c r="C119" i="3" s="1"/>
  <c r="L89" i="3"/>
  <c r="L27" i="3"/>
  <c r="B27" i="3" s="1"/>
  <c r="C27" i="3" s="1"/>
  <c r="L60" i="3"/>
  <c r="B60" i="3" s="1"/>
  <c r="C60" i="3" s="1"/>
  <c r="L90" i="3"/>
  <c r="L151" i="3"/>
  <c r="G92" i="3"/>
  <c r="G29" i="3"/>
  <c r="J28" i="3"/>
  <c r="B59" i="3"/>
  <c r="C59" i="3" s="1"/>
  <c r="B58" i="3"/>
  <c r="C58" i="3" s="1"/>
  <c r="G153" i="3"/>
  <c r="J152" i="3"/>
  <c r="G121" i="3"/>
  <c r="J120" i="3"/>
  <c r="G62" i="3"/>
  <c r="J61" i="3"/>
  <c r="L57" i="2"/>
  <c r="B57" i="2" s="1"/>
  <c r="C57" i="2" s="1"/>
  <c r="L90" i="2"/>
  <c r="B90" i="2" s="1"/>
  <c r="C90" i="2" s="1"/>
  <c r="L118" i="2"/>
  <c r="B118" i="2" s="1"/>
  <c r="C118" i="2" s="1"/>
  <c r="L26" i="2"/>
  <c r="B26" i="2" s="1"/>
  <c r="C26" i="2" s="1"/>
  <c r="L150" i="2"/>
  <c r="B150" i="2" s="1"/>
  <c r="C150" i="2" s="1"/>
  <c r="G92" i="2"/>
  <c r="J91" i="2"/>
  <c r="G59" i="2"/>
  <c r="J58" i="2"/>
  <c r="G121" i="2"/>
  <c r="J120" i="2"/>
  <c r="G152" i="2"/>
  <c r="J151" i="2"/>
  <c r="G28" i="2"/>
  <c r="J27" i="2"/>
  <c r="B117" i="2"/>
  <c r="C117" i="2" s="1"/>
  <c r="J119" i="2"/>
  <c r="K150" i="1"/>
  <c r="L150" i="1" s="1"/>
  <c r="B150" i="1" s="1"/>
  <c r="C150" i="1" s="1"/>
  <c r="G152" i="1"/>
  <c r="J151" i="1"/>
  <c r="K118" i="1"/>
  <c r="L118" i="1" s="1"/>
  <c r="K119" i="1"/>
  <c r="L119" i="1" s="1"/>
  <c r="G121" i="1"/>
  <c r="J120" i="1"/>
  <c r="K87" i="1"/>
  <c r="L87" i="1" s="1"/>
  <c r="K88" i="1"/>
  <c r="L88" i="1" s="1"/>
  <c r="G90" i="1"/>
  <c r="J89" i="1"/>
  <c r="K58" i="1"/>
  <c r="L58" i="1" s="1"/>
  <c r="B58" i="1" s="1"/>
  <c r="C58" i="1" s="1"/>
  <c r="G60" i="1"/>
  <c r="B57" i="1"/>
  <c r="C57" i="1" s="1"/>
  <c r="B56" i="1"/>
  <c r="C56" i="1" s="1"/>
  <c r="K24" i="1"/>
  <c r="J25" i="1"/>
  <c r="G26" i="1"/>
  <c r="K89" i="1" a="1"/>
  <c r="K120" i="1" a="1"/>
  <c r="K25" i="1" a="1"/>
  <c r="K151" i="1" a="1"/>
  <c r="B23" i="1" l="1"/>
  <c r="C23" i="1" s="1"/>
  <c r="L24" i="1"/>
  <c r="B24" i="1" s="1"/>
  <c r="C24" i="1" s="1"/>
  <c r="L93" i="16"/>
  <c r="B94" i="16" s="1"/>
  <c r="C94" i="16" s="1"/>
  <c r="L28" i="16"/>
  <c r="B28" i="16" s="1"/>
  <c r="C28" i="16" s="1"/>
  <c r="L120" i="16"/>
  <c r="L94" i="16"/>
  <c r="L152" i="16"/>
  <c r="L92" i="16"/>
  <c r="G122" i="16"/>
  <c r="J121" i="16"/>
  <c r="G154" i="16"/>
  <c r="J153" i="16"/>
  <c r="G30" i="16"/>
  <c r="J29" i="16"/>
  <c r="G60" i="16"/>
  <c r="J59" i="16"/>
  <c r="J58" i="16"/>
  <c r="L28" i="15"/>
  <c r="B28" i="15" s="1"/>
  <c r="C28" i="15" s="1"/>
  <c r="L62" i="15"/>
  <c r="L123" i="15"/>
  <c r="B123" i="15" s="1"/>
  <c r="C123" i="15" s="1"/>
  <c r="L153" i="15"/>
  <c r="B153" i="15" s="1"/>
  <c r="C153" i="15" s="1"/>
  <c r="G155" i="15"/>
  <c r="J154" i="15" s="1"/>
  <c r="G30" i="15"/>
  <c r="J29" i="15"/>
  <c r="B27" i="15"/>
  <c r="C27" i="15" s="1"/>
  <c r="G125" i="15"/>
  <c r="J125" i="15" s="1"/>
  <c r="L58" i="14"/>
  <c r="B58" i="14" s="1"/>
  <c r="C58" i="14" s="1"/>
  <c r="L120" i="14"/>
  <c r="L153" i="14"/>
  <c r="B153" i="14" s="1"/>
  <c r="C153" i="14" s="1"/>
  <c r="L119" i="14"/>
  <c r="L88" i="14"/>
  <c r="B88" i="14" s="1"/>
  <c r="C88" i="14" s="1"/>
  <c r="L29" i="14"/>
  <c r="B29" i="14" s="1"/>
  <c r="C29" i="14" s="1"/>
  <c r="L89" i="14"/>
  <c r="G31" i="14"/>
  <c r="B87" i="14"/>
  <c r="C87" i="14" s="1"/>
  <c r="G122" i="14"/>
  <c r="J121" i="14"/>
  <c r="G60" i="14"/>
  <c r="J154" i="14"/>
  <c r="G155" i="14"/>
  <c r="G91" i="14"/>
  <c r="L120" i="13"/>
  <c r="L61" i="13"/>
  <c r="L60" i="13"/>
  <c r="L152" i="13"/>
  <c r="B152" i="13" s="1"/>
  <c r="C152" i="13" s="1"/>
  <c r="L90" i="13"/>
  <c r="B90" i="13" s="1"/>
  <c r="C90" i="13" s="1"/>
  <c r="L119" i="13"/>
  <c r="G92" i="13"/>
  <c r="J91" i="13"/>
  <c r="G30" i="13"/>
  <c r="J29" i="13"/>
  <c r="J28" i="13"/>
  <c r="G154" i="13"/>
  <c r="J153" i="13"/>
  <c r="G122" i="13"/>
  <c r="G63" i="13"/>
  <c r="J63" i="13" s="1"/>
  <c r="J62" i="13"/>
  <c r="B118" i="13"/>
  <c r="C118" i="13" s="1"/>
  <c r="L151" i="12"/>
  <c r="B151" i="12" s="1"/>
  <c r="C151" i="12" s="1"/>
  <c r="L28" i="12"/>
  <c r="B28" i="12" s="1"/>
  <c r="C28" i="12" s="1"/>
  <c r="L89" i="12"/>
  <c r="B89" i="12" s="1"/>
  <c r="C89" i="12" s="1"/>
  <c r="G30" i="12"/>
  <c r="J29" i="12"/>
  <c r="G91" i="12"/>
  <c r="G124" i="12"/>
  <c r="J123" i="12"/>
  <c r="B150" i="12"/>
  <c r="C150" i="12" s="1"/>
  <c r="B149" i="12"/>
  <c r="C149" i="12" s="1"/>
  <c r="J122" i="12"/>
  <c r="G62" i="12"/>
  <c r="G153" i="12"/>
  <c r="J152" i="12"/>
  <c r="J60" i="12"/>
  <c r="B88" i="12"/>
  <c r="C88" i="12" s="1"/>
  <c r="B87" i="12"/>
  <c r="C87" i="12" s="1"/>
  <c r="L90" i="11"/>
  <c r="B90" i="11" s="1"/>
  <c r="C90" i="11" s="1"/>
  <c r="L121" i="11"/>
  <c r="L150" i="11"/>
  <c r="L151" i="11"/>
  <c r="L58" i="11"/>
  <c r="B58" i="11" s="1"/>
  <c r="C58" i="11" s="1"/>
  <c r="L59" i="11"/>
  <c r="G124" i="11"/>
  <c r="J123" i="11"/>
  <c r="G61" i="11"/>
  <c r="G30" i="11"/>
  <c r="J29" i="11"/>
  <c r="G153" i="11"/>
  <c r="J152" i="11"/>
  <c r="B57" i="11"/>
  <c r="C57" i="11" s="1"/>
  <c r="G92" i="11"/>
  <c r="J91" i="11"/>
  <c r="J122" i="11"/>
  <c r="J28" i="11"/>
  <c r="L120" i="10"/>
  <c r="B120" i="10" s="1"/>
  <c r="C120" i="10" s="1"/>
  <c r="L58" i="10"/>
  <c r="B58" i="10" s="1"/>
  <c r="C58" i="10" s="1"/>
  <c r="L91" i="10"/>
  <c r="B91" i="10" s="1"/>
  <c r="C91" i="10" s="1"/>
  <c r="L28" i="10"/>
  <c r="G31" i="10"/>
  <c r="J30" i="10" s="1"/>
  <c r="G93" i="10"/>
  <c r="G60" i="10"/>
  <c r="J59" i="10"/>
  <c r="G154" i="10"/>
  <c r="J153" i="10"/>
  <c r="J152" i="10"/>
  <c r="J29" i="10"/>
  <c r="G122" i="10"/>
  <c r="J121" i="10"/>
  <c r="L122" i="9"/>
  <c r="L61" i="9"/>
  <c r="L151" i="9"/>
  <c r="B151" i="9" s="1"/>
  <c r="C151" i="9" s="1"/>
  <c r="L89" i="9"/>
  <c r="B89" i="9" s="1"/>
  <c r="C89" i="9" s="1"/>
  <c r="L27" i="9"/>
  <c r="B27" i="9" s="1"/>
  <c r="C27" i="9" s="1"/>
  <c r="L60" i="9"/>
  <c r="L123" i="9"/>
  <c r="G125" i="9"/>
  <c r="J125" i="9" s="1"/>
  <c r="G29" i="9"/>
  <c r="J28" i="9"/>
  <c r="G63" i="9"/>
  <c r="J63" i="9" s="1"/>
  <c r="G153" i="9"/>
  <c r="J152" i="9" s="1"/>
  <c r="G91" i="9"/>
  <c r="J90" i="9"/>
  <c r="L152" i="8"/>
  <c r="B152" i="8" s="1"/>
  <c r="C152" i="8" s="1"/>
  <c r="L27" i="8"/>
  <c r="B27" i="8" s="1"/>
  <c r="C27" i="8" s="1"/>
  <c r="L89" i="8"/>
  <c r="L88" i="8"/>
  <c r="L58" i="8"/>
  <c r="B58" i="8" s="1"/>
  <c r="C58" i="8" s="1"/>
  <c r="L120" i="8"/>
  <c r="B120" i="8" s="1"/>
  <c r="C120" i="8" s="1"/>
  <c r="J90" i="8"/>
  <c r="G91" i="8"/>
  <c r="G122" i="8"/>
  <c r="J121" i="8"/>
  <c r="B26" i="8"/>
  <c r="C26" i="8" s="1"/>
  <c r="B25" i="8"/>
  <c r="C25" i="8" s="1"/>
  <c r="G29" i="8"/>
  <c r="G154" i="8"/>
  <c r="J153" i="8"/>
  <c r="G60" i="8"/>
  <c r="J59" i="8"/>
  <c r="L90" i="7"/>
  <c r="B90" i="7" s="1"/>
  <c r="C90" i="7" s="1"/>
  <c r="L124" i="7"/>
  <c r="B125" i="7" s="1"/>
  <c r="C125" i="7" s="1"/>
  <c r="L26" i="7"/>
  <c r="B26" i="7" s="1"/>
  <c r="C26" i="7" s="1"/>
  <c r="L59" i="7"/>
  <c r="B59" i="7" s="1"/>
  <c r="C59" i="7" s="1"/>
  <c r="L27" i="7"/>
  <c r="B123" i="7"/>
  <c r="C123" i="7" s="1"/>
  <c r="G92" i="7"/>
  <c r="J91" i="7"/>
  <c r="G29" i="7"/>
  <c r="G154" i="7"/>
  <c r="J153" i="7"/>
  <c r="B25" i="7"/>
  <c r="C25" i="7" s="1"/>
  <c r="J60" i="7"/>
  <c r="G61" i="7"/>
  <c r="J152" i="7"/>
  <c r="B89" i="7"/>
  <c r="C89" i="7" s="1"/>
  <c r="L89" i="6"/>
  <c r="B89" i="6" s="1"/>
  <c r="C89" i="6" s="1"/>
  <c r="L120" i="6"/>
  <c r="B120" i="6" s="1"/>
  <c r="C120" i="6" s="1"/>
  <c r="L27" i="6"/>
  <c r="B27" i="6" s="1"/>
  <c r="C27" i="6" s="1"/>
  <c r="L151" i="6"/>
  <c r="B151" i="6" s="1"/>
  <c r="C151" i="6" s="1"/>
  <c r="G153" i="6"/>
  <c r="J152" i="6"/>
  <c r="G60" i="6"/>
  <c r="J59" i="6"/>
  <c r="G122" i="6"/>
  <c r="J121" i="6"/>
  <c r="G29" i="6"/>
  <c r="J28" i="6"/>
  <c r="J90" i="6"/>
  <c r="G91" i="6"/>
  <c r="J58" i="6"/>
  <c r="B150" i="6"/>
  <c r="C150" i="6" s="1"/>
  <c r="L29" i="5"/>
  <c r="L90" i="5"/>
  <c r="B90" i="5" s="1"/>
  <c r="C90" i="5" s="1"/>
  <c r="L125" i="5"/>
  <c r="L59" i="5"/>
  <c r="L151" i="5"/>
  <c r="L28" i="5"/>
  <c r="G153" i="5"/>
  <c r="J152" i="5"/>
  <c r="G92" i="5"/>
  <c r="J91" i="5"/>
  <c r="J124" i="5"/>
  <c r="G31" i="5"/>
  <c r="G62" i="5"/>
  <c r="J61" i="5"/>
  <c r="J60" i="5"/>
  <c r="B89" i="5"/>
  <c r="C89" i="5" s="1"/>
  <c r="L123" i="4"/>
  <c r="B123" i="4" s="1"/>
  <c r="C123" i="4" s="1"/>
  <c r="L152" i="4"/>
  <c r="B152" i="4" s="1"/>
  <c r="C152" i="4" s="1"/>
  <c r="L58" i="4"/>
  <c r="B58" i="4" s="1"/>
  <c r="C58" i="4" s="1"/>
  <c r="L91" i="4"/>
  <c r="B91" i="4" s="1"/>
  <c r="C91" i="4" s="1"/>
  <c r="L27" i="4"/>
  <c r="G29" i="4"/>
  <c r="J28" i="4"/>
  <c r="G60" i="4"/>
  <c r="J59" i="4"/>
  <c r="G154" i="4"/>
  <c r="J153" i="4"/>
  <c r="B57" i="4"/>
  <c r="C57" i="4" s="1"/>
  <c r="B56" i="4"/>
  <c r="C56" i="4" s="1"/>
  <c r="G93" i="4"/>
  <c r="J92" i="4" s="1"/>
  <c r="G125" i="4"/>
  <c r="J125" i="4" s="1"/>
  <c r="L152" i="3"/>
  <c r="B152" i="3" s="1"/>
  <c r="C152" i="3" s="1"/>
  <c r="L61" i="3"/>
  <c r="B61" i="3" s="1"/>
  <c r="C61" i="3" s="1"/>
  <c r="L120" i="3"/>
  <c r="B120" i="3" s="1"/>
  <c r="C120" i="3" s="1"/>
  <c r="L28" i="3"/>
  <c r="B28" i="3" s="1"/>
  <c r="C28" i="3" s="1"/>
  <c r="G154" i="3"/>
  <c r="J153" i="3"/>
  <c r="J29" i="3"/>
  <c r="G30" i="3"/>
  <c r="G63" i="3"/>
  <c r="J63" i="3" s="1"/>
  <c r="J62" i="3"/>
  <c r="G93" i="3"/>
  <c r="J92" i="3" s="1"/>
  <c r="J91" i="3"/>
  <c r="G122" i="3"/>
  <c r="J121" i="3"/>
  <c r="B90" i="3"/>
  <c r="C90" i="3" s="1"/>
  <c r="B89" i="3"/>
  <c r="C89" i="3" s="1"/>
  <c r="B151" i="3"/>
  <c r="C151" i="3" s="1"/>
  <c r="L120" i="2"/>
  <c r="L151" i="2"/>
  <c r="B151" i="2" s="1"/>
  <c r="C151" i="2" s="1"/>
  <c r="L91" i="2"/>
  <c r="B91" i="2" s="1"/>
  <c r="C91" i="2" s="1"/>
  <c r="L119" i="2"/>
  <c r="L27" i="2"/>
  <c r="L58" i="2"/>
  <c r="G153" i="2"/>
  <c r="J152" i="2"/>
  <c r="G122" i="2"/>
  <c r="G60" i="2"/>
  <c r="J59" i="2"/>
  <c r="J92" i="2"/>
  <c r="G93" i="2"/>
  <c r="G29" i="2"/>
  <c r="J28" i="2" s="1"/>
  <c r="K151" i="1"/>
  <c r="L151" i="1" s="1"/>
  <c r="B151" i="1" s="1"/>
  <c r="C151" i="1" s="1"/>
  <c r="G153" i="1"/>
  <c r="J152" i="1"/>
  <c r="K120" i="1"/>
  <c r="L120" i="1" s="1"/>
  <c r="B120" i="1" s="1"/>
  <c r="C120" i="1" s="1"/>
  <c r="G122" i="1"/>
  <c r="J121" i="1"/>
  <c r="B119" i="1"/>
  <c r="C119" i="1" s="1"/>
  <c r="B118" i="1"/>
  <c r="C118" i="1" s="1"/>
  <c r="K89" i="1"/>
  <c r="L89" i="1" s="1"/>
  <c r="B89" i="1" s="1"/>
  <c r="C89" i="1" s="1"/>
  <c r="G91" i="1"/>
  <c r="B88" i="1"/>
  <c r="C88" i="1" s="1"/>
  <c r="B87" i="1"/>
  <c r="C87" i="1" s="1"/>
  <c r="G61" i="1"/>
  <c r="J60" i="1"/>
  <c r="J59" i="1"/>
  <c r="K25" i="1"/>
  <c r="G27" i="1"/>
  <c r="J26" i="1"/>
  <c r="K152" i="1" a="1"/>
  <c r="K59" i="1" a="1"/>
  <c r="K121" i="1" a="1"/>
  <c r="K26" i="1" a="1"/>
  <c r="K60" i="1" a="1"/>
  <c r="B120" i="13" l="1"/>
  <c r="C120" i="13" s="1"/>
  <c r="L25" i="1"/>
  <c r="B25" i="1" s="1"/>
  <c r="C25" i="1" s="1"/>
  <c r="L153" i="16"/>
  <c r="B153" i="16" s="1"/>
  <c r="C153" i="16" s="1"/>
  <c r="L121" i="16"/>
  <c r="B121" i="16" s="1"/>
  <c r="C121" i="16" s="1"/>
  <c r="L59" i="16"/>
  <c r="L29" i="16"/>
  <c r="L58" i="16"/>
  <c r="G31" i="16"/>
  <c r="J30" i="16" s="1"/>
  <c r="G155" i="16"/>
  <c r="G123" i="16"/>
  <c r="J122" i="16" s="1"/>
  <c r="B93" i="16"/>
  <c r="C93" i="16" s="1"/>
  <c r="B92" i="16"/>
  <c r="C92" i="16" s="1"/>
  <c r="B152" i="16"/>
  <c r="C152" i="16" s="1"/>
  <c r="G61" i="16"/>
  <c r="B120" i="16"/>
  <c r="C120" i="16" s="1"/>
  <c r="L154" i="15"/>
  <c r="B154" i="15" s="1"/>
  <c r="C154" i="15" s="1"/>
  <c r="L125" i="15"/>
  <c r="L29" i="15"/>
  <c r="B29" i="15" s="1"/>
  <c r="C29" i="15" s="1"/>
  <c r="G31" i="15"/>
  <c r="J124" i="15"/>
  <c r="B63" i="15"/>
  <c r="C63" i="15" s="1"/>
  <c r="B62" i="15"/>
  <c r="C62" i="15" s="1"/>
  <c r="G156" i="15"/>
  <c r="J156" i="15" s="1"/>
  <c r="J155" i="15"/>
  <c r="L121" i="14"/>
  <c r="B121" i="14" s="1"/>
  <c r="C121" i="14" s="1"/>
  <c r="L154" i="14"/>
  <c r="B154" i="14" s="1"/>
  <c r="C154" i="14" s="1"/>
  <c r="G123" i="14"/>
  <c r="G92" i="14"/>
  <c r="J91" i="14"/>
  <c r="J90" i="14"/>
  <c r="B120" i="14"/>
  <c r="C120" i="14" s="1"/>
  <c r="B119" i="14"/>
  <c r="C119" i="14" s="1"/>
  <c r="G61" i="14"/>
  <c r="J60" i="14" s="1"/>
  <c r="B89" i="14"/>
  <c r="C89" i="14" s="1"/>
  <c r="G156" i="14"/>
  <c r="J156" i="14" s="1"/>
  <c r="J155" i="14"/>
  <c r="G32" i="14"/>
  <c r="J32" i="14" s="1"/>
  <c r="J31" i="14"/>
  <c r="J30" i="14"/>
  <c r="J59" i="14"/>
  <c r="L91" i="13"/>
  <c r="B91" i="13" s="1"/>
  <c r="C91" i="13" s="1"/>
  <c r="L153" i="13"/>
  <c r="B153" i="13" s="1"/>
  <c r="C153" i="13" s="1"/>
  <c r="L63" i="13"/>
  <c r="L29" i="13"/>
  <c r="L28" i="13"/>
  <c r="L62" i="13"/>
  <c r="B63" i="13" s="1"/>
  <c r="C63" i="13" s="1"/>
  <c r="G155" i="13"/>
  <c r="J154" i="13" s="1"/>
  <c r="B61" i="13"/>
  <c r="C61" i="13" s="1"/>
  <c r="B60" i="13"/>
  <c r="C60" i="13" s="1"/>
  <c r="G123" i="13"/>
  <c r="G31" i="13"/>
  <c r="J30" i="13" s="1"/>
  <c r="J92" i="13"/>
  <c r="G93" i="13"/>
  <c r="B119" i="13"/>
  <c r="C119" i="13" s="1"/>
  <c r="J121" i="13"/>
  <c r="L60" i="12"/>
  <c r="L152" i="12"/>
  <c r="B152" i="12" s="1"/>
  <c r="C152" i="12" s="1"/>
  <c r="L123" i="12"/>
  <c r="L122" i="12"/>
  <c r="L29" i="12"/>
  <c r="B29" i="12" s="1"/>
  <c r="C29" i="12" s="1"/>
  <c r="G92" i="12"/>
  <c r="J91" i="12"/>
  <c r="G31" i="12"/>
  <c r="B124" i="7"/>
  <c r="C124" i="7" s="1"/>
  <c r="G154" i="12"/>
  <c r="J153" i="12"/>
  <c r="J90" i="12"/>
  <c r="B120" i="2"/>
  <c r="C120" i="2" s="1"/>
  <c r="G63" i="12"/>
  <c r="J63" i="12" s="1"/>
  <c r="G125" i="12"/>
  <c r="J125" i="12" s="1"/>
  <c r="J61" i="12"/>
  <c r="L152" i="11"/>
  <c r="B152" i="11" s="1"/>
  <c r="C152" i="11" s="1"/>
  <c r="L29" i="11"/>
  <c r="L123" i="11"/>
  <c r="L91" i="11"/>
  <c r="B91" i="11" s="1"/>
  <c r="C91" i="11" s="1"/>
  <c r="L28" i="11"/>
  <c r="L122" i="11"/>
  <c r="G62" i="11"/>
  <c r="J61" i="11"/>
  <c r="J60" i="11"/>
  <c r="B59" i="11"/>
  <c r="C59" i="11" s="1"/>
  <c r="G93" i="11"/>
  <c r="J92" i="11" s="1"/>
  <c r="B121" i="11"/>
  <c r="C121" i="11" s="1"/>
  <c r="G154" i="11"/>
  <c r="J153" i="11"/>
  <c r="G31" i="11"/>
  <c r="G125" i="11"/>
  <c r="J125" i="11" s="1"/>
  <c r="B151" i="11"/>
  <c r="C151" i="11" s="1"/>
  <c r="B150" i="11"/>
  <c r="C150" i="11" s="1"/>
  <c r="L30" i="10"/>
  <c r="L29" i="10"/>
  <c r="L153" i="10"/>
  <c r="L152" i="10"/>
  <c r="L59" i="10"/>
  <c r="B59" i="10" s="1"/>
  <c r="C59" i="10" s="1"/>
  <c r="L121" i="10"/>
  <c r="B121" i="10" s="1"/>
  <c r="C121" i="10" s="1"/>
  <c r="G94" i="10"/>
  <c r="J94" i="10" s="1"/>
  <c r="B28" i="10"/>
  <c r="C28" i="10" s="1"/>
  <c r="J92" i="10"/>
  <c r="G123" i="10"/>
  <c r="J122" i="10" s="1"/>
  <c r="J154" i="10"/>
  <c r="G155" i="10"/>
  <c r="G61" i="10"/>
  <c r="J60" i="10" s="1"/>
  <c r="G32" i="10"/>
  <c r="J32" i="10" s="1"/>
  <c r="J31" i="10"/>
  <c r="L152" i="9"/>
  <c r="B152" i="9" s="1"/>
  <c r="C152" i="9" s="1"/>
  <c r="L125" i="9"/>
  <c r="L63" i="9"/>
  <c r="L90" i="9"/>
  <c r="B90" i="9" s="1"/>
  <c r="C90" i="9" s="1"/>
  <c r="L28" i="9"/>
  <c r="B28" i="9" s="1"/>
  <c r="C28" i="9" s="1"/>
  <c r="G30" i="9"/>
  <c r="J29" i="9"/>
  <c r="J62" i="9"/>
  <c r="J124" i="9"/>
  <c r="G154" i="9"/>
  <c r="J153" i="9"/>
  <c r="B61" i="9"/>
  <c r="C61" i="9" s="1"/>
  <c r="B60" i="9"/>
  <c r="C60" i="9" s="1"/>
  <c r="G92" i="9"/>
  <c r="J91" i="9"/>
  <c r="B123" i="9"/>
  <c r="C123" i="9" s="1"/>
  <c r="B122" i="9"/>
  <c r="C122" i="9" s="1"/>
  <c r="L90" i="8"/>
  <c r="B90" i="8" s="1"/>
  <c r="C90" i="8" s="1"/>
  <c r="L59" i="8"/>
  <c r="B59" i="8" s="1"/>
  <c r="C59" i="8" s="1"/>
  <c r="L121" i="8"/>
  <c r="B121" i="8" s="1"/>
  <c r="C121" i="8" s="1"/>
  <c r="L153" i="8"/>
  <c r="B153" i="8" s="1"/>
  <c r="C153" i="8" s="1"/>
  <c r="G30" i="8"/>
  <c r="J29" i="8"/>
  <c r="G123" i="8"/>
  <c r="J122" i="8" s="1"/>
  <c r="G92" i="8"/>
  <c r="J91" i="8"/>
  <c r="G61" i="8"/>
  <c r="B89" i="8"/>
  <c r="C89" i="8" s="1"/>
  <c r="B88" i="8"/>
  <c r="C88" i="8" s="1"/>
  <c r="J154" i="8"/>
  <c r="G155" i="8"/>
  <c r="J28" i="8"/>
  <c r="L153" i="7"/>
  <c r="L91" i="7"/>
  <c r="B91" i="7" s="1"/>
  <c r="C91" i="7" s="1"/>
  <c r="L60" i="7"/>
  <c r="B60" i="7" s="1"/>
  <c r="C60" i="7" s="1"/>
  <c r="L152" i="7"/>
  <c r="G30" i="7"/>
  <c r="J29" i="7"/>
  <c r="G155" i="7"/>
  <c r="B27" i="7"/>
  <c r="C27" i="7" s="1"/>
  <c r="J28" i="7"/>
  <c r="G93" i="7"/>
  <c r="J92" i="7" s="1"/>
  <c r="G62" i="7"/>
  <c r="J61" i="7"/>
  <c r="L121" i="6"/>
  <c r="B121" i="6" s="1"/>
  <c r="C121" i="6" s="1"/>
  <c r="L90" i="6"/>
  <c r="B90" i="6" s="1"/>
  <c r="C90" i="6" s="1"/>
  <c r="L59" i="6"/>
  <c r="L58" i="6"/>
  <c r="L28" i="6"/>
  <c r="B28" i="6" s="1"/>
  <c r="C28" i="6" s="1"/>
  <c r="L152" i="6"/>
  <c r="B152" i="6" s="1"/>
  <c r="C152" i="6" s="1"/>
  <c r="G123" i="6"/>
  <c r="G154" i="6"/>
  <c r="J153" i="6"/>
  <c r="G30" i="6"/>
  <c r="J29" i="6"/>
  <c r="J60" i="6"/>
  <c r="G61" i="6"/>
  <c r="G92" i="6"/>
  <c r="J91" i="6"/>
  <c r="L61" i="5"/>
  <c r="L60" i="5"/>
  <c r="L124" i="5"/>
  <c r="L91" i="5"/>
  <c r="B91" i="5" s="1"/>
  <c r="C91" i="5" s="1"/>
  <c r="L152" i="5"/>
  <c r="B152" i="5" s="1"/>
  <c r="C152" i="5" s="1"/>
  <c r="G32" i="5"/>
  <c r="J32" i="5" s="1"/>
  <c r="J31" i="5"/>
  <c r="G93" i="5"/>
  <c r="B29" i="5"/>
  <c r="C29" i="5" s="1"/>
  <c r="B28" i="5"/>
  <c r="C28" i="5" s="1"/>
  <c r="B59" i="5"/>
  <c r="C59" i="5" s="1"/>
  <c r="G63" i="5"/>
  <c r="J63" i="5" s="1"/>
  <c r="J30" i="5"/>
  <c r="G154" i="5"/>
  <c r="J153" i="5"/>
  <c r="B151" i="5"/>
  <c r="C151" i="5" s="1"/>
  <c r="L92" i="4"/>
  <c r="B92" i="4" s="1"/>
  <c r="C92" i="4" s="1"/>
  <c r="L59" i="4"/>
  <c r="B59" i="4" s="1"/>
  <c r="C59" i="4" s="1"/>
  <c r="L28" i="4"/>
  <c r="B28" i="4" s="1"/>
  <c r="C28" i="4" s="1"/>
  <c r="L153" i="4"/>
  <c r="B153" i="4" s="1"/>
  <c r="C153" i="4" s="1"/>
  <c r="L125" i="4"/>
  <c r="G30" i="4"/>
  <c r="J29" i="4"/>
  <c r="J124" i="4"/>
  <c r="G94" i="4"/>
  <c r="J94" i="4" s="1"/>
  <c r="J93" i="4"/>
  <c r="G155" i="4"/>
  <c r="J154" i="4" s="1"/>
  <c r="B119" i="2"/>
  <c r="C119" i="2" s="1"/>
  <c r="G61" i="4"/>
  <c r="B27" i="4"/>
  <c r="C27" i="4" s="1"/>
  <c r="L92" i="3"/>
  <c r="L91" i="3"/>
  <c r="L63" i="3"/>
  <c r="L62" i="3"/>
  <c r="B63" i="3" s="1"/>
  <c r="C63" i="3" s="1"/>
  <c r="L153" i="3"/>
  <c r="L121" i="3"/>
  <c r="B121" i="3" s="1"/>
  <c r="C121" i="3" s="1"/>
  <c r="L29" i="3"/>
  <c r="B29" i="3" s="1"/>
  <c r="C29" i="3" s="1"/>
  <c r="G31" i="3"/>
  <c r="J30" i="3"/>
  <c r="G155" i="3"/>
  <c r="G94" i="3"/>
  <c r="J94" i="3" s="1"/>
  <c r="J93" i="3"/>
  <c r="G123" i="3"/>
  <c r="L28" i="2"/>
  <c r="B28" i="2" s="1"/>
  <c r="C28" i="2" s="1"/>
  <c r="L92" i="2"/>
  <c r="B92" i="2" s="1"/>
  <c r="C92" i="2" s="1"/>
  <c r="L152" i="2"/>
  <c r="B152" i="2" s="1"/>
  <c r="C152" i="2" s="1"/>
  <c r="L59" i="2"/>
  <c r="B59" i="2" s="1"/>
  <c r="C59" i="2" s="1"/>
  <c r="G61" i="2"/>
  <c r="G123" i="2"/>
  <c r="J122" i="2" s="1"/>
  <c r="B58" i="2"/>
  <c r="C58" i="2" s="1"/>
  <c r="J121" i="2"/>
  <c r="G30" i="2"/>
  <c r="J29" i="2"/>
  <c r="B27" i="2"/>
  <c r="C27" i="2" s="1"/>
  <c r="G154" i="2"/>
  <c r="J153" i="2"/>
  <c r="G94" i="2"/>
  <c r="J94" i="2" s="1"/>
  <c r="J93" i="2"/>
  <c r="K152" i="1"/>
  <c r="L152" i="1" s="1"/>
  <c r="B152" i="1" s="1"/>
  <c r="C152" i="1" s="1"/>
  <c r="G154" i="1"/>
  <c r="J153" i="1"/>
  <c r="K121" i="1"/>
  <c r="L121" i="1" s="1"/>
  <c r="B121" i="1" s="1"/>
  <c r="C121" i="1" s="1"/>
  <c r="G123" i="1"/>
  <c r="G92" i="1"/>
  <c r="J91" i="1"/>
  <c r="J90" i="1"/>
  <c r="K59" i="1"/>
  <c r="L59" i="1" s="1"/>
  <c r="K60" i="1"/>
  <c r="L60" i="1" s="1"/>
  <c r="G62" i="1"/>
  <c r="K26" i="1"/>
  <c r="J27" i="1"/>
  <c r="G28" i="1"/>
  <c r="K91" i="1" a="1"/>
  <c r="K27" i="1" a="1"/>
  <c r="K90" i="1" a="1"/>
  <c r="K153" i="1" a="1"/>
  <c r="B61" i="5" l="1"/>
  <c r="C61" i="5" s="1"/>
  <c r="B123" i="11"/>
  <c r="C123" i="11" s="1"/>
  <c r="B30" i="10"/>
  <c r="C30" i="10" s="1"/>
  <c r="L26" i="1"/>
  <c r="B26" i="1" s="1"/>
  <c r="C26" i="1" s="1"/>
  <c r="L122" i="16"/>
  <c r="B122" i="16" s="1"/>
  <c r="C122" i="16" s="1"/>
  <c r="L30" i="16"/>
  <c r="B30" i="16" s="1"/>
  <c r="C30" i="16" s="1"/>
  <c r="G156" i="16"/>
  <c r="J156" i="16" s="1"/>
  <c r="J155" i="16"/>
  <c r="J154" i="16"/>
  <c r="G124" i="16"/>
  <c r="J123" i="16"/>
  <c r="B59" i="16"/>
  <c r="C59" i="16" s="1"/>
  <c r="B58" i="16"/>
  <c r="C58" i="16" s="1"/>
  <c r="G62" i="16"/>
  <c r="J61" i="16"/>
  <c r="J60" i="16"/>
  <c r="G32" i="16"/>
  <c r="J32" i="16" s="1"/>
  <c r="B29" i="16"/>
  <c r="C29" i="16" s="1"/>
  <c r="L155" i="15"/>
  <c r="B156" i="15" s="1"/>
  <c r="C156" i="15" s="1"/>
  <c r="L124" i="15"/>
  <c r="L156" i="15"/>
  <c r="G32" i="15"/>
  <c r="J32" i="15" s="1"/>
  <c r="J31" i="15"/>
  <c r="J30" i="15"/>
  <c r="L60" i="14"/>
  <c r="L90" i="14"/>
  <c r="L91" i="14"/>
  <c r="L30" i="14"/>
  <c r="L31" i="14"/>
  <c r="B32" i="14" s="1"/>
  <c r="C32" i="14" s="1"/>
  <c r="L155" i="14"/>
  <c r="B156" i="14" s="1"/>
  <c r="C156" i="14" s="1"/>
  <c r="L32" i="14"/>
  <c r="L156" i="14"/>
  <c r="L59" i="14"/>
  <c r="G93" i="14"/>
  <c r="G124" i="14"/>
  <c r="J123" i="14"/>
  <c r="J122" i="14"/>
  <c r="G62" i="14"/>
  <c r="L30" i="13"/>
  <c r="B30" i="13" s="1"/>
  <c r="C30" i="13" s="1"/>
  <c r="L154" i="13"/>
  <c r="B154" i="13" s="1"/>
  <c r="C154" i="13" s="1"/>
  <c r="L121" i="13"/>
  <c r="L92" i="13"/>
  <c r="G124" i="13"/>
  <c r="J123" i="13" s="1"/>
  <c r="G94" i="13"/>
  <c r="J94" i="13" s="1"/>
  <c r="J93" i="13"/>
  <c r="G32" i="13"/>
  <c r="J32" i="13" s="1"/>
  <c r="J31" i="13"/>
  <c r="J122" i="13"/>
  <c r="G156" i="13"/>
  <c r="J156" i="13" s="1"/>
  <c r="J155" i="13"/>
  <c r="B29" i="13"/>
  <c r="C29" i="13" s="1"/>
  <c r="B28" i="13"/>
  <c r="C28" i="13" s="1"/>
  <c r="B62" i="13"/>
  <c r="C62" i="13" s="1"/>
  <c r="L153" i="12"/>
  <c r="B153" i="12" s="1"/>
  <c r="C153" i="12" s="1"/>
  <c r="L91" i="12"/>
  <c r="L61" i="12"/>
  <c r="B61" i="12" s="1"/>
  <c r="C61" i="12" s="1"/>
  <c r="L90" i="12"/>
  <c r="L125" i="12"/>
  <c r="L63" i="12"/>
  <c r="G155" i="12"/>
  <c r="G32" i="12"/>
  <c r="J32" i="12" s="1"/>
  <c r="J31" i="12"/>
  <c r="B123" i="12"/>
  <c r="C123" i="12" s="1"/>
  <c r="B122" i="12"/>
  <c r="C122" i="12" s="1"/>
  <c r="B122" i="11"/>
  <c r="C122" i="11" s="1"/>
  <c r="J124" i="12"/>
  <c r="J92" i="12"/>
  <c r="G93" i="12"/>
  <c r="J30" i="12"/>
  <c r="J62" i="12"/>
  <c r="B60" i="12"/>
  <c r="C60" i="12" s="1"/>
  <c r="L92" i="11"/>
  <c r="B92" i="11" s="1"/>
  <c r="C92" i="11" s="1"/>
  <c r="L125" i="11"/>
  <c r="L60" i="11"/>
  <c r="L61" i="11"/>
  <c r="L153" i="11"/>
  <c r="B153" i="11" s="1"/>
  <c r="C153" i="11" s="1"/>
  <c r="G63" i="11"/>
  <c r="J63" i="11" s="1"/>
  <c r="G32" i="11"/>
  <c r="J32" i="11" s="1"/>
  <c r="J31" i="11"/>
  <c r="J124" i="11"/>
  <c r="B29" i="11"/>
  <c r="C29" i="11" s="1"/>
  <c r="B28" i="11"/>
  <c r="C28" i="11" s="1"/>
  <c r="J30" i="11"/>
  <c r="G94" i="11"/>
  <c r="J94" i="11" s="1"/>
  <c r="B29" i="10"/>
  <c r="C29" i="10" s="1"/>
  <c r="G155" i="11"/>
  <c r="L60" i="10"/>
  <c r="B60" i="10" s="1"/>
  <c r="C60" i="10" s="1"/>
  <c r="L122" i="10"/>
  <c r="B122" i="10" s="1"/>
  <c r="C122" i="10" s="1"/>
  <c r="L92" i="10"/>
  <c r="L94" i="10"/>
  <c r="L31" i="10"/>
  <c r="B32" i="10" s="1"/>
  <c r="C32" i="10" s="1"/>
  <c r="L154" i="10"/>
  <c r="B154" i="10" s="1"/>
  <c r="C154" i="10" s="1"/>
  <c r="L32" i="10"/>
  <c r="B153" i="10"/>
  <c r="C153" i="10" s="1"/>
  <c r="B152" i="10"/>
  <c r="C152" i="10" s="1"/>
  <c r="G124" i="10"/>
  <c r="J123" i="10" s="1"/>
  <c r="J93" i="10"/>
  <c r="G62" i="10"/>
  <c r="G156" i="10"/>
  <c r="J156" i="10" s="1"/>
  <c r="J155" i="10"/>
  <c r="L153" i="9"/>
  <c r="B153" i="9" s="1"/>
  <c r="C153" i="9" s="1"/>
  <c r="L62" i="9"/>
  <c r="L91" i="9"/>
  <c r="B91" i="9" s="1"/>
  <c r="C91" i="9" s="1"/>
  <c r="L124" i="9"/>
  <c r="L29" i="9"/>
  <c r="B29" i="9" s="1"/>
  <c r="C29" i="9" s="1"/>
  <c r="G155" i="9"/>
  <c r="J154" i="9" s="1"/>
  <c r="G93" i="9"/>
  <c r="J92" i="9" s="1"/>
  <c r="G31" i="9"/>
  <c r="L122" i="8"/>
  <c r="B122" i="8" s="1"/>
  <c r="C122" i="8" s="1"/>
  <c r="L29" i="8"/>
  <c r="L91" i="8"/>
  <c r="B91" i="8" s="1"/>
  <c r="C91" i="8" s="1"/>
  <c r="L28" i="8"/>
  <c r="L154" i="8"/>
  <c r="B154" i="8" s="1"/>
  <c r="C154" i="8" s="1"/>
  <c r="G62" i="8"/>
  <c r="J61" i="8"/>
  <c r="J60" i="8"/>
  <c r="G124" i="8"/>
  <c r="J123" i="8"/>
  <c r="G31" i="8"/>
  <c r="J30" i="8" s="1"/>
  <c r="B60" i="5"/>
  <c r="C60" i="5" s="1"/>
  <c r="G156" i="8"/>
  <c r="J156" i="8" s="1"/>
  <c r="G93" i="8"/>
  <c r="J92" i="8" s="1"/>
  <c r="L92" i="7"/>
  <c r="B92" i="7" s="1"/>
  <c r="C92" i="7" s="1"/>
  <c r="L61" i="7"/>
  <c r="B61" i="7" s="1"/>
  <c r="C61" i="7" s="1"/>
  <c r="L29" i="7"/>
  <c r="L28" i="7"/>
  <c r="G31" i="7"/>
  <c r="J30" i="7" s="1"/>
  <c r="G156" i="7"/>
  <c r="J156" i="7" s="1"/>
  <c r="J155" i="7"/>
  <c r="G63" i="7"/>
  <c r="J63" i="7" s="1"/>
  <c r="J154" i="7"/>
  <c r="G94" i="7"/>
  <c r="J94" i="7" s="1"/>
  <c r="J93" i="7"/>
  <c r="B153" i="7"/>
  <c r="C153" i="7" s="1"/>
  <c r="B152" i="7"/>
  <c r="C152" i="7" s="1"/>
  <c r="L60" i="6"/>
  <c r="B60" i="6" s="1"/>
  <c r="C60" i="6" s="1"/>
  <c r="L153" i="6"/>
  <c r="B153" i="6" s="1"/>
  <c r="C153" i="6" s="1"/>
  <c r="L29" i="6"/>
  <c r="B29" i="6" s="1"/>
  <c r="C29" i="6" s="1"/>
  <c r="L91" i="6"/>
  <c r="G155" i="6"/>
  <c r="J154" i="6" s="1"/>
  <c r="B59" i="6"/>
  <c r="C59" i="6" s="1"/>
  <c r="B58" i="6"/>
  <c r="C58" i="6" s="1"/>
  <c r="G31" i="6"/>
  <c r="G124" i="6"/>
  <c r="J123" i="6"/>
  <c r="J92" i="6"/>
  <c r="G93" i="6"/>
  <c r="J122" i="6"/>
  <c r="G62" i="6"/>
  <c r="J61" i="6" s="1"/>
  <c r="L32" i="5"/>
  <c r="L63" i="5"/>
  <c r="L153" i="5"/>
  <c r="B153" i="5" s="1"/>
  <c r="C153" i="5" s="1"/>
  <c r="L31" i="5"/>
  <c r="B32" i="5" s="1"/>
  <c r="C32" i="5" s="1"/>
  <c r="L30" i="5"/>
  <c r="J62" i="5"/>
  <c r="G94" i="5"/>
  <c r="J94" i="5" s="1"/>
  <c r="J93" i="5"/>
  <c r="B125" i="5"/>
  <c r="C125" i="5" s="1"/>
  <c r="B124" i="5"/>
  <c r="C124" i="5" s="1"/>
  <c r="J92" i="5"/>
  <c r="G155" i="5"/>
  <c r="J154" i="5" s="1"/>
  <c r="L154" i="4"/>
  <c r="B154" i="4" s="1"/>
  <c r="C154" i="4" s="1"/>
  <c r="L29" i="4"/>
  <c r="B29" i="4" s="1"/>
  <c r="C29" i="4" s="1"/>
  <c r="L124" i="4"/>
  <c r="L94" i="4"/>
  <c r="L93" i="4"/>
  <c r="B94" i="4" s="1"/>
  <c r="C94" i="4" s="1"/>
  <c r="G156" i="4"/>
  <c r="J156" i="4" s="1"/>
  <c r="J155" i="4"/>
  <c r="J61" i="4"/>
  <c r="G62" i="4"/>
  <c r="G31" i="4"/>
  <c r="B62" i="3"/>
  <c r="C62" i="3" s="1"/>
  <c r="J60" i="4"/>
  <c r="L30" i="3"/>
  <c r="B30" i="3" s="1"/>
  <c r="C30" i="3" s="1"/>
  <c r="L93" i="3"/>
  <c r="B94" i="3" s="1"/>
  <c r="C94" i="3" s="1"/>
  <c r="L94" i="3"/>
  <c r="B153" i="3"/>
  <c r="C153" i="3" s="1"/>
  <c r="G124" i="3"/>
  <c r="J123" i="3"/>
  <c r="B92" i="3"/>
  <c r="C92" i="3" s="1"/>
  <c r="B91" i="3"/>
  <c r="C91" i="3" s="1"/>
  <c r="G156" i="3"/>
  <c r="J156" i="3" s="1"/>
  <c r="J155" i="3"/>
  <c r="J154" i="3"/>
  <c r="G32" i="3"/>
  <c r="J32" i="3" s="1"/>
  <c r="J31" i="3"/>
  <c r="J122" i="3"/>
  <c r="L122" i="2"/>
  <c r="L94" i="2"/>
  <c r="L121" i="2"/>
  <c r="L153" i="2"/>
  <c r="B153" i="2" s="1"/>
  <c r="C153" i="2" s="1"/>
  <c r="L29" i="2"/>
  <c r="L93" i="2"/>
  <c r="B94" i="2" s="1"/>
  <c r="C94" i="2" s="1"/>
  <c r="J30" i="2"/>
  <c r="G31" i="2"/>
  <c r="G62" i="2"/>
  <c r="J61" i="2"/>
  <c r="G124" i="2"/>
  <c r="J123" i="2"/>
  <c r="J60" i="2"/>
  <c r="J154" i="2"/>
  <c r="G155" i="2"/>
  <c r="K153" i="1"/>
  <c r="L153" i="1" s="1"/>
  <c r="B153" i="1" s="1"/>
  <c r="C153" i="1" s="1"/>
  <c r="J154" i="1"/>
  <c r="G155" i="1"/>
  <c r="G124" i="1"/>
  <c r="J123" i="1"/>
  <c r="J122" i="1"/>
  <c r="K90" i="1"/>
  <c r="L90" i="1" s="1"/>
  <c r="K91" i="1"/>
  <c r="L91" i="1" s="1"/>
  <c r="G93" i="1"/>
  <c r="G63" i="1"/>
  <c r="J63" i="1" s="1"/>
  <c r="J62" i="1"/>
  <c r="J61" i="1"/>
  <c r="B60" i="1"/>
  <c r="C60" i="1" s="1"/>
  <c r="B59" i="1"/>
  <c r="C59" i="1" s="1"/>
  <c r="K27" i="1"/>
  <c r="G29" i="1"/>
  <c r="K122" i="1" a="1"/>
  <c r="K123" i="1" a="1"/>
  <c r="K63" i="1" a="1"/>
  <c r="K62" i="1" a="1"/>
  <c r="K61" i="1" a="1"/>
  <c r="K154" i="1" a="1"/>
  <c r="B155" i="15" l="1"/>
  <c r="C155" i="15" s="1"/>
  <c r="L27" i="1"/>
  <c r="B27" i="1" s="1"/>
  <c r="C27" i="1" s="1"/>
  <c r="L61" i="16"/>
  <c r="L155" i="16"/>
  <c r="B156" i="16" s="1"/>
  <c r="C156" i="16" s="1"/>
  <c r="L60" i="16"/>
  <c r="L156" i="16"/>
  <c r="L123" i="16"/>
  <c r="B123" i="16" s="1"/>
  <c r="C123" i="16" s="1"/>
  <c r="L32" i="16"/>
  <c r="L154" i="16"/>
  <c r="G125" i="16"/>
  <c r="J125" i="16" s="1"/>
  <c r="G63" i="16"/>
  <c r="J63" i="16" s="1"/>
  <c r="J31" i="16"/>
  <c r="L30" i="15"/>
  <c r="L32" i="15"/>
  <c r="L31" i="15"/>
  <c r="B32" i="15" s="1"/>
  <c r="C32" i="15" s="1"/>
  <c r="B155" i="14"/>
  <c r="C155" i="14" s="1"/>
  <c r="B125" i="15"/>
  <c r="C125" i="15" s="1"/>
  <c r="B124" i="15"/>
  <c r="C124" i="15" s="1"/>
  <c r="L122" i="14"/>
  <c r="L123" i="14"/>
  <c r="G94" i="14"/>
  <c r="J94" i="14" s="1"/>
  <c r="J93" i="14"/>
  <c r="G125" i="14"/>
  <c r="J125" i="14" s="1"/>
  <c r="J92" i="14"/>
  <c r="B60" i="14"/>
  <c r="C60" i="14" s="1"/>
  <c r="B59" i="14"/>
  <c r="C59" i="14" s="1"/>
  <c r="B91" i="14"/>
  <c r="C91" i="14" s="1"/>
  <c r="B90" i="14"/>
  <c r="C90" i="14" s="1"/>
  <c r="G63" i="14"/>
  <c r="J63" i="14" s="1"/>
  <c r="B31" i="14"/>
  <c r="C31" i="14" s="1"/>
  <c r="B30" i="14"/>
  <c r="C30" i="14" s="1"/>
  <c r="J61" i="14"/>
  <c r="L123" i="13"/>
  <c r="L31" i="13"/>
  <c r="B32" i="13" s="1"/>
  <c r="C32" i="13" s="1"/>
  <c r="L122" i="13"/>
  <c r="B122" i="13" s="1"/>
  <c r="C122" i="13" s="1"/>
  <c r="L32" i="13"/>
  <c r="L94" i="13"/>
  <c r="L93" i="13"/>
  <c r="B94" i="13" s="1"/>
  <c r="C94" i="13" s="1"/>
  <c r="L155" i="13"/>
  <c r="B156" i="13" s="1"/>
  <c r="C156" i="13" s="1"/>
  <c r="L156" i="13"/>
  <c r="B92" i="13"/>
  <c r="C92" i="13" s="1"/>
  <c r="B121" i="13"/>
  <c r="C121" i="13" s="1"/>
  <c r="G125" i="13"/>
  <c r="J125" i="13" s="1"/>
  <c r="L31" i="12"/>
  <c r="B32" i="12" s="1"/>
  <c r="C32" i="12" s="1"/>
  <c r="L62" i="12"/>
  <c r="B63" i="12" s="1"/>
  <c r="C63" i="12" s="1"/>
  <c r="L32" i="12"/>
  <c r="L30" i="12"/>
  <c r="L92" i="12"/>
  <c r="B92" i="12" s="1"/>
  <c r="C92" i="12" s="1"/>
  <c r="L124" i="12"/>
  <c r="G156" i="12"/>
  <c r="J156" i="12" s="1"/>
  <c r="J155" i="12"/>
  <c r="J154" i="12"/>
  <c r="B91" i="12"/>
  <c r="C91" i="12" s="1"/>
  <c r="B90" i="12"/>
  <c r="C90" i="12" s="1"/>
  <c r="G94" i="12"/>
  <c r="J94" i="12" s="1"/>
  <c r="J93" i="12"/>
  <c r="L124" i="11"/>
  <c r="L63" i="11"/>
  <c r="L31" i="11"/>
  <c r="B32" i="11" s="1"/>
  <c r="C32" i="11" s="1"/>
  <c r="L94" i="11"/>
  <c r="L30" i="11"/>
  <c r="L32" i="11"/>
  <c r="G156" i="11"/>
  <c r="J156" i="11" s="1"/>
  <c r="J155" i="11"/>
  <c r="J154" i="11"/>
  <c r="B61" i="11"/>
  <c r="C61" i="11" s="1"/>
  <c r="B60" i="11"/>
  <c r="C60" i="11" s="1"/>
  <c r="J62" i="11"/>
  <c r="J93" i="11"/>
  <c r="L123" i="10"/>
  <c r="B123" i="10" s="1"/>
  <c r="C123" i="10" s="1"/>
  <c r="L93" i="10"/>
  <c r="B94" i="10" s="1"/>
  <c r="C94" i="10" s="1"/>
  <c r="L155" i="10"/>
  <c r="B156" i="10" s="1"/>
  <c r="C156" i="10" s="1"/>
  <c r="L156" i="10"/>
  <c r="G63" i="10"/>
  <c r="J63" i="10" s="1"/>
  <c r="J62" i="10"/>
  <c r="B31" i="10"/>
  <c r="C31" i="10" s="1"/>
  <c r="B92" i="10"/>
  <c r="C92" i="10" s="1"/>
  <c r="G125" i="10"/>
  <c r="J125" i="10" s="1"/>
  <c r="J124" i="10"/>
  <c r="J61" i="10"/>
  <c r="L92" i="9"/>
  <c r="B92" i="9" s="1"/>
  <c r="C92" i="9" s="1"/>
  <c r="L154" i="9"/>
  <c r="B154" i="9" s="1"/>
  <c r="C154" i="9" s="1"/>
  <c r="G32" i="9"/>
  <c r="J32" i="9" s="1"/>
  <c r="J31" i="9"/>
  <c r="J30" i="9"/>
  <c r="B125" i="9"/>
  <c r="C125" i="9" s="1"/>
  <c r="B124" i="9"/>
  <c r="C124" i="9" s="1"/>
  <c r="G94" i="9"/>
  <c r="J94" i="9" s="1"/>
  <c r="J93" i="9"/>
  <c r="G156" i="9"/>
  <c r="J156" i="9" s="1"/>
  <c r="J155" i="9"/>
  <c r="B63" i="9"/>
  <c r="C63" i="9" s="1"/>
  <c r="B62" i="9"/>
  <c r="C62" i="9" s="1"/>
  <c r="L92" i="8"/>
  <c r="B92" i="8" s="1"/>
  <c r="C92" i="8" s="1"/>
  <c r="L30" i="8"/>
  <c r="L156" i="8"/>
  <c r="L61" i="8"/>
  <c r="L123" i="8"/>
  <c r="B123" i="8" s="1"/>
  <c r="C123" i="8" s="1"/>
  <c r="L60" i="8"/>
  <c r="G63" i="8"/>
  <c r="J63" i="8" s="1"/>
  <c r="G32" i="8"/>
  <c r="J32" i="8" s="1"/>
  <c r="J31" i="8"/>
  <c r="G125" i="8"/>
  <c r="J125" i="8" s="1"/>
  <c r="B29" i="8"/>
  <c r="C29" i="8" s="1"/>
  <c r="B28" i="8"/>
  <c r="C28" i="8" s="1"/>
  <c r="G94" i="8"/>
  <c r="J94" i="8" s="1"/>
  <c r="J93" i="8"/>
  <c r="J155" i="8"/>
  <c r="L30" i="7"/>
  <c r="B30" i="7" s="1"/>
  <c r="C30" i="7" s="1"/>
  <c r="L93" i="7"/>
  <c r="B94" i="7" s="1"/>
  <c r="C94" i="7" s="1"/>
  <c r="L154" i="7"/>
  <c r="L155" i="7"/>
  <c r="B156" i="7" s="1"/>
  <c r="C156" i="7" s="1"/>
  <c r="L94" i="7"/>
  <c r="L63" i="7"/>
  <c r="L156" i="7"/>
  <c r="J62" i="7"/>
  <c r="G32" i="7"/>
  <c r="J32" i="7" s="1"/>
  <c r="J31" i="7"/>
  <c r="B29" i="7"/>
  <c r="C29" i="7" s="1"/>
  <c r="B28" i="7"/>
  <c r="C28" i="7" s="1"/>
  <c r="L154" i="6"/>
  <c r="B154" i="6" s="1"/>
  <c r="C154" i="6" s="1"/>
  <c r="L61" i="6"/>
  <c r="B61" i="6" s="1"/>
  <c r="C61" i="6" s="1"/>
  <c r="L123" i="6"/>
  <c r="L92" i="6"/>
  <c r="B92" i="6" s="1"/>
  <c r="C92" i="6" s="1"/>
  <c r="L122" i="6"/>
  <c r="G32" i="6"/>
  <c r="J32" i="6" s="1"/>
  <c r="J31" i="6"/>
  <c r="J30" i="6"/>
  <c r="G63" i="6"/>
  <c r="J63" i="6" s="1"/>
  <c r="G125" i="6"/>
  <c r="J125" i="6" s="1"/>
  <c r="B91" i="6"/>
  <c r="C91" i="6" s="1"/>
  <c r="G156" i="6"/>
  <c r="J156" i="6" s="1"/>
  <c r="J155" i="6"/>
  <c r="G94" i="6"/>
  <c r="J94" i="6" s="1"/>
  <c r="J93" i="6"/>
  <c r="L154" i="5"/>
  <c r="B154" i="5" s="1"/>
  <c r="C154" i="5" s="1"/>
  <c r="L94" i="5"/>
  <c r="L62" i="5"/>
  <c r="L92" i="5"/>
  <c r="L93" i="5"/>
  <c r="B94" i="5" s="1"/>
  <c r="C94" i="5" s="1"/>
  <c r="B93" i="3"/>
  <c r="C93" i="3" s="1"/>
  <c r="B31" i="5"/>
  <c r="C31" i="5" s="1"/>
  <c r="B30" i="5"/>
  <c r="C30" i="5" s="1"/>
  <c r="G156" i="5"/>
  <c r="J156" i="5" s="1"/>
  <c r="J155" i="5"/>
  <c r="L156" i="4"/>
  <c r="L60" i="4"/>
  <c r="L155" i="4"/>
  <c r="B156" i="4" s="1"/>
  <c r="C156" i="4" s="1"/>
  <c r="L61" i="4"/>
  <c r="G32" i="4"/>
  <c r="J32" i="4" s="1"/>
  <c r="J31" i="4"/>
  <c r="G63" i="4"/>
  <c r="J63" i="4" s="1"/>
  <c r="J30" i="4"/>
  <c r="B125" i="4"/>
  <c r="C125" i="4" s="1"/>
  <c r="B124" i="4"/>
  <c r="C124" i="4" s="1"/>
  <c r="B93" i="4"/>
  <c r="C93" i="4" s="1"/>
  <c r="L122" i="3"/>
  <c r="L31" i="3"/>
  <c r="B32" i="3" s="1"/>
  <c r="C32" i="3" s="1"/>
  <c r="L32" i="3"/>
  <c r="L154" i="3"/>
  <c r="L155" i="3"/>
  <c r="B156" i="3" s="1"/>
  <c r="C156" i="3" s="1"/>
  <c r="L156" i="3"/>
  <c r="L123" i="3"/>
  <c r="G125" i="3"/>
  <c r="J125" i="3" s="1"/>
  <c r="J124" i="3"/>
  <c r="L154" i="2"/>
  <c r="B154" i="2" s="1"/>
  <c r="C154" i="2" s="1"/>
  <c r="L61" i="2"/>
  <c r="L60" i="2"/>
  <c r="L30" i="2"/>
  <c r="B30" i="2" s="1"/>
  <c r="C30" i="2" s="1"/>
  <c r="L123" i="2"/>
  <c r="B123" i="2" s="1"/>
  <c r="C123" i="2" s="1"/>
  <c r="J62" i="2"/>
  <c r="G63" i="2"/>
  <c r="J63" i="2" s="1"/>
  <c r="G32" i="2"/>
  <c r="J32" i="2" s="1"/>
  <c r="J31" i="2"/>
  <c r="B29" i="2"/>
  <c r="C29" i="2" s="1"/>
  <c r="B122" i="2"/>
  <c r="C122" i="2" s="1"/>
  <c r="B121" i="2"/>
  <c r="C121" i="2" s="1"/>
  <c r="G125" i="2"/>
  <c r="J125" i="2" s="1"/>
  <c r="B93" i="2"/>
  <c r="C93" i="2" s="1"/>
  <c r="G156" i="2"/>
  <c r="J156" i="2" s="1"/>
  <c r="J155" i="2"/>
  <c r="K154" i="1"/>
  <c r="L154" i="1" s="1"/>
  <c r="B154" i="1" s="1"/>
  <c r="C154" i="1" s="1"/>
  <c r="G156" i="1"/>
  <c r="J156" i="1" s="1"/>
  <c r="J155" i="1"/>
  <c r="K122" i="1"/>
  <c r="L122" i="1" s="1"/>
  <c r="K123" i="1"/>
  <c r="L123" i="1" s="1"/>
  <c r="G125" i="1"/>
  <c r="J125" i="1" s="1"/>
  <c r="G94" i="1"/>
  <c r="J94" i="1" s="1"/>
  <c r="J93" i="1"/>
  <c r="J92" i="1"/>
  <c r="B91" i="1"/>
  <c r="C91" i="1" s="1"/>
  <c r="B90" i="1"/>
  <c r="C90" i="1" s="1"/>
  <c r="K61" i="1"/>
  <c r="L61" i="1" s="1"/>
  <c r="K62" i="1"/>
  <c r="L62" i="1" s="1"/>
  <c r="B63" i="1" s="1"/>
  <c r="C63" i="1" s="1"/>
  <c r="K63" i="1"/>
  <c r="L63" i="1" s="1"/>
  <c r="G30" i="1"/>
  <c r="J28" i="1"/>
  <c r="K94" i="1" a="1"/>
  <c r="K93" i="1" a="1"/>
  <c r="K155" i="1" a="1"/>
  <c r="K92" i="1" a="1"/>
  <c r="K156" i="1" a="1"/>
  <c r="K125" i="1" a="1"/>
  <c r="K28" i="1" a="1"/>
  <c r="B93" i="13" l="1"/>
  <c r="C93" i="13" s="1"/>
  <c r="B123" i="13"/>
  <c r="C123" i="13" s="1"/>
  <c r="B62" i="12"/>
  <c r="C62" i="12" s="1"/>
  <c r="L31" i="16"/>
  <c r="L63" i="16"/>
  <c r="L125" i="16"/>
  <c r="B61" i="16"/>
  <c r="C61" i="16" s="1"/>
  <c r="B60" i="16"/>
  <c r="C60" i="16" s="1"/>
  <c r="J62" i="16"/>
  <c r="J124" i="16"/>
  <c r="B155" i="16"/>
  <c r="C155" i="16" s="1"/>
  <c r="B154" i="16"/>
  <c r="C154" i="16" s="1"/>
  <c r="B155" i="13"/>
  <c r="C155" i="13" s="1"/>
  <c r="B31" i="15"/>
  <c r="C31" i="15" s="1"/>
  <c r="B30" i="15"/>
  <c r="C30" i="15" s="1"/>
  <c r="L63" i="14"/>
  <c r="L125" i="14"/>
  <c r="L93" i="14"/>
  <c r="B94" i="14" s="1"/>
  <c r="C94" i="14" s="1"/>
  <c r="L94" i="14"/>
  <c r="L92" i="14"/>
  <c r="L61" i="14"/>
  <c r="J62" i="14"/>
  <c r="J124" i="14"/>
  <c r="B31" i="13"/>
  <c r="C31" i="13" s="1"/>
  <c r="B123" i="14"/>
  <c r="C123" i="14" s="1"/>
  <c r="B122" i="14"/>
  <c r="C122" i="14" s="1"/>
  <c r="L125" i="13"/>
  <c r="J124" i="13"/>
  <c r="L94" i="12"/>
  <c r="L155" i="12"/>
  <c r="B156" i="12" s="1"/>
  <c r="C156" i="12" s="1"/>
  <c r="L93" i="12"/>
  <c r="B94" i="12" s="1"/>
  <c r="C94" i="12" s="1"/>
  <c r="L156" i="12"/>
  <c r="L154" i="12"/>
  <c r="B93" i="10"/>
  <c r="C93" i="10" s="1"/>
  <c r="B31" i="12"/>
  <c r="C31" i="12" s="1"/>
  <c r="B30" i="12"/>
  <c r="C30" i="12" s="1"/>
  <c r="B125" i="12"/>
  <c r="C125" i="12" s="1"/>
  <c r="B124" i="12"/>
  <c r="C124" i="12" s="1"/>
  <c r="B155" i="10"/>
  <c r="C155" i="10" s="1"/>
  <c r="L62" i="11"/>
  <c r="L156" i="11"/>
  <c r="L154" i="11"/>
  <c r="L93" i="11"/>
  <c r="L155" i="11"/>
  <c r="B156" i="11" s="1"/>
  <c r="C156" i="11" s="1"/>
  <c r="B31" i="11"/>
  <c r="C31" i="11" s="1"/>
  <c r="B30" i="11"/>
  <c r="C30" i="11" s="1"/>
  <c r="B125" i="11"/>
  <c r="C125" i="11" s="1"/>
  <c r="B124" i="11"/>
  <c r="C124" i="11" s="1"/>
  <c r="L61" i="10"/>
  <c r="L125" i="10"/>
  <c r="L62" i="10"/>
  <c r="B63" i="10" s="1"/>
  <c r="C63" i="10" s="1"/>
  <c r="L124" i="10"/>
  <c r="B125" i="10" s="1"/>
  <c r="C125" i="10" s="1"/>
  <c r="L63" i="10"/>
  <c r="L155" i="9"/>
  <c r="B156" i="9" s="1"/>
  <c r="C156" i="9" s="1"/>
  <c r="L156" i="9"/>
  <c r="L94" i="9"/>
  <c r="L30" i="9"/>
  <c r="L31" i="9"/>
  <c r="B32" i="9" s="1"/>
  <c r="C32" i="9" s="1"/>
  <c r="L32" i="9"/>
  <c r="L93" i="9"/>
  <c r="B94" i="9" s="1"/>
  <c r="C94" i="9" s="1"/>
  <c r="L32" i="8"/>
  <c r="L31" i="8"/>
  <c r="B32" i="8" s="1"/>
  <c r="C32" i="8" s="1"/>
  <c r="L93" i="8"/>
  <c r="B94" i="8" s="1"/>
  <c r="C94" i="8" s="1"/>
  <c r="L94" i="8"/>
  <c r="L125" i="8"/>
  <c r="L63" i="8"/>
  <c r="L155" i="8"/>
  <c r="J124" i="8"/>
  <c r="J62" i="8"/>
  <c r="B61" i="8"/>
  <c r="C61" i="8" s="1"/>
  <c r="B60" i="8"/>
  <c r="C60" i="8" s="1"/>
  <c r="B93" i="7"/>
  <c r="C93" i="7" s="1"/>
  <c r="B30" i="8"/>
  <c r="C30" i="8" s="1"/>
  <c r="L31" i="7"/>
  <c r="B32" i="7" s="1"/>
  <c r="C32" i="7" s="1"/>
  <c r="L62" i="7"/>
  <c r="L32" i="7"/>
  <c r="B155" i="7"/>
  <c r="C155" i="7" s="1"/>
  <c r="B154" i="7"/>
  <c r="C154" i="7" s="1"/>
  <c r="L31" i="6"/>
  <c r="B32" i="6" s="1"/>
  <c r="C32" i="6" s="1"/>
  <c r="L93" i="6"/>
  <c r="B94" i="6" s="1"/>
  <c r="C94" i="6" s="1"/>
  <c r="L30" i="6"/>
  <c r="L94" i="6"/>
  <c r="L125" i="6"/>
  <c r="L32" i="6"/>
  <c r="L155" i="6"/>
  <c r="B156" i="6" s="1"/>
  <c r="C156" i="6" s="1"/>
  <c r="L63" i="6"/>
  <c r="L156" i="6"/>
  <c r="J62" i="6"/>
  <c r="B123" i="6"/>
  <c r="C123" i="6" s="1"/>
  <c r="B122" i="6"/>
  <c r="C122" i="6" s="1"/>
  <c r="J124" i="6"/>
  <c r="L155" i="5"/>
  <c r="B156" i="5" s="1"/>
  <c r="C156" i="5" s="1"/>
  <c r="L156" i="5"/>
  <c r="B93" i="5"/>
  <c r="C93" i="5" s="1"/>
  <c r="B92" i="5"/>
  <c r="C92" i="5" s="1"/>
  <c r="B63" i="5"/>
  <c r="C63" i="5" s="1"/>
  <c r="B62" i="5"/>
  <c r="C62" i="5" s="1"/>
  <c r="B155" i="4"/>
  <c r="C155" i="4" s="1"/>
  <c r="L30" i="4"/>
  <c r="L63" i="4"/>
  <c r="L32" i="4"/>
  <c r="L31" i="4"/>
  <c r="B32" i="4" s="1"/>
  <c r="C32" i="4" s="1"/>
  <c r="J62" i="4"/>
  <c r="B61" i="4"/>
  <c r="C61" i="4" s="1"/>
  <c r="B60" i="4"/>
  <c r="C60" i="4" s="1"/>
  <c r="B31" i="3"/>
  <c r="C31" i="3" s="1"/>
  <c r="L125" i="3"/>
  <c r="L124" i="3"/>
  <c r="B125" i="3" s="1"/>
  <c r="C125" i="3" s="1"/>
  <c r="B155" i="3"/>
  <c r="C155" i="3" s="1"/>
  <c r="B154" i="3"/>
  <c r="C154" i="3" s="1"/>
  <c r="B123" i="3"/>
  <c r="C123" i="3" s="1"/>
  <c r="B122" i="3"/>
  <c r="C122" i="3" s="1"/>
  <c r="L125" i="2"/>
  <c r="L31" i="2"/>
  <c r="B32" i="2" s="1"/>
  <c r="C32" i="2" s="1"/>
  <c r="L62" i="2"/>
  <c r="B63" i="2" s="1"/>
  <c r="C63" i="2" s="1"/>
  <c r="L155" i="2"/>
  <c r="B156" i="2" s="1"/>
  <c r="C156" i="2" s="1"/>
  <c r="L32" i="2"/>
  <c r="L156" i="2"/>
  <c r="L63" i="2"/>
  <c r="J124" i="2"/>
  <c r="B61" i="2"/>
  <c r="C61" i="2" s="1"/>
  <c r="B60" i="2"/>
  <c r="C60" i="2" s="1"/>
  <c r="K155" i="1"/>
  <c r="L155" i="1" s="1"/>
  <c r="B156" i="1" s="1"/>
  <c r="C156" i="1" s="1"/>
  <c r="K156" i="1"/>
  <c r="L156" i="1" s="1"/>
  <c r="K125" i="1"/>
  <c r="L125" i="1" s="1"/>
  <c r="J124" i="1"/>
  <c r="B123" i="1"/>
  <c r="C123" i="1" s="1"/>
  <c r="B122" i="1"/>
  <c r="C122" i="1" s="1"/>
  <c r="K92" i="1"/>
  <c r="L92" i="1" s="1"/>
  <c r="K93" i="1"/>
  <c r="L93" i="1" s="1"/>
  <c r="B94" i="1" s="1"/>
  <c r="C94" i="1" s="1"/>
  <c r="K94" i="1"/>
  <c r="L94" i="1" s="1"/>
  <c r="B62" i="1"/>
  <c r="C62" i="1" s="1"/>
  <c r="B61" i="1"/>
  <c r="C61" i="1" s="1"/>
  <c r="K28" i="1"/>
  <c r="G31" i="1"/>
  <c r="J30" i="1"/>
  <c r="J29" i="1"/>
  <c r="K29" i="1" a="1"/>
  <c r="K124" i="1" a="1"/>
  <c r="K30" i="1" a="1"/>
  <c r="B124" i="10" l="1"/>
  <c r="C124" i="10" s="1"/>
  <c r="L28" i="1"/>
  <c r="B28" i="1" s="1"/>
  <c r="C28" i="1" s="1"/>
  <c r="L124" i="16"/>
  <c r="L62" i="16"/>
  <c r="B93" i="12"/>
  <c r="C93" i="12" s="1"/>
  <c r="B32" i="16"/>
  <c r="C32" i="16" s="1"/>
  <c r="B31" i="16"/>
  <c r="C31" i="16" s="1"/>
  <c r="L124" i="14"/>
  <c r="L62" i="14"/>
  <c r="B63" i="14" s="1"/>
  <c r="C63" i="14" s="1"/>
  <c r="B61" i="14"/>
  <c r="C61" i="14" s="1"/>
  <c r="B93" i="14"/>
  <c r="C93" i="14" s="1"/>
  <c r="B92" i="14"/>
  <c r="C92" i="14" s="1"/>
  <c r="B93" i="9"/>
  <c r="C93" i="9" s="1"/>
  <c r="L124" i="13"/>
  <c r="B155" i="12"/>
  <c r="C155" i="12" s="1"/>
  <c r="B154" i="12"/>
  <c r="C154" i="12" s="1"/>
  <c r="B94" i="11"/>
  <c r="C94" i="11" s="1"/>
  <c r="B93" i="11"/>
  <c r="C93" i="11" s="1"/>
  <c r="B155" i="9"/>
  <c r="C155" i="9" s="1"/>
  <c r="B155" i="11"/>
  <c r="C155" i="11" s="1"/>
  <c r="B154" i="11"/>
  <c r="C154" i="11" s="1"/>
  <c r="B63" i="11"/>
  <c r="C63" i="11" s="1"/>
  <c r="B62" i="11"/>
  <c r="C62" i="11" s="1"/>
  <c r="B31" i="7"/>
  <c r="C31" i="7" s="1"/>
  <c r="B62" i="10"/>
  <c r="C62" i="10" s="1"/>
  <c r="B61" i="10"/>
  <c r="C61" i="10" s="1"/>
  <c r="B31" i="9"/>
  <c r="C31" i="9" s="1"/>
  <c r="B30" i="9"/>
  <c r="C30" i="9" s="1"/>
  <c r="B31" i="8"/>
  <c r="C31" i="8" s="1"/>
  <c r="B155" i="5"/>
  <c r="C155" i="5" s="1"/>
  <c r="L62" i="8"/>
  <c r="L124" i="8"/>
  <c r="B156" i="8"/>
  <c r="C156" i="8" s="1"/>
  <c r="B155" i="8"/>
  <c r="C155" i="8" s="1"/>
  <c r="B93" i="8"/>
  <c r="C93" i="8" s="1"/>
  <c r="B31" i="2"/>
  <c r="C31" i="2" s="1"/>
  <c r="B93" i="6"/>
  <c r="C93" i="6" s="1"/>
  <c r="B63" i="7"/>
  <c r="C63" i="7" s="1"/>
  <c r="B62" i="7"/>
  <c r="C62" i="7" s="1"/>
  <c r="L62" i="6"/>
  <c r="L124" i="6"/>
  <c r="B31" i="6"/>
  <c r="C31" i="6" s="1"/>
  <c r="B30" i="6"/>
  <c r="C30" i="6" s="1"/>
  <c r="B155" i="6"/>
  <c r="C155" i="6" s="1"/>
  <c r="B62" i="2"/>
  <c r="C62" i="2" s="1"/>
  <c r="B124" i="3"/>
  <c r="C124" i="3" s="1"/>
  <c r="B155" i="2"/>
  <c r="C155" i="2" s="1"/>
  <c r="L62" i="4"/>
  <c r="B31" i="4"/>
  <c r="C31" i="4" s="1"/>
  <c r="B30" i="4"/>
  <c r="C30" i="4" s="1"/>
  <c r="L124" i="2"/>
  <c r="B155" i="1"/>
  <c r="C155" i="1" s="1"/>
  <c r="K124" i="1"/>
  <c r="L124" i="1" s="1"/>
  <c r="B93" i="1"/>
  <c r="C93" i="1" s="1"/>
  <c r="B92" i="1"/>
  <c r="C92" i="1" s="1"/>
  <c r="K30" i="1"/>
  <c r="K29" i="1"/>
  <c r="J31" i="1"/>
  <c r="G32" i="1"/>
  <c r="J32" i="1" s="1"/>
  <c r="K32" i="1" a="1"/>
  <c r="K31" i="1" a="1"/>
  <c r="B62" i="14" l="1"/>
  <c r="C62" i="14" s="1"/>
  <c r="L29" i="1"/>
  <c r="B29" i="1" s="1"/>
  <c r="C29" i="1" s="1"/>
  <c r="L30" i="1"/>
  <c r="B63" i="16"/>
  <c r="C63" i="16" s="1"/>
  <c r="B62" i="16"/>
  <c r="C62" i="16" s="1"/>
  <c r="B125" i="16"/>
  <c r="C125" i="16" s="1"/>
  <c r="B124" i="16"/>
  <c r="C124" i="16" s="1"/>
  <c r="B125" i="14"/>
  <c r="C125" i="14" s="1"/>
  <c r="B124" i="14"/>
  <c r="C124" i="14" s="1"/>
  <c r="B125" i="13"/>
  <c r="C125" i="13" s="1"/>
  <c r="B124" i="13"/>
  <c r="C124" i="13" s="1"/>
  <c r="B125" i="8"/>
  <c r="C125" i="8" s="1"/>
  <c r="B124" i="8"/>
  <c r="C124" i="8" s="1"/>
  <c r="B63" i="8"/>
  <c r="C63" i="8" s="1"/>
  <c r="B62" i="8"/>
  <c r="C62" i="8" s="1"/>
  <c r="B125" i="6"/>
  <c r="C125" i="6" s="1"/>
  <c r="B124" i="6"/>
  <c r="C124" i="6" s="1"/>
  <c r="B63" i="6"/>
  <c r="C63" i="6" s="1"/>
  <c r="B62" i="6"/>
  <c r="C62" i="6" s="1"/>
  <c r="B63" i="4"/>
  <c r="C63" i="4" s="1"/>
  <c r="B62" i="4"/>
  <c r="C62" i="4" s="1"/>
  <c r="B125" i="2"/>
  <c r="C125" i="2" s="1"/>
  <c r="B124" i="2"/>
  <c r="C124" i="2" s="1"/>
  <c r="B125" i="1"/>
  <c r="C125" i="1" s="1"/>
  <c r="B124" i="1"/>
  <c r="C124" i="1" s="1"/>
  <c r="K31" i="1"/>
  <c r="K32" i="1"/>
  <c r="B30" i="1" l="1"/>
  <c r="C30" i="1" s="1"/>
  <c r="L32" i="1"/>
  <c r="L31" i="1"/>
  <c r="B32" i="1" s="1"/>
  <c r="C32" i="1" s="1"/>
  <c r="B31" i="1" l="1"/>
  <c r="C31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<sst xmlns="http://schemas.openxmlformats.org/spreadsheetml/2006/main" count="5146" uniqueCount="31">
  <si>
    <t>Scenario</t>
  </si>
  <si>
    <t>Volume</t>
  </si>
  <si>
    <t>Herhalingstijd</t>
  </si>
  <si>
    <t>Ov.Freq</t>
  </si>
  <si>
    <t>Zichtjaar</t>
  </si>
  <si>
    <t>corner</t>
  </si>
  <si>
    <t>lower</t>
  </si>
  <si>
    <t>center</t>
  </si>
  <si>
    <t>upper</t>
  </si>
  <si>
    <t>GL</t>
  </si>
  <si>
    <t>WL</t>
  </si>
  <si>
    <t>GH</t>
  </si>
  <si>
    <t>WH</t>
  </si>
  <si>
    <t>Bovengrens</t>
  </si>
  <si>
    <t>DUUR</t>
  </si>
  <si>
    <t>KANS</t>
  </si>
  <si>
    <t>KANSCORR</t>
  </si>
  <si>
    <t>KLIMAATSCENARIO</t>
  </si>
  <si>
    <t>SEIZOEN</t>
  </si>
  <si>
    <t>winter</t>
  </si>
  <si>
    <t>USE</t>
  </si>
  <si>
    <t>zomer</t>
  </si>
  <si>
    <t>VOLUME</t>
  </si>
  <si>
    <t>STOWA2019_HUIDIG</t>
  </si>
  <si>
    <t>STOWA2019_2030_CENTER</t>
  </si>
  <si>
    <t>STOWA2019_2030_UPPER</t>
  </si>
  <si>
    <t>STOWA2019_2030_LOWER</t>
  </si>
  <si>
    <t>STOWA2019_2050GL_CENTER</t>
  </si>
  <si>
    <t>STOWA2019_2050GH_CENTER</t>
  </si>
  <si>
    <t>STOWA2019_2050WL_CENTER</t>
  </si>
  <si>
    <t>STOWA2019_2050WH_CENTER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</si>
</sst>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worksheet" Target="worksheets/sheet17.xml"/><Relationship Id="rId3" Type="http://schemas.openxmlformats.org/officeDocument/2006/relationships/worksheet" Target="worksheets/sheet2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worksheet" Target="worksheets/sheet16.xml"/><Relationship Id="rId2" Type="http://schemas.openxmlformats.org/officeDocument/2006/relationships/chartsheet" Target="chartsheets/sheet1.xml"/><Relationship Id="rId16" Type="http://schemas.openxmlformats.org/officeDocument/2006/relationships/worksheet" Target="worksheets/sheet15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24" Type="http://schemas.microsoft.com/office/2006/relationships/vbaProject" Target="vbaProject.bin"/><Relationship Id="rId5" Type="http://schemas.openxmlformats.org/officeDocument/2006/relationships/worksheet" Target="worksheets/sheet4.xml"/><Relationship Id="rId15" Type="http://schemas.openxmlformats.org/officeDocument/2006/relationships/worksheet" Target="worksheets/sheet14.xml"/><Relationship Id="rId23" Type="http://schemas.openxmlformats.org/officeDocument/2006/relationships/calcChain" Target="calcChain.xml"/><Relationship Id="rId10" Type="http://schemas.openxmlformats.org/officeDocument/2006/relationships/worksheet" Target="worksheets/sheet9.xml"/><Relationship Id="rId19" Type="http://schemas.openxmlformats.org/officeDocument/2006/relationships/theme" Target="theme/theme1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Relationship Id="rId22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 sz="2000"/>
              <a:t>24  uur, zomer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'2014 jaarrond'!$H$1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'2014 jaarrond'!$K$2:$K$31</c:f>
              <c:numCache>
                <c:formatCode>General</c:formatCode>
                <c:ptCount val="30"/>
                <c:pt idx="0">
                  <c:v>6.7554707557999943E-2</c:v>
                </c:pt>
                <c:pt idx="1">
                  <c:v>9.7349782996224654E-2</c:v>
                </c:pt>
                <c:pt idx="2">
                  <c:v>0.19212626160207871</c:v>
                </c:pt>
                <c:pt idx="3">
                  <c:v>0.3577490949484286</c:v>
                </c:pt>
                <c:pt idx="4">
                  <c:v>0.6342908507456485</c:v>
                </c:pt>
                <c:pt idx="5">
                  <c:v>1.0783579040676472</c:v>
                </c:pt>
                <c:pt idx="6">
                  <c:v>1.7685041126014305</c:v>
                </c:pt>
                <c:pt idx="7">
                  <c:v>2.8102976133714779</c:v>
                </c:pt>
                <c:pt idx="8">
                  <c:v>4.3435569146961592</c:v>
                </c:pt>
                <c:pt idx="9">
                  <c:v>6.5501672310607457</c:v>
                </c:pt>
                <c:pt idx="10">
                  <c:v>9.6629484089408866</c:v>
                </c:pt>
                <c:pt idx="11">
                  <c:v>13.976488439118112</c:v>
                </c:pt>
                <c:pt idx="12">
                  <c:v>19.857781648529802</c:v>
                </c:pt>
                <c:pt idx="13">
                  <c:v>27.76112932598123</c:v>
                </c:pt>
                <c:pt idx="14">
                  <c:v>38.241213534055838</c:v>
                </c:pt>
                <c:pt idx="15">
                  <c:v>51.969862887065169</c:v>
                </c:pt>
                <c:pt idx="16">
                  <c:v>69.755863029448577</c:v>
                </c:pt>
                <c:pt idx="17">
                  <c:v>92.56165275335286</c:v>
                </c:pt>
                <c:pt idx="18">
                  <c:v>121.52886009251968</c:v>
                </c:pt>
                <c:pt idx="19">
                  <c:v>158.00035893404382</c:v>
                </c:pt>
                <c:pt idx="20">
                  <c:v>203.5484849188102</c:v>
                </c:pt>
                <c:pt idx="21">
                  <c:v>259.99789919090267</c:v>
                </c:pt>
                <c:pt idx="22">
                  <c:v>329.46451529521158</c:v>
                </c:pt>
                <c:pt idx="23">
                  <c:v>414.38117821605846</c:v>
                </c:pt>
                <c:pt idx="24">
                  <c:v>517.54512801657881</c:v>
                </c:pt>
                <c:pt idx="25">
                  <c:v>642.1420307315525</c:v>
                </c:pt>
                <c:pt idx="26">
                  <c:v>791.79691398143643</c:v>
                </c:pt>
                <c:pt idx="27">
                  <c:v>970.61641596211564</c:v>
                </c:pt>
                <c:pt idx="28">
                  <c:v>1183.2363313595829</c:v>
                </c:pt>
                <c:pt idx="29">
                  <c:v>1434.8651089204716</c:v>
                </c:pt>
              </c:numCache>
            </c:numRef>
          </c:xVal>
          <c:yVal>
            <c:numRef>
              <c:f>'2014 jaarrond'!$G$2:$G$31</c:f>
              <c:numCache>
                <c:formatCode>General</c:formatCode>
                <c:ptCount val="30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  <c:pt idx="13">
                  <c:v>75</c:v>
                </c:pt>
                <c:pt idx="14">
                  <c:v>80</c:v>
                </c:pt>
                <c:pt idx="15">
                  <c:v>85</c:v>
                </c:pt>
                <c:pt idx="16">
                  <c:v>90</c:v>
                </c:pt>
                <c:pt idx="17">
                  <c:v>95</c:v>
                </c:pt>
                <c:pt idx="18">
                  <c:v>100</c:v>
                </c:pt>
                <c:pt idx="19">
                  <c:v>105</c:v>
                </c:pt>
                <c:pt idx="20">
                  <c:v>110</c:v>
                </c:pt>
                <c:pt idx="21">
                  <c:v>115</c:v>
                </c:pt>
                <c:pt idx="22">
                  <c:v>120</c:v>
                </c:pt>
                <c:pt idx="23">
                  <c:v>125</c:v>
                </c:pt>
                <c:pt idx="24">
                  <c:v>130</c:v>
                </c:pt>
                <c:pt idx="25">
                  <c:v>135</c:v>
                </c:pt>
                <c:pt idx="26">
                  <c:v>140</c:v>
                </c:pt>
                <c:pt idx="27">
                  <c:v>145</c:v>
                </c:pt>
                <c:pt idx="28">
                  <c:v>150</c:v>
                </c:pt>
                <c:pt idx="29">
                  <c:v>155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29B-4581-ADC2-6BD28A8CBD92}"/>
            </c:ext>
          </c:extLst>
        </c:ser>
        <c:ser>
          <c:idx val="1"/>
          <c:order val="1"/>
          <c:tx>
            <c:v>2030 center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'2030 JAAR center'!$K$2:$K$31</c:f>
              <c:numCache>
                <c:formatCode>General</c:formatCode>
                <c:ptCount val="30"/>
                <c:pt idx="0">
                  <c:v>6.6496191472509014E-2</c:v>
                </c:pt>
                <c:pt idx="1">
                  <c:v>9.425340258846468E-2</c:v>
                </c:pt>
                <c:pt idx="2">
                  <c:v>0.18104808530285235</c:v>
                </c:pt>
                <c:pt idx="3">
                  <c:v>0.32988200144645863</c:v>
                </c:pt>
                <c:pt idx="4">
                  <c:v>0.57442564195166057</c:v>
                </c:pt>
                <c:pt idx="5">
                  <c:v>0.9618827007810814</c:v>
                </c:pt>
                <c:pt idx="6">
                  <c:v>1.5566039976542478</c:v>
                </c:pt>
                <c:pt idx="7">
                  <c:v>2.4452823157062036</c:v>
                </c:pt>
                <c:pt idx="8">
                  <c:v>3.7412200601471772</c:v>
                </c:pt>
                <c:pt idx="9">
                  <c:v>5.5911478381446704</c:v>
                </c:pt>
                <c:pt idx="10">
                  <c:v>8.1818145609126898</c:v>
                </c:pt>
                <c:pt idx="11">
                  <c:v>11.748207842416555</c:v>
                </c:pt>
                <c:pt idx="12">
                  <c:v>16.582321890271945</c:v>
                </c:pt>
                <c:pt idx="13">
                  <c:v>23.043261626968217</c:v>
                </c:pt>
                <c:pt idx="14">
                  <c:v>31.568465927853463</c:v>
                </c:pt>
                <c:pt idx="15">
                  <c:v>42.68579706527153</c:v>
                </c:pt>
                <c:pt idx="16">
                  <c:v>57.02877195687482</c:v>
                </c:pt>
                <c:pt idx="17">
                  <c:v>75.349056177042456</c:v>
                </c:pt>
                <c:pt idx="18">
                  <c:v>98.535930702245068</c:v>
                </c:pt>
                <c:pt idx="19">
                  <c:v>127.63284870679009</c:v>
                </c:pt>
                <c:pt idx="20">
                  <c:v>163.85879889918888</c:v>
                </c:pt>
                <c:pt idx="21">
                  <c:v>208.62524866973993</c:v>
                </c:pt>
                <c:pt idx="22">
                  <c:v>263.56580726277491</c:v>
                </c:pt>
                <c:pt idx="23">
                  <c:v>330.55727904575463</c:v>
                </c:pt>
                <c:pt idx="24">
                  <c:v>411.74512089420392</c:v>
                </c:pt>
                <c:pt idx="25">
                  <c:v>509.58217217897129</c:v>
                </c:pt>
                <c:pt idx="26">
                  <c:v>626.84582263809295</c:v>
                </c:pt>
                <c:pt idx="27">
                  <c:v>766.6802412618232</c:v>
                </c:pt>
                <c:pt idx="28">
                  <c:v>932.62977838093343</c:v>
                </c:pt>
                <c:pt idx="29">
                  <c:v>1128.6710776211191</c:v>
                </c:pt>
              </c:numCache>
            </c:numRef>
          </c:xVal>
          <c:yVal>
            <c:numRef>
              <c:f>'2030 JAAR center'!$G$2:$G$31</c:f>
              <c:numCache>
                <c:formatCode>General</c:formatCode>
                <c:ptCount val="30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  <c:pt idx="13">
                  <c:v>75</c:v>
                </c:pt>
                <c:pt idx="14">
                  <c:v>80</c:v>
                </c:pt>
                <c:pt idx="15">
                  <c:v>85</c:v>
                </c:pt>
                <c:pt idx="16">
                  <c:v>90</c:v>
                </c:pt>
                <c:pt idx="17">
                  <c:v>95</c:v>
                </c:pt>
                <c:pt idx="18">
                  <c:v>100</c:v>
                </c:pt>
                <c:pt idx="19">
                  <c:v>105</c:v>
                </c:pt>
                <c:pt idx="20">
                  <c:v>110</c:v>
                </c:pt>
                <c:pt idx="21">
                  <c:v>115</c:v>
                </c:pt>
                <c:pt idx="22">
                  <c:v>120</c:v>
                </c:pt>
                <c:pt idx="23">
                  <c:v>125</c:v>
                </c:pt>
                <c:pt idx="24">
                  <c:v>130</c:v>
                </c:pt>
                <c:pt idx="25">
                  <c:v>135</c:v>
                </c:pt>
                <c:pt idx="26">
                  <c:v>140</c:v>
                </c:pt>
                <c:pt idx="27">
                  <c:v>145</c:v>
                </c:pt>
                <c:pt idx="28">
                  <c:v>150</c:v>
                </c:pt>
                <c:pt idx="29">
                  <c:v>155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29B-4581-ADC2-6BD28A8CBD92}"/>
            </c:ext>
          </c:extLst>
        </c:ser>
        <c:ser>
          <c:idx val="2"/>
          <c:order val="2"/>
          <c:tx>
            <c:v>2050 GH center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'2050GH JAAR center'!$K$2:$K$31</c:f>
              <c:numCache>
                <c:formatCode>General</c:formatCode>
                <c:ptCount val="30"/>
                <c:pt idx="0">
                  <c:v>6.4260348349620119E-2</c:v>
                </c:pt>
                <c:pt idx="1">
                  <c:v>9.1232878850479773E-2</c:v>
                </c:pt>
                <c:pt idx="2">
                  <c:v>0.17566134777137202</c:v>
                </c:pt>
                <c:pt idx="3">
                  <c:v>0.3205854400431577</c:v>
                </c:pt>
                <c:pt idx="4">
                  <c:v>0.55892124741875493</c:v>
                </c:pt>
                <c:pt idx="5">
                  <c:v>0.93684321057155096</c:v>
                </c:pt>
                <c:pt idx="6">
                  <c:v>1.5172906698722248</c:v>
                </c:pt>
                <c:pt idx="7">
                  <c:v>2.3851533489969503</c:v>
                </c:pt>
                <c:pt idx="8">
                  <c:v>3.6513864646424636</c:v>
                </c:pt>
                <c:pt idx="9">
                  <c:v>5.4597336457630457</c:v>
                </c:pt>
                <c:pt idx="10">
                  <c:v>7.9932031166283206</c:v>
                </c:pt>
                <c:pt idx="11">
                  <c:v>11.482141749246118</c:v>
                </c:pt>
                <c:pt idx="12">
                  <c:v>16.212853237060898</c:v>
                </c:pt>
                <c:pt idx="13">
                  <c:v>22.537529459749553</c:v>
                </c:pt>
                <c:pt idx="14">
                  <c:v>30.885284109378603</c:v>
                </c:pt>
                <c:pt idx="15">
                  <c:v>41.774038978266461</c:v>
                </c:pt>
                <c:pt idx="16">
                  <c:v>55.825504288785758</c:v>
                </c:pt>
                <c:pt idx="17">
                  <c:v>73.777462868068952</c:v>
                </c:pt>
                <c:pt idx="18">
                  <c:v>96.502922231721271</c:v>
                </c:pt>
                <c:pt idx="19">
                  <c:v>125.02639998999589</c:v>
                </c:pt>
                <c:pt idx="20">
                  <c:v>160.54494552124041</c:v>
                </c:pt>
                <c:pt idx="21">
                  <c:v>204.44480009673069</c:v>
                </c:pt>
                <c:pt idx="22">
                  <c:v>258.33060092716568</c:v>
                </c:pt>
                <c:pt idx="23">
                  <c:v>324.04609144610237</c:v>
                </c:pt>
                <c:pt idx="24">
                  <c:v>403.69917135286505</c:v>
                </c:pt>
                <c:pt idx="25">
                  <c:v>499.70004384518211</c:v>
                </c:pt>
                <c:pt idx="26">
                  <c:v>614.77807891144857</c:v>
                </c:pt>
                <c:pt idx="27">
                  <c:v>752.02340665205941</c:v>
                </c:pt>
                <c:pt idx="28">
                  <c:v>914.91979632694029</c:v>
                </c:pt>
                <c:pt idx="29">
                  <c:v>1107.3762556463905</c:v>
                </c:pt>
              </c:numCache>
            </c:numRef>
          </c:xVal>
          <c:yVal>
            <c:numRef>
              <c:f>'2050GH JAAR center'!$G$2:$G$31</c:f>
              <c:numCache>
                <c:formatCode>General</c:formatCode>
                <c:ptCount val="30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  <c:pt idx="13">
                  <c:v>75</c:v>
                </c:pt>
                <c:pt idx="14">
                  <c:v>80</c:v>
                </c:pt>
                <c:pt idx="15">
                  <c:v>85</c:v>
                </c:pt>
                <c:pt idx="16">
                  <c:v>90</c:v>
                </c:pt>
                <c:pt idx="17">
                  <c:v>95</c:v>
                </c:pt>
                <c:pt idx="18">
                  <c:v>100</c:v>
                </c:pt>
                <c:pt idx="19">
                  <c:v>105</c:v>
                </c:pt>
                <c:pt idx="20">
                  <c:v>110</c:v>
                </c:pt>
                <c:pt idx="21">
                  <c:v>115</c:v>
                </c:pt>
                <c:pt idx="22">
                  <c:v>120</c:v>
                </c:pt>
                <c:pt idx="23">
                  <c:v>125</c:v>
                </c:pt>
                <c:pt idx="24">
                  <c:v>130</c:v>
                </c:pt>
                <c:pt idx="25">
                  <c:v>135</c:v>
                </c:pt>
                <c:pt idx="26">
                  <c:v>140</c:v>
                </c:pt>
                <c:pt idx="27">
                  <c:v>145</c:v>
                </c:pt>
                <c:pt idx="28">
                  <c:v>150</c:v>
                </c:pt>
                <c:pt idx="29">
                  <c:v>155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29B-4581-ADC2-6BD28A8CBD92}"/>
            </c:ext>
          </c:extLst>
        </c:ser>
        <c:ser>
          <c:idx val="3"/>
          <c:order val="3"/>
          <c:tx>
            <c:v>2050 GL center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'2050GL JAAR center'!$K$2:$K$31</c:f>
              <c:numCache>
                <c:formatCode>General</c:formatCode>
                <c:ptCount val="30"/>
                <c:pt idx="0">
                  <c:v>6.5194412228586809E-2</c:v>
                </c:pt>
                <c:pt idx="1">
                  <c:v>9.2610566188864457E-2</c:v>
                </c:pt>
                <c:pt idx="2">
                  <c:v>0.17850594683947954</c:v>
                </c:pt>
                <c:pt idx="3">
                  <c:v>0.32609276768554568</c:v>
                </c:pt>
                <c:pt idx="4">
                  <c:v>0.56900894683029402</c:v>
                </c:pt>
                <c:pt idx="5">
                  <c:v>0.95447008144654577</c:v>
                </c:pt>
                <c:pt idx="6">
                  <c:v>1.5468884051811391</c:v>
                </c:pt>
                <c:pt idx="7">
                  <c:v>2.4330729210685602</c:v>
                </c:pt>
                <c:pt idx="8">
                  <c:v>3.726698454349227</c:v>
                </c:pt>
                <c:pt idx="9">
                  <c:v>5.574958983992544</c:v>
                </c:pt>
                <c:pt idx="10">
                  <c:v>8.1653396486833945</c:v>
                </c:pt>
                <c:pt idx="11">
                  <c:v>11.733886517248427</c:v>
                </c:pt>
                <c:pt idx="12">
                  <c:v>16.574053531931764</c:v>
                </c:pt>
                <c:pt idx="13">
                  <c:v>23.046903862644797</c:v>
                </c:pt>
                <c:pt idx="14">
                  <c:v>31.592443540846823</c:v>
                </c:pt>
                <c:pt idx="15">
                  <c:v>42.741827775091906</c:v>
                </c:pt>
                <c:pt idx="16">
                  <c:v>57.132768200960669</c:v>
                </c:pt>
                <c:pt idx="17">
                  <c:v>75.522123960370763</c:v>
                </c:pt>
                <c:pt idx="18">
                  <c:v>98.80561290819017</c:v>
                </c:pt>
                <c:pt idx="19">
                  <c:v>128.03550893156566</c:v>
                </c:pt>
                <c:pt idx="20">
                  <c:v>164.43735897843464</c:v>
                </c:pt>
                <c:pt idx="21">
                  <c:v>209.43686557865726</c:v>
                </c:pt>
                <c:pt idx="22">
                  <c:v>264.68015969151213</c:v>
                </c:pt>
                <c:pt idx="23">
                  <c:v>332.05995050125722</c:v>
                </c:pt>
                <c:pt idx="24">
                  <c:v>413.74286543691204</c:v>
                </c:pt>
                <c:pt idx="25">
                  <c:v>512.1958230085188</c:v>
                </c:pt>
                <c:pt idx="26">
                  <c:v>630.22909276796395</c:v>
                </c:pt>
                <c:pt idx="27">
                  <c:v>771.01328521080416</c:v>
                </c:pt>
                <c:pt idx="28">
                  <c:v>938.12605634197621</c:v>
                </c:pt>
                <c:pt idx="29">
                  <c:v>1135.5819655991802</c:v>
                </c:pt>
              </c:numCache>
            </c:numRef>
          </c:xVal>
          <c:yVal>
            <c:numRef>
              <c:f>'2050GL JAAR center'!$G$2:$G$31</c:f>
              <c:numCache>
                <c:formatCode>General</c:formatCode>
                <c:ptCount val="30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  <c:pt idx="13">
                  <c:v>75</c:v>
                </c:pt>
                <c:pt idx="14">
                  <c:v>80</c:v>
                </c:pt>
                <c:pt idx="15">
                  <c:v>85</c:v>
                </c:pt>
                <c:pt idx="16">
                  <c:v>90</c:v>
                </c:pt>
                <c:pt idx="17">
                  <c:v>95</c:v>
                </c:pt>
                <c:pt idx="18">
                  <c:v>100</c:v>
                </c:pt>
                <c:pt idx="19">
                  <c:v>105</c:v>
                </c:pt>
                <c:pt idx="20">
                  <c:v>110</c:v>
                </c:pt>
                <c:pt idx="21">
                  <c:v>115</c:v>
                </c:pt>
                <c:pt idx="22">
                  <c:v>120</c:v>
                </c:pt>
                <c:pt idx="23">
                  <c:v>125</c:v>
                </c:pt>
                <c:pt idx="24">
                  <c:v>130</c:v>
                </c:pt>
                <c:pt idx="25">
                  <c:v>135</c:v>
                </c:pt>
                <c:pt idx="26">
                  <c:v>140</c:v>
                </c:pt>
                <c:pt idx="27">
                  <c:v>145</c:v>
                </c:pt>
                <c:pt idx="28">
                  <c:v>150</c:v>
                </c:pt>
                <c:pt idx="29">
                  <c:v>155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29B-4581-ADC2-6BD28A8CBD92}"/>
            </c:ext>
          </c:extLst>
        </c:ser>
        <c:ser>
          <c:idx val="4"/>
          <c:order val="4"/>
          <c:tx>
            <c:v>2050 WH center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'2050WH JAAR center'!$K$2:$K$31</c:f>
              <c:numCache>
                <c:formatCode>General</c:formatCode>
                <c:ptCount val="30"/>
                <c:pt idx="0">
                  <c:v>6.1565512112955863E-2</c:v>
                </c:pt>
                <c:pt idx="1">
                  <c:v>8.6907925136509953E-2</c:v>
                </c:pt>
                <c:pt idx="2">
                  <c:v>0.16568129742810109</c:v>
                </c:pt>
                <c:pt idx="3">
                  <c:v>0.29988809010933071</c:v>
                </c:pt>
                <c:pt idx="4">
                  <c:v>0.51919079835387849</c:v>
                </c:pt>
                <c:pt idx="5">
                  <c:v>0.86500623431987222</c:v>
                </c:pt>
                <c:pt idx="6">
                  <c:v>1.3936373811149783</c:v>
                </c:pt>
                <c:pt idx="7">
                  <c:v>2.1806835429440139</c:v>
                </c:pt>
                <c:pt idx="8">
                  <c:v>3.324757556618573</c:v>
                </c:pt>
                <c:pt idx="9">
                  <c:v>4.953264298261943</c:v>
                </c:pt>
                <c:pt idx="10">
                  <c:v>7.2281295322974035</c:v>
                </c:pt>
                <c:pt idx="11">
                  <c:v>10.352503629364186</c:v>
                </c:pt>
                <c:pt idx="12">
                  <c:v>14.578674338941886</c:v>
                </c:pt>
                <c:pt idx="13">
                  <c:v>20.216403185791702</c:v>
                </c:pt>
                <c:pt idx="14">
                  <c:v>27.642286745327997</c:v>
                </c:pt>
                <c:pt idx="15">
                  <c:v>37.311345251227209</c:v>
                </c:pt>
                <c:pt idx="16">
                  <c:v>49.766911967110602</c:v>
                </c:pt>
                <c:pt idx="17">
                  <c:v>65.656031909048295</c:v>
                </c:pt>
                <c:pt idx="18">
                  <c:v>85.740426010600757</c:v>
                </c:pt>
                <c:pt idx="19">
                  <c:v>110.91502179555633</c:v>
                </c:pt>
                <c:pt idx="20">
                  <c:v>142.22297690187548</c:v>
                </c:pt>
                <c:pt idx="21">
                  <c:v>180.87431051750158</c:v>
                </c:pt>
                <c:pt idx="22">
                  <c:v>228.26561684918371</c:v>
                </c:pt>
                <c:pt idx="23">
                  <c:v>286.00133938672548</c:v>
                </c:pt>
                <c:pt idx="24">
                  <c:v>355.91667276561151</c:v>
                </c:pt>
                <c:pt idx="25">
                  <c:v>440.10215961962081</c:v>
                </c:pt>
                <c:pt idx="26">
                  <c:v>540.93005038893568</c:v>
                </c:pt>
                <c:pt idx="27">
                  <c:v>661.08249460891761</c:v>
                </c:pt>
                <c:pt idx="28">
                  <c:v>803.57745213763258</c:v>
                </c:pt>
                <c:pt idx="29">
                  <c:v>971.81700269907344</c:v>
                </c:pt>
              </c:numCache>
            </c:numRef>
          </c:xVal>
          <c:yVal>
            <c:numRef>
              <c:f>'2050WH JAAR center'!$G$2:$G$31</c:f>
              <c:numCache>
                <c:formatCode>General</c:formatCode>
                <c:ptCount val="30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  <c:pt idx="13">
                  <c:v>75</c:v>
                </c:pt>
                <c:pt idx="14">
                  <c:v>80</c:v>
                </c:pt>
                <c:pt idx="15">
                  <c:v>85</c:v>
                </c:pt>
                <c:pt idx="16">
                  <c:v>90</c:v>
                </c:pt>
                <c:pt idx="17">
                  <c:v>95</c:v>
                </c:pt>
                <c:pt idx="18">
                  <c:v>100</c:v>
                </c:pt>
                <c:pt idx="19">
                  <c:v>105</c:v>
                </c:pt>
                <c:pt idx="20">
                  <c:v>110</c:v>
                </c:pt>
                <c:pt idx="21">
                  <c:v>115</c:v>
                </c:pt>
                <c:pt idx="22">
                  <c:v>120</c:v>
                </c:pt>
                <c:pt idx="23">
                  <c:v>125</c:v>
                </c:pt>
                <c:pt idx="24">
                  <c:v>130</c:v>
                </c:pt>
                <c:pt idx="25">
                  <c:v>135</c:v>
                </c:pt>
                <c:pt idx="26">
                  <c:v>140</c:v>
                </c:pt>
                <c:pt idx="27">
                  <c:v>145</c:v>
                </c:pt>
                <c:pt idx="28">
                  <c:v>150</c:v>
                </c:pt>
                <c:pt idx="29">
                  <c:v>155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29B-4581-ADC2-6BD28A8CBD92}"/>
            </c:ext>
          </c:extLst>
        </c:ser>
        <c:ser>
          <c:idx val="5"/>
          <c:order val="5"/>
          <c:tx>
            <c:v>2050 WL center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'2050WL JAAR center'!$K$2:$K$31</c:f>
              <c:numCache>
                <c:formatCode>General</c:formatCode>
                <c:ptCount val="30"/>
                <c:pt idx="0">
                  <c:v>6.1625673478569259E-2</c:v>
                </c:pt>
                <c:pt idx="1">
                  <c:v>8.5785758635209181E-2</c:v>
                </c:pt>
                <c:pt idx="2">
                  <c:v>0.15983302872175451</c:v>
                </c:pt>
                <c:pt idx="3">
                  <c:v>0.28401522196986773</c:v>
                </c:pt>
                <c:pt idx="4">
                  <c:v>0.48420590421434756</c:v>
                </c:pt>
                <c:pt idx="5">
                  <c:v>0.79625863232353711</c:v>
                </c:pt>
                <c:pt idx="6">
                  <c:v>1.2684520166169775</c:v>
                </c:pt>
                <c:pt idx="7">
                  <c:v>1.9652359471629852</c:v>
                </c:pt>
                <c:pt idx="8">
                  <c:v>2.9701772434035925</c:v>
                </c:pt>
                <c:pt idx="9">
                  <c:v>4.3906436478140751</c:v>
                </c:pt>
                <c:pt idx="10">
                  <c:v>6.3624508100222457</c:v>
                </c:pt>
                <c:pt idx="11">
                  <c:v>9.0552580974115049</c:v>
                </c:pt>
                <c:pt idx="12">
                  <c:v>12.67895166181145</c:v>
                </c:pt>
                <c:pt idx="13">
                  <c:v>17.49032067510359</c:v>
                </c:pt>
                <c:pt idx="14">
                  <c:v>23.800544763783286</c:v>
                </c:pt>
                <c:pt idx="15">
                  <c:v>31.984526643153512</c:v>
                </c:pt>
                <c:pt idx="16">
                  <c:v>42.488664858876326</c:v>
                </c:pt>
                <c:pt idx="17">
                  <c:v>55.843299770081387</c:v>
                </c:pt>
                <c:pt idx="18">
                  <c:v>72.671227270000372</c:v>
                </c:pt>
                <c:pt idx="19">
                  <c:v>93.702643945183922</c:v>
                </c:pt>
                <c:pt idx="20">
                  <c:v>119.78695516650239</c:v>
                </c:pt>
                <c:pt idx="21">
                  <c:v>151.90758249356611</c:v>
                </c:pt>
                <c:pt idx="22">
                  <c:v>191.197584073841</c:v>
                </c:pt>
                <c:pt idx="23">
                  <c:v>238.95649517284423</c:v>
                </c:pt>
                <c:pt idx="24">
                  <c:v>296.66844033264942</c:v>
                </c:pt>
                <c:pt idx="25">
                  <c:v>366.02156910127377</c:v>
                </c:pt>
                <c:pt idx="26">
                  <c:v>448.9288677095916</c:v>
                </c:pt>
                <c:pt idx="27">
                  <c:v>547.5503994959405</c:v>
                </c:pt>
                <c:pt idx="28">
                  <c:v>664.31343934680001</c:v>
                </c:pt>
                <c:pt idx="29">
                  <c:v>801.95167855518207</c:v>
                </c:pt>
              </c:numCache>
            </c:numRef>
          </c:xVal>
          <c:yVal>
            <c:numRef>
              <c:f>'2050WL JAAR center'!$G$2:$G$31</c:f>
              <c:numCache>
                <c:formatCode>General</c:formatCode>
                <c:ptCount val="30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  <c:pt idx="13">
                  <c:v>75</c:v>
                </c:pt>
                <c:pt idx="14">
                  <c:v>80</c:v>
                </c:pt>
                <c:pt idx="15">
                  <c:v>85</c:v>
                </c:pt>
                <c:pt idx="16">
                  <c:v>90</c:v>
                </c:pt>
                <c:pt idx="17">
                  <c:v>95</c:v>
                </c:pt>
                <c:pt idx="18">
                  <c:v>100</c:v>
                </c:pt>
                <c:pt idx="19">
                  <c:v>105</c:v>
                </c:pt>
                <c:pt idx="20">
                  <c:v>110</c:v>
                </c:pt>
                <c:pt idx="21">
                  <c:v>115</c:v>
                </c:pt>
                <c:pt idx="22">
                  <c:v>120</c:v>
                </c:pt>
                <c:pt idx="23">
                  <c:v>125</c:v>
                </c:pt>
                <c:pt idx="24">
                  <c:v>130</c:v>
                </c:pt>
                <c:pt idx="25">
                  <c:v>135</c:v>
                </c:pt>
                <c:pt idx="26">
                  <c:v>140</c:v>
                </c:pt>
                <c:pt idx="27">
                  <c:v>145</c:v>
                </c:pt>
                <c:pt idx="28">
                  <c:v>150</c:v>
                </c:pt>
                <c:pt idx="29">
                  <c:v>155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29B-4581-ADC2-6BD28A8CBD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6333248"/>
        <c:axId val="626333576"/>
      </c:scatterChart>
      <c:valAx>
        <c:axId val="626333248"/>
        <c:scaling>
          <c:logBase val="10"/>
          <c:orientation val="minMax"/>
          <c:max val="1000"/>
          <c:min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100"/>
                  <a:t>Herhalingstijd (jaren)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26333576"/>
        <c:crosses val="autoZero"/>
        <c:crossBetween val="midCat"/>
      </c:valAx>
      <c:valAx>
        <c:axId val="626333576"/>
        <c:scaling>
          <c:orientation val="minMax"/>
          <c:max val="1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200"/>
                  <a:t>Volume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26333248"/>
        <c:crossesAt val="0.1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C560028-6850-4B45-A333-07433B41CA0A}">
  <sheetPr codeName="Grafiek1"/>
  <sheetViews>
    <sheetView zoomScale="84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89143" cy="6059714"/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952500</xdr:colOff>
          <xdr:row>3</xdr:row>
          <xdr:rowOff>0</xdr:rowOff>
        </xdr:from>
        <xdr:to>
          <xdr:col>7</xdr:col>
          <xdr:colOff>5128260</xdr:colOff>
          <xdr:row>6</xdr:row>
          <xdr:rowOff>22860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a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8EAAEC-E948-497E-9715-B7D7C0DB8AFD}">
  <sheetPr codeName="Blad17"/>
  <dimension ref="B1:C2"/>
  <sheetViews>
    <sheetView tabSelected="1" workbookViewId="0">
      <selection activeCell="C1" sqref="C1"/>
    </sheetView>
  </sheetViews>
  <sheetFormatPr defaultRowHeight="14.4" x14ac:dyDescent="0.3"/>
  <cols>
    <col min="2" max="2" width="10" bestFit="1" customWidth="1"/>
  </cols>
  <sheetData>
    <row r="1" spans="2:3" x14ac:dyDescent="0.3">
      <c r="B1" cm="1">
        <f t="array" ref="B1">STOWA2024_NDJF_V(480,20,2050,"M","")</f>
        <v>32.861691058609324</v>
      </c>
      <c r="C1" cm="1">
        <f t="array" ref="C1">STOWA2024_JAARROND_V(480,20,2050,"M","")</f>
        <v>61.850602005135755</v>
      </c>
    </row>
    <row r="2" spans="2:3" x14ac:dyDescent="0.3">
      <c r="B2" cm="1">
        <f t="array" ref="B2">STOWA2024_NDJF_T(480,32.861691,2050,"M","")</f>
        <v>20.003111680375007</v>
      </c>
      <c r="C2" cm="1">
        <f t="array" ref="C2">STOWA2024_JAARROND_T(480,61.8506,2050,"M","")</f>
        <v>19.998996674319834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084EC-CBB1-454B-A73E-0D7510D9349B}">
  <sheetPr codeName="Blad1"/>
  <dimension ref="A1:L156"/>
  <sheetViews>
    <sheetView workbookViewId="0">
      <selection activeCell="A15" sqref="A15"/>
    </sheetView>
  </sheetViews>
  <sheetFormatPr defaultRowHeight="14.4" x14ac:dyDescent="0.3"/>
  <cols>
    <col min="1" max="1" width="8" customWidth="1"/>
    <col min="2" max="2" width="10.5546875" bestFit="1" customWidth="1"/>
    <col min="3" max="3" width="12" bestFit="1" customWidth="1"/>
    <col min="4" max="4" width="18.44140625" bestFit="1" customWidth="1"/>
    <col min="5" max="5" width="18.21875" customWidth="1"/>
    <col min="6" max="6" width="4.21875" bestFit="1" customWidth="1"/>
    <col min="7" max="7" width="8" bestFit="1" customWidth="1"/>
    <col min="8" max="8" width="154.44140625" bestFit="1" customWidth="1"/>
    <col min="9" max="9" width="21" customWidth="1"/>
    <col min="10" max="10" width="11.44140625" bestFit="1" customWidth="1"/>
    <col min="11" max="11" width="13.5546875" bestFit="1" customWidth="1"/>
  </cols>
  <sheetData>
    <row r="1" spans="1:12" x14ac:dyDescent="0.3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20</v>
      </c>
      <c r="G1" t="s">
        <v>22</v>
      </c>
      <c r="I1" t="s">
        <v>4</v>
      </c>
      <c r="J1" t="s">
        <v>13</v>
      </c>
      <c r="K1" t="s">
        <v>2</v>
      </c>
      <c r="L1" t="s">
        <v>3</v>
      </c>
    </row>
    <row r="2" spans="1:12" x14ac:dyDescent="0.3">
      <c r="A2">
        <v>24</v>
      </c>
      <c r="B2" s="1">
        <f>365.25*24/A2 - L2</f>
        <v>350.44718260727518</v>
      </c>
      <c r="C2">
        <f>B2</f>
        <v>350.44718260727518</v>
      </c>
      <c r="D2" t="s">
        <v>23</v>
      </c>
      <c r="E2" t="s">
        <v>21</v>
      </c>
      <c r="F2">
        <v>1</v>
      </c>
      <c r="G2">
        <v>10</v>
      </c>
      <c r="I2">
        <v>2014</v>
      </c>
      <c r="J2">
        <f>AVERAGE(G2:G4)</f>
        <v>15</v>
      </c>
      <c r="K2" cm="1">
        <f t="array" ref="K2">STOWA2019_JAARROND_T(A2*60,J2,I2,"","")</f>
        <v>6.7554707557999943E-2</v>
      </c>
      <c r="L2">
        <f>1/K2</f>
        <v>14.802817392724814</v>
      </c>
    </row>
    <row r="3" spans="1:12" x14ac:dyDescent="0.3">
      <c r="A3">
        <v>24</v>
      </c>
      <c r="B3">
        <f t="shared" ref="B3:B7" si="0">L2-L3</f>
        <v>4.5305808327441799</v>
      </c>
      <c r="C3">
        <f t="shared" ref="C3:C156" si="1">B3</f>
        <v>4.5305808327441799</v>
      </c>
      <c r="D3" t="s">
        <v>23</v>
      </c>
      <c r="E3" t="s">
        <v>21</v>
      </c>
      <c r="F3">
        <v>1</v>
      </c>
      <c r="G3">
        <f t="shared" ref="G3:G7" si="2">G2+5</f>
        <v>15</v>
      </c>
      <c r="I3">
        <v>2014</v>
      </c>
      <c r="J3">
        <f t="shared" ref="J3:J7" si="3">AVERAGE(G3:G4)</f>
        <v>17.5</v>
      </c>
      <c r="K3" cm="1">
        <f t="array" ref="K3">STOWA2019_JAARROND_T(A3*60,J3,I3,"","")</f>
        <v>9.7349782996224654E-2</v>
      </c>
      <c r="L3">
        <f t="shared" ref="L3:L7" si="4">1/K3</f>
        <v>10.272236559980634</v>
      </c>
    </row>
    <row r="4" spans="1:12" x14ac:dyDescent="0.3">
      <c r="A4">
        <v>24</v>
      </c>
      <c r="B4">
        <f t="shared" si="0"/>
        <v>5.0673260409223664</v>
      </c>
      <c r="C4">
        <f t="shared" si="1"/>
        <v>5.0673260409223664</v>
      </c>
      <c r="D4" t="s">
        <v>23</v>
      </c>
      <c r="E4" t="s">
        <v>21</v>
      </c>
      <c r="F4">
        <v>1</v>
      </c>
      <c r="G4">
        <f t="shared" si="2"/>
        <v>20</v>
      </c>
      <c r="I4">
        <v>2014</v>
      </c>
      <c r="J4">
        <f t="shared" si="3"/>
        <v>22.5</v>
      </c>
      <c r="K4" cm="1">
        <f t="array" ref="K4">STOWA2019_JAARROND_T(A4*60,J4,I4,"","")</f>
        <v>0.19212626160207871</v>
      </c>
      <c r="L4">
        <f t="shared" si="4"/>
        <v>5.2049105190582674</v>
      </c>
    </row>
    <row r="5" spans="1:12" x14ac:dyDescent="0.3">
      <c r="A5">
        <v>24</v>
      </c>
      <c r="B5">
        <f t="shared" si="0"/>
        <v>2.4096553692327864</v>
      </c>
      <c r="C5">
        <f t="shared" si="1"/>
        <v>2.4096553692327864</v>
      </c>
      <c r="D5" t="s">
        <v>23</v>
      </c>
      <c r="E5" t="s">
        <v>21</v>
      </c>
      <c r="F5">
        <v>1</v>
      </c>
      <c r="G5">
        <f t="shared" si="2"/>
        <v>25</v>
      </c>
      <c r="I5">
        <v>2014</v>
      </c>
      <c r="J5">
        <f t="shared" si="3"/>
        <v>27.5</v>
      </c>
      <c r="K5" cm="1">
        <f t="array" ref="K5">STOWA2019_JAARROND_T(A5*60,J5,I5,"","")</f>
        <v>0.3577490949484286</v>
      </c>
      <c r="L5">
        <f t="shared" si="4"/>
        <v>2.795255149825481</v>
      </c>
    </row>
    <row r="6" spans="1:12" x14ac:dyDescent="0.3">
      <c r="A6">
        <v>24</v>
      </c>
      <c r="B6">
        <f t="shared" si="0"/>
        <v>1.2186913402979787</v>
      </c>
      <c r="C6">
        <f t="shared" si="1"/>
        <v>1.2186913402979787</v>
      </c>
      <c r="D6" t="s">
        <v>23</v>
      </c>
      <c r="E6" t="s">
        <v>21</v>
      </c>
      <c r="F6">
        <v>1</v>
      </c>
      <c r="G6">
        <f t="shared" si="2"/>
        <v>30</v>
      </c>
      <c r="I6">
        <v>2014</v>
      </c>
      <c r="J6">
        <f t="shared" si="3"/>
        <v>32.5</v>
      </c>
      <c r="K6" cm="1">
        <f t="array" ref="K6">STOWA2019_JAARROND_T(A6*60,J6,I6,"","")</f>
        <v>0.6342908507456485</v>
      </c>
      <c r="L6">
        <f t="shared" si="4"/>
        <v>1.5765638095275023</v>
      </c>
    </row>
    <row r="7" spans="1:12" x14ac:dyDescent="0.3">
      <c r="A7">
        <v>24</v>
      </c>
      <c r="B7">
        <f t="shared" si="0"/>
        <v>0.6492279072005247</v>
      </c>
      <c r="C7">
        <f t="shared" si="1"/>
        <v>0.6492279072005247</v>
      </c>
      <c r="D7" t="s">
        <v>23</v>
      </c>
      <c r="E7" t="s">
        <v>21</v>
      </c>
      <c r="F7">
        <v>1</v>
      </c>
      <c r="G7">
        <f t="shared" si="2"/>
        <v>35</v>
      </c>
      <c r="I7">
        <v>2014</v>
      </c>
      <c r="J7">
        <f t="shared" si="3"/>
        <v>37.5</v>
      </c>
      <c r="K7" cm="1">
        <f t="array" ref="K7">STOWA2019_JAARROND_T(A7*60,J7,I7,"","")</f>
        <v>1.0783579040676472</v>
      </c>
      <c r="L7">
        <f t="shared" si="4"/>
        <v>0.9273359023269776</v>
      </c>
    </row>
    <row r="8" spans="1:12" x14ac:dyDescent="0.3">
      <c r="A8">
        <v>24</v>
      </c>
      <c r="B8">
        <f>L7-L8</f>
        <v>0.36188627013527064</v>
      </c>
      <c r="C8">
        <f t="shared" si="1"/>
        <v>0.36188627013527064</v>
      </c>
      <c r="D8" t="s">
        <v>23</v>
      </c>
      <c r="E8" t="s">
        <v>21</v>
      </c>
      <c r="F8">
        <v>1</v>
      </c>
      <c r="G8">
        <f>G7+5</f>
        <v>40</v>
      </c>
      <c r="I8">
        <v>2014</v>
      </c>
      <c r="J8">
        <f>AVERAGE(G8:G9)</f>
        <v>42.5</v>
      </c>
      <c r="K8" cm="1">
        <f t="array" ref="K8">STOWA2019_JAARROND_T(A8*60,J8,I8,"","")</f>
        <v>1.7685041126014305</v>
      </c>
      <c r="L8">
        <f>1/K8</f>
        <v>0.56544963219170696</v>
      </c>
    </row>
    <row r="9" spans="1:12" x14ac:dyDescent="0.3">
      <c r="A9">
        <v>24</v>
      </c>
      <c r="B9">
        <f t="shared" ref="B9:B31" si="5">L8-L9</f>
        <v>0.2096154332648848</v>
      </c>
      <c r="C9">
        <f t="shared" si="1"/>
        <v>0.2096154332648848</v>
      </c>
      <c r="D9" t="s">
        <v>23</v>
      </c>
      <c r="E9" t="s">
        <v>21</v>
      </c>
      <c r="F9">
        <v>1</v>
      </c>
      <c r="G9">
        <f t="shared" ref="G9:G31" si="6">G8+5</f>
        <v>45</v>
      </c>
      <c r="I9">
        <v>2014</v>
      </c>
      <c r="J9">
        <f t="shared" ref="J9:J31" si="7">AVERAGE(G9:G10)</f>
        <v>47.5</v>
      </c>
      <c r="K9" cm="1">
        <f t="array" ref="K9">STOWA2019_JAARROND_T(A9*60,J9,I9,"","")</f>
        <v>2.8102976133714779</v>
      </c>
      <c r="L9">
        <f t="shared" ref="L9:L31" si="8">1/K9</f>
        <v>0.35583419892682217</v>
      </c>
    </row>
    <row r="10" spans="1:12" x14ac:dyDescent="0.3">
      <c r="A10">
        <v>24</v>
      </c>
      <c r="B10">
        <f t="shared" si="5"/>
        <v>0.12560813774259752</v>
      </c>
      <c r="C10">
        <f t="shared" si="1"/>
        <v>0.12560813774259752</v>
      </c>
      <c r="D10" t="s">
        <v>23</v>
      </c>
      <c r="E10" t="s">
        <v>21</v>
      </c>
      <c r="F10">
        <v>1</v>
      </c>
      <c r="G10">
        <f t="shared" si="6"/>
        <v>50</v>
      </c>
      <c r="I10">
        <v>2014</v>
      </c>
      <c r="J10">
        <f t="shared" si="7"/>
        <v>52.5</v>
      </c>
      <c r="K10" cm="1">
        <f t="array" ref="K10">STOWA2019_JAARROND_T(A10*60,J10,I10,"","")</f>
        <v>4.3435569146961592</v>
      </c>
      <c r="L10">
        <f t="shared" si="8"/>
        <v>0.23022606118422465</v>
      </c>
    </row>
    <row r="11" spans="1:12" x14ac:dyDescent="0.3">
      <c r="A11">
        <v>24</v>
      </c>
      <c r="B11">
        <f t="shared" si="5"/>
        <v>7.7558203292288325E-2</v>
      </c>
      <c r="C11">
        <f t="shared" si="1"/>
        <v>7.7558203292288325E-2</v>
      </c>
      <c r="D11" t="s">
        <v>23</v>
      </c>
      <c r="E11" t="s">
        <v>21</v>
      </c>
      <c r="F11">
        <v>1</v>
      </c>
      <c r="G11">
        <f t="shared" si="6"/>
        <v>55</v>
      </c>
      <c r="I11">
        <v>2014</v>
      </c>
      <c r="J11">
        <f t="shared" si="7"/>
        <v>57.5</v>
      </c>
      <c r="K11" cm="1">
        <f t="array" ref="K11">STOWA2019_JAARROND_T(A11*60,J11,I11,"","")</f>
        <v>6.5501672310607457</v>
      </c>
      <c r="L11">
        <f t="shared" si="8"/>
        <v>0.15266785789193632</v>
      </c>
    </row>
    <row r="12" spans="1:12" x14ac:dyDescent="0.3">
      <c r="A12">
        <v>24</v>
      </c>
      <c r="B12">
        <f t="shared" si="5"/>
        <v>4.9179775613164681E-2</v>
      </c>
      <c r="C12">
        <f t="shared" si="1"/>
        <v>4.9179775613164681E-2</v>
      </c>
      <c r="D12" t="s">
        <v>23</v>
      </c>
      <c r="E12" t="s">
        <v>21</v>
      </c>
      <c r="F12">
        <v>1</v>
      </c>
      <c r="G12">
        <f t="shared" si="6"/>
        <v>60</v>
      </c>
      <c r="I12">
        <v>2014</v>
      </c>
      <c r="J12">
        <f t="shared" si="7"/>
        <v>62.5</v>
      </c>
      <c r="K12" cm="1">
        <f t="array" ref="K12">STOWA2019_JAARROND_T(A12*60,J12,I12,"","")</f>
        <v>9.6629484089408866</v>
      </c>
      <c r="L12">
        <f t="shared" si="8"/>
        <v>0.10348808227877164</v>
      </c>
    </row>
    <row r="13" spans="1:12" x14ac:dyDescent="0.3">
      <c r="A13">
        <v>24</v>
      </c>
      <c r="B13">
        <f t="shared" si="5"/>
        <v>3.1939352112677219E-2</v>
      </c>
      <c r="C13">
        <f t="shared" si="1"/>
        <v>3.1939352112677219E-2</v>
      </c>
      <c r="D13" t="s">
        <v>23</v>
      </c>
      <c r="E13" t="s">
        <v>21</v>
      </c>
      <c r="F13">
        <v>1</v>
      </c>
      <c r="G13">
        <f t="shared" si="6"/>
        <v>65</v>
      </c>
      <c r="I13">
        <v>2014</v>
      </c>
      <c r="J13">
        <f t="shared" si="7"/>
        <v>67.5</v>
      </c>
      <c r="K13" cm="1">
        <f t="array" ref="K13">STOWA2019_JAARROND_T(A13*60,J13,I13,"","")</f>
        <v>13.976488439118112</v>
      </c>
      <c r="L13">
        <f t="shared" si="8"/>
        <v>7.1548730166094421E-2</v>
      </c>
    </row>
    <row r="14" spans="1:12" x14ac:dyDescent="0.3">
      <c r="A14">
        <v>24</v>
      </c>
      <c r="B14">
        <f t="shared" si="5"/>
        <v>2.1190637922994526E-2</v>
      </c>
      <c r="C14">
        <f t="shared" si="1"/>
        <v>2.1190637922994526E-2</v>
      </c>
      <c r="D14" t="s">
        <v>23</v>
      </c>
      <c r="E14" t="s">
        <v>21</v>
      </c>
      <c r="F14">
        <v>1</v>
      </c>
      <c r="G14">
        <f t="shared" si="6"/>
        <v>70</v>
      </c>
      <c r="I14">
        <v>2014</v>
      </c>
      <c r="J14">
        <f t="shared" si="7"/>
        <v>72.5</v>
      </c>
      <c r="K14" cm="1">
        <f t="array" ref="K14">STOWA2019_JAARROND_T(A14*60,J14,I14,"","")</f>
        <v>19.857781648529802</v>
      </c>
      <c r="L14">
        <f t="shared" si="8"/>
        <v>5.0358092243099895E-2</v>
      </c>
    </row>
    <row r="15" spans="1:12" x14ac:dyDescent="0.3">
      <c r="A15">
        <v>24</v>
      </c>
      <c r="B15">
        <f t="shared" si="5"/>
        <v>1.4336502910128675E-2</v>
      </c>
      <c r="C15">
        <f t="shared" si="1"/>
        <v>1.4336502910128675E-2</v>
      </c>
      <c r="D15" t="s">
        <v>23</v>
      </c>
      <c r="E15" t="s">
        <v>21</v>
      </c>
      <c r="F15">
        <v>1</v>
      </c>
      <c r="G15">
        <f t="shared" si="6"/>
        <v>75</v>
      </c>
      <c r="I15">
        <v>2014</v>
      </c>
      <c r="J15">
        <f t="shared" si="7"/>
        <v>77.5</v>
      </c>
      <c r="K15" cm="1">
        <f t="array" ref="K15">STOWA2019_JAARROND_T(A15*60,J15,I15,"","")</f>
        <v>27.76112932598123</v>
      </c>
      <c r="L15">
        <f t="shared" si="8"/>
        <v>3.602158933297122E-2</v>
      </c>
    </row>
    <row r="16" spans="1:12" x14ac:dyDescent="0.3">
      <c r="A16">
        <v>24</v>
      </c>
      <c r="B16">
        <f t="shared" si="5"/>
        <v>9.8717915732990068E-3</v>
      </c>
      <c r="C16">
        <f t="shared" si="1"/>
        <v>9.8717915732990068E-3</v>
      </c>
      <c r="D16" t="s">
        <v>23</v>
      </c>
      <c r="E16" t="s">
        <v>21</v>
      </c>
      <c r="F16">
        <v>1</v>
      </c>
      <c r="G16">
        <f t="shared" si="6"/>
        <v>80</v>
      </c>
      <c r="I16">
        <v>2014</v>
      </c>
      <c r="J16">
        <f t="shared" si="7"/>
        <v>82.5</v>
      </c>
      <c r="K16" cm="1">
        <f t="array" ref="K16">STOWA2019_JAARROND_T(A16*60,J16,I16,"","")</f>
        <v>38.241213534055838</v>
      </c>
      <c r="L16">
        <f t="shared" si="8"/>
        <v>2.6149797759672213E-2</v>
      </c>
    </row>
    <row r="17" spans="1:12" x14ac:dyDescent="0.3">
      <c r="A17">
        <v>24</v>
      </c>
      <c r="B17">
        <f t="shared" si="5"/>
        <v>6.9078766837385869E-3</v>
      </c>
      <c r="C17">
        <f t="shared" si="1"/>
        <v>6.9078766837385869E-3</v>
      </c>
      <c r="D17" t="s">
        <v>23</v>
      </c>
      <c r="E17" t="s">
        <v>21</v>
      </c>
      <c r="F17">
        <v>1</v>
      </c>
      <c r="G17">
        <f t="shared" si="6"/>
        <v>85</v>
      </c>
      <c r="I17">
        <v>2014</v>
      </c>
      <c r="J17">
        <f t="shared" si="7"/>
        <v>87.5</v>
      </c>
      <c r="K17" cm="1">
        <f t="array" ref="K17">STOWA2019_JAARROND_T(A17*60,J17,I17,"","")</f>
        <v>51.969862887065169</v>
      </c>
      <c r="L17">
        <f t="shared" si="8"/>
        <v>1.9241921075933626E-2</v>
      </c>
    </row>
    <row r="18" spans="1:12" x14ac:dyDescent="0.3">
      <c r="A18">
        <v>24</v>
      </c>
      <c r="B18">
        <f t="shared" si="5"/>
        <v>4.9062085412348057E-3</v>
      </c>
      <c r="C18">
        <f t="shared" si="1"/>
        <v>4.9062085412348057E-3</v>
      </c>
      <c r="D18" t="s">
        <v>23</v>
      </c>
      <c r="E18" t="s">
        <v>21</v>
      </c>
      <c r="F18">
        <v>1</v>
      </c>
      <c r="G18">
        <f t="shared" si="6"/>
        <v>90</v>
      </c>
      <c r="I18">
        <v>2014</v>
      </c>
      <c r="J18">
        <f t="shared" si="7"/>
        <v>92.5</v>
      </c>
      <c r="K18" cm="1">
        <f t="array" ref="K18">STOWA2019_JAARROND_T(A18*60,J18,I18,"","")</f>
        <v>69.755863029448577</v>
      </c>
      <c r="L18">
        <f t="shared" si="8"/>
        <v>1.433571253469882E-2</v>
      </c>
    </row>
    <row r="19" spans="1:12" x14ac:dyDescent="0.3">
      <c r="A19">
        <v>24</v>
      </c>
      <c r="B19">
        <f t="shared" si="5"/>
        <v>3.5321025055577073E-3</v>
      </c>
      <c r="C19">
        <f t="shared" si="1"/>
        <v>3.5321025055577073E-3</v>
      </c>
      <c r="D19" t="s">
        <v>23</v>
      </c>
      <c r="E19" t="s">
        <v>21</v>
      </c>
      <c r="F19">
        <v>1</v>
      </c>
      <c r="G19">
        <f t="shared" si="6"/>
        <v>95</v>
      </c>
      <c r="I19">
        <v>2014</v>
      </c>
      <c r="J19">
        <f t="shared" si="7"/>
        <v>97.5</v>
      </c>
      <c r="K19" cm="1">
        <f t="array" ref="K19">STOWA2019_JAARROND_T(A19*60,J19,I19,"","")</f>
        <v>92.56165275335286</v>
      </c>
      <c r="L19">
        <f t="shared" si="8"/>
        <v>1.0803610029141113E-2</v>
      </c>
    </row>
    <row r="20" spans="1:12" x14ac:dyDescent="0.3">
      <c r="A20">
        <v>24</v>
      </c>
      <c r="B20">
        <f t="shared" si="5"/>
        <v>2.5751118827855718E-3</v>
      </c>
      <c r="C20">
        <f t="shared" si="1"/>
        <v>2.5751118827855718E-3</v>
      </c>
      <c r="D20" t="s">
        <v>23</v>
      </c>
      <c r="E20" t="s">
        <v>21</v>
      </c>
      <c r="F20">
        <v>1</v>
      </c>
      <c r="G20">
        <f t="shared" si="6"/>
        <v>100</v>
      </c>
      <c r="I20">
        <v>2014</v>
      </c>
      <c r="J20">
        <f t="shared" si="7"/>
        <v>102.5</v>
      </c>
      <c r="K20" cm="1">
        <f t="array" ref="K20">STOWA2019_JAARROND_T(A20*60,J20,I20,"","")</f>
        <v>121.52886009251968</v>
      </c>
      <c r="L20">
        <f t="shared" si="8"/>
        <v>8.2284981463555413E-3</v>
      </c>
    </row>
    <row r="21" spans="1:12" x14ac:dyDescent="0.3">
      <c r="A21">
        <v>24</v>
      </c>
      <c r="B21">
        <f t="shared" si="5"/>
        <v>1.8993986003384136E-3</v>
      </c>
      <c r="C21">
        <f t="shared" si="1"/>
        <v>1.8993986003384136E-3</v>
      </c>
      <c r="D21" t="s">
        <v>23</v>
      </c>
      <c r="E21" t="s">
        <v>21</v>
      </c>
      <c r="F21">
        <v>1</v>
      </c>
      <c r="G21">
        <f t="shared" si="6"/>
        <v>105</v>
      </c>
      <c r="I21">
        <v>2014</v>
      </c>
      <c r="J21">
        <f t="shared" si="7"/>
        <v>107.5</v>
      </c>
      <c r="K21" cm="1">
        <f t="array" ref="K21">STOWA2019_JAARROND_T(A21*60,J21,I21,"","")</f>
        <v>158.00035893404382</v>
      </c>
      <c r="L21">
        <f t="shared" si="8"/>
        <v>6.3290995460171277E-3</v>
      </c>
    </row>
    <row r="22" spans="1:12" x14ac:dyDescent="0.3">
      <c r="A22">
        <v>24</v>
      </c>
      <c r="B22">
        <f t="shared" si="5"/>
        <v>1.41626514000879E-3</v>
      </c>
      <c r="C22">
        <f t="shared" si="1"/>
        <v>1.41626514000879E-3</v>
      </c>
      <c r="D22" t="s">
        <v>23</v>
      </c>
      <c r="E22" t="s">
        <v>21</v>
      </c>
      <c r="F22">
        <v>1</v>
      </c>
      <c r="G22">
        <f t="shared" si="6"/>
        <v>110</v>
      </c>
      <c r="I22">
        <v>2014</v>
      </c>
      <c r="J22">
        <f t="shared" si="7"/>
        <v>112.5</v>
      </c>
      <c r="K22" cm="1">
        <f t="array" ref="K22">STOWA2019_JAARROND_T(A22*60,J22,I22,"","")</f>
        <v>203.5484849188102</v>
      </c>
      <c r="L22">
        <f t="shared" si="8"/>
        <v>4.9128344060083377E-3</v>
      </c>
    </row>
    <row r="23" spans="1:12" x14ac:dyDescent="0.3">
      <c r="A23">
        <v>24</v>
      </c>
      <c r="B23">
        <f t="shared" si="5"/>
        <v>1.0666494825457328E-3</v>
      </c>
      <c r="C23">
        <f t="shared" si="1"/>
        <v>1.0666494825457328E-3</v>
      </c>
      <c r="D23" t="s">
        <v>23</v>
      </c>
      <c r="E23" t="s">
        <v>21</v>
      </c>
      <c r="F23">
        <v>1</v>
      </c>
      <c r="G23">
        <f t="shared" si="6"/>
        <v>115</v>
      </c>
      <c r="I23">
        <v>2014</v>
      </c>
      <c r="J23">
        <f t="shared" si="7"/>
        <v>117.5</v>
      </c>
      <c r="K23" cm="1">
        <f t="array" ref="K23">STOWA2019_JAARROND_T(A23*60,J23,I23,"","")</f>
        <v>259.99789919090267</v>
      </c>
      <c r="L23">
        <f t="shared" si="8"/>
        <v>3.8461849234626049E-3</v>
      </c>
    </row>
    <row r="24" spans="1:12" x14ac:dyDescent="0.3">
      <c r="A24">
        <v>24</v>
      </c>
      <c r="B24">
        <f t="shared" si="5"/>
        <v>8.1095668620019285E-4</v>
      </c>
      <c r="C24">
        <f t="shared" si="1"/>
        <v>8.1095668620019285E-4</v>
      </c>
      <c r="D24" t="s">
        <v>23</v>
      </c>
      <c r="E24" t="s">
        <v>21</v>
      </c>
      <c r="F24">
        <v>1</v>
      </c>
      <c r="G24">
        <f t="shared" si="6"/>
        <v>120</v>
      </c>
      <c r="I24">
        <v>2014</v>
      </c>
      <c r="J24">
        <f t="shared" si="7"/>
        <v>122.5</v>
      </c>
      <c r="K24" cm="1">
        <f t="array" ref="K24">STOWA2019_JAARROND_T(A24*60,J24,I24,"","")</f>
        <v>329.46451529521158</v>
      </c>
      <c r="L24">
        <f t="shared" si="8"/>
        <v>3.035228237262412E-3</v>
      </c>
    </row>
    <row r="25" spans="1:12" x14ac:dyDescent="0.3">
      <c r="A25">
        <v>24</v>
      </c>
      <c r="B25">
        <f t="shared" si="5"/>
        <v>6.2199121644724437E-4</v>
      </c>
      <c r="C25">
        <f t="shared" si="1"/>
        <v>6.2199121644724437E-4</v>
      </c>
      <c r="D25" t="s">
        <v>23</v>
      </c>
      <c r="E25" t="s">
        <v>21</v>
      </c>
      <c r="F25">
        <v>1</v>
      </c>
      <c r="G25">
        <f t="shared" si="6"/>
        <v>125</v>
      </c>
      <c r="I25">
        <v>2014</v>
      </c>
      <c r="J25">
        <f t="shared" si="7"/>
        <v>127.5</v>
      </c>
      <c r="K25" cm="1">
        <f t="array" ref="K25">STOWA2019_JAARROND_T(A25*60,J25,I25,"","")</f>
        <v>414.38117821605846</v>
      </c>
      <c r="L25">
        <f t="shared" si="8"/>
        <v>2.4132370208151677E-3</v>
      </c>
    </row>
    <row r="26" spans="1:12" x14ac:dyDescent="0.3">
      <c r="A26">
        <v>24</v>
      </c>
      <c r="B26">
        <f t="shared" si="5"/>
        <v>4.8103836630872146E-4</v>
      </c>
      <c r="C26">
        <f t="shared" si="1"/>
        <v>4.8103836630872146E-4</v>
      </c>
      <c r="D26" t="s">
        <v>23</v>
      </c>
      <c r="E26" t="s">
        <v>21</v>
      </c>
      <c r="F26">
        <v>1</v>
      </c>
      <c r="G26">
        <f t="shared" si="6"/>
        <v>130</v>
      </c>
      <c r="I26">
        <v>2014</v>
      </c>
      <c r="J26">
        <f t="shared" si="7"/>
        <v>132.5</v>
      </c>
      <c r="K26" cm="1">
        <f t="array" ref="K26">STOWA2019_JAARROND_T(A26*60,J26,I26,"","")</f>
        <v>517.54512801657881</v>
      </c>
      <c r="L26">
        <f t="shared" si="8"/>
        <v>1.9321986545064462E-3</v>
      </c>
    </row>
    <row r="27" spans="1:12" x14ac:dyDescent="0.3">
      <c r="A27">
        <v>24</v>
      </c>
      <c r="B27">
        <f t="shared" si="5"/>
        <v>3.7491077714890556E-4</v>
      </c>
      <c r="C27">
        <f t="shared" si="1"/>
        <v>3.7491077714890556E-4</v>
      </c>
      <c r="D27" t="s">
        <v>23</v>
      </c>
      <c r="E27" t="s">
        <v>21</v>
      </c>
      <c r="F27">
        <v>1</v>
      </c>
      <c r="G27">
        <f t="shared" si="6"/>
        <v>135</v>
      </c>
      <c r="I27">
        <v>2014</v>
      </c>
      <c r="J27">
        <f t="shared" si="7"/>
        <v>137.5</v>
      </c>
      <c r="K27" cm="1">
        <f t="array" ref="K27">STOWA2019_JAARROND_T(A27*60,J27,I27,"","")</f>
        <v>642.1420307315525</v>
      </c>
      <c r="L27">
        <f t="shared" si="8"/>
        <v>1.5572878773575406E-3</v>
      </c>
    </row>
    <row r="28" spans="1:12" x14ac:dyDescent="0.3">
      <c r="A28">
        <v>24</v>
      </c>
      <c r="B28">
        <f t="shared" si="5"/>
        <v>2.9433776686564129E-4</v>
      </c>
      <c r="C28">
        <f t="shared" si="1"/>
        <v>2.9433776686564129E-4</v>
      </c>
      <c r="D28" t="s">
        <v>23</v>
      </c>
      <c r="E28" t="s">
        <v>21</v>
      </c>
      <c r="F28">
        <v>1</v>
      </c>
      <c r="G28">
        <f t="shared" si="6"/>
        <v>140</v>
      </c>
      <c r="I28">
        <v>2014</v>
      </c>
      <c r="J28">
        <f t="shared" si="7"/>
        <v>142.5</v>
      </c>
      <c r="K28" cm="1">
        <f t="array" ref="K28">STOWA2019_JAARROND_T(A28*60,J28,I28,"","")</f>
        <v>791.79691398143643</v>
      </c>
      <c r="L28">
        <f t="shared" si="8"/>
        <v>1.2629501104918994E-3</v>
      </c>
    </row>
    <row r="29" spans="1:12" x14ac:dyDescent="0.3">
      <c r="A29">
        <v>24</v>
      </c>
      <c r="B29">
        <f t="shared" si="5"/>
        <v>2.3267699378517418E-4</v>
      </c>
      <c r="C29">
        <f t="shared" si="1"/>
        <v>2.3267699378517418E-4</v>
      </c>
      <c r="D29" t="s">
        <v>23</v>
      </c>
      <c r="E29" t="s">
        <v>21</v>
      </c>
      <c r="F29">
        <v>1</v>
      </c>
      <c r="G29">
        <f t="shared" si="6"/>
        <v>145</v>
      </c>
      <c r="I29">
        <v>2014</v>
      </c>
      <c r="J29">
        <f t="shared" si="7"/>
        <v>147.5</v>
      </c>
      <c r="K29" cm="1">
        <f t="array" ref="K29">STOWA2019_JAARROND_T(A29*60,J29,I29,"","")</f>
        <v>970.61641596211564</v>
      </c>
      <c r="L29">
        <f t="shared" si="8"/>
        <v>1.0302731167067252E-3</v>
      </c>
    </row>
    <row r="30" spans="1:12" x14ac:dyDescent="0.3">
      <c r="A30">
        <v>24</v>
      </c>
      <c r="B30">
        <f t="shared" si="5"/>
        <v>1.8513341511307779E-4</v>
      </c>
      <c r="C30">
        <f t="shared" si="1"/>
        <v>1.8513341511307779E-4</v>
      </c>
      <c r="D30" t="s">
        <v>23</v>
      </c>
      <c r="E30" t="s">
        <v>21</v>
      </c>
      <c r="F30">
        <v>1</v>
      </c>
      <c r="G30">
        <f t="shared" si="6"/>
        <v>150</v>
      </c>
      <c r="I30">
        <v>2014</v>
      </c>
      <c r="J30">
        <f t="shared" si="7"/>
        <v>152.5</v>
      </c>
      <c r="K30" cm="1">
        <f t="array" ref="K30">STOWA2019_JAARROND_T(A30*60,J30,I30,"","")</f>
        <v>1183.2363313595829</v>
      </c>
      <c r="L30">
        <f t="shared" si="8"/>
        <v>8.451397015936474E-4</v>
      </c>
    </row>
    <row r="31" spans="1:12" x14ac:dyDescent="0.3">
      <c r="A31">
        <v>24</v>
      </c>
      <c r="B31">
        <f t="shared" si="5"/>
        <v>1.4821007818649988E-4</v>
      </c>
      <c r="C31">
        <f t="shared" si="1"/>
        <v>1.4821007818649988E-4</v>
      </c>
      <c r="D31" t="s">
        <v>23</v>
      </c>
      <c r="E31" t="s">
        <v>21</v>
      </c>
      <c r="F31">
        <v>1</v>
      </c>
      <c r="G31">
        <f t="shared" si="6"/>
        <v>155</v>
      </c>
      <c r="I31">
        <v>2014</v>
      </c>
      <c r="J31">
        <f t="shared" si="7"/>
        <v>157.5</v>
      </c>
      <c r="K31" cm="1">
        <f t="array" ref="K31">STOWA2019_JAARROND_T(A31*60,J31,I31,"","")</f>
        <v>1434.8651089204716</v>
      </c>
      <c r="L31">
        <f t="shared" si="8"/>
        <v>6.9692962340714751E-4</v>
      </c>
    </row>
    <row r="32" spans="1:12" x14ac:dyDescent="0.3">
      <c r="A32">
        <v>24</v>
      </c>
      <c r="B32" s="1">
        <f>L31</f>
        <v>6.9692962340714751E-4</v>
      </c>
      <c r="C32">
        <f t="shared" si="1"/>
        <v>6.9692962340714751E-4</v>
      </c>
      <c r="D32" t="s">
        <v>23</v>
      </c>
      <c r="E32" t="s">
        <v>21</v>
      </c>
      <c r="F32">
        <v>1</v>
      </c>
      <c r="G32">
        <f t="shared" ref="G32" si="9">G31+5</f>
        <v>160</v>
      </c>
      <c r="I32">
        <v>2014</v>
      </c>
      <c r="J32">
        <f>AVERAGE(G32:G33)</f>
        <v>85</v>
      </c>
      <c r="K32" cm="1">
        <f t="array" ref="K32">STOWA2019_JAARROND_T(A32*60,J32,I32,"","")</f>
        <v>44.652552453119853</v>
      </c>
      <c r="L32">
        <f>1/K32</f>
        <v>2.2395136337388266E-2</v>
      </c>
    </row>
    <row r="33" spans="1:12" x14ac:dyDescent="0.3">
      <c r="A33">
        <v>48</v>
      </c>
      <c r="B33" s="1">
        <f>365.25*24/A33 - L33</f>
        <v>156.48213627818046</v>
      </c>
      <c r="C33">
        <f>B33</f>
        <v>156.48213627818046</v>
      </c>
      <c r="D33" t="s">
        <v>23</v>
      </c>
      <c r="E33" t="s">
        <v>21</v>
      </c>
      <c r="F33">
        <v>1</v>
      </c>
      <c r="G33">
        <v>10</v>
      </c>
      <c r="I33">
        <v>2014</v>
      </c>
      <c r="J33">
        <f>AVERAGE(G33:G35)</f>
        <v>15</v>
      </c>
      <c r="K33" cm="1">
        <f t="array" ref="K33">STOWA2019_JAARROND_T(A33*60,J33,I33,"","")</f>
        <v>3.8251356494100275E-2</v>
      </c>
      <c r="L33">
        <f>1/K33</f>
        <v>26.142863721819531</v>
      </c>
    </row>
    <row r="34" spans="1:12" x14ac:dyDescent="0.3">
      <c r="A34">
        <v>48</v>
      </c>
      <c r="B34">
        <f t="shared" ref="B34:B38" si="10">L33-L34</f>
        <v>6.9045458498143297</v>
      </c>
      <c r="C34">
        <f t="shared" si="1"/>
        <v>6.9045458498143297</v>
      </c>
      <c r="D34" t="s">
        <v>23</v>
      </c>
      <c r="E34" t="s">
        <v>21</v>
      </c>
      <c r="F34">
        <v>1</v>
      </c>
      <c r="G34">
        <f t="shared" ref="G34:G38" si="11">G33+5</f>
        <v>15</v>
      </c>
      <c r="I34">
        <v>2014</v>
      </c>
      <c r="J34">
        <f t="shared" ref="J34:J38" si="12">AVERAGE(G34:G35)</f>
        <v>17.5</v>
      </c>
      <c r="K34" cm="1">
        <f t="array" ref="K34">STOWA2019_JAARROND_T(A34*60,J34,I34,"","")</f>
        <v>5.1979596483077053E-2</v>
      </c>
      <c r="L34">
        <f t="shared" ref="L34:L38" si="13">1/K34</f>
        <v>19.238317872005201</v>
      </c>
    </row>
    <row r="35" spans="1:12" x14ac:dyDescent="0.3">
      <c r="A35">
        <v>48</v>
      </c>
      <c r="B35">
        <f t="shared" si="10"/>
        <v>8.5344289243083544</v>
      </c>
      <c r="C35">
        <f t="shared" si="1"/>
        <v>8.5344289243083544</v>
      </c>
      <c r="D35" t="s">
        <v>23</v>
      </c>
      <c r="E35" t="s">
        <v>21</v>
      </c>
      <c r="F35">
        <v>1</v>
      </c>
      <c r="G35">
        <f t="shared" si="11"/>
        <v>20</v>
      </c>
      <c r="I35">
        <v>2014</v>
      </c>
      <c r="J35">
        <f t="shared" si="12"/>
        <v>22.5</v>
      </c>
      <c r="K35" cm="1">
        <f t="array" ref="K35">STOWA2019_JAARROND_T(A35*60,J35,I35,"","")</f>
        <v>9.3423988691060722E-2</v>
      </c>
      <c r="L35">
        <f t="shared" si="13"/>
        <v>10.703888947696846</v>
      </c>
    </row>
    <row r="36" spans="1:12" x14ac:dyDescent="0.3">
      <c r="A36">
        <v>48</v>
      </c>
      <c r="B36">
        <f t="shared" si="10"/>
        <v>4.5501153624021571</v>
      </c>
      <c r="C36">
        <f t="shared" si="1"/>
        <v>4.5501153624021571</v>
      </c>
      <c r="D36" t="s">
        <v>23</v>
      </c>
      <c r="E36" t="s">
        <v>21</v>
      </c>
      <c r="F36">
        <v>1</v>
      </c>
      <c r="G36">
        <f t="shared" si="11"/>
        <v>25</v>
      </c>
      <c r="I36">
        <v>2014</v>
      </c>
      <c r="J36">
        <f t="shared" si="12"/>
        <v>27.5</v>
      </c>
      <c r="K36" cm="1">
        <f t="array" ref="K36">STOWA2019_JAARROND_T(A36*60,J36,I36,"","")</f>
        <v>0.16250191628590971</v>
      </c>
      <c r="L36">
        <f t="shared" si="13"/>
        <v>6.1537735852946893</v>
      </c>
    </row>
    <row r="37" spans="1:12" x14ac:dyDescent="0.3">
      <c r="A37">
        <v>48</v>
      </c>
      <c r="B37">
        <f t="shared" si="10"/>
        <v>2.510762477570633</v>
      </c>
      <c r="C37">
        <f t="shared" si="1"/>
        <v>2.510762477570633</v>
      </c>
      <c r="D37" t="s">
        <v>23</v>
      </c>
      <c r="E37" t="s">
        <v>21</v>
      </c>
      <c r="F37">
        <v>1</v>
      </c>
      <c r="G37">
        <f t="shared" si="11"/>
        <v>30</v>
      </c>
      <c r="I37">
        <v>2014</v>
      </c>
      <c r="J37">
        <f t="shared" si="12"/>
        <v>32.5</v>
      </c>
      <c r="K37" cm="1">
        <f t="array" ref="K37">STOWA2019_JAARROND_T(A37*60,J37,I37,"","")</f>
        <v>0.27449820229198874</v>
      </c>
      <c r="L37">
        <f t="shared" si="13"/>
        <v>3.6430111077240563</v>
      </c>
    </row>
    <row r="38" spans="1:12" x14ac:dyDescent="0.3">
      <c r="A38">
        <v>48</v>
      </c>
      <c r="B38">
        <f t="shared" si="10"/>
        <v>1.4287395510462244</v>
      </c>
      <c r="C38">
        <f t="shared" si="1"/>
        <v>1.4287395510462244</v>
      </c>
      <c r="D38" t="s">
        <v>23</v>
      </c>
      <c r="E38" t="s">
        <v>21</v>
      </c>
      <c r="F38">
        <v>1</v>
      </c>
      <c r="G38">
        <f t="shared" si="11"/>
        <v>35</v>
      </c>
      <c r="I38">
        <v>2014</v>
      </c>
      <c r="J38">
        <f t="shared" si="12"/>
        <v>37.5</v>
      </c>
      <c r="K38" cm="1">
        <f t="array" ref="K38">STOWA2019_JAARROND_T(A38*60,J38,I38,"","")</f>
        <v>0.45161579074806146</v>
      </c>
      <c r="L38">
        <f t="shared" si="13"/>
        <v>2.2142715566778319</v>
      </c>
    </row>
    <row r="39" spans="1:12" x14ac:dyDescent="0.3">
      <c r="A39">
        <v>48</v>
      </c>
      <c r="B39">
        <f>L38-L39</f>
        <v>0.83598676009692574</v>
      </c>
      <c r="C39">
        <f t="shared" si="1"/>
        <v>0.83598676009692574</v>
      </c>
      <c r="D39" t="s">
        <v>23</v>
      </c>
      <c r="E39" t="s">
        <v>21</v>
      </c>
      <c r="F39">
        <v>1</v>
      </c>
      <c r="G39">
        <f>G38+5</f>
        <v>40</v>
      </c>
      <c r="I39">
        <v>2014</v>
      </c>
      <c r="J39">
        <f>AVERAGE(G39:G40)</f>
        <v>42.5</v>
      </c>
      <c r="K39" cm="1">
        <f t="array" ref="K39">STOWA2019_JAARROND_T(A39*60,J39,I39,"","")</f>
        <v>0.72553945489400118</v>
      </c>
      <c r="L39">
        <f>1/K39</f>
        <v>1.3782847965809062</v>
      </c>
    </row>
    <row r="40" spans="1:12" x14ac:dyDescent="0.3">
      <c r="A40">
        <v>48</v>
      </c>
      <c r="B40">
        <f t="shared" ref="B40:B62" si="14">L39-L40</f>
        <v>0.50146616479295114</v>
      </c>
      <c r="C40">
        <f t="shared" si="1"/>
        <v>0.50146616479295114</v>
      </c>
      <c r="D40" t="s">
        <v>23</v>
      </c>
      <c r="E40" t="s">
        <v>21</v>
      </c>
      <c r="F40">
        <v>1</v>
      </c>
      <c r="G40">
        <f t="shared" ref="G40:G63" si="15">G39+5</f>
        <v>45</v>
      </c>
      <c r="I40">
        <v>2014</v>
      </c>
      <c r="J40">
        <f t="shared" ref="J40:J62" si="16">AVERAGE(G40:G41)</f>
        <v>47.5</v>
      </c>
      <c r="K40" cm="1">
        <f t="array" ref="K40">STOWA2019_JAARROND_T(A40*60,J40,I40,"","")</f>
        <v>1.1404867138382553</v>
      </c>
      <c r="L40">
        <f t="shared" ref="L40:L62" si="17">1/K40</f>
        <v>0.87681863178795505</v>
      </c>
    </row>
    <row r="41" spans="1:12" x14ac:dyDescent="0.3">
      <c r="A41">
        <v>48</v>
      </c>
      <c r="B41">
        <f t="shared" si="14"/>
        <v>0.30796589256508466</v>
      </c>
      <c r="C41">
        <f t="shared" si="1"/>
        <v>0.30796589256508466</v>
      </c>
      <c r="D41" t="s">
        <v>23</v>
      </c>
      <c r="E41" t="s">
        <v>21</v>
      </c>
      <c r="F41">
        <v>1</v>
      </c>
      <c r="G41">
        <f t="shared" si="15"/>
        <v>50</v>
      </c>
      <c r="I41">
        <v>2014</v>
      </c>
      <c r="J41">
        <f t="shared" si="16"/>
        <v>52.5</v>
      </c>
      <c r="K41" cm="1">
        <f t="array" ref="K41">STOWA2019_JAARROND_T(A41*60,J41,I41,"","")</f>
        <v>1.7579242061243039</v>
      </c>
      <c r="L41">
        <f t="shared" si="17"/>
        <v>0.56885273922287038</v>
      </c>
    </row>
    <row r="42" spans="1:12" x14ac:dyDescent="0.3">
      <c r="A42">
        <v>48</v>
      </c>
      <c r="B42">
        <f t="shared" si="14"/>
        <v>0.19305252184646554</v>
      </c>
      <c r="C42">
        <f t="shared" si="1"/>
        <v>0.19305252184646554</v>
      </c>
      <c r="D42" t="s">
        <v>23</v>
      </c>
      <c r="E42" t="s">
        <v>21</v>
      </c>
      <c r="F42">
        <v>1</v>
      </c>
      <c r="G42">
        <f t="shared" si="15"/>
        <v>55</v>
      </c>
      <c r="I42">
        <v>2014</v>
      </c>
      <c r="J42">
        <f t="shared" si="16"/>
        <v>57.5</v>
      </c>
      <c r="K42" cm="1">
        <f t="array" ref="K42">STOWA2019_JAARROND_T(A42*60,J42,I42,"","")</f>
        <v>2.660988349025863</v>
      </c>
      <c r="L42">
        <f t="shared" si="17"/>
        <v>0.37580021737640484</v>
      </c>
    </row>
    <row r="43" spans="1:12" x14ac:dyDescent="0.3">
      <c r="A43">
        <v>48</v>
      </c>
      <c r="B43">
        <f t="shared" si="14"/>
        <v>0.1233708755117926</v>
      </c>
      <c r="C43">
        <f t="shared" si="1"/>
        <v>0.1233708755117926</v>
      </c>
      <c r="D43" t="s">
        <v>23</v>
      </c>
      <c r="E43" t="s">
        <v>21</v>
      </c>
      <c r="F43">
        <v>1</v>
      </c>
      <c r="G43">
        <f t="shared" si="15"/>
        <v>60</v>
      </c>
      <c r="I43">
        <v>2014</v>
      </c>
      <c r="J43">
        <f t="shared" si="16"/>
        <v>62.5</v>
      </c>
      <c r="K43" cm="1">
        <f t="array" ref="K43">STOWA2019_JAARROND_T(A43*60,J43,I43,"","")</f>
        <v>3.9615046040738764</v>
      </c>
      <c r="L43">
        <f t="shared" si="17"/>
        <v>0.25242934186461224</v>
      </c>
    </row>
    <row r="44" spans="1:12" x14ac:dyDescent="0.3">
      <c r="A44">
        <v>48</v>
      </c>
      <c r="B44">
        <f t="shared" si="14"/>
        <v>8.0243319091728771E-2</v>
      </c>
      <c r="C44">
        <f t="shared" si="1"/>
        <v>8.0243319091728771E-2</v>
      </c>
      <c r="D44" t="s">
        <v>23</v>
      </c>
      <c r="E44" t="s">
        <v>21</v>
      </c>
      <c r="F44">
        <v>1</v>
      </c>
      <c r="G44">
        <f t="shared" si="15"/>
        <v>65</v>
      </c>
      <c r="I44">
        <v>2014</v>
      </c>
      <c r="J44">
        <f t="shared" si="16"/>
        <v>67.5</v>
      </c>
      <c r="K44" cm="1">
        <f t="array" ref="K44">STOWA2019_JAARROND_T(A44*60,J44,I44,"","")</f>
        <v>5.8076723295886703</v>
      </c>
      <c r="L44">
        <f t="shared" si="17"/>
        <v>0.17218602277288347</v>
      </c>
    </row>
    <row r="45" spans="1:12" x14ac:dyDescent="0.3">
      <c r="A45">
        <v>48</v>
      </c>
      <c r="B45">
        <f t="shared" si="14"/>
        <v>5.3053447969961226E-2</v>
      </c>
      <c r="C45">
        <f t="shared" si="1"/>
        <v>5.3053447969961226E-2</v>
      </c>
      <c r="D45" t="s">
        <v>23</v>
      </c>
      <c r="E45" t="s">
        <v>21</v>
      </c>
      <c r="F45">
        <v>1</v>
      </c>
      <c r="G45">
        <f t="shared" si="15"/>
        <v>70</v>
      </c>
      <c r="I45">
        <v>2014</v>
      </c>
      <c r="J45">
        <f t="shared" si="16"/>
        <v>72.5</v>
      </c>
      <c r="K45" cm="1">
        <f t="array" ref="K45">STOWA2019_JAARROND_T(A45*60,J45,I45,"","")</f>
        <v>8.3940097966846814</v>
      </c>
      <c r="L45">
        <f t="shared" si="17"/>
        <v>0.11913257480292225</v>
      </c>
    </row>
    <row r="46" spans="1:12" x14ac:dyDescent="0.3">
      <c r="A46">
        <v>48</v>
      </c>
      <c r="B46">
        <f t="shared" si="14"/>
        <v>3.561077627409534E-2</v>
      </c>
      <c r="C46">
        <f t="shared" si="1"/>
        <v>3.561077627409534E-2</v>
      </c>
      <c r="D46" t="s">
        <v>23</v>
      </c>
      <c r="E46" t="s">
        <v>21</v>
      </c>
      <c r="F46">
        <v>1</v>
      </c>
      <c r="G46">
        <f t="shared" si="15"/>
        <v>75</v>
      </c>
      <c r="I46">
        <v>2014</v>
      </c>
      <c r="J46">
        <f t="shared" si="16"/>
        <v>77.5</v>
      </c>
      <c r="K46" cm="1">
        <f t="array" ref="K46">STOWA2019_JAARROND_T(A46*60,J46,I46,"","")</f>
        <v>11.972922250409367</v>
      </c>
      <c r="L46">
        <f t="shared" si="17"/>
        <v>8.3521798528826907E-2</v>
      </c>
    </row>
    <row r="47" spans="1:12" x14ac:dyDescent="0.3">
      <c r="A47">
        <v>48</v>
      </c>
      <c r="B47">
        <f t="shared" si="14"/>
        <v>2.4242275332342557E-2</v>
      </c>
      <c r="C47">
        <f t="shared" si="1"/>
        <v>2.4242275332342557E-2</v>
      </c>
      <c r="D47" t="s">
        <v>23</v>
      </c>
      <c r="E47" t="s">
        <v>21</v>
      </c>
      <c r="F47">
        <v>1</v>
      </c>
      <c r="G47">
        <f t="shared" si="15"/>
        <v>80</v>
      </c>
      <c r="I47">
        <v>2014</v>
      </c>
      <c r="J47">
        <f t="shared" si="16"/>
        <v>82.5</v>
      </c>
      <c r="K47" cm="1">
        <f t="array" ref="K47">STOWA2019_JAARROND_T(A47*60,J47,I47,"","")</f>
        <v>16.869231499812507</v>
      </c>
      <c r="L47">
        <f t="shared" si="17"/>
        <v>5.927952319648435E-2</v>
      </c>
    </row>
    <row r="48" spans="1:12" x14ac:dyDescent="0.3">
      <c r="A48">
        <v>48</v>
      </c>
      <c r="B48">
        <f t="shared" si="14"/>
        <v>1.6721244964399425E-2</v>
      </c>
      <c r="C48">
        <f t="shared" si="1"/>
        <v>1.6721244964399425E-2</v>
      </c>
      <c r="D48" t="s">
        <v>23</v>
      </c>
      <c r="E48" t="s">
        <v>21</v>
      </c>
      <c r="F48">
        <v>1</v>
      </c>
      <c r="G48">
        <f t="shared" si="15"/>
        <v>85</v>
      </c>
      <c r="I48">
        <v>2014</v>
      </c>
      <c r="J48">
        <f t="shared" si="16"/>
        <v>87.5</v>
      </c>
      <c r="K48" cm="1">
        <f t="array" ref="K48">STOWA2019_JAARROND_T(A48*60,J48,I48,"","")</f>
        <v>23.497191182092848</v>
      </c>
      <c r="L48">
        <f t="shared" si="17"/>
        <v>4.2558278232084926E-2</v>
      </c>
    </row>
    <row r="49" spans="1:12" x14ac:dyDescent="0.3">
      <c r="A49">
        <v>48</v>
      </c>
      <c r="B49">
        <f t="shared" si="14"/>
        <v>1.1674937054577207E-2</v>
      </c>
      <c r="C49">
        <f t="shared" si="1"/>
        <v>1.1674937054577207E-2</v>
      </c>
      <c r="D49" t="s">
        <v>23</v>
      </c>
      <c r="E49" t="s">
        <v>21</v>
      </c>
      <c r="F49">
        <v>1</v>
      </c>
      <c r="G49">
        <f t="shared" si="15"/>
        <v>90</v>
      </c>
      <c r="I49">
        <v>2014</v>
      </c>
      <c r="J49">
        <f t="shared" si="16"/>
        <v>92.5</v>
      </c>
      <c r="K49" cm="1">
        <f t="array" ref="K49">STOWA2019_JAARROND_T(A49*60,J49,I49,"","")</f>
        <v>32.379916222545837</v>
      </c>
      <c r="L49">
        <f t="shared" si="17"/>
        <v>3.0883341177507719E-2</v>
      </c>
    </row>
    <row r="50" spans="1:12" x14ac:dyDescent="0.3">
      <c r="A50">
        <v>48</v>
      </c>
      <c r="B50">
        <f t="shared" si="14"/>
        <v>8.2458000355625435E-3</v>
      </c>
      <c r="C50">
        <f t="shared" si="1"/>
        <v>8.2458000355625435E-3</v>
      </c>
      <c r="D50" t="s">
        <v>23</v>
      </c>
      <c r="E50" t="s">
        <v>21</v>
      </c>
      <c r="F50">
        <v>1</v>
      </c>
      <c r="G50">
        <f t="shared" si="15"/>
        <v>95</v>
      </c>
      <c r="I50">
        <v>2014</v>
      </c>
      <c r="J50">
        <f t="shared" si="16"/>
        <v>97.5</v>
      </c>
      <c r="K50" cm="1">
        <f t="array" ref="K50">STOWA2019_JAARROND_T(A50*60,J50,I50,"","")</f>
        <v>44.174408948818943</v>
      </c>
      <c r="L50">
        <f t="shared" si="17"/>
        <v>2.2637541141945175E-2</v>
      </c>
    </row>
    <row r="51" spans="1:12" x14ac:dyDescent="0.3">
      <c r="A51">
        <v>48</v>
      </c>
      <c r="B51">
        <f t="shared" si="14"/>
        <v>5.8868119615541233E-3</v>
      </c>
      <c r="C51">
        <f t="shared" si="1"/>
        <v>5.8868119615541233E-3</v>
      </c>
      <c r="D51" t="s">
        <v>23</v>
      </c>
      <c r="E51" t="s">
        <v>21</v>
      </c>
      <c r="F51">
        <v>1</v>
      </c>
      <c r="G51">
        <f t="shared" si="15"/>
        <v>100</v>
      </c>
      <c r="I51">
        <v>2014</v>
      </c>
      <c r="J51">
        <f t="shared" si="16"/>
        <v>102.5</v>
      </c>
      <c r="K51" cm="1">
        <f t="array" ref="K51">STOWA2019_JAARROND_T(A51*60,J51,I51,"","")</f>
        <v>59.698893655962905</v>
      </c>
      <c r="L51">
        <f t="shared" si="17"/>
        <v>1.6750729180391052E-2</v>
      </c>
    </row>
    <row r="52" spans="1:12" x14ac:dyDescent="0.3">
      <c r="A52">
        <v>48</v>
      </c>
      <c r="B52">
        <f t="shared" si="14"/>
        <v>4.2452839142563328E-3</v>
      </c>
      <c r="C52">
        <f t="shared" si="1"/>
        <v>4.2452839142563328E-3</v>
      </c>
      <c r="D52" t="s">
        <v>23</v>
      </c>
      <c r="E52" t="s">
        <v>21</v>
      </c>
      <c r="F52">
        <v>1</v>
      </c>
      <c r="G52">
        <f t="shared" si="15"/>
        <v>105</v>
      </c>
      <c r="I52">
        <v>2014</v>
      </c>
      <c r="J52">
        <f t="shared" si="16"/>
        <v>107.5</v>
      </c>
      <c r="K52" cm="1">
        <f t="array" ref="K52">STOWA2019_JAARROND_T(A52*60,J52,I52,"","")</f>
        <v>79.965165471400113</v>
      </c>
      <c r="L52">
        <f t="shared" si="17"/>
        <v>1.2505445266134719E-2</v>
      </c>
    </row>
    <row r="53" spans="1:12" x14ac:dyDescent="0.3">
      <c r="A53">
        <v>48</v>
      </c>
      <c r="B53">
        <f t="shared" si="14"/>
        <v>3.090934700462112E-3</v>
      </c>
      <c r="C53">
        <f t="shared" si="1"/>
        <v>3.090934700462112E-3</v>
      </c>
      <c r="D53" t="s">
        <v>23</v>
      </c>
      <c r="E53" t="s">
        <v>21</v>
      </c>
      <c r="F53">
        <v>1</v>
      </c>
      <c r="G53">
        <f t="shared" si="15"/>
        <v>110</v>
      </c>
      <c r="I53">
        <v>2014</v>
      </c>
      <c r="J53">
        <f t="shared" si="16"/>
        <v>112.5</v>
      </c>
      <c r="K53" cm="1">
        <f t="array" ref="K53">STOWA2019_JAARROND_T(A53*60,J53,I53,"","")</f>
        <v>106.21901085821942</v>
      </c>
      <c r="L53">
        <f t="shared" si="17"/>
        <v>9.4145105656726069E-3</v>
      </c>
    </row>
    <row r="54" spans="1:12" x14ac:dyDescent="0.3">
      <c r="A54">
        <v>48</v>
      </c>
      <c r="B54">
        <f t="shared" si="14"/>
        <v>2.2706903759345332E-3</v>
      </c>
      <c r="C54">
        <f t="shared" si="1"/>
        <v>2.2706903759345332E-3</v>
      </c>
      <c r="D54" t="s">
        <v>23</v>
      </c>
      <c r="E54" t="s">
        <v>21</v>
      </c>
      <c r="F54">
        <v>1</v>
      </c>
      <c r="G54">
        <f t="shared" si="15"/>
        <v>115</v>
      </c>
      <c r="I54">
        <v>2014</v>
      </c>
      <c r="J54">
        <f t="shared" si="16"/>
        <v>117.5</v>
      </c>
      <c r="K54" cm="1">
        <f t="array" ref="K54">STOWA2019_JAARROND_T(A54*60,J54,I54,"","")</f>
        <v>139.98112682573898</v>
      </c>
      <c r="L54">
        <f t="shared" si="17"/>
        <v>7.1438201897380737E-3</v>
      </c>
    </row>
    <row r="55" spans="1:12" x14ac:dyDescent="0.3">
      <c r="A55">
        <v>48</v>
      </c>
      <c r="B55">
        <f t="shared" si="14"/>
        <v>1.682291966156887E-3</v>
      </c>
      <c r="C55">
        <f t="shared" si="1"/>
        <v>1.682291966156887E-3</v>
      </c>
      <c r="D55" t="s">
        <v>23</v>
      </c>
      <c r="E55" t="s">
        <v>21</v>
      </c>
      <c r="F55">
        <v>1</v>
      </c>
      <c r="G55">
        <f t="shared" si="15"/>
        <v>120</v>
      </c>
      <c r="I55">
        <v>2014</v>
      </c>
      <c r="J55">
        <f t="shared" si="16"/>
        <v>122.5</v>
      </c>
      <c r="K55" cm="1">
        <f t="array" ref="K55">STOWA2019_JAARROND_T(A55*60,J55,I55,"","")</f>
        <v>183.09893477842152</v>
      </c>
      <c r="L55">
        <f t="shared" si="17"/>
        <v>5.4615282235811868E-3</v>
      </c>
    </row>
    <row r="56" spans="1:12" x14ac:dyDescent="0.3">
      <c r="A56">
        <v>48</v>
      </c>
      <c r="B56">
        <f t="shared" si="14"/>
        <v>1.2564751366652156E-3</v>
      </c>
      <c r="C56">
        <f t="shared" si="1"/>
        <v>1.2564751366652156E-3</v>
      </c>
      <c r="D56" t="s">
        <v>23</v>
      </c>
      <c r="E56" t="s">
        <v>21</v>
      </c>
      <c r="F56">
        <v>1</v>
      </c>
      <c r="G56">
        <f t="shared" si="15"/>
        <v>125</v>
      </c>
      <c r="I56">
        <v>2014</v>
      </c>
      <c r="J56">
        <f t="shared" si="16"/>
        <v>127.5</v>
      </c>
      <c r="K56" cm="1">
        <f t="array" ref="K56">STOWA2019_JAARROND_T(A56*60,J56,I56,"","")</f>
        <v>237.80912614670703</v>
      </c>
      <c r="L56">
        <f t="shared" si="17"/>
        <v>4.2050530869159712E-3</v>
      </c>
    </row>
    <row r="57" spans="1:12" x14ac:dyDescent="0.3">
      <c r="A57">
        <v>48</v>
      </c>
      <c r="B57">
        <f t="shared" si="14"/>
        <v>9.4556086800750075E-4</v>
      </c>
      <c r="C57">
        <f t="shared" si="1"/>
        <v>9.4556086800750075E-4</v>
      </c>
      <c r="D57" t="s">
        <v>23</v>
      </c>
      <c r="E57" t="s">
        <v>21</v>
      </c>
      <c r="F57">
        <v>1</v>
      </c>
      <c r="G57">
        <f t="shared" si="15"/>
        <v>130</v>
      </c>
      <c r="I57">
        <v>2014</v>
      </c>
      <c r="J57">
        <f t="shared" si="16"/>
        <v>132.5</v>
      </c>
      <c r="K57" cm="1">
        <f t="array" ref="K57">STOWA2019_JAARROND_T(A57*60,J57,I57,"","")</f>
        <v>306.7962531706479</v>
      </c>
      <c r="L57">
        <f t="shared" si="17"/>
        <v>3.2594922189084705E-3</v>
      </c>
    </row>
    <row r="58" spans="1:12" x14ac:dyDescent="0.3">
      <c r="A58">
        <v>48</v>
      </c>
      <c r="B58">
        <f t="shared" si="14"/>
        <v>7.1676072882902913E-4</v>
      </c>
      <c r="C58">
        <f t="shared" si="1"/>
        <v>7.1676072882902913E-4</v>
      </c>
      <c r="D58" t="s">
        <v>23</v>
      </c>
      <c r="E58" t="s">
        <v>21</v>
      </c>
      <c r="F58">
        <v>1</v>
      </c>
      <c r="G58">
        <f t="shared" si="15"/>
        <v>135</v>
      </c>
      <c r="I58">
        <v>2014</v>
      </c>
      <c r="J58">
        <f t="shared" si="16"/>
        <v>137.5</v>
      </c>
      <c r="K58" cm="1">
        <f t="array" ref="K58">STOWA2019_JAARROND_T(A58*60,J58,I58,"","")</f>
        <v>393.27786040387514</v>
      </c>
      <c r="L58">
        <f t="shared" si="17"/>
        <v>2.5427314900794413E-3</v>
      </c>
    </row>
    <row r="59" spans="1:12" x14ac:dyDescent="0.3">
      <c r="A59">
        <v>48</v>
      </c>
      <c r="B59">
        <f t="shared" si="14"/>
        <v>5.4707871307943436E-4</v>
      </c>
      <c r="C59">
        <f t="shared" si="1"/>
        <v>5.4707871307943436E-4</v>
      </c>
      <c r="D59" t="s">
        <v>23</v>
      </c>
      <c r="E59" t="s">
        <v>21</v>
      </c>
      <c r="F59">
        <v>1</v>
      </c>
      <c r="G59">
        <f t="shared" si="15"/>
        <v>140</v>
      </c>
      <c r="I59">
        <v>2014</v>
      </c>
      <c r="J59">
        <f t="shared" si="16"/>
        <v>142.5</v>
      </c>
      <c r="K59" cm="1">
        <f t="array" ref="K59">STOWA2019_JAARROND_T(A59*60,J59,I59,"","")</f>
        <v>501.08917318936818</v>
      </c>
      <c r="L59">
        <f t="shared" si="17"/>
        <v>1.995652777000007E-3</v>
      </c>
    </row>
    <row r="60" spans="1:12" x14ac:dyDescent="0.3">
      <c r="A60">
        <v>48</v>
      </c>
      <c r="B60">
        <f t="shared" si="14"/>
        <v>4.2028212602510497E-4</v>
      </c>
      <c r="C60">
        <f t="shared" si="1"/>
        <v>4.2028212602510497E-4</v>
      </c>
      <c r="D60" t="s">
        <v>23</v>
      </c>
      <c r="E60" t="s">
        <v>21</v>
      </c>
      <c r="F60">
        <v>1</v>
      </c>
      <c r="G60">
        <f t="shared" si="15"/>
        <v>145</v>
      </c>
      <c r="I60">
        <v>2014</v>
      </c>
      <c r="J60">
        <f t="shared" si="16"/>
        <v>147.5</v>
      </c>
      <c r="K60" cm="1">
        <f t="array" ref="K60">STOWA2019_JAARROND_T(A60*60,J60,I60,"","")</f>
        <v>634.7712516931557</v>
      </c>
      <c r="L60">
        <f t="shared" si="17"/>
        <v>1.575370650974902E-3</v>
      </c>
    </row>
    <row r="61" spans="1:12" x14ac:dyDescent="0.3">
      <c r="A61">
        <v>48</v>
      </c>
      <c r="B61">
        <f t="shared" si="14"/>
        <v>3.2489803026031715E-4</v>
      </c>
      <c r="C61">
        <f t="shared" si="1"/>
        <v>3.2489803026031715E-4</v>
      </c>
      <c r="D61" t="s">
        <v>23</v>
      </c>
      <c r="E61" t="s">
        <v>21</v>
      </c>
      <c r="F61">
        <v>1</v>
      </c>
      <c r="G61">
        <f t="shared" si="15"/>
        <v>150</v>
      </c>
      <c r="I61">
        <v>2014</v>
      </c>
      <c r="J61">
        <f t="shared" si="16"/>
        <v>152.5</v>
      </c>
      <c r="K61" cm="1">
        <f t="array" ref="K61">STOWA2019_JAARROND_T(A61*60,J61,I61,"","")</f>
        <v>799.69763706505478</v>
      </c>
      <c r="L61">
        <f t="shared" si="17"/>
        <v>1.2504726207145849E-3</v>
      </c>
    </row>
    <row r="62" spans="1:12" x14ac:dyDescent="0.3">
      <c r="A62">
        <v>48</v>
      </c>
      <c r="B62">
        <f t="shared" si="14"/>
        <v>2.5265711391802789E-4</v>
      </c>
      <c r="C62">
        <f t="shared" si="1"/>
        <v>2.5265711391802789E-4</v>
      </c>
      <c r="D62" t="s">
        <v>23</v>
      </c>
      <c r="E62" t="s">
        <v>21</v>
      </c>
      <c r="F62">
        <v>1</v>
      </c>
      <c r="G62">
        <f t="shared" si="15"/>
        <v>155</v>
      </c>
      <c r="I62">
        <v>2014</v>
      </c>
      <c r="J62">
        <f t="shared" si="16"/>
        <v>157.5</v>
      </c>
      <c r="K62" cm="1">
        <f t="array" ref="K62">STOWA2019_JAARROND_T(A62*60,J62,I62,"","")</f>
        <v>1002.1892756612456</v>
      </c>
      <c r="L62">
        <f t="shared" si="17"/>
        <v>9.9781550679655696E-4</v>
      </c>
    </row>
    <row r="63" spans="1:12" x14ac:dyDescent="0.3">
      <c r="A63">
        <v>48</v>
      </c>
      <c r="B63" s="1">
        <f>L62</f>
        <v>9.9781550679655696E-4</v>
      </c>
      <c r="C63">
        <f t="shared" si="1"/>
        <v>9.9781550679655696E-4</v>
      </c>
      <c r="D63" t="s">
        <v>23</v>
      </c>
      <c r="E63" t="s">
        <v>21</v>
      </c>
      <c r="F63">
        <v>1</v>
      </c>
      <c r="G63">
        <f t="shared" si="15"/>
        <v>160</v>
      </c>
      <c r="I63">
        <v>2014</v>
      </c>
      <c r="J63">
        <f>AVERAGE(G63:G64)</f>
        <v>85</v>
      </c>
      <c r="K63" cm="1">
        <f t="array" ref="K63">STOWA2019_JAARROND_T(A63*60,J63,I63,"","")</f>
        <v>19.936972584353686</v>
      </c>
      <c r="L63">
        <f>1/K63</f>
        <v>5.0158066665788009E-2</v>
      </c>
    </row>
    <row r="64" spans="1:12" x14ac:dyDescent="0.3">
      <c r="A64">
        <v>96</v>
      </c>
      <c r="B64" s="1">
        <f>365.25*24/A64 - L64</f>
        <v>50.337008048319149</v>
      </c>
      <c r="C64">
        <f>B64</f>
        <v>50.337008048319149</v>
      </c>
      <c r="D64" t="s">
        <v>23</v>
      </c>
      <c r="E64" t="s">
        <v>21</v>
      </c>
      <c r="F64">
        <v>1</v>
      </c>
      <c r="G64">
        <v>10</v>
      </c>
      <c r="I64">
        <v>2014</v>
      </c>
      <c r="J64">
        <f>AVERAGE(G64:G66)</f>
        <v>15</v>
      </c>
      <c r="K64" cm="1">
        <f t="array" ref="K64">STOWA2019_JAARROND_T(A64*60,J64,I64,"","")</f>
        <v>2.4404832068379331E-2</v>
      </c>
      <c r="L64">
        <f>1/K64</f>
        <v>40.975491951680851</v>
      </c>
    </row>
    <row r="65" spans="1:12" x14ac:dyDescent="0.3">
      <c r="A65">
        <v>96</v>
      </c>
      <c r="B65">
        <f t="shared" ref="B65:B69" si="18">L64-L65</f>
        <v>8.4302182378687931</v>
      </c>
      <c r="C65">
        <f t="shared" si="1"/>
        <v>8.4302182378687931</v>
      </c>
      <c r="D65" t="s">
        <v>23</v>
      </c>
      <c r="E65" t="s">
        <v>21</v>
      </c>
      <c r="F65">
        <v>1</v>
      </c>
      <c r="G65">
        <f t="shared" ref="G65:G69" si="19">G64+5</f>
        <v>15</v>
      </c>
      <c r="I65">
        <v>2014</v>
      </c>
      <c r="J65">
        <f t="shared" ref="J65:J69" si="20">AVERAGE(G65:G66)</f>
        <v>17.5</v>
      </c>
      <c r="K65" cm="1">
        <f t="array" ref="K65">STOWA2019_JAARROND_T(A65*60,J65,I65,"","")</f>
        <v>3.0726427707861152E-2</v>
      </c>
      <c r="L65">
        <f t="shared" ref="L65:L69" si="21">1/K65</f>
        <v>32.545273713812058</v>
      </c>
    </row>
    <row r="66" spans="1:12" x14ac:dyDescent="0.3">
      <c r="A66">
        <v>96</v>
      </c>
      <c r="B66">
        <f t="shared" si="18"/>
        <v>11.841373137553319</v>
      </c>
      <c r="C66">
        <f t="shared" si="1"/>
        <v>11.841373137553319</v>
      </c>
      <c r="D66" t="s">
        <v>23</v>
      </c>
      <c r="E66" t="s">
        <v>21</v>
      </c>
      <c r="F66">
        <v>1</v>
      </c>
      <c r="G66">
        <f t="shared" si="19"/>
        <v>20</v>
      </c>
      <c r="I66">
        <v>2014</v>
      </c>
      <c r="J66">
        <f t="shared" si="20"/>
        <v>22.5</v>
      </c>
      <c r="K66" cm="1">
        <f t="array" ref="K66">STOWA2019_JAARROND_T(A66*60,J66,I66,"","")</f>
        <v>4.8300077384775736E-2</v>
      </c>
      <c r="L66">
        <f t="shared" si="21"/>
        <v>20.703900576258739</v>
      </c>
    </row>
    <row r="67" spans="1:12" x14ac:dyDescent="0.3">
      <c r="A67">
        <v>96</v>
      </c>
      <c r="B67">
        <f t="shared" si="18"/>
        <v>7.3909756334763532</v>
      </c>
      <c r="C67">
        <f t="shared" si="1"/>
        <v>7.3909756334763532</v>
      </c>
      <c r="D67" t="s">
        <v>23</v>
      </c>
      <c r="E67" t="s">
        <v>21</v>
      </c>
      <c r="F67">
        <v>1</v>
      </c>
      <c r="G67">
        <f t="shared" si="19"/>
        <v>25</v>
      </c>
      <c r="I67">
        <v>2014</v>
      </c>
      <c r="J67">
        <f t="shared" si="20"/>
        <v>27.5</v>
      </c>
      <c r="K67" cm="1">
        <f t="array" ref="K67">STOWA2019_JAARROND_T(A67*60,J67,I67,"","")</f>
        <v>7.5114973178163291E-2</v>
      </c>
      <c r="L67">
        <f t="shared" si="21"/>
        <v>13.312924942782386</v>
      </c>
    </row>
    <row r="68" spans="1:12" x14ac:dyDescent="0.3">
      <c r="A68">
        <v>96</v>
      </c>
      <c r="B68">
        <f t="shared" si="18"/>
        <v>4.6647155887892122</v>
      </c>
      <c r="C68">
        <f t="shared" si="1"/>
        <v>4.6647155887892122</v>
      </c>
      <c r="D68" t="s">
        <v>23</v>
      </c>
      <c r="E68" t="s">
        <v>21</v>
      </c>
      <c r="F68">
        <v>1</v>
      </c>
      <c r="G68">
        <f t="shared" si="19"/>
        <v>30</v>
      </c>
      <c r="I68">
        <v>2014</v>
      </c>
      <c r="J68">
        <f t="shared" si="20"/>
        <v>32.5</v>
      </c>
      <c r="K68" cm="1">
        <f t="array" ref="K68">STOWA2019_JAARROND_T(A68*60,J68,I68,"","")</f>
        <v>0.1156308732903495</v>
      </c>
      <c r="L68">
        <f t="shared" si="21"/>
        <v>8.6482093539931739</v>
      </c>
    </row>
    <row r="69" spans="1:12" x14ac:dyDescent="0.3">
      <c r="A69">
        <v>96</v>
      </c>
      <c r="B69">
        <f t="shared" si="18"/>
        <v>2.9751314677595042</v>
      </c>
      <c r="C69">
        <f t="shared" si="1"/>
        <v>2.9751314677595042</v>
      </c>
      <c r="D69" t="s">
        <v>23</v>
      </c>
      <c r="E69" t="s">
        <v>21</v>
      </c>
      <c r="F69">
        <v>1</v>
      </c>
      <c r="G69">
        <f t="shared" si="19"/>
        <v>35</v>
      </c>
      <c r="I69">
        <v>2014</v>
      </c>
      <c r="J69">
        <f t="shared" si="20"/>
        <v>37.5</v>
      </c>
      <c r="K69" cm="1">
        <f t="array" ref="K69">STOWA2019_JAARROND_T(A69*60,J69,I69,"","")</f>
        <v>0.17627115651392816</v>
      </c>
      <c r="L69">
        <f t="shared" si="21"/>
        <v>5.6730778862336697</v>
      </c>
    </row>
    <row r="70" spans="1:12" x14ac:dyDescent="0.3">
      <c r="A70">
        <v>96</v>
      </c>
      <c r="B70">
        <f>L69-L70</f>
        <v>1.9167538275564717</v>
      </c>
      <c r="C70">
        <f t="shared" si="1"/>
        <v>1.9167538275564717</v>
      </c>
      <c r="D70" t="s">
        <v>23</v>
      </c>
      <c r="E70" t="s">
        <v>21</v>
      </c>
      <c r="F70">
        <v>1</v>
      </c>
      <c r="G70">
        <f>G69+5</f>
        <v>40</v>
      </c>
      <c r="I70">
        <v>2014</v>
      </c>
      <c r="J70">
        <f>AVERAGE(G70:G71)</f>
        <v>42.5</v>
      </c>
      <c r="K70" cm="1">
        <f t="array" ref="K70">STOWA2019_JAARROND_T(A70*60,J70,I70,"","")</f>
        <v>0.26621771294997199</v>
      </c>
      <c r="L70">
        <f>1/K70</f>
        <v>3.756324058677198</v>
      </c>
    </row>
    <row r="71" spans="1:12" x14ac:dyDescent="0.3">
      <c r="A71">
        <v>96</v>
      </c>
      <c r="B71">
        <f t="shared" ref="B71:B93" si="22">L70-L71</f>
        <v>1.2469167550758988</v>
      </c>
      <c r="C71">
        <f t="shared" si="1"/>
        <v>1.2469167550758988</v>
      </c>
      <c r="D71" t="s">
        <v>23</v>
      </c>
      <c r="E71" t="s">
        <v>21</v>
      </c>
      <c r="F71">
        <v>1</v>
      </c>
      <c r="G71">
        <f t="shared" ref="G71:G94" si="23">G70+5</f>
        <v>45</v>
      </c>
      <c r="I71">
        <v>2014</v>
      </c>
      <c r="J71">
        <f t="shared" ref="J71:J93" si="24">AVERAGE(G71:G72)</f>
        <v>47.5</v>
      </c>
      <c r="K71" cm="1">
        <f t="array" ref="K71">STOWA2019_JAARROND_T(A71*60,J71,I71,"","")</f>
        <v>0.39850047402224448</v>
      </c>
      <c r="L71">
        <f t="shared" ref="L71:L93" si="25">1/K71</f>
        <v>2.5094073036012992</v>
      </c>
    </row>
    <row r="72" spans="1:12" x14ac:dyDescent="0.3">
      <c r="A72">
        <v>96</v>
      </c>
      <c r="B72">
        <f t="shared" si="22"/>
        <v>0.81859168031112972</v>
      </c>
      <c r="C72">
        <f t="shared" si="1"/>
        <v>0.81859168031112972</v>
      </c>
      <c r="D72" t="s">
        <v>23</v>
      </c>
      <c r="E72" t="s">
        <v>21</v>
      </c>
      <c r="F72">
        <v>1</v>
      </c>
      <c r="G72">
        <f t="shared" si="23"/>
        <v>50</v>
      </c>
      <c r="I72">
        <v>2014</v>
      </c>
      <c r="J72">
        <f t="shared" si="24"/>
        <v>52.5</v>
      </c>
      <c r="K72" cm="1">
        <f t="array" ref="K72">STOWA2019_JAARROND_T(A72*60,J72,I72,"","")</f>
        <v>0.59143054170158027</v>
      </c>
      <c r="L72">
        <f t="shared" si="25"/>
        <v>1.6908156232901694</v>
      </c>
    </row>
    <row r="73" spans="1:12" x14ac:dyDescent="0.3">
      <c r="A73">
        <v>96</v>
      </c>
      <c r="B73">
        <f t="shared" si="22"/>
        <v>0.54218848025422184</v>
      </c>
      <c r="C73">
        <f t="shared" si="1"/>
        <v>0.54218848025422184</v>
      </c>
      <c r="D73" t="s">
        <v>23</v>
      </c>
      <c r="E73" t="s">
        <v>21</v>
      </c>
      <c r="F73">
        <v>1</v>
      </c>
      <c r="G73">
        <f t="shared" si="23"/>
        <v>55</v>
      </c>
      <c r="I73">
        <v>2014</v>
      </c>
      <c r="J73">
        <f t="shared" si="24"/>
        <v>57.5</v>
      </c>
      <c r="K73" cm="1">
        <f t="array" ref="K73">STOWA2019_JAARROND_T(A73*60,J73,I73,"","")</f>
        <v>0.8706045352166154</v>
      </c>
      <c r="L73">
        <f t="shared" si="25"/>
        <v>1.1486271430359476</v>
      </c>
    </row>
    <row r="74" spans="1:12" x14ac:dyDescent="0.3">
      <c r="A74">
        <v>96</v>
      </c>
      <c r="B74">
        <f t="shared" si="22"/>
        <v>0.36210119706675858</v>
      </c>
      <c r="C74">
        <f t="shared" si="1"/>
        <v>0.36210119706675858</v>
      </c>
      <c r="D74" t="s">
        <v>23</v>
      </c>
      <c r="E74" t="s">
        <v>21</v>
      </c>
      <c r="F74">
        <v>1</v>
      </c>
      <c r="G74">
        <f t="shared" si="23"/>
        <v>60</v>
      </c>
      <c r="I74">
        <v>2014</v>
      </c>
      <c r="J74">
        <f t="shared" si="24"/>
        <v>62.5</v>
      </c>
      <c r="K74" cm="1">
        <f t="array" ref="K74">STOWA2019_JAARROND_T(A74*60,J74,I74,"","")</f>
        <v>1.2714138740429721</v>
      </c>
      <c r="L74">
        <f t="shared" si="25"/>
        <v>0.78652594596918901</v>
      </c>
    </row>
    <row r="75" spans="1:12" x14ac:dyDescent="0.3">
      <c r="A75">
        <v>96</v>
      </c>
      <c r="B75">
        <f t="shared" si="22"/>
        <v>0.24392529023873633</v>
      </c>
      <c r="C75">
        <f t="shared" si="1"/>
        <v>0.24392529023873633</v>
      </c>
      <c r="D75" t="s">
        <v>23</v>
      </c>
      <c r="E75" t="s">
        <v>21</v>
      </c>
      <c r="F75">
        <v>1</v>
      </c>
      <c r="G75">
        <f t="shared" si="23"/>
        <v>65</v>
      </c>
      <c r="I75">
        <v>2014</v>
      </c>
      <c r="J75">
        <f t="shared" si="24"/>
        <v>67.5</v>
      </c>
      <c r="K75" cm="1">
        <f t="array" ref="K75">STOWA2019_JAARROND_T(A75*60,J75,I75,"","")</f>
        <v>1.8429760256256844</v>
      </c>
      <c r="L75">
        <f t="shared" si="25"/>
        <v>0.54260065573045269</v>
      </c>
    </row>
    <row r="76" spans="1:12" x14ac:dyDescent="0.3">
      <c r="A76">
        <v>96</v>
      </c>
      <c r="B76">
        <f t="shared" si="22"/>
        <v>0.16555780865009523</v>
      </c>
      <c r="C76">
        <f t="shared" si="1"/>
        <v>0.16555780865009523</v>
      </c>
      <c r="D76" t="s">
        <v>23</v>
      </c>
      <c r="E76" t="s">
        <v>21</v>
      </c>
      <c r="F76">
        <v>1</v>
      </c>
      <c r="G76">
        <f t="shared" si="23"/>
        <v>70</v>
      </c>
      <c r="I76">
        <v>2014</v>
      </c>
      <c r="J76">
        <f t="shared" si="24"/>
        <v>72.5</v>
      </c>
      <c r="K76" cm="1">
        <f t="array" ref="K76">STOWA2019_JAARROND_T(A76*60,J76,I76,"","")</f>
        <v>2.6522184620223666</v>
      </c>
      <c r="L76">
        <f t="shared" si="25"/>
        <v>0.37704284708035746</v>
      </c>
    </row>
    <row r="77" spans="1:12" x14ac:dyDescent="0.3">
      <c r="A77">
        <v>96</v>
      </c>
      <c r="B77">
        <f t="shared" si="22"/>
        <v>0.11320936132453491</v>
      </c>
      <c r="C77">
        <f t="shared" si="1"/>
        <v>0.11320936132453491</v>
      </c>
      <c r="D77" t="s">
        <v>23</v>
      </c>
      <c r="E77" t="s">
        <v>21</v>
      </c>
      <c r="F77">
        <v>1</v>
      </c>
      <c r="G77">
        <f t="shared" si="23"/>
        <v>75</v>
      </c>
      <c r="I77">
        <v>2014</v>
      </c>
      <c r="J77">
        <f t="shared" si="24"/>
        <v>77.5</v>
      </c>
      <c r="K77" cm="1">
        <f t="array" ref="K77">STOWA2019_JAARROND_T(A77*60,J77,I77,"","")</f>
        <v>3.7902694464094613</v>
      </c>
      <c r="L77">
        <f t="shared" si="25"/>
        <v>0.26383348575582255</v>
      </c>
    </row>
    <row r="78" spans="1:12" x14ac:dyDescent="0.3">
      <c r="A78">
        <v>96</v>
      </c>
      <c r="B78">
        <f t="shared" si="22"/>
        <v>7.7973844951214927E-2</v>
      </c>
      <c r="C78">
        <f t="shared" si="1"/>
        <v>7.7973844951214927E-2</v>
      </c>
      <c r="D78" t="s">
        <v>23</v>
      </c>
      <c r="E78" t="s">
        <v>21</v>
      </c>
      <c r="F78">
        <v>1</v>
      </c>
      <c r="G78">
        <f t="shared" si="23"/>
        <v>80</v>
      </c>
      <c r="I78">
        <v>2014</v>
      </c>
      <c r="J78">
        <f t="shared" si="24"/>
        <v>82.5</v>
      </c>
      <c r="K78" cm="1">
        <f t="array" ref="K78">STOWA2019_JAARROND_T(A78*60,J78,I78,"","")</f>
        <v>5.3804042430668959</v>
      </c>
      <c r="L78">
        <f t="shared" si="25"/>
        <v>0.18585964080460762</v>
      </c>
    </row>
    <row r="79" spans="1:12" x14ac:dyDescent="0.3">
      <c r="A79">
        <v>96</v>
      </c>
      <c r="B79">
        <f t="shared" si="22"/>
        <v>5.4082406799835725E-2</v>
      </c>
      <c r="C79">
        <f t="shared" si="1"/>
        <v>5.4082406799835725E-2</v>
      </c>
      <c r="D79" t="s">
        <v>23</v>
      </c>
      <c r="E79" t="s">
        <v>21</v>
      </c>
      <c r="F79">
        <v>1</v>
      </c>
      <c r="G79">
        <f t="shared" si="23"/>
        <v>85</v>
      </c>
      <c r="I79">
        <v>2014</v>
      </c>
      <c r="J79">
        <f t="shared" si="24"/>
        <v>87.5</v>
      </c>
      <c r="K79" cm="1">
        <f t="array" ref="K79">STOWA2019_JAARROND_T(A79*60,J79,I79,"","")</f>
        <v>7.5885641973923068</v>
      </c>
      <c r="L79">
        <f t="shared" si="25"/>
        <v>0.1317772340047719</v>
      </c>
    </row>
    <row r="80" spans="1:12" x14ac:dyDescent="0.3">
      <c r="A80">
        <v>96</v>
      </c>
      <c r="B80">
        <f t="shared" si="22"/>
        <v>3.7760920980188017E-2</v>
      </c>
      <c r="C80">
        <f t="shared" si="1"/>
        <v>3.7760920980188017E-2</v>
      </c>
      <c r="D80" t="s">
        <v>23</v>
      </c>
      <c r="E80" t="s">
        <v>21</v>
      </c>
      <c r="F80">
        <v>1</v>
      </c>
      <c r="G80">
        <f t="shared" si="23"/>
        <v>90</v>
      </c>
      <c r="I80">
        <v>2014</v>
      </c>
      <c r="J80">
        <f t="shared" si="24"/>
        <v>92.5</v>
      </c>
      <c r="K80" cm="1">
        <f t="array" ref="K80">STOWA2019_JAARROND_T(A80*60,J80,I80,"","")</f>
        <v>10.636451992522986</v>
      </c>
      <c r="L80">
        <f t="shared" si="25"/>
        <v>9.4016313024583881E-2</v>
      </c>
    </row>
    <row r="81" spans="1:12" x14ac:dyDescent="0.3">
      <c r="A81">
        <v>96</v>
      </c>
      <c r="B81">
        <f t="shared" si="22"/>
        <v>2.6536595346550076E-2</v>
      </c>
      <c r="C81">
        <f t="shared" si="1"/>
        <v>2.6536595346550076E-2</v>
      </c>
      <c r="D81" t="s">
        <v>23</v>
      </c>
      <c r="E81" t="s">
        <v>21</v>
      </c>
      <c r="F81">
        <v>1</v>
      </c>
      <c r="G81">
        <f t="shared" si="23"/>
        <v>95</v>
      </c>
      <c r="I81">
        <v>2014</v>
      </c>
      <c r="J81">
        <f t="shared" si="24"/>
        <v>97.5</v>
      </c>
      <c r="K81" cm="1">
        <f t="array" ref="K81">STOWA2019_JAARROND_T(A81*60,J81,I81,"","")</f>
        <v>14.819267691238771</v>
      </c>
      <c r="L81">
        <f t="shared" si="25"/>
        <v>6.7479717678033804E-2</v>
      </c>
    </row>
    <row r="82" spans="1:12" x14ac:dyDescent="0.3">
      <c r="A82">
        <v>96</v>
      </c>
      <c r="B82">
        <f t="shared" si="22"/>
        <v>1.8765076566936559E-2</v>
      </c>
      <c r="C82">
        <f t="shared" si="1"/>
        <v>1.8765076566936559E-2</v>
      </c>
      <c r="D82" t="s">
        <v>23</v>
      </c>
      <c r="E82" t="s">
        <v>21</v>
      </c>
      <c r="F82">
        <v>1</v>
      </c>
      <c r="G82">
        <f t="shared" si="23"/>
        <v>100</v>
      </c>
      <c r="I82">
        <v>2014</v>
      </c>
      <c r="J82">
        <f t="shared" si="24"/>
        <v>102.5</v>
      </c>
      <c r="K82" cm="1">
        <f t="array" ref="K82">STOWA2019_JAARROND_T(A82*60,J82,I82,"","")</f>
        <v>20.527709476898906</v>
      </c>
      <c r="L82">
        <f t="shared" si="25"/>
        <v>4.8714641111097245E-2</v>
      </c>
    </row>
    <row r="83" spans="1:12" x14ac:dyDescent="0.3">
      <c r="A83">
        <v>96</v>
      </c>
      <c r="B83">
        <f t="shared" si="22"/>
        <v>1.3349479889890679E-2</v>
      </c>
      <c r="C83">
        <f t="shared" si="1"/>
        <v>1.3349479889890679E-2</v>
      </c>
      <c r="D83" t="s">
        <v>23</v>
      </c>
      <c r="E83" t="s">
        <v>21</v>
      </c>
      <c r="F83">
        <v>1</v>
      </c>
      <c r="G83">
        <f t="shared" si="23"/>
        <v>105</v>
      </c>
      <c r="I83">
        <v>2014</v>
      </c>
      <c r="J83">
        <f t="shared" si="24"/>
        <v>107.5</v>
      </c>
      <c r="K83" cm="1">
        <f t="array" ref="K83">STOWA2019_JAARROND_T(A83*60,J83,I83,"","")</f>
        <v>28.276415700329235</v>
      </c>
      <c r="L83">
        <f t="shared" si="25"/>
        <v>3.5365161221206566E-2</v>
      </c>
    </row>
    <row r="84" spans="1:12" x14ac:dyDescent="0.3">
      <c r="A84">
        <v>96</v>
      </c>
      <c r="B84">
        <f t="shared" si="22"/>
        <v>9.5520889350416173E-3</v>
      </c>
      <c r="C84">
        <f t="shared" si="1"/>
        <v>9.5520889350416173E-3</v>
      </c>
      <c r="D84" t="s">
        <v>23</v>
      </c>
      <c r="E84" t="s">
        <v>21</v>
      </c>
      <c r="F84">
        <v>1</v>
      </c>
      <c r="G84">
        <f t="shared" si="23"/>
        <v>110</v>
      </c>
      <c r="I84">
        <v>2014</v>
      </c>
      <c r="J84">
        <f t="shared" si="24"/>
        <v>112.5</v>
      </c>
      <c r="K84" cm="1">
        <f t="array" ref="K84">STOWA2019_JAARROND_T(A84*60,J84,I84,"","")</f>
        <v>38.74006119511666</v>
      </c>
      <c r="L84">
        <f t="shared" si="25"/>
        <v>2.5813072286164949E-2</v>
      </c>
    </row>
    <row r="85" spans="1:12" x14ac:dyDescent="0.3">
      <c r="A85">
        <v>96</v>
      </c>
      <c r="B85">
        <f t="shared" si="22"/>
        <v>6.8732073935824853E-3</v>
      </c>
      <c r="C85">
        <f t="shared" si="1"/>
        <v>6.8732073935824853E-3</v>
      </c>
      <c r="D85" t="s">
        <v>23</v>
      </c>
      <c r="E85" t="s">
        <v>21</v>
      </c>
      <c r="F85">
        <v>1</v>
      </c>
      <c r="G85">
        <f t="shared" si="23"/>
        <v>115</v>
      </c>
      <c r="I85">
        <v>2014</v>
      </c>
      <c r="J85">
        <f t="shared" si="24"/>
        <v>117.5</v>
      </c>
      <c r="K85" cm="1">
        <f t="array" ref="K85">STOWA2019_JAARROND_T(A85*60,J85,I85,"","")</f>
        <v>52.798687090510143</v>
      </c>
      <c r="L85">
        <f t="shared" si="25"/>
        <v>1.8939864892582464E-2</v>
      </c>
    </row>
    <row r="86" spans="1:12" x14ac:dyDescent="0.3">
      <c r="A86">
        <v>96</v>
      </c>
      <c r="B86">
        <f t="shared" si="22"/>
        <v>4.9727529960776826E-3</v>
      </c>
      <c r="C86">
        <f t="shared" si="1"/>
        <v>4.9727529960776826E-3</v>
      </c>
      <c r="D86" t="s">
        <v>23</v>
      </c>
      <c r="E86" t="s">
        <v>21</v>
      </c>
      <c r="F86">
        <v>1</v>
      </c>
      <c r="G86">
        <f t="shared" si="23"/>
        <v>120</v>
      </c>
      <c r="I86">
        <v>2014</v>
      </c>
      <c r="J86">
        <f t="shared" si="24"/>
        <v>122.5</v>
      </c>
      <c r="K86" cm="1">
        <f t="array" ref="K86">STOWA2019_JAARROND_T(A86*60,J86,I86,"","")</f>
        <v>71.596762982205817</v>
      </c>
      <c r="L86">
        <f t="shared" si="25"/>
        <v>1.3967111896504781E-2</v>
      </c>
    </row>
    <row r="87" spans="1:12" x14ac:dyDescent="0.3">
      <c r="A87">
        <v>96</v>
      </c>
      <c r="B87">
        <f t="shared" si="22"/>
        <v>3.6165317637369097E-3</v>
      </c>
      <c r="C87">
        <f t="shared" si="1"/>
        <v>3.6165317637369097E-3</v>
      </c>
      <c r="D87" t="s">
        <v>23</v>
      </c>
      <c r="E87" t="s">
        <v>21</v>
      </c>
      <c r="F87">
        <v>1</v>
      </c>
      <c r="G87">
        <f t="shared" si="23"/>
        <v>125</v>
      </c>
      <c r="I87">
        <v>2014</v>
      </c>
      <c r="J87">
        <f t="shared" si="24"/>
        <v>127.5</v>
      </c>
      <c r="K87" cm="1">
        <f t="array" ref="K87">STOWA2019_JAARROND_T(A87*60,J87,I87,"","")</f>
        <v>96.612942189993731</v>
      </c>
      <c r="L87">
        <f t="shared" si="25"/>
        <v>1.0350580132767871E-2</v>
      </c>
    </row>
    <row r="88" spans="1:12" x14ac:dyDescent="0.3">
      <c r="A88">
        <v>96</v>
      </c>
      <c r="B88">
        <f t="shared" si="22"/>
        <v>2.6437146487708636E-3</v>
      </c>
      <c r="C88">
        <f t="shared" si="1"/>
        <v>2.6437146487708636E-3</v>
      </c>
      <c r="D88" t="s">
        <v>23</v>
      </c>
      <c r="E88" t="s">
        <v>21</v>
      </c>
      <c r="F88">
        <v>1</v>
      </c>
      <c r="G88">
        <f t="shared" si="23"/>
        <v>130</v>
      </c>
      <c r="I88">
        <v>2014</v>
      </c>
      <c r="J88">
        <f t="shared" si="24"/>
        <v>132.5</v>
      </c>
      <c r="K88" cm="1">
        <f t="array" ref="K88">STOWA2019_JAARROND_T(A88*60,J88,I88,"","")</f>
        <v>129.75443804961424</v>
      </c>
      <c r="L88">
        <f t="shared" si="25"/>
        <v>7.7068654839970076E-3</v>
      </c>
    </row>
    <row r="89" spans="1:12" x14ac:dyDescent="0.3">
      <c r="A89">
        <v>96</v>
      </c>
      <c r="B89">
        <f t="shared" si="22"/>
        <v>1.9420192113938457E-3</v>
      </c>
      <c r="C89">
        <f t="shared" si="1"/>
        <v>1.9420192113938457E-3</v>
      </c>
      <c r="D89" t="s">
        <v>23</v>
      </c>
      <c r="E89" t="s">
        <v>21</v>
      </c>
      <c r="F89">
        <v>1</v>
      </c>
      <c r="G89">
        <f t="shared" si="23"/>
        <v>135</v>
      </c>
      <c r="I89">
        <v>2014</v>
      </c>
      <c r="J89">
        <f t="shared" si="24"/>
        <v>137.5</v>
      </c>
      <c r="K89" cm="1">
        <f t="array" ref="K89">STOWA2019_JAARROND_T(A89*60,J89,I89,"","")</f>
        <v>173.46516328672925</v>
      </c>
      <c r="L89">
        <f t="shared" si="25"/>
        <v>5.764846272603162E-3</v>
      </c>
    </row>
    <row r="90" spans="1:12" x14ac:dyDescent="0.3">
      <c r="A90">
        <v>96</v>
      </c>
      <c r="B90">
        <f t="shared" si="22"/>
        <v>1.4334511926966317E-3</v>
      </c>
      <c r="C90">
        <f t="shared" si="1"/>
        <v>1.4334511926966317E-3</v>
      </c>
      <c r="D90" t="s">
        <v>23</v>
      </c>
      <c r="E90" t="s">
        <v>21</v>
      </c>
      <c r="F90">
        <v>1</v>
      </c>
      <c r="G90">
        <f t="shared" si="23"/>
        <v>140</v>
      </c>
      <c r="I90">
        <v>2014</v>
      </c>
      <c r="J90">
        <f t="shared" si="24"/>
        <v>142.5</v>
      </c>
      <c r="K90" cm="1">
        <f t="array" ref="K90">STOWA2019_JAARROND_T(A90*60,J90,I90,"","")</f>
        <v>230.8724975560483</v>
      </c>
      <c r="L90">
        <f t="shared" si="25"/>
        <v>4.3313950799065302E-3</v>
      </c>
    </row>
    <row r="91" spans="1:12" x14ac:dyDescent="0.3">
      <c r="A91">
        <v>96</v>
      </c>
      <c r="B91">
        <f t="shared" si="22"/>
        <v>1.0629214299124369E-3</v>
      </c>
      <c r="C91">
        <f t="shared" si="1"/>
        <v>1.0629214299124369E-3</v>
      </c>
      <c r="D91" t="s">
        <v>23</v>
      </c>
      <c r="E91" t="s">
        <v>21</v>
      </c>
      <c r="F91">
        <v>1</v>
      </c>
      <c r="G91">
        <f t="shared" si="23"/>
        <v>145</v>
      </c>
      <c r="I91">
        <v>2014</v>
      </c>
      <c r="J91">
        <f t="shared" si="24"/>
        <v>147.5</v>
      </c>
      <c r="K91" cm="1">
        <f t="array" ref="K91">STOWA2019_JAARROND_T(A91*60,J91,I91,"","")</f>
        <v>305.95320846530524</v>
      </c>
      <c r="L91">
        <f t="shared" si="25"/>
        <v>3.2684736499940933E-3</v>
      </c>
    </row>
    <row r="92" spans="1:12" x14ac:dyDescent="0.3">
      <c r="A92">
        <v>96</v>
      </c>
      <c r="B92">
        <f t="shared" si="22"/>
        <v>7.917310386868358E-4</v>
      </c>
      <c r="C92">
        <f t="shared" si="1"/>
        <v>7.917310386868358E-4</v>
      </c>
      <c r="D92" t="s">
        <v>23</v>
      </c>
      <c r="E92" t="s">
        <v>21</v>
      </c>
      <c r="F92">
        <v>1</v>
      </c>
      <c r="G92">
        <f t="shared" si="23"/>
        <v>150</v>
      </c>
      <c r="I92">
        <v>2014</v>
      </c>
      <c r="J92">
        <f t="shared" si="24"/>
        <v>152.5</v>
      </c>
      <c r="K92" cm="1">
        <f t="array" ref="K92">STOWA2019_JAARROND_T(A92*60,J92,I92,"","")</f>
        <v>403.75612525686989</v>
      </c>
      <c r="L92">
        <f t="shared" si="25"/>
        <v>2.4767426113072575E-3</v>
      </c>
    </row>
    <row r="93" spans="1:12" x14ac:dyDescent="0.3">
      <c r="A93">
        <v>96</v>
      </c>
      <c r="B93">
        <f t="shared" si="22"/>
        <v>5.9230329302957518E-4</v>
      </c>
      <c r="C93">
        <f t="shared" si="1"/>
        <v>5.9230329302957518E-4</v>
      </c>
      <c r="D93" t="s">
        <v>23</v>
      </c>
      <c r="E93" t="s">
        <v>21</v>
      </c>
      <c r="F93">
        <v>1</v>
      </c>
      <c r="G93">
        <f t="shared" si="23"/>
        <v>155</v>
      </c>
      <c r="I93">
        <v>2014</v>
      </c>
      <c r="J93">
        <f t="shared" si="24"/>
        <v>157.5</v>
      </c>
      <c r="K93" cm="1">
        <f t="array" ref="K93">STOWA2019_JAARROND_T(A93*60,J93,I93,"","")</f>
        <v>530.66182089321308</v>
      </c>
      <c r="L93">
        <f t="shared" si="25"/>
        <v>1.8844393182776823E-3</v>
      </c>
    </row>
    <row r="94" spans="1:12" x14ac:dyDescent="0.3">
      <c r="A94">
        <v>96</v>
      </c>
      <c r="B94" s="1">
        <f>L93</f>
        <v>1.8844393182776823E-3</v>
      </c>
      <c r="C94">
        <f t="shared" si="1"/>
        <v>1.8844393182776823E-3</v>
      </c>
      <c r="D94" t="s">
        <v>23</v>
      </c>
      <c r="E94" t="s">
        <v>21</v>
      </c>
      <c r="F94">
        <v>1</v>
      </c>
      <c r="G94">
        <f t="shared" si="23"/>
        <v>160</v>
      </c>
      <c r="I94">
        <v>2014</v>
      </c>
      <c r="J94">
        <f>AVERAGE(G94:G95)</f>
        <v>85</v>
      </c>
      <c r="K94" cm="1">
        <f t="array" ref="K94">STOWA2019_JAARROND_T(A94*60,J94,I94,"","")</f>
        <v>6.394865932424926</v>
      </c>
      <c r="L94">
        <f>1/K94</f>
        <v>0.15637544407765264</v>
      </c>
    </row>
    <row r="95" spans="1:12" x14ac:dyDescent="0.3">
      <c r="A95">
        <v>192</v>
      </c>
      <c r="B95" s="1">
        <f>365.25*24/A95 - L95</f>
        <v>-8.5460547250979673</v>
      </c>
      <c r="C95">
        <f>B95</f>
        <v>-8.5460547250979673</v>
      </c>
      <c r="D95" t="s">
        <v>23</v>
      </c>
      <c r="E95" t="s">
        <v>21</v>
      </c>
      <c r="F95">
        <v>1</v>
      </c>
      <c r="G95">
        <v>10</v>
      </c>
      <c r="I95">
        <v>2014</v>
      </c>
      <c r="J95">
        <f>AVERAGE(G95:G97)</f>
        <v>15</v>
      </c>
      <c r="K95" cm="1">
        <f t="array" ref="K95">STOWA2019_JAARROND_T(A95*60,J95,I95,"","")</f>
        <v>1.8449399985328623E-2</v>
      </c>
      <c r="L95">
        <f>1/K95</f>
        <v>54.202304725097967</v>
      </c>
    </row>
    <row r="96" spans="1:12" x14ac:dyDescent="0.3">
      <c r="A96">
        <v>192</v>
      </c>
      <c r="B96">
        <f t="shared" ref="B96:B100" si="26">L95-L96</f>
        <v>7.7224328062273244</v>
      </c>
      <c r="C96">
        <f t="shared" si="1"/>
        <v>7.7224328062273244</v>
      </c>
      <c r="D96" t="s">
        <v>23</v>
      </c>
      <c r="E96" t="s">
        <v>21</v>
      </c>
      <c r="F96">
        <v>1</v>
      </c>
      <c r="G96">
        <f t="shared" ref="G96:G100" si="27">G95+5</f>
        <v>15</v>
      </c>
      <c r="I96">
        <v>2014</v>
      </c>
      <c r="J96">
        <f t="shared" ref="J96:J100" si="28">AVERAGE(G96:G97)</f>
        <v>17.5</v>
      </c>
      <c r="K96" cm="1">
        <f t="array" ref="K96">STOWA2019_JAARROND_T(A96*60,J96,I96,"","")</f>
        <v>2.1514689234631991E-2</v>
      </c>
      <c r="L96">
        <f t="shared" ref="L96:L100" si="29">1/K96</f>
        <v>46.479871918870643</v>
      </c>
    </row>
    <row r="97" spans="1:12" x14ac:dyDescent="0.3">
      <c r="A97">
        <v>192</v>
      </c>
      <c r="B97">
        <f t="shared" si="26"/>
        <v>12.311338318724481</v>
      </c>
      <c r="C97">
        <f t="shared" si="1"/>
        <v>12.311338318724481</v>
      </c>
      <c r="D97" t="s">
        <v>23</v>
      </c>
      <c r="E97" t="s">
        <v>21</v>
      </c>
      <c r="F97">
        <v>1</v>
      </c>
      <c r="G97">
        <f t="shared" si="27"/>
        <v>20</v>
      </c>
      <c r="I97">
        <v>2014</v>
      </c>
      <c r="J97">
        <f t="shared" si="28"/>
        <v>22.5</v>
      </c>
      <c r="K97" cm="1">
        <f t="array" ref="K97">STOWA2019_JAARROND_T(A97*60,J97,I97,"","")</f>
        <v>2.9266693493563395E-2</v>
      </c>
      <c r="L97">
        <f t="shared" si="29"/>
        <v>34.168533600146162</v>
      </c>
    </row>
    <row r="98" spans="1:12" x14ac:dyDescent="0.3">
      <c r="A98">
        <v>192</v>
      </c>
      <c r="B98">
        <f t="shared" si="26"/>
        <v>9.0603275114890636</v>
      </c>
      <c r="C98">
        <f t="shared" si="1"/>
        <v>9.0603275114890636</v>
      </c>
      <c r="D98" t="s">
        <v>23</v>
      </c>
      <c r="E98" t="s">
        <v>21</v>
      </c>
      <c r="F98">
        <v>1</v>
      </c>
      <c r="G98">
        <f t="shared" si="27"/>
        <v>25</v>
      </c>
      <c r="I98">
        <v>2014</v>
      </c>
      <c r="J98">
        <f t="shared" si="28"/>
        <v>27.5</v>
      </c>
      <c r="K98" cm="1">
        <f t="array" ref="K98">STOWA2019_JAARROND_T(A98*60,J98,I98,"","")</f>
        <v>3.9827616376454739E-2</v>
      </c>
      <c r="L98">
        <f t="shared" si="29"/>
        <v>25.108206088657099</v>
      </c>
    </row>
    <row r="99" spans="1:12" x14ac:dyDescent="0.3">
      <c r="A99">
        <v>192</v>
      </c>
      <c r="B99">
        <f t="shared" si="26"/>
        <v>6.6655142500844455</v>
      </c>
      <c r="C99">
        <f t="shared" si="1"/>
        <v>6.6655142500844455</v>
      </c>
      <c r="D99" t="s">
        <v>23</v>
      </c>
      <c r="E99" t="s">
        <v>21</v>
      </c>
      <c r="F99">
        <v>1</v>
      </c>
      <c r="G99">
        <f t="shared" si="27"/>
        <v>30</v>
      </c>
      <c r="I99">
        <v>2014</v>
      </c>
      <c r="J99">
        <f t="shared" si="28"/>
        <v>32.5</v>
      </c>
      <c r="K99" cm="1">
        <f t="array" ref="K99">STOWA2019_JAARROND_T(A99*60,J99,I99,"","")</f>
        <v>5.4222019689583102E-2</v>
      </c>
      <c r="L99">
        <f t="shared" si="29"/>
        <v>18.442691838572653</v>
      </c>
    </row>
    <row r="100" spans="1:12" x14ac:dyDescent="0.3">
      <c r="A100">
        <v>192</v>
      </c>
      <c r="B100">
        <f t="shared" si="26"/>
        <v>4.9015104158585991</v>
      </c>
      <c r="C100">
        <f t="shared" si="1"/>
        <v>4.9015104158585991</v>
      </c>
      <c r="D100" t="s">
        <v>23</v>
      </c>
      <c r="E100" t="s">
        <v>21</v>
      </c>
      <c r="F100">
        <v>1</v>
      </c>
      <c r="G100">
        <f t="shared" si="27"/>
        <v>35</v>
      </c>
      <c r="I100">
        <v>2014</v>
      </c>
      <c r="J100">
        <f t="shared" si="28"/>
        <v>37.5</v>
      </c>
      <c r="K100" cm="1">
        <f t="array" ref="K100">STOWA2019_JAARROND_T(A100*60,J100,I100,"","")</f>
        <v>7.3848800099716144E-2</v>
      </c>
      <c r="L100">
        <f t="shared" si="29"/>
        <v>13.541181422714054</v>
      </c>
    </row>
    <row r="101" spans="1:12" x14ac:dyDescent="0.3">
      <c r="A101">
        <v>192</v>
      </c>
      <c r="B101">
        <f>L100-L101</f>
        <v>3.602882342904314</v>
      </c>
      <c r="C101">
        <f t="shared" si="1"/>
        <v>3.602882342904314</v>
      </c>
      <c r="D101" t="s">
        <v>23</v>
      </c>
      <c r="E101" t="s">
        <v>21</v>
      </c>
      <c r="F101">
        <v>1</v>
      </c>
      <c r="G101">
        <f>G100+5</f>
        <v>40</v>
      </c>
      <c r="I101">
        <v>2014</v>
      </c>
      <c r="J101">
        <f>AVERAGE(G101:G102)</f>
        <v>42.5</v>
      </c>
      <c r="K101" cm="1">
        <f t="array" ref="K101">STOWA2019_JAARROND_T(A101*60,J101,I101,"","")</f>
        <v>0.10062083984084973</v>
      </c>
      <c r="L101">
        <f>1/K101</f>
        <v>9.9382990798097399</v>
      </c>
    </row>
    <row r="102" spans="1:12" x14ac:dyDescent="0.3">
      <c r="A102">
        <v>192</v>
      </c>
      <c r="B102">
        <f t="shared" ref="B102:B124" si="30">L101-L102</f>
        <v>2.6472460475164086</v>
      </c>
      <c r="C102">
        <f t="shared" si="1"/>
        <v>2.6472460475164086</v>
      </c>
      <c r="D102" t="s">
        <v>23</v>
      </c>
      <c r="E102" t="s">
        <v>21</v>
      </c>
      <c r="F102">
        <v>1</v>
      </c>
      <c r="G102">
        <f t="shared" ref="G102:G125" si="31">G101+5</f>
        <v>45</v>
      </c>
      <c r="I102">
        <v>2014</v>
      </c>
      <c r="J102">
        <f t="shared" ref="J102:J124" si="32">AVERAGE(G102:G103)</f>
        <v>47.5</v>
      </c>
      <c r="K102" cm="1">
        <f t="array" ref="K102">STOWA2019_JAARROND_T(A102*60,J102,I102,"","")</f>
        <v>0.13715439944968547</v>
      </c>
      <c r="L102">
        <f t="shared" ref="L102:L124" si="33">1/K102</f>
        <v>7.2910530322933313</v>
      </c>
    </row>
    <row r="103" spans="1:12" x14ac:dyDescent="0.3">
      <c r="A103">
        <v>192</v>
      </c>
      <c r="B103">
        <f t="shared" si="30"/>
        <v>1.9443605564131081</v>
      </c>
      <c r="C103">
        <f t="shared" si="1"/>
        <v>1.9443605564131081</v>
      </c>
      <c r="D103" t="s">
        <v>23</v>
      </c>
      <c r="E103" t="s">
        <v>21</v>
      </c>
      <c r="F103">
        <v>1</v>
      </c>
      <c r="G103">
        <f t="shared" si="31"/>
        <v>50</v>
      </c>
      <c r="I103">
        <v>2014</v>
      </c>
      <c r="J103">
        <f t="shared" si="32"/>
        <v>52.5</v>
      </c>
      <c r="K103" cm="1">
        <f t="array" ref="K103">STOWA2019_JAARROND_T(A103*60,J103,I103,"","")</f>
        <v>0.18703151612163191</v>
      </c>
      <c r="L103">
        <f t="shared" si="33"/>
        <v>5.3466924758802232</v>
      </c>
    </row>
    <row r="104" spans="1:12" x14ac:dyDescent="0.3">
      <c r="A104">
        <v>192</v>
      </c>
      <c r="B104">
        <f t="shared" si="30"/>
        <v>1.4273965885624156</v>
      </c>
      <c r="C104">
        <f t="shared" si="1"/>
        <v>1.4273965885624156</v>
      </c>
      <c r="D104" t="s">
        <v>23</v>
      </c>
      <c r="E104" t="s">
        <v>21</v>
      </c>
      <c r="F104">
        <v>1</v>
      </c>
      <c r="G104">
        <f t="shared" si="31"/>
        <v>55</v>
      </c>
      <c r="I104">
        <v>2014</v>
      </c>
      <c r="J104">
        <f t="shared" si="32"/>
        <v>57.5</v>
      </c>
      <c r="K104" cm="1">
        <f t="array" ref="K104">STOWA2019_JAARROND_T(A104*60,J104,I104,"","")</f>
        <v>0.25514787062539329</v>
      </c>
      <c r="L104">
        <f t="shared" si="33"/>
        <v>3.9192958873178076</v>
      </c>
    </row>
    <row r="105" spans="1:12" x14ac:dyDescent="0.3">
      <c r="A105">
        <v>192</v>
      </c>
      <c r="B105">
        <f t="shared" si="30"/>
        <v>1.0475402549690407</v>
      </c>
      <c r="C105">
        <f t="shared" si="1"/>
        <v>1.0475402549690407</v>
      </c>
      <c r="D105" t="s">
        <v>23</v>
      </c>
      <c r="E105" t="s">
        <v>21</v>
      </c>
      <c r="F105">
        <v>1</v>
      </c>
      <c r="G105">
        <f t="shared" si="31"/>
        <v>60</v>
      </c>
      <c r="I105">
        <v>2014</v>
      </c>
      <c r="J105">
        <f t="shared" si="32"/>
        <v>62.5</v>
      </c>
      <c r="K105" cm="1">
        <f t="array" ref="K105">STOWA2019_JAARROND_T(A105*60,J105,I105,"","")</f>
        <v>0.34821904368726342</v>
      </c>
      <c r="L105">
        <f t="shared" si="33"/>
        <v>2.871755632348767</v>
      </c>
    </row>
    <row r="106" spans="1:12" x14ac:dyDescent="0.3">
      <c r="A106">
        <v>192</v>
      </c>
      <c r="B106">
        <f t="shared" si="30"/>
        <v>0.76841713880783935</v>
      </c>
      <c r="C106">
        <f t="shared" si="1"/>
        <v>0.76841713880783935</v>
      </c>
      <c r="D106" t="s">
        <v>23</v>
      </c>
      <c r="E106" t="s">
        <v>21</v>
      </c>
      <c r="F106">
        <v>1</v>
      </c>
      <c r="G106">
        <f t="shared" si="31"/>
        <v>65</v>
      </c>
      <c r="I106">
        <v>2014</v>
      </c>
      <c r="J106">
        <f t="shared" si="32"/>
        <v>67.5</v>
      </c>
      <c r="K106" cm="1">
        <f t="array" ref="K106">STOWA2019_JAARROND_T(A106*60,J106,I106,"","")</f>
        <v>0.47543464975840399</v>
      </c>
      <c r="L106">
        <f t="shared" si="33"/>
        <v>2.1033384935409276</v>
      </c>
    </row>
    <row r="107" spans="1:12" x14ac:dyDescent="0.3">
      <c r="A107">
        <v>192</v>
      </c>
      <c r="B107">
        <f t="shared" si="30"/>
        <v>0.56346255485483376</v>
      </c>
      <c r="C107">
        <f t="shared" si="1"/>
        <v>0.56346255485483376</v>
      </c>
      <c r="D107" t="s">
        <v>23</v>
      </c>
      <c r="E107" t="s">
        <v>21</v>
      </c>
      <c r="F107">
        <v>1</v>
      </c>
      <c r="G107">
        <f t="shared" si="31"/>
        <v>70</v>
      </c>
      <c r="I107">
        <v>2014</v>
      </c>
      <c r="J107">
        <f t="shared" si="32"/>
        <v>72.5</v>
      </c>
      <c r="K107" cm="1">
        <f t="array" ref="K107">STOWA2019_JAARROND_T(A107*60,J107,I107,"","")</f>
        <v>0.64940296479549808</v>
      </c>
      <c r="L107">
        <f t="shared" si="33"/>
        <v>1.5398759386860938</v>
      </c>
    </row>
    <row r="108" spans="1:12" x14ac:dyDescent="0.3">
      <c r="A108">
        <v>192</v>
      </c>
      <c r="B108">
        <f t="shared" si="30"/>
        <v>0.41298007052311259</v>
      </c>
      <c r="C108">
        <f t="shared" si="1"/>
        <v>0.41298007052311259</v>
      </c>
      <c r="D108" t="s">
        <v>23</v>
      </c>
      <c r="E108" t="s">
        <v>21</v>
      </c>
      <c r="F108">
        <v>1</v>
      </c>
      <c r="G108">
        <f t="shared" si="31"/>
        <v>75</v>
      </c>
      <c r="I108">
        <v>2014</v>
      </c>
      <c r="J108">
        <f t="shared" si="32"/>
        <v>77.5</v>
      </c>
      <c r="K108" cm="1">
        <f t="array" ref="K108">STOWA2019_JAARROND_T(A108*60,J108,I108,"","")</f>
        <v>0.88739343913839908</v>
      </c>
      <c r="L108">
        <f t="shared" si="33"/>
        <v>1.1268958681629813</v>
      </c>
    </row>
    <row r="109" spans="1:12" x14ac:dyDescent="0.3">
      <c r="A109">
        <v>192</v>
      </c>
      <c r="B109">
        <f t="shared" si="30"/>
        <v>0.30249222830275335</v>
      </c>
      <c r="C109">
        <f t="shared" si="1"/>
        <v>0.30249222830275335</v>
      </c>
      <c r="D109" t="s">
        <v>23</v>
      </c>
      <c r="E109" t="s">
        <v>21</v>
      </c>
      <c r="F109">
        <v>1</v>
      </c>
      <c r="G109">
        <f t="shared" si="31"/>
        <v>80</v>
      </c>
      <c r="I109">
        <v>2014</v>
      </c>
      <c r="J109">
        <f t="shared" si="32"/>
        <v>82.5</v>
      </c>
      <c r="K109" cm="1">
        <f t="array" ref="K109">STOWA2019_JAARROND_T(A109*60,J109,I109,"","")</f>
        <v>1.2129980408256607</v>
      </c>
      <c r="L109">
        <f t="shared" si="33"/>
        <v>0.82440363986022791</v>
      </c>
    </row>
    <row r="110" spans="1:12" x14ac:dyDescent="0.3">
      <c r="A110">
        <v>192</v>
      </c>
      <c r="B110">
        <f t="shared" si="30"/>
        <v>0.22159930078291135</v>
      </c>
      <c r="C110">
        <f t="shared" si="1"/>
        <v>0.22159930078291135</v>
      </c>
      <c r="D110" t="s">
        <v>23</v>
      </c>
      <c r="E110" t="s">
        <v>21</v>
      </c>
      <c r="F110">
        <v>1</v>
      </c>
      <c r="G110">
        <f t="shared" si="31"/>
        <v>85</v>
      </c>
      <c r="I110">
        <v>2014</v>
      </c>
      <c r="J110">
        <f t="shared" si="32"/>
        <v>87.5</v>
      </c>
      <c r="K110" cm="1">
        <f t="array" ref="K110">STOWA2019_JAARROND_T(A110*60,J110,I110,"","")</f>
        <v>1.6589130753946657</v>
      </c>
      <c r="L110">
        <f t="shared" si="33"/>
        <v>0.60280433907731656</v>
      </c>
    </row>
    <row r="111" spans="1:12" x14ac:dyDescent="0.3">
      <c r="A111">
        <v>192</v>
      </c>
      <c r="B111">
        <f t="shared" si="30"/>
        <v>0.16221855631385668</v>
      </c>
      <c r="C111">
        <f t="shared" si="1"/>
        <v>0.16221855631385668</v>
      </c>
      <c r="D111" t="s">
        <v>23</v>
      </c>
      <c r="E111" t="s">
        <v>21</v>
      </c>
      <c r="F111">
        <v>1</v>
      </c>
      <c r="G111">
        <f t="shared" si="31"/>
        <v>90</v>
      </c>
      <c r="I111">
        <v>2014</v>
      </c>
      <c r="J111">
        <f t="shared" si="32"/>
        <v>92.5</v>
      </c>
      <c r="K111" cm="1">
        <f t="array" ref="K111">STOWA2019_JAARROND_T(A111*60,J111,I111,"","")</f>
        <v>2.2697055581951822</v>
      </c>
      <c r="L111">
        <f t="shared" si="33"/>
        <v>0.44058578276345989</v>
      </c>
    </row>
    <row r="112" spans="1:12" x14ac:dyDescent="0.3">
      <c r="A112">
        <v>192</v>
      </c>
      <c r="B112">
        <f t="shared" si="30"/>
        <v>0.1187018746014819</v>
      </c>
      <c r="C112">
        <f t="shared" si="1"/>
        <v>0.1187018746014819</v>
      </c>
      <c r="D112" t="s">
        <v>23</v>
      </c>
      <c r="E112" t="s">
        <v>21</v>
      </c>
      <c r="F112">
        <v>1</v>
      </c>
      <c r="G112">
        <f t="shared" si="31"/>
        <v>95</v>
      </c>
      <c r="I112">
        <v>2014</v>
      </c>
      <c r="J112">
        <f t="shared" si="32"/>
        <v>97.5</v>
      </c>
      <c r="K112" cm="1">
        <f t="array" ref="K112">STOWA2019_JAARROND_T(A112*60,J112,I112,"","")</f>
        <v>3.1067101356827735</v>
      </c>
      <c r="L112">
        <f t="shared" si="33"/>
        <v>0.32188390816197798</v>
      </c>
    </row>
    <row r="113" spans="1:12" x14ac:dyDescent="0.3">
      <c r="A113">
        <v>192</v>
      </c>
      <c r="B113">
        <f t="shared" si="30"/>
        <v>8.6819320320126708E-2</v>
      </c>
      <c r="C113">
        <f t="shared" si="1"/>
        <v>8.6819320320126708E-2</v>
      </c>
      <c r="D113" t="s">
        <v>23</v>
      </c>
      <c r="E113" t="s">
        <v>21</v>
      </c>
      <c r="F113">
        <v>1</v>
      </c>
      <c r="G113">
        <f t="shared" si="31"/>
        <v>100</v>
      </c>
      <c r="I113">
        <v>2014</v>
      </c>
      <c r="J113">
        <f t="shared" si="32"/>
        <v>102.5</v>
      </c>
      <c r="K113" cm="1">
        <f t="array" ref="K113">STOWA2019_JAARROND_T(A113*60,J113,I113,"","")</f>
        <v>4.254149930370577</v>
      </c>
      <c r="L113">
        <f t="shared" si="33"/>
        <v>0.23506458784185127</v>
      </c>
    </row>
    <row r="114" spans="1:12" x14ac:dyDescent="0.3">
      <c r="A114">
        <v>192</v>
      </c>
      <c r="B114">
        <f t="shared" si="30"/>
        <v>6.3476537548437878E-2</v>
      </c>
      <c r="C114">
        <f t="shared" si="1"/>
        <v>6.3476537548437878E-2</v>
      </c>
      <c r="D114" t="s">
        <v>23</v>
      </c>
      <c r="E114" t="s">
        <v>21</v>
      </c>
      <c r="F114">
        <v>1</v>
      </c>
      <c r="G114">
        <f t="shared" si="31"/>
        <v>105</v>
      </c>
      <c r="I114">
        <v>2014</v>
      </c>
      <c r="J114">
        <f t="shared" si="32"/>
        <v>107.5</v>
      </c>
      <c r="K114" cm="1">
        <f t="array" ref="K114">STOWA2019_JAARROND_T(A114*60,J114,I114,"","")</f>
        <v>5.8279116657017349</v>
      </c>
      <c r="L114">
        <f t="shared" si="33"/>
        <v>0.1715880502934134</v>
      </c>
    </row>
    <row r="115" spans="1:12" x14ac:dyDescent="0.3">
      <c r="A115">
        <v>192</v>
      </c>
      <c r="B115">
        <f t="shared" si="30"/>
        <v>4.6387728125294486E-2</v>
      </c>
      <c r="C115">
        <f t="shared" si="1"/>
        <v>4.6387728125294486E-2</v>
      </c>
      <c r="D115" t="s">
        <v>23</v>
      </c>
      <c r="E115" t="s">
        <v>21</v>
      </c>
      <c r="F115">
        <v>1</v>
      </c>
      <c r="G115">
        <f t="shared" si="31"/>
        <v>110</v>
      </c>
      <c r="I115">
        <v>2014</v>
      </c>
      <c r="J115">
        <f t="shared" si="32"/>
        <v>112.5</v>
      </c>
      <c r="K115" cm="1">
        <f t="array" ref="K115">STOWA2019_JAARROND_T(A115*60,J115,I115,"","")</f>
        <v>7.9871998943996374</v>
      </c>
      <c r="L115">
        <f t="shared" si="33"/>
        <v>0.12520032216811891</v>
      </c>
    </row>
    <row r="116" spans="1:12" x14ac:dyDescent="0.3">
      <c r="A116">
        <v>192</v>
      </c>
      <c r="B116">
        <f t="shared" si="30"/>
        <v>3.3886065033070234E-2</v>
      </c>
      <c r="C116">
        <f t="shared" si="1"/>
        <v>3.3886065033070234E-2</v>
      </c>
      <c r="D116" t="s">
        <v>23</v>
      </c>
      <c r="E116" t="s">
        <v>21</v>
      </c>
      <c r="F116">
        <v>1</v>
      </c>
      <c r="G116">
        <f t="shared" si="31"/>
        <v>115</v>
      </c>
      <c r="I116">
        <v>2014</v>
      </c>
      <c r="J116">
        <f t="shared" si="32"/>
        <v>117.5</v>
      </c>
      <c r="K116" cm="1">
        <f t="array" ref="K116">STOWA2019_JAARROND_T(A116*60,J116,I116,"","")</f>
        <v>10.951192413700042</v>
      </c>
      <c r="L116">
        <f t="shared" si="33"/>
        <v>9.1314257135048676E-2</v>
      </c>
    </row>
    <row r="117" spans="1:12" x14ac:dyDescent="0.3">
      <c r="A117">
        <v>192</v>
      </c>
      <c r="B117">
        <f t="shared" si="30"/>
        <v>2.4743110472328966E-2</v>
      </c>
      <c r="C117">
        <f t="shared" si="1"/>
        <v>2.4743110472328966E-2</v>
      </c>
      <c r="D117" t="s">
        <v>23</v>
      </c>
      <c r="E117" t="s">
        <v>21</v>
      </c>
      <c r="F117">
        <v>1</v>
      </c>
      <c r="G117">
        <f t="shared" si="31"/>
        <v>120</v>
      </c>
      <c r="I117">
        <v>2014</v>
      </c>
      <c r="J117">
        <f t="shared" si="32"/>
        <v>122.5</v>
      </c>
      <c r="K117" cm="1">
        <f t="array" ref="K117">STOWA2019_JAARROND_T(A117*60,J117,I117,"","")</f>
        <v>15.021522838812789</v>
      </c>
      <c r="L117">
        <f t="shared" si="33"/>
        <v>6.657114666271971E-2</v>
      </c>
    </row>
    <row r="118" spans="1:12" x14ac:dyDescent="0.3">
      <c r="A118">
        <v>192</v>
      </c>
      <c r="B118">
        <f t="shared" si="30"/>
        <v>1.8059353330081372E-2</v>
      </c>
      <c r="C118">
        <f t="shared" si="1"/>
        <v>1.8059353330081372E-2</v>
      </c>
      <c r="D118" t="s">
        <v>23</v>
      </c>
      <c r="E118" t="s">
        <v>21</v>
      </c>
      <c r="F118">
        <v>1</v>
      </c>
      <c r="G118">
        <f t="shared" si="31"/>
        <v>125</v>
      </c>
      <c r="I118">
        <v>2014</v>
      </c>
      <c r="J118">
        <f t="shared" si="32"/>
        <v>127.5</v>
      </c>
      <c r="K118" cm="1">
        <f t="array" ref="K118">STOWA2019_JAARROND_T(A118*60,J118,I118,"","")</f>
        <v>20.613544280730768</v>
      </c>
      <c r="L118">
        <f t="shared" si="33"/>
        <v>4.8511793332638338E-2</v>
      </c>
    </row>
    <row r="119" spans="1:12" x14ac:dyDescent="0.3">
      <c r="A119">
        <v>192</v>
      </c>
      <c r="B119">
        <f t="shared" si="30"/>
        <v>1.3175418674828035E-2</v>
      </c>
      <c r="C119">
        <f t="shared" si="1"/>
        <v>1.3175418674828035E-2</v>
      </c>
      <c r="D119" t="s">
        <v>23</v>
      </c>
      <c r="E119" t="s">
        <v>21</v>
      </c>
      <c r="F119">
        <v>1</v>
      </c>
      <c r="G119">
        <f t="shared" si="31"/>
        <v>130</v>
      </c>
      <c r="I119">
        <v>2014</v>
      </c>
      <c r="J119">
        <f t="shared" si="32"/>
        <v>132.5</v>
      </c>
      <c r="K119" cm="1">
        <f t="array" ref="K119">STOWA2019_JAARROND_T(A119*60,J119,I119,"","")</f>
        <v>28.299450910960179</v>
      </c>
      <c r="L119">
        <f t="shared" si="33"/>
        <v>3.5336374657810303E-2</v>
      </c>
    </row>
    <row r="120" spans="1:12" x14ac:dyDescent="0.3">
      <c r="A120">
        <v>192</v>
      </c>
      <c r="B120">
        <f t="shared" si="30"/>
        <v>9.6083325833444221E-3</v>
      </c>
      <c r="C120">
        <f t="shared" si="1"/>
        <v>9.6083325833444221E-3</v>
      </c>
      <c r="D120" t="s">
        <v>23</v>
      </c>
      <c r="E120" t="s">
        <v>21</v>
      </c>
      <c r="F120">
        <v>1</v>
      </c>
      <c r="G120">
        <f t="shared" si="31"/>
        <v>135</v>
      </c>
      <c r="I120">
        <v>2014</v>
      </c>
      <c r="J120">
        <f t="shared" si="32"/>
        <v>137.5</v>
      </c>
      <c r="K120" cm="1">
        <f t="array" ref="K120">STOWA2019_JAARROND_T(A120*60,J120,I120,"","")</f>
        <v>38.868095640766327</v>
      </c>
      <c r="L120">
        <f t="shared" si="33"/>
        <v>2.5728042074465881E-2</v>
      </c>
    </row>
    <row r="121" spans="1:12" x14ac:dyDescent="0.3">
      <c r="A121">
        <v>192</v>
      </c>
      <c r="B121">
        <f t="shared" si="30"/>
        <v>7.0036936916482266E-3</v>
      </c>
      <c r="C121">
        <f t="shared" si="1"/>
        <v>7.0036936916482266E-3</v>
      </c>
      <c r="D121" t="s">
        <v>23</v>
      </c>
      <c r="E121" t="s">
        <v>21</v>
      </c>
      <c r="F121">
        <v>1</v>
      </c>
      <c r="G121">
        <f t="shared" si="31"/>
        <v>140</v>
      </c>
      <c r="I121">
        <v>2014</v>
      </c>
      <c r="J121">
        <f t="shared" si="32"/>
        <v>142.5</v>
      </c>
      <c r="K121" cm="1">
        <f t="array" ref="K121">STOWA2019_JAARROND_T(A121*60,J121,I121,"","")</f>
        <v>53.406397891936642</v>
      </c>
      <c r="L121">
        <f t="shared" si="33"/>
        <v>1.8724348382817654E-2</v>
      </c>
    </row>
    <row r="122" spans="1:12" x14ac:dyDescent="0.3">
      <c r="A122">
        <v>192</v>
      </c>
      <c r="B122">
        <f t="shared" si="30"/>
        <v>5.1030479034944211E-3</v>
      </c>
      <c r="C122">
        <f t="shared" si="1"/>
        <v>5.1030479034944211E-3</v>
      </c>
      <c r="D122" t="s">
        <v>23</v>
      </c>
      <c r="E122" t="s">
        <v>21</v>
      </c>
      <c r="F122">
        <v>1</v>
      </c>
      <c r="G122">
        <f t="shared" si="31"/>
        <v>145</v>
      </c>
      <c r="I122">
        <v>2014</v>
      </c>
      <c r="J122">
        <f t="shared" si="32"/>
        <v>147.5</v>
      </c>
      <c r="K122" cm="1">
        <f t="array" ref="K122">STOWA2019_JAARROND_T(A122*60,J122,I122,"","")</f>
        <v>73.414429225606838</v>
      </c>
      <c r="L122">
        <f t="shared" si="33"/>
        <v>1.3621300479323233E-2</v>
      </c>
    </row>
    <row r="123" spans="1:12" x14ac:dyDescent="0.3">
      <c r="A123">
        <v>192</v>
      </c>
      <c r="B123">
        <f t="shared" si="30"/>
        <v>3.7165893982455747E-3</v>
      </c>
      <c r="C123">
        <f t="shared" si="1"/>
        <v>3.7165893982455747E-3</v>
      </c>
      <c r="D123" t="s">
        <v>23</v>
      </c>
      <c r="E123" t="s">
        <v>21</v>
      </c>
      <c r="F123">
        <v>1</v>
      </c>
      <c r="G123">
        <f t="shared" si="31"/>
        <v>150</v>
      </c>
      <c r="I123">
        <v>2014</v>
      </c>
      <c r="J123">
        <f t="shared" si="32"/>
        <v>152.5</v>
      </c>
      <c r="K123" cm="1">
        <f t="array" ref="K123">STOWA2019_JAARROND_T(A123*60,J123,I123,"","")</f>
        <v>100.96205652181399</v>
      </c>
      <c r="L123">
        <f t="shared" si="33"/>
        <v>9.9047110810776585E-3</v>
      </c>
    </row>
    <row r="124" spans="1:12" x14ac:dyDescent="0.3">
      <c r="A124">
        <v>192</v>
      </c>
      <c r="B124">
        <f t="shared" si="30"/>
        <v>2.7056490196688057E-3</v>
      </c>
      <c r="C124">
        <f t="shared" si="1"/>
        <v>2.7056490196688057E-3</v>
      </c>
      <c r="D124" t="s">
        <v>23</v>
      </c>
      <c r="E124" t="s">
        <v>21</v>
      </c>
      <c r="F124">
        <v>1</v>
      </c>
      <c r="G124">
        <f t="shared" si="31"/>
        <v>155</v>
      </c>
      <c r="I124">
        <v>2014</v>
      </c>
      <c r="J124">
        <f t="shared" si="32"/>
        <v>157.5</v>
      </c>
      <c r="K124" cm="1">
        <f t="array" ref="K124">STOWA2019_JAARROND_T(A124*60,J124,I124,"","")</f>
        <v>138.90698419736924</v>
      </c>
      <c r="L124">
        <f t="shared" si="33"/>
        <v>7.1990620614088528E-3</v>
      </c>
    </row>
    <row r="125" spans="1:12" x14ac:dyDescent="0.3">
      <c r="A125">
        <v>192</v>
      </c>
      <c r="B125" s="1">
        <f>L124</f>
        <v>7.1990620614088528E-3</v>
      </c>
      <c r="C125">
        <f t="shared" si="1"/>
        <v>7.1990620614088528E-3</v>
      </c>
      <c r="D125" t="s">
        <v>23</v>
      </c>
      <c r="E125" t="s">
        <v>21</v>
      </c>
      <c r="F125">
        <v>1</v>
      </c>
      <c r="G125">
        <f t="shared" si="31"/>
        <v>160</v>
      </c>
      <c r="I125">
        <v>2014</v>
      </c>
      <c r="J125">
        <f>AVERAGE(G125:G126)</f>
        <v>85</v>
      </c>
      <c r="K125" cm="1">
        <f t="array" ref="K125">STOWA2019_JAARROND_T(A125*60,J125,I125,"","")</f>
        <v>1.4184669614313807</v>
      </c>
      <c r="L125">
        <f>1/K125</f>
        <v>0.7049864587546657</v>
      </c>
    </row>
    <row r="126" spans="1:12" x14ac:dyDescent="0.3">
      <c r="A126">
        <v>216</v>
      </c>
      <c r="B126" s="1">
        <f>365.25*24/A126 - L126</f>
        <v>-15.281678298460243</v>
      </c>
      <c r="C126">
        <f>B126</f>
        <v>-15.281678298460243</v>
      </c>
      <c r="D126" t="s">
        <v>23</v>
      </c>
      <c r="E126" t="s">
        <v>21</v>
      </c>
      <c r="F126">
        <v>1</v>
      </c>
      <c r="G126">
        <v>10</v>
      </c>
      <c r="I126">
        <v>2014</v>
      </c>
      <c r="J126">
        <f>AVERAGE(G126:G128)</f>
        <v>15</v>
      </c>
      <c r="K126" cm="1">
        <f t="array" ref="K126">STOWA2019_JAARROND_T(A126*60,J126,I126,"","")</f>
        <v>1.7900291627808158E-2</v>
      </c>
      <c r="L126">
        <f>1/K126</f>
        <v>55.865011631793578</v>
      </c>
    </row>
    <row r="127" spans="1:12" x14ac:dyDescent="0.3">
      <c r="A127">
        <v>216</v>
      </c>
      <c r="B127">
        <f t="shared" ref="B127:B131" si="34">L126-L127</f>
        <v>7.3902749439459186</v>
      </c>
      <c r="C127">
        <f t="shared" si="1"/>
        <v>7.3902749439459186</v>
      </c>
      <c r="D127" t="s">
        <v>23</v>
      </c>
      <c r="E127" t="s">
        <v>21</v>
      </c>
      <c r="F127">
        <v>1</v>
      </c>
      <c r="G127">
        <f t="shared" ref="G127:G131" si="35">G126+5</f>
        <v>15</v>
      </c>
      <c r="I127">
        <v>2014</v>
      </c>
      <c r="J127">
        <f t="shared" ref="J127:J131" si="36">AVERAGE(G127:G128)</f>
        <v>17.5</v>
      </c>
      <c r="K127" cm="1">
        <f t="array" ref="K127">STOWA2019_JAARROND_T(A127*60,J127,I127,"","")</f>
        <v>2.0629302360928435E-2</v>
      </c>
      <c r="L127">
        <f t="shared" ref="L127:L131" si="37">1/K127</f>
        <v>48.47473668784766</v>
      </c>
    </row>
    <row r="128" spans="1:12" x14ac:dyDescent="0.3">
      <c r="A128">
        <v>216</v>
      </c>
      <c r="B128">
        <f t="shared" si="34"/>
        <v>12.010131561687977</v>
      </c>
      <c r="C128">
        <f t="shared" si="1"/>
        <v>12.010131561687977</v>
      </c>
      <c r="D128" t="s">
        <v>23</v>
      </c>
      <c r="E128" t="s">
        <v>21</v>
      </c>
      <c r="F128">
        <v>1</v>
      </c>
      <c r="G128">
        <f t="shared" si="35"/>
        <v>20</v>
      </c>
      <c r="I128">
        <v>2014</v>
      </c>
      <c r="J128">
        <f t="shared" si="36"/>
        <v>22.5</v>
      </c>
      <c r="K128" cm="1">
        <f t="array" ref="K128">STOWA2019_JAARROND_T(A128*60,J128,I128,"","")</f>
        <v>2.7423853803989245E-2</v>
      </c>
      <c r="L128">
        <f t="shared" si="37"/>
        <v>36.464605126159682</v>
      </c>
    </row>
    <row r="129" spans="1:12" x14ac:dyDescent="0.3">
      <c r="A129">
        <v>216</v>
      </c>
      <c r="B129">
        <f t="shared" si="34"/>
        <v>9.0684848659795705</v>
      </c>
      <c r="C129">
        <f t="shared" si="1"/>
        <v>9.0684848659795705</v>
      </c>
      <c r="D129" t="s">
        <v>23</v>
      </c>
      <c r="E129" t="s">
        <v>21</v>
      </c>
      <c r="F129">
        <v>1</v>
      </c>
      <c r="G129">
        <f t="shared" si="35"/>
        <v>25</v>
      </c>
      <c r="I129">
        <v>2014</v>
      </c>
      <c r="J129">
        <f t="shared" si="36"/>
        <v>27.5</v>
      </c>
      <c r="K129" cm="1">
        <f t="array" ref="K129">STOWA2019_JAARROND_T(A129*60,J129,I129,"","")</f>
        <v>3.6501518846575015E-2</v>
      </c>
      <c r="L129">
        <f t="shared" si="37"/>
        <v>27.396120260180112</v>
      </c>
    </row>
    <row r="130" spans="1:12" x14ac:dyDescent="0.3">
      <c r="A130">
        <v>216</v>
      </c>
      <c r="B130">
        <f t="shared" si="34"/>
        <v>6.8384689149057856</v>
      </c>
      <c r="C130">
        <f t="shared" si="1"/>
        <v>6.8384689149057856</v>
      </c>
      <c r="D130" t="s">
        <v>23</v>
      </c>
      <c r="E130" t="s">
        <v>21</v>
      </c>
      <c r="F130">
        <v>1</v>
      </c>
      <c r="G130">
        <f t="shared" si="35"/>
        <v>30</v>
      </c>
      <c r="I130">
        <v>2014</v>
      </c>
      <c r="J130">
        <f t="shared" si="36"/>
        <v>32.5</v>
      </c>
      <c r="K130" cm="1">
        <f t="array" ref="K130">STOWA2019_JAARROND_T(A130*60,J130,I130,"","")</f>
        <v>4.8643689067616867E-2</v>
      </c>
      <c r="L130">
        <f t="shared" si="37"/>
        <v>20.557651345274326</v>
      </c>
    </row>
    <row r="131" spans="1:12" x14ac:dyDescent="0.3">
      <c r="A131">
        <v>216</v>
      </c>
      <c r="B131">
        <f t="shared" si="34"/>
        <v>5.1510436389344765</v>
      </c>
      <c r="C131">
        <f t="shared" si="1"/>
        <v>5.1510436389344765</v>
      </c>
      <c r="D131" t="s">
        <v>23</v>
      </c>
      <c r="E131" t="s">
        <v>21</v>
      </c>
      <c r="F131">
        <v>1</v>
      </c>
      <c r="G131">
        <f t="shared" si="35"/>
        <v>35</v>
      </c>
      <c r="I131">
        <v>2014</v>
      </c>
      <c r="J131">
        <f t="shared" si="36"/>
        <v>37.5</v>
      </c>
      <c r="K131" cm="1">
        <f t="array" ref="K131">STOWA2019_JAARROND_T(A131*60,J131,I131,"","")</f>
        <v>6.4907215076846408E-2</v>
      </c>
      <c r="L131">
        <f t="shared" si="37"/>
        <v>15.40660770633985</v>
      </c>
    </row>
    <row r="132" spans="1:12" x14ac:dyDescent="0.3">
      <c r="A132">
        <v>216</v>
      </c>
      <c r="B132">
        <f>L131-L132</f>
        <v>3.8751437980425418</v>
      </c>
      <c r="C132">
        <f t="shared" si="1"/>
        <v>3.8751437980425418</v>
      </c>
      <c r="D132" t="s">
        <v>23</v>
      </c>
      <c r="E132" t="s">
        <v>21</v>
      </c>
      <c r="F132">
        <v>1</v>
      </c>
      <c r="G132">
        <f>G131+5</f>
        <v>40</v>
      </c>
      <c r="I132">
        <v>2014</v>
      </c>
      <c r="J132">
        <f>AVERAGE(G132:G133)</f>
        <v>42.5</v>
      </c>
      <c r="K132" cm="1">
        <f t="array" ref="K132">STOWA2019_JAARROND_T(A132*60,J132,I132,"","")</f>
        <v>8.6719258539279087E-2</v>
      </c>
      <c r="L132">
        <f>1/K132</f>
        <v>11.531463908297308</v>
      </c>
    </row>
    <row r="133" spans="1:12" x14ac:dyDescent="0.3">
      <c r="A133">
        <v>216</v>
      </c>
      <c r="B133">
        <f t="shared" ref="B133:B155" si="38">L132-L133</f>
        <v>2.9113436328975961</v>
      </c>
      <c r="C133">
        <f t="shared" si="1"/>
        <v>2.9113436328975961</v>
      </c>
      <c r="D133" t="s">
        <v>23</v>
      </c>
      <c r="E133" t="s">
        <v>21</v>
      </c>
      <c r="F133">
        <v>1</v>
      </c>
      <c r="G133">
        <f t="shared" ref="G133:G156" si="39">G132+5</f>
        <v>45</v>
      </c>
      <c r="I133">
        <v>2014</v>
      </c>
      <c r="J133">
        <f t="shared" ref="J133:J155" si="40">AVERAGE(G133:G134)</f>
        <v>47.5</v>
      </c>
      <c r="K133" cm="1">
        <f t="array" ref="K133">STOWA2019_JAARROND_T(A133*60,J133,I133,"","")</f>
        <v>0.11600766208028696</v>
      </c>
      <c r="L133">
        <f t="shared" ref="L133:L155" si="41">1/K133</f>
        <v>8.6201202753997119</v>
      </c>
    </row>
    <row r="134" spans="1:12" x14ac:dyDescent="0.3">
      <c r="A134">
        <v>216</v>
      </c>
      <c r="B134">
        <f t="shared" si="38"/>
        <v>2.1846220862505294</v>
      </c>
      <c r="C134">
        <f t="shared" si="1"/>
        <v>2.1846220862505294</v>
      </c>
      <c r="D134" t="s">
        <v>23</v>
      </c>
      <c r="E134" t="s">
        <v>21</v>
      </c>
      <c r="F134">
        <v>1</v>
      </c>
      <c r="G134">
        <f t="shared" si="39"/>
        <v>50</v>
      </c>
      <c r="I134">
        <v>2014</v>
      </c>
      <c r="J134">
        <f t="shared" si="40"/>
        <v>52.5</v>
      </c>
      <c r="K134" cm="1">
        <f t="array" ref="K134">STOWA2019_JAARROND_T(A134*60,J134,I134,"","")</f>
        <v>0.15538812545796193</v>
      </c>
      <c r="L134">
        <f t="shared" si="41"/>
        <v>6.4354981891491825</v>
      </c>
    </row>
    <row r="135" spans="1:12" x14ac:dyDescent="0.3">
      <c r="A135">
        <v>216</v>
      </c>
      <c r="B135">
        <f t="shared" si="38"/>
        <v>1.6372149569124632</v>
      </c>
      <c r="C135">
        <f t="shared" si="1"/>
        <v>1.6372149569124632</v>
      </c>
      <c r="D135" t="s">
        <v>23</v>
      </c>
      <c r="E135" t="s">
        <v>21</v>
      </c>
      <c r="F135">
        <v>1</v>
      </c>
      <c r="G135">
        <f t="shared" si="39"/>
        <v>55</v>
      </c>
      <c r="I135">
        <v>2014</v>
      </c>
      <c r="J135">
        <f t="shared" si="40"/>
        <v>57.5</v>
      </c>
      <c r="K135" cm="1">
        <f t="array" ref="K135">STOWA2019_JAARROND_T(A135*60,J135,I135,"","")</f>
        <v>0.20840787248272757</v>
      </c>
      <c r="L135">
        <f t="shared" si="41"/>
        <v>4.7982832322367193</v>
      </c>
    </row>
    <row r="136" spans="1:12" x14ac:dyDescent="0.3">
      <c r="A136">
        <v>216</v>
      </c>
      <c r="B136">
        <f t="shared" si="38"/>
        <v>1.2254300487226923</v>
      </c>
      <c r="C136">
        <f t="shared" si="1"/>
        <v>1.2254300487226923</v>
      </c>
      <c r="D136" t="s">
        <v>23</v>
      </c>
      <c r="E136" t="s">
        <v>21</v>
      </c>
      <c r="F136">
        <v>1</v>
      </c>
      <c r="G136">
        <f t="shared" si="39"/>
        <v>60</v>
      </c>
      <c r="I136">
        <v>2014</v>
      </c>
      <c r="J136">
        <f t="shared" si="40"/>
        <v>62.5</v>
      </c>
      <c r="K136" cm="1">
        <f t="array" ref="K136">STOWA2019_JAARROND_T(A136*60,J136,I136,"","")</f>
        <v>0.27988835494675007</v>
      </c>
      <c r="L136">
        <f t="shared" si="41"/>
        <v>3.5728531835140269</v>
      </c>
    </row>
    <row r="137" spans="1:12" x14ac:dyDescent="0.3">
      <c r="A137">
        <v>216</v>
      </c>
      <c r="B137">
        <f t="shared" si="38"/>
        <v>0.91598382454340666</v>
      </c>
      <c r="C137">
        <f t="shared" si="1"/>
        <v>0.91598382454340666</v>
      </c>
      <c r="D137" t="s">
        <v>23</v>
      </c>
      <c r="E137" t="s">
        <v>21</v>
      </c>
      <c r="F137">
        <v>1</v>
      </c>
      <c r="G137">
        <f t="shared" si="39"/>
        <v>65</v>
      </c>
      <c r="I137">
        <v>2014</v>
      </c>
      <c r="J137">
        <f t="shared" si="40"/>
        <v>67.5</v>
      </c>
      <c r="K137" cm="1">
        <f t="array" ref="K137">STOWA2019_JAARROND_T(A137*60,J137,I137,"","")</f>
        <v>0.37638282688744651</v>
      </c>
      <c r="L137">
        <f t="shared" si="41"/>
        <v>2.6568693589706203</v>
      </c>
    </row>
    <row r="138" spans="1:12" x14ac:dyDescent="0.3">
      <c r="A138">
        <v>216</v>
      </c>
      <c r="B138">
        <f t="shared" si="38"/>
        <v>0.68380166523309982</v>
      </c>
      <c r="C138">
        <f t="shared" si="1"/>
        <v>0.68380166523309982</v>
      </c>
      <c r="D138" t="s">
        <v>23</v>
      </c>
      <c r="E138" t="s">
        <v>21</v>
      </c>
      <c r="F138">
        <v>1</v>
      </c>
      <c r="G138">
        <f t="shared" si="39"/>
        <v>70</v>
      </c>
      <c r="I138">
        <v>2014</v>
      </c>
      <c r="J138">
        <f t="shared" si="40"/>
        <v>72.5</v>
      </c>
      <c r="K138" cm="1">
        <f t="array" ref="K138">STOWA2019_JAARROND_T(A138*60,J138,I138,"","")</f>
        <v>0.50682498282952027</v>
      </c>
      <c r="L138">
        <f t="shared" si="41"/>
        <v>1.9730676937375204</v>
      </c>
    </row>
    <row r="139" spans="1:12" x14ac:dyDescent="0.3">
      <c r="A139">
        <v>216</v>
      </c>
      <c r="B139">
        <f t="shared" si="38"/>
        <v>0.50976964985987294</v>
      </c>
      <c r="C139">
        <f t="shared" si="1"/>
        <v>0.50976964985987294</v>
      </c>
      <c r="D139" t="s">
        <v>23</v>
      </c>
      <c r="E139" t="s">
        <v>21</v>
      </c>
      <c r="F139">
        <v>1</v>
      </c>
      <c r="G139">
        <f t="shared" si="39"/>
        <v>75</v>
      </c>
      <c r="I139">
        <v>2014</v>
      </c>
      <c r="J139">
        <f t="shared" si="40"/>
        <v>77.5</v>
      </c>
      <c r="K139" cm="1">
        <f t="array" ref="K139">STOWA2019_JAARROND_T(A139*60,J139,I139,"","")</f>
        <v>0.68338777884925139</v>
      </c>
      <c r="L139">
        <f t="shared" si="41"/>
        <v>1.4632980438776475</v>
      </c>
    </row>
    <row r="140" spans="1:12" x14ac:dyDescent="0.3">
      <c r="A140">
        <v>216</v>
      </c>
      <c r="B140">
        <f t="shared" si="38"/>
        <v>0.37954509339106868</v>
      </c>
      <c r="C140">
        <f t="shared" si="1"/>
        <v>0.37954509339106868</v>
      </c>
      <c r="D140" t="s">
        <v>23</v>
      </c>
      <c r="E140" t="s">
        <v>21</v>
      </c>
      <c r="F140">
        <v>1</v>
      </c>
      <c r="G140">
        <f t="shared" si="39"/>
        <v>80</v>
      </c>
      <c r="I140">
        <v>2014</v>
      </c>
      <c r="J140">
        <f t="shared" si="40"/>
        <v>82.5</v>
      </c>
      <c r="K140" cm="1">
        <f t="array" ref="K140">STOWA2019_JAARROND_T(A140*60,J140,I140,"","")</f>
        <v>0.92271951790398743</v>
      </c>
      <c r="L140">
        <f t="shared" si="41"/>
        <v>1.0837529504865788</v>
      </c>
    </row>
    <row r="141" spans="1:12" x14ac:dyDescent="0.3">
      <c r="A141">
        <v>216</v>
      </c>
      <c r="B141">
        <f t="shared" si="38"/>
        <v>0.28214041275137491</v>
      </c>
      <c r="C141">
        <f t="shared" si="1"/>
        <v>0.28214041275137491</v>
      </c>
      <c r="D141" t="s">
        <v>23</v>
      </c>
      <c r="E141" t="s">
        <v>21</v>
      </c>
      <c r="F141">
        <v>1</v>
      </c>
      <c r="G141">
        <f t="shared" si="39"/>
        <v>85</v>
      </c>
      <c r="I141">
        <v>2014</v>
      </c>
      <c r="J141">
        <f t="shared" si="40"/>
        <v>87.5</v>
      </c>
      <c r="K141" cm="1">
        <f t="array" ref="K141">STOWA2019_JAARROND_T(A141*60,J141,I141,"","")</f>
        <v>1.2474854782402733</v>
      </c>
      <c r="L141">
        <f t="shared" si="41"/>
        <v>0.80161253773520391</v>
      </c>
    </row>
    <row r="142" spans="1:12" x14ac:dyDescent="0.3">
      <c r="A142">
        <v>216</v>
      </c>
      <c r="B142">
        <f t="shared" si="38"/>
        <v>0.20955233577805921</v>
      </c>
      <c r="C142">
        <f t="shared" si="1"/>
        <v>0.20955233577805921</v>
      </c>
      <c r="D142" t="s">
        <v>23</v>
      </c>
      <c r="E142" t="s">
        <v>21</v>
      </c>
      <c r="F142">
        <v>1</v>
      </c>
      <c r="G142">
        <f t="shared" si="39"/>
        <v>90</v>
      </c>
      <c r="I142">
        <v>2014</v>
      </c>
      <c r="J142">
        <f t="shared" si="40"/>
        <v>92.5</v>
      </c>
      <c r="K142" cm="1">
        <f t="array" ref="K142">STOWA2019_JAARROND_T(A142*60,J142,I142,"","")</f>
        <v>1.6890174287924582</v>
      </c>
      <c r="L142">
        <f t="shared" si="41"/>
        <v>0.5920602019571447</v>
      </c>
    </row>
    <row r="143" spans="1:12" x14ac:dyDescent="0.3">
      <c r="A143">
        <v>216</v>
      </c>
      <c r="B143">
        <f t="shared" si="38"/>
        <v>0.15539075399132957</v>
      </c>
      <c r="C143">
        <f t="shared" si="1"/>
        <v>0.15539075399132957</v>
      </c>
      <c r="D143" t="s">
        <v>23</v>
      </c>
      <c r="E143" t="s">
        <v>21</v>
      </c>
      <c r="F143">
        <v>1</v>
      </c>
      <c r="G143">
        <f t="shared" si="39"/>
        <v>95</v>
      </c>
      <c r="I143">
        <v>2014</v>
      </c>
      <c r="J143">
        <f t="shared" si="40"/>
        <v>97.5</v>
      </c>
      <c r="K143" cm="1">
        <f t="array" ref="K143">STOWA2019_JAARROND_T(A143*60,J143,I143,"","")</f>
        <v>2.2900617495874944</v>
      </c>
      <c r="L143">
        <f t="shared" si="41"/>
        <v>0.43666944796581514</v>
      </c>
    </row>
    <row r="144" spans="1:12" x14ac:dyDescent="0.3">
      <c r="A144">
        <v>216</v>
      </c>
      <c r="B144">
        <f t="shared" si="38"/>
        <v>0.11505794799596264</v>
      </c>
      <c r="C144">
        <f t="shared" si="1"/>
        <v>0.11505794799596264</v>
      </c>
      <c r="D144" t="s">
        <v>23</v>
      </c>
      <c r="E144" t="s">
        <v>21</v>
      </c>
      <c r="F144">
        <v>1</v>
      </c>
      <c r="G144">
        <f t="shared" si="39"/>
        <v>100</v>
      </c>
      <c r="I144">
        <v>2014</v>
      </c>
      <c r="J144">
        <f t="shared" si="40"/>
        <v>102.5</v>
      </c>
      <c r="K144" cm="1">
        <f t="array" ref="K144">STOWA2019_JAARROND_T(A144*60,J144,I144,"","")</f>
        <v>3.1093415505780699</v>
      </c>
      <c r="L144">
        <f t="shared" si="41"/>
        <v>0.3216114999698525</v>
      </c>
    </row>
    <row r="145" spans="1:12" x14ac:dyDescent="0.3">
      <c r="A145">
        <v>216</v>
      </c>
      <c r="B145">
        <f t="shared" si="38"/>
        <v>8.5081473016395126E-2</v>
      </c>
      <c r="C145">
        <f t="shared" si="1"/>
        <v>8.5081473016395126E-2</v>
      </c>
      <c r="D145" t="s">
        <v>23</v>
      </c>
      <c r="E145" t="s">
        <v>21</v>
      </c>
      <c r="F145">
        <v>1</v>
      </c>
      <c r="G145">
        <f t="shared" si="39"/>
        <v>105</v>
      </c>
      <c r="I145">
        <v>2014</v>
      </c>
      <c r="J145">
        <f t="shared" si="40"/>
        <v>107.5</v>
      </c>
      <c r="K145" cm="1">
        <f t="array" ref="K145">STOWA2019_JAARROND_T(A145*60,J145,I145,"","")</f>
        <v>4.2277930327922917</v>
      </c>
      <c r="L145">
        <f t="shared" si="41"/>
        <v>0.23653002695345737</v>
      </c>
    </row>
    <row r="146" spans="1:12" x14ac:dyDescent="0.3">
      <c r="A146">
        <v>216</v>
      </c>
      <c r="B146">
        <f t="shared" si="38"/>
        <v>6.282373477269379E-2</v>
      </c>
      <c r="C146">
        <f t="shared" si="1"/>
        <v>6.282373477269379E-2</v>
      </c>
      <c r="D146" t="s">
        <v>23</v>
      </c>
      <c r="E146" t="s">
        <v>21</v>
      </c>
      <c r="F146">
        <v>1</v>
      </c>
      <c r="G146">
        <f t="shared" si="39"/>
        <v>110</v>
      </c>
      <c r="I146">
        <v>2014</v>
      </c>
      <c r="J146">
        <f t="shared" si="40"/>
        <v>112.5</v>
      </c>
      <c r="K146" cm="1">
        <f t="array" ref="K146">STOWA2019_JAARROND_T(A146*60,J146,I146,"","")</f>
        <v>5.7568438508800375</v>
      </c>
      <c r="L146">
        <f t="shared" si="41"/>
        <v>0.17370629218076358</v>
      </c>
    </row>
    <row r="147" spans="1:12" x14ac:dyDescent="0.3">
      <c r="A147">
        <v>216</v>
      </c>
      <c r="B147">
        <f t="shared" si="38"/>
        <v>4.6321776550169474E-2</v>
      </c>
      <c r="C147">
        <f t="shared" si="1"/>
        <v>4.6321776550169474E-2</v>
      </c>
      <c r="D147" t="s">
        <v>23</v>
      </c>
      <c r="E147" t="s">
        <v>21</v>
      </c>
      <c r="F147">
        <v>1</v>
      </c>
      <c r="G147">
        <f t="shared" si="39"/>
        <v>115</v>
      </c>
      <c r="I147">
        <v>2014</v>
      </c>
      <c r="J147">
        <f t="shared" si="40"/>
        <v>117.5</v>
      </c>
      <c r="K147" cm="1">
        <f t="array" ref="K147">STOWA2019_JAARROND_T(A147*60,J147,I147,"","")</f>
        <v>7.8502476933690106</v>
      </c>
      <c r="L147">
        <f t="shared" si="41"/>
        <v>0.12738451563059411</v>
      </c>
    </row>
    <row r="148" spans="1:12" x14ac:dyDescent="0.3">
      <c r="A148">
        <v>216</v>
      </c>
      <c r="B148">
        <f t="shared" si="38"/>
        <v>3.4106249045318268E-2</v>
      </c>
      <c r="C148">
        <f t="shared" si="1"/>
        <v>3.4106249045318268E-2</v>
      </c>
      <c r="D148" t="s">
        <v>23</v>
      </c>
      <c r="E148" t="s">
        <v>21</v>
      </c>
      <c r="F148">
        <v>1</v>
      </c>
      <c r="G148">
        <f t="shared" si="39"/>
        <v>120</v>
      </c>
      <c r="I148">
        <v>2014</v>
      </c>
      <c r="J148">
        <f t="shared" si="40"/>
        <v>122.5</v>
      </c>
      <c r="K148" cm="1">
        <f t="array" ref="K148">STOWA2019_JAARROND_T(A148*60,J148,I148,"","")</f>
        <v>10.720610884056159</v>
      </c>
      <c r="L148">
        <f t="shared" si="41"/>
        <v>9.327826658527584E-2</v>
      </c>
    </row>
    <row r="149" spans="1:12" x14ac:dyDescent="0.3">
      <c r="A149">
        <v>216</v>
      </c>
      <c r="B149">
        <f t="shared" si="38"/>
        <v>2.5076132932693784E-2</v>
      </c>
      <c r="C149">
        <f t="shared" si="1"/>
        <v>2.5076132932693784E-2</v>
      </c>
      <c r="D149" t="s">
        <v>23</v>
      </c>
      <c r="E149" t="s">
        <v>21</v>
      </c>
      <c r="F149">
        <v>1</v>
      </c>
      <c r="G149">
        <f t="shared" si="39"/>
        <v>125</v>
      </c>
      <c r="I149">
        <v>2014</v>
      </c>
      <c r="J149">
        <f t="shared" si="40"/>
        <v>127.5</v>
      </c>
      <c r="K149" cm="1">
        <f t="array" ref="K149">STOWA2019_JAARROND_T(A149*60,J149,I149,"","")</f>
        <v>14.662297884901159</v>
      </c>
      <c r="L149">
        <f t="shared" si="41"/>
        <v>6.8202133652582056E-2</v>
      </c>
    </row>
    <row r="150" spans="1:12" x14ac:dyDescent="0.3">
      <c r="A150">
        <v>216</v>
      </c>
      <c r="B150">
        <f t="shared" si="38"/>
        <v>1.8409040742257972E-2</v>
      </c>
      <c r="C150">
        <f t="shared" si="1"/>
        <v>1.8409040742257972E-2</v>
      </c>
      <c r="D150" t="s">
        <v>23</v>
      </c>
      <c r="E150" t="s">
        <v>21</v>
      </c>
      <c r="F150">
        <v>1</v>
      </c>
      <c r="G150">
        <f t="shared" si="39"/>
        <v>130</v>
      </c>
      <c r="I150">
        <v>2014</v>
      </c>
      <c r="J150">
        <f t="shared" si="40"/>
        <v>132.5</v>
      </c>
      <c r="K150" cm="1">
        <f t="array" ref="K150">STOWA2019_JAARROND_T(A150*60,J150,I150,"","")</f>
        <v>20.083106743358382</v>
      </c>
      <c r="L150">
        <f t="shared" si="41"/>
        <v>4.9793092910324084E-2</v>
      </c>
    </row>
    <row r="151" spans="1:12" x14ac:dyDescent="0.3">
      <c r="A151">
        <v>216</v>
      </c>
      <c r="B151">
        <f t="shared" si="38"/>
        <v>1.3495162365530632E-2</v>
      </c>
      <c r="C151">
        <f t="shared" si="1"/>
        <v>1.3495162365530632E-2</v>
      </c>
      <c r="D151" t="s">
        <v>23</v>
      </c>
      <c r="E151" t="s">
        <v>21</v>
      </c>
      <c r="F151">
        <v>1</v>
      </c>
      <c r="G151">
        <f t="shared" si="39"/>
        <v>135</v>
      </c>
      <c r="I151">
        <v>2014</v>
      </c>
      <c r="J151">
        <f t="shared" si="40"/>
        <v>137.5</v>
      </c>
      <c r="K151" cm="1">
        <f t="array" ref="K151">STOWA2019_JAARROND_T(A151*60,J151,I151,"","")</f>
        <v>27.549779973432649</v>
      </c>
      <c r="L151">
        <f t="shared" si="41"/>
        <v>3.6297930544793452E-2</v>
      </c>
    </row>
    <row r="152" spans="1:12" x14ac:dyDescent="0.3">
      <c r="A152">
        <v>216</v>
      </c>
      <c r="B152">
        <f t="shared" si="38"/>
        <v>9.8777666229901522E-3</v>
      </c>
      <c r="C152">
        <f t="shared" si="1"/>
        <v>9.8777666229901522E-3</v>
      </c>
      <c r="D152" t="s">
        <v>23</v>
      </c>
      <c r="E152" t="s">
        <v>21</v>
      </c>
      <c r="F152">
        <v>1</v>
      </c>
      <c r="G152">
        <f t="shared" si="39"/>
        <v>140</v>
      </c>
      <c r="I152">
        <v>2014</v>
      </c>
      <c r="J152">
        <f t="shared" si="40"/>
        <v>142.5</v>
      </c>
      <c r="K152" cm="1">
        <f t="array" ref="K152">STOWA2019_JAARROND_T(A152*60,J152,I152,"","")</f>
        <v>37.849878712325008</v>
      </c>
      <c r="L152">
        <f t="shared" si="41"/>
        <v>2.64201639218033E-2</v>
      </c>
    </row>
    <row r="153" spans="1:12" x14ac:dyDescent="0.3">
      <c r="A153">
        <v>216</v>
      </c>
      <c r="B153">
        <f t="shared" si="38"/>
        <v>7.2192950278701998E-3</v>
      </c>
      <c r="C153">
        <f t="shared" si="1"/>
        <v>7.2192950278701998E-3</v>
      </c>
      <c r="D153" t="s">
        <v>23</v>
      </c>
      <c r="E153" t="s">
        <v>21</v>
      </c>
      <c r="F153">
        <v>1</v>
      </c>
      <c r="G153">
        <f t="shared" si="39"/>
        <v>145</v>
      </c>
      <c r="I153">
        <v>2014</v>
      </c>
      <c r="J153">
        <f t="shared" si="40"/>
        <v>147.5</v>
      </c>
      <c r="K153" cm="1">
        <f t="array" ref="K153">STOWA2019_JAARROND_T(A153*60,J153,I153,"","")</f>
        <v>52.080976414352271</v>
      </c>
      <c r="L153">
        <f t="shared" si="41"/>
        <v>1.9200868893933101E-2</v>
      </c>
    </row>
    <row r="154" spans="1:12" x14ac:dyDescent="0.3">
      <c r="A154">
        <v>216</v>
      </c>
      <c r="B154">
        <f t="shared" si="38"/>
        <v>5.2683772304223594E-3</v>
      </c>
      <c r="C154">
        <f t="shared" si="1"/>
        <v>5.2683772304223594E-3</v>
      </c>
      <c r="D154" t="s">
        <v>23</v>
      </c>
      <c r="E154" t="s">
        <v>21</v>
      </c>
      <c r="F154">
        <v>1</v>
      </c>
      <c r="G154">
        <f t="shared" si="39"/>
        <v>150</v>
      </c>
      <c r="I154">
        <v>2014</v>
      </c>
      <c r="J154">
        <f t="shared" si="40"/>
        <v>152.5</v>
      </c>
      <c r="K154" cm="1">
        <f t="array" ref="K154">STOWA2019_JAARROND_T(A154*60,J154,I154,"","")</f>
        <v>71.774670615379193</v>
      </c>
      <c r="L154">
        <f t="shared" si="41"/>
        <v>1.3932491663510741E-2</v>
      </c>
    </row>
    <row r="155" spans="1:12" x14ac:dyDescent="0.3">
      <c r="A155">
        <v>216</v>
      </c>
      <c r="B155">
        <f t="shared" si="38"/>
        <v>3.8386736948725179E-3</v>
      </c>
      <c r="C155">
        <f t="shared" si="1"/>
        <v>3.8386736948725179E-3</v>
      </c>
      <c r="D155" t="s">
        <v>23</v>
      </c>
      <c r="E155" t="s">
        <v>21</v>
      </c>
      <c r="F155">
        <v>1</v>
      </c>
      <c r="G155">
        <f t="shared" si="39"/>
        <v>155</v>
      </c>
      <c r="I155">
        <v>2014</v>
      </c>
      <c r="J155">
        <f t="shared" si="40"/>
        <v>157.5</v>
      </c>
      <c r="K155" cm="1">
        <f t="array" ref="K155">STOWA2019_JAARROND_T(A155*60,J155,I155,"","")</f>
        <v>99.070540315570199</v>
      </c>
      <c r="L155">
        <f t="shared" si="41"/>
        <v>1.0093817968638223E-2</v>
      </c>
    </row>
    <row r="156" spans="1:12" x14ac:dyDescent="0.3">
      <c r="A156">
        <v>216</v>
      </c>
      <c r="B156" s="1">
        <f>L155</f>
        <v>1.0093817968638223E-2</v>
      </c>
      <c r="C156">
        <f t="shared" si="1"/>
        <v>1.0093817968638223E-2</v>
      </c>
      <c r="D156" t="s">
        <v>23</v>
      </c>
      <c r="E156" t="s">
        <v>21</v>
      </c>
      <c r="F156">
        <v>1</v>
      </c>
      <c r="G156">
        <f t="shared" si="39"/>
        <v>160</v>
      </c>
      <c r="I156">
        <v>2014</v>
      </c>
      <c r="J156">
        <f>AVERAGE(G156:G157)</f>
        <v>160</v>
      </c>
      <c r="K156" cm="1">
        <f t="array" ref="K156">STOWA2019_JAARROND_T(A156*60,J156,I156,"","")</f>
        <v>116.46289366194533</v>
      </c>
      <c r="L156">
        <f>1/K156</f>
        <v>8.5864258439489003E-3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autoPict="0" r:id="rId4">
            <anchor moveWithCells="1">
              <from>
                <xdr:col>7</xdr:col>
                <xdr:colOff>952500</xdr:colOff>
                <xdr:row>3</xdr:row>
                <xdr:rowOff>0</xdr:rowOff>
              </from>
              <to>
                <xdr:col>7</xdr:col>
                <xdr:colOff>5128260</xdr:colOff>
                <xdr:row>6</xdr:row>
                <xdr:rowOff>22860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51F65C-E1F7-477C-B117-39793D67DE24}">
  <sheetPr codeName="Blad2"/>
  <dimension ref="A1:AE156"/>
  <sheetViews>
    <sheetView workbookViewId="0">
      <selection activeCell="K14" sqref="K14"/>
    </sheetView>
  </sheetViews>
  <sheetFormatPr defaultRowHeight="14.4" x14ac:dyDescent="0.3"/>
  <cols>
    <col min="1" max="1" width="8" customWidth="1"/>
    <col min="2" max="2" width="10.5546875" bestFit="1" customWidth="1"/>
    <col min="3" max="3" width="12" bestFit="1" customWidth="1"/>
    <col min="4" max="4" width="18.21875" bestFit="1" customWidth="1"/>
    <col min="5" max="5" width="18.21875" customWidth="1"/>
    <col min="6" max="6" width="4.21875" bestFit="1" customWidth="1"/>
    <col min="7" max="7" width="8" bestFit="1" customWidth="1"/>
    <col min="8" max="8" width="18.21875" customWidth="1"/>
    <col min="9" max="9" width="21" customWidth="1"/>
    <col min="10" max="10" width="11.44140625" bestFit="1" customWidth="1"/>
    <col min="11" max="11" width="13.5546875" bestFit="1" customWidth="1"/>
  </cols>
  <sheetData>
    <row r="1" spans="1:31" x14ac:dyDescent="0.3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20</v>
      </c>
      <c r="G1" t="s">
        <v>1</v>
      </c>
      <c r="I1" t="s">
        <v>4</v>
      </c>
      <c r="J1" t="s">
        <v>13</v>
      </c>
      <c r="K1" t="s">
        <v>2</v>
      </c>
      <c r="L1" t="s">
        <v>3</v>
      </c>
    </row>
    <row r="2" spans="1:31" x14ac:dyDescent="0.3">
      <c r="A2">
        <v>24</v>
      </c>
      <c r="B2" s="1">
        <f>365.25*24/A2 - L2</f>
        <v>358.56137507801128</v>
      </c>
      <c r="C2">
        <f>B2</f>
        <v>358.56137507801128</v>
      </c>
      <c r="D2" t="s">
        <v>23</v>
      </c>
      <c r="E2" t="s">
        <v>19</v>
      </c>
      <c r="F2">
        <v>1</v>
      </c>
      <c r="G2">
        <v>10</v>
      </c>
      <c r="I2">
        <v>2014</v>
      </c>
      <c r="J2">
        <f>AVERAGE(G2:G4)</f>
        <v>15</v>
      </c>
      <c r="K2" cm="1">
        <f t="array" ref="K2">STOWA2019_NDJF_T(A2*60,J2,I2,"","")</f>
        <v>0.14950756121972364</v>
      </c>
      <c r="L2">
        <f>1/K2</f>
        <v>6.688624921988735</v>
      </c>
      <c r="AD2" t="s">
        <v>5</v>
      </c>
      <c r="AE2" t="s">
        <v>6</v>
      </c>
    </row>
    <row r="3" spans="1:31" x14ac:dyDescent="0.3">
      <c r="A3">
        <v>24</v>
      </c>
      <c r="B3">
        <f t="shared" ref="B3:B7" si="0">L2-L3</f>
        <v>2.5096123154109593</v>
      </c>
      <c r="C3">
        <f t="shared" ref="C3:C32" si="1">B3</f>
        <v>2.5096123154109593</v>
      </c>
      <c r="D3" t="s">
        <v>23</v>
      </c>
      <c r="E3" t="s">
        <v>19</v>
      </c>
      <c r="F3">
        <v>1</v>
      </c>
      <c r="G3">
        <f t="shared" ref="G3:G7" si="2">G2+5</f>
        <v>15</v>
      </c>
      <c r="I3">
        <v>2014</v>
      </c>
      <c r="J3">
        <f t="shared" ref="J3:J7" si="3">AVERAGE(G3:G4)</f>
        <v>17.5</v>
      </c>
      <c r="K3" cm="1">
        <f t="array" ref="K3">STOWA2019_NDJF_T(A3*60,J3,I3,"","")</f>
        <v>0.23929097472115726</v>
      </c>
      <c r="L3">
        <f t="shared" ref="L3:L7" si="4">1/K3</f>
        <v>4.1790126065777757</v>
      </c>
    </row>
    <row r="4" spans="1:31" x14ac:dyDescent="0.3">
      <c r="A4">
        <v>24</v>
      </c>
      <c r="B4">
        <f t="shared" si="0"/>
        <v>2.4710665415182946</v>
      </c>
      <c r="C4">
        <f t="shared" si="1"/>
        <v>2.4710665415182946</v>
      </c>
      <c r="D4" t="s">
        <v>23</v>
      </c>
      <c r="E4" t="s">
        <v>19</v>
      </c>
      <c r="F4">
        <v>1</v>
      </c>
      <c r="G4">
        <f t="shared" si="2"/>
        <v>20</v>
      </c>
      <c r="I4">
        <v>2014</v>
      </c>
      <c r="J4">
        <f t="shared" si="3"/>
        <v>22.5</v>
      </c>
      <c r="K4" cm="1">
        <f t="array" ref="K4">STOWA2019_NDJF_T(A4*60,J4,I4,"","")</f>
        <v>0.58549858245387498</v>
      </c>
      <c r="L4">
        <f t="shared" si="4"/>
        <v>1.7079460650594813</v>
      </c>
      <c r="AE4" t="s">
        <v>7</v>
      </c>
    </row>
    <row r="5" spans="1:31" x14ac:dyDescent="0.3">
      <c r="A5">
        <v>24</v>
      </c>
      <c r="B5">
        <f t="shared" si="0"/>
        <v>0.97041447928830316</v>
      </c>
      <c r="C5">
        <f t="shared" si="1"/>
        <v>0.97041447928830316</v>
      </c>
      <c r="D5" t="s">
        <v>23</v>
      </c>
      <c r="E5" t="s">
        <v>19</v>
      </c>
      <c r="F5">
        <v>1</v>
      </c>
      <c r="G5">
        <f t="shared" si="2"/>
        <v>25</v>
      </c>
      <c r="I5">
        <v>2014</v>
      </c>
      <c r="J5">
        <f t="shared" si="3"/>
        <v>27.5</v>
      </c>
      <c r="K5" cm="1">
        <f t="array" ref="K5">STOWA2019_NDJF_T(A5*60,J5,I5,"","")</f>
        <v>1.3558741337896458</v>
      </c>
      <c r="L5">
        <f t="shared" si="4"/>
        <v>0.73753158577117817</v>
      </c>
      <c r="AE5" t="s">
        <v>8</v>
      </c>
    </row>
    <row r="6" spans="1:31" x14ac:dyDescent="0.3">
      <c r="A6">
        <v>24</v>
      </c>
      <c r="B6">
        <f t="shared" si="0"/>
        <v>0.40326775743080634</v>
      </c>
      <c r="C6">
        <f t="shared" si="1"/>
        <v>0.40326775743080634</v>
      </c>
      <c r="D6" t="s">
        <v>23</v>
      </c>
      <c r="E6" t="s">
        <v>19</v>
      </c>
      <c r="F6">
        <v>1</v>
      </c>
      <c r="G6">
        <f t="shared" si="2"/>
        <v>30</v>
      </c>
      <c r="I6">
        <v>2014</v>
      </c>
      <c r="J6">
        <f t="shared" si="3"/>
        <v>32.5</v>
      </c>
      <c r="K6" cm="1">
        <f t="array" ref="K6">STOWA2019_NDJF_T(A6*60,J6,I6,"","")</f>
        <v>2.9916488570271715</v>
      </c>
      <c r="L6">
        <f t="shared" si="4"/>
        <v>0.33426382834037183</v>
      </c>
    </row>
    <row r="7" spans="1:31" x14ac:dyDescent="0.3">
      <c r="A7">
        <v>24</v>
      </c>
      <c r="B7">
        <f t="shared" si="0"/>
        <v>0.17607559381910937</v>
      </c>
      <c r="C7">
        <f t="shared" si="1"/>
        <v>0.17607559381910937</v>
      </c>
      <c r="D7" t="s">
        <v>23</v>
      </c>
      <c r="E7" t="s">
        <v>19</v>
      </c>
      <c r="F7">
        <v>1</v>
      </c>
      <c r="G7">
        <f t="shared" si="2"/>
        <v>35</v>
      </c>
      <c r="I7">
        <v>2014</v>
      </c>
      <c r="J7">
        <f t="shared" si="3"/>
        <v>37.5</v>
      </c>
      <c r="K7" cm="1">
        <f t="array" ref="K7">STOWA2019_NDJF_T(A7*60,J7,I7,"","")</f>
        <v>6.3215826576886638</v>
      </c>
      <c r="L7">
        <f t="shared" si="4"/>
        <v>0.15818823452126246</v>
      </c>
      <c r="AD7" t="s">
        <v>4</v>
      </c>
      <c r="AE7">
        <v>2014</v>
      </c>
    </row>
    <row r="8" spans="1:31" x14ac:dyDescent="0.3">
      <c r="A8">
        <v>24</v>
      </c>
      <c r="B8">
        <f>L7-L8</f>
        <v>8.0367428613816433E-2</v>
      </c>
      <c r="C8">
        <f t="shared" si="1"/>
        <v>8.0367428613816433E-2</v>
      </c>
      <c r="D8" t="s">
        <v>23</v>
      </c>
      <c r="E8" t="s">
        <v>19</v>
      </c>
      <c r="F8">
        <v>1</v>
      </c>
      <c r="G8">
        <f>G7+5</f>
        <v>40</v>
      </c>
      <c r="I8">
        <v>2014</v>
      </c>
      <c r="J8">
        <f>AVERAGE(G8:G9)</f>
        <v>42.5</v>
      </c>
      <c r="K8" cm="1">
        <f t="array" ref="K8">STOWA2019_NDJF_T(A8*60,J8,I8,"","")</f>
        <v>12.850033976637581</v>
      </c>
      <c r="L8">
        <f>1/K8</f>
        <v>7.7820805907446028E-2</v>
      </c>
      <c r="AE8">
        <v>2030</v>
      </c>
    </row>
    <row r="9" spans="1:31" x14ac:dyDescent="0.3">
      <c r="A9">
        <v>24</v>
      </c>
      <c r="B9">
        <f t="shared" ref="B9:B31" si="5">L8-L9</f>
        <v>3.8176197763458403E-2</v>
      </c>
      <c r="C9">
        <f t="shared" si="1"/>
        <v>3.8176197763458403E-2</v>
      </c>
      <c r="D9" t="s">
        <v>23</v>
      </c>
      <c r="E9" t="s">
        <v>19</v>
      </c>
      <c r="F9">
        <v>1</v>
      </c>
      <c r="G9">
        <f t="shared" ref="G9:G32" si="6">G8+5</f>
        <v>45</v>
      </c>
      <c r="I9">
        <v>2014</v>
      </c>
      <c r="J9">
        <f t="shared" ref="J9:J31" si="7">AVERAGE(G9:G10)</f>
        <v>47.5</v>
      </c>
      <c r="K9" cm="1">
        <f t="array" ref="K9">STOWA2019_NDJF_T(A9*60,J9,I9,"","")</f>
        <v>25.224111091426106</v>
      </c>
      <c r="L9">
        <f t="shared" ref="L9:L31" si="8">1/K9</f>
        <v>3.9644608143987625E-2</v>
      </c>
      <c r="AE9">
        <v>2050</v>
      </c>
    </row>
    <row r="10" spans="1:31" x14ac:dyDescent="0.3">
      <c r="A10">
        <v>24</v>
      </c>
      <c r="B10">
        <f t="shared" si="5"/>
        <v>1.8798895139053945E-2</v>
      </c>
      <c r="C10">
        <f t="shared" si="1"/>
        <v>1.8798895139053945E-2</v>
      </c>
      <c r="D10" t="s">
        <v>23</v>
      </c>
      <c r="E10" t="s">
        <v>19</v>
      </c>
      <c r="F10">
        <v>1</v>
      </c>
      <c r="G10">
        <f t="shared" si="6"/>
        <v>50</v>
      </c>
      <c r="I10">
        <v>2014</v>
      </c>
      <c r="J10">
        <f t="shared" si="7"/>
        <v>52.5</v>
      </c>
      <c r="K10" cm="1">
        <f t="array" ref="K10">STOWA2019_NDJF_T(A10*60,J10,I10,"","")</f>
        <v>47.971494175484615</v>
      </c>
      <c r="L10">
        <f t="shared" si="8"/>
        <v>2.084571300493368E-2</v>
      </c>
      <c r="AE10">
        <v>2085</v>
      </c>
    </row>
    <row r="11" spans="1:31" x14ac:dyDescent="0.3">
      <c r="A11">
        <v>24</v>
      </c>
      <c r="B11">
        <f t="shared" si="5"/>
        <v>9.5641877751681814E-3</v>
      </c>
      <c r="C11">
        <f t="shared" si="1"/>
        <v>9.5641877751681814E-3</v>
      </c>
      <c r="D11" t="s">
        <v>23</v>
      </c>
      <c r="E11" t="s">
        <v>19</v>
      </c>
      <c r="F11">
        <v>1</v>
      </c>
      <c r="G11">
        <f t="shared" si="6"/>
        <v>55</v>
      </c>
      <c r="I11">
        <v>2014</v>
      </c>
      <c r="J11">
        <f t="shared" si="7"/>
        <v>57.5</v>
      </c>
      <c r="K11" cm="1">
        <f t="array" ref="K11">STOWA2019_NDJF_T(A11*60,J11,I11,"","")</f>
        <v>88.640496708864447</v>
      </c>
      <c r="L11">
        <f t="shared" si="8"/>
        <v>1.1281525229765499E-2</v>
      </c>
    </row>
    <row r="12" spans="1:31" x14ac:dyDescent="0.3">
      <c r="A12">
        <v>24</v>
      </c>
      <c r="B12">
        <f t="shared" si="5"/>
        <v>5.0131148177039548E-3</v>
      </c>
      <c r="C12">
        <f t="shared" si="1"/>
        <v>5.0131148177039548E-3</v>
      </c>
      <c r="D12" t="s">
        <v>23</v>
      </c>
      <c r="E12" t="s">
        <v>19</v>
      </c>
      <c r="F12">
        <v>1</v>
      </c>
      <c r="G12">
        <f t="shared" si="6"/>
        <v>60</v>
      </c>
      <c r="I12">
        <v>2014</v>
      </c>
      <c r="J12">
        <f t="shared" si="7"/>
        <v>62.5</v>
      </c>
      <c r="K12" cm="1">
        <f t="array" ref="K12">STOWA2019_NDJF_T(A12*60,J12,I12,"","")</f>
        <v>159.53007768537634</v>
      </c>
      <c r="L12">
        <f t="shared" si="8"/>
        <v>6.268410412061544E-3</v>
      </c>
      <c r="AD12" t="s">
        <v>0</v>
      </c>
      <c r="AE12" t="s">
        <v>9</v>
      </c>
    </row>
    <row r="13" spans="1:31" x14ac:dyDescent="0.3">
      <c r="A13">
        <v>24</v>
      </c>
      <c r="B13">
        <f t="shared" si="5"/>
        <v>2.7002470387582429E-3</v>
      </c>
      <c r="C13">
        <f t="shared" si="1"/>
        <v>2.7002470387582429E-3</v>
      </c>
      <c r="D13" t="s">
        <v>23</v>
      </c>
      <c r="E13" t="s">
        <v>19</v>
      </c>
      <c r="F13">
        <v>1</v>
      </c>
      <c r="G13">
        <f t="shared" si="6"/>
        <v>65</v>
      </c>
      <c r="I13">
        <v>2014</v>
      </c>
      <c r="J13">
        <f t="shared" si="7"/>
        <v>67.5</v>
      </c>
      <c r="K13" cm="1">
        <f t="array" ref="K13">STOWA2019_NDJF_T(A13*60,J13,I13,"","")</f>
        <v>280.25622578885151</v>
      </c>
      <c r="L13">
        <f t="shared" si="8"/>
        <v>3.5681633733033011E-3</v>
      </c>
      <c r="AE13" t="s">
        <v>10</v>
      </c>
    </row>
    <row r="14" spans="1:31" x14ac:dyDescent="0.3">
      <c r="A14">
        <v>24</v>
      </c>
      <c r="B14">
        <f t="shared" si="5"/>
        <v>1.4913356167340292E-3</v>
      </c>
      <c r="C14">
        <f t="shared" si="1"/>
        <v>1.4913356167340292E-3</v>
      </c>
      <c r="D14" t="s">
        <v>23</v>
      </c>
      <c r="E14" t="s">
        <v>19</v>
      </c>
      <c r="F14">
        <v>1</v>
      </c>
      <c r="G14">
        <f t="shared" si="6"/>
        <v>70</v>
      </c>
      <c r="I14">
        <v>2014</v>
      </c>
      <c r="J14">
        <f t="shared" si="7"/>
        <v>72.5</v>
      </c>
      <c r="K14" cm="1">
        <f t="array" ref="K14">STOWA2019_NDJF_T(A14*60,J14,I14,"","")</f>
        <v>481.50358008114637</v>
      </c>
      <c r="L14">
        <f t="shared" si="8"/>
        <v>2.0768277565692719E-3</v>
      </c>
      <c r="AE14" t="s">
        <v>11</v>
      </c>
    </row>
    <row r="15" spans="1:31" x14ac:dyDescent="0.3">
      <c r="A15">
        <v>24</v>
      </c>
      <c r="B15">
        <f t="shared" si="5"/>
        <v>8.4288821047384709E-4</v>
      </c>
      <c r="C15">
        <f t="shared" si="1"/>
        <v>8.4288821047384709E-4</v>
      </c>
      <c r="D15" t="s">
        <v>23</v>
      </c>
      <c r="E15" t="s">
        <v>19</v>
      </c>
      <c r="F15">
        <v>1</v>
      </c>
      <c r="G15">
        <f t="shared" si="6"/>
        <v>75</v>
      </c>
      <c r="I15">
        <v>2014</v>
      </c>
      <c r="J15">
        <f t="shared" si="7"/>
        <v>77.5</v>
      </c>
      <c r="K15" cm="1">
        <f t="array" ref="K15">STOWA2019_NDJF_T(A15*60,J15,I15,"","")</f>
        <v>810.41247374258842</v>
      </c>
      <c r="L15">
        <f t="shared" si="8"/>
        <v>1.2339395460954248E-3</v>
      </c>
      <c r="AE15" t="s">
        <v>12</v>
      </c>
    </row>
    <row r="16" spans="1:31" x14ac:dyDescent="0.3">
      <c r="A16">
        <v>24</v>
      </c>
      <c r="B16">
        <f t="shared" si="5"/>
        <v>4.866891840795989E-4</v>
      </c>
      <c r="C16">
        <f t="shared" si="1"/>
        <v>4.866891840795989E-4</v>
      </c>
      <c r="D16" t="s">
        <v>23</v>
      </c>
      <c r="E16" t="s">
        <v>19</v>
      </c>
      <c r="F16">
        <v>1</v>
      </c>
      <c r="G16">
        <f t="shared" si="6"/>
        <v>80</v>
      </c>
      <c r="I16">
        <v>2014</v>
      </c>
      <c r="J16">
        <f t="shared" si="7"/>
        <v>82.5</v>
      </c>
      <c r="K16" cm="1">
        <f t="array" ref="K16">STOWA2019_NDJF_T(A16*60,J16,I16,"","")</f>
        <v>1338.2395657893587</v>
      </c>
      <c r="L16">
        <f t="shared" si="8"/>
        <v>7.4725036201582593E-4</v>
      </c>
    </row>
    <row r="17" spans="1:12" x14ac:dyDescent="0.3">
      <c r="A17">
        <v>24</v>
      </c>
      <c r="B17">
        <f t="shared" si="5"/>
        <v>2.8664138175732288E-4</v>
      </c>
      <c r="C17">
        <f t="shared" si="1"/>
        <v>2.8664138175732288E-4</v>
      </c>
      <c r="D17" t="s">
        <v>23</v>
      </c>
      <c r="E17" t="s">
        <v>19</v>
      </c>
      <c r="F17">
        <v>1</v>
      </c>
      <c r="G17">
        <f t="shared" si="6"/>
        <v>85</v>
      </c>
      <c r="I17">
        <v>2014</v>
      </c>
      <c r="J17">
        <f t="shared" si="7"/>
        <v>87.5</v>
      </c>
      <c r="K17" cm="1">
        <f t="array" ref="K17">STOWA2019_NDJF_T(A17*60,J17,I17,"","")</f>
        <v>2171.0388699733553</v>
      </c>
      <c r="L17">
        <f t="shared" si="8"/>
        <v>4.6060898025850305E-4</v>
      </c>
    </row>
    <row r="18" spans="1:12" x14ac:dyDescent="0.3">
      <c r="A18">
        <v>24</v>
      </c>
      <c r="B18">
        <f t="shared" si="5"/>
        <v>1.7196151919499211E-4</v>
      </c>
      <c r="C18">
        <f t="shared" si="1"/>
        <v>1.7196151919499211E-4</v>
      </c>
      <c r="D18" t="s">
        <v>23</v>
      </c>
      <c r="E18" t="s">
        <v>19</v>
      </c>
      <c r="F18">
        <v>1</v>
      </c>
      <c r="G18">
        <f t="shared" si="6"/>
        <v>90</v>
      </c>
      <c r="I18">
        <v>2014</v>
      </c>
      <c r="J18">
        <f t="shared" si="7"/>
        <v>92.5</v>
      </c>
      <c r="K18" cm="1">
        <f t="array" ref="K18">STOWA2019_NDJF_T(A18*60,J18,I18,"","")</f>
        <v>3464.4337293511499</v>
      </c>
      <c r="L18">
        <f t="shared" si="8"/>
        <v>2.8864746106351094E-4</v>
      </c>
    </row>
    <row r="19" spans="1:12" x14ac:dyDescent="0.3">
      <c r="A19">
        <v>24</v>
      </c>
      <c r="B19">
        <f t="shared" si="5"/>
        <v>1.0495026995059893E-4</v>
      </c>
      <c r="C19">
        <f t="shared" si="1"/>
        <v>1.0495026995059893E-4</v>
      </c>
      <c r="D19" t="s">
        <v>23</v>
      </c>
      <c r="E19" t="s">
        <v>19</v>
      </c>
      <c r="F19">
        <v>1</v>
      </c>
      <c r="G19">
        <f t="shared" si="6"/>
        <v>95</v>
      </c>
      <c r="I19">
        <v>2014</v>
      </c>
      <c r="J19">
        <f t="shared" si="7"/>
        <v>97.5</v>
      </c>
      <c r="K19" cm="1">
        <f t="array" ref="K19">STOWA2019_NDJF_T(A19*60,J19,I19,"","")</f>
        <v>5443.7413764554312</v>
      </c>
      <c r="L19">
        <f t="shared" si="8"/>
        <v>1.8369719111291201E-4</v>
      </c>
    </row>
    <row r="20" spans="1:12" x14ac:dyDescent="0.3">
      <c r="A20">
        <v>24</v>
      </c>
      <c r="B20">
        <f t="shared" si="5"/>
        <v>6.5092449343789641E-5</v>
      </c>
      <c r="C20">
        <f t="shared" si="1"/>
        <v>6.5092449343789641E-5</v>
      </c>
      <c r="D20" t="s">
        <v>23</v>
      </c>
      <c r="E20" t="s">
        <v>19</v>
      </c>
      <c r="F20">
        <v>1</v>
      </c>
      <c r="G20">
        <f t="shared" si="6"/>
        <v>100</v>
      </c>
      <c r="I20">
        <v>2014</v>
      </c>
      <c r="J20">
        <f t="shared" si="7"/>
        <v>102.5</v>
      </c>
      <c r="K20" cm="1">
        <f t="array" ref="K20">STOWA2019_NDJF_T(A20*60,J20,I20,"","")</f>
        <v>8431.366107997721</v>
      </c>
      <c r="L20">
        <f t="shared" si="8"/>
        <v>1.1860474176912237E-4</v>
      </c>
    </row>
    <row r="21" spans="1:12" x14ac:dyDescent="0.3">
      <c r="A21">
        <v>24</v>
      </c>
      <c r="B21">
        <f t="shared" si="5"/>
        <v>4.0982700185383423E-5</v>
      </c>
      <c r="C21">
        <f t="shared" si="1"/>
        <v>4.0982700185383423E-5</v>
      </c>
      <c r="D21" t="s">
        <v>23</v>
      </c>
      <c r="E21" t="s">
        <v>19</v>
      </c>
      <c r="F21">
        <v>1</v>
      </c>
      <c r="G21">
        <f t="shared" si="6"/>
        <v>105</v>
      </c>
      <c r="I21">
        <v>2014</v>
      </c>
      <c r="J21">
        <f t="shared" si="7"/>
        <v>107.5</v>
      </c>
      <c r="K21" cm="1">
        <f t="array" ref="K21">STOWA2019_NDJF_T(A21*60,J21,I21,"","")</f>
        <v>12882.938655010719</v>
      </c>
      <c r="L21">
        <f t="shared" si="8"/>
        <v>7.7622041583738944E-5</v>
      </c>
    </row>
    <row r="22" spans="1:12" x14ac:dyDescent="0.3">
      <c r="A22">
        <v>24</v>
      </c>
      <c r="B22">
        <f t="shared" si="5"/>
        <v>2.6170885361536385E-5</v>
      </c>
      <c r="C22">
        <f t="shared" si="1"/>
        <v>2.6170885361536385E-5</v>
      </c>
      <c r="D22" t="s">
        <v>23</v>
      </c>
      <c r="E22" t="s">
        <v>19</v>
      </c>
      <c r="F22">
        <v>1</v>
      </c>
      <c r="G22">
        <f t="shared" si="6"/>
        <v>110</v>
      </c>
      <c r="I22">
        <v>2014</v>
      </c>
      <c r="J22">
        <f t="shared" si="7"/>
        <v>112.5</v>
      </c>
      <c r="K22" cm="1">
        <f t="array" ref="K22">STOWA2019_NDJF_T(A22*60,J22,I22,"","")</f>
        <v>19435.909188926507</v>
      </c>
      <c r="L22">
        <f t="shared" si="8"/>
        <v>5.1451156222202559E-5</v>
      </c>
    </row>
    <row r="23" spans="1:12" x14ac:dyDescent="0.3">
      <c r="A23">
        <v>24</v>
      </c>
      <c r="B23">
        <f t="shared" si="5"/>
        <v>1.693597954505191E-5</v>
      </c>
      <c r="C23">
        <f t="shared" si="1"/>
        <v>1.693597954505191E-5</v>
      </c>
      <c r="D23" t="s">
        <v>23</v>
      </c>
      <c r="E23" t="s">
        <v>19</v>
      </c>
      <c r="F23">
        <v>1</v>
      </c>
      <c r="G23">
        <f t="shared" si="6"/>
        <v>115</v>
      </c>
      <c r="I23">
        <v>2014</v>
      </c>
      <c r="J23">
        <f t="shared" si="7"/>
        <v>117.5</v>
      </c>
      <c r="K23" cm="1">
        <f t="array" ref="K23">STOWA2019_NDJF_T(A23*60,J23,I23,"","")</f>
        <v>28972.762021583647</v>
      </c>
      <c r="L23">
        <f t="shared" si="8"/>
        <v>3.4515176677150649E-5</v>
      </c>
    </row>
    <row r="24" spans="1:12" x14ac:dyDescent="0.3">
      <c r="A24">
        <v>24</v>
      </c>
      <c r="B24">
        <f t="shared" si="5"/>
        <v>1.109796685585294E-5</v>
      </c>
      <c r="C24">
        <f t="shared" si="1"/>
        <v>1.109796685585294E-5</v>
      </c>
      <c r="D24" t="s">
        <v>23</v>
      </c>
      <c r="E24" t="s">
        <v>19</v>
      </c>
      <c r="F24">
        <v>1</v>
      </c>
      <c r="G24">
        <f t="shared" si="6"/>
        <v>120</v>
      </c>
      <c r="I24">
        <v>2014</v>
      </c>
      <c r="J24">
        <f t="shared" si="7"/>
        <v>122.5</v>
      </c>
      <c r="K24" cm="1">
        <f t="array" ref="K24">STOWA2019_NDJF_T(A24*60,J24,I24,"","")</f>
        <v>42703.63581448164</v>
      </c>
      <c r="L24">
        <f t="shared" si="8"/>
        <v>2.3417209821297709E-5</v>
      </c>
    </row>
    <row r="25" spans="1:12" x14ac:dyDescent="0.3">
      <c r="A25">
        <v>24</v>
      </c>
      <c r="B25">
        <f t="shared" si="5"/>
        <v>7.3588996425134122E-6</v>
      </c>
      <c r="C25">
        <f t="shared" si="1"/>
        <v>7.3588996425134122E-6</v>
      </c>
      <c r="D25" t="s">
        <v>23</v>
      </c>
      <c r="E25" t="s">
        <v>19</v>
      </c>
      <c r="F25">
        <v>1</v>
      </c>
      <c r="G25">
        <f t="shared" si="6"/>
        <v>125</v>
      </c>
      <c r="I25">
        <v>2014</v>
      </c>
      <c r="J25">
        <f t="shared" si="7"/>
        <v>127.5</v>
      </c>
      <c r="K25" cm="1">
        <f t="array" ref="K25">STOWA2019_NDJF_T(A25*60,J25,I25,"","")</f>
        <v>62273.052946826654</v>
      </c>
      <c r="L25">
        <f t="shared" si="8"/>
        <v>1.6058310178784297E-5</v>
      </c>
    </row>
    <row r="26" spans="1:12" x14ac:dyDescent="0.3">
      <c r="A26">
        <v>24</v>
      </c>
      <c r="B26">
        <f t="shared" si="5"/>
        <v>4.9344505553029551E-6</v>
      </c>
      <c r="C26">
        <f t="shared" si="1"/>
        <v>4.9344505553029551E-6</v>
      </c>
      <c r="D26" t="s">
        <v>23</v>
      </c>
      <c r="E26" t="s">
        <v>19</v>
      </c>
      <c r="F26">
        <v>1</v>
      </c>
      <c r="G26">
        <f t="shared" si="6"/>
        <v>130</v>
      </c>
      <c r="I26">
        <v>2014</v>
      </c>
      <c r="J26">
        <f t="shared" si="7"/>
        <v>132.5</v>
      </c>
      <c r="K26" cm="1">
        <f t="array" ref="K26">STOWA2019_NDJF_T(A26*60,J26,I26,"","")</f>
        <v>89896.85539442634</v>
      </c>
      <c r="L26">
        <f t="shared" si="8"/>
        <v>1.1123859623481342E-5</v>
      </c>
    </row>
    <row r="27" spans="1:12" x14ac:dyDescent="0.3">
      <c r="A27">
        <v>24</v>
      </c>
      <c r="B27">
        <f t="shared" si="5"/>
        <v>3.343979428361761E-6</v>
      </c>
      <c r="C27">
        <f t="shared" si="1"/>
        <v>3.343979428361761E-6</v>
      </c>
      <c r="D27" t="s">
        <v>23</v>
      </c>
      <c r="E27" t="s">
        <v>19</v>
      </c>
      <c r="F27">
        <v>1</v>
      </c>
      <c r="G27">
        <f t="shared" si="6"/>
        <v>135</v>
      </c>
      <c r="I27">
        <v>2014</v>
      </c>
      <c r="J27">
        <f t="shared" si="7"/>
        <v>137.5</v>
      </c>
      <c r="K27" cm="1">
        <f t="array" ref="K27">STOWA2019_NDJF_T(A27*60,J27,I27,"","")</f>
        <v>128536.68371748358</v>
      </c>
      <c r="L27">
        <f t="shared" si="8"/>
        <v>7.7798801951195808E-6</v>
      </c>
    </row>
    <row r="28" spans="1:12" x14ac:dyDescent="0.3">
      <c r="A28">
        <v>24</v>
      </c>
      <c r="B28">
        <f t="shared" si="5"/>
        <v>2.2889894544223981E-6</v>
      </c>
      <c r="C28">
        <f t="shared" si="1"/>
        <v>2.2889894544223981E-6</v>
      </c>
      <c r="D28" t="s">
        <v>23</v>
      </c>
      <c r="E28" t="s">
        <v>19</v>
      </c>
      <c r="F28">
        <v>1</v>
      </c>
      <c r="G28">
        <f t="shared" si="6"/>
        <v>140</v>
      </c>
      <c r="I28">
        <v>2014</v>
      </c>
      <c r="J28">
        <f t="shared" si="7"/>
        <v>142.5</v>
      </c>
      <c r="K28" cm="1">
        <f t="array" ref="K28">STOWA2019_NDJF_T(A28*60,J28,I28,"","")</f>
        <v>182119.81392895631</v>
      </c>
      <c r="L28">
        <f t="shared" si="8"/>
        <v>5.4908907406971828E-6</v>
      </c>
    </row>
    <row r="29" spans="1:12" x14ac:dyDescent="0.3">
      <c r="A29">
        <v>24</v>
      </c>
      <c r="B29">
        <f t="shared" si="5"/>
        <v>1.581904411408336E-6</v>
      </c>
      <c r="C29">
        <f t="shared" si="1"/>
        <v>1.581904411408336E-6</v>
      </c>
      <c r="D29" t="s">
        <v>23</v>
      </c>
      <c r="E29" t="s">
        <v>19</v>
      </c>
      <c r="F29">
        <v>1</v>
      </c>
      <c r="G29">
        <f t="shared" si="6"/>
        <v>145</v>
      </c>
      <c r="I29">
        <v>2014</v>
      </c>
      <c r="J29">
        <f t="shared" si="7"/>
        <v>147.5</v>
      </c>
      <c r="K29" cm="1">
        <f t="array" ref="K29">STOWA2019_NDJF_T(A29*60,J29,I29,"","")</f>
        <v>255820.79745516222</v>
      </c>
      <c r="L29">
        <f t="shared" si="8"/>
        <v>3.9089863292888467E-6</v>
      </c>
    </row>
    <row r="30" spans="1:12" x14ac:dyDescent="0.3">
      <c r="A30">
        <v>24</v>
      </c>
      <c r="B30">
        <f t="shared" si="5"/>
        <v>1.1031789940768904E-6</v>
      </c>
      <c r="C30">
        <f t="shared" si="1"/>
        <v>1.1031789940768904E-6</v>
      </c>
      <c r="D30" t="s">
        <v>23</v>
      </c>
      <c r="E30" t="s">
        <v>19</v>
      </c>
      <c r="F30">
        <v>1</v>
      </c>
      <c r="G30">
        <f t="shared" si="6"/>
        <v>150</v>
      </c>
      <c r="I30">
        <v>2014</v>
      </c>
      <c r="J30">
        <f t="shared" si="7"/>
        <v>152.5</v>
      </c>
      <c r="K30" cm="1">
        <f t="array" ref="K30">STOWA2019_NDJF_T(A30*60,J30,I30,"","")</f>
        <v>356403.65874389518</v>
      </c>
      <c r="L30">
        <f t="shared" si="8"/>
        <v>2.8058073352119564E-6</v>
      </c>
    </row>
    <row r="31" spans="1:12" x14ac:dyDescent="0.3">
      <c r="A31">
        <v>24</v>
      </c>
      <c r="B31">
        <f t="shared" si="5"/>
        <v>7.7598886095585518E-7</v>
      </c>
      <c r="C31">
        <f t="shared" si="1"/>
        <v>7.7598886095585518E-7</v>
      </c>
      <c r="D31" t="s">
        <v>23</v>
      </c>
      <c r="E31" t="s">
        <v>19</v>
      </c>
      <c r="F31">
        <v>1</v>
      </c>
      <c r="G31">
        <f t="shared" si="6"/>
        <v>155</v>
      </c>
      <c r="I31">
        <v>2014</v>
      </c>
      <c r="J31">
        <f t="shared" si="7"/>
        <v>157.5</v>
      </c>
      <c r="K31" cm="1">
        <f t="array" ref="K31">STOWA2019_NDJF_T(A31*60,J31,I31,"","")</f>
        <v>492654.8914017966</v>
      </c>
      <c r="L31">
        <f t="shared" si="8"/>
        <v>2.0298184742561012E-6</v>
      </c>
    </row>
    <row r="32" spans="1:12" x14ac:dyDescent="0.3">
      <c r="A32">
        <v>24</v>
      </c>
      <c r="B32" s="1">
        <f>L31</f>
        <v>2.0298184742561012E-6</v>
      </c>
      <c r="C32">
        <f t="shared" si="1"/>
        <v>2.0298184742561012E-6</v>
      </c>
      <c r="D32" t="s">
        <v>23</v>
      </c>
      <c r="E32" t="s">
        <v>19</v>
      </c>
      <c r="F32">
        <v>1</v>
      </c>
      <c r="G32">
        <f t="shared" si="6"/>
        <v>160</v>
      </c>
      <c r="I32">
        <v>2014</v>
      </c>
      <c r="J32">
        <f>AVERAGE(G32:G33)</f>
        <v>85</v>
      </c>
      <c r="K32" cm="1">
        <f t="array" ref="K32">STOWA2019_NDJF_T(A32*60,J32,I32,"","")</f>
        <v>1708.1513984634648</v>
      </c>
      <c r="L32">
        <f>1/K32</f>
        <v>5.8542820086060932E-4</v>
      </c>
    </row>
    <row r="33" spans="1:12" x14ac:dyDescent="0.3">
      <c r="A33">
        <v>48</v>
      </c>
      <c r="B33" s="1">
        <f>365.25*24/A33 - L33</f>
        <v>169.28225319153083</v>
      </c>
      <c r="C33">
        <f>B33</f>
        <v>169.28225319153083</v>
      </c>
      <c r="D33" t="s">
        <v>23</v>
      </c>
      <c r="E33" t="s">
        <v>19</v>
      </c>
      <c r="F33">
        <v>1</v>
      </c>
      <c r="G33">
        <v>10</v>
      </c>
      <c r="I33">
        <v>2014</v>
      </c>
      <c r="J33">
        <f>AVERAGE(G33:G35)</f>
        <v>15</v>
      </c>
      <c r="K33" cm="1">
        <f t="array" ref="K33">STOWA2019_NDJF_T(A33*60,J33,I33,"","")</f>
        <v>7.4947086559812415E-2</v>
      </c>
      <c r="L33">
        <f>1/K33</f>
        <v>13.342746808469174</v>
      </c>
    </row>
    <row r="34" spans="1:12" x14ac:dyDescent="0.3">
      <c r="A34">
        <v>48</v>
      </c>
      <c r="B34">
        <f t="shared" ref="B34:B38" si="9">L33-L34</f>
        <v>3.9890351642570714</v>
      </c>
      <c r="C34">
        <f t="shared" ref="C34:C63" si="10">B34</f>
        <v>3.9890351642570714</v>
      </c>
      <c r="D34" t="s">
        <v>23</v>
      </c>
      <c r="E34" t="s">
        <v>19</v>
      </c>
      <c r="F34">
        <v>1</v>
      </c>
      <c r="G34">
        <f t="shared" ref="G34:G38" si="11">G33+5</f>
        <v>15</v>
      </c>
      <c r="I34">
        <v>2014</v>
      </c>
      <c r="J34">
        <f t="shared" ref="J34:J38" si="12">AVERAGE(G34:G35)</f>
        <v>17.5</v>
      </c>
      <c r="K34" cm="1">
        <f t="array" ref="K34">STOWA2019_NDJF_T(A34*60,J34,I34,"","")</f>
        <v>0.10690943210963541</v>
      </c>
      <c r="L34">
        <f t="shared" ref="L34:L38" si="13">1/K34</f>
        <v>9.3537116442121029</v>
      </c>
    </row>
    <row r="35" spans="1:12" x14ac:dyDescent="0.3">
      <c r="A35">
        <v>48</v>
      </c>
      <c r="B35">
        <f t="shared" si="9"/>
        <v>4.6613966714198378</v>
      </c>
      <c r="C35">
        <f t="shared" si="10"/>
        <v>4.6613966714198378</v>
      </c>
      <c r="D35" t="s">
        <v>23</v>
      </c>
      <c r="E35" t="s">
        <v>19</v>
      </c>
      <c r="F35">
        <v>1</v>
      </c>
      <c r="G35">
        <f t="shared" si="11"/>
        <v>20</v>
      </c>
      <c r="I35">
        <v>2014</v>
      </c>
      <c r="J35">
        <f t="shared" si="12"/>
        <v>22.5</v>
      </c>
      <c r="K35" cm="1">
        <f t="array" ref="K35">STOWA2019_NDJF_T(A35*60,J35,I35,"","")</f>
        <v>0.21311442343456496</v>
      </c>
      <c r="L35">
        <f t="shared" si="13"/>
        <v>4.6923149727922651</v>
      </c>
    </row>
    <row r="36" spans="1:12" x14ac:dyDescent="0.3">
      <c r="A36">
        <v>48</v>
      </c>
      <c r="B36">
        <f t="shared" si="9"/>
        <v>2.2772356499097075</v>
      </c>
      <c r="C36">
        <f t="shared" si="10"/>
        <v>2.2772356499097075</v>
      </c>
      <c r="D36" t="s">
        <v>23</v>
      </c>
      <c r="E36" t="s">
        <v>19</v>
      </c>
      <c r="F36">
        <v>1</v>
      </c>
      <c r="G36">
        <f t="shared" si="11"/>
        <v>25</v>
      </c>
      <c r="I36">
        <v>2014</v>
      </c>
      <c r="J36">
        <f t="shared" si="12"/>
        <v>27.5</v>
      </c>
      <c r="K36" cm="1">
        <f t="array" ref="K36">STOWA2019_NDJF_T(A36*60,J36,I36,"","")</f>
        <v>0.41406507460236691</v>
      </c>
      <c r="L36">
        <f t="shared" si="13"/>
        <v>2.4150793228825576</v>
      </c>
    </row>
    <row r="37" spans="1:12" x14ac:dyDescent="0.3">
      <c r="A37">
        <v>48</v>
      </c>
      <c r="B37">
        <f t="shared" si="9"/>
        <v>1.142087699341191</v>
      </c>
      <c r="C37">
        <f t="shared" si="10"/>
        <v>1.142087699341191</v>
      </c>
      <c r="D37" t="s">
        <v>23</v>
      </c>
      <c r="E37" t="s">
        <v>19</v>
      </c>
      <c r="F37">
        <v>1</v>
      </c>
      <c r="G37">
        <f t="shared" si="11"/>
        <v>30</v>
      </c>
      <c r="I37">
        <v>2014</v>
      </c>
      <c r="J37">
        <f t="shared" si="12"/>
        <v>32.5</v>
      </c>
      <c r="K37" cm="1">
        <f t="array" ref="K37">STOWA2019_NDJF_T(A37*60,J37,I37,"","")</f>
        <v>0.78555112343793398</v>
      </c>
      <c r="L37">
        <f t="shared" si="13"/>
        <v>1.2729916235413665</v>
      </c>
    </row>
    <row r="38" spans="1:12" x14ac:dyDescent="0.3">
      <c r="A38">
        <v>48</v>
      </c>
      <c r="B38">
        <f t="shared" si="9"/>
        <v>0.5868730294715292</v>
      </c>
      <c r="C38">
        <f t="shared" si="10"/>
        <v>0.5868730294715292</v>
      </c>
      <c r="D38" t="s">
        <v>23</v>
      </c>
      <c r="E38" t="s">
        <v>19</v>
      </c>
      <c r="F38">
        <v>1</v>
      </c>
      <c r="G38">
        <f t="shared" si="11"/>
        <v>35</v>
      </c>
      <c r="I38">
        <v>2014</v>
      </c>
      <c r="J38">
        <f t="shared" si="12"/>
        <v>37.5</v>
      </c>
      <c r="K38" cm="1">
        <f t="array" ref="K38">STOWA2019_NDJF_T(A38*60,J38,I38,"","")</f>
        <v>1.4574739828406602</v>
      </c>
      <c r="L38">
        <f t="shared" si="13"/>
        <v>0.68611859406983733</v>
      </c>
    </row>
    <row r="39" spans="1:12" x14ac:dyDescent="0.3">
      <c r="A39">
        <v>48</v>
      </c>
      <c r="B39">
        <f>L38-L39</f>
        <v>0.3086231856653327</v>
      </c>
      <c r="C39">
        <f t="shared" si="10"/>
        <v>0.3086231856653327</v>
      </c>
      <c r="D39" t="s">
        <v>23</v>
      </c>
      <c r="E39" t="s">
        <v>19</v>
      </c>
      <c r="F39">
        <v>1</v>
      </c>
      <c r="G39">
        <f>G38+5</f>
        <v>40</v>
      </c>
      <c r="I39">
        <v>2014</v>
      </c>
      <c r="J39">
        <f>AVERAGE(G39:G40)</f>
        <v>42.5</v>
      </c>
      <c r="K39" cm="1">
        <f t="array" ref="K39">STOWA2019_NDJF_T(A39*60,J39,I39,"","")</f>
        <v>2.6490388432180652</v>
      </c>
      <c r="L39">
        <f>1/K39</f>
        <v>0.37749540840450463</v>
      </c>
    </row>
    <row r="40" spans="1:12" x14ac:dyDescent="0.3">
      <c r="A40">
        <v>48</v>
      </c>
      <c r="B40">
        <f t="shared" ref="B40:B62" si="14">L39-L40</f>
        <v>0.16574678319590205</v>
      </c>
      <c r="C40">
        <f t="shared" si="10"/>
        <v>0.16574678319590205</v>
      </c>
      <c r="D40" t="s">
        <v>23</v>
      </c>
      <c r="E40" t="s">
        <v>19</v>
      </c>
      <c r="F40">
        <v>1</v>
      </c>
      <c r="G40">
        <f t="shared" ref="G40:G63" si="15">G39+5</f>
        <v>45</v>
      </c>
      <c r="I40">
        <v>2014</v>
      </c>
      <c r="J40">
        <f t="shared" ref="J40:J62" si="16">AVERAGE(G40:G41)</f>
        <v>47.5</v>
      </c>
      <c r="K40" cm="1">
        <f t="array" ref="K40">STOWA2019_NDJF_T(A40*60,J40,I40,"","")</f>
        <v>4.722580838552588</v>
      </c>
      <c r="L40">
        <f t="shared" ref="L40:L62" si="17">1/K40</f>
        <v>0.21174862520860258</v>
      </c>
    </row>
    <row r="41" spans="1:12" x14ac:dyDescent="0.3">
      <c r="A41">
        <v>48</v>
      </c>
      <c r="B41">
        <f t="shared" si="14"/>
        <v>9.0800027315253287E-2</v>
      </c>
      <c r="C41">
        <f t="shared" si="10"/>
        <v>9.0800027315253287E-2</v>
      </c>
      <c r="D41" t="s">
        <v>23</v>
      </c>
      <c r="E41" t="s">
        <v>19</v>
      </c>
      <c r="F41">
        <v>1</v>
      </c>
      <c r="G41">
        <f t="shared" si="15"/>
        <v>50</v>
      </c>
      <c r="I41">
        <v>2014</v>
      </c>
      <c r="J41">
        <f t="shared" si="16"/>
        <v>52.5</v>
      </c>
      <c r="K41" cm="1">
        <f t="array" ref="K41">STOWA2019_NDJF_T(A41*60,J41,I41,"","")</f>
        <v>8.2679751350386503</v>
      </c>
      <c r="L41">
        <f t="shared" si="17"/>
        <v>0.12094859789334929</v>
      </c>
    </row>
    <row r="42" spans="1:12" x14ac:dyDescent="0.3">
      <c r="A42">
        <v>48</v>
      </c>
      <c r="B42">
        <f t="shared" si="14"/>
        <v>5.0676830925935848E-2</v>
      </c>
      <c r="C42">
        <f t="shared" si="10"/>
        <v>5.0676830925935848E-2</v>
      </c>
      <c r="D42" t="s">
        <v>23</v>
      </c>
      <c r="E42" t="s">
        <v>19</v>
      </c>
      <c r="F42">
        <v>1</v>
      </c>
      <c r="G42">
        <f t="shared" si="15"/>
        <v>55</v>
      </c>
      <c r="I42">
        <v>2014</v>
      </c>
      <c r="J42">
        <f t="shared" si="16"/>
        <v>57.5</v>
      </c>
      <c r="K42" cm="1">
        <f t="array" ref="K42">STOWA2019_NDJF_T(A42*60,J42,I42,"","")</f>
        <v>14.230466133912953</v>
      </c>
      <c r="L42">
        <f t="shared" si="17"/>
        <v>7.027176696741344E-2</v>
      </c>
    </row>
    <row r="43" spans="1:12" x14ac:dyDescent="0.3">
      <c r="A43">
        <v>48</v>
      </c>
      <c r="B43">
        <f t="shared" si="14"/>
        <v>2.8783646701402543E-2</v>
      </c>
      <c r="C43">
        <f t="shared" si="10"/>
        <v>2.8783646701402543E-2</v>
      </c>
      <c r="D43" t="s">
        <v>23</v>
      </c>
      <c r="E43" t="s">
        <v>19</v>
      </c>
      <c r="F43">
        <v>1</v>
      </c>
      <c r="G43">
        <f t="shared" si="15"/>
        <v>60</v>
      </c>
      <c r="I43">
        <v>2014</v>
      </c>
      <c r="J43">
        <f t="shared" si="16"/>
        <v>62.5</v>
      </c>
      <c r="K43" cm="1">
        <f t="array" ref="K43">STOWA2019_NDJF_T(A43*60,J43,I43,"","")</f>
        <v>24.103285316092016</v>
      </c>
      <c r="L43">
        <f t="shared" si="17"/>
        <v>4.1488120266010897E-2</v>
      </c>
    </row>
    <row r="44" spans="1:12" x14ac:dyDescent="0.3">
      <c r="A44">
        <v>48</v>
      </c>
      <c r="B44">
        <f t="shared" si="14"/>
        <v>1.6620984948325059E-2</v>
      </c>
      <c r="C44">
        <f t="shared" si="10"/>
        <v>1.6620984948325059E-2</v>
      </c>
      <c r="D44" t="s">
        <v>23</v>
      </c>
      <c r="E44" t="s">
        <v>19</v>
      </c>
      <c r="F44">
        <v>1</v>
      </c>
      <c r="G44">
        <f t="shared" si="15"/>
        <v>65</v>
      </c>
      <c r="I44">
        <v>2014</v>
      </c>
      <c r="J44">
        <f t="shared" si="16"/>
        <v>67.5</v>
      </c>
      <c r="K44" cm="1">
        <f t="array" ref="K44">STOWA2019_NDJF_T(A44*60,J44,I44,"","")</f>
        <v>40.213719321693908</v>
      </c>
      <c r="L44">
        <f t="shared" si="17"/>
        <v>2.4867135317685838E-2</v>
      </c>
    </row>
    <row r="45" spans="1:12" x14ac:dyDescent="0.3">
      <c r="A45">
        <v>48</v>
      </c>
      <c r="B45">
        <f t="shared" si="14"/>
        <v>9.7481919126788785E-3</v>
      </c>
      <c r="C45">
        <f t="shared" si="10"/>
        <v>9.7481919126788785E-3</v>
      </c>
      <c r="D45" t="s">
        <v>23</v>
      </c>
      <c r="E45" t="s">
        <v>19</v>
      </c>
      <c r="F45">
        <v>1</v>
      </c>
      <c r="G45">
        <f t="shared" si="15"/>
        <v>70</v>
      </c>
      <c r="I45">
        <v>2014</v>
      </c>
      <c r="J45">
        <f t="shared" si="16"/>
        <v>72.5</v>
      </c>
      <c r="K45" cm="1">
        <f t="array" ref="K45">STOWA2019_NDJF_T(A45*60,J45,I45,"","")</f>
        <v>66.142188194766888</v>
      </c>
      <c r="L45">
        <f t="shared" si="17"/>
        <v>1.511894340500696E-2</v>
      </c>
    </row>
    <row r="46" spans="1:12" x14ac:dyDescent="0.3">
      <c r="A46">
        <v>48</v>
      </c>
      <c r="B46">
        <f t="shared" si="14"/>
        <v>5.8019635166868463E-3</v>
      </c>
      <c r="C46">
        <f t="shared" si="10"/>
        <v>5.8019635166868463E-3</v>
      </c>
      <c r="D46" t="s">
        <v>23</v>
      </c>
      <c r="E46" t="s">
        <v>19</v>
      </c>
      <c r="F46">
        <v>1</v>
      </c>
      <c r="G46">
        <f t="shared" si="15"/>
        <v>75</v>
      </c>
      <c r="I46">
        <v>2014</v>
      </c>
      <c r="J46">
        <f t="shared" si="16"/>
        <v>77.5</v>
      </c>
      <c r="K46" cm="1">
        <f t="array" ref="K46">STOWA2019_NDJF_T(A46*60,J46,I46,"","")</f>
        <v>107.33091752764358</v>
      </c>
      <c r="L46">
        <f t="shared" si="17"/>
        <v>9.3169798883201132E-3</v>
      </c>
    </row>
    <row r="47" spans="1:12" x14ac:dyDescent="0.3">
      <c r="A47">
        <v>48</v>
      </c>
      <c r="B47">
        <f t="shared" si="14"/>
        <v>3.501603218895569E-3</v>
      </c>
      <c r="C47">
        <f t="shared" si="10"/>
        <v>3.501603218895569E-3</v>
      </c>
      <c r="D47" t="s">
        <v>23</v>
      </c>
      <c r="E47" t="s">
        <v>19</v>
      </c>
      <c r="F47">
        <v>1</v>
      </c>
      <c r="G47">
        <f t="shared" si="15"/>
        <v>80</v>
      </c>
      <c r="I47">
        <v>2014</v>
      </c>
      <c r="J47">
        <f t="shared" si="16"/>
        <v>82.5</v>
      </c>
      <c r="K47" cm="1">
        <f t="array" ref="K47">STOWA2019_NDJF_T(A47*60,J47,I47,"","")</f>
        <v>171.95790691559009</v>
      </c>
      <c r="L47">
        <f t="shared" si="17"/>
        <v>5.8153766694245441E-3</v>
      </c>
    </row>
    <row r="48" spans="1:12" x14ac:dyDescent="0.3">
      <c r="A48">
        <v>48</v>
      </c>
      <c r="B48">
        <f t="shared" si="14"/>
        <v>2.1413331816019709E-3</v>
      </c>
      <c r="C48">
        <f t="shared" si="10"/>
        <v>2.1413331816019709E-3</v>
      </c>
      <c r="D48" t="s">
        <v>23</v>
      </c>
      <c r="E48" t="s">
        <v>19</v>
      </c>
      <c r="F48">
        <v>1</v>
      </c>
      <c r="G48">
        <f t="shared" si="15"/>
        <v>85</v>
      </c>
      <c r="I48">
        <v>2014</v>
      </c>
      <c r="J48">
        <f t="shared" si="16"/>
        <v>87.5</v>
      </c>
      <c r="K48" cm="1">
        <f t="array" ref="K48">STOWA2019_NDJF_T(A48*60,J48,I48,"","")</f>
        <v>272.17968521996221</v>
      </c>
      <c r="L48">
        <f t="shared" si="17"/>
        <v>3.6740434878225732E-3</v>
      </c>
    </row>
    <row r="49" spans="1:12" x14ac:dyDescent="0.3">
      <c r="A49">
        <v>48</v>
      </c>
      <c r="B49">
        <f t="shared" si="14"/>
        <v>1.3259572944429292E-3</v>
      </c>
      <c r="C49">
        <f t="shared" si="10"/>
        <v>1.3259572944429292E-3</v>
      </c>
      <c r="D49" t="s">
        <v>23</v>
      </c>
      <c r="E49" t="s">
        <v>19</v>
      </c>
      <c r="F49">
        <v>1</v>
      </c>
      <c r="G49">
        <f t="shared" si="15"/>
        <v>90</v>
      </c>
      <c r="I49">
        <v>2014</v>
      </c>
      <c r="J49">
        <f t="shared" si="16"/>
        <v>92.5</v>
      </c>
      <c r="K49" cm="1">
        <f t="array" ref="K49">STOWA2019_NDJF_T(A49*60,J49,I49,"","")</f>
        <v>425.87874449390699</v>
      </c>
      <c r="L49">
        <f t="shared" si="17"/>
        <v>2.348086193379644E-3</v>
      </c>
    </row>
    <row r="50" spans="1:12" x14ac:dyDescent="0.3">
      <c r="A50">
        <v>48</v>
      </c>
      <c r="B50">
        <f t="shared" si="14"/>
        <v>8.3090026633561836E-4</v>
      </c>
      <c r="C50">
        <f t="shared" si="10"/>
        <v>8.3090026633561836E-4</v>
      </c>
      <c r="D50" t="s">
        <v>23</v>
      </c>
      <c r="E50" t="s">
        <v>19</v>
      </c>
      <c r="F50">
        <v>1</v>
      </c>
      <c r="G50">
        <f t="shared" si="15"/>
        <v>95</v>
      </c>
      <c r="I50">
        <v>2014</v>
      </c>
      <c r="J50">
        <f t="shared" si="16"/>
        <v>97.5</v>
      </c>
      <c r="K50" cm="1">
        <f t="array" ref="K50">STOWA2019_NDJF_T(A50*60,J50,I50,"","")</f>
        <v>659.1149984816476</v>
      </c>
      <c r="L50">
        <f t="shared" si="17"/>
        <v>1.5171859270440256E-3</v>
      </c>
    </row>
    <row r="51" spans="1:12" x14ac:dyDescent="0.3">
      <c r="A51">
        <v>48</v>
      </c>
      <c r="B51">
        <f t="shared" si="14"/>
        <v>5.2660131977971575E-4</v>
      </c>
      <c r="C51">
        <f t="shared" si="10"/>
        <v>5.2660131977971575E-4</v>
      </c>
      <c r="D51" t="s">
        <v>23</v>
      </c>
      <c r="E51" t="s">
        <v>19</v>
      </c>
      <c r="F51">
        <v>1</v>
      </c>
      <c r="G51">
        <f t="shared" si="15"/>
        <v>100</v>
      </c>
      <c r="I51">
        <v>2014</v>
      </c>
      <c r="J51">
        <f t="shared" si="16"/>
        <v>102.5</v>
      </c>
      <c r="K51" cm="1">
        <f t="array" ref="K51">STOWA2019_NDJF_T(A51*60,J51,I51,"","")</f>
        <v>1009.5048849605008</v>
      </c>
      <c r="L51">
        <f t="shared" si="17"/>
        <v>9.9058460726430988E-4</v>
      </c>
    </row>
    <row r="52" spans="1:12" x14ac:dyDescent="0.3">
      <c r="A52">
        <v>48</v>
      </c>
      <c r="B52">
        <f t="shared" si="14"/>
        <v>3.3736199058296168E-4</v>
      </c>
      <c r="C52">
        <f t="shared" si="10"/>
        <v>3.3736199058296168E-4</v>
      </c>
      <c r="D52" t="s">
        <v>23</v>
      </c>
      <c r="E52" t="s">
        <v>19</v>
      </c>
      <c r="F52">
        <v>1</v>
      </c>
      <c r="G52">
        <f t="shared" si="15"/>
        <v>105</v>
      </c>
      <c r="I52">
        <v>2014</v>
      </c>
      <c r="J52">
        <f t="shared" si="16"/>
        <v>107.5</v>
      </c>
      <c r="K52" cm="1">
        <f t="array" ref="K52">STOWA2019_NDJF_T(A52*60,J52,I52,"","")</f>
        <v>1530.8716729381326</v>
      </c>
      <c r="L52">
        <f t="shared" si="17"/>
        <v>6.532226166813482E-4</v>
      </c>
    </row>
    <row r="53" spans="1:12" x14ac:dyDescent="0.3">
      <c r="A53">
        <v>48</v>
      </c>
      <c r="B53">
        <f t="shared" si="14"/>
        <v>2.1836104426540149E-4</v>
      </c>
      <c r="C53">
        <f t="shared" si="10"/>
        <v>2.1836104426540149E-4</v>
      </c>
      <c r="D53" t="s">
        <v>23</v>
      </c>
      <c r="E53" t="s">
        <v>19</v>
      </c>
      <c r="F53">
        <v>1</v>
      </c>
      <c r="G53">
        <f t="shared" si="15"/>
        <v>110</v>
      </c>
      <c r="I53">
        <v>2014</v>
      </c>
      <c r="J53">
        <f t="shared" si="16"/>
        <v>112.5</v>
      </c>
      <c r="K53" cm="1">
        <f t="array" ref="K53">STOWA2019_NDJF_T(A53*60,J53,I53,"","")</f>
        <v>2299.5823577703854</v>
      </c>
      <c r="L53">
        <f t="shared" si="17"/>
        <v>4.3486157241594671E-4</v>
      </c>
    </row>
    <row r="54" spans="1:12" x14ac:dyDescent="0.3">
      <c r="A54">
        <v>48</v>
      </c>
      <c r="B54">
        <f t="shared" si="14"/>
        <v>1.4273067329872806E-4</v>
      </c>
      <c r="C54">
        <f t="shared" si="10"/>
        <v>1.4273067329872806E-4</v>
      </c>
      <c r="D54" t="s">
        <v>23</v>
      </c>
      <c r="E54" t="s">
        <v>19</v>
      </c>
      <c r="F54">
        <v>1</v>
      </c>
      <c r="G54">
        <f t="shared" si="15"/>
        <v>115</v>
      </c>
      <c r="I54">
        <v>2014</v>
      </c>
      <c r="J54">
        <f t="shared" si="16"/>
        <v>117.5</v>
      </c>
      <c r="K54" cm="1">
        <f t="array" ref="K54">STOWA2019_NDJF_T(A54*60,J54,I54,"","")</f>
        <v>3423.1230007570889</v>
      </c>
      <c r="L54">
        <f t="shared" si="17"/>
        <v>2.9213089911721865E-4</v>
      </c>
    </row>
    <row r="55" spans="1:12" x14ac:dyDescent="0.3">
      <c r="A55">
        <v>48</v>
      </c>
      <c r="B55">
        <f t="shared" si="14"/>
        <v>9.4174717769188632E-5</v>
      </c>
      <c r="C55">
        <f t="shared" si="10"/>
        <v>9.4174717769188632E-5</v>
      </c>
      <c r="D55" t="s">
        <v>23</v>
      </c>
      <c r="E55" t="s">
        <v>19</v>
      </c>
      <c r="F55">
        <v>1</v>
      </c>
      <c r="G55">
        <f t="shared" si="15"/>
        <v>120</v>
      </c>
      <c r="I55">
        <v>2014</v>
      </c>
      <c r="J55">
        <f t="shared" si="16"/>
        <v>122.5</v>
      </c>
      <c r="K55" cm="1">
        <f t="array" ref="K55">STOWA2019_NDJF_T(A55*60,J55,I55,"","")</f>
        <v>5051.6230066182352</v>
      </c>
      <c r="L55">
        <f t="shared" si="17"/>
        <v>1.9795618134803002E-4</v>
      </c>
    </row>
    <row r="56" spans="1:12" x14ac:dyDescent="0.3">
      <c r="A56">
        <v>48</v>
      </c>
      <c r="B56">
        <f t="shared" si="14"/>
        <v>6.2696663127919923E-5</v>
      </c>
      <c r="C56">
        <f t="shared" si="10"/>
        <v>6.2696663127919923E-5</v>
      </c>
      <c r="D56" t="s">
        <v>23</v>
      </c>
      <c r="E56" t="s">
        <v>19</v>
      </c>
      <c r="F56">
        <v>1</v>
      </c>
      <c r="G56">
        <f t="shared" si="15"/>
        <v>125</v>
      </c>
      <c r="I56">
        <v>2014</v>
      </c>
      <c r="J56">
        <f t="shared" si="16"/>
        <v>127.5</v>
      </c>
      <c r="K56" cm="1">
        <f t="array" ref="K56">STOWA2019_NDJF_T(A56*60,J56,I56,"","")</f>
        <v>7393.195045783641</v>
      </c>
      <c r="L56">
        <f t="shared" si="17"/>
        <v>1.3525951822011009E-4</v>
      </c>
    </row>
    <row r="57" spans="1:12" x14ac:dyDescent="0.3">
      <c r="A57">
        <v>48</v>
      </c>
      <c r="B57">
        <f t="shared" si="14"/>
        <v>4.2102029280189124E-5</v>
      </c>
      <c r="C57">
        <f t="shared" si="10"/>
        <v>4.2102029280189124E-5</v>
      </c>
      <c r="D57" t="s">
        <v>23</v>
      </c>
      <c r="E57" t="s">
        <v>19</v>
      </c>
      <c r="F57">
        <v>1</v>
      </c>
      <c r="G57">
        <f t="shared" si="15"/>
        <v>130</v>
      </c>
      <c r="I57">
        <v>2014</v>
      </c>
      <c r="J57">
        <f t="shared" si="16"/>
        <v>132.5</v>
      </c>
      <c r="K57" cm="1">
        <f t="array" ref="K57">STOWA2019_NDJF_T(A57*60,J57,I57,"","")</f>
        <v>10734.510036492278</v>
      </c>
      <c r="L57">
        <f t="shared" si="17"/>
        <v>9.315748893992097E-5</v>
      </c>
    </row>
    <row r="58" spans="1:12" x14ac:dyDescent="0.3">
      <c r="A58">
        <v>48</v>
      </c>
      <c r="B58">
        <f t="shared" si="14"/>
        <v>2.850534347084008E-5</v>
      </c>
      <c r="C58">
        <f t="shared" si="10"/>
        <v>2.850534347084008E-5</v>
      </c>
      <c r="D58" t="s">
        <v>23</v>
      </c>
      <c r="E58" t="s">
        <v>19</v>
      </c>
      <c r="F58">
        <v>1</v>
      </c>
      <c r="G58">
        <f t="shared" si="15"/>
        <v>135</v>
      </c>
      <c r="I58">
        <v>2014</v>
      </c>
      <c r="J58">
        <f t="shared" si="16"/>
        <v>137.5</v>
      </c>
      <c r="K58" cm="1">
        <f t="array" ref="K58">STOWA2019_NDJF_T(A58*60,J58,I58,"","")</f>
        <v>15467.390799555722</v>
      </c>
      <c r="L58">
        <f t="shared" si="17"/>
        <v>6.465214546908089E-5</v>
      </c>
    </row>
    <row r="59" spans="1:12" x14ac:dyDescent="0.3">
      <c r="A59">
        <v>48</v>
      </c>
      <c r="B59">
        <f t="shared" si="14"/>
        <v>1.9453244464995432E-5</v>
      </c>
      <c r="C59">
        <f t="shared" si="10"/>
        <v>1.9453244464995432E-5</v>
      </c>
      <c r="D59" t="s">
        <v>23</v>
      </c>
      <c r="E59" t="s">
        <v>19</v>
      </c>
      <c r="F59">
        <v>1</v>
      </c>
      <c r="G59">
        <f t="shared" si="15"/>
        <v>140</v>
      </c>
      <c r="I59">
        <v>2014</v>
      </c>
      <c r="J59">
        <f t="shared" si="16"/>
        <v>142.5</v>
      </c>
      <c r="K59" cm="1">
        <f t="array" ref="K59">STOWA2019_NDJF_T(A59*60,J59,I59,"","")</f>
        <v>22124.43174026757</v>
      </c>
      <c r="L59">
        <f t="shared" si="17"/>
        <v>4.5198901004085458E-5</v>
      </c>
    </row>
    <row r="60" spans="1:12" x14ac:dyDescent="0.3">
      <c r="A60">
        <v>48</v>
      </c>
      <c r="B60">
        <f t="shared" si="14"/>
        <v>1.3377072102285152E-5</v>
      </c>
      <c r="C60">
        <f t="shared" si="10"/>
        <v>1.3377072102285152E-5</v>
      </c>
      <c r="D60" t="s">
        <v>23</v>
      </c>
      <c r="E60" t="s">
        <v>19</v>
      </c>
      <c r="F60">
        <v>1</v>
      </c>
      <c r="G60">
        <f t="shared" si="15"/>
        <v>145</v>
      </c>
      <c r="I60">
        <v>2014</v>
      </c>
      <c r="J60">
        <f t="shared" si="16"/>
        <v>147.5</v>
      </c>
      <c r="K60" cm="1">
        <f t="array" ref="K60">STOWA2019_NDJF_T(A60*60,J60,I60,"","")</f>
        <v>31424.969415991844</v>
      </c>
      <c r="L60">
        <f t="shared" si="17"/>
        <v>3.1821828901800306E-5</v>
      </c>
    </row>
    <row r="61" spans="1:12" x14ac:dyDescent="0.3">
      <c r="A61">
        <v>48</v>
      </c>
      <c r="B61">
        <f t="shared" si="14"/>
        <v>9.2658373747445434E-6</v>
      </c>
      <c r="C61">
        <f t="shared" si="10"/>
        <v>9.2658373747445434E-6</v>
      </c>
      <c r="D61" t="s">
        <v>23</v>
      </c>
      <c r="E61" t="s">
        <v>19</v>
      </c>
      <c r="F61">
        <v>1</v>
      </c>
      <c r="G61">
        <f t="shared" si="15"/>
        <v>150</v>
      </c>
      <c r="I61">
        <v>2014</v>
      </c>
      <c r="J61">
        <f t="shared" si="16"/>
        <v>152.5</v>
      </c>
      <c r="K61" cm="1">
        <f t="array" ref="K61">STOWA2019_NDJF_T(A61*60,J61,I61,"","")</f>
        <v>44334.118444782471</v>
      </c>
      <c r="L61">
        <f t="shared" si="17"/>
        <v>2.2555991527055763E-5</v>
      </c>
    </row>
    <row r="62" spans="1:12" x14ac:dyDescent="0.3">
      <c r="A62">
        <v>48</v>
      </c>
      <c r="B62">
        <f t="shared" si="14"/>
        <v>6.4634477899491015E-6</v>
      </c>
      <c r="C62">
        <f t="shared" si="10"/>
        <v>6.4634477899491015E-6</v>
      </c>
      <c r="D62" t="s">
        <v>23</v>
      </c>
      <c r="E62" t="s">
        <v>19</v>
      </c>
      <c r="F62">
        <v>1</v>
      </c>
      <c r="G62">
        <f t="shared" si="15"/>
        <v>155</v>
      </c>
      <c r="I62">
        <v>2014</v>
      </c>
      <c r="J62">
        <f t="shared" si="16"/>
        <v>157.5</v>
      </c>
      <c r="K62" cm="1">
        <f t="array" ref="K62">STOWA2019_NDJF_T(A62*60,J62,I62,"","")</f>
        <v>62140.579906840365</v>
      </c>
      <c r="L62">
        <f t="shared" si="17"/>
        <v>1.6092543737106661E-5</v>
      </c>
    </row>
    <row r="63" spans="1:12" x14ac:dyDescent="0.3">
      <c r="A63">
        <v>48</v>
      </c>
      <c r="B63" s="1">
        <f>L62</f>
        <v>1.6092543737106661E-5</v>
      </c>
      <c r="C63">
        <f t="shared" si="10"/>
        <v>1.6092543737106661E-5</v>
      </c>
      <c r="D63" t="s">
        <v>23</v>
      </c>
      <c r="E63" t="s">
        <v>19</v>
      </c>
      <c r="F63">
        <v>1</v>
      </c>
      <c r="G63">
        <f t="shared" si="15"/>
        <v>160</v>
      </c>
      <c r="I63">
        <v>2014</v>
      </c>
      <c r="J63">
        <f>AVERAGE(G63:G64)</f>
        <v>85</v>
      </c>
      <c r="K63" cm="1">
        <f t="array" ref="K63">STOWA2019_NDJF_T(A63*60,J63,I63,"","")</f>
        <v>216.66059642254302</v>
      </c>
      <c r="L63">
        <f>1/K63</f>
        <v>4.6155139259828623E-3</v>
      </c>
    </row>
    <row r="64" spans="1:12" x14ac:dyDescent="0.3">
      <c r="A64">
        <v>96</v>
      </c>
      <c r="B64" s="1">
        <f>365.25*24/A64 - L64</f>
        <v>71.059174647586985</v>
      </c>
      <c r="C64">
        <f>B64</f>
        <v>71.059174647586985</v>
      </c>
      <c r="D64" t="s">
        <v>23</v>
      </c>
      <c r="E64" t="s">
        <v>19</v>
      </c>
      <c r="F64">
        <v>1</v>
      </c>
      <c r="G64">
        <v>10</v>
      </c>
      <c r="I64">
        <v>2014</v>
      </c>
      <c r="J64">
        <f>AVERAGE(G64:G66)</f>
        <v>15</v>
      </c>
      <c r="K64" cm="1">
        <f t="array" ref="K64">STOWA2019_NDJF_T(A64*60,J64,I64,"","")</f>
        <v>4.9374608001389687E-2</v>
      </c>
      <c r="L64">
        <f>1/K64</f>
        <v>20.253325352413011</v>
      </c>
    </row>
    <row r="65" spans="1:12" x14ac:dyDescent="0.3">
      <c r="A65">
        <v>96</v>
      </c>
      <c r="B65">
        <f t="shared" ref="B65:B69" si="18">L64-L65</f>
        <v>4.3531327915600784</v>
      </c>
      <c r="C65">
        <f t="shared" ref="C65:C94" si="19">B65</f>
        <v>4.3531327915600784</v>
      </c>
      <c r="D65" t="s">
        <v>23</v>
      </c>
      <c r="E65" t="s">
        <v>19</v>
      </c>
      <c r="F65">
        <v>1</v>
      </c>
      <c r="G65">
        <f t="shared" ref="G65:G69" si="20">G64+5</f>
        <v>15</v>
      </c>
      <c r="I65">
        <v>2014</v>
      </c>
      <c r="J65">
        <f t="shared" ref="J65:J69" si="21">AVERAGE(G65:G66)</f>
        <v>17.5</v>
      </c>
      <c r="K65" cm="1">
        <f t="array" ref="K65">STOWA2019_NDJF_T(A65*60,J65,I65,"","")</f>
        <v>6.2892320088125842E-2</v>
      </c>
      <c r="L65">
        <f t="shared" ref="L65:L69" si="22">1/K65</f>
        <v>15.900192560852933</v>
      </c>
    </row>
    <row r="66" spans="1:12" x14ac:dyDescent="0.3">
      <c r="A66">
        <v>96</v>
      </c>
      <c r="B66">
        <f t="shared" si="18"/>
        <v>6.0629557491944119</v>
      </c>
      <c r="C66">
        <f t="shared" si="19"/>
        <v>6.0629557491944119</v>
      </c>
      <c r="D66" t="s">
        <v>23</v>
      </c>
      <c r="E66" t="s">
        <v>19</v>
      </c>
      <c r="F66">
        <v>1</v>
      </c>
      <c r="G66">
        <f t="shared" si="20"/>
        <v>20</v>
      </c>
      <c r="I66">
        <v>2014</v>
      </c>
      <c r="J66">
        <f t="shared" si="21"/>
        <v>22.5</v>
      </c>
      <c r="K66" cm="1">
        <f t="array" ref="K66">STOWA2019_NDJF_T(A66*60,J66,I66,"","")</f>
        <v>0.10165456206308444</v>
      </c>
      <c r="L66">
        <f t="shared" si="22"/>
        <v>9.8372368116585207</v>
      </c>
    </row>
    <row r="67" spans="1:12" x14ac:dyDescent="0.3">
      <c r="A67">
        <v>96</v>
      </c>
      <c r="B67">
        <f t="shared" si="18"/>
        <v>3.7204175034472646</v>
      </c>
      <c r="C67">
        <f t="shared" si="19"/>
        <v>3.7204175034472646</v>
      </c>
      <c r="D67" t="s">
        <v>23</v>
      </c>
      <c r="E67" t="s">
        <v>19</v>
      </c>
      <c r="F67">
        <v>1</v>
      </c>
      <c r="G67">
        <f t="shared" si="20"/>
        <v>25</v>
      </c>
      <c r="I67">
        <v>2014</v>
      </c>
      <c r="J67">
        <f t="shared" si="21"/>
        <v>27.5</v>
      </c>
      <c r="K67" cm="1">
        <f t="array" ref="K67">STOWA2019_NDJF_T(A67*60,J67,I67,"","")</f>
        <v>0.16348365868149706</v>
      </c>
      <c r="L67">
        <f t="shared" si="22"/>
        <v>6.1168193082112561</v>
      </c>
    </row>
    <row r="68" spans="1:12" x14ac:dyDescent="0.3">
      <c r="A68">
        <v>96</v>
      </c>
      <c r="B68">
        <f t="shared" si="18"/>
        <v>2.2946457861278149</v>
      </c>
      <c r="C68">
        <f t="shared" si="19"/>
        <v>2.2946457861278149</v>
      </c>
      <c r="D68" t="s">
        <v>23</v>
      </c>
      <c r="E68" t="s">
        <v>19</v>
      </c>
      <c r="F68">
        <v>1</v>
      </c>
      <c r="G68">
        <f t="shared" si="20"/>
        <v>30</v>
      </c>
      <c r="I68">
        <v>2014</v>
      </c>
      <c r="J68">
        <f t="shared" si="21"/>
        <v>32.5</v>
      </c>
      <c r="K68" cm="1">
        <f t="array" ref="K68">STOWA2019_NDJF_T(A68*60,J68,I68,"","")</f>
        <v>0.26163124050289238</v>
      </c>
      <c r="L68">
        <f t="shared" si="22"/>
        <v>3.8221735220834412</v>
      </c>
    </row>
    <row r="69" spans="1:12" x14ac:dyDescent="0.3">
      <c r="A69">
        <v>96</v>
      </c>
      <c r="B69">
        <f t="shared" si="18"/>
        <v>1.4222856787563054</v>
      </c>
      <c r="C69">
        <f t="shared" si="19"/>
        <v>1.4222856787563054</v>
      </c>
      <c r="D69" t="s">
        <v>23</v>
      </c>
      <c r="E69" t="s">
        <v>19</v>
      </c>
      <c r="F69">
        <v>1</v>
      </c>
      <c r="G69">
        <f t="shared" si="20"/>
        <v>35</v>
      </c>
      <c r="I69">
        <v>2014</v>
      </c>
      <c r="J69">
        <f t="shared" si="21"/>
        <v>37.5</v>
      </c>
      <c r="K69" cm="1">
        <f t="array" ref="K69">STOWA2019_NDJF_T(A69*60,J69,I69,"","")</f>
        <v>0.41668613922125153</v>
      </c>
      <c r="L69">
        <f t="shared" si="22"/>
        <v>2.3998878433271358</v>
      </c>
    </row>
    <row r="70" spans="1:12" x14ac:dyDescent="0.3">
      <c r="A70">
        <v>96</v>
      </c>
      <c r="B70">
        <f>L69-L70</f>
        <v>0.88591675408712844</v>
      </c>
      <c r="C70">
        <f t="shared" si="19"/>
        <v>0.88591675408712844</v>
      </c>
      <c r="D70" t="s">
        <v>23</v>
      </c>
      <c r="E70" t="s">
        <v>19</v>
      </c>
      <c r="F70">
        <v>1</v>
      </c>
      <c r="G70">
        <f>G69+5</f>
        <v>40</v>
      </c>
      <c r="I70">
        <v>2014</v>
      </c>
      <c r="J70">
        <f>AVERAGE(G70:G71)</f>
        <v>42.5</v>
      </c>
      <c r="K70" cm="1">
        <f t="array" ref="K70">STOWA2019_NDJF_T(A70*60,J70,I70,"","")</f>
        <v>0.66051459443785432</v>
      </c>
      <c r="L70">
        <f>1/K70</f>
        <v>1.5139710892400073</v>
      </c>
    </row>
    <row r="71" spans="1:12" x14ac:dyDescent="0.3">
      <c r="A71">
        <v>96</v>
      </c>
      <c r="B71">
        <f t="shared" ref="B71:B93" si="23">L70-L71</f>
        <v>0.55436602125595535</v>
      </c>
      <c r="C71">
        <f t="shared" si="19"/>
        <v>0.55436602125595535</v>
      </c>
      <c r="D71" t="s">
        <v>23</v>
      </c>
      <c r="E71" t="s">
        <v>19</v>
      </c>
      <c r="F71">
        <v>1</v>
      </c>
      <c r="G71">
        <f t="shared" ref="G71:G94" si="24">G70+5</f>
        <v>45</v>
      </c>
      <c r="I71">
        <v>2014</v>
      </c>
      <c r="J71">
        <f t="shared" ref="J71:J93" si="25">AVERAGE(G71:G72)</f>
        <v>47.5</v>
      </c>
      <c r="K71" cm="1">
        <f t="array" ref="K71">STOWA2019_NDJF_T(A71*60,J71,I71,"","")</f>
        <v>1.0420953716937011</v>
      </c>
      <c r="L71">
        <f t="shared" ref="L71:L93" si="26">1/K71</f>
        <v>0.95960506798405198</v>
      </c>
    </row>
    <row r="72" spans="1:12" x14ac:dyDescent="0.3">
      <c r="A72">
        <v>96</v>
      </c>
      <c r="B72">
        <f t="shared" si="23"/>
        <v>0.34866057566328668</v>
      </c>
      <c r="C72">
        <f t="shared" si="19"/>
        <v>0.34866057566328668</v>
      </c>
      <c r="D72" t="s">
        <v>23</v>
      </c>
      <c r="E72" t="s">
        <v>19</v>
      </c>
      <c r="F72">
        <v>1</v>
      </c>
      <c r="G72">
        <f t="shared" si="24"/>
        <v>50</v>
      </c>
      <c r="I72">
        <v>2014</v>
      </c>
      <c r="J72">
        <f t="shared" si="25"/>
        <v>52.5</v>
      </c>
      <c r="K72" cm="1">
        <f t="array" ref="K72">STOWA2019_NDJF_T(A72*60,J72,I72,"","")</f>
        <v>1.6368099108338769</v>
      </c>
      <c r="L72">
        <f t="shared" si="26"/>
        <v>0.61094449232076531</v>
      </c>
    </row>
    <row r="73" spans="1:12" x14ac:dyDescent="0.3">
      <c r="A73">
        <v>96</v>
      </c>
      <c r="B73">
        <f t="shared" si="23"/>
        <v>0.22025483883905211</v>
      </c>
      <c r="C73">
        <f t="shared" si="19"/>
        <v>0.22025483883905211</v>
      </c>
      <c r="D73" t="s">
        <v>23</v>
      </c>
      <c r="E73" t="s">
        <v>19</v>
      </c>
      <c r="F73">
        <v>1</v>
      </c>
      <c r="G73">
        <f t="shared" si="24"/>
        <v>55</v>
      </c>
      <c r="I73">
        <v>2014</v>
      </c>
      <c r="J73">
        <f t="shared" si="25"/>
        <v>57.5</v>
      </c>
      <c r="K73" cm="1">
        <f t="array" ref="K73">STOWA2019_NDJF_T(A73*60,J73,I73,"","")</f>
        <v>2.5595763570606214</v>
      </c>
      <c r="L73">
        <f t="shared" si="26"/>
        <v>0.39068965348171319</v>
      </c>
    </row>
    <row r="74" spans="1:12" x14ac:dyDescent="0.3">
      <c r="A74">
        <v>96</v>
      </c>
      <c r="B74">
        <f t="shared" si="23"/>
        <v>0.1397560695353593</v>
      </c>
      <c r="C74">
        <f t="shared" si="19"/>
        <v>0.1397560695353593</v>
      </c>
      <c r="D74" t="s">
        <v>23</v>
      </c>
      <c r="E74" t="s">
        <v>19</v>
      </c>
      <c r="F74">
        <v>1</v>
      </c>
      <c r="G74">
        <f t="shared" si="24"/>
        <v>60</v>
      </c>
      <c r="I74">
        <v>2014</v>
      </c>
      <c r="J74">
        <f t="shared" si="25"/>
        <v>62.5</v>
      </c>
      <c r="K74" cm="1">
        <f t="array" ref="K74">STOWA2019_NDJF_T(A74*60,J74,I74,"","")</f>
        <v>3.985118230383168</v>
      </c>
      <c r="L74">
        <f t="shared" si="26"/>
        <v>0.2509335839463539</v>
      </c>
    </row>
    <row r="75" spans="1:12" x14ac:dyDescent="0.3">
      <c r="A75">
        <v>96</v>
      </c>
      <c r="B75">
        <f t="shared" si="23"/>
        <v>8.9073939082579212E-2</v>
      </c>
      <c r="C75">
        <f t="shared" si="19"/>
        <v>8.9073939082579212E-2</v>
      </c>
      <c r="D75" t="s">
        <v>23</v>
      </c>
      <c r="E75" t="s">
        <v>19</v>
      </c>
      <c r="F75">
        <v>1</v>
      </c>
      <c r="G75">
        <f t="shared" si="24"/>
        <v>65</v>
      </c>
      <c r="I75">
        <v>2014</v>
      </c>
      <c r="J75">
        <f t="shared" si="25"/>
        <v>67.5</v>
      </c>
      <c r="K75" cm="1">
        <f t="array" ref="K75">STOWA2019_NDJF_T(A75*60,J75,I75,"","")</f>
        <v>6.1781922284682276</v>
      </c>
      <c r="L75">
        <f t="shared" si="26"/>
        <v>0.16185964486377469</v>
      </c>
    </row>
    <row r="76" spans="1:12" x14ac:dyDescent="0.3">
      <c r="A76">
        <v>96</v>
      </c>
      <c r="B76">
        <f t="shared" si="23"/>
        <v>5.7017312784661267E-2</v>
      </c>
      <c r="C76">
        <f t="shared" si="19"/>
        <v>5.7017312784661267E-2</v>
      </c>
      <c r="D76" t="s">
        <v>23</v>
      </c>
      <c r="E76" t="s">
        <v>19</v>
      </c>
      <c r="F76">
        <v>1</v>
      </c>
      <c r="G76">
        <f t="shared" si="24"/>
        <v>70</v>
      </c>
      <c r="I76">
        <v>2014</v>
      </c>
      <c r="J76">
        <f t="shared" si="25"/>
        <v>72.5</v>
      </c>
      <c r="K76" cm="1">
        <f t="array" ref="K76">STOWA2019_NDJF_T(A76*60,J76,I76,"","")</f>
        <v>9.5381319755974694</v>
      </c>
      <c r="L76">
        <f t="shared" si="26"/>
        <v>0.10484233207911342</v>
      </c>
    </row>
    <row r="77" spans="1:12" x14ac:dyDescent="0.3">
      <c r="A77">
        <v>96</v>
      </c>
      <c r="B77">
        <f t="shared" si="23"/>
        <v>3.6652586987892366E-2</v>
      </c>
      <c r="C77">
        <f t="shared" si="19"/>
        <v>3.6652586987892366E-2</v>
      </c>
      <c r="D77" t="s">
        <v>23</v>
      </c>
      <c r="E77" t="s">
        <v>19</v>
      </c>
      <c r="F77">
        <v>1</v>
      </c>
      <c r="G77">
        <f t="shared" si="24"/>
        <v>75</v>
      </c>
      <c r="I77">
        <v>2014</v>
      </c>
      <c r="J77">
        <f t="shared" si="25"/>
        <v>77.5</v>
      </c>
      <c r="K77" cm="1">
        <f t="array" ref="K77">STOWA2019_NDJF_T(A77*60,J77,I77,"","")</f>
        <v>14.664961698599205</v>
      </c>
      <c r="L77">
        <f t="shared" si="26"/>
        <v>6.8189745091221055E-2</v>
      </c>
    </row>
    <row r="78" spans="1:12" x14ac:dyDescent="0.3">
      <c r="A78">
        <v>96</v>
      </c>
      <c r="B78">
        <f t="shared" si="23"/>
        <v>2.3659384560978831E-2</v>
      </c>
      <c r="C78">
        <f t="shared" si="19"/>
        <v>2.3659384560978831E-2</v>
      </c>
      <c r="D78" t="s">
        <v>23</v>
      </c>
      <c r="E78" t="s">
        <v>19</v>
      </c>
      <c r="F78">
        <v>1</v>
      </c>
      <c r="G78">
        <f t="shared" si="24"/>
        <v>80</v>
      </c>
      <c r="I78">
        <v>2014</v>
      </c>
      <c r="J78">
        <f t="shared" si="25"/>
        <v>82.5</v>
      </c>
      <c r="K78" cm="1">
        <f t="array" ref="K78">STOWA2019_NDJF_T(A78*60,J78,I78,"","")</f>
        <v>22.456588900080042</v>
      </c>
      <c r="L78">
        <f t="shared" si="26"/>
        <v>4.4530360530242223E-2</v>
      </c>
    </row>
    <row r="79" spans="1:12" x14ac:dyDescent="0.3">
      <c r="A79">
        <v>96</v>
      </c>
      <c r="B79">
        <f t="shared" si="23"/>
        <v>1.5335392740592278E-2</v>
      </c>
      <c r="C79">
        <f t="shared" si="19"/>
        <v>1.5335392740592278E-2</v>
      </c>
      <c r="D79" t="s">
        <v>23</v>
      </c>
      <c r="E79" t="s">
        <v>19</v>
      </c>
      <c r="F79">
        <v>1</v>
      </c>
      <c r="G79">
        <f t="shared" si="24"/>
        <v>85</v>
      </c>
      <c r="I79">
        <v>2014</v>
      </c>
      <c r="J79">
        <f t="shared" si="25"/>
        <v>87.5</v>
      </c>
      <c r="K79" cm="1">
        <f t="array" ref="K79">STOWA2019_NDJF_T(A79*60,J79,I79,"","")</f>
        <v>34.252478276565014</v>
      </c>
      <c r="L79">
        <f t="shared" si="26"/>
        <v>2.9194967789649945E-2</v>
      </c>
    </row>
    <row r="80" spans="1:12" x14ac:dyDescent="0.3">
      <c r="A80">
        <v>96</v>
      </c>
      <c r="B80">
        <f t="shared" si="23"/>
        <v>9.97952866700293E-3</v>
      </c>
      <c r="C80">
        <f t="shared" si="19"/>
        <v>9.97952866700293E-3</v>
      </c>
      <c r="D80" t="s">
        <v>23</v>
      </c>
      <c r="E80" t="s">
        <v>19</v>
      </c>
      <c r="F80">
        <v>1</v>
      </c>
      <c r="G80">
        <f t="shared" si="24"/>
        <v>90</v>
      </c>
      <c r="I80">
        <v>2014</v>
      </c>
      <c r="J80">
        <f t="shared" si="25"/>
        <v>92.5</v>
      </c>
      <c r="K80" cm="1">
        <f t="array" ref="K80">STOWA2019_NDJF_T(A80*60,J80,I80,"","")</f>
        <v>52.041485683323039</v>
      </c>
      <c r="L80">
        <f t="shared" si="26"/>
        <v>1.9215439122647015E-2</v>
      </c>
    </row>
    <row r="81" spans="1:12" x14ac:dyDescent="0.3">
      <c r="A81">
        <v>96</v>
      </c>
      <c r="B81">
        <f t="shared" si="23"/>
        <v>6.5199705274776327E-3</v>
      </c>
      <c r="C81">
        <f t="shared" si="19"/>
        <v>6.5199705274776327E-3</v>
      </c>
      <c r="D81" t="s">
        <v>23</v>
      </c>
      <c r="E81" t="s">
        <v>19</v>
      </c>
      <c r="F81">
        <v>1</v>
      </c>
      <c r="G81">
        <f t="shared" si="24"/>
        <v>95</v>
      </c>
      <c r="I81">
        <v>2014</v>
      </c>
      <c r="J81">
        <f t="shared" si="25"/>
        <v>97.5</v>
      </c>
      <c r="K81" cm="1">
        <f t="array" ref="K81">STOWA2019_NDJF_T(A81*60,J81,I81,"","")</f>
        <v>78.768262274344039</v>
      </c>
      <c r="L81">
        <f t="shared" si="26"/>
        <v>1.2695468595169382E-2</v>
      </c>
    </row>
    <row r="82" spans="1:12" x14ac:dyDescent="0.3">
      <c r="A82">
        <v>96</v>
      </c>
      <c r="B82">
        <f t="shared" si="23"/>
        <v>4.2762844108314435E-3</v>
      </c>
      <c r="C82">
        <f t="shared" si="19"/>
        <v>4.2762844108314435E-3</v>
      </c>
      <c r="D82" t="s">
        <v>23</v>
      </c>
      <c r="E82" t="s">
        <v>19</v>
      </c>
      <c r="F82">
        <v>1</v>
      </c>
      <c r="G82">
        <f t="shared" si="24"/>
        <v>100</v>
      </c>
      <c r="I82">
        <v>2014</v>
      </c>
      <c r="J82">
        <f t="shared" si="25"/>
        <v>102.5</v>
      </c>
      <c r="K82" cm="1">
        <f t="array" ref="K82">STOWA2019_NDJF_T(A82*60,J82,I82,"","")</f>
        <v>118.77635387289453</v>
      </c>
      <c r="L82">
        <f t="shared" si="26"/>
        <v>8.4191841843379387E-3</v>
      </c>
    </row>
    <row r="83" spans="1:12" x14ac:dyDescent="0.3">
      <c r="A83">
        <v>96</v>
      </c>
      <c r="B83">
        <f t="shared" si="23"/>
        <v>2.8152663360763198E-3</v>
      </c>
      <c r="C83">
        <f t="shared" si="19"/>
        <v>2.8152663360763198E-3</v>
      </c>
      <c r="D83" t="s">
        <v>23</v>
      </c>
      <c r="E83" t="s">
        <v>19</v>
      </c>
      <c r="F83">
        <v>1</v>
      </c>
      <c r="G83">
        <f t="shared" si="24"/>
        <v>105</v>
      </c>
      <c r="I83">
        <v>2014</v>
      </c>
      <c r="J83">
        <f t="shared" si="25"/>
        <v>107.5</v>
      </c>
      <c r="K83" cm="1">
        <f t="array" ref="K83">STOWA2019_NDJF_T(A83*60,J83,I83,"","")</f>
        <v>178.44658452839528</v>
      </c>
      <c r="L83">
        <f t="shared" si="26"/>
        <v>5.6039178482616189E-3</v>
      </c>
    </row>
    <row r="84" spans="1:12" x14ac:dyDescent="0.3">
      <c r="A84">
        <v>96</v>
      </c>
      <c r="B84">
        <f t="shared" si="23"/>
        <v>1.8603794323136208E-3</v>
      </c>
      <c r="C84">
        <f t="shared" si="19"/>
        <v>1.8603794323136208E-3</v>
      </c>
      <c r="D84" t="s">
        <v>23</v>
      </c>
      <c r="E84" t="s">
        <v>19</v>
      </c>
      <c r="F84">
        <v>1</v>
      </c>
      <c r="G84">
        <f t="shared" si="24"/>
        <v>110</v>
      </c>
      <c r="I84">
        <v>2014</v>
      </c>
      <c r="J84">
        <f t="shared" si="25"/>
        <v>112.5</v>
      </c>
      <c r="K84" cm="1">
        <f t="array" ref="K84">STOWA2019_NDJF_T(A84*60,J84,I84,"","")</f>
        <v>267.12695019766858</v>
      </c>
      <c r="L84">
        <f t="shared" si="26"/>
        <v>3.7435384159479981E-3</v>
      </c>
    </row>
    <row r="85" spans="1:12" x14ac:dyDescent="0.3">
      <c r="A85">
        <v>96</v>
      </c>
      <c r="B85">
        <f t="shared" si="23"/>
        <v>1.2338833867033949E-3</v>
      </c>
      <c r="C85">
        <f t="shared" si="19"/>
        <v>1.2338833867033949E-3</v>
      </c>
      <c r="D85" t="s">
        <v>23</v>
      </c>
      <c r="E85" t="s">
        <v>19</v>
      </c>
      <c r="F85">
        <v>1</v>
      </c>
      <c r="G85">
        <f t="shared" si="24"/>
        <v>115</v>
      </c>
      <c r="I85">
        <v>2014</v>
      </c>
      <c r="J85">
        <f t="shared" si="25"/>
        <v>117.5</v>
      </c>
      <c r="K85" cm="1">
        <f t="array" ref="K85">STOWA2019_NDJF_T(A85*60,J85,I85,"","")</f>
        <v>398.461138422278</v>
      </c>
      <c r="L85">
        <f t="shared" si="26"/>
        <v>2.5096550292446032E-3</v>
      </c>
    </row>
    <row r="86" spans="1:12" x14ac:dyDescent="0.3">
      <c r="A86">
        <v>96</v>
      </c>
      <c r="B86">
        <f t="shared" si="23"/>
        <v>8.2131428430224436E-4</v>
      </c>
      <c r="C86">
        <f t="shared" si="19"/>
        <v>8.2131428430224436E-4</v>
      </c>
      <c r="D86" t="s">
        <v>23</v>
      </c>
      <c r="E86" t="s">
        <v>19</v>
      </c>
      <c r="F86">
        <v>1</v>
      </c>
      <c r="G86">
        <f t="shared" si="24"/>
        <v>120</v>
      </c>
      <c r="I86">
        <v>2014</v>
      </c>
      <c r="J86">
        <f t="shared" si="25"/>
        <v>122.5</v>
      </c>
      <c r="K86" cm="1">
        <f t="array" ref="K86">STOWA2019_NDJF_T(A86*60,J86,I86,"","")</f>
        <v>592.29749859181459</v>
      </c>
      <c r="L86">
        <f t="shared" si="26"/>
        <v>1.6883407449423589E-3</v>
      </c>
    </row>
    <row r="87" spans="1:12" x14ac:dyDescent="0.3">
      <c r="A87">
        <v>96</v>
      </c>
      <c r="B87">
        <f t="shared" si="23"/>
        <v>5.4863077297748241E-4</v>
      </c>
      <c r="C87">
        <f t="shared" si="19"/>
        <v>5.4863077297748241E-4</v>
      </c>
      <c r="D87" t="s">
        <v>23</v>
      </c>
      <c r="E87" t="s">
        <v>19</v>
      </c>
      <c r="F87">
        <v>1</v>
      </c>
      <c r="G87">
        <f t="shared" si="24"/>
        <v>125</v>
      </c>
      <c r="I87">
        <v>2014</v>
      </c>
      <c r="J87">
        <f t="shared" si="25"/>
        <v>127.5</v>
      </c>
      <c r="K87" cm="1">
        <f t="array" ref="K87">STOWA2019_NDJF_T(A87*60,J87,I87,"","")</f>
        <v>877.41620640204246</v>
      </c>
      <c r="L87">
        <f t="shared" si="26"/>
        <v>1.1397099719648765E-3</v>
      </c>
    </row>
    <row r="88" spans="1:12" x14ac:dyDescent="0.3">
      <c r="A88">
        <v>96</v>
      </c>
      <c r="B88">
        <f t="shared" si="23"/>
        <v>3.6775623044459126E-4</v>
      </c>
      <c r="C88">
        <f t="shared" si="19"/>
        <v>3.6775623044459126E-4</v>
      </c>
      <c r="D88" t="s">
        <v>23</v>
      </c>
      <c r="E88" t="s">
        <v>19</v>
      </c>
      <c r="F88">
        <v>1</v>
      </c>
      <c r="G88">
        <f t="shared" si="24"/>
        <v>130</v>
      </c>
      <c r="I88">
        <v>2014</v>
      </c>
      <c r="J88">
        <f t="shared" si="25"/>
        <v>132.5</v>
      </c>
      <c r="K88" cm="1">
        <f t="array" ref="K88">STOWA2019_NDJF_T(A88*60,J88,I88,"","")</f>
        <v>1295.4144091984069</v>
      </c>
      <c r="L88">
        <f t="shared" si="26"/>
        <v>7.719537415202852E-4</v>
      </c>
    </row>
    <row r="89" spans="1:12" x14ac:dyDescent="0.3">
      <c r="A89">
        <v>96</v>
      </c>
      <c r="B89">
        <f t="shared" si="23"/>
        <v>2.4735645053981456E-4</v>
      </c>
      <c r="C89">
        <f t="shared" si="19"/>
        <v>2.4735645053981456E-4</v>
      </c>
      <c r="D89" t="s">
        <v>23</v>
      </c>
      <c r="E89" t="s">
        <v>19</v>
      </c>
      <c r="F89">
        <v>1</v>
      </c>
      <c r="G89">
        <f t="shared" si="24"/>
        <v>135</v>
      </c>
      <c r="I89">
        <v>2014</v>
      </c>
      <c r="J89">
        <f t="shared" si="25"/>
        <v>137.5</v>
      </c>
      <c r="K89" cm="1">
        <f t="array" ref="K89">STOWA2019_NDJF_T(A89*60,J89,I89,"","")</f>
        <v>1906.2241021698821</v>
      </c>
      <c r="L89">
        <f t="shared" si="26"/>
        <v>5.2459729098047064E-4</v>
      </c>
    </row>
    <row r="90" spans="1:12" x14ac:dyDescent="0.3">
      <c r="A90">
        <v>96</v>
      </c>
      <c r="B90">
        <f t="shared" si="23"/>
        <v>1.6693394618088925E-4</v>
      </c>
      <c r="C90">
        <f t="shared" si="19"/>
        <v>1.6693394618088925E-4</v>
      </c>
      <c r="D90" t="s">
        <v>23</v>
      </c>
      <c r="E90" t="s">
        <v>19</v>
      </c>
      <c r="F90">
        <v>1</v>
      </c>
      <c r="G90">
        <f t="shared" si="24"/>
        <v>140</v>
      </c>
      <c r="I90">
        <v>2014</v>
      </c>
      <c r="J90">
        <f t="shared" si="25"/>
        <v>142.5</v>
      </c>
      <c r="K90" cm="1">
        <f t="array" ref="K90">STOWA2019_NDJF_T(A90*60,J90,I90,"","")</f>
        <v>2795.9253150762638</v>
      </c>
      <c r="L90">
        <f t="shared" si="26"/>
        <v>3.5766334479958139E-4</v>
      </c>
    </row>
    <row r="91" spans="1:12" x14ac:dyDescent="0.3">
      <c r="A91">
        <v>96</v>
      </c>
      <c r="B91">
        <f t="shared" si="23"/>
        <v>1.1303022019470385E-4</v>
      </c>
      <c r="C91">
        <f t="shared" si="19"/>
        <v>1.1303022019470385E-4</v>
      </c>
      <c r="D91" t="s">
        <v>23</v>
      </c>
      <c r="E91" t="s">
        <v>19</v>
      </c>
      <c r="F91">
        <v>1</v>
      </c>
      <c r="G91">
        <f t="shared" si="24"/>
        <v>145</v>
      </c>
      <c r="I91">
        <v>2014</v>
      </c>
      <c r="J91">
        <f t="shared" si="25"/>
        <v>147.5</v>
      </c>
      <c r="K91" cm="1">
        <f t="array" ref="K91">STOWA2019_NDJF_T(A91*60,J91,I91,"","")</f>
        <v>4087.7538625039574</v>
      </c>
      <c r="L91">
        <f t="shared" si="26"/>
        <v>2.4463312460487754E-4</v>
      </c>
    </row>
    <row r="92" spans="1:12" x14ac:dyDescent="0.3">
      <c r="A92">
        <v>96</v>
      </c>
      <c r="B92">
        <f t="shared" si="23"/>
        <v>7.678344044370359E-5</v>
      </c>
      <c r="C92">
        <f t="shared" si="19"/>
        <v>7.678344044370359E-5</v>
      </c>
      <c r="D92" t="s">
        <v>23</v>
      </c>
      <c r="E92" t="s">
        <v>19</v>
      </c>
      <c r="F92">
        <v>1</v>
      </c>
      <c r="G92">
        <f t="shared" si="24"/>
        <v>150</v>
      </c>
      <c r="I92">
        <v>2014</v>
      </c>
      <c r="J92">
        <f t="shared" si="25"/>
        <v>152.5</v>
      </c>
      <c r="K92" cm="1">
        <f t="array" ref="K92">STOWA2019_NDJF_T(A92*60,J92,I92,"","")</f>
        <v>5957.7115381389231</v>
      </c>
      <c r="L92">
        <f t="shared" si="26"/>
        <v>1.6784968416117395E-4</v>
      </c>
    </row>
    <row r="93" spans="1:12" x14ac:dyDescent="0.3">
      <c r="A93">
        <v>96</v>
      </c>
      <c r="B93">
        <f t="shared" si="23"/>
        <v>5.2326186757842603E-5</v>
      </c>
      <c r="C93">
        <f t="shared" si="19"/>
        <v>5.2326186757842603E-5</v>
      </c>
      <c r="D93" t="s">
        <v>23</v>
      </c>
      <c r="E93" t="s">
        <v>19</v>
      </c>
      <c r="F93">
        <v>1</v>
      </c>
      <c r="G93">
        <f t="shared" si="24"/>
        <v>155</v>
      </c>
      <c r="I93">
        <v>2014</v>
      </c>
      <c r="J93">
        <f t="shared" si="25"/>
        <v>157.5</v>
      </c>
      <c r="K93" cm="1">
        <f t="array" ref="K93">STOWA2019_NDJF_T(A93*60,J93,I93,"","")</f>
        <v>8656.2476247465402</v>
      </c>
      <c r="L93">
        <f t="shared" si="26"/>
        <v>1.1552349740333134E-4</v>
      </c>
    </row>
    <row r="94" spans="1:12" x14ac:dyDescent="0.3">
      <c r="A94">
        <v>96</v>
      </c>
      <c r="B94" s="1">
        <f>L93</f>
        <v>1.1552349740333134E-4</v>
      </c>
      <c r="C94">
        <f t="shared" si="19"/>
        <v>1.1552349740333134E-4</v>
      </c>
      <c r="D94" t="s">
        <v>23</v>
      </c>
      <c r="E94" t="s">
        <v>19</v>
      </c>
      <c r="F94">
        <v>1</v>
      </c>
      <c r="G94">
        <f t="shared" si="24"/>
        <v>160</v>
      </c>
      <c r="I94">
        <v>2014</v>
      </c>
      <c r="J94">
        <f>AVERAGE(G94:G95)</f>
        <v>85</v>
      </c>
      <c r="K94" cm="1">
        <f t="array" ref="K94">STOWA2019_NDJF_T(A94*60,J94,I94,"","")</f>
        <v>27.747816376342072</v>
      </c>
      <c r="L94">
        <f>1/K94</f>
        <v>3.6038871903902502E-2</v>
      </c>
    </row>
    <row r="95" spans="1:12" x14ac:dyDescent="0.3">
      <c r="A95">
        <v>192</v>
      </c>
      <c r="B95" s="1">
        <f>365.25*24/A95 - L95</f>
        <v>24.139310093969804</v>
      </c>
      <c r="C95">
        <f>B95</f>
        <v>24.139310093969804</v>
      </c>
      <c r="D95" t="s">
        <v>23</v>
      </c>
      <c r="E95" t="s">
        <v>19</v>
      </c>
      <c r="F95">
        <v>1</v>
      </c>
      <c r="G95">
        <v>10</v>
      </c>
      <c r="I95">
        <v>2014</v>
      </c>
      <c r="J95">
        <f>AVERAGE(G95:G97)</f>
        <v>15</v>
      </c>
      <c r="K95" cm="1">
        <f t="array" ref="K95">STOWA2019_NDJF_T(A95*60,J95,I95,"","")</f>
        <v>4.6475010125382493E-2</v>
      </c>
      <c r="L95">
        <f>1/K95</f>
        <v>21.516939906030196</v>
      </c>
    </row>
    <row r="96" spans="1:12" x14ac:dyDescent="0.3">
      <c r="A96">
        <v>192</v>
      </c>
      <c r="B96">
        <f t="shared" ref="B96:B100" si="27">L95-L96</f>
        <v>2.8470263496742909</v>
      </c>
      <c r="C96">
        <f t="shared" ref="C96:C125" si="28">B96</f>
        <v>2.8470263496742909</v>
      </c>
      <c r="D96" t="s">
        <v>23</v>
      </c>
      <c r="E96" t="s">
        <v>19</v>
      </c>
      <c r="F96">
        <v>1</v>
      </c>
      <c r="G96">
        <f t="shared" ref="G96:G100" si="29">G95+5</f>
        <v>15</v>
      </c>
      <c r="I96">
        <v>2014</v>
      </c>
      <c r="J96">
        <f t="shared" ref="J96:J100" si="30">AVERAGE(G96:G97)</f>
        <v>17.5</v>
      </c>
      <c r="K96" cm="1">
        <f t="array" ref="K96">STOWA2019_NDJF_T(A96*60,J96,I96,"","")</f>
        <v>5.3562111949873724E-2</v>
      </c>
      <c r="L96">
        <f t="shared" ref="L96:L100" si="31">1/K96</f>
        <v>18.669913556355905</v>
      </c>
    </row>
    <row r="97" spans="1:12" x14ac:dyDescent="0.3">
      <c r="A97">
        <v>192</v>
      </c>
      <c r="B97">
        <f t="shared" si="27"/>
        <v>4.6532827269646599</v>
      </c>
      <c r="C97">
        <f t="shared" si="28"/>
        <v>4.6532827269646599</v>
      </c>
      <c r="D97" t="s">
        <v>23</v>
      </c>
      <c r="E97" t="s">
        <v>19</v>
      </c>
      <c r="F97">
        <v>1</v>
      </c>
      <c r="G97">
        <f t="shared" si="29"/>
        <v>20</v>
      </c>
      <c r="I97">
        <v>2014</v>
      </c>
      <c r="J97">
        <f t="shared" si="30"/>
        <v>22.5</v>
      </c>
      <c r="K97" cm="1">
        <f t="array" ref="K97">STOWA2019_NDJF_T(A97*60,J97,I97,"","")</f>
        <v>7.1343820934708244E-2</v>
      </c>
      <c r="L97">
        <f t="shared" si="31"/>
        <v>14.016630829391245</v>
      </c>
    </row>
    <row r="98" spans="1:12" x14ac:dyDescent="0.3">
      <c r="A98">
        <v>192</v>
      </c>
      <c r="B98">
        <f t="shared" si="27"/>
        <v>3.5337693179326077</v>
      </c>
      <c r="C98">
        <f t="shared" si="28"/>
        <v>3.5337693179326077</v>
      </c>
      <c r="D98" t="s">
        <v>23</v>
      </c>
      <c r="E98" t="s">
        <v>19</v>
      </c>
      <c r="F98">
        <v>1</v>
      </c>
      <c r="G98">
        <f t="shared" si="29"/>
        <v>25</v>
      </c>
      <c r="I98">
        <v>2014</v>
      </c>
      <c r="J98">
        <f t="shared" si="30"/>
        <v>27.5</v>
      </c>
      <c r="K98" cm="1">
        <f t="array" ref="K98">STOWA2019_NDJF_T(A98*60,J98,I98,"","")</f>
        <v>9.5393800529265507E-2</v>
      </c>
      <c r="L98">
        <f t="shared" si="31"/>
        <v>10.482861511458637</v>
      </c>
    </row>
    <row r="99" spans="1:12" x14ac:dyDescent="0.3">
      <c r="A99">
        <v>192</v>
      </c>
      <c r="B99">
        <f t="shared" si="27"/>
        <v>2.6736574304814562</v>
      </c>
      <c r="C99">
        <f t="shared" si="28"/>
        <v>2.6736574304814562</v>
      </c>
      <c r="D99" t="s">
        <v>23</v>
      </c>
      <c r="E99" t="s">
        <v>19</v>
      </c>
      <c r="F99">
        <v>1</v>
      </c>
      <c r="G99">
        <f t="shared" si="29"/>
        <v>30</v>
      </c>
      <c r="I99">
        <v>2014</v>
      </c>
      <c r="J99">
        <f t="shared" si="30"/>
        <v>32.5</v>
      </c>
      <c r="K99" cm="1">
        <f t="array" ref="K99">STOWA2019_NDJF_T(A99*60,J99,I99,"","")</f>
        <v>0.12805402312841951</v>
      </c>
      <c r="L99">
        <f t="shared" si="31"/>
        <v>7.8092040809771808</v>
      </c>
    </row>
    <row r="100" spans="1:12" x14ac:dyDescent="0.3">
      <c r="A100">
        <v>192</v>
      </c>
      <c r="B100">
        <f t="shared" si="27"/>
        <v>2.0152072934508141</v>
      </c>
      <c r="C100">
        <f t="shared" si="28"/>
        <v>2.0152072934508141</v>
      </c>
      <c r="D100" t="s">
        <v>23</v>
      </c>
      <c r="E100" t="s">
        <v>19</v>
      </c>
      <c r="F100">
        <v>1</v>
      </c>
      <c r="G100">
        <f t="shared" si="29"/>
        <v>35</v>
      </c>
      <c r="I100">
        <v>2014</v>
      </c>
      <c r="J100">
        <f t="shared" si="30"/>
        <v>37.5</v>
      </c>
      <c r="K100" cm="1">
        <f t="array" ref="K100">STOWA2019_NDJF_T(A100*60,J100,I100,"","")</f>
        <v>0.17259243259382792</v>
      </c>
      <c r="L100">
        <f t="shared" si="31"/>
        <v>5.7939967875263667</v>
      </c>
    </row>
    <row r="101" spans="1:12" x14ac:dyDescent="0.3">
      <c r="A101">
        <v>192</v>
      </c>
      <c r="B101">
        <f>L100-L101</f>
        <v>1.5129912877654865</v>
      </c>
      <c r="C101">
        <f t="shared" si="28"/>
        <v>1.5129912877654865</v>
      </c>
      <c r="D101" t="s">
        <v>23</v>
      </c>
      <c r="E101" t="s">
        <v>19</v>
      </c>
      <c r="F101">
        <v>1</v>
      </c>
      <c r="G101">
        <f>G100+5</f>
        <v>40</v>
      </c>
      <c r="I101">
        <v>2014</v>
      </c>
      <c r="J101">
        <f>AVERAGE(G101:G102)</f>
        <v>42.5</v>
      </c>
      <c r="K101" cm="1">
        <f t="array" ref="K101">STOWA2019_NDJF_T(A101*60,J101,I101,"","")</f>
        <v>0.23358998255336413</v>
      </c>
      <c r="L101">
        <f>1/K101</f>
        <v>4.2810054997608802</v>
      </c>
    </row>
    <row r="102" spans="1:12" x14ac:dyDescent="0.3">
      <c r="A102">
        <v>192</v>
      </c>
      <c r="B102">
        <f t="shared" ref="B102:B124" si="32">L101-L102</f>
        <v>1.1313817312532555</v>
      </c>
      <c r="C102">
        <f t="shared" si="28"/>
        <v>1.1313817312532555</v>
      </c>
      <c r="D102" t="s">
        <v>23</v>
      </c>
      <c r="E102" t="s">
        <v>19</v>
      </c>
      <c r="F102">
        <v>1</v>
      </c>
      <c r="G102">
        <f t="shared" ref="G102:G125" si="33">G101+5</f>
        <v>45</v>
      </c>
      <c r="I102">
        <v>2014</v>
      </c>
      <c r="J102">
        <f t="shared" ref="J102:J124" si="34">AVERAGE(G102:G103)</f>
        <v>47.5</v>
      </c>
      <c r="K102" cm="1">
        <f t="array" ref="K102">STOWA2019_NDJF_T(A102*60,J102,I102,"","")</f>
        <v>0.31749823899564567</v>
      </c>
      <c r="L102">
        <f t="shared" ref="L102:L124" si="35">1/K102</f>
        <v>3.1496237685076247</v>
      </c>
    </row>
    <row r="103" spans="1:12" x14ac:dyDescent="0.3">
      <c r="A103">
        <v>192</v>
      </c>
      <c r="B103">
        <f t="shared" si="32"/>
        <v>0.84255626785013371</v>
      </c>
      <c r="C103">
        <f t="shared" si="28"/>
        <v>0.84255626785013371</v>
      </c>
      <c r="D103" t="s">
        <v>23</v>
      </c>
      <c r="E103" t="s">
        <v>19</v>
      </c>
      <c r="F103">
        <v>1</v>
      </c>
      <c r="G103">
        <f t="shared" si="33"/>
        <v>50</v>
      </c>
      <c r="I103">
        <v>2014</v>
      </c>
      <c r="J103">
        <f t="shared" si="34"/>
        <v>52.5</v>
      </c>
      <c r="K103" cm="1">
        <f t="array" ref="K103">STOWA2019_NDJF_T(A103*60,J103,I103,"","")</f>
        <v>0.43345068998415093</v>
      </c>
      <c r="L103">
        <f t="shared" si="35"/>
        <v>2.307067500657491</v>
      </c>
    </row>
    <row r="104" spans="1:12" x14ac:dyDescent="0.3">
      <c r="A104">
        <v>192</v>
      </c>
      <c r="B104">
        <f t="shared" si="32"/>
        <v>0.62477840494389381</v>
      </c>
      <c r="C104">
        <f t="shared" si="28"/>
        <v>0.62477840494389381</v>
      </c>
      <c r="D104" t="s">
        <v>23</v>
      </c>
      <c r="E104" t="s">
        <v>19</v>
      </c>
      <c r="F104">
        <v>1</v>
      </c>
      <c r="G104">
        <f t="shared" si="33"/>
        <v>55</v>
      </c>
      <c r="I104">
        <v>2014</v>
      </c>
      <c r="J104">
        <f t="shared" si="34"/>
        <v>57.5</v>
      </c>
      <c r="K104" cm="1">
        <f t="array" ref="K104">STOWA2019_NDJF_T(A104*60,J104,I104,"","")</f>
        <v>0.59442815301362795</v>
      </c>
      <c r="L104">
        <f t="shared" si="35"/>
        <v>1.6822890957135972</v>
      </c>
    </row>
    <row r="105" spans="1:12" x14ac:dyDescent="0.3">
      <c r="A105">
        <v>192</v>
      </c>
      <c r="B105">
        <f t="shared" si="32"/>
        <v>0.46128011281517667</v>
      </c>
      <c r="C105">
        <f t="shared" si="28"/>
        <v>0.46128011281517667</v>
      </c>
      <c r="D105" t="s">
        <v>23</v>
      </c>
      <c r="E105" t="s">
        <v>19</v>
      </c>
      <c r="F105">
        <v>1</v>
      </c>
      <c r="G105">
        <f t="shared" si="33"/>
        <v>60</v>
      </c>
      <c r="I105">
        <v>2014</v>
      </c>
      <c r="J105">
        <f t="shared" si="34"/>
        <v>62.5</v>
      </c>
      <c r="K105" cm="1">
        <f t="array" ref="K105">STOWA2019_NDJF_T(A105*60,J105,I105,"","")</f>
        <v>0.81899479365516925</v>
      </c>
      <c r="L105">
        <f t="shared" si="35"/>
        <v>1.2210089828984205</v>
      </c>
    </row>
    <row r="106" spans="1:12" x14ac:dyDescent="0.3">
      <c r="A106">
        <v>192</v>
      </c>
      <c r="B106">
        <f t="shared" si="32"/>
        <v>0.33897978278709762</v>
      </c>
      <c r="C106">
        <f t="shared" si="28"/>
        <v>0.33897978278709762</v>
      </c>
      <c r="D106" t="s">
        <v>23</v>
      </c>
      <c r="E106" t="s">
        <v>19</v>
      </c>
      <c r="F106">
        <v>1</v>
      </c>
      <c r="G106">
        <f t="shared" si="33"/>
        <v>65</v>
      </c>
      <c r="I106">
        <v>2014</v>
      </c>
      <c r="J106">
        <f t="shared" si="34"/>
        <v>67.5</v>
      </c>
      <c r="K106" cm="1">
        <f t="array" ref="K106">STOWA2019_NDJF_T(A106*60,J106,I106,"","")</f>
        <v>1.1337493133716976</v>
      </c>
      <c r="L106">
        <f t="shared" si="35"/>
        <v>0.88202920011132291</v>
      </c>
    </row>
    <row r="107" spans="1:12" x14ac:dyDescent="0.3">
      <c r="A107">
        <v>192</v>
      </c>
      <c r="B107">
        <f t="shared" si="32"/>
        <v>0.24804903158809855</v>
      </c>
      <c r="C107">
        <f t="shared" si="28"/>
        <v>0.24804903158809855</v>
      </c>
      <c r="D107" t="s">
        <v>23</v>
      </c>
      <c r="E107" t="s">
        <v>19</v>
      </c>
      <c r="F107">
        <v>1</v>
      </c>
      <c r="G107">
        <f t="shared" si="33"/>
        <v>70</v>
      </c>
      <c r="I107">
        <v>2014</v>
      </c>
      <c r="J107">
        <f t="shared" si="34"/>
        <v>72.5</v>
      </c>
      <c r="K107" cm="1">
        <f t="array" ref="K107">STOWA2019_NDJF_T(A107*60,J107,I107,"","")</f>
        <v>1.5773364052212737</v>
      </c>
      <c r="L107">
        <f t="shared" si="35"/>
        <v>0.63398016852322436</v>
      </c>
    </row>
    <row r="108" spans="1:12" x14ac:dyDescent="0.3">
      <c r="A108">
        <v>192</v>
      </c>
      <c r="B108">
        <f t="shared" si="32"/>
        <v>0.18060787025941044</v>
      </c>
      <c r="C108">
        <f t="shared" si="28"/>
        <v>0.18060787025941044</v>
      </c>
      <c r="D108" t="s">
        <v>23</v>
      </c>
      <c r="E108" t="s">
        <v>19</v>
      </c>
      <c r="F108">
        <v>1</v>
      </c>
      <c r="G108">
        <f t="shared" si="33"/>
        <v>75</v>
      </c>
      <c r="I108">
        <v>2014</v>
      </c>
      <c r="J108">
        <f t="shared" si="34"/>
        <v>77.5</v>
      </c>
      <c r="K108" cm="1">
        <f t="array" ref="K108">STOWA2019_NDJF_T(A108*60,J108,I108,"","")</f>
        <v>2.2056927691204185</v>
      </c>
      <c r="L108">
        <f t="shared" si="35"/>
        <v>0.45337229826381392</v>
      </c>
    </row>
    <row r="109" spans="1:12" x14ac:dyDescent="0.3">
      <c r="A109">
        <v>192</v>
      </c>
      <c r="B109">
        <f t="shared" si="32"/>
        <v>0.13085618254612247</v>
      </c>
      <c r="C109">
        <f t="shared" si="28"/>
        <v>0.13085618254612247</v>
      </c>
      <c r="D109" t="s">
        <v>23</v>
      </c>
      <c r="E109" t="s">
        <v>19</v>
      </c>
      <c r="F109">
        <v>1</v>
      </c>
      <c r="G109">
        <f t="shared" si="33"/>
        <v>80</v>
      </c>
      <c r="I109">
        <v>2014</v>
      </c>
      <c r="J109">
        <f t="shared" si="34"/>
        <v>82.5</v>
      </c>
      <c r="K109" cm="1">
        <f t="array" ref="K109">STOWA2019_NDJF_T(A109*60,J109,I109,"","")</f>
        <v>3.1006202520289921</v>
      </c>
      <c r="L109">
        <f t="shared" si="35"/>
        <v>0.32251611571769145</v>
      </c>
    </row>
    <row r="110" spans="1:12" x14ac:dyDescent="0.3">
      <c r="A110">
        <v>192</v>
      </c>
      <c r="B110">
        <f t="shared" si="32"/>
        <v>9.4325873953039957E-2</v>
      </c>
      <c r="C110">
        <f t="shared" si="28"/>
        <v>9.4325873953039957E-2</v>
      </c>
      <c r="D110" t="s">
        <v>23</v>
      </c>
      <c r="E110" t="s">
        <v>19</v>
      </c>
      <c r="F110">
        <v>1</v>
      </c>
      <c r="G110">
        <f t="shared" si="33"/>
        <v>85</v>
      </c>
      <c r="I110">
        <v>2014</v>
      </c>
      <c r="J110">
        <f t="shared" si="34"/>
        <v>87.5</v>
      </c>
      <c r="K110" cm="1">
        <f t="array" ref="K110">STOWA2019_NDJF_T(A110*60,J110,I110,"","")</f>
        <v>4.3823083417886455</v>
      </c>
      <c r="L110">
        <f t="shared" si="35"/>
        <v>0.2281902417646515</v>
      </c>
    </row>
    <row r="111" spans="1:12" x14ac:dyDescent="0.3">
      <c r="A111">
        <v>192</v>
      </c>
      <c r="B111">
        <f t="shared" si="32"/>
        <v>6.7640595965675149E-2</v>
      </c>
      <c r="C111">
        <f t="shared" si="28"/>
        <v>6.7640595965675149E-2</v>
      </c>
      <c r="D111" t="s">
        <v>23</v>
      </c>
      <c r="E111" t="s">
        <v>19</v>
      </c>
      <c r="F111">
        <v>1</v>
      </c>
      <c r="G111">
        <f t="shared" si="33"/>
        <v>90</v>
      </c>
      <c r="I111">
        <v>2014</v>
      </c>
      <c r="J111">
        <f t="shared" si="34"/>
        <v>92.5</v>
      </c>
      <c r="K111" cm="1">
        <f t="array" ref="K111">STOWA2019_NDJF_T(A111*60,J111,I111,"","")</f>
        <v>6.2286029659143347</v>
      </c>
      <c r="L111">
        <f t="shared" si="35"/>
        <v>0.16054964579897635</v>
      </c>
    </row>
    <row r="112" spans="1:12" x14ac:dyDescent="0.3">
      <c r="A112">
        <v>192</v>
      </c>
      <c r="B112">
        <f t="shared" si="32"/>
        <v>4.8240475183023906E-2</v>
      </c>
      <c r="C112">
        <f t="shared" si="28"/>
        <v>4.8240475183023906E-2</v>
      </c>
      <c r="D112" t="s">
        <v>23</v>
      </c>
      <c r="E112" t="s">
        <v>19</v>
      </c>
      <c r="F112">
        <v>1</v>
      </c>
      <c r="G112">
        <f t="shared" si="33"/>
        <v>95</v>
      </c>
      <c r="I112">
        <v>2014</v>
      </c>
      <c r="J112">
        <f t="shared" si="34"/>
        <v>97.5</v>
      </c>
      <c r="K112" cm="1">
        <f t="array" ref="K112">STOWA2019_NDJF_T(A112*60,J112,I112,"","")</f>
        <v>8.9039923856223329</v>
      </c>
      <c r="L112">
        <f t="shared" si="35"/>
        <v>0.11230917061595244</v>
      </c>
    </row>
    <row r="113" spans="1:12" x14ac:dyDescent="0.3">
      <c r="A113">
        <v>192</v>
      </c>
      <c r="B113">
        <f t="shared" si="32"/>
        <v>3.4213962079270396E-2</v>
      </c>
      <c r="C113">
        <f t="shared" si="28"/>
        <v>3.4213962079270396E-2</v>
      </c>
      <c r="D113" t="s">
        <v>23</v>
      </c>
      <c r="E113" t="s">
        <v>19</v>
      </c>
      <c r="F113">
        <v>1</v>
      </c>
      <c r="G113">
        <f t="shared" si="33"/>
        <v>100</v>
      </c>
      <c r="I113">
        <v>2014</v>
      </c>
      <c r="J113">
        <f t="shared" si="34"/>
        <v>102.5</v>
      </c>
      <c r="K113" cm="1">
        <f t="array" ref="K113">STOWA2019_NDJF_T(A113*60,J113,I113,"","")</f>
        <v>12.804882895348063</v>
      </c>
      <c r="L113">
        <f t="shared" si="35"/>
        <v>7.8095208536682045E-2</v>
      </c>
    </row>
    <row r="114" spans="1:12" x14ac:dyDescent="0.3">
      <c r="A114">
        <v>192</v>
      </c>
      <c r="B114">
        <f t="shared" si="32"/>
        <v>2.4125255300220264E-2</v>
      </c>
      <c r="C114">
        <f t="shared" si="28"/>
        <v>2.4125255300220264E-2</v>
      </c>
      <c r="D114" t="s">
        <v>23</v>
      </c>
      <c r="E114" t="s">
        <v>19</v>
      </c>
      <c r="F114">
        <v>1</v>
      </c>
      <c r="G114">
        <f t="shared" si="33"/>
        <v>105</v>
      </c>
      <c r="I114">
        <v>2014</v>
      </c>
      <c r="J114">
        <f t="shared" si="34"/>
        <v>107.5</v>
      </c>
      <c r="K114" cm="1">
        <f t="array" ref="K114">STOWA2019_NDJF_T(A114*60,J114,I114,"","")</f>
        <v>18.52882835785757</v>
      </c>
      <c r="L114">
        <f t="shared" si="35"/>
        <v>5.3969953236461782E-2</v>
      </c>
    </row>
    <row r="115" spans="1:12" x14ac:dyDescent="0.3">
      <c r="A115">
        <v>192</v>
      </c>
      <c r="B115">
        <f t="shared" si="32"/>
        <v>1.6909953688418203E-2</v>
      </c>
      <c r="C115">
        <f t="shared" si="28"/>
        <v>1.6909953688418203E-2</v>
      </c>
      <c r="D115" t="s">
        <v>23</v>
      </c>
      <c r="E115" t="s">
        <v>19</v>
      </c>
      <c r="F115">
        <v>1</v>
      </c>
      <c r="G115">
        <f t="shared" si="33"/>
        <v>110</v>
      </c>
      <c r="I115">
        <v>2014</v>
      </c>
      <c r="J115">
        <f t="shared" si="34"/>
        <v>112.5</v>
      </c>
      <c r="K115" cm="1">
        <f t="array" ref="K115">STOWA2019_NDJF_T(A115*60,J115,I115,"","")</f>
        <v>26.983270701437196</v>
      </c>
      <c r="L115">
        <f t="shared" si="35"/>
        <v>3.7059999548043579E-2</v>
      </c>
    </row>
    <row r="116" spans="1:12" x14ac:dyDescent="0.3">
      <c r="A116">
        <v>192</v>
      </c>
      <c r="B116">
        <f t="shared" si="32"/>
        <v>1.177942991161977E-2</v>
      </c>
      <c r="C116">
        <f t="shared" si="28"/>
        <v>1.177942991161977E-2</v>
      </c>
      <c r="D116" t="s">
        <v>23</v>
      </c>
      <c r="E116" t="s">
        <v>19</v>
      </c>
      <c r="F116">
        <v>1</v>
      </c>
      <c r="G116">
        <f t="shared" si="33"/>
        <v>115</v>
      </c>
      <c r="I116">
        <v>2014</v>
      </c>
      <c r="J116">
        <f t="shared" si="34"/>
        <v>117.5</v>
      </c>
      <c r="K116" cm="1">
        <f t="array" ref="K116">STOWA2019_NDJF_T(A116*60,J116,I116,"","")</f>
        <v>39.556070704958216</v>
      </c>
      <c r="L116">
        <f t="shared" si="35"/>
        <v>2.5280569636423809E-2</v>
      </c>
    </row>
    <row r="117" spans="1:12" x14ac:dyDescent="0.3">
      <c r="A117">
        <v>192</v>
      </c>
      <c r="B117">
        <f t="shared" si="32"/>
        <v>8.1530874978280564E-3</v>
      </c>
      <c r="C117">
        <f t="shared" si="28"/>
        <v>8.1530874978280564E-3</v>
      </c>
      <c r="D117" t="s">
        <v>23</v>
      </c>
      <c r="E117" t="s">
        <v>19</v>
      </c>
      <c r="F117">
        <v>1</v>
      </c>
      <c r="G117">
        <f t="shared" si="33"/>
        <v>120</v>
      </c>
      <c r="I117">
        <v>2014</v>
      </c>
      <c r="J117">
        <f t="shared" si="34"/>
        <v>122.5</v>
      </c>
      <c r="K117" cm="1">
        <f t="array" ref="K117">STOWA2019_NDJF_T(A117*60,J117,I117,"","")</f>
        <v>58.385698020759285</v>
      </c>
      <c r="L117">
        <f t="shared" si="35"/>
        <v>1.7127482138595752E-2</v>
      </c>
    </row>
    <row r="118" spans="1:12" x14ac:dyDescent="0.3">
      <c r="A118">
        <v>192</v>
      </c>
      <c r="B118">
        <f t="shared" si="32"/>
        <v>5.6058478505288719E-3</v>
      </c>
      <c r="C118">
        <f t="shared" si="28"/>
        <v>5.6058478505288719E-3</v>
      </c>
      <c r="D118" t="s">
        <v>23</v>
      </c>
      <c r="E118" t="s">
        <v>19</v>
      </c>
      <c r="F118">
        <v>1</v>
      </c>
      <c r="G118">
        <f t="shared" si="33"/>
        <v>125</v>
      </c>
      <c r="I118">
        <v>2014</v>
      </c>
      <c r="J118">
        <f t="shared" si="34"/>
        <v>127.5</v>
      </c>
      <c r="K118" cm="1">
        <f t="array" ref="K118">STOWA2019_NDJF_T(A118*60,J118,I118,"","")</f>
        <v>86.793242607579913</v>
      </c>
      <c r="L118">
        <f t="shared" si="35"/>
        <v>1.152163428806688E-2</v>
      </c>
    </row>
    <row r="119" spans="1:12" x14ac:dyDescent="0.3">
      <c r="A119">
        <v>192</v>
      </c>
      <c r="B119">
        <f t="shared" si="32"/>
        <v>3.8279050942456256E-3</v>
      </c>
      <c r="C119">
        <f t="shared" si="28"/>
        <v>3.8279050942456256E-3</v>
      </c>
      <c r="D119" t="s">
        <v>23</v>
      </c>
      <c r="E119" t="s">
        <v>19</v>
      </c>
      <c r="F119">
        <v>1</v>
      </c>
      <c r="G119">
        <f t="shared" si="33"/>
        <v>130</v>
      </c>
      <c r="I119">
        <v>2014</v>
      </c>
      <c r="J119">
        <f t="shared" si="34"/>
        <v>132.5</v>
      </c>
      <c r="K119" cm="1">
        <f t="array" ref="K119">STOWA2019_NDJF_T(A119*60,J119,I119,"","")</f>
        <v>129.97598106300498</v>
      </c>
      <c r="L119">
        <f t="shared" si="35"/>
        <v>7.6937291938212549E-3</v>
      </c>
    </row>
    <row r="120" spans="1:12" x14ac:dyDescent="0.3">
      <c r="A120">
        <v>192</v>
      </c>
      <c r="B120">
        <f t="shared" si="32"/>
        <v>2.5952478802876199E-3</v>
      </c>
      <c r="C120">
        <f t="shared" si="28"/>
        <v>2.5952478802876199E-3</v>
      </c>
      <c r="D120" t="s">
        <v>23</v>
      </c>
      <c r="E120" t="s">
        <v>19</v>
      </c>
      <c r="F120">
        <v>1</v>
      </c>
      <c r="G120">
        <f t="shared" si="33"/>
        <v>135</v>
      </c>
      <c r="I120">
        <v>2014</v>
      </c>
      <c r="J120">
        <f t="shared" si="34"/>
        <v>137.5</v>
      </c>
      <c r="K120" cm="1">
        <f t="array" ref="K120">STOWA2019_NDJF_T(A120*60,J120,I120,"","")</f>
        <v>196.13683732556902</v>
      </c>
      <c r="L120">
        <f t="shared" si="35"/>
        <v>5.098481313533635E-3</v>
      </c>
    </row>
    <row r="121" spans="1:12" x14ac:dyDescent="0.3">
      <c r="A121">
        <v>192</v>
      </c>
      <c r="B121">
        <f t="shared" si="32"/>
        <v>1.7465291153031313E-3</v>
      </c>
      <c r="C121">
        <f t="shared" si="28"/>
        <v>1.7465291153031313E-3</v>
      </c>
      <c r="D121" t="s">
        <v>23</v>
      </c>
      <c r="E121" t="s">
        <v>19</v>
      </c>
      <c r="F121">
        <v>1</v>
      </c>
      <c r="G121">
        <f t="shared" si="33"/>
        <v>140</v>
      </c>
      <c r="I121">
        <v>2014</v>
      </c>
      <c r="J121">
        <f t="shared" si="34"/>
        <v>142.5</v>
      </c>
      <c r="K121" cm="1">
        <f t="array" ref="K121">STOWA2019_NDJF_T(A121*60,J121,I121,"","")</f>
        <v>298.33361004608008</v>
      </c>
      <c r="L121">
        <f t="shared" si="35"/>
        <v>3.3519521982305037E-3</v>
      </c>
    </row>
    <row r="122" spans="1:12" x14ac:dyDescent="0.3">
      <c r="A122">
        <v>192</v>
      </c>
      <c r="B122">
        <f t="shared" si="32"/>
        <v>1.1663572411326137E-3</v>
      </c>
      <c r="C122">
        <f t="shared" si="28"/>
        <v>1.1663572411326137E-3</v>
      </c>
      <c r="D122" t="s">
        <v>23</v>
      </c>
      <c r="E122" t="s">
        <v>19</v>
      </c>
      <c r="F122">
        <v>1</v>
      </c>
      <c r="G122">
        <f t="shared" si="33"/>
        <v>145</v>
      </c>
      <c r="I122">
        <v>2014</v>
      </c>
      <c r="J122">
        <f t="shared" si="34"/>
        <v>147.5</v>
      </c>
      <c r="K122" cm="1">
        <f t="array" ref="K122">STOWA2019_NDJF_T(A122*60,J122,I122,"","")</f>
        <v>457.5413192423519</v>
      </c>
      <c r="L122">
        <f t="shared" si="35"/>
        <v>2.18559495709789E-3</v>
      </c>
    </row>
    <row r="123" spans="1:12" x14ac:dyDescent="0.3">
      <c r="A123">
        <v>192</v>
      </c>
      <c r="B123">
        <f t="shared" si="32"/>
        <v>7.7268259167178753E-4</v>
      </c>
      <c r="C123">
        <f t="shared" si="28"/>
        <v>7.7268259167178753E-4</v>
      </c>
      <c r="D123" t="s">
        <v>23</v>
      </c>
      <c r="E123" t="s">
        <v>19</v>
      </c>
      <c r="F123">
        <v>1</v>
      </c>
      <c r="G123">
        <f t="shared" si="33"/>
        <v>150</v>
      </c>
      <c r="I123">
        <v>2014</v>
      </c>
      <c r="J123">
        <f t="shared" si="34"/>
        <v>152.5</v>
      </c>
      <c r="K123" cm="1">
        <f t="array" ref="K123">STOWA2019_NDJF_T(A123*60,J123,I123,"","")</f>
        <v>707.75797881733638</v>
      </c>
      <c r="L123">
        <f t="shared" si="35"/>
        <v>1.4129123654261025E-3</v>
      </c>
    </row>
    <row r="124" spans="1:12" x14ac:dyDescent="0.3">
      <c r="A124">
        <v>192</v>
      </c>
      <c r="B124">
        <f t="shared" si="32"/>
        <v>5.0763474399121713E-4</v>
      </c>
      <c r="C124">
        <f t="shared" si="28"/>
        <v>5.0763474399121713E-4</v>
      </c>
      <c r="D124" t="s">
        <v>23</v>
      </c>
      <c r="E124" t="s">
        <v>19</v>
      </c>
      <c r="F124">
        <v>1</v>
      </c>
      <c r="G124">
        <f t="shared" si="33"/>
        <v>155</v>
      </c>
      <c r="I124">
        <v>2014</v>
      </c>
      <c r="J124">
        <f t="shared" si="34"/>
        <v>157.5</v>
      </c>
      <c r="K124" cm="1">
        <f t="array" ref="K124">STOWA2019_NDJF_T(A124*60,J124,I124,"","")</f>
        <v>1104.6335138771879</v>
      </c>
      <c r="L124">
        <f t="shared" si="35"/>
        <v>9.0527762143488533E-4</v>
      </c>
    </row>
    <row r="125" spans="1:12" x14ac:dyDescent="0.3">
      <c r="A125">
        <v>192</v>
      </c>
      <c r="B125" s="1">
        <f>L124</f>
        <v>9.0527762143488533E-4</v>
      </c>
      <c r="C125">
        <f t="shared" si="28"/>
        <v>9.0527762143488533E-4</v>
      </c>
      <c r="D125" t="s">
        <v>23</v>
      </c>
      <c r="E125" t="s">
        <v>19</v>
      </c>
      <c r="F125">
        <v>1</v>
      </c>
      <c r="G125">
        <f t="shared" si="33"/>
        <v>160</v>
      </c>
      <c r="I125">
        <v>2014</v>
      </c>
      <c r="J125">
        <f>AVERAGE(G125:G126)</f>
        <v>85</v>
      </c>
      <c r="K125" cm="1">
        <f t="array" ref="K125">STOWA2019_NDJF_T(A125*60,J125,I125,"","")</f>
        <v>3.6836217751362388</v>
      </c>
      <c r="L125">
        <f>1/K125</f>
        <v>0.27147195370323135</v>
      </c>
    </row>
    <row r="126" spans="1:12" x14ac:dyDescent="0.3">
      <c r="A126">
        <v>216</v>
      </c>
      <c r="B126" s="1">
        <f>365.25*24/A126 - L126</f>
        <v>19.660112385104288</v>
      </c>
      <c r="C126">
        <f>B126</f>
        <v>19.660112385104288</v>
      </c>
      <c r="D126" t="s">
        <v>23</v>
      </c>
      <c r="E126" t="s">
        <v>19</v>
      </c>
      <c r="F126">
        <v>1</v>
      </c>
      <c r="G126">
        <v>10</v>
      </c>
      <c r="I126">
        <v>2014</v>
      </c>
      <c r="J126">
        <f>AVERAGE(G126:G128)</f>
        <v>15</v>
      </c>
      <c r="K126" cm="1">
        <f t="array" ref="K126">STOWA2019_NDJF_T(A126*60,J126,I126,"","")</f>
        <v>4.7793788655882859E-2</v>
      </c>
      <c r="L126">
        <f>1/K126</f>
        <v>20.923220948229048</v>
      </c>
    </row>
    <row r="127" spans="1:12" x14ac:dyDescent="0.3">
      <c r="A127">
        <v>216</v>
      </c>
      <c r="B127">
        <f t="shared" ref="B127:B131" si="36">L126-L127</f>
        <v>2.5020821700001541</v>
      </c>
      <c r="C127">
        <f t="shared" ref="C127:C156" si="37">B127</f>
        <v>2.5020821700001541</v>
      </c>
      <c r="D127" t="s">
        <v>23</v>
      </c>
      <c r="E127" t="s">
        <v>19</v>
      </c>
      <c r="F127">
        <v>1</v>
      </c>
      <c r="G127">
        <f t="shared" ref="G127:G131" si="38">G126+5</f>
        <v>15</v>
      </c>
      <c r="I127">
        <v>2014</v>
      </c>
      <c r="J127">
        <f t="shared" ref="J127:J131" si="39">AVERAGE(G127:G128)</f>
        <v>17.5</v>
      </c>
      <c r="K127" cm="1">
        <f t="array" ref="K127">STOWA2019_NDJF_T(A127*60,J127,I127,"","")</f>
        <v>5.42854604179984E-2</v>
      </c>
      <c r="L127">
        <f t="shared" ref="L127:L131" si="40">1/K127</f>
        <v>18.421138778228894</v>
      </c>
    </row>
    <row r="128" spans="1:12" x14ac:dyDescent="0.3">
      <c r="A128">
        <v>216</v>
      </c>
      <c r="B128">
        <f t="shared" si="36"/>
        <v>4.1867114818759994</v>
      </c>
      <c r="C128">
        <f t="shared" si="37"/>
        <v>4.1867114818759994</v>
      </c>
      <c r="D128" t="s">
        <v>23</v>
      </c>
      <c r="E128" t="s">
        <v>19</v>
      </c>
      <c r="F128">
        <v>1</v>
      </c>
      <c r="G128">
        <f t="shared" si="38"/>
        <v>20</v>
      </c>
      <c r="I128">
        <v>2014</v>
      </c>
      <c r="J128">
        <f t="shared" si="39"/>
        <v>22.5</v>
      </c>
      <c r="K128" cm="1">
        <f t="array" ref="K128">STOWA2019_NDJF_T(A128*60,J128,I128,"","")</f>
        <v>7.0252211710422466E-2</v>
      </c>
      <c r="L128">
        <f t="shared" si="40"/>
        <v>14.234427296352894</v>
      </c>
    </row>
    <row r="129" spans="1:12" x14ac:dyDescent="0.3">
      <c r="A129">
        <v>216</v>
      </c>
      <c r="B129">
        <f t="shared" si="36"/>
        <v>3.2819341464601806</v>
      </c>
      <c r="C129">
        <f t="shared" si="37"/>
        <v>3.2819341464601806</v>
      </c>
      <c r="D129" t="s">
        <v>23</v>
      </c>
      <c r="E129" t="s">
        <v>19</v>
      </c>
      <c r="F129">
        <v>1</v>
      </c>
      <c r="G129">
        <f t="shared" si="38"/>
        <v>25</v>
      </c>
      <c r="I129">
        <v>2014</v>
      </c>
      <c r="J129">
        <f t="shared" si="39"/>
        <v>27.5</v>
      </c>
      <c r="K129" cm="1">
        <f t="array" ref="K129">STOWA2019_NDJF_T(A129*60,J129,I129,"","")</f>
        <v>9.1303412502914516E-2</v>
      </c>
      <c r="L129">
        <f t="shared" si="40"/>
        <v>10.952493149892714</v>
      </c>
    </row>
    <row r="130" spans="1:12" x14ac:dyDescent="0.3">
      <c r="A130">
        <v>216</v>
      </c>
      <c r="B130">
        <f t="shared" si="36"/>
        <v>2.5622472751952596</v>
      </c>
      <c r="C130">
        <f t="shared" si="37"/>
        <v>2.5622472751952596</v>
      </c>
      <c r="D130" t="s">
        <v>23</v>
      </c>
      <c r="E130" t="s">
        <v>19</v>
      </c>
      <c r="F130">
        <v>1</v>
      </c>
      <c r="G130">
        <f t="shared" si="38"/>
        <v>30</v>
      </c>
      <c r="I130">
        <v>2014</v>
      </c>
      <c r="J130">
        <f t="shared" si="39"/>
        <v>32.5</v>
      </c>
      <c r="K130" cm="1">
        <f t="array" ref="K130">STOWA2019_NDJF_T(A130*60,J130,I130,"","")</f>
        <v>0.11918601849508483</v>
      </c>
      <c r="L130">
        <f t="shared" si="40"/>
        <v>8.3902458746974542</v>
      </c>
    </row>
    <row r="131" spans="1:12" x14ac:dyDescent="0.3">
      <c r="A131">
        <v>216</v>
      </c>
      <c r="B131">
        <f t="shared" si="36"/>
        <v>1.9920078461823136</v>
      </c>
      <c r="C131">
        <f t="shared" si="37"/>
        <v>1.9920078461823136</v>
      </c>
      <c r="D131" t="s">
        <v>23</v>
      </c>
      <c r="E131" t="s">
        <v>19</v>
      </c>
      <c r="F131">
        <v>1</v>
      </c>
      <c r="G131">
        <f t="shared" si="38"/>
        <v>35</v>
      </c>
      <c r="I131">
        <v>2014</v>
      </c>
      <c r="J131">
        <f t="shared" si="39"/>
        <v>37.5</v>
      </c>
      <c r="K131" cm="1">
        <f t="array" ref="K131">STOWA2019_NDJF_T(A131*60,J131,I131,"","")</f>
        <v>0.15629302872810957</v>
      </c>
      <c r="L131">
        <f t="shared" si="40"/>
        <v>6.3982380285151406</v>
      </c>
    </row>
    <row r="132" spans="1:12" x14ac:dyDescent="0.3">
      <c r="A132">
        <v>216</v>
      </c>
      <c r="B132">
        <f>L131-L132</f>
        <v>1.541982342701492</v>
      </c>
      <c r="C132">
        <f t="shared" si="37"/>
        <v>1.541982342701492</v>
      </c>
      <c r="D132" t="s">
        <v>23</v>
      </c>
      <c r="E132" t="s">
        <v>19</v>
      </c>
      <c r="F132">
        <v>1</v>
      </c>
      <c r="G132">
        <f>G131+5</f>
        <v>40</v>
      </c>
      <c r="I132">
        <v>2014</v>
      </c>
      <c r="J132">
        <f>AVERAGE(G132:G133)</f>
        <v>42.5</v>
      </c>
      <c r="K132" cm="1">
        <f t="array" ref="K132">STOWA2019_NDJF_T(A132*60,J132,I132,"","")</f>
        <v>0.20591996482418604</v>
      </c>
      <c r="L132">
        <f>1/K132</f>
        <v>4.8562556858136485</v>
      </c>
    </row>
    <row r="133" spans="1:12" x14ac:dyDescent="0.3">
      <c r="A133">
        <v>216</v>
      </c>
      <c r="B133">
        <f t="shared" ref="B133:B155" si="41">L132-L133</f>
        <v>1.1882845963556661</v>
      </c>
      <c r="C133">
        <f t="shared" si="37"/>
        <v>1.1882845963556661</v>
      </c>
      <c r="D133" t="s">
        <v>23</v>
      </c>
      <c r="E133" t="s">
        <v>19</v>
      </c>
      <c r="F133">
        <v>1</v>
      </c>
      <c r="G133">
        <f t="shared" ref="G133:G156" si="42">G132+5</f>
        <v>45</v>
      </c>
      <c r="I133">
        <v>2014</v>
      </c>
      <c r="J133">
        <f t="shared" ref="J133:J155" si="43">AVERAGE(G133:G134)</f>
        <v>47.5</v>
      </c>
      <c r="K133" cm="1">
        <f t="array" ref="K133">STOWA2019_NDJF_T(A133*60,J133,I133,"","")</f>
        <v>0.27263028404833212</v>
      </c>
      <c r="L133">
        <f t="shared" ref="L133:L155" si="44">1/K133</f>
        <v>3.6679710894579824</v>
      </c>
    </row>
    <row r="134" spans="1:12" x14ac:dyDescent="0.3">
      <c r="A134">
        <v>216</v>
      </c>
      <c r="B134">
        <f t="shared" si="41"/>
        <v>0.91147505017600672</v>
      </c>
      <c r="C134">
        <f t="shared" si="37"/>
        <v>0.91147505017600672</v>
      </c>
      <c r="D134" t="s">
        <v>23</v>
      </c>
      <c r="E134" t="s">
        <v>19</v>
      </c>
      <c r="F134">
        <v>1</v>
      </c>
      <c r="G134">
        <f t="shared" si="42"/>
        <v>50</v>
      </c>
      <c r="I134">
        <v>2014</v>
      </c>
      <c r="J134">
        <f t="shared" si="43"/>
        <v>52.5</v>
      </c>
      <c r="K134" cm="1">
        <f t="array" ref="K134">STOWA2019_NDJF_T(A134*60,J134,I134,"","")</f>
        <v>0.36277940753380672</v>
      </c>
      <c r="L134">
        <f t="shared" si="44"/>
        <v>2.7564960392819757</v>
      </c>
    </row>
    <row r="135" spans="1:12" x14ac:dyDescent="0.3">
      <c r="A135">
        <v>216</v>
      </c>
      <c r="B135">
        <f t="shared" si="41"/>
        <v>0.69580550462946089</v>
      </c>
      <c r="C135">
        <f t="shared" si="37"/>
        <v>0.69580550462946089</v>
      </c>
      <c r="D135" t="s">
        <v>23</v>
      </c>
      <c r="E135" t="s">
        <v>19</v>
      </c>
      <c r="F135">
        <v>1</v>
      </c>
      <c r="G135">
        <f t="shared" si="42"/>
        <v>55</v>
      </c>
      <c r="I135">
        <v>2014</v>
      </c>
      <c r="J135">
        <f t="shared" si="43"/>
        <v>57.5</v>
      </c>
      <c r="K135" cm="1">
        <f t="array" ref="K135">STOWA2019_NDJF_T(A135*60,J135,I135,"","")</f>
        <v>0.48527422394776304</v>
      </c>
      <c r="L135">
        <f t="shared" si="44"/>
        <v>2.0606905346525148</v>
      </c>
    </row>
    <row r="136" spans="1:12" x14ac:dyDescent="0.3">
      <c r="A136">
        <v>216</v>
      </c>
      <c r="B136">
        <f t="shared" si="41"/>
        <v>0.52851563743963603</v>
      </c>
      <c r="C136">
        <f t="shared" si="37"/>
        <v>0.52851563743963603</v>
      </c>
      <c r="D136" t="s">
        <v>23</v>
      </c>
      <c r="E136" t="s">
        <v>19</v>
      </c>
      <c r="F136">
        <v>1</v>
      </c>
      <c r="G136">
        <f t="shared" si="42"/>
        <v>60</v>
      </c>
      <c r="I136">
        <v>2014</v>
      </c>
      <c r="J136">
        <f t="shared" si="43"/>
        <v>62.5</v>
      </c>
      <c r="K136" cm="1">
        <f t="array" ref="K136">STOWA2019_NDJF_T(A136*60,J136,I136,"","")</f>
        <v>0.65266700415145951</v>
      </c>
      <c r="L136">
        <f t="shared" si="44"/>
        <v>1.5321748972128788</v>
      </c>
    </row>
    <row r="137" spans="1:12" x14ac:dyDescent="0.3">
      <c r="A137">
        <v>216</v>
      </c>
      <c r="B137">
        <f t="shared" si="41"/>
        <v>0.39936113062178547</v>
      </c>
      <c r="C137">
        <f t="shared" si="37"/>
        <v>0.39936113062178547</v>
      </c>
      <c r="D137" t="s">
        <v>23</v>
      </c>
      <c r="E137" t="s">
        <v>19</v>
      </c>
      <c r="F137">
        <v>1</v>
      </c>
      <c r="G137">
        <f t="shared" si="42"/>
        <v>65</v>
      </c>
      <c r="I137">
        <v>2014</v>
      </c>
      <c r="J137">
        <f t="shared" si="43"/>
        <v>67.5</v>
      </c>
      <c r="K137" cm="1">
        <f t="array" ref="K137">STOWA2019_NDJF_T(A137*60,J137,I137,"","")</f>
        <v>0.88275763368345916</v>
      </c>
      <c r="L137">
        <f t="shared" si="44"/>
        <v>1.1328137665910933</v>
      </c>
    </row>
    <row r="138" spans="1:12" x14ac:dyDescent="0.3">
      <c r="A138">
        <v>216</v>
      </c>
      <c r="B138">
        <f t="shared" si="41"/>
        <v>0.30010451098110313</v>
      </c>
      <c r="C138">
        <f t="shared" si="37"/>
        <v>0.30010451098110313</v>
      </c>
      <c r="D138" t="s">
        <v>23</v>
      </c>
      <c r="E138" t="s">
        <v>19</v>
      </c>
      <c r="F138">
        <v>1</v>
      </c>
      <c r="G138">
        <f t="shared" si="42"/>
        <v>70</v>
      </c>
      <c r="I138">
        <v>2014</v>
      </c>
      <c r="J138">
        <f t="shared" si="43"/>
        <v>72.5</v>
      </c>
      <c r="K138" cm="1">
        <f t="array" ref="K138">STOWA2019_NDJF_T(A138*60,J138,I138,"","")</f>
        <v>1.2008993454353563</v>
      </c>
      <c r="L138">
        <f t="shared" si="44"/>
        <v>0.83270925560999021</v>
      </c>
    </row>
    <row r="139" spans="1:12" x14ac:dyDescent="0.3">
      <c r="A139">
        <v>216</v>
      </c>
      <c r="B139">
        <f t="shared" si="41"/>
        <v>0.22435774852919044</v>
      </c>
      <c r="C139">
        <f t="shared" si="37"/>
        <v>0.22435774852919044</v>
      </c>
      <c r="D139" t="s">
        <v>23</v>
      </c>
      <c r="E139" t="s">
        <v>19</v>
      </c>
      <c r="F139">
        <v>1</v>
      </c>
      <c r="G139">
        <f t="shared" si="42"/>
        <v>75</v>
      </c>
      <c r="I139">
        <v>2014</v>
      </c>
      <c r="J139">
        <f t="shared" si="43"/>
        <v>77.5</v>
      </c>
      <c r="K139" cm="1">
        <f t="array" ref="K139">STOWA2019_NDJF_T(A139*60,J139,I139,"","")</f>
        <v>1.6437865088861898</v>
      </c>
      <c r="L139">
        <f t="shared" si="44"/>
        <v>0.60835150708079977</v>
      </c>
    </row>
    <row r="140" spans="1:12" x14ac:dyDescent="0.3">
      <c r="A140">
        <v>216</v>
      </c>
      <c r="B140">
        <f t="shared" si="41"/>
        <v>0.16670971025570869</v>
      </c>
      <c r="C140">
        <f t="shared" si="37"/>
        <v>0.16670971025570869</v>
      </c>
      <c r="D140" t="s">
        <v>23</v>
      </c>
      <c r="E140" t="s">
        <v>19</v>
      </c>
      <c r="F140">
        <v>1</v>
      </c>
      <c r="G140">
        <f t="shared" si="42"/>
        <v>80</v>
      </c>
      <c r="I140">
        <v>2014</v>
      </c>
      <c r="J140">
        <f t="shared" si="43"/>
        <v>82.5</v>
      </c>
      <c r="K140" cm="1">
        <f t="array" ref="K140">STOWA2019_NDJF_T(A140*60,J140,I140,"","")</f>
        <v>2.2642784428214853</v>
      </c>
      <c r="L140">
        <f t="shared" si="44"/>
        <v>0.44164179682509108</v>
      </c>
    </row>
    <row r="141" spans="1:12" x14ac:dyDescent="0.3">
      <c r="A141">
        <v>216</v>
      </c>
      <c r="B141">
        <f t="shared" si="41"/>
        <v>0.12313627483582923</v>
      </c>
      <c r="C141">
        <f t="shared" si="37"/>
        <v>0.12313627483582923</v>
      </c>
      <c r="D141" t="s">
        <v>23</v>
      </c>
      <c r="E141" t="s">
        <v>19</v>
      </c>
      <c r="F141">
        <v>1</v>
      </c>
      <c r="G141">
        <f t="shared" si="42"/>
        <v>85</v>
      </c>
      <c r="I141">
        <v>2014</v>
      </c>
      <c r="J141">
        <f t="shared" si="43"/>
        <v>87.5</v>
      </c>
      <c r="K141" cm="1">
        <f t="array" ref="K141">STOWA2019_NDJF_T(A141*60,J141,I141,"","")</f>
        <v>3.1396629915688372</v>
      </c>
      <c r="L141">
        <f t="shared" si="44"/>
        <v>0.31850552198926185</v>
      </c>
    </row>
    <row r="142" spans="1:12" x14ac:dyDescent="0.3">
      <c r="A142">
        <v>216</v>
      </c>
      <c r="B142">
        <f t="shared" si="41"/>
        <v>9.0377191964545939E-2</v>
      </c>
      <c r="C142">
        <f t="shared" si="37"/>
        <v>9.0377191964545939E-2</v>
      </c>
      <c r="D142" t="s">
        <v>23</v>
      </c>
      <c r="E142" t="s">
        <v>19</v>
      </c>
      <c r="F142">
        <v>1</v>
      </c>
      <c r="G142">
        <f t="shared" si="42"/>
        <v>90</v>
      </c>
      <c r="I142">
        <v>2014</v>
      </c>
      <c r="J142">
        <f t="shared" si="43"/>
        <v>92.5</v>
      </c>
      <c r="K142" cm="1">
        <f t="array" ref="K142">STOWA2019_NDJF_T(A142*60,J142,I142,"","")</f>
        <v>4.3834976563044927</v>
      </c>
      <c r="L142">
        <f t="shared" si="44"/>
        <v>0.22812833002471591</v>
      </c>
    </row>
    <row r="143" spans="1:12" x14ac:dyDescent="0.3">
      <c r="A143">
        <v>216</v>
      </c>
      <c r="B143">
        <f t="shared" si="41"/>
        <v>6.5897978720925093E-2</v>
      </c>
      <c r="C143">
        <f t="shared" si="37"/>
        <v>6.5897978720925093E-2</v>
      </c>
      <c r="D143" t="s">
        <v>23</v>
      </c>
      <c r="E143" t="s">
        <v>19</v>
      </c>
      <c r="F143">
        <v>1</v>
      </c>
      <c r="G143">
        <f t="shared" si="42"/>
        <v>95</v>
      </c>
      <c r="I143">
        <v>2014</v>
      </c>
      <c r="J143">
        <f t="shared" si="43"/>
        <v>97.5</v>
      </c>
      <c r="K143" cm="1">
        <f t="array" ref="K143">STOWA2019_NDJF_T(A143*60,J143,I143,"","")</f>
        <v>6.1640746750736595</v>
      </c>
      <c r="L143">
        <f t="shared" si="44"/>
        <v>0.16223035130379082</v>
      </c>
    </row>
    <row r="144" spans="1:12" x14ac:dyDescent="0.3">
      <c r="A144">
        <v>216</v>
      </c>
      <c r="B144">
        <f t="shared" si="41"/>
        <v>4.7723167257510107E-2</v>
      </c>
      <c r="C144">
        <f t="shared" si="37"/>
        <v>4.7723167257510107E-2</v>
      </c>
      <c r="D144" t="s">
        <v>23</v>
      </c>
      <c r="E144" t="s">
        <v>19</v>
      </c>
      <c r="F144">
        <v>1</v>
      </c>
      <c r="G144">
        <f t="shared" si="42"/>
        <v>100</v>
      </c>
      <c r="I144">
        <v>2014</v>
      </c>
      <c r="J144">
        <f t="shared" si="43"/>
        <v>102.5</v>
      </c>
      <c r="K144" cm="1">
        <f t="array" ref="K144">STOWA2019_NDJF_T(A144*60,J144,I144,"","")</f>
        <v>8.7330765168046316</v>
      </c>
      <c r="L144">
        <f t="shared" si="44"/>
        <v>0.11450718404628071</v>
      </c>
    </row>
    <row r="145" spans="1:12" x14ac:dyDescent="0.3">
      <c r="A145">
        <v>216</v>
      </c>
      <c r="B145">
        <f t="shared" si="41"/>
        <v>3.4313783126073097E-2</v>
      </c>
      <c r="C145">
        <f t="shared" si="37"/>
        <v>3.4313783126073097E-2</v>
      </c>
      <c r="D145" t="s">
        <v>23</v>
      </c>
      <c r="E145" t="s">
        <v>19</v>
      </c>
      <c r="F145">
        <v>1</v>
      </c>
      <c r="G145">
        <f t="shared" si="42"/>
        <v>105</v>
      </c>
      <c r="I145">
        <v>2014</v>
      </c>
      <c r="J145">
        <f t="shared" si="43"/>
        <v>107.5</v>
      </c>
      <c r="K145" cm="1">
        <f t="array" ref="K145">STOWA2019_NDJF_T(A145*60,J145,I145,"","")</f>
        <v>12.469853984556652</v>
      </c>
      <c r="L145">
        <f t="shared" si="44"/>
        <v>8.0193400920207616E-2</v>
      </c>
    </row>
    <row r="146" spans="1:12" x14ac:dyDescent="0.3">
      <c r="A146">
        <v>216</v>
      </c>
      <c r="B146">
        <f t="shared" si="41"/>
        <v>2.4488428721334471E-2</v>
      </c>
      <c r="C146">
        <f t="shared" si="37"/>
        <v>2.4488428721334471E-2</v>
      </c>
      <c r="D146" t="s">
        <v>23</v>
      </c>
      <c r="E146" t="s">
        <v>19</v>
      </c>
      <c r="F146">
        <v>1</v>
      </c>
      <c r="G146">
        <f t="shared" si="42"/>
        <v>110</v>
      </c>
      <c r="I146">
        <v>2014</v>
      </c>
      <c r="J146">
        <f t="shared" si="43"/>
        <v>112.5</v>
      </c>
      <c r="K146" cm="1">
        <f t="array" ref="K146">STOWA2019_NDJF_T(A146*60,J146,I146,"","")</f>
        <v>17.951718859671722</v>
      </c>
      <c r="L146">
        <f t="shared" si="44"/>
        <v>5.5704972198873146E-2</v>
      </c>
    </row>
    <row r="147" spans="1:12" x14ac:dyDescent="0.3">
      <c r="A147">
        <v>216</v>
      </c>
      <c r="B147">
        <f t="shared" si="41"/>
        <v>1.7340530539874693E-2</v>
      </c>
      <c r="C147">
        <f t="shared" si="37"/>
        <v>1.7340530539874693E-2</v>
      </c>
      <c r="D147" t="s">
        <v>23</v>
      </c>
      <c r="E147" t="s">
        <v>19</v>
      </c>
      <c r="F147">
        <v>1</v>
      </c>
      <c r="G147">
        <f t="shared" si="42"/>
        <v>115</v>
      </c>
      <c r="I147">
        <v>2014</v>
      </c>
      <c r="J147">
        <f t="shared" si="43"/>
        <v>117.5</v>
      </c>
      <c r="K147" cm="1">
        <f t="array" ref="K147">STOWA2019_NDJF_T(A147*60,J147,I147,"","")</f>
        <v>26.065803560715921</v>
      </c>
      <c r="L147">
        <f t="shared" si="44"/>
        <v>3.8364441658998452E-2</v>
      </c>
    </row>
    <row r="148" spans="1:12" x14ac:dyDescent="0.3">
      <c r="A148">
        <v>216</v>
      </c>
      <c r="B148">
        <f t="shared" si="41"/>
        <v>1.2178534591775408E-2</v>
      </c>
      <c r="C148">
        <f t="shared" si="37"/>
        <v>1.2178534591775408E-2</v>
      </c>
      <c r="D148" t="s">
        <v>23</v>
      </c>
      <c r="E148" t="s">
        <v>19</v>
      </c>
      <c r="F148">
        <v>1</v>
      </c>
      <c r="G148">
        <f t="shared" si="42"/>
        <v>120</v>
      </c>
      <c r="I148">
        <v>2014</v>
      </c>
      <c r="J148">
        <f t="shared" si="43"/>
        <v>122.5</v>
      </c>
      <c r="K148" cm="1">
        <f t="array" ref="K148">STOWA2019_NDJF_T(A148*60,J148,I148,"","")</f>
        <v>38.188480446098509</v>
      </c>
      <c r="L148">
        <f t="shared" si="44"/>
        <v>2.6185907067223044E-2</v>
      </c>
    </row>
    <row r="149" spans="1:12" x14ac:dyDescent="0.3">
      <c r="A149">
        <v>216</v>
      </c>
      <c r="B149">
        <f t="shared" si="41"/>
        <v>8.4800087168318168E-3</v>
      </c>
      <c r="C149">
        <f t="shared" si="37"/>
        <v>8.4800087168318168E-3</v>
      </c>
      <c r="D149" t="s">
        <v>23</v>
      </c>
      <c r="E149" t="s">
        <v>19</v>
      </c>
      <c r="F149">
        <v>1</v>
      </c>
      <c r="G149">
        <f t="shared" si="42"/>
        <v>125</v>
      </c>
      <c r="I149">
        <v>2014</v>
      </c>
      <c r="J149">
        <f t="shared" si="43"/>
        <v>127.5</v>
      </c>
      <c r="K149" cm="1">
        <f t="array" ref="K149">STOWA2019_NDJF_T(A149*60,J149,I149,"","")</f>
        <v>56.478354286830303</v>
      </c>
      <c r="L149">
        <f t="shared" si="44"/>
        <v>1.7705898350391228E-2</v>
      </c>
    </row>
    <row r="150" spans="1:12" x14ac:dyDescent="0.3">
      <c r="A150">
        <v>216</v>
      </c>
      <c r="B150">
        <f t="shared" si="41"/>
        <v>5.8516718742080941E-3</v>
      </c>
      <c r="C150">
        <f t="shared" si="37"/>
        <v>5.8516718742080941E-3</v>
      </c>
      <c r="D150" t="s">
        <v>23</v>
      </c>
      <c r="E150" t="s">
        <v>19</v>
      </c>
      <c r="F150">
        <v>1</v>
      </c>
      <c r="G150">
        <f t="shared" si="42"/>
        <v>130</v>
      </c>
      <c r="I150">
        <v>2014</v>
      </c>
      <c r="J150">
        <f t="shared" si="43"/>
        <v>132.5</v>
      </c>
      <c r="K150" cm="1">
        <f t="array" ref="K150">STOWA2019_NDJF_T(A150*60,J150,I150,"","")</f>
        <v>84.358098101900239</v>
      </c>
      <c r="L150">
        <f t="shared" si="44"/>
        <v>1.1854226476183134E-2</v>
      </c>
    </row>
    <row r="151" spans="1:12" x14ac:dyDescent="0.3">
      <c r="A151">
        <v>216</v>
      </c>
      <c r="B151">
        <f t="shared" si="41"/>
        <v>3.9999193614811482E-3</v>
      </c>
      <c r="C151">
        <f t="shared" si="37"/>
        <v>3.9999193614811482E-3</v>
      </c>
      <c r="D151" t="s">
        <v>23</v>
      </c>
      <c r="E151" t="s">
        <v>19</v>
      </c>
      <c r="F151">
        <v>1</v>
      </c>
      <c r="G151">
        <f t="shared" si="42"/>
        <v>135</v>
      </c>
      <c r="I151">
        <v>2014</v>
      </c>
      <c r="J151">
        <f t="shared" si="43"/>
        <v>137.5</v>
      </c>
      <c r="K151" cm="1">
        <f t="array" ref="K151">STOWA2019_NDJF_T(A151*60,J151,I151,"","")</f>
        <v>127.31867819736291</v>
      </c>
      <c r="L151">
        <f t="shared" si="44"/>
        <v>7.8543071147019854E-3</v>
      </c>
    </row>
    <row r="152" spans="1:12" x14ac:dyDescent="0.3">
      <c r="A152">
        <v>216</v>
      </c>
      <c r="B152">
        <f t="shared" si="41"/>
        <v>2.706951902730066E-3</v>
      </c>
      <c r="C152">
        <f t="shared" si="37"/>
        <v>2.706951902730066E-3</v>
      </c>
      <c r="D152" t="s">
        <v>23</v>
      </c>
      <c r="E152" t="s">
        <v>19</v>
      </c>
      <c r="F152">
        <v>1</v>
      </c>
      <c r="G152">
        <f t="shared" si="42"/>
        <v>140</v>
      </c>
      <c r="I152">
        <v>2014</v>
      </c>
      <c r="J152">
        <f t="shared" si="43"/>
        <v>142.5</v>
      </c>
      <c r="K152" cm="1">
        <f t="array" ref="K152">STOWA2019_NDJF_T(A152*60,J152,I152,"","")</f>
        <v>194.27452717352031</v>
      </c>
      <c r="L152">
        <f t="shared" si="44"/>
        <v>5.1473552119719193E-3</v>
      </c>
    </row>
    <row r="153" spans="1:12" x14ac:dyDescent="0.3">
      <c r="A153">
        <v>216</v>
      </c>
      <c r="B153">
        <f t="shared" si="41"/>
        <v>1.8127912583518592E-3</v>
      </c>
      <c r="C153">
        <f t="shared" si="37"/>
        <v>1.8127912583518592E-3</v>
      </c>
      <c r="D153" t="s">
        <v>23</v>
      </c>
      <c r="E153" t="s">
        <v>19</v>
      </c>
      <c r="F153">
        <v>1</v>
      </c>
      <c r="G153">
        <f t="shared" si="42"/>
        <v>145</v>
      </c>
      <c r="I153">
        <v>2014</v>
      </c>
      <c r="J153">
        <f t="shared" si="43"/>
        <v>147.5</v>
      </c>
      <c r="K153" cm="1">
        <f t="array" ref="K153">STOWA2019_NDJF_T(A153*60,J153,I153,"","")</f>
        <v>299.88928504861417</v>
      </c>
      <c r="L153">
        <f t="shared" si="44"/>
        <v>3.3345639536200601E-3</v>
      </c>
    </row>
    <row r="154" spans="1:12" x14ac:dyDescent="0.3">
      <c r="A154">
        <v>216</v>
      </c>
      <c r="B154">
        <f t="shared" si="41"/>
        <v>1.2005710200078288E-3</v>
      </c>
      <c r="C154">
        <f t="shared" si="37"/>
        <v>1.2005710200078288E-3</v>
      </c>
      <c r="D154" t="s">
        <v>23</v>
      </c>
      <c r="E154" t="s">
        <v>19</v>
      </c>
      <c r="F154">
        <v>1</v>
      </c>
      <c r="G154">
        <f t="shared" si="42"/>
        <v>150</v>
      </c>
      <c r="I154">
        <v>2014</v>
      </c>
      <c r="J154">
        <f t="shared" si="43"/>
        <v>152.5</v>
      </c>
      <c r="K154" cm="1">
        <f t="array" ref="K154">STOWA2019_NDJF_T(A154*60,J154,I154,"","")</f>
        <v>468.60511309533246</v>
      </c>
      <c r="L154">
        <f t="shared" si="44"/>
        <v>2.1339929336122313E-3</v>
      </c>
    </row>
    <row r="155" spans="1:12" x14ac:dyDescent="0.3">
      <c r="A155">
        <v>216</v>
      </c>
      <c r="B155">
        <f t="shared" si="41"/>
        <v>7.8584786688331611E-4</v>
      </c>
      <c r="C155">
        <f t="shared" si="37"/>
        <v>7.8584786688331611E-4</v>
      </c>
      <c r="D155" t="s">
        <v>23</v>
      </c>
      <c r="E155" t="s">
        <v>19</v>
      </c>
      <c r="F155">
        <v>1</v>
      </c>
      <c r="G155">
        <f t="shared" si="42"/>
        <v>155</v>
      </c>
      <c r="I155">
        <v>2014</v>
      </c>
      <c r="J155">
        <f t="shared" si="43"/>
        <v>157.5</v>
      </c>
      <c r="K155" cm="1">
        <f t="array" ref="K155">STOWA2019_NDJF_T(A155*60,J155,I155,"","")</f>
        <v>741.75993717527717</v>
      </c>
      <c r="L155">
        <f t="shared" si="44"/>
        <v>1.3481450667289152E-3</v>
      </c>
    </row>
    <row r="156" spans="1:12" x14ac:dyDescent="0.3">
      <c r="A156">
        <v>216</v>
      </c>
      <c r="B156" s="1">
        <f>L155</f>
        <v>1.3481450667289152E-3</v>
      </c>
      <c r="C156">
        <f t="shared" si="37"/>
        <v>1.3481450667289152E-3</v>
      </c>
      <c r="D156" t="s">
        <v>23</v>
      </c>
      <c r="E156" t="s">
        <v>19</v>
      </c>
      <c r="F156">
        <v>1</v>
      </c>
      <c r="G156">
        <f t="shared" si="42"/>
        <v>160</v>
      </c>
      <c r="I156">
        <v>2014</v>
      </c>
      <c r="J156">
        <f>AVERAGE(G156:G157)</f>
        <v>160</v>
      </c>
      <c r="K156" cm="1">
        <f t="array" ref="K156">STOWA2019_NDJF_T(A156*60,J156,I156,"","")</f>
        <v>937.98901205523805</v>
      </c>
      <c r="L156">
        <f>1/K156</f>
        <v>1.0661105696844881E-3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5DC67C-E999-454C-82F0-213CF62BB3EF}">
  <sheetPr codeName="Blad3"/>
  <dimension ref="A1:L156"/>
  <sheetViews>
    <sheetView workbookViewId="0">
      <selection activeCell="L16" sqref="L16"/>
    </sheetView>
  </sheetViews>
  <sheetFormatPr defaultRowHeight="14.4" x14ac:dyDescent="0.3"/>
  <cols>
    <col min="2" max="2" width="12" bestFit="1" customWidth="1"/>
    <col min="4" max="4" width="24" bestFit="1" customWidth="1"/>
    <col min="8" max="8" width="12" bestFit="1" customWidth="1"/>
    <col min="11" max="11" width="10.5546875" bestFit="1" customWidth="1"/>
  </cols>
  <sheetData>
    <row r="1" spans="1:12" x14ac:dyDescent="0.3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20</v>
      </c>
      <c r="G1" t="s">
        <v>1</v>
      </c>
      <c r="I1" t="s">
        <v>4</v>
      </c>
      <c r="J1" t="s">
        <v>13</v>
      </c>
      <c r="K1" t="s">
        <v>2</v>
      </c>
      <c r="L1" t="s">
        <v>3</v>
      </c>
    </row>
    <row r="2" spans="1:12" x14ac:dyDescent="0.3">
      <c r="A2">
        <v>24</v>
      </c>
      <c r="B2" s="1">
        <f>365.25*24/A2 - L2</f>
        <v>350.21154474631197</v>
      </c>
      <c r="C2">
        <f>B2</f>
        <v>350.21154474631197</v>
      </c>
      <c r="D2" t="s">
        <v>24</v>
      </c>
      <c r="E2" t="s">
        <v>21</v>
      </c>
      <c r="F2">
        <v>1</v>
      </c>
      <c r="G2">
        <v>10</v>
      </c>
      <c r="I2">
        <v>2030</v>
      </c>
      <c r="J2">
        <f>AVERAGE(G2:G4)</f>
        <v>15</v>
      </c>
      <c r="K2" cm="1">
        <f t="array" ref="K2">STOWA2019_JAARROND_T(A2*60,J2,I2,"","center")</f>
        <v>6.6496191472509014E-2</v>
      </c>
      <c r="L2">
        <f>1/K2</f>
        <v>15.038455253688054</v>
      </c>
    </row>
    <row r="3" spans="1:12" x14ac:dyDescent="0.3">
      <c r="A3">
        <v>24</v>
      </c>
      <c r="B3">
        <f t="shared" ref="B3:B7" si="0">L2-L3</f>
        <v>4.4287587065377636</v>
      </c>
      <c r="C3">
        <f t="shared" ref="C3:C32" si="1">B3</f>
        <v>4.4287587065377636</v>
      </c>
      <c r="D3" t="s">
        <v>24</v>
      </c>
      <c r="E3" t="s">
        <v>21</v>
      </c>
      <c r="F3">
        <v>1</v>
      </c>
      <c r="G3">
        <f t="shared" ref="G3:G7" si="2">G2+5</f>
        <v>15</v>
      </c>
      <c r="I3">
        <v>2030</v>
      </c>
      <c r="J3">
        <f t="shared" ref="J3:J7" si="3">AVERAGE(G3:G4)</f>
        <v>17.5</v>
      </c>
      <c r="K3" cm="1">
        <f t="array" ref="K3">STOWA2019_JAARROND_T(A3*60,J3,I3,"","center")</f>
        <v>9.425340258846468E-2</v>
      </c>
      <c r="L3">
        <f t="shared" ref="L3:L7" si="4">1/K3</f>
        <v>10.609696547150291</v>
      </c>
    </row>
    <row r="4" spans="1:12" x14ac:dyDescent="0.3">
      <c r="A4">
        <v>24</v>
      </c>
      <c r="B4">
        <f t="shared" si="0"/>
        <v>5.0863020394026561</v>
      </c>
      <c r="C4">
        <f t="shared" si="1"/>
        <v>5.0863020394026561</v>
      </c>
      <c r="D4" t="s">
        <v>24</v>
      </c>
      <c r="E4" t="s">
        <v>21</v>
      </c>
      <c r="F4">
        <v>1</v>
      </c>
      <c r="G4">
        <f t="shared" si="2"/>
        <v>20</v>
      </c>
      <c r="I4">
        <v>2030</v>
      </c>
      <c r="J4">
        <f t="shared" si="3"/>
        <v>22.5</v>
      </c>
      <c r="K4" cm="1">
        <f t="array" ref="K4">STOWA2019_JAARROND_T(A4*60,J4,I4,"","center")</f>
        <v>0.18104808530285235</v>
      </c>
      <c r="L4">
        <f t="shared" si="4"/>
        <v>5.5233945077476347</v>
      </c>
    </row>
    <row r="5" spans="1:12" x14ac:dyDescent="0.3">
      <c r="A5">
        <v>24</v>
      </c>
      <c r="B5">
        <f t="shared" si="0"/>
        <v>2.4920075402403921</v>
      </c>
      <c r="C5">
        <f t="shared" si="1"/>
        <v>2.4920075402403921</v>
      </c>
      <c r="D5" t="s">
        <v>24</v>
      </c>
      <c r="E5" t="s">
        <v>21</v>
      </c>
      <c r="F5">
        <v>1</v>
      </c>
      <c r="G5">
        <f t="shared" si="2"/>
        <v>25</v>
      </c>
      <c r="I5">
        <v>2030</v>
      </c>
      <c r="J5">
        <f t="shared" si="3"/>
        <v>27.5</v>
      </c>
      <c r="K5" cm="1">
        <f t="array" ref="K5">STOWA2019_JAARROND_T(A5*60,J5,I5,"","center")</f>
        <v>0.32988200144645863</v>
      </c>
      <c r="L5">
        <f t="shared" si="4"/>
        <v>3.0313869675072427</v>
      </c>
    </row>
    <row r="6" spans="1:12" x14ac:dyDescent="0.3">
      <c r="A6">
        <v>24</v>
      </c>
      <c r="B6">
        <f t="shared" si="0"/>
        <v>1.2905176069361965</v>
      </c>
      <c r="C6">
        <f t="shared" si="1"/>
        <v>1.2905176069361965</v>
      </c>
      <c r="D6" t="s">
        <v>24</v>
      </c>
      <c r="E6" t="s">
        <v>21</v>
      </c>
      <c r="F6">
        <v>1</v>
      </c>
      <c r="G6">
        <f t="shared" si="2"/>
        <v>30</v>
      </c>
      <c r="I6">
        <v>2030</v>
      </c>
      <c r="J6">
        <f t="shared" si="3"/>
        <v>32.5</v>
      </c>
      <c r="K6" cm="1">
        <f t="array" ref="K6">STOWA2019_JAARROND_T(A6*60,J6,I6,"","center")</f>
        <v>0.57442564195166057</v>
      </c>
      <c r="L6">
        <f t="shared" si="4"/>
        <v>1.7408693605710461</v>
      </c>
    </row>
    <row r="7" spans="1:12" x14ac:dyDescent="0.3">
      <c r="A7">
        <v>24</v>
      </c>
      <c r="B7">
        <f t="shared" si="0"/>
        <v>0.70124155648644626</v>
      </c>
      <c r="C7">
        <f t="shared" si="1"/>
        <v>0.70124155648644626</v>
      </c>
      <c r="D7" t="s">
        <v>24</v>
      </c>
      <c r="E7" t="s">
        <v>21</v>
      </c>
      <c r="F7">
        <v>1</v>
      </c>
      <c r="G7">
        <f t="shared" si="2"/>
        <v>35</v>
      </c>
      <c r="I7">
        <v>2030</v>
      </c>
      <c r="J7">
        <f t="shared" si="3"/>
        <v>37.5</v>
      </c>
      <c r="K7" cm="1">
        <f t="array" ref="K7">STOWA2019_JAARROND_T(A7*60,J7,I7,"","center")</f>
        <v>0.9618827007810814</v>
      </c>
      <c r="L7">
        <f t="shared" si="4"/>
        <v>1.0396278040845999</v>
      </c>
    </row>
    <row r="8" spans="1:12" x14ac:dyDescent="0.3">
      <c r="A8">
        <v>24</v>
      </c>
      <c r="B8">
        <f>L7-L8</f>
        <v>0.39720365413575753</v>
      </c>
      <c r="C8">
        <f t="shared" si="1"/>
        <v>0.39720365413575753</v>
      </c>
      <c r="D8" t="s">
        <v>24</v>
      </c>
      <c r="E8" t="s">
        <v>21</v>
      </c>
      <c r="F8">
        <v>1</v>
      </c>
      <c r="G8">
        <f>G7+5</f>
        <v>40</v>
      </c>
      <c r="I8">
        <v>2030</v>
      </c>
      <c r="J8">
        <f>AVERAGE(G8:G9)</f>
        <v>42.5</v>
      </c>
      <c r="K8" cm="1">
        <f t="array" ref="K8">STOWA2019_JAARROND_T(A8*60,J8,I8,"","center")</f>
        <v>1.5566039976542478</v>
      </c>
      <c r="L8">
        <f>1/K8</f>
        <v>0.64242414994884234</v>
      </c>
    </row>
    <row r="9" spans="1:12" x14ac:dyDescent="0.3">
      <c r="A9">
        <v>24</v>
      </c>
      <c r="B9">
        <f t="shared" ref="B9:B31" si="5">L8-L9</f>
        <v>0.23347341506766461</v>
      </c>
      <c r="C9">
        <f t="shared" si="1"/>
        <v>0.23347341506766461</v>
      </c>
      <c r="D9" t="s">
        <v>24</v>
      </c>
      <c r="E9" t="s">
        <v>21</v>
      </c>
      <c r="F9">
        <v>1</v>
      </c>
      <c r="G9">
        <f t="shared" ref="G9:G32" si="6">G8+5</f>
        <v>45</v>
      </c>
      <c r="I9">
        <v>2030</v>
      </c>
      <c r="J9">
        <f t="shared" ref="J9:J31" si="7">AVERAGE(G9:G10)</f>
        <v>47.5</v>
      </c>
      <c r="K9" cm="1">
        <f t="array" ref="K9">STOWA2019_JAARROND_T(A9*60,J9,I9,"","center")</f>
        <v>2.4452823157062036</v>
      </c>
      <c r="L9">
        <f t="shared" ref="L9:L31" si="8">1/K9</f>
        <v>0.40895073488117772</v>
      </c>
    </row>
    <row r="10" spans="1:12" x14ac:dyDescent="0.3">
      <c r="A10">
        <v>24</v>
      </c>
      <c r="B10">
        <f t="shared" si="5"/>
        <v>0.14165825170106222</v>
      </c>
      <c r="C10">
        <f t="shared" si="1"/>
        <v>0.14165825170106222</v>
      </c>
      <c r="D10" t="s">
        <v>24</v>
      </c>
      <c r="E10" t="s">
        <v>21</v>
      </c>
      <c r="F10">
        <v>1</v>
      </c>
      <c r="G10">
        <f t="shared" si="6"/>
        <v>50</v>
      </c>
      <c r="I10">
        <v>2030</v>
      </c>
      <c r="J10">
        <f t="shared" si="7"/>
        <v>52.5</v>
      </c>
      <c r="K10" cm="1">
        <f t="array" ref="K10">STOWA2019_JAARROND_T(A10*60,J10,I10,"","center")</f>
        <v>3.7412200601471772</v>
      </c>
      <c r="L10">
        <f t="shared" si="8"/>
        <v>0.2672924831801155</v>
      </c>
    </row>
    <row r="11" spans="1:12" x14ac:dyDescent="0.3">
      <c r="A11">
        <v>24</v>
      </c>
      <c r="B11">
        <f t="shared" si="5"/>
        <v>8.8438332127684482E-2</v>
      </c>
      <c r="C11">
        <f t="shared" si="1"/>
        <v>8.8438332127684482E-2</v>
      </c>
      <c r="D11" t="s">
        <v>24</v>
      </c>
      <c r="E11" t="s">
        <v>21</v>
      </c>
      <c r="F11">
        <v>1</v>
      </c>
      <c r="G11">
        <f t="shared" si="6"/>
        <v>55</v>
      </c>
      <c r="I11">
        <v>2030</v>
      </c>
      <c r="J11">
        <f t="shared" si="7"/>
        <v>57.5</v>
      </c>
      <c r="K11" cm="1">
        <f t="array" ref="K11">STOWA2019_JAARROND_T(A11*60,J11,I11,"","center")</f>
        <v>5.5911478381446704</v>
      </c>
      <c r="L11">
        <f t="shared" si="8"/>
        <v>0.17885415105243102</v>
      </c>
    </row>
    <row r="12" spans="1:12" x14ac:dyDescent="0.3">
      <c r="A12">
        <v>24</v>
      </c>
      <c r="B12">
        <f t="shared" si="5"/>
        <v>5.6631874740115162E-2</v>
      </c>
      <c r="C12">
        <f t="shared" si="1"/>
        <v>5.6631874740115162E-2</v>
      </c>
      <c r="D12" t="s">
        <v>24</v>
      </c>
      <c r="E12" t="s">
        <v>21</v>
      </c>
      <c r="F12">
        <v>1</v>
      </c>
      <c r="G12">
        <f t="shared" si="6"/>
        <v>60</v>
      </c>
      <c r="I12">
        <v>2030</v>
      </c>
      <c r="J12">
        <f t="shared" si="7"/>
        <v>62.5</v>
      </c>
      <c r="K12" cm="1">
        <f t="array" ref="K12">STOWA2019_JAARROND_T(A12*60,J12,I12,"","center")</f>
        <v>8.1818145609126898</v>
      </c>
      <c r="L12">
        <f t="shared" si="8"/>
        <v>0.12222227631231586</v>
      </c>
    </row>
    <row r="13" spans="1:12" x14ac:dyDescent="0.3">
      <c r="A13">
        <v>24</v>
      </c>
      <c r="B13">
        <f t="shared" si="5"/>
        <v>3.71029105832274E-2</v>
      </c>
      <c r="C13">
        <f t="shared" si="1"/>
        <v>3.71029105832274E-2</v>
      </c>
      <c r="D13" t="s">
        <v>24</v>
      </c>
      <c r="E13" t="s">
        <v>21</v>
      </c>
      <c r="F13">
        <v>1</v>
      </c>
      <c r="G13">
        <f t="shared" si="6"/>
        <v>65</v>
      </c>
      <c r="I13">
        <v>2030</v>
      </c>
      <c r="J13">
        <f t="shared" si="7"/>
        <v>67.5</v>
      </c>
      <c r="K13" cm="1">
        <f t="array" ref="K13">STOWA2019_JAARROND_T(A13*60,J13,I13,"","center")</f>
        <v>11.748207842416555</v>
      </c>
      <c r="L13">
        <f t="shared" si="8"/>
        <v>8.5119365729088459E-2</v>
      </c>
    </row>
    <row r="14" spans="1:12" x14ac:dyDescent="0.3">
      <c r="A14">
        <v>24</v>
      </c>
      <c r="B14">
        <f t="shared" si="5"/>
        <v>2.4814180085173769E-2</v>
      </c>
      <c r="C14">
        <f t="shared" si="1"/>
        <v>2.4814180085173769E-2</v>
      </c>
      <c r="D14" t="s">
        <v>24</v>
      </c>
      <c r="E14" t="s">
        <v>21</v>
      </c>
      <c r="F14">
        <v>1</v>
      </c>
      <c r="G14">
        <f t="shared" si="6"/>
        <v>70</v>
      </c>
      <c r="I14">
        <v>2030</v>
      </c>
      <c r="J14">
        <f t="shared" si="7"/>
        <v>72.5</v>
      </c>
      <c r="K14" cm="1">
        <f t="array" ref="K14">STOWA2019_JAARROND_T(A14*60,J14,I14,"","center")</f>
        <v>16.582321890271945</v>
      </c>
      <c r="L14">
        <f t="shared" si="8"/>
        <v>6.030518564391469E-2</v>
      </c>
    </row>
    <row r="15" spans="1:12" x14ac:dyDescent="0.3">
      <c r="A15">
        <v>24</v>
      </c>
      <c r="B15">
        <f t="shared" si="5"/>
        <v>1.6908551252988444E-2</v>
      </c>
      <c r="C15">
        <f t="shared" si="1"/>
        <v>1.6908551252988444E-2</v>
      </c>
      <c r="D15" t="s">
        <v>24</v>
      </c>
      <c r="E15" t="s">
        <v>21</v>
      </c>
      <c r="F15">
        <v>1</v>
      </c>
      <c r="G15">
        <f t="shared" si="6"/>
        <v>75</v>
      </c>
      <c r="I15">
        <v>2030</v>
      </c>
      <c r="J15">
        <f t="shared" si="7"/>
        <v>77.5</v>
      </c>
      <c r="K15" cm="1">
        <f t="array" ref="K15">STOWA2019_JAARROND_T(A15*60,J15,I15,"","center")</f>
        <v>23.043261626968217</v>
      </c>
      <c r="L15">
        <f t="shared" si="8"/>
        <v>4.3396634390926246E-2</v>
      </c>
    </row>
    <row r="16" spans="1:12" x14ac:dyDescent="0.3">
      <c r="A16">
        <v>24</v>
      </c>
      <c r="B16">
        <f t="shared" si="5"/>
        <v>1.1719453678838462E-2</v>
      </c>
      <c r="C16">
        <f t="shared" si="1"/>
        <v>1.1719453678838462E-2</v>
      </c>
      <c r="D16" t="s">
        <v>24</v>
      </c>
      <c r="E16" t="s">
        <v>21</v>
      </c>
      <c r="F16">
        <v>1</v>
      </c>
      <c r="G16">
        <f t="shared" si="6"/>
        <v>80</v>
      </c>
      <c r="I16">
        <v>2030</v>
      </c>
      <c r="J16">
        <f t="shared" si="7"/>
        <v>82.5</v>
      </c>
      <c r="K16" cm="1">
        <f t="array" ref="K16">STOWA2019_JAARROND_T(A16*60,J16,I16,"","center")</f>
        <v>31.568465927853463</v>
      </c>
      <c r="L16">
        <f t="shared" si="8"/>
        <v>3.1677180712087784E-2</v>
      </c>
    </row>
    <row r="17" spans="1:12" x14ac:dyDescent="0.3">
      <c r="A17">
        <v>24</v>
      </c>
      <c r="B17">
        <f t="shared" si="5"/>
        <v>8.2501846442649407E-3</v>
      </c>
      <c r="C17">
        <f t="shared" si="1"/>
        <v>8.2501846442649407E-3</v>
      </c>
      <c r="D17" t="s">
        <v>24</v>
      </c>
      <c r="E17" t="s">
        <v>21</v>
      </c>
      <c r="F17">
        <v>1</v>
      </c>
      <c r="G17">
        <f t="shared" si="6"/>
        <v>85</v>
      </c>
      <c r="I17">
        <v>2030</v>
      </c>
      <c r="J17">
        <f t="shared" si="7"/>
        <v>87.5</v>
      </c>
      <c r="K17" cm="1">
        <f t="array" ref="K17">STOWA2019_JAARROND_T(A17*60,J17,I17,"","center")</f>
        <v>42.68579706527153</v>
      </c>
      <c r="L17">
        <f t="shared" si="8"/>
        <v>2.3426996067822843E-2</v>
      </c>
    </row>
    <row r="18" spans="1:12" x14ac:dyDescent="0.3">
      <c r="A18">
        <v>24</v>
      </c>
      <c r="B18">
        <f t="shared" si="5"/>
        <v>5.8919875855044726E-3</v>
      </c>
      <c r="C18">
        <f t="shared" si="1"/>
        <v>5.8919875855044726E-3</v>
      </c>
      <c r="D18" t="s">
        <v>24</v>
      </c>
      <c r="E18" t="s">
        <v>21</v>
      </c>
      <c r="F18">
        <v>1</v>
      </c>
      <c r="G18">
        <f t="shared" si="6"/>
        <v>90</v>
      </c>
      <c r="I18">
        <v>2030</v>
      </c>
      <c r="J18">
        <f t="shared" si="7"/>
        <v>92.5</v>
      </c>
      <c r="K18" cm="1">
        <f t="array" ref="K18">STOWA2019_JAARROND_T(A18*60,J18,I18,"","center")</f>
        <v>57.02877195687482</v>
      </c>
      <c r="L18">
        <f t="shared" si="8"/>
        <v>1.7535008482318371E-2</v>
      </c>
    </row>
    <row r="19" spans="1:12" x14ac:dyDescent="0.3">
      <c r="A19">
        <v>24</v>
      </c>
      <c r="B19">
        <f t="shared" si="5"/>
        <v>4.2634421119265593E-3</v>
      </c>
      <c r="C19">
        <f t="shared" si="1"/>
        <v>4.2634421119265593E-3</v>
      </c>
      <c r="D19" t="s">
        <v>24</v>
      </c>
      <c r="E19" t="s">
        <v>21</v>
      </c>
      <c r="F19">
        <v>1</v>
      </c>
      <c r="G19">
        <f t="shared" si="6"/>
        <v>95</v>
      </c>
      <c r="I19">
        <v>2030</v>
      </c>
      <c r="J19">
        <f t="shared" si="7"/>
        <v>97.5</v>
      </c>
      <c r="K19" cm="1">
        <f t="array" ref="K19">STOWA2019_JAARROND_T(A19*60,J19,I19,"","center")</f>
        <v>75.349056177042456</v>
      </c>
      <c r="L19">
        <f t="shared" si="8"/>
        <v>1.3271566370391811E-2</v>
      </c>
    </row>
    <row r="20" spans="1:12" x14ac:dyDescent="0.3">
      <c r="A20">
        <v>24</v>
      </c>
      <c r="B20">
        <f t="shared" si="5"/>
        <v>3.1229840931127698E-3</v>
      </c>
      <c r="C20">
        <f t="shared" si="1"/>
        <v>3.1229840931127698E-3</v>
      </c>
      <c r="D20" t="s">
        <v>24</v>
      </c>
      <c r="E20" t="s">
        <v>21</v>
      </c>
      <c r="F20">
        <v>1</v>
      </c>
      <c r="G20">
        <f t="shared" si="6"/>
        <v>100</v>
      </c>
      <c r="I20">
        <v>2030</v>
      </c>
      <c r="J20">
        <f t="shared" si="7"/>
        <v>102.5</v>
      </c>
      <c r="K20" cm="1">
        <f t="array" ref="K20">STOWA2019_JAARROND_T(A20*60,J20,I20,"","center")</f>
        <v>98.535930702245068</v>
      </c>
      <c r="L20">
        <f t="shared" si="8"/>
        <v>1.0148582277279041E-2</v>
      </c>
    </row>
    <row r="21" spans="1:12" x14ac:dyDescent="0.3">
      <c r="A21">
        <v>24</v>
      </c>
      <c r="B21">
        <f t="shared" si="5"/>
        <v>2.3136086781447626E-3</v>
      </c>
      <c r="C21">
        <f t="shared" si="1"/>
        <v>2.3136086781447626E-3</v>
      </c>
      <c r="D21" t="s">
        <v>24</v>
      </c>
      <c r="E21" t="s">
        <v>21</v>
      </c>
      <c r="F21">
        <v>1</v>
      </c>
      <c r="G21">
        <f t="shared" si="6"/>
        <v>105</v>
      </c>
      <c r="I21">
        <v>2030</v>
      </c>
      <c r="J21">
        <f t="shared" si="7"/>
        <v>107.5</v>
      </c>
      <c r="K21" cm="1">
        <f t="array" ref="K21">STOWA2019_JAARROND_T(A21*60,J21,I21,"","center")</f>
        <v>127.63284870679009</v>
      </c>
      <c r="L21">
        <f t="shared" si="8"/>
        <v>7.8349735991342789E-3</v>
      </c>
    </row>
    <row r="22" spans="1:12" x14ac:dyDescent="0.3">
      <c r="A22">
        <v>24</v>
      </c>
      <c r="B22">
        <f t="shared" si="5"/>
        <v>1.7321582073576581E-3</v>
      </c>
      <c r="C22">
        <f t="shared" si="1"/>
        <v>1.7321582073576581E-3</v>
      </c>
      <c r="D22" t="s">
        <v>24</v>
      </c>
      <c r="E22" t="s">
        <v>21</v>
      </c>
      <c r="F22">
        <v>1</v>
      </c>
      <c r="G22">
        <f t="shared" si="6"/>
        <v>110</v>
      </c>
      <c r="I22">
        <v>2030</v>
      </c>
      <c r="J22">
        <f t="shared" si="7"/>
        <v>112.5</v>
      </c>
      <c r="K22" cm="1">
        <f t="array" ref="K22">STOWA2019_JAARROND_T(A22*60,J22,I22,"","center")</f>
        <v>163.85879889918888</v>
      </c>
      <c r="L22">
        <f t="shared" si="8"/>
        <v>6.1028153917766208E-3</v>
      </c>
    </row>
    <row r="23" spans="1:12" x14ac:dyDescent="0.3">
      <c r="A23">
        <v>24</v>
      </c>
      <c r="B23">
        <f t="shared" si="5"/>
        <v>1.3095317102648487E-3</v>
      </c>
      <c r="C23">
        <f t="shared" si="1"/>
        <v>1.3095317102648487E-3</v>
      </c>
      <c r="D23" t="s">
        <v>24</v>
      </c>
      <c r="E23" t="s">
        <v>21</v>
      </c>
      <c r="F23">
        <v>1</v>
      </c>
      <c r="G23">
        <f t="shared" si="6"/>
        <v>115</v>
      </c>
      <c r="I23">
        <v>2030</v>
      </c>
      <c r="J23">
        <f t="shared" si="7"/>
        <v>117.5</v>
      </c>
      <c r="K23" cm="1">
        <f t="array" ref="K23">STOWA2019_JAARROND_T(A23*60,J23,I23,"","center")</f>
        <v>208.62524866973993</v>
      </c>
      <c r="L23">
        <f t="shared" si="8"/>
        <v>4.7932836815117721E-3</v>
      </c>
    </row>
    <row r="24" spans="1:12" x14ac:dyDescent="0.3">
      <c r="A24">
        <v>24</v>
      </c>
      <c r="B24">
        <f t="shared" si="5"/>
        <v>9.9916482222058662E-4</v>
      </c>
      <c r="C24">
        <f t="shared" si="1"/>
        <v>9.9916482222058662E-4</v>
      </c>
      <c r="D24" t="s">
        <v>24</v>
      </c>
      <c r="E24" t="s">
        <v>21</v>
      </c>
      <c r="F24">
        <v>1</v>
      </c>
      <c r="G24">
        <f t="shared" si="6"/>
        <v>120</v>
      </c>
      <c r="I24">
        <v>2030</v>
      </c>
      <c r="J24">
        <f t="shared" si="7"/>
        <v>122.5</v>
      </c>
      <c r="K24" cm="1">
        <f t="array" ref="K24">STOWA2019_JAARROND_T(A24*60,J24,I24,"","center")</f>
        <v>263.56580726277491</v>
      </c>
      <c r="L24">
        <f t="shared" si="8"/>
        <v>3.7941188592911855E-3</v>
      </c>
    </row>
    <row r="25" spans="1:12" x14ac:dyDescent="0.3">
      <c r="A25">
        <v>24</v>
      </c>
      <c r="B25">
        <f t="shared" si="5"/>
        <v>7.6892454837848177E-4</v>
      </c>
      <c r="C25">
        <f t="shared" si="1"/>
        <v>7.6892454837848177E-4</v>
      </c>
      <c r="D25" t="s">
        <v>24</v>
      </c>
      <c r="E25" t="s">
        <v>21</v>
      </c>
      <c r="F25">
        <v>1</v>
      </c>
      <c r="G25">
        <f t="shared" si="6"/>
        <v>125</v>
      </c>
      <c r="I25">
        <v>2030</v>
      </c>
      <c r="J25">
        <f t="shared" si="7"/>
        <v>127.5</v>
      </c>
      <c r="K25" cm="1">
        <f t="array" ref="K25">STOWA2019_JAARROND_T(A25*60,J25,I25,"","center")</f>
        <v>330.55727904575463</v>
      </c>
      <c r="L25">
        <f t="shared" si="8"/>
        <v>3.0251943109127037E-3</v>
      </c>
    </row>
    <row r="26" spans="1:12" x14ac:dyDescent="0.3">
      <c r="A26">
        <v>24</v>
      </c>
      <c r="B26">
        <f t="shared" si="5"/>
        <v>5.9650736538616406E-4</v>
      </c>
      <c r="C26">
        <f t="shared" si="1"/>
        <v>5.9650736538616406E-4</v>
      </c>
      <c r="D26" t="s">
        <v>24</v>
      </c>
      <c r="E26" t="s">
        <v>21</v>
      </c>
      <c r="F26">
        <v>1</v>
      </c>
      <c r="G26">
        <f t="shared" si="6"/>
        <v>130</v>
      </c>
      <c r="I26">
        <v>2030</v>
      </c>
      <c r="J26">
        <f t="shared" si="7"/>
        <v>132.5</v>
      </c>
      <c r="K26" cm="1">
        <f t="array" ref="K26">STOWA2019_JAARROND_T(A26*60,J26,I26,"","center")</f>
        <v>411.74512089420392</v>
      </c>
      <c r="L26">
        <f t="shared" si="8"/>
        <v>2.4286869455265397E-3</v>
      </c>
    </row>
    <row r="27" spans="1:12" x14ac:dyDescent="0.3">
      <c r="A27">
        <v>24</v>
      </c>
      <c r="B27">
        <f t="shared" si="5"/>
        <v>4.6629490240618484E-4</v>
      </c>
      <c r="C27">
        <f t="shared" si="1"/>
        <v>4.6629490240618484E-4</v>
      </c>
      <c r="D27" t="s">
        <v>24</v>
      </c>
      <c r="E27" t="s">
        <v>21</v>
      </c>
      <c r="F27">
        <v>1</v>
      </c>
      <c r="G27">
        <f t="shared" si="6"/>
        <v>135</v>
      </c>
      <c r="I27">
        <v>2030</v>
      </c>
      <c r="J27">
        <f t="shared" si="7"/>
        <v>137.5</v>
      </c>
      <c r="K27" cm="1">
        <f t="array" ref="K27">STOWA2019_JAARROND_T(A27*60,J27,I27,"","center")</f>
        <v>509.58217217897129</v>
      </c>
      <c r="L27">
        <f t="shared" si="8"/>
        <v>1.9623920431203548E-3</v>
      </c>
    </row>
    <row r="28" spans="1:12" x14ac:dyDescent="0.3">
      <c r="A28">
        <v>24</v>
      </c>
      <c r="B28">
        <f t="shared" si="5"/>
        <v>3.6710343484427119E-4</v>
      </c>
      <c r="C28">
        <f t="shared" si="1"/>
        <v>3.6710343484427119E-4</v>
      </c>
      <c r="D28" t="s">
        <v>24</v>
      </c>
      <c r="E28" t="s">
        <v>21</v>
      </c>
      <c r="F28">
        <v>1</v>
      </c>
      <c r="G28">
        <f t="shared" si="6"/>
        <v>140</v>
      </c>
      <c r="I28">
        <v>2030</v>
      </c>
      <c r="J28">
        <f t="shared" si="7"/>
        <v>142.5</v>
      </c>
      <c r="K28" cm="1">
        <f t="array" ref="K28">STOWA2019_JAARROND_T(A28*60,J28,I28,"","center")</f>
        <v>626.84582263809295</v>
      </c>
      <c r="L28">
        <f t="shared" si="8"/>
        <v>1.5952886082760836E-3</v>
      </c>
    </row>
    <row r="29" spans="1:12" x14ac:dyDescent="0.3">
      <c r="A29">
        <v>24</v>
      </c>
      <c r="B29">
        <f t="shared" si="5"/>
        <v>2.9096387655458671E-4</v>
      </c>
      <c r="C29">
        <f t="shared" si="1"/>
        <v>2.9096387655458671E-4</v>
      </c>
      <c r="D29" t="s">
        <v>24</v>
      </c>
      <c r="E29" t="s">
        <v>21</v>
      </c>
      <c r="F29">
        <v>1</v>
      </c>
      <c r="G29">
        <f t="shared" si="6"/>
        <v>145</v>
      </c>
      <c r="I29">
        <v>2030</v>
      </c>
      <c r="J29">
        <f t="shared" si="7"/>
        <v>147.5</v>
      </c>
      <c r="K29" cm="1">
        <f t="array" ref="K29">STOWA2019_JAARROND_T(A29*60,J29,I29,"","center")</f>
        <v>766.6802412618232</v>
      </c>
      <c r="L29">
        <f t="shared" si="8"/>
        <v>1.3043247317214969E-3</v>
      </c>
    </row>
    <row r="30" spans="1:12" x14ac:dyDescent="0.3">
      <c r="A30">
        <v>24</v>
      </c>
      <c r="B30">
        <f t="shared" si="5"/>
        <v>2.3208789864929665E-4</v>
      </c>
      <c r="C30">
        <f t="shared" si="1"/>
        <v>2.3208789864929665E-4</v>
      </c>
      <c r="D30" t="s">
        <v>24</v>
      </c>
      <c r="E30" t="s">
        <v>21</v>
      </c>
      <c r="F30">
        <v>1</v>
      </c>
      <c r="G30">
        <f t="shared" si="6"/>
        <v>150</v>
      </c>
      <c r="I30">
        <v>2030</v>
      </c>
      <c r="J30">
        <f t="shared" si="7"/>
        <v>152.5</v>
      </c>
      <c r="K30" cm="1">
        <f t="array" ref="K30">STOWA2019_JAARROND_T(A30*60,J30,I30,"","center")</f>
        <v>932.62977838093343</v>
      </c>
      <c r="L30">
        <f t="shared" si="8"/>
        <v>1.0722368330722003E-3</v>
      </c>
    </row>
    <row r="31" spans="1:12" x14ac:dyDescent="0.3">
      <c r="A31">
        <v>24</v>
      </c>
      <c r="B31">
        <f t="shared" si="5"/>
        <v>1.8623911431459462E-4</v>
      </c>
      <c r="C31">
        <f t="shared" si="1"/>
        <v>1.8623911431459462E-4</v>
      </c>
      <c r="D31" t="s">
        <v>24</v>
      </c>
      <c r="E31" t="s">
        <v>21</v>
      </c>
      <c r="F31">
        <v>1</v>
      </c>
      <c r="G31">
        <f t="shared" si="6"/>
        <v>155</v>
      </c>
      <c r="I31">
        <v>2030</v>
      </c>
      <c r="J31">
        <f t="shared" si="7"/>
        <v>157.5</v>
      </c>
      <c r="K31" cm="1">
        <f t="array" ref="K31">STOWA2019_JAARROND_T(A31*60,J31,I31,"","center")</f>
        <v>1128.6710776211191</v>
      </c>
      <c r="L31">
        <f t="shared" si="8"/>
        <v>8.8599771875760565E-4</v>
      </c>
    </row>
    <row r="32" spans="1:12" x14ac:dyDescent="0.3">
      <c r="A32">
        <v>24</v>
      </c>
      <c r="B32" s="1">
        <f>L31</f>
        <v>8.8599771875760565E-4</v>
      </c>
      <c r="C32">
        <f t="shared" si="1"/>
        <v>8.8599771875760565E-4</v>
      </c>
      <c r="D32" t="s">
        <v>24</v>
      </c>
      <c r="E32" t="s">
        <v>21</v>
      </c>
      <c r="F32">
        <v>1</v>
      </c>
      <c r="G32">
        <f t="shared" si="6"/>
        <v>160</v>
      </c>
      <c r="I32">
        <v>2030</v>
      </c>
      <c r="J32">
        <f>AVERAGE(G32:G33)</f>
        <v>85</v>
      </c>
      <c r="K32" cm="1">
        <f t="array" ref="K32">STOWA2019_JAARROND_T(A32*60,J32,I32,"","center")</f>
        <v>36.766327112656533</v>
      </c>
      <c r="L32">
        <f>1/K32</f>
        <v>2.7198800601862607E-2</v>
      </c>
    </row>
    <row r="33" spans="1:12" x14ac:dyDescent="0.3">
      <c r="A33">
        <v>48</v>
      </c>
      <c r="B33" s="1">
        <f>365.25*24/A33 - L33</f>
        <v>156.09118482384309</v>
      </c>
      <c r="C33">
        <f>B33</f>
        <v>156.09118482384309</v>
      </c>
      <c r="D33" t="s">
        <v>24</v>
      </c>
      <c r="E33" t="s">
        <v>21</v>
      </c>
      <c r="F33">
        <v>1</v>
      </c>
      <c r="G33">
        <v>10</v>
      </c>
      <c r="I33">
        <v>2030</v>
      </c>
      <c r="J33">
        <f>AVERAGE(G33:G35)</f>
        <v>15</v>
      </c>
      <c r="K33" cm="1">
        <f t="array" ref="K33">STOWA2019_JAARROND_T(A33*60,J33,I33,"","center")</f>
        <v>3.7687757804938389E-2</v>
      </c>
      <c r="L33">
        <f>1/K33</f>
        <v>26.533815176156903</v>
      </c>
    </row>
    <row r="34" spans="1:12" x14ac:dyDescent="0.3">
      <c r="A34">
        <v>48</v>
      </c>
      <c r="B34">
        <f t="shared" ref="B34:B38" si="9">L33-L34</f>
        <v>6.7437945884453399</v>
      </c>
      <c r="C34">
        <f t="shared" ref="C34:C63" si="10">B34</f>
        <v>6.7437945884453399</v>
      </c>
      <c r="D34" t="s">
        <v>24</v>
      </c>
      <c r="E34" t="s">
        <v>21</v>
      </c>
      <c r="F34">
        <v>1</v>
      </c>
      <c r="G34">
        <f t="shared" ref="G34:G38" si="11">G33+5</f>
        <v>15</v>
      </c>
      <c r="I34">
        <v>2030</v>
      </c>
      <c r="J34">
        <f t="shared" ref="J34:J38" si="12">AVERAGE(G34:G35)</f>
        <v>17.5</v>
      </c>
      <c r="K34" cm="1">
        <f t="array" ref="K34">STOWA2019_JAARROND_T(A34*60,J34,I34,"","center")</f>
        <v>5.0530518428108212E-2</v>
      </c>
      <c r="L34">
        <f t="shared" ref="L34:L38" si="13">1/K34</f>
        <v>19.790020587711563</v>
      </c>
    </row>
    <row r="35" spans="1:12" x14ac:dyDescent="0.3">
      <c r="A35">
        <v>48</v>
      </c>
      <c r="B35">
        <f t="shared" si="9"/>
        <v>8.5214649213672367</v>
      </c>
      <c r="C35">
        <f t="shared" si="10"/>
        <v>8.5214649213672367</v>
      </c>
      <c r="D35" t="s">
        <v>24</v>
      </c>
      <c r="E35" t="s">
        <v>21</v>
      </c>
      <c r="F35">
        <v>1</v>
      </c>
      <c r="G35">
        <f t="shared" si="11"/>
        <v>20</v>
      </c>
      <c r="I35">
        <v>2030</v>
      </c>
      <c r="J35">
        <f t="shared" si="12"/>
        <v>22.5</v>
      </c>
      <c r="K35" cm="1">
        <f t="array" ref="K35">STOWA2019_JAARROND_T(A35*60,J35,I35,"","center")</f>
        <v>8.874251764018784E-2</v>
      </c>
      <c r="L35">
        <f t="shared" si="13"/>
        <v>11.268555666344326</v>
      </c>
    </row>
    <row r="36" spans="1:12" x14ac:dyDescent="0.3">
      <c r="A36">
        <v>48</v>
      </c>
      <c r="B36">
        <f t="shared" si="9"/>
        <v>4.660862105324906</v>
      </c>
      <c r="C36">
        <f t="shared" si="10"/>
        <v>4.660862105324906</v>
      </c>
      <c r="D36" t="s">
        <v>24</v>
      </c>
      <c r="E36" t="s">
        <v>21</v>
      </c>
      <c r="F36">
        <v>1</v>
      </c>
      <c r="G36">
        <f t="shared" si="11"/>
        <v>25</v>
      </c>
      <c r="I36">
        <v>2030</v>
      </c>
      <c r="J36">
        <f t="shared" si="12"/>
        <v>27.5</v>
      </c>
      <c r="K36" cm="1">
        <f t="array" ref="K36">STOWA2019_JAARROND_T(A36*60,J36,I36,"","center")</f>
        <v>0.15133873730151043</v>
      </c>
      <c r="L36">
        <f t="shared" si="13"/>
        <v>6.6076935610194205</v>
      </c>
    </row>
    <row r="37" spans="1:12" x14ac:dyDescent="0.3">
      <c r="A37">
        <v>48</v>
      </c>
      <c r="B37">
        <f t="shared" si="9"/>
        <v>2.6274777728861514</v>
      </c>
      <c r="C37">
        <f t="shared" si="10"/>
        <v>2.6274777728861514</v>
      </c>
      <c r="D37" t="s">
        <v>24</v>
      </c>
      <c r="E37" t="s">
        <v>21</v>
      </c>
      <c r="F37">
        <v>1</v>
      </c>
      <c r="G37">
        <f t="shared" si="11"/>
        <v>30</v>
      </c>
      <c r="I37">
        <v>2030</v>
      </c>
      <c r="J37">
        <f t="shared" si="12"/>
        <v>32.5</v>
      </c>
      <c r="K37" cm="1">
        <f t="array" ref="K37">STOWA2019_JAARROND_T(A37*60,J37,I37,"","center")</f>
        <v>0.25124265950138408</v>
      </c>
      <c r="L37">
        <f t="shared" si="13"/>
        <v>3.9802157881332692</v>
      </c>
    </row>
    <row r="38" spans="1:12" x14ac:dyDescent="0.3">
      <c r="A38">
        <v>48</v>
      </c>
      <c r="B38">
        <f t="shared" si="9"/>
        <v>1.52340513486166</v>
      </c>
      <c r="C38">
        <f t="shared" si="10"/>
        <v>1.52340513486166</v>
      </c>
      <c r="D38" t="s">
        <v>24</v>
      </c>
      <c r="E38" t="s">
        <v>21</v>
      </c>
      <c r="F38">
        <v>1</v>
      </c>
      <c r="G38">
        <f t="shared" si="11"/>
        <v>35</v>
      </c>
      <c r="I38">
        <v>2030</v>
      </c>
      <c r="J38">
        <f t="shared" si="12"/>
        <v>37.5</v>
      </c>
      <c r="K38" cm="1">
        <f t="array" ref="K38">STOWA2019_JAARROND_T(A38*60,J38,I38,"","center")</f>
        <v>0.40703177457666551</v>
      </c>
      <c r="L38">
        <f t="shared" si="13"/>
        <v>2.4568106532716092</v>
      </c>
    </row>
    <row r="39" spans="1:12" x14ac:dyDescent="0.3">
      <c r="A39">
        <v>48</v>
      </c>
      <c r="B39">
        <f>L38-L39</f>
        <v>0.90613176357302638</v>
      </c>
      <c r="C39">
        <f t="shared" si="10"/>
        <v>0.90613176357302638</v>
      </c>
      <c r="D39" t="s">
        <v>24</v>
      </c>
      <c r="E39" t="s">
        <v>21</v>
      </c>
      <c r="F39">
        <v>1</v>
      </c>
      <c r="G39">
        <f>G38+5</f>
        <v>40</v>
      </c>
      <c r="I39">
        <v>2030</v>
      </c>
      <c r="J39">
        <f>AVERAGE(G39:G40)</f>
        <v>42.5</v>
      </c>
      <c r="K39" cm="1">
        <f t="array" ref="K39">STOWA2019_JAARROND_T(A39*60,J39,I39,"","center")</f>
        <v>0.64487883767759135</v>
      </c>
      <c r="L39">
        <f>1/K39</f>
        <v>1.5506788896985828</v>
      </c>
    </row>
    <row r="40" spans="1:12" x14ac:dyDescent="0.3">
      <c r="A40">
        <v>48</v>
      </c>
      <c r="B40">
        <f t="shared" ref="B40:B62" si="14">L39-L40</f>
        <v>0.55172328037396767</v>
      </c>
      <c r="C40">
        <f t="shared" si="10"/>
        <v>0.55172328037396767</v>
      </c>
      <c r="D40" t="s">
        <v>24</v>
      </c>
      <c r="E40" t="s">
        <v>21</v>
      </c>
      <c r="F40">
        <v>1</v>
      </c>
      <c r="G40">
        <f t="shared" ref="G40:G63" si="15">G39+5</f>
        <v>45</v>
      </c>
      <c r="I40">
        <v>2030</v>
      </c>
      <c r="J40">
        <f t="shared" ref="J40:J62" si="16">AVERAGE(G40:G41)</f>
        <v>47.5</v>
      </c>
      <c r="K40" cm="1">
        <f t="array" ref="K40">STOWA2019_JAARROND_T(A40*60,J40,I40,"","center")</f>
        <v>1.0010454825676298</v>
      </c>
      <c r="L40">
        <f t="shared" ref="L40:L62" si="17">1/K40</f>
        <v>0.99895560932461513</v>
      </c>
    </row>
    <row r="41" spans="1:12" x14ac:dyDescent="0.3">
      <c r="A41">
        <v>48</v>
      </c>
      <c r="B41">
        <f t="shared" si="14"/>
        <v>0.34337642241393806</v>
      </c>
      <c r="C41">
        <f t="shared" si="10"/>
        <v>0.34337642241393806</v>
      </c>
      <c r="D41" t="s">
        <v>24</v>
      </c>
      <c r="E41" t="s">
        <v>21</v>
      </c>
      <c r="F41">
        <v>1</v>
      </c>
      <c r="G41">
        <f t="shared" si="15"/>
        <v>50</v>
      </c>
      <c r="I41">
        <v>2030</v>
      </c>
      <c r="J41">
        <f t="shared" si="16"/>
        <v>52.5</v>
      </c>
      <c r="K41" cm="1">
        <f t="array" ref="K41">STOWA2019_JAARROND_T(A41*60,J41,I41,"","center")</f>
        <v>1.5253687425806739</v>
      </c>
      <c r="L41">
        <f t="shared" si="17"/>
        <v>0.65557918691067707</v>
      </c>
    </row>
    <row r="42" spans="1:12" x14ac:dyDescent="0.3">
      <c r="A42">
        <v>48</v>
      </c>
      <c r="B42">
        <f t="shared" si="14"/>
        <v>0.21791177370000303</v>
      </c>
      <c r="C42">
        <f t="shared" si="10"/>
        <v>0.21791177370000303</v>
      </c>
      <c r="D42" t="s">
        <v>24</v>
      </c>
      <c r="E42" t="s">
        <v>21</v>
      </c>
      <c r="F42">
        <v>1</v>
      </c>
      <c r="G42">
        <f t="shared" si="15"/>
        <v>55</v>
      </c>
      <c r="I42">
        <v>2030</v>
      </c>
      <c r="J42">
        <f t="shared" si="16"/>
        <v>57.5</v>
      </c>
      <c r="K42" cm="1">
        <f t="array" ref="K42">STOWA2019_JAARROND_T(A42*60,J42,I42,"","center")</f>
        <v>2.2848399716673526</v>
      </c>
      <c r="L42">
        <f t="shared" si="17"/>
        <v>0.43766741321067404</v>
      </c>
    </row>
    <row r="43" spans="1:12" x14ac:dyDescent="0.3">
      <c r="A43">
        <v>48</v>
      </c>
      <c r="B43">
        <f t="shared" si="14"/>
        <v>0.14081964834162336</v>
      </c>
      <c r="C43">
        <f t="shared" si="10"/>
        <v>0.14081964834162336</v>
      </c>
      <c r="D43" t="s">
        <v>24</v>
      </c>
      <c r="E43" t="s">
        <v>21</v>
      </c>
      <c r="F43">
        <v>1</v>
      </c>
      <c r="G43">
        <f t="shared" si="15"/>
        <v>60</v>
      </c>
      <c r="I43">
        <v>2030</v>
      </c>
      <c r="J43">
        <f t="shared" si="16"/>
        <v>62.5</v>
      </c>
      <c r="K43" cm="1">
        <f t="array" ref="K43">STOWA2019_JAARROND_T(A43*60,J43,I43,"","center")</f>
        <v>3.3687300978706474</v>
      </c>
      <c r="L43">
        <f t="shared" si="17"/>
        <v>0.29684776486905068</v>
      </c>
    </row>
    <row r="44" spans="1:12" x14ac:dyDescent="0.3">
      <c r="A44">
        <v>48</v>
      </c>
      <c r="B44">
        <f t="shared" si="14"/>
        <v>9.2546414231653579E-2</v>
      </c>
      <c r="C44">
        <f t="shared" si="10"/>
        <v>9.2546414231653579E-2</v>
      </c>
      <c r="D44" t="s">
        <v>24</v>
      </c>
      <c r="E44" t="s">
        <v>21</v>
      </c>
      <c r="F44">
        <v>1</v>
      </c>
      <c r="G44">
        <f t="shared" si="15"/>
        <v>65</v>
      </c>
      <c r="I44">
        <v>2030</v>
      </c>
      <c r="J44">
        <f t="shared" si="16"/>
        <v>67.5</v>
      </c>
      <c r="K44" cm="1">
        <f t="array" ref="K44">STOWA2019_JAARROND_T(A44*60,J44,I44,"","center")</f>
        <v>4.8947302447101455</v>
      </c>
      <c r="L44">
        <f t="shared" si="17"/>
        <v>0.2043013506373971</v>
      </c>
    </row>
    <row r="45" spans="1:12" x14ac:dyDescent="0.3">
      <c r="A45">
        <v>48</v>
      </c>
      <c r="B45">
        <f t="shared" si="14"/>
        <v>6.1773973329772525E-2</v>
      </c>
      <c r="C45">
        <f t="shared" si="10"/>
        <v>6.1773973329772525E-2</v>
      </c>
      <c r="D45" t="s">
        <v>24</v>
      </c>
      <c r="E45" t="s">
        <v>21</v>
      </c>
      <c r="F45">
        <v>1</v>
      </c>
      <c r="G45">
        <f t="shared" si="15"/>
        <v>70</v>
      </c>
      <c r="I45">
        <v>2030</v>
      </c>
      <c r="J45">
        <f t="shared" si="16"/>
        <v>72.5</v>
      </c>
      <c r="K45" cm="1">
        <f t="array" ref="K45">STOWA2019_JAARROND_T(A45*60,J45,I45,"","center")</f>
        <v>7.0161958978705243</v>
      </c>
      <c r="L45">
        <f t="shared" si="17"/>
        <v>0.14252737730762458</v>
      </c>
    </row>
    <row r="46" spans="1:12" x14ac:dyDescent="0.3">
      <c r="A46">
        <v>48</v>
      </c>
      <c r="B46">
        <f t="shared" si="14"/>
        <v>4.1833271679139958E-2</v>
      </c>
      <c r="C46">
        <f t="shared" si="10"/>
        <v>4.1833271679139958E-2</v>
      </c>
      <c r="D46" t="s">
        <v>24</v>
      </c>
      <c r="E46" t="s">
        <v>21</v>
      </c>
      <c r="F46">
        <v>1</v>
      </c>
      <c r="G46">
        <f t="shared" si="15"/>
        <v>75</v>
      </c>
      <c r="I46">
        <v>2030</v>
      </c>
      <c r="J46">
        <f t="shared" si="16"/>
        <v>77.5</v>
      </c>
      <c r="K46" cm="1">
        <f t="array" ref="K46">STOWA2019_JAARROND_T(A46*60,J46,I46,"","center")</f>
        <v>9.9310678987461731</v>
      </c>
      <c r="L46">
        <f t="shared" si="17"/>
        <v>0.10069410562848462</v>
      </c>
    </row>
    <row r="47" spans="1:12" x14ac:dyDescent="0.3">
      <c r="A47">
        <v>48</v>
      </c>
      <c r="B47">
        <f t="shared" si="14"/>
        <v>2.8712313372755774E-2</v>
      </c>
      <c r="C47">
        <f t="shared" si="10"/>
        <v>2.8712313372755774E-2</v>
      </c>
      <c r="D47" t="s">
        <v>24</v>
      </c>
      <c r="E47" t="s">
        <v>21</v>
      </c>
      <c r="F47">
        <v>1</v>
      </c>
      <c r="G47">
        <f t="shared" si="15"/>
        <v>80</v>
      </c>
      <c r="I47">
        <v>2030</v>
      </c>
      <c r="J47">
        <f t="shared" si="16"/>
        <v>82.5</v>
      </c>
      <c r="K47" cm="1">
        <f t="array" ref="K47">STOWA2019_JAARROND_T(A47*60,J47,I47,"","center")</f>
        <v>13.892402073670409</v>
      </c>
      <c r="L47">
        <f t="shared" si="17"/>
        <v>7.1981792255728844E-2</v>
      </c>
    </row>
    <row r="48" spans="1:12" x14ac:dyDescent="0.3">
      <c r="A48">
        <v>48</v>
      </c>
      <c r="B48">
        <f t="shared" si="14"/>
        <v>1.9956360861313104E-2</v>
      </c>
      <c r="C48">
        <f t="shared" si="10"/>
        <v>1.9956360861313104E-2</v>
      </c>
      <c r="D48" t="s">
        <v>24</v>
      </c>
      <c r="E48" t="s">
        <v>21</v>
      </c>
      <c r="F48">
        <v>1</v>
      </c>
      <c r="G48">
        <f t="shared" si="15"/>
        <v>85</v>
      </c>
      <c r="I48">
        <v>2030</v>
      </c>
      <c r="J48">
        <f t="shared" si="16"/>
        <v>87.5</v>
      </c>
      <c r="K48" cm="1">
        <f t="array" ref="K48">STOWA2019_JAARROND_T(A48*60,J48,I48,"","center")</f>
        <v>19.221368726744227</v>
      </c>
      <c r="L48">
        <f t="shared" si="17"/>
        <v>5.202543139441574E-2</v>
      </c>
    </row>
    <row r="49" spans="1:12" x14ac:dyDescent="0.3">
      <c r="A49">
        <v>48</v>
      </c>
      <c r="B49">
        <f t="shared" si="14"/>
        <v>1.4034427537233843E-2</v>
      </c>
      <c r="C49">
        <f t="shared" si="10"/>
        <v>1.4034427537233843E-2</v>
      </c>
      <c r="D49" t="s">
        <v>24</v>
      </c>
      <c r="E49" t="s">
        <v>21</v>
      </c>
      <c r="F49">
        <v>1</v>
      </c>
      <c r="G49">
        <f t="shared" si="15"/>
        <v>90</v>
      </c>
      <c r="I49">
        <v>2030</v>
      </c>
      <c r="J49">
        <f t="shared" si="16"/>
        <v>92.5</v>
      </c>
      <c r="K49" cm="1">
        <f t="array" ref="K49">STOWA2019_JAARROND_T(A49*60,J49,I49,"","center")</f>
        <v>26.322020964733152</v>
      </c>
      <c r="L49">
        <f t="shared" si="17"/>
        <v>3.7991003857181897E-2</v>
      </c>
    </row>
    <row r="50" spans="1:12" x14ac:dyDescent="0.3">
      <c r="A50">
        <v>48</v>
      </c>
      <c r="B50">
        <f t="shared" si="14"/>
        <v>9.9790562771418304E-3</v>
      </c>
      <c r="C50">
        <f t="shared" si="10"/>
        <v>9.9790562771418304E-3</v>
      </c>
      <c r="D50" t="s">
        <v>24</v>
      </c>
      <c r="E50" t="s">
        <v>21</v>
      </c>
      <c r="F50">
        <v>1</v>
      </c>
      <c r="G50">
        <f t="shared" si="15"/>
        <v>95</v>
      </c>
      <c r="I50">
        <v>2030</v>
      </c>
      <c r="J50">
        <f t="shared" si="16"/>
        <v>97.5</v>
      </c>
      <c r="K50" cm="1">
        <f t="array" ref="K50">STOWA2019_JAARROND_T(A50*60,J50,I50,"","center")</f>
        <v>35.699052953838553</v>
      </c>
      <c r="L50">
        <f t="shared" si="17"/>
        <v>2.8011947580040067E-2</v>
      </c>
    </row>
    <row r="51" spans="1:12" x14ac:dyDescent="0.3">
      <c r="A51">
        <v>48</v>
      </c>
      <c r="B51">
        <f t="shared" si="14"/>
        <v>7.1692846905515271E-3</v>
      </c>
      <c r="C51">
        <f t="shared" si="10"/>
        <v>7.1692846905515271E-3</v>
      </c>
      <c r="D51" t="s">
        <v>24</v>
      </c>
      <c r="E51" t="s">
        <v>21</v>
      </c>
      <c r="F51">
        <v>1</v>
      </c>
      <c r="G51">
        <f t="shared" si="15"/>
        <v>100</v>
      </c>
      <c r="I51">
        <v>2030</v>
      </c>
      <c r="J51">
        <f t="shared" si="16"/>
        <v>102.5</v>
      </c>
      <c r="K51" cm="1">
        <f t="array" ref="K51">STOWA2019_JAARROND_T(A51*60,J51,I51,"","center")</f>
        <v>47.978514324305664</v>
      </c>
      <c r="L51">
        <f t="shared" si="17"/>
        <v>2.084266288948854E-2</v>
      </c>
    </row>
    <row r="52" spans="1:12" x14ac:dyDescent="0.3">
      <c r="A52">
        <v>48</v>
      </c>
      <c r="B52">
        <f t="shared" si="14"/>
        <v>5.2010315740296381E-3</v>
      </c>
      <c r="C52">
        <f t="shared" si="10"/>
        <v>5.2010315740296381E-3</v>
      </c>
      <c r="D52" t="s">
        <v>24</v>
      </c>
      <c r="E52" t="s">
        <v>21</v>
      </c>
      <c r="F52">
        <v>1</v>
      </c>
      <c r="G52">
        <f t="shared" si="15"/>
        <v>105</v>
      </c>
      <c r="I52">
        <v>2030</v>
      </c>
      <c r="J52">
        <f t="shared" si="16"/>
        <v>107.5</v>
      </c>
      <c r="K52" cm="1">
        <f t="array" ref="K52">STOWA2019_JAARROND_T(A52*60,J52,I52,"","center")</f>
        <v>63.931950563985112</v>
      </c>
      <c r="L52">
        <f t="shared" si="17"/>
        <v>1.5641631315458902E-2</v>
      </c>
    </row>
    <row r="53" spans="1:12" x14ac:dyDescent="0.3">
      <c r="A53">
        <v>48</v>
      </c>
      <c r="B53">
        <f t="shared" si="14"/>
        <v>3.8079288654018235E-3</v>
      </c>
      <c r="C53">
        <f t="shared" si="10"/>
        <v>3.8079288654018235E-3</v>
      </c>
      <c r="D53" t="s">
        <v>24</v>
      </c>
      <c r="E53" t="s">
        <v>21</v>
      </c>
      <c r="F53">
        <v>1</v>
      </c>
      <c r="G53">
        <f t="shared" si="15"/>
        <v>110</v>
      </c>
      <c r="I53">
        <v>2030</v>
      </c>
      <c r="J53">
        <f t="shared" si="16"/>
        <v>112.5</v>
      </c>
      <c r="K53" cm="1">
        <f t="array" ref="K53">STOWA2019_JAARROND_T(A53*60,J53,I53,"","center")</f>
        <v>84.504406310738077</v>
      </c>
      <c r="L53">
        <f t="shared" si="17"/>
        <v>1.1833702450057078E-2</v>
      </c>
    </row>
    <row r="54" spans="1:12" x14ac:dyDescent="0.3">
      <c r="A54">
        <v>48</v>
      </c>
      <c r="B54">
        <f t="shared" si="14"/>
        <v>2.8121786249603181E-3</v>
      </c>
      <c r="C54">
        <f t="shared" si="10"/>
        <v>2.8121786249603181E-3</v>
      </c>
      <c r="D54" t="s">
        <v>24</v>
      </c>
      <c r="E54" t="s">
        <v>21</v>
      </c>
      <c r="F54">
        <v>1</v>
      </c>
      <c r="G54">
        <f t="shared" si="15"/>
        <v>115</v>
      </c>
      <c r="I54">
        <v>2030</v>
      </c>
      <c r="J54">
        <f t="shared" si="16"/>
        <v>117.5</v>
      </c>
      <c r="K54" cm="1">
        <f t="array" ref="K54">STOWA2019_JAARROND_T(A54*60,J54,I54,"","center")</f>
        <v>110.84601885305941</v>
      </c>
      <c r="L54">
        <f t="shared" si="17"/>
        <v>9.0215238250967601E-3</v>
      </c>
    </row>
    <row r="55" spans="1:12" x14ac:dyDescent="0.3">
      <c r="A55">
        <v>48</v>
      </c>
      <c r="B55">
        <f t="shared" si="14"/>
        <v>2.0940182228398937E-3</v>
      </c>
      <c r="C55">
        <f t="shared" si="10"/>
        <v>2.0940182228398937E-3</v>
      </c>
      <c r="D55" t="s">
        <v>24</v>
      </c>
      <c r="E55" t="s">
        <v>21</v>
      </c>
      <c r="F55">
        <v>1</v>
      </c>
      <c r="G55">
        <f t="shared" si="15"/>
        <v>120</v>
      </c>
      <c r="I55">
        <v>2030</v>
      </c>
      <c r="J55">
        <f t="shared" si="16"/>
        <v>122.5</v>
      </c>
      <c r="K55" cm="1">
        <f t="array" ref="K55">STOWA2019_JAARROND_T(A55*60,J55,I55,"","center")</f>
        <v>144.35210267808611</v>
      </c>
      <c r="L55">
        <f t="shared" si="17"/>
        <v>6.9275056022568664E-3</v>
      </c>
    </row>
    <row r="56" spans="1:12" x14ac:dyDescent="0.3">
      <c r="A56">
        <v>48</v>
      </c>
      <c r="B56">
        <f t="shared" si="14"/>
        <v>1.5713323069078211E-3</v>
      </c>
      <c r="C56">
        <f t="shared" si="10"/>
        <v>1.5713323069078211E-3</v>
      </c>
      <c r="D56" t="s">
        <v>24</v>
      </c>
      <c r="E56" t="s">
        <v>21</v>
      </c>
      <c r="F56">
        <v>1</v>
      </c>
      <c r="G56">
        <f t="shared" si="15"/>
        <v>125</v>
      </c>
      <c r="I56">
        <v>2030</v>
      </c>
      <c r="J56">
        <f t="shared" si="16"/>
        <v>127.5</v>
      </c>
      <c r="K56" cm="1">
        <f t="array" ref="K56">STOWA2019_JAARROND_T(A56*60,J56,I56,"","center")</f>
        <v>186.70045662419761</v>
      </c>
      <c r="L56">
        <f t="shared" si="17"/>
        <v>5.3561732953490452E-3</v>
      </c>
    </row>
    <row r="57" spans="1:12" x14ac:dyDescent="0.3">
      <c r="A57">
        <v>48</v>
      </c>
      <c r="B57">
        <f t="shared" si="14"/>
        <v>1.1878952215353105E-3</v>
      </c>
      <c r="C57">
        <f t="shared" si="10"/>
        <v>1.1878952215353105E-3</v>
      </c>
      <c r="D57" t="s">
        <v>24</v>
      </c>
      <c r="E57" t="s">
        <v>21</v>
      </c>
      <c r="F57">
        <v>1</v>
      </c>
      <c r="G57">
        <f t="shared" si="15"/>
        <v>130</v>
      </c>
      <c r="I57">
        <v>2030</v>
      </c>
      <c r="J57">
        <f t="shared" si="16"/>
        <v>132.5</v>
      </c>
      <c r="K57" cm="1">
        <f t="array" ref="K57">STOWA2019_JAARROND_T(A57*60,J57,I57,"","center")</f>
        <v>239.90721883030645</v>
      </c>
      <c r="L57">
        <f t="shared" si="17"/>
        <v>4.1682780738137347E-3</v>
      </c>
    </row>
    <row r="58" spans="1:12" x14ac:dyDescent="0.3">
      <c r="A58">
        <v>48</v>
      </c>
      <c r="B58">
        <f t="shared" si="14"/>
        <v>9.0428593783947742E-4</v>
      </c>
      <c r="C58">
        <f t="shared" si="10"/>
        <v>9.0428593783947742E-4</v>
      </c>
      <c r="D58" t="s">
        <v>24</v>
      </c>
      <c r="E58" t="s">
        <v>21</v>
      </c>
      <c r="F58">
        <v>1</v>
      </c>
      <c r="G58">
        <f t="shared" si="15"/>
        <v>135</v>
      </c>
      <c r="I58">
        <v>2030</v>
      </c>
      <c r="J58">
        <f t="shared" si="16"/>
        <v>137.5</v>
      </c>
      <c r="K58" cm="1">
        <f t="array" ref="K58">STOWA2019_JAARROND_T(A58*60,J58,I58,"","center")</f>
        <v>306.37328717139007</v>
      </c>
      <c r="L58">
        <f t="shared" si="17"/>
        <v>3.2639921359742573E-3</v>
      </c>
    </row>
    <row r="59" spans="1:12" x14ac:dyDescent="0.3">
      <c r="A59">
        <v>48</v>
      </c>
      <c r="B59">
        <f t="shared" si="14"/>
        <v>6.93006153227314E-4</v>
      </c>
      <c r="C59">
        <f t="shared" si="10"/>
        <v>6.93006153227314E-4</v>
      </c>
      <c r="D59" t="s">
        <v>24</v>
      </c>
      <c r="E59" t="s">
        <v>21</v>
      </c>
      <c r="F59">
        <v>1</v>
      </c>
      <c r="G59">
        <f t="shared" si="15"/>
        <v>140</v>
      </c>
      <c r="I59">
        <v>2030</v>
      </c>
      <c r="J59">
        <f t="shared" si="16"/>
        <v>142.5</v>
      </c>
      <c r="K59" cm="1">
        <f t="array" ref="K59">STOWA2019_JAARROND_T(A59*60,J59,I59,"","center")</f>
        <v>388.95583511955221</v>
      </c>
      <c r="L59">
        <f t="shared" si="17"/>
        <v>2.5709859827469433E-3</v>
      </c>
    </row>
    <row r="60" spans="1:12" x14ac:dyDescent="0.3">
      <c r="A60">
        <v>48</v>
      </c>
      <c r="B60">
        <f t="shared" si="14"/>
        <v>5.3446832498218544E-4</v>
      </c>
      <c r="C60">
        <f t="shared" si="10"/>
        <v>5.3446832498218544E-4</v>
      </c>
      <c r="D60" t="s">
        <v>24</v>
      </c>
      <c r="E60" t="s">
        <v>21</v>
      </c>
      <c r="F60">
        <v>1</v>
      </c>
      <c r="G60">
        <f t="shared" si="15"/>
        <v>145</v>
      </c>
      <c r="I60">
        <v>2030</v>
      </c>
      <c r="J60">
        <f t="shared" si="16"/>
        <v>147.5</v>
      </c>
      <c r="K60" cm="1">
        <f t="array" ref="K60">STOWA2019_JAARROND_T(A60*60,J60,I60,"","center")</f>
        <v>491.03428894281262</v>
      </c>
      <c r="L60">
        <f t="shared" si="17"/>
        <v>2.0365176577647579E-3</v>
      </c>
    </row>
    <row r="61" spans="1:12" x14ac:dyDescent="0.3">
      <c r="A61">
        <v>48</v>
      </c>
      <c r="B61">
        <f t="shared" si="14"/>
        <v>4.1470750880523107E-4</v>
      </c>
      <c r="C61">
        <f t="shared" si="10"/>
        <v>4.1470750880523107E-4</v>
      </c>
      <c r="D61" t="s">
        <v>24</v>
      </c>
      <c r="E61" t="s">
        <v>21</v>
      </c>
      <c r="F61">
        <v>1</v>
      </c>
      <c r="G61">
        <f t="shared" si="15"/>
        <v>150</v>
      </c>
      <c r="I61">
        <v>2030</v>
      </c>
      <c r="J61">
        <f t="shared" si="16"/>
        <v>152.5</v>
      </c>
      <c r="K61" cm="1">
        <f t="array" ref="K61">STOWA2019_JAARROND_T(A61*60,J61,I61,"","center")</f>
        <v>616.59498224348306</v>
      </c>
      <c r="L61">
        <f t="shared" si="17"/>
        <v>1.6218101489595268E-3</v>
      </c>
    </row>
    <row r="62" spans="1:12" x14ac:dyDescent="0.3">
      <c r="A62">
        <v>48</v>
      </c>
      <c r="B62">
        <f t="shared" si="14"/>
        <v>3.2362778824672825E-4</v>
      </c>
      <c r="C62">
        <f t="shared" si="10"/>
        <v>3.2362778824672825E-4</v>
      </c>
      <c r="D62" t="s">
        <v>24</v>
      </c>
      <c r="E62" t="s">
        <v>21</v>
      </c>
      <c r="F62">
        <v>1</v>
      </c>
      <c r="G62">
        <f t="shared" si="15"/>
        <v>155</v>
      </c>
      <c r="I62">
        <v>2030</v>
      </c>
      <c r="J62">
        <f t="shared" si="16"/>
        <v>157.5</v>
      </c>
      <c r="K62" cm="1">
        <f t="array" ref="K62">STOWA2019_JAARROND_T(A62*60,J62,I62,"","center")</f>
        <v>770.30780132532823</v>
      </c>
      <c r="L62">
        <f t="shared" si="17"/>
        <v>1.2981823607127985E-3</v>
      </c>
    </row>
    <row r="63" spans="1:12" x14ac:dyDescent="0.3">
      <c r="A63">
        <v>48</v>
      </c>
      <c r="B63" s="1">
        <f>L62</f>
        <v>1.2981823607127985E-3</v>
      </c>
      <c r="C63">
        <f t="shared" si="10"/>
        <v>1.2981823607127985E-3</v>
      </c>
      <c r="D63" t="s">
        <v>24</v>
      </c>
      <c r="E63" t="s">
        <v>21</v>
      </c>
      <c r="F63">
        <v>1</v>
      </c>
      <c r="G63">
        <f t="shared" si="15"/>
        <v>160</v>
      </c>
      <c r="I63">
        <v>2030</v>
      </c>
      <c r="J63">
        <f>AVERAGE(G63:G64)</f>
        <v>85</v>
      </c>
      <c r="K63" cm="1">
        <f t="array" ref="K63">STOWA2019_JAARROND_T(A63*60,J63,I63,"","center")</f>
        <v>16.362815665392297</v>
      </c>
      <c r="L63">
        <f>1/K63</f>
        <v>6.1114176218156714E-2</v>
      </c>
    </row>
    <row r="64" spans="1:12" x14ac:dyDescent="0.3">
      <c r="A64">
        <v>96</v>
      </c>
      <c r="B64" s="1">
        <f>365.25*24/A64 - L64</f>
        <v>49.218186435285268</v>
      </c>
      <c r="C64">
        <f>B64</f>
        <v>49.218186435285268</v>
      </c>
      <c r="D64" t="s">
        <v>24</v>
      </c>
      <c r="E64" t="s">
        <v>21</v>
      </c>
      <c r="F64">
        <v>1</v>
      </c>
      <c r="G64">
        <v>10</v>
      </c>
      <c r="I64">
        <v>2030</v>
      </c>
      <c r="J64">
        <f>AVERAGE(G64:G66)</f>
        <v>15</v>
      </c>
      <c r="K64" cm="1">
        <f t="array" ref="K64">STOWA2019_JAARROND_T(A64*60,J64,I64,"","center")</f>
        <v>2.3756177861473507E-2</v>
      </c>
      <c r="L64">
        <f>1/K64</f>
        <v>42.094313564714732</v>
      </c>
    </row>
    <row r="65" spans="1:12" x14ac:dyDescent="0.3">
      <c r="A65">
        <v>96</v>
      </c>
      <c r="B65">
        <f t="shared" ref="B65:B69" si="18">L64-L65</f>
        <v>8.3547804861531318</v>
      </c>
      <c r="C65">
        <f t="shared" ref="C65:C94" si="19">B65</f>
        <v>8.3547804861531318</v>
      </c>
      <c r="D65" t="s">
        <v>24</v>
      </c>
      <c r="E65" t="s">
        <v>21</v>
      </c>
      <c r="F65">
        <v>1</v>
      </c>
      <c r="G65">
        <f t="shared" ref="G65:G69" si="20">G64+5</f>
        <v>15</v>
      </c>
      <c r="I65">
        <v>2030</v>
      </c>
      <c r="J65">
        <f t="shared" ref="J65:J69" si="21">AVERAGE(G65:G66)</f>
        <v>17.5</v>
      </c>
      <c r="K65" cm="1">
        <f t="array" ref="K65">STOWA2019_JAARROND_T(A65*60,J65,I65,"","center")</f>
        <v>2.963882154716032E-2</v>
      </c>
      <c r="L65">
        <f t="shared" ref="L65:L69" si="22">1/K65</f>
        <v>33.7395330785616</v>
      </c>
    </row>
    <row r="66" spans="1:12" x14ac:dyDescent="0.3">
      <c r="A66">
        <v>96</v>
      </c>
      <c r="B66">
        <f t="shared" si="18"/>
        <v>11.923947691013058</v>
      </c>
      <c r="C66">
        <f t="shared" si="19"/>
        <v>11.923947691013058</v>
      </c>
      <c r="D66" t="s">
        <v>24</v>
      </c>
      <c r="E66" t="s">
        <v>21</v>
      </c>
      <c r="F66">
        <v>1</v>
      </c>
      <c r="G66">
        <f t="shared" si="20"/>
        <v>20</v>
      </c>
      <c r="I66">
        <v>2030</v>
      </c>
      <c r="J66">
        <f t="shared" si="21"/>
        <v>22.5</v>
      </c>
      <c r="K66" cm="1">
        <f t="array" ref="K66">STOWA2019_JAARROND_T(A66*60,J66,I66,"","center")</f>
        <v>4.5838788289896626E-2</v>
      </c>
      <c r="L66">
        <f t="shared" si="22"/>
        <v>21.815585387548541</v>
      </c>
    </row>
    <row r="67" spans="1:12" x14ac:dyDescent="0.3">
      <c r="A67">
        <v>96</v>
      </c>
      <c r="B67">
        <f t="shared" si="18"/>
        <v>7.5791510890170031</v>
      </c>
      <c r="C67">
        <f t="shared" si="19"/>
        <v>7.5791510890170031</v>
      </c>
      <c r="D67" t="s">
        <v>24</v>
      </c>
      <c r="E67" t="s">
        <v>21</v>
      </c>
      <c r="F67">
        <v>1</v>
      </c>
      <c r="G67">
        <f t="shared" si="20"/>
        <v>25</v>
      </c>
      <c r="I67">
        <v>2030</v>
      </c>
      <c r="J67">
        <f t="shared" si="21"/>
        <v>27.5</v>
      </c>
      <c r="K67" cm="1">
        <f t="array" ref="K67">STOWA2019_JAARROND_T(A67*60,J67,I67,"","center")</f>
        <v>7.0242307801971743E-2</v>
      </c>
      <c r="L67">
        <f t="shared" si="22"/>
        <v>14.236434298531538</v>
      </c>
    </row>
    <row r="68" spans="1:12" x14ac:dyDescent="0.3">
      <c r="A68">
        <v>96</v>
      </c>
      <c r="B68">
        <f t="shared" si="18"/>
        <v>4.8598007783521044</v>
      </c>
      <c r="C68">
        <f t="shared" si="19"/>
        <v>4.8598007783521044</v>
      </c>
      <c r="D68" t="s">
        <v>24</v>
      </c>
      <c r="E68" t="s">
        <v>21</v>
      </c>
      <c r="F68">
        <v>1</v>
      </c>
      <c r="G68">
        <f t="shared" si="20"/>
        <v>30</v>
      </c>
      <c r="I68">
        <v>2030</v>
      </c>
      <c r="J68">
        <f t="shared" si="21"/>
        <v>32.5</v>
      </c>
      <c r="K68" cm="1">
        <f t="array" ref="K68">STOWA2019_JAARROND_T(A68*60,J68,I68,"","center")</f>
        <v>0.10664808407494034</v>
      </c>
      <c r="L68">
        <f t="shared" si="22"/>
        <v>9.3766335201794337</v>
      </c>
    </row>
    <row r="69" spans="1:12" x14ac:dyDescent="0.3">
      <c r="A69">
        <v>96</v>
      </c>
      <c r="B69">
        <f t="shared" si="18"/>
        <v>3.1450885583494887</v>
      </c>
      <c r="C69">
        <f t="shared" si="19"/>
        <v>3.1450885583494887</v>
      </c>
      <c r="D69" t="s">
        <v>24</v>
      </c>
      <c r="E69" t="s">
        <v>21</v>
      </c>
      <c r="F69">
        <v>1</v>
      </c>
      <c r="G69">
        <f t="shared" si="20"/>
        <v>35</v>
      </c>
      <c r="I69">
        <v>2030</v>
      </c>
      <c r="J69">
        <f t="shared" si="21"/>
        <v>37.5</v>
      </c>
      <c r="K69" cm="1">
        <f t="array" ref="K69">STOWA2019_JAARROND_T(A69*60,J69,I69,"","center")</f>
        <v>0.16047384815889087</v>
      </c>
      <c r="L69">
        <f t="shared" si="22"/>
        <v>6.231544961829945</v>
      </c>
    </row>
    <row r="70" spans="1:12" x14ac:dyDescent="0.3">
      <c r="A70">
        <v>96</v>
      </c>
      <c r="B70">
        <f>L69-L70</f>
        <v>2.0541087081968898</v>
      </c>
      <c r="C70">
        <f t="shared" si="19"/>
        <v>2.0541087081968898</v>
      </c>
      <c r="D70" t="s">
        <v>24</v>
      </c>
      <c r="E70" t="s">
        <v>21</v>
      </c>
      <c r="F70">
        <v>1</v>
      </c>
      <c r="G70">
        <f>G69+5</f>
        <v>40</v>
      </c>
      <c r="I70">
        <v>2030</v>
      </c>
      <c r="J70">
        <f>AVERAGE(G70:G71)</f>
        <v>42.5</v>
      </c>
      <c r="K70" cm="1">
        <f t="array" ref="K70">STOWA2019_JAARROND_T(A70*60,J70,I70,"","center")</f>
        <v>0.23938127102006992</v>
      </c>
      <c r="L70">
        <f>1/K70</f>
        <v>4.1774362536330552</v>
      </c>
    </row>
    <row r="71" spans="1:12" x14ac:dyDescent="0.3">
      <c r="A71">
        <v>96</v>
      </c>
      <c r="B71">
        <f t="shared" ref="B71:B93" si="23">L70-L71</f>
        <v>1.3535959944831513</v>
      </c>
      <c r="C71">
        <f t="shared" si="19"/>
        <v>1.3535959944831513</v>
      </c>
      <c r="D71" t="s">
        <v>24</v>
      </c>
      <c r="E71" t="s">
        <v>21</v>
      </c>
      <c r="F71">
        <v>1</v>
      </c>
      <c r="G71">
        <f t="shared" ref="G71:G94" si="24">G70+5</f>
        <v>45</v>
      </c>
      <c r="I71">
        <v>2030</v>
      </c>
      <c r="J71">
        <f t="shared" ref="J71:J93" si="25">AVERAGE(G71:G72)</f>
        <v>47.5</v>
      </c>
      <c r="K71" cm="1">
        <f t="array" ref="K71">STOWA2019_JAARROND_T(A71*60,J71,I71,"","center")</f>
        <v>0.35412768011921558</v>
      </c>
      <c r="L71">
        <f t="shared" ref="L71:L93" si="26">1/K71</f>
        <v>2.8238402591499039</v>
      </c>
    </row>
    <row r="72" spans="1:12" x14ac:dyDescent="0.3">
      <c r="A72">
        <v>96</v>
      </c>
      <c r="B72">
        <f t="shared" si="23"/>
        <v>0.89964399119041238</v>
      </c>
      <c r="C72">
        <f t="shared" si="19"/>
        <v>0.89964399119041238</v>
      </c>
      <c r="D72" t="s">
        <v>24</v>
      </c>
      <c r="E72" t="s">
        <v>21</v>
      </c>
      <c r="F72">
        <v>1</v>
      </c>
      <c r="G72">
        <f t="shared" si="24"/>
        <v>50</v>
      </c>
      <c r="I72">
        <v>2030</v>
      </c>
      <c r="J72">
        <f t="shared" si="25"/>
        <v>52.5</v>
      </c>
      <c r="K72" cm="1">
        <f t="array" ref="K72">STOWA2019_JAARROND_T(A72*60,J72,I72,"","center")</f>
        <v>0.51969750521366886</v>
      </c>
      <c r="L72">
        <f t="shared" si="26"/>
        <v>1.9241962679594915</v>
      </c>
    </row>
    <row r="73" spans="1:12" x14ac:dyDescent="0.3">
      <c r="A73">
        <v>96</v>
      </c>
      <c r="B73">
        <f t="shared" si="23"/>
        <v>0.60287351186179161</v>
      </c>
      <c r="C73">
        <f t="shared" si="19"/>
        <v>0.60287351186179161</v>
      </c>
      <c r="D73" t="s">
        <v>24</v>
      </c>
      <c r="E73" t="s">
        <v>21</v>
      </c>
      <c r="F73">
        <v>1</v>
      </c>
      <c r="G73">
        <f t="shared" si="24"/>
        <v>55</v>
      </c>
      <c r="I73">
        <v>2030</v>
      </c>
      <c r="J73">
        <f t="shared" si="25"/>
        <v>57.5</v>
      </c>
      <c r="K73" cm="1">
        <f t="array" ref="K73">STOWA2019_JAARROND_T(A73*60,J73,I73,"","center")</f>
        <v>0.75681736001681255</v>
      </c>
      <c r="L73">
        <f t="shared" si="26"/>
        <v>1.3213227560976999</v>
      </c>
    </row>
    <row r="74" spans="1:12" x14ac:dyDescent="0.3">
      <c r="A74">
        <v>96</v>
      </c>
      <c r="B74">
        <f t="shared" si="23"/>
        <v>0.40715927216342829</v>
      </c>
      <c r="C74">
        <f t="shared" si="19"/>
        <v>0.40715927216342829</v>
      </c>
      <c r="D74" t="s">
        <v>24</v>
      </c>
      <c r="E74" t="s">
        <v>21</v>
      </c>
      <c r="F74">
        <v>1</v>
      </c>
      <c r="G74">
        <f t="shared" si="24"/>
        <v>60</v>
      </c>
      <c r="I74">
        <v>2030</v>
      </c>
      <c r="J74">
        <f t="shared" si="25"/>
        <v>62.5</v>
      </c>
      <c r="K74" cm="1">
        <f t="array" ref="K74">STOWA2019_JAARROND_T(A74*60,J74,I74,"","center")</f>
        <v>1.0938962423835998</v>
      </c>
      <c r="L74">
        <f t="shared" si="26"/>
        <v>0.9141634839342716</v>
      </c>
    </row>
    <row r="75" spans="1:12" x14ac:dyDescent="0.3">
      <c r="A75">
        <v>96</v>
      </c>
      <c r="B75">
        <f t="shared" si="23"/>
        <v>0.277236094157709</v>
      </c>
      <c r="C75">
        <f t="shared" si="19"/>
        <v>0.277236094157709</v>
      </c>
      <c r="D75" t="s">
        <v>24</v>
      </c>
      <c r="E75" t="s">
        <v>21</v>
      </c>
      <c r="F75">
        <v>1</v>
      </c>
      <c r="G75">
        <f t="shared" si="24"/>
        <v>65</v>
      </c>
      <c r="I75">
        <v>2030</v>
      </c>
      <c r="J75">
        <f t="shared" si="25"/>
        <v>67.5</v>
      </c>
      <c r="K75" cm="1">
        <f t="array" ref="K75">STOWA2019_JAARROND_T(A75*60,J75,I75,"","center")</f>
        <v>1.5700376778439455</v>
      </c>
      <c r="L75">
        <f t="shared" si="26"/>
        <v>0.6369273897765626</v>
      </c>
    </row>
    <row r="76" spans="1:12" x14ac:dyDescent="0.3">
      <c r="A76">
        <v>96</v>
      </c>
      <c r="B76">
        <f t="shared" si="23"/>
        <v>0.19010545337254076</v>
      </c>
      <c r="C76">
        <f t="shared" si="19"/>
        <v>0.19010545337254076</v>
      </c>
      <c r="D76" t="s">
        <v>24</v>
      </c>
      <c r="E76" t="s">
        <v>21</v>
      </c>
      <c r="F76">
        <v>1</v>
      </c>
      <c r="G76">
        <f t="shared" si="24"/>
        <v>70</v>
      </c>
      <c r="I76">
        <v>2030</v>
      </c>
      <c r="J76">
        <f t="shared" si="25"/>
        <v>72.5</v>
      </c>
      <c r="K76" cm="1">
        <f t="array" ref="K76">STOWA2019_JAARROND_T(A76*60,J76,I76,"","center")</f>
        <v>2.2380279895116604</v>
      </c>
      <c r="L76">
        <f t="shared" si="26"/>
        <v>0.44682193640402185</v>
      </c>
    </row>
    <row r="77" spans="1:12" x14ac:dyDescent="0.3">
      <c r="A77">
        <v>96</v>
      </c>
      <c r="B77">
        <f t="shared" si="23"/>
        <v>0.13128663095733767</v>
      </c>
      <c r="C77">
        <f t="shared" si="19"/>
        <v>0.13128663095733767</v>
      </c>
      <c r="D77" t="s">
        <v>24</v>
      </c>
      <c r="E77" t="s">
        <v>21</v>
      </c>
      <c r="F77">
        <v>1</v>
      </c>
      <c r="G77">
        <f t="shared" si="24"/>
        <v>75</v>
      </c>
      <c r="I77">
        <v>2030</v>
      </c>
      <c r="J77">
        <f t="shared" si="25"/>
        <v>77.5</v>
      </c>
      <c r="K77" cm="1">
        <f t="array" ref="K77">STOWA2019_JAARROND_T(A77*60,J77,I77,"","center")</f>
        <v>3.1692174623196623</v>
      </c>
      <c r="L77">
        <f t="shared" si="26"/>
        <v>0.31553530544668418</v>
      </c>
    </row>
    <row r="78" spans="1:12" x14ac:dyDescent="0.3">
      <c r="A78">
        <v>96</v>
      </c>
      <c r="B78">
        <f t="shared" si="23"/>
        <v>9.1289829344028017E-2</v>
      </c>
      <c r="C78">
        <f t="shared" si="19"/>
        <v>9.1289829344028017E-2</v>
      </c>
      <c r="D78" t="s">
        <v>24</v>
      </c>
      <c r="E78" t="s">
        <v>21</v>
      </c>
      <c r="F78">
        <v>1</v>
      </c>
      <c r="G78">
        <f t="shared" si="24"/>
        <v>80</v>
      </c>
      <c r="I78">
        <v>2030</v>
      </c>
      <c r="J78">
        <f t="shared" si="25"/>
        <v>82.5</v>
      </c>
      <c r="K78" cm="1">
        <f t="array" ref="K78">STOWA2019_JAARROND_T(A78*60,J78,I78,"","center")</f>
        <v>4.4593987686164747</v>
      </c>
      <c r="L78">
        <f t="shared" si="26"/>
        <v>0.22424547610265616</v>
      </c>
    </row>
    <row r="79" spans="1:12" x14ac:dyDescent="0.3">
      <c r="A79">
        <v>96</v>
      </c>
      <c r="B79">
        <f t="shared" si="23"/>
        <v>6.3895959081202353E-2</v>
      </c>
      <c r="C79">
        <f t="shared" si="19"/>
        <v>6.3895959081202353E-2</v>
      </c>
      <c r="D79" t="s">
        <v>24</v>
      </c>
      <c r="E79" t="s">
        <v>21</v>
      </c>
      <c r="F79">
        <v>1</v>
      </c>
      <c r="G79">
        <f t="shared" si="24"/>
        <v>85</v>
      </c>
      <c r="I79">
        <v>2030</v>
      </c>
      <c r="J79">
        <f t="shared" si="25"/>
        <v>87.5</v>
      </c>
      <c r="K79" cm="1">
        <f t="array" ref="K79">STOWA2019_JAARROND_T(A79*60,J79,I79,"","center")</f>
        <v>6.2363767510831103</v>
      </c>
      <c r="L79">
        <f t="shared" si="26"/>
        <v>0.16034951702145381</v>
      </c>
    </row>
    <row r="80" spans="1:12" x14ac:dyDescent="0.3">
      <c r="A80">
        <v>96</v>
      </c>
      <c r="B80">
        <f t="shared" si="23"/>
        <v>4.5008894540495351E-2</v>
      </c>
      <c r="C80">
        <f t="shared" si="19"/>
        <v>4.5008894540495351E-2</v>
      </c>
      <c r="D80" t="s">
        <v>24</v>
      </c>
      <c r="E80" t="s">
        <v>21</v>
      </c>
      <c r="F80">
        <v>1</v>
      </c>
      <c r="G80">
        <f t="shared" si="24"/>
        <v>90</v>
      </c>
      <c r="I80">
        <v>2030</v>
      </c>
      <c r="J80">
        <f t="shared" si="25"/>
        <v>92.5</v>
      </c>
      <c r="K80" cm="1">
        <f t="array" ref="K80">STOWA2019_JAARROND_T(A80*60,J80,I80,"","center")</f>
        <v>8.6699722828796908</v>
      </c>
      <c r="L80">
        <f t="shared" si="26"/>
        <v>0.11534062248095846</v>
      </c>
    </row>
    <row r="81" spans="1:12" x14ac:dyDescent="0.3">
      <c r="A81">
        <v>96</v>
      </c>
      <c r="B81">
        <f t="shared" si="23"/>
        <v>3.1899747316999821E-2</v>
      </c>
      <c r="C81">
        <f t="shared" si="19"/>
        <v>3.1899747316999821E-2</v>
      </c>
      <c r="D81" t="s">
        <v>24</v>
      </c>
      <c r="E81" t="s">
        <v>21</v>
      </c>
      <c r="F81">
        <v>1</v>
      </c>
      <c r="G81">
        <f t="shared" si="24"/>
        <v>95</v>
      </c>
      <c r="I81">
        <v>2030</v>
      </c>
      <c r="J81">
        <f t="shared" si="25"/>
        <v>97.5</v>
      </c>
      <c r="K81" cm="1">
        <f t="array" ref="K81">STOWA2019_JAARROND_T(A81*60,J81,I81,"","center")</f>
        <v>11.984533935376781</v>
      </c>
      <c r="L81">
        <f t="shared" si="26"/>
        <v>8.3440875163958636E-2</v>
      </c>
    </row>
    <row r="82" spans="1:12" x14ac:dyDescent="0.3">
      <c r="A82">
        <v>96</v>
      </c>
      <c r="B82">
        <f t="shared" si="23"/>
        <v>2.2743062195137505E-2</v>
      </c>
      <c r="C82">
        <f t="shared" si="19"/>
        <v>2.2743062195137505E-2</v>
      </c>
      <c r="D82" t="s">
        <v>24</v>
      </c>
      <c r="E82" t="s">
        <v>21</v>
      </c>
      <c r="F82">
        <v>1</v>
      </c>
      <c r="G82">
        <f t="shared" si="24"/>
        <v>100</v>
      </c>
      <c r="I82">
        <v>2030</v>
      </c>
      <c r="J82">
        <f t="shared" si="25"/>
        <v>102.5</v>
      </c>
      <c r="K82" cm="1">
        <f t="array" ref="K82">STOWA2019_JAARROND_T(A82*60,J82,I82,"","center")</f>
        <v>16.47505817901007</v>
      </c>
      <c r="L82">
        <f t="shared" si="26"/>
        <v>6.0697812968821131E-2</v>
      </c>
    </row>
    <row r="83" spans="1:12" x14ac:dyDescent="0.3">
      <c r="A83">
        <v>96</v>
      </c>
      <c r="B83">
        <f t="shared" si="23"/>
        <v>1.6307853678484342E-2</v>
      </c>
      <c r="C83">
        <f t="shared" si="19"/>
        <v>1.6307853678484342E-2</v>
      </c>
      <c r="D83" t="s">
        <v>24</v>
      </c>
      <c r="E83" t="s">
        <v>21</v>
      </c>
      <c r="F83">
        <v>1</v>
      </c>
      <c r="G83">
        <f t="shared" si="24"/>
        <v>105</v>
      </c>
      <c r="I83">
        <v>2030</v>
      </c>
      <c r="J83">
        <f t="shared" si="25"/>
        <v>107.5</v>
      </c>
      <c r="K83" cm="1">
        <f t="array" ref="K83">STOWA2019_JAARROND_T(A83*60,J83,I83,"","center")</f>
        <v>22.527616965345789</v>
      </c>
      <c r="L83">
        <f t="shared" si="26"/>
        <v>4.4389959290336789E-2</v>
      </c>
    </row>
    <row r="84" spans="1:12" x14ac:dyDescent="0.3">
      <c r="A84">
        <v>96</v>
      </c>
      <c r="B84">
        <f t="shared" si="23"/>
        <v>1.1758406003726338E-2</v>
      </c>
      <c r="C84">
        <f t="shared" si="19"/>
        <v>1.1758406003726338E-2</v>
      </c>
      <c r="D84" t="s">
        <v>24</v>
      </c>
      <c r="E84" t="s">
        <v>21</v>
      </c>
      <c r="F84">
        <v>1</v>
      </c>
      <c r="G84">
        <f t="shared" si="24"/>
        <v>110</v>
      </c>
      <c r="I84">
        <v>2030</v>
      </c>
      <c r="J84">
        <f t="shared" si="25"/>
        <v>112.5</v>
      </c>
      <c r="K84" cm="1">
        <f t="array" ref="K84">STOWA2019_JAARROND_T(A84*60,J84,I84,"","center")</f>
        <v>30.645185389024224</v>
      </c>
      <c r="L84">
        <f t="shared" si="26"/>
        <v>3.2631553286610451E-2</v>
      </c>
    </row>
    <row r="85" spans="1:12" x14ac:dyDescent="0.3">
      <c r="A85">
        <v>96</v>
      </c>
      <c r="B85">
        <f t="shared" si="23"/>
        <v>8.5234748188758105E-3</v>
      </c>
      <c r="C85">
        <f t="shared" si="19"/>
        <v>8.5234748188758105E-3</v>
      </c>
      <c r="D85" t="s">
        <v>24</v>
      </c>
      <c r="E85" t="s">
        <v>21</v>
      </c>
      <c r="F85">
        <v>1</v>
      </c>
      <c r="G85">
        <f t="shared" si="24"/>
        <v>115</v>
      </c>
      <c r="I85">
        <v>2030</v>
      </c>
      <c r="J85">
        <f t="shared" si="25"/>
        <v>117.5</v>
      </c>
      <c r="K85" cm="1">
        <f t="array" ref="K85">STOWA2019_JAARROND_T(A85*60,J85,I85,"","center")</f>
        <v>41.479871626366361</v>
      </c>
      <c r="L85">
        <f t="shared" si="26"/>
        <v>2.4108078467734641E-2</v>
      </c>
    </row>
    <row r="86" spans="1:12" x14ac:dyDescent="0.3">
      <c r="A86">
        <v>96</v>
      </c>
      <c r="B86">
        <f t="shared" si="23"/>
        <v>6.2109367223658583E-3</v>
      </c>
      <c r="C86">
        <f t="shared" si="19"/>
        <v>6.2109367223658583E-3</v>
      </c>
      <c r="D86" t="s">
        <v>24</v>
      </c>
      <c r="E86" t="s">
        <v>21</v>
      </c>
      <c r="F86">
        <v>1</v>
      </c>
      <c r="G86">
        <f t="shared" si="24"/>
        <v>120</v>
      </c>
      <c r="I86">
        <v>2030</v>
      </c>
      <c r="J86">
        <f t="shared" si="25"/>
        <v>122.5</v>
      </c>
      <c r="K86" cm="1">
        <f t="array" ref="K86">STOWA2019_JAARROND_T(A86*60,J86,I86,"","center")</f>
        <v>55.874843828555392</v>
      </c>
      <c r="L86">
        <f t="shared" si="26"/>
        <v>1.7897141745368782E-2</v>
      </c>
    </row>
    <row r="87" spans="1:12" x14ac:dyDescent="0.3">
      <c r="A87">
        <v>96</v>
      </c>
      <c r="B87">
        <f t="shared" si="23"/>
        <v>4.5483661191847262E-3</v>
      </c>
      <c r="C87">
        <f t="shared" si="19"/>
        <v>4.5483661191847262E-3</v>
      </c>
      <c r="D87" t="s">
        <v>24</v>
      </c>
      <c r="E87" t="s">
        <v>21</v>
      </c>
      <c r="F87">
        <v>1</v>
      </c>
      <c r="G87">
        <f t="shared" si="24"/>
        <v>125</v>
      </c>
      <c r="I87">
        <v>2030</v>
      </c>
      <c r="J87">
        <f t="shared" si="25"/>
        <v>127.5</v>
      </c>
      <c r="K87" cm="1">
        <f t="array" ref="K87">STOWA2019_JAARROND_T(A87*60,J87,I87,"","center")</f>
        <v>74.913237588507187</v>
      </c>
      <c r="L87">
        <f t="shared" si="26"/>
        <v>1.3348775626184056E-2</v>
      </c>
    </row>
    <row r="88" spans="1:12" x14ac:dyDescent="0.3">
      <c r="A88">
        <v>96</v>
      </c>
      <c r="B88">
        <f t="shared" si="23"/>
        <v>3.3472356164712634E-3</v>
      </c>
      <c r="C88">
        <f t="shared" si="19"/>
        <v>3.3472356164712634E-3</v>
      </c>
      <c r="D88" t="s">
        <v>24</v>
      </c>
      <c r="E88" t="s">
        <v>21</v>
      </c>
      <c r="F88">
        <v>1</v>
      </c>
      <c r="G88">
        <f t="shared" si="24"/>
        <v>130</v>
      </c>
      <c r="I88">
        <v>2030</v>
      </c>
      <c r="J88">
        <f t="shared" si="25"/>
        <v>132.5</v>
      </c>
      <c r="K88" cm="1">
        <f t="array" ref="K88">STOWA2019_JAARROND_T(A88*60,J88,I88,"","center")</f>
        <v>99.984602274136805</v>
      </c>
      <c r="L88">
        <f t="shared" si="26"/>
        <v>1.0001540009712793E-2</v>
      </c>
    </row>
    <row r="89" spans="1:12" x14ac:dyDescent="0.3">
      <c r="A89">
        <v>96</v>
      </c>
      <c r="B89">
        <f t="shared" si="23"/>
        <v>2.4748174595336106E-3</v>
      </c>
      <c r="C89">
        <f t="shared" si="19"/>
        <v>2.4748174595336106E-3</v>
      </c>
      <c r="D89" t="s">
        <v>24</v>
      </c>
      <c r="E89" t="s">
        <v>21</v>
      </c>
      <c r="F89">
        <v>1</v>
      </c>
      <c r="G89">
        <f t="shared" si="24"/>
        <v>135</v>
      </c>
      <c r="I89">
        <v>2030</v>
      </c>
      <c r="J89">
        <f t="shared" si="25"/>
        <v>137.5</v>
      </c>
      <c r="K89" cm="1">
        <f t="array" ref="K89">STOWA2019_JAARROND_T(A89*60,J89,I89,"","center")</f>
        <v>132.85995243390417</v>
      </c>
      <c r="L89">
        <f t="shared" si="26"/>
        <v>7.5267225501791822E-3</v>
      </c>
    </row>
    <row r="90" spans="1:12" x14ac:dyDescent="0.3">
      <c r="A90">
        <v>96</v>
      </c>
      <c r="B90">
        <f t="shared" si="23"/>
        <v>1.8382156979990976E-3</v>
      </c>
      <c r="C90">
        <f t="shared" si="19"/>
        <v>1.8382156979990976E-3</v>
      </c>
      <c r="D90" t="s">
        <v>24</v>
      </c>
      <c r="E90" t="s">
        <v>21</v>
      </c>
      <c r="F90">
        <v>1</v>
      </c>
      <c r="G90">
        <f t="shared" si="24"/>
        <v>140</v>
      </c>
      <c r="I90">
        <v>2030</v>
      </c>
      <c r="J90">
        <f t="shared" si="25"/>
        <v>142.5</v>
      </c>
      <c r="K90" cm="1">
        <f t="array" ref="K90">STOWA2019_JAARROND_T(A90*60,J90,I90,"","center")</f>
        <v>175.79305536333428</v>
      </c>
      <c r="L90">
        <f t="shared" si="26"/>
        <v>5.6885068521800846E-3</v>
      </c>
    </row>
    <row r="91" spans="1:12" x14ac:dyDescent="0.3">
      <c r="A91">
        <v>96</v>
      </c>
      <c r="B91">
        <f t="shared" si="23"/>
        <v>1.371461979161449E-3</v>
      </c>
      <c r="C91">
        <f t="shared" si="19"/>
        <v>1.371461979161449E-3</v>
      </c>
      <c r="D91" t="s">
        <v>24</v>
      </c>
      <c r="E91" t="s">
        <v>21</v>
      </c>
      <c r="F91">
        <v>1</v>
      </c>
      <c r="G91">
        <f t="shared" si="24"/>
        <v>145</v>
      </c>
      <c r="I91">
        <v>2030</v>
      </c>
      <c r="J91">
        <f t="shared" si="25"/>
        <v>147.5</v>
      </c>
      <c r="K91" cm="1">
        <f t="array" ref="K91">STOWA2019_JAARROND_T(A91*60,J91,I91,"","center")</f>
        <v>231.63993644123588</v>
      </c>
      <c r="L91">
        <f t="shared" si="26"/>
        <v>4.3170448730186356E-3</v>
      </c>
    </row>
    <row r="92" spans="1:12" x14ac:dyDescent="0.3">
      <c r="A92">
        <v>96</v>
      </c>
      <c r="B92">
        <f t="shared" si="23"/>
        <v>1.0275918782650965E-3</v>
      </c>
      <c r="C92">
        <f t="shared" si="19"/>
        <v>1.0275918782650965E-3</v>
      </c>
      <c r="D92" t="s">
        <v>24</v>
      </c>
      <c r="E92" t="s">
        <v>21</v>
      </c>
      <c r="F92">
        <v>1</v>
      </c>
      <c r="G92">
        <f t="shared" si="24"/>
        <v>150</v>
      </c>
      <c r="I92">
        <v>2030</v>
      </c>
      <c r="J92">
        <f t="shared" si="25"/>
        <v>152.5</v>
      </c>
      <c r="K92" cm="1">
        <f t="array" ref="K92">STOWA2019_JAARROND_T(A92*60,J92,I92,"","center")</f>
        <v>304.00191204888296</v>
      </c>
      <c r="L92">
        <f t="shared" si="26"/>
        <v>3.2894529947535391E-3</v>
      </c>
    </row>
    <row r="93" spans="1:12" x14ac:dyDescent="0.3">
      <c r="A93">
        <v>96</v>
      </c>
      <c r="B93">
        <f t="shared" si="23"/>
        <v>7.7318525688313587E-4</v>
      </c>
      <c r="C93">
        <f t="shared" si="19"/>
        <v>7.7318525688313587E-4</v>
      </c>
      <c r="D93" t="s">
        <v>24</v>
      </c>
      <c r="E93" t="s">
        <v>21</v>
      </c>
      <c r="F93">
        <v>1</v>
      </c>
      <c r="G93">
        <f t="shared" si="24"/>
        <v>155</v>
      </c>
      <c r="I93">
        <v>2030</v>
      </c>
      <c r="J93">
        <f t="shared" si="25"/>
        <v>157.5</v>
      </c>
      <c r="K93" cm="1">
        <f t="array" ref="K93">STOWA2019_JAARROND_T(A93*60,J93,I93,"","center")</f>
        <v>397.41398935803693</v>
      </c>
      <c r="L93">
        <f t="shared" si="26"/>
        <v>2.5162677378704032E-3</v>
      </c>
    </row>
    <row r="94" spans="1:12" x14ac:dyDescent="0.3">
      <c r="A94">
        <v>96</v>
      </c>
      <c r="B94" s="1">
        <f>L93</f>
        <v>2.5162677378704032E-3</v>
      </c>
      <c r="C94">
        <f t="shared" si="19"/>
        <v>2.5162677378704032E-3</v>
      </c>
      <c r="D94" t="s">
        <v>24</v>
      </c>
      <c r="E94" t="s">
        <v>21</v>
      </c>
      <c r="F94">
        <v>1</v>
      </c>
      <c r="G94">
        <f t="shared" si="24"/>
        <v>160</v>
      </c>
      <c r="I94">
        <v>2030</v>
      </c>
      <c r="J94">
        <f>AVERAGE(G94:G95)</f>
        <v>85</v>
      </c>
      <c r="K94" cm="1">
        <f t="array" ref="K94">STOWA2019_JAARROND_T(A94*60,J94,I94,"","center")</f>
        <v>5.2775124103132462</v>
      </c>
      <c r="L94">
        <f>1/K94</f>
        <v>0.18948321145504329</v>
      </c>
    </row>
    <row r="95" spans="1:12" x14ac:dyDescent="0.3">
      <c r="A95">
        <v>192</v>
      </c>
      <c r="B95" s="1">
        <f>365.25*24/A95 - L95</f>
        <v>-954.34375</v>
      </c>
      <c r="C95">
        <f>B95</f>
        <v>-954.34375</v>
      </c>
      <c r="D95" t="s">
        <v>24</v>
      </c>
      <c r="E95" t="s">
        <v>21</v>
      </c>
      <c r="F95">
        <v>1</v>
      </c>
      <c r="G95">
        <v>10</v>
      </c>
      <c r="I95">
        <v>2030</v>
      </c>
      <c r="J95">
        <f>AVERAGE(G95:G97)</f>
        <v>15</v>
      </c>
      <c r="K95" s="1">
        <v>1E-3</v>
      </c>
      <c r="L95">
        <f>1/K95</f>
        <v>1000</v>
      </c>
    </row>
    <row r="96" spans="1:12" x14ac:dyDescent="0.3">
      <c r="A96">
        <v>192</v>
      </c>
      <c r="B96">
        <f t="shared" ref="B96:B100" si="27">L95-L96</f>
        <v>0</v>
      </c>
      <c r="C96">
        <f t="shared" ref="C96:C125" si="28">B96</f>
        <v>0</v>
      </c>
      <c r="D96" t="s">
        <v>24</v>
      </c>
      <c r="E96" t="s">
        <v>21</v>
      </c>
      <c r="F96">
        <v>1</v>
      </c>
      <c r="G96">
        <f t="shared" ref="G96:G100" si="29">G95+5</f>
        <v>15</v>
      </c>
      <c r="I96">
        <v>2030</v>
      </c>
      <c r="J96">
        <f t="shared" ref="J96:J100" si="30">AVERAGE(G96:G97)</f>
        <v>17.5</v>
      </c>
      <c r="K96" s="1">
        <v>1E-3</v>
      </c>
      <c r="L96">
        <f t="shared" ref="L96:L100" si="31">1/K96</f>
        <v>1000</v>
      </c>
    </row>
    <row r="97" spans="1:12" x14ac:dyDescent="0.3">
      <c r="A97">
        <v>192</v>
      </c>
      <c r="B97">
        <f t="shared" si="27"/>
        <v>962.26955724981462</v>
      </c>
      <c r="C97">
        <f t="shared" si="28"/>
        <v>962.26955724981462</v>
      </c>
      <c r="D97" t="s">
        <v>24</v>
      </c>
      <c r="E97" t="s">
        <v>21</v>
      </c>
      <c r="F97">
        <v>1</v>
      </c>
      <c r="G97">
        <f t="shared" si="29"/>
        <v>20</v>
      </c>
      <c r="I97">
        <v>2030</v>
      </c>
      <c r="J97">
        <f t="shared" si="30"/>
        <v>22.5</v>
      </c>
      <c r="K97" cm="1">
        <f t="array" ref="K97">STOWA2019_JAARROND_T(A97*60,J97,I97,"","center")</f>
        <v>2.6503797122685153E-2</v>
      </c>
      <c r="L97">
        <f t="shared" si="31"/>
        <v>37.730442750185375</v>
      </c>
    </row>
    <row r="98" spans="1:12" x14ac:dyDescent="0.3">
      <c r="A98">
        <v>192</v>
      </c>
      <c r="B98">
        <f t="shared" si="27"/>
        <v>10.224473661671894</v>
      </c>
      <c r="C98">
        <f t="shared" si="28"/>
        <v>10.224473661671894</v>
      </c>
      <c r="D98" t="s">
        <v>24</v>
      </c>
      <c r="E98" t="s">
        <v>21</v>
      </c>
      <c r="F98">
        <v>1</v>
      </c>
      <c r="G98">
        <f t="shared" si="29"/>
        <v>25</v>
      </c>
      <c r="I98">
        <v>2030</v>
      </c>
      <c r="J98">
        <f t="shared" si="30"/>
        <v>27.5</v>
      </c>
      <c r="K98" cm="1">
        <f t="array" ref="K98">STOWA2019_JAARROND_T(A98*60,J98,I98,"","center")</f>
        <v>3.6355745066898988E-2</v>
      </c>
      <c r="L98">
        <f t="shared" si="31"/>
        <v>27.505969088513481</v>
      </c>
    </row>
    <row r="99" spans="1:12" x14ac:dyDescent="0.3">
      <c r="A99">
        <v>192</v>
      </c>
      <c r="B99">
        <f t="shared" si="27"/>
        <v>7.2613721774448123</v>
      </c>
      <c r="C99">
        <f t="shared" si="28"/>
        <v>7.2613721774448123</v>
      </c>
      <c r="D99" t="s">
        <v>24</v>
      </c>
      <c r="E99" t="s">
        <v>21</v>
      </c>
      <c r="F99">
        <v>1</v>
      </c>
      <c r="G99">
        <f t="shared" si="29"/>
        <v>30</v>
      </c>
      <c r="I99">
        <v>2030</v>
      </c>
      <c r="J99">
        <f t="shared" si="30"/>
        <v>32.5</v>
      </c>
      <c r="K99" cm="1">
        <f t="array" ref="K99">STOWA2019_JAARROND_T(A99*60,J99,I99,"","center")</f>
        <v>4.9395895823109881E-2</v>
      </c>
      <c r="L99">
        <f t="shared" si="31"/>
        <v>20.244596911068669</v>
      </c>
    </row>
    <row r="100" spans="1:12" x14ac:dyDescent="0.3">
      <c r="A100">
        <v>192</v>
      </c>
      <c r="B100">
        <f t="shared" si="27"/>
        <v>5.3052339013026302</v>
      </c>
      <c r="C100">
        <f t="shared" si="28"/>
        <v>5.3052339013026302</v>
      </c>
      <c r="D100" t="s">
        <v>24</v>
      </c>
      <c r="E100" t="s">
        <v>21</v>
      </c>
      <c r="F100">
        <v>1</v>
      </c>
      <c r="G100">
        <f t="shared" si="29"/>
        <v>35</v>
      </c>
      <c r="I100">
        <v>2030</v>
      </c>
      <c r="J100">
        <f t="shared" si="30"/>
        <v>37.5</v>
      </c>
      <c r="K100" cm="1">
        <f t="array" ref="K100">STOWA2019_JAARROND_T(A100*60,J100,I100,"","center")</f>
        <v>6.6937258258353324E-2</v>
      </c>
      <c r="L100">
        <f t="shared" si="31"/>
        <v>14.939363009766039</v>
      </c>
    </row>
    <row r="101" spans="1:12" x14ac:dyDescent="0.3">
      <c r="A101">
        <v>192</v>
      </c>
      <c r="B101">
        <f>L100-L101</f>
        <v>3.904603008726367</v>
      </c>
      <c r="C101">
        <f t="shared" si="28"/>
        <v>3.904603008726367</v>
      </c>
      <c r="D101" t="s">
        <v>24</v>
      </c>
      <c r="E101" t="s">
        <v>21</v>
      </c>
      <c r="F101">
        <v>1</v>
      </c>
      <c r="G101">
        <f>G100+5</f>
        <v>40</v>
      </c>
      <c r="I101">
        <v>2030</v>
      </c>
      <c r="J101">
        <f>AVERAGE(G101:G102)</f>
        <v>42.5</v>
      </c>
      <c r="K101" cm="1">
        <f t="array" ref="K101">STOWA2019_JAARROND_T(A101*60,J101,I101,"","center")</f>
        <v>9.0622723095543728E-2</v>
      </c>
      <c r="L101">
        <f>1/K101</f>
        <v>11.034760001039672</v>
      </c>
    </row>
    <row r="102" spans="1:12" x14ac:dyDescent="0.3">
      <c r="A102">
        <v>192</v>
      </c>
      <c r="B102">
        <f t="shared" ref="B102:B124" si="32">L101-L102</f>
        <v>2.8812744216524706</v>
      </c>
      <c r="C102">
        <f t="shared" si="28"/>
        <v>2.8812744216524706</v>
      </c>
      <c r="D102" t="s">
        <v>24</v>
      </c>
      <c r="E102" t="s">
        <v>21</v>
      </c>
      <c r="F102">
        <v>1</v>
      </c>
      <c r="G102">
        <f t="shared" ref="G102:G125" si="33">G101+5</f>
        <v>45</v>
      </c>
      <c r="I102">
        <v>2030</v>
      </c>
      <c r="J102">
        <f t="shared" ref="J102:J124" si="34">AVERAGE(G102:G103)</f>
        <v>47.5</v>
      </c>
      <c r="K102" cm="1">
        <f t="array" ref="K102">STOWA2019_JAARROND_T(A102*60,J102,I102,"","center")</f>
        <v>0.12264693305254583</v>
      </c>
      <c r="L102">
        <f t="shared" ref="L102:L124" si="35">1/K102</f>
        <v>8.1534855793872012</v>
      </c>
    </row>
    <row r="103" spans="1:12" x14ac:dyDescent="0.3">
      <c r="A103">
        <v>192</v>
      </c>
      <c r="B103">
        <f t="shared" si="32"/>
        <v>2.1287000853870852</v>
      </c>
      <c r="C103">
        <f t="shared" si="28"/>
        <v>2.1287000853870852</v>
      </c>
      <c r="D103" t="s">
        <v>24</v>
      </c>
      <c r="E103" t="s">
        <v>21</v>
      </c>
      <c r="F103">
        <v>1</v>
      </c>
      <c r="G103">
        <f t="shared" si="33"/>
        <v>50</v>
      </c>
      <c r="I103">
        <v>2030</v>
      </c>
      <c r="J103">
        <f t="shared" si="34"/>
        <v>52.5</v>
      </c>
      <c r="K103" cm="1">
        <f t="array" ref="K103">STOWA2019_JAARROND_T(A103*60,J103,I103,"","center")</f>
        <v>0.16598101309928243</v>
      </c>
      <c r="L103">
        <f t="shared" si="35"/>
        <v>6.024785494000116</v>
      </c>
    </row>
    <row r="104" spans="1:12" x14ac:dyDescent="0.3">
      <c r="A104">
        <v>192</v>
      </c>
      <c r="B104">
        <f t="shared" si="32"/>
        <v>1.5734874559405077</v>
      </c>
      <c r="C104">
        <f t="shared" si="28"/>
        <v>1.5734874559405077</v>
      </c>
      <c r="D104" t="s">
        <v>24</v>
      </c>
      <c r="E104" t="s">
        <v>21</v>
      </c>
      <c r="F104">
        <v>1</v>
      </c>
      <c r="G104">
        <f t="shared" si="33"/>
        <v>55</v>
      </c>
      <c r="I104">
        <v>2030</v>
      </c>
      <c r="J104">
        <f t="shared" si="34"/>
        <v>57.5</v>
      </c>
      <c r="K104" cm="1">
        <f t="array" ref="K104">STOWA2019_JAARROND_T(A104*60,J104,I104,"","center")</f>
        <v>0.22465357103698139</v>
      </c>
      <c r="L104">
        <f t="shared" si="35"/>
        <v>4.4512980380596083</v>
      </c>
    </row>
    <row r="105" spans="1:12" x14ac:dyDescent="0.3">
      <c r="A105">
        <v>192</v>
      </c>
      <c r="B105">
        <f t="shared" si="32"/>
        <v>1.1631895246330521</v>
      </c>
      <c r="C105">
        <f t="shared" si="28"/>
        <v>1.1631895246330521</v>
      </c>
      <c r="D105" t="s">
        <v>24</v>
      </c>
      <c r="E105" t="s">
        <v>21</v>
      </c>
      <c r="F105">
        <v>1</v>
      </c>
      <c r="G105">
        <f t="shared" si="33"/>
        <v>60</v>
      </c>
      <c r="I105">
        <v>2030</v>
      </c>
      <c r="J105">
        <f t="shared" si="34"/>
        <v>62.5</v>
      </c>
      <c r="K105" cm="1">
        <f t="array" ref="K105">STOWA2019_JAARROND_T(A105*60,J105,I105,"","center")</f>
        <v>0.30412621600431744</v>
      </c>
      <c r="L105">
        <f t="shared" si="35"/>
        <v>3.2881085134265562</v>
      </c>
    </row>
    <row r="106" spans="1:12" x14ac:dyDescent="0.3">
      <c r="A106">
        <v>192</v>
      </c>
      <c r="B106">
        <f t="shared" si="32"/>
        <v>0.85983942583189332</v>
      </c>
      <c r="C106">
        <f t="shared" si="28"/>
        <v>0.85983942583189332</v>
      </c>
      <c r="D106" t="s">
        <v>24</v>
      </c>
      <c r="E106" t="s">
        <v>21</v>
      </c>
      <c r="F106">
        <v>1</v>
      </c>
      <c r="G106">
        <f t="shared" si="33"/>
        <v>65</v>
      </c>
      <c r="I106">
        <v>2030</v>
      </c>
      <c r="J106">
        <f t="shared" si="34"/>
        <v>67.5</v>
      </c>
      <c r="K106" cm="1">
        <f t="array" ref="K106">STOWA2019_JAARROND_T(A106*60,J106,I106,"","center")</f>
        <v>0.41181597422983968</v>
      </c>
      <c r="L106">
        <f t="shared" si="35"/>
        <v>2.4282690875946629</v>
      </c>
    </row>
    <row r="107" spans="1:12" x14ac:dyDescent="0.3">
      <c r="A107">
        <v>192</v>
      </c>
      <c r="B107">
        <f t="shared" si="32"/>
        <v>0.63552215730902617</v>
      </c>
      <c r="C107">
        <f t="shared" si="28"/>
        <v>0.63552215730902617</v>
      </c>
      <c r="D107" t="s">
        <v>24</v>
      </c>
      <c r="E107" t="s">
        <v>21</v>
      </c>
      <c r="F107">
        <v>1</v>
      </c>
      <c r="G107">
        <f t="shared" si="33"/>
        <v>70</v>
      </c>
      <c r="I107">
        <v>2030</v>
      </c>
      <c r="J107">
        <f t="shared" si="34"/>
        <v>72.5</v>
      </c>
      <c r="K107" cm="1">
        <f t="array" ref="K107">STOWA2019_JAARROND_T(A107*60,J107,I107,"","center")</f>
        <v>0.55780321422202683</v>
      </c>
      <c r="L107">
        <f t="shared" si="35"/>
        <v>1.7927469302856367</v>
      </c>
    </row>
    <row r="108" spans="1:12" x14ac:dyDescent="0.3">
      <c r="A108">
        <v>192</v>
      </c>
      <c r="B108">
        <f t="shared" si="32"/>
        <v>0.46960504176254259</v>
      </c>
      <c r="C108">
        <f t="shared" si="28"/>
        <v>0.46960504176254259</v>
      </c>
      <c r="D108" t="s">
        <v>24</v>
      </c>
      <c r="E108" t="s">
        <v>21</v>
      </c>
      <c r="F108">
        <v>1</v>
      </c>
      <c r="G108">
        <f t="shared" si="33"/>
        <v>75</v>
      </c>
      <c r="I108">
        <v>2030</v>
      </c>
      <c r="J108">
        <f t="shared" si="34"/>
        <v>77.5</v>
      </c>
      <c r="K108" cm="1">
        <f t="array" ref="K108">STOWA2019_JAARROND_T(A108*60,J108,I108,"","center")</f>
        <v>0.75577684349197893</v>
      </c>
      <c r="L108">
        <f t="shared" si="35"/>
        <v>1.3231418885230941</v>
      </c>
    </row>
    <row r="109" spans="1:12" x14ac:dyDescent="0.3">
      <c r="A109">
        <v>192</v>
      </c>
      <c r="B109">
        <f t="shared" si="32"/>
        <v>0.34683534375153835</v>
      </c>
      <c r="C109">
        <f t="shared" si="28"/>
        <v>0.34683534375153835</v>
      </c>
      <c r="D109" t="s">
        <v>24</v>
      </c>
      <c r="E109" t="s">
        <v>21</v>
      </c>
      <c r="F109">
        <v>1</v>
      </c>
      <c r="G109">
        <f t="shared" si="33"/>
        <v>80</v>
      </c>
      <c r="I109">
        <v>2030</v>
      </c>
      <c r="J109">
        <f t="shared" si="34"/>
        <v>82.5</v>
      </c>
      <c r="K109" cm="1">
        <f t="array" ref="K109">STOWA2019_JAARROND_T(A109*60,J109,I109,"","center")</f>
        <v>1.024268458872196</v>
      </c>
      <c r="L109">
        <f t="shared" si="35"/>
        <v>0.97630654477155576</v>
      </c>
    </row>
    <row r="110" spans="1:12" x14ac:dyDescent="0.3">
      <c r="A110">
        <v>192</v>
      </c>
      <c r="B110">
        <f t="shared" si="32"/>
        <v>0.25623930148611329</v>
      </c>
      <c r="C110">
        <f t="shared" si="28"/>
        <v>0.25623930148611329</v>
      </c>
      <c r="D110" t="s">
        <v>24</v>
      </c>
      <c r="E110" t="s">
        <v>21</v>
      </c>
      <c r="F110">
        <v>1</v>
      </c>
      <c r="G110">
        <f t="shared" si="33"/>
        <v>85</v>
      </c>
      <c r="I110">
        <v>2030</v>
      </c>
      <c r="J110">
        <f t="shared" si="34"/>
        <v>87.5</v>
      </c>
      <c r="K110" cm="1">
        <f t="array" ref="K110">STOWA2019_JAARROND_T(A110*60,J110,I110,"","center")</f>
        <v>1.3887591878743317</v>
      </c>
      <c r="L110">
        <f t="shared" si="35"/>
        <v>0.72006724328544247</v>
      </c>
    </row>
    <row r="111" spans="1:12" x14ac:dyDescent="0.3">
      <c r="A111">
        <v>192</v>
      </c>
      <c r="B111">
        <f t="shared" si="32"/>
        <v>0.18917428544799775</v>
      </c>
      <c r="C111">
        <f t="shared" si="28"/>
        <v>0.18917428544799775</v>
      </c>
      <c r="D111" t="s">
        <v>24</v>
      </c>
      <c r="E111" t="s">
        <v>21</v>
      </c>
      <c r="F111">
        <v>1</v>
      </c>
      <c r="G111">
        <f t="shared" si="33"/>
        <v>90</v>
      </c>
      <c r="I111">
        <v>2030</v>
      </c>
      <c r="J111">
        <f t="shared" si="34"/>
        <v>92.5</v>
      </c>
      <c r="K111" cm="1">
        <f t="array" ref="K111">STOWA2019_JAARROND_T(A111*60,J111,I111,"","center")</f>
        <v>1.8836188825586044</v>
      </c>
      <c r="L111">
        <f t="shared" si="35"/>
        <v>0.53089295783744472</v>
      </c>
    </row>
    <row r="112" spans="1:12" x14ac:dyDescent="0.3">
      <c r="A112">
        <v>192</v>
      </c>
      <c r="B112">
        <f t="shared" si="32"/>
        <v>0.13961489053729487</v>
      </c>
      <c r="C112">
        <f t="shared" si="28"/>
        <v>0.13961489053729487</v>
      </c>
      <c r="D112" t="s">
        <v>24</v>
      </c>
      <c r="E112" t="s">
        <v>21</v>
      </c>
      <c r="F112">
        <v>1</v>
      </c>
      <c r="G112">
        <f t="shared" si="33"/>
        <v>95</v>
      </c>
      <c r="I112">
        <v>2030</v>
      </c>
      <c r="J112">
        <f t="shared" si="34"/>
        <v>97.5</v>
      </c>
      <c r="K112" cm="1">
        <f t="array" ref="K112">STOWA2019_JAARROND_T(A112*60,J112,I112,"","center")</f>
        <v>2.5557272016294714</v>
      </c>
      <c r="L112">
        <f t="shared" si="35"/>
        <v>0.39127806730014986</v>
      </c>
    </row>
    <row r="113" spans="1:12" x14ac:dyDescent="0.3">
      <c r="A113">
        <v>192</v>
      </c>
      <c r="B113">
        <f t="shared" si="32"/>
        <v>0.1030096363949542</v>
      </c>
      <c r="C113">
        <f t="shared" si="28"/>
        <v>0.1030096363949542</v>
      </c>
      <c r="D113" t="s">
        <v>24</v>
      </c>
      <c r="E113" t="s">
        <v>21</v>
      </c>
      <c r="F113">
        <v>1</v>
      </c>
      <c r="G113">
        <f t="shared" si="33"/>
        <v>100</v>
      </c>
      <c r="I113">
        <v>2030</v>
      </c>
      <c r="J113">
        <f t="shared" si="34"/>
        <v>102.5</v>
      </c>
      <c r="K113" cm="1">
        <f t="array" ref="K113">STOWA2019_JAARROND_T(A113*60,J113,I113,"","center")</f>
        <v>3.4689889449909108</v>
      </c>
      <c r="L113">
        <f t="shared" si="35"/>
        <v>0.28826843090519566</v>
      </c>
    </row>
    <row r="114" spans="1:12" x14ac:dyDescent="0.3">
      <c r="A114">
        <v>192</v>
      </c>
      <c r="B114">
        <f t="shared" si="32"/>
        <v>7.5969594397860579E-2</v>
      </c>
      <c r="C114">
        <f t="shared" si="28"/>
        <v>7.5969594397860579E-2</v>
      </c>
      <c r="D114" t="s">
        <v>24</v>
      </c>
      <c r="E114" t="s">
        <v>21</v>
      </c>
      <c r="F114">
        <v>1</v>
      </c>
      <c r="G114">
        <f t="shared" si="33"/>
        <v>105</v>
      </c>
      <c r="I114">
        <v>2030</v>
      </c>
      <c r="J114">
        <f t="shared" si="34"/>
        <v>107.5</v>
      </c>
      <c r="K114" cm="1">
        <f t="array" ref="K114">STOWA2019_JAARROND_T(A114*60,J114,I114,"","center")</f>
        <v>4.710341405782736</v>
      </c>
      <c r="L114">
        <f t="shared" si="35"/>
        <v>0.21229883650733508</v>
      </c>
    </row>
    <row r="115" spans="1:12" x14ac:dyDescent="0.3">
      <c r="A115">
        <v>192</v>
      </c>
      <c r="B115">
        <f t="shared" si="32"/>
        <v>5.6008601286324261E-2</v>
      </c>
      <c r="C115">
        <f t="shared" si="28"/>
        <v>5.6008601286324261E-2</v>
      </c>
      <c r="D115" t="s">
        <v>24</v>
      </c>
      <c r="E115" t="s">
        <v>21</v>
      </c>
      <c r="F115">
        <v>1</v>
      </c>
      <c r="G115">
        <f t="shared" si="33"/>
        <v>110</v>
      </c>
      <c r="I115">
        <v>2030</v>
      </c>
      <c r="J115">
        <f t="shared" si="34"/>
        <v>112.5</v>
      </c>
      <c r="K115" cm="1">
        <f t="array" ref="K115">STOWA2019_JAARROND_T(A115*60,J115,I115,"","center")</f>
        <v>6.398352389615992</v>
      </c>
      <c r="L115">
        <f t="shared" si="35"/>
        <v>0.15629023522101082</v>
      </c>
    </row>
    <row r="116" spans="1:12" x14ac:dyDescent="0.3">
      <c r="A116">
        <v>192</v>
      </c>
      <c r="B116">
        <f t="shared" si="32"/>
        <v>4.1276865695475382E-2</v>
      </c>
      <c r="C116">
        <f t="shared" si="28"/>
        <v>4.1276865695475382E-2</v>
      </c>
      <c r="D116" t="s">
        <v>24</v>
      </c>
      <c r="E116" t="s">
        <v>21</v>
      </c>
      <c r="F116">
        <v>1</v>
      </c>
      <c r="G116">
        <f t="shared" si="33"/>
        <v>115</v>
      </c>
      <c r="I116">
        <v>2030</v>
      </c>
      <c r="J116">
        <f t="shared" si="34"/>
        <v>117.5</v>
      </c>
      <c r="K116" cm="1">
        <f t="array" ref="K116">STOWA2019_JAARROND_T(A116*60,J116,I116,"","center")</f>
        <v>8.6946413632197643</v>
      </c>
      <c r="L116">
        <f t="shared" si="35"/>
        <v>0.11501336952553544</v>
      </c>
    </row>
    <row r="117" spans="1:12" x14ac:dyDescent="0.3">
      <c r="A117">
        <v>192</v>
      </c>
      <c r="B117">
        <f t="shared" si="32"/>
        <v>3.0408421912199668E-2</v>
      </c>
      <c r="C117">
        <f t="shared" si="28"/>
        <v>3.0408421912199668E-2</v>
      </c>
      <c r="D117" t="s">
        <v>24</v>
      </c>
      <c r="E117" t="s">
        <v>21</v>
      </c>
      <c r="F117">
        <v>1</v>
      </c>
      <c r="G117">
        <f t="shared" si="33"/>
        <v>120</v>
      </c>
      <c r="I117">
        <v>2030</v>
      </c>
      <c r="J117">
        <f t="shared" si="34"/>
        <v>122.5</v>
      </c>
      <c r="K117" cm="1">
        <f t="array" ref="K117">STOWA2019_JAARROND_T(A117*60,J117,I117,"","center")</f>
        <v>11.81963972804796</v>
      </c>
      <c r="L117">
        <f t="shared" si="35"/>
        <v>8.4604947613335771E-2</v>
      </c>
    </row>
    <row r="118" spans="1:12" x14ac:dyDescent="0.3">
      <c r="A118">
        <v>192</v>
      </c>
      <c r="B118">
        <f t="shared" si="32"/>
        <v>2.2393117996710343E-2</v>
      </c>
      <c r="C118">
        <f t="shared" si="28"/>
        <v>2.2393117996710343E-2</v>
      </c>
      <c r="D118" t="s">
        <v>24</v>
      </c>
      <c r="E118" t="s">
        <v>21</v>
      </c>
      <c r="F118">
        <v>1</v>
      </c>
      <c r="G118">
        <f t="shared" si="33"/>
        <v>125</v>
      </c>
      <c r="I118">
        <v>2030</v>
      </c>
      <c r="J118">
        <f t="shared" si="34"/>
        <v>127.5</v>
      </c>
      <c r="K118" cm="1">
        <f t="array" ref="K118">STOWA2019_JAARROND_T(A118*60,J118,I118,"","center")</f>
        <v>16.074113334431832</v>
      </c>
      <c r="L118">
        <f t="shared" si="35"/>
        <v>6.2211829616625428E-2</v>
      </c>
    </row>
    <row r="119" spans="1:12" x14ac:dyDescent="0.3">
      <c r="A119">
        <v>192</v>
      </c>
      <c r="B119">
        <f t="shared" si="32"/>
        <v>1.6484481402844066E-2</v>
      </c>
      <c r="C119">
        <f t="shared" si="28"/>
        <v>1.6484481402844066E-2</v>
      </c>
      <c r="D119" t="s">
        <v>24</v>
      </c>
      <c r="E119" t="s">
        <v>21</v>
      </c>
      <c r="F119">
        <v>1</v>
      </c>
      <c r="G119">
        <f t="shared" si="33"/>
        <v>130</v>
      </c>
      <c r="I119">
        <v>2030</v>
      </c>
      <c r="J119">
        <f t="shared" si="34"/>
        <v>132.5</v>
      </c>
      <c r="K119" cm="1">
        <f t="array" ref="K119">STOWA2019_JAARROND_T(A119*60,J119,I119,"","center")</f>
        <v>21.868751175442508</v>
      </c>
      <c r="L119">
        <f t="shared" si="35"/>
        <v>4.5727348213781362E-2</v>
      </c>
    </row>
    <row r="120" spans="1:12" x14ac:dyDescent="0.3">
      <c r="A120">
        <v>192</v>
      </c>
      <c r="B120">
        <f t="shared" si="32"/>
        <v>1.2129631566248453E-2</v>
      </c>
      <c r="C120">
        <f t="shared" si="28"/>
        <v>1.2129631566248453E-2</v>
      </c>
      <c r="D120" t="s">
        <v>24</v>
      </c>
      <c r="E120" t="s">
        <v>21</v>
      </c>
      <c r="F120">
        <v>1</v>
      </c>
      <c r="G120">
        <f t="shared" si="33"/>
        <v>135</v>
      </c>
      <c r="I120">
        <v>2030</v>
      </c>
      <c r="J120">
        <f t="shared" si="34"/>
        <v>137.5</v>
      </c>
      <c r="K120" cm="1">
        <f t="array" ref="K120">STOWA2019_JAARROND_T(A120*60,J120,I120,"","center")</f>
        <v>29.763927426700004</v>
      </c>
      <c r="L120">
        <f t="shared" si="35"/>
        <v>3.3597716647532909E-2</v>
      </c>
    </row>
    <row r="121" spans="1:12" x14ac:dyDescent="0.3">
      <c r="A121">
        <v>192</v>
      </c>
      <c r="B121">
        <f t="shared" si="32"/>
        <v>8.9219679257926156E-3</v>
      </c>
      <c r="C121">
        <f t="shared" si="28"/>
        <v>8.9219679257926156E-3</v>
      </c>
      <c r="D121" t="s">
        <v>24</v>
      </c>
      <c r="E121" t="s">
        <v>21</v>
      </c>
      <c r="F121">
        <v>1</v>
      </c>
      <c r="G121">
        <f t="shared" si="33"/>
        <v>140</v>
      </c>
      <c r="I121">
        <v>2030</v>
      </c>
      <c r="J121">
        <f t="shared" si="34"/>
        <v>142.5</v>
      </c>
      <c r="K121" cm="1">
        <f t="array" ref="K121">STOWA2019_JAARROND_T(A121*60,J121,I121,"","center")</f>
        <v>40.525619355126643</v>
      </c>
      <c r="L121">
        <f t="shared" si="35"/>
        <v>2.4675748721740293E-2</v>
      </c>
    </row>
    <row r="122" spans="1:12" x14ac:dyDescent="0.3">
      <c r="A122">
        <v>192</v>
      </c>
      <c r="B122">
        <f t="shared" si="32"/>
        <v>6.5599743985259341E-3</v>
      </c>
      <c r="C122">
        <f t="shared" si="28"/>
        <v>6.5599743985259341E-3</v>
      </c>
      <c r="D122" t="s">
        <v>24</v>
      </c>
      <c r="E122" t="s">
        <v>21</v>
      </c>
      <c r="F122">
        <v>1</v>
      </c>
      <c r="G122">
        <f t="shared" si="33"/>
        <v>145</v>
      </c>
      <c r="I122">
        <v>2030</v>
      </c>
      <c r="J122">
        <f t="shared" si="34"/>
        <v>147.5</v>
      </c>
      <c r="K122" cm="1">
        <f t="array" ref="K122">STOWA2019_JAARROND_T(A122*60,J122,I122,"","center")</f>
        <v>55.200511010923528</v>
      </c>
      <c r="L122">
        <f t="shared" si="35"/>
        <v>1.8115774323214359E-2</v>
      </c>
    </row>
    <row r="123" spans="1:12" x14ac:dyDescent="0.3">
      <c r="A123">
        <v>192</v>
      </c>
      <c r="B123">
        <f t="shared" si="32"/>
        <v>4.8213768456816224E-3</v>
      </c>
      <c r="C123">
        <f t="shared" si="28"/>
        <v>4.8213768456816224E-3</v>
      </c>
      <c r="D123" t="s">
        <v>24</v>
      </c>
      <c r="E123" t="s">
        <v>21</v>
      </c>
      <c r="F123">
        <v>1</v>
      </c>
      <c r="G123">
        <f t="shared" si="33"/>
        <v>150</v>
      </c>
      <c r="I123">
        <v>2030</v>
      </c>
      <c r="J123">
        <f t="shared" si="34"/>
        <v>152.5</v>
      </c>
      <c r="K123" cm="1">
        <f t="array" ref="K123">STOWA2019_JAARROND_T(A123*60,J123,I123,"","center")</f>
        <v>75.219655624858504</v>
      </c>
      <c r="L123">
        <f t="shared" si="35"/>
        <v>1.3294397477532737E-2</v>
      </c>
    </row>
    <row r="124" spans="1:12" x14ac:dyDescent="0.3">
      <c r="A124">
        <v>192</v>
      </c>
      <c r="B124">
        <f t="shared" si="32"/>
        <v>3.5421466825653145E-3</v>
      </c>
      <c r="C124">
        <f t="shared" si="28"/>
        <v>3.5421466825653145E-3</v>
      </c>
      <c r="D124" t="s">
        <v>24</v>
      </c>
      <c r="E124" t="s">
        <v>21</v>
      </c>
      <c r="F124">
        <v>1</v>
      </c>
      <c r="G124">
        <f t="shared" si="33"/>
        <v>155</v>
      </c>
      <c r="I124">
        <v>2030</v>
      </c>
      <c r="J124">
        <f t="shared" si="34"/>
        <v>157.5</v>
      </c>
      <c r="K124" cm="1">
        <f t="array" ref="K124">STOWA2019_JAARROND_T(A124*60,J124,I124,"","center")</f>
        <v>102.54043102706532</v>
      </c>
      <c r="L124">
        <f t="shared" si="35"/>
        <v>9.7522507949674223E-3</v>
      </c>
    </row>
    <row r="125" spans="1:12" x14ac:dyDescent="0.3">
      <c r="A125">
        <v>192</v>
      </c>
      <c r="B125" s="1">
        <f>L124</f>
        <v>9.7522507949674223E-3</v>
      </c>
      <c r="C125">
        <f t="shared" si="28"/>
        <v>9.7522507949674223E-3</v>
      </c>
      <c r="D125" t="s">
        <v>24</v>
      </c>
      <c r="E125" t="s">
        <v>21</v>
      </c>
      <c r="F125">
        <v>1</v>
      </c>
      <c r="G125">
        <f t="shared" si="33"/>
        <v>160</v>
      </c>
      <c r="I125">
        <v>2030</v>
      </c>
      <c r="J125">
        <f>AVERAGE(G125:G126)</f>
        <v>85</v>
      </c>
      <c r="K125" cm="1">
        <f t="array" ref="K125">STOWA2019_JAARROND_T(A125*60,J125,I125,"","center")</f>
        <v>1.1926232949477189</v>
      </c>
      <c r="L125">
        <f>1/K125</f>
        <v>0.83848773056528048</v>
      </c>
    </row>
    <row r="126" spans="1:12" x14ac:dyDescent="0.3">
      <c r="A126">
        <v>216</v>
      </c>
      <c r="B126" s="1">
        <f>365.25*24/A126 - L126</f>
        <v>-43.993593400151035</v>
      </c>
      <c r="C126">
        <f>B126</f>
        <v>-43.993593400151035</v>
      </c>
      <c r="D126" t="s">
        <v>24</v>
      </c>
      <c r="E126" t="s">
        <v>21</v>
      </c>
      <c r="F126">
        <v>1</v>
      </c>
      <c r="G126">
        <v>10</v>
      </c>
      <c r="I126">
        <v>2030</v>
      </c>
      <c r="J126">
        <f>AVERAGE(G126:G128)</f>
        <v>15</v>
      </c>
      <c r="K126" cm="1">
        <f t="array" ref="K126">STOWA2019_JAARROND_T(A126*60,J126,I126,"","center")</f>
        <v>1.1823555650717393E-2</v>
      </c>
      <c r="L126">
        <f>1/K126</f>
        <v>84.57692673348437</v>
      </c>
    </row>
    <row r="127" spans="1:12" x14ac:dyDescent="0.3">
      <c r="A127">
        <v>216</v>
      </c>
      <c r="B127">
        <f t="shared" ref="B127:B131" si="36">L126-L127</f>
        <v>-915.42307326651564</v>
      </c>
      <c r="C127">
        <f t="shared" ref="C127:C156" si="37">B127</f>
        <v>-915.42307326651564</v>
      </c>
      <c r="D127" t="s">
        <v>24</v>
      </c>
      <c r="E127" t="s">
        <v>21</v>
      </c>
      <c r="F127">
        <v>1</v>
      </c>
      <c r="G127">
        <f t="shared" ref="G127:G131" si="38">G126+5</f>
        <v>15</v>
      </c>
      <c r="I127">
        <v>2030</v>
      </c>
      <c r="J127">
        <f t="shared" ref="J127:J131" si="39">AVERAGE(G127:G128)</f>
        <v>17.5</v>
      </c>
      <c r="K127" s="1">
        <v>1E-3</v>
      </c>
      <c r="L127">
        <f t="shared" ref="L127:L131" si="40">1/K127</f>
        <v>1000</v>
      </c>
    </row>
    <row r="128" spans="1:12" x14ac:dyDescent="0.3">
      <c r="A128">
        <v>216</v>
      </c>
      <c r="B128">
        <f t="shared" si="36"/>
        <v>967.37976263912878</v>
      </c>
      <c r="C128">
        <f t="shared" si="37"/>
        <v>967.37976263912878</v>
      </c>
      <c r="D128" t="s">
        <v>24</v>
      </c>
      <c r="E128" t="s">
        <v>21</v>
      </c>
      <c r="F128">
        <v>1</v>
      </c>
      <c r="G128">
        <f t="shared" si="38"/>
        <v>20</v>
      </c>
      <c r="I128">
        <v>2030</v>
      </c>
      <c r="J128">
        <f t="shared" si="39"/>
        <v>22.5</v>
      </c>
      <c r="K128" cm="1">
        <f t="array" ref="K128">STOWA2019_JAARROND_T(A128*60,J128,I128,"","center")</f>
        <v>3.0655816171329453E-2</v>
      </c>
      <c r="L128">
        <f t="shared" si="40"/>
        <v>32.62023736087118</v>
      </c>
    </row>
    <row r="129" spans="1:12" x14ac:dyDescent="0.3">
      <c r="A129">
        <v>216</v>
      </c>
      <c r="B129">
        <f t="shared" si="36"/>
        <v>1.9641566108476241</v>
      </c>
      <c r="C129">
        <f t="shared" si="37"/>
        <v>1.9641566108476241</v>
      </c>
      <c r="D129" t="s">
        <v>24</v>
      </c>
      <c r="E129" t="s">
        <v>21</v>
      </c>
      <c r="F129">
        <v>1</v>
      </c>
      <c r="G129">
        <f t="shared" si="38"/>
        <v>25</v>
      </c>
      <c r="I129">
        <v>2030</v>
      </c>
      <c r="J129">
        <f t="shared" si="39"/>
        <v>27.5</v>
      </c>
      <c r="K129" cm="1">
        <f t="array" ref="K129">STOWA2019_JAARROND_T(A129*60,J129,I129,"","center")</f>
        <v>3.2619955830434443E-2</v>
      </c>
      <c r="L129">
        <f t="shared" si="40"/>
        <v>30.656080750023555</v>
      </c>
    </row>
    <row r="130" spans="1:12" x14ac:dyDescent="0.3">
      <c r="A130">
        <v>216</v>
      </c>
      <c r="B130">
        <f t="shared" si="36"/>
        <v>7.8411990983881488</v>
      </c>
      <c r="C130">
        <f t="shared" si="37"/>
        <v>7.8411990983881488</v>
      </c>
      <c r="D130" t="s">
        <v>24</v>
      </c>
      <c r="E130" t="s">
        <v>21</v>
      </c>
      <c r="F130">
        <v>1</v>
      </c>
      <c r="G130">
        <f t="shared" si="38"/>
        <v>30</v>
      </c>
      <c r="I130">
        <v>2030</v>
      </c>
      <c r="J130">
        <f t="shared" si="39"/>
        <v>32.5</v>
      </c>
      <c r="K130" cm="1">
        <f t="array" ref="K130">STOWA2019_JAARROND_T(A130*60,J130,I130,"","center")</f>
        <v>4.3831040426559408E-2</v>
      </c>
      <c r="L130">
        <f t="shared" si="40"/>
        <v>22.814881651635407</v>
      </c>
    </row>
    <row r="131" spans="1:12" x14ac:dyDescent="0.3">
      <c r="A131">
        <v>216</v>
      </c>
      <c r="B131">
        <f t="shared" si="36"/>
        <v>5.7071547329371874</v>
      </c>
      <c r="C131">
        <f t="shared" si="37"/>
        <v>5.7071547329371874</v>
      </c>
      <c r="D131" t="s">
        <v>24</v>
      </c>
      <c r="E131" t="s">
        <v>21</v>
      </c>
      <c r="F131">
        <v>1</v>
      </c>
      <c r="G131">
        <f t="shared" si="38"/>
        <v>35</v>
      </c>
      <c r="I131">
        <v>2030</v>
      </c>
      <c r="J131">
        <f t="shared" si="39"/>
        <v>37.5</v>
      </c>
      <c r="K131" cm="1">
        <f t="array" ref="K131">STOWA2019_JAARROND_T(A131*60,J131,I131,"","center")</f>
        <v>5.8453119152085058E-2</v>
      </c>
      <c r="L131">
        <f t="shared" si="40"/>
        <v>17.107726918698219</v>
      </c>
    </row>
    <row r="132" spans="1:12" x14ac:dyDescent="0.3">
      <c r="A132">
        <v>216</v>
      </c>
      <c r="B132">
        <f>L131-L132</f>
        <v>4.2548829398176018</v>
      </c>
      <c r="C132">
        <f t="shared" si="37"/>
        <v>4.2548829398176018</v>
      </c>
      <c r="D132" t="s">
        <v>24</v>
      </c>
      <c r="E132" t="s">
        <v>21</v>
      </c>
      <c r="F132">
        <v>1</v>
      </c>
      <c r="G132">
        <f>G131+5</f>
        <v>40</v>
      </c>
      <c r="I132">
        <v>2030</v>
      </c>
      <c r="J132">
        <f>AVERAGE(G132:G133)</f>
        <v>42.5</v>
      </c>
      <c r="K132" cm="1">
        <f t="array" ref="K132">STOWA2019_JAARROND_T(A132*60,J132,I132,"","center")</f>
        <v>7.7803792035690156E-2</v>
      </c>
      <c r="L132">
        <f>1/K132</f>
        <v>12.852843978880617</v>
      </c>
    </row>
    <row r="133" spans="1:12" x14ac:dyDescent="0.3">
      <c r="A133">
        <v>216</v>
      </c>
      <c r="B133">
        <f t="shared" ref="B133:B155" si="41">L132-L133</f>
        <v>3.1939796285650672</v>
      </c>
      <c r="C133">
        <f t="shared" si="37"/>
        <v>3.1939796285650672</v>
      </c>
      <c r="D133" t="s">
        <v>24</v>
      </c>
      <c r="E133" t="s">
        <v>21</v>
      </c>
      <c r="F133">
        <v>1</v>
      </c>
      <c r="G133">
        <f t="shared" ref="G133:G156" si="42">G132+5</f>
        <v>45</v>
      </c>
      <c r="I133">
        <v>2030</v>
      </c>
      <c r="J133">
        <f t="shared" ref="J133:J155" si="43">AVERAGE(G133:G134)</f>
        <v>47.5</v>
      </c>
      <c r="K133" cm="1">
        <f t="array" ref="K133">STOWA2019_JAARROND_T(A133*60,J133,I133,"","center")</f>
        <v>0.10353184015544545</v>
      </c>
      <c r="L133">
        <f t="shared" ref="L133:L155" si="44">1/K133</f>
        <v>9.6588643503155502</v>
      </c>
    </row>
    <row r="134" spans="1:12" x14ac:dyDescent="0.3">
      <c r="A134">
        <v>216</v>
      </c>
      <c r="B134">
        <f t="shared" si="41"/>
        <v>2.4030757773614324</v>
      </c>
      <c r="C134">
        <f t="shared" si="37"/>
        <v>2.4030757773614324</v>
      </c>
      <c r="D134" t="s">
        <v>24</v>
      </c>
      <c r="E134" t="s">
        <v>21</v>
      </c>
      <c r="F134">
        <v>1</v>
      </c>
      <c r="G134">
        <f t="shared" si="42"/>
        <v>50</v>
      </c>
      <c r="I134">
        <v>2030</v>
      </c>
      <c r="J134">
        <f t="shared" si="43"/>
        <v>52.5</v>
      </c>
      <c r="K134" cm="1">
        <f t="array" ref="K134">STOWA2019_JAARROND_T(A134*60,J134,I134,"","center")</f>
        <v>0.13782099491259853</v>
      </c>
      <c r="L134">
        <f t="shared" si="44"/>
        <v>7.2557885729541178</v>
      </c>
    </row>
    <row r="135" spans="1:12" x14ac:dyDescent="0.3">
      <c r="A135">
        <v>216</v>
      </c>
      <c r="B135">
        <f t="shared" si="41"/>
        <v>1.8091559246066602</v>
      </c>
      <c r="C135">
        <f t="shared" si="37"/>
        <v>1.8091559246066602</v>
      </c>
      <c r="D135" t="s">
        <v>24</v>
      </c>
      <c r="E135" t="s">
        <v>21</v>
      </c>
      <c r="F135">
        <v>1</v>
      </c>
      <c r="G135">
        <f t="shared" si="42"/>
        <v>55</v>
      </c>
      <c r="I135">
        <v>2030</v>
      </c>
      <c r="J135">
        <f t="shared" si="43"/>
        <v>57.5</v>
      </c>
      <c r="K135" cm="1">
        <f t="array" ref="K135">STOWA2019_JAARROND_T(A135*60,J135,I135,"","center")</f>
        <v>0.1835996779227265</v>
      </c>
      <c r="L135">
        <f t="shared" si="44"/>
        <v>5.4466326483474576</v>
      </c>
    </row>
    <row r="136" spans="1:12" x14ac:dyDescent="0.3">
      <c r="A136">
        <v>216</v>
      </c>
      <c r="B136">
        <f t="shared" si="41"/>
        <v>1.3617315905883185</v>
      </c>
      <c r="C136">
        <f t="shared" si="37"/>
        <v>1.3617315905883185</v>
      </c>
      <c r="D136" t="s">
        <v>24</v>
      </c>
      <c r="E136" t="s">
        <v>21</v>
      </c>
      <c r="F136">
        <v>1</v>
      </c>
      <c r="G136">
        <f t="shared" si="42"/>
        <v>60</v>
      </c>
      <c r="I136">
        <v>2030</v>
      </c>
      <c r="J136">
        <f t="shared" si="43"/>
        <v>62.5</v>
      </c>
      <c r="K136" cm="1">
        <f t="array" ref="K136">STOWA2019_JAARROND_T(A136*60,J136,I136,"","center")</f>
        <v>0.24480397098003928</v>
      </c>
      <c r="L136">
        <f t="shared" si="44"/>
        <v>4.0849010577591391</v>
      </c>
    </row>
    <row r="137" spans="1:12" x14ac:dyDescent="0.3">
      <c r="A137">
        <v>216</v>
      </c>
      <c r="B137">
        <f t="shared" si="41"/>
        <v>1.0243398486041637</v>
      </c>
      <c r="C137">
        <f t="shared" si="37"/>
        <v>1.0243398486041637</v>
      </c>
      <c r="D137" t="s">
        <v>24</v>
      </c>
      <c r="E137" t="s">
        <v>21</v>
      </c>
      <c r="F137">
        <v>1</v>
      </c>
      <c r="G137">
        <f t="shared" si="42"/>
        <v>65</v>
      </c>
      <c r="I137">
        <v>2030</v>
      </c>
      <c r="J137">
        <f t="shared" si="43"/>
        <v>67.5</v>
      </c>
      <c r="K137" cm="1">
        <f t="array" ref="K137">STOWA2019_JAARROND_T(A137*60,J137,I137,"","center")</f>
        <v>0.32673746142005805</v>
      </c>
      <c r="L137">
        <f t="shared" si="44"/>
        <v>3.0605612091549754</v>
      </c>
    </row>
    <row r="138" spans="1:12" x14ac:dyDescent="0.3">
      <c r="A138">
        <v>216</v>
      </c>
      <c r="B138">
        <f t="shared" si="41"/>
        <v>0.77001098347984875</v>
      </c>
      <c r="C138">
        <f t="shared" si="37"/>
        <v>0.77001098347984875</v>
      </c>
      <c r="D138" t="s">
        <v>24</v>
      </c>
      <c r="E138" t="s">
        <v>21</v>
      </c>
      <c r="F138">
        <v>1</v>
      </c>
      <c r="G138">
        <f t="shared" si="42"/>
        <v>70</v>
      </c>
      <c r="I138">
        <v>2030</v>
      </c>
      <c r="J138">
        <f t="shared" si="43"/>
        <v>72.5</v>
      </c>
      <c r="K138" cm="1">
        <f t="array" ref="K138">STOWA2019_JAARROND_T(A138*60,J138,I138,"","center")</f>
        <v>0.43657632510776129</v>
      </c>
      <c r="L138">
        <f t="shared" si="44"/>
        <v>2.2905502256751267</v>
      </c>
    </row>
    <row r="139" spans="1:12" x14ac:dyDescent="0.3">
      <c r="A139">
        <v>216</v>
      </c>
      <c r="B139">
        <f t="shared" si="41"/>
        <v>0.57822971346467167</v>
      </c>
      <c r="C139">
        <f t="shared" si="37"/>
        <v>0.57822971346467167</v>
      </c>
      <c r="D139" t="s">
        <v>24</v>
      </c>
      <c r="E139" t="s">
        <v>21</v>
      </c>
      <c r="F139">
        <v>1</v>
      </c>
      <c r="G139">
        <f t="shared" si="42"/>
        <v>75</v>
      </c>
      <c r="I139">
        <v>2030</v>
      </c>
      <c r="J139">
        <f t="shared" si="43"/>
        <v>77.5</v>
      </c>
      <c r="K139" cm="1">
        <f t="array" ref="K139">STOWA2019_JAARROND_T(A139*60,J139,I139,"","center")</f>
        <v>0.58400281540112375</v>
      </c>
      <c r="L139">
        <f t="shared" si="44"/>
        <v>1.712320512210455</v>
      </c>
    </row>
    <row r="140" spans="1:12" x14ac:dyDescent="0.3">
      <c r="A140">
        <v>216</v>
      </c>
      <c r="B140">
        <f t="shared" si="41"/>
        <v>0.43376691221014019</v>
      </c>
      <c r="C140">
        <f t="shared" si="37"/>
        <v>0.43376691221014019</v>
      </c>
      <c r="D140" t="s">
        <v>24</v>
      </c>
      <c r="E140" t="s">
        <v>21</v>
      </c>
      <c r="F140">
        <v>1</v>
      </c>
      <c r="G140">
        <f t="shared" si="42"/>
        <v>80</v>
      </c>
      <c r="I140">
        <v>2030</v>
      </c>
      <c r="J140">
        <f t="shared" si="43"/>
        <v>82.5</v>
      </c>
      <c r="K140" cm="1">
        <f t="array" ref="K140">STOWA2019_JAARROND_T(A140*60,J140,I140,"","center")</f>
        <v>0.78213381120647096</v>
      </c>
      <c r="L140">
        <f t="shared" si="44"/>
        <v>1.2785536000003148</v>
      </c>
    </row>
    <row r="141" spans="1:12" x14ac:dyDescent="0.3">
      <c r="A141">
        <v>216</v>
      </c>
      <c r="B141">
        <f t="shared" si="41"/>
        <v>0.32497094793692471</v>
      </c>
      <c r="C141">
        <f t="shared" si="37"/>
        <v>0.32497094793692471</v>
      </c>
      <c r="D141" t="s">
        <v>24</v>
      </c>
      <c r="E141" t="s">
        <v>21</v>
      </c>
      <c r="F141">
        <v>1</v>
      </c>
      <c r="G141">
        <f t="shared" si="42"/>
        <v>85</v>
      </c>
      <c r="I141">
        <v>2030</v>
      </c>
      <c r="J141">
        <f t="shared" si="43"/>
        <v>87.5</v>
      </c>
      <c r="K141" cm="1">
        <f t="array" ref="K141">STOWA2019_JAARROND_T(A141*60,J141,I141,"","center")</f>
        <v>1.0486767956990102</v>
      </c>
      <c r="L141">
        <f t="shared" si="44"/>
        <v>0.9535826520633901</v>
      </c>
    </row>
    <row r="142" spans="1:12" x14ac:dyDescent="0.3">
      <c r="A142">
        <v>216</v>
      </c>
      <c r="B142">
        <f t="shared" si="41"/>
        <v>0.24331899076201036</v>
      </c>
      <c r="C142">
        <f t="shared" si="37"/>
        <v>0.24331899076201036</v>
      </c>
      <c r="D142" t="s">
        <v>24</v>
      </c>
      <c r="E142" t="s">
        <v>21</v>
      </c>
      <c r="F142">
        <v>1</v>
      </c>
      <c r="G142">
        <f t="shared" si="42"/>
        <v>90</v>
      </c>
      <c r="I142">
        <v>2030</v>
      </c>
      <c r="J142">
        <f t="shared" si="43"/>
        <v>92.5</v>
      </c>
      <c r="K142" cm="1">
        <f t="array" ref="K142">STOWA2019_JAARROND_T(A142*60,J142,I142,"","center")</f>
        <v>1.4079278646576838</v>
      </c>
      <c r="L142">
        <f t="shared" si="44"/>
        <v>0.71026366130137975</v>
      </c>
    </row>
    <row r="143" spans="1:12" x14ac:dyDescent="0.3">
      <c r="A143">
        <v>216</v>
      </c>
      <c r="B143">
        <f t="shared" si="41"/>
        <v>0.18190240906870403</v>
      </c>
      <c r="C143">
        <f t="shared" si="37"/>
        <v>0.18190240906870403</v>
      </c>
      <c r="D143" t="s">
        <v>24</v>
      </c>
      <c r="E143" t="s">
        <v>21</v>
      </c>
      <c r="F143">
        <v>1</v>
      </c>
      <c r="G143">
        <f t="shared" si="42"/>
        <v>95</v>
      </c>
      <c r="I143">
        <v>2030</v>
      </c>
      <c r="J143">
        <f t="shared" si="43"/>
        <v>97.5</v>
      </c>
      <c r="K143" cm="1">
        <f t="array" ref="K143">STOWA2019_JAARROND_T(A143*60,J143,I143,"","center")</f>
        <v>1.8926444658353325</v>
      </c>
      <c r="L143">
        <f t="shared" si="44"/>
        <v>0.52836125223267572</v>
      </c>
    </row>
    <row r="144" spans="1:12" x14ac:dyDescent="0.3">
      <c r="A144">
        <v>216</v>
      </c>
      <c r="B144">
        <f t="shared" si="41"/>
        <v>0.13582213241204105</v>
      </c>
      <c r="C144">
        <f t="shared" si="37"/>
        <v>0.13582213241204105</v>
      </c>
      <c r="D144" t="s">
        <v>24</v>
      </c>
      <c r="E144" t="s">
        <v>21</v>
      </c>
      <c r="F144">
        <v>1</v>
      </c>
      <c r="G144">
        <f t="shared" si="42"/>
        <v>100</v>
      </c>
      <c r="I144">
        <v>2030</v>
      </c>
      <c r="J144">
        <f t="shared" si="43"/>
        <v>102.5</v>
      </c>
      <c r="K144" cm="1">
        <f t="array" ref="K144">STOWA2019_JAARROND_T(A144*60,J144,I144,"","center")</f>
        <v>2.5475167938852468</v>
      </c>
      <c r="L144">
        <f t="shared" si="44"/>
        <v>0.39253911982063466</v>
      </c>
    </row>
    <row r="145" spans="1:12" x14ac:dyDescent="0.3">
      <c r="A145">
        <v>216</v>
      </c>
      <c r="B145">
        <f t="shared" si="41"/>
        <v>0.10128915420074752</v>
      </c>
      <c r="C145">
        <f t="shared" si="37"/>
        <v>0.10128915420074752</v>
      </c>
      <c r="D145" t="s">
        <v>24</v>
      </c>
      <c r="E145" t="s">
        <v>21</v>
      </c>
      <c r="F145">
        <v>1</v>
      </c>
      <c r="G145">
        <f t="shared" si="42"/>
        <v>105</v>
      </c>
      <c r="I145">
        <v>2030</v>
      </c>
      <c r="J145">
        <f t="shared" si="43"/>
        <v>107.5</v>
      </c>
      <c r="K145" cm="1">
        <f t="array" ref="K145">STOWA2019_JAARROND_T(A145*60,J145,I145,"","center")</f>
        <v>3.4334768001487381</v>
      </c>
      <c r="L145">
        <f t="shared" si="44"/>
        <v>0.29124996561988714</v>
      </c>
    </row>
    <row r="146" spans="1:12" x14ac:dyDescent="0.3">
      <c r="A146">
        <v>216</v>
      </c>
      <c r="B146">
        <f t="shared" si="41"/>
        <v>7.5437781788800201E-2</v>
      </c>
      <c r="C146">
        <f t="shared" si="37"/>
        <v>7.5437781788800201E-2</v>
      </c>
      <c r="D146" t="s">
        <v>24</v>
      </c>
      <c r="E146" t="s">
        <v>21</v>
      </c>
      <c r="F146">
        <v>1</v>
      </c>
      <c r="G146">
        <f t="shared" si="42"/>
        <v>110</v>
      </c>
      <c r="I146">
        <v>2030</v>
      </c>
      <c r="J146">
        <f t="shared" si="43"/>
        <v>112.5</v>
      </c>
      <c r="K146" cm="1">
        <f t="array" ref="K146">STOWA2019_JAARROND_T(A146*60,J146,I146,"","center")</f>
        <v>4.633658685288526</v>
      </c>
      <c r="L146">
        <f t="shared" si="44"/>
        <v>0.21581218383108694</v>
      </c>
    </row>
    <row r="147" spans="1:12" x14ac:dyDescent="0.3">
      <c r="A147">
        <v>216</v>
      </c>
      <c r="B147">
        <f t="shared" si="41"/>
        <v>5.611291732263865E-2</v>
      </c>
      <c r="C147">
        <f t="shared" si="37"/>
        <v>5.611291732263865E-2</v>
      </c>
      <c r="D147" t="s">
        <v>24</v>
      </c>
      <c r="E147" t="s">
        <v>21</v>
      </c>
      <c r="F147">
        <v>1</v>
      </c>
      <c r="G147">
        <f t="shared" si="42"/>
        <v>115</v>
      </c>
      <c r="I147">
        <v>2030</v>
      </c>
      <c r="J147">
        <f t="shared" si="43"/>
        <v>117.5</v>
      </c>
      <c r="K147" cm="1">
        <f t="array" ref="K147">STOWA2019_JAARROND_T(A147*60,J147,I147,"","center")</f>
        <v>6.2617695238262021</v>
      </c>
      <c r="L147">
        <f t="shared" si="44"/>
        <v>0.15969926650844829</v>
      </c>
    </row>
    <row r="148" spans="1:12" x14ac:dyDescent="0.3">
      <c r="A148">
        <v>216</v>
      </c>
      <c r="B148">
        <f t="shared" si="41"/>
        <v>4.168437206500071E-2</v>
      </c>
      <c r="C148">
        <f t="shared" si="37"/>
        <v>4.168437206500071E-2</v>
      </c>
      <c r="D148" t="s">
        <v>24</v>
      </c>
      <c r="E148" t="s">
        <v>21</v>
      </c>
      <c r="F148">
        <v>1</v>
      </c>
      <c r="G148">
        <f t="shared" si="42"/>
        <v>120</v>
      </c>
      <c r="I148">
        <v>2030</v>
      </c>
      <c r="J148">
        <f t="shared" si="43"/>
        <v>122.5</v>
      </c>
      <c r="K148" cm="1">
        <f t="array" ref="K148">STOWA2019_JAARROND_T(A148*60,J148,I148,"","center")</f>
        <v>8.4735067104533766</v>
      </c>
      <c r="L148">
        <f t="shared" si="44"/>
        <v>0.11801489444344758</v>
      </c>
    </row>
    <row r="149" spans="1:12" x14ac:dyDescent="0.3">
      <c r="A149">
        <v>216</v>
      </c>
      <c r="B149">
        <f t="shared" si="41"/>
        <v>3.0923113582140754E-2</v>
      </c>
      <c r="C149">
        <f t="shared" si="37"/>
        <v>3.0923113582140754E-2</v>
      </c>
      <c r="D149" t="s">
        <v>24</v>
      </c>
      <c r="E149" t="s">
        <v>21</v>
      </c>
      <c r="F149">
        <v>1</v>
      </c>
      <c r="G149">
        <f t="shared" si="42"/>
        <v>125</v>
      </c>
      <c r="I149">
        <v>2030</v>
      </c>
      <c r="J149">
        <f t="shared" si="43"/>
        <v>127.5</v>
      </c>
      <c r="K149" cm="1">
        <f t="array" ref="K149">STOWA2019_JAARROND_T(A149*60,J149,I149,"","center")</f>
        <v>11.482139762332963</v>
      </c>
      <c r="L149">
        <f t="shared" si="44"/>
        <v>8.7091780861306825E-2</v>
      </c>
    </row>
    <row r="150" spans="1:12" x14ac:dyDescent="0.3">
      <c r="A150">
        <v>216</v>
      </c>
      <c r="B150">
        <f t="shared" si="41"/>
        <v>2.2909622795524595E-2</v>
      </c>
      <c r="C150">
        <f t="shared" si="37"/>
        <v>2.2909622795524595E-2</v>
      </c>
      <c r="D150" t="s">
        <v>24</v>
      </c>
      <c r="E150" t="s">
        <v>21</v>
      </c>
      <c r="F150">
        <v>1</v>
      </c>
      <c r="G150">
        <f t="shared" si="42"/>
        <v>130</v>
      </c>
      <c r="I150">
        <v>2030</v>
      </c>
      <c r="J150">
        <f t="shared" si="43"/>
        <v>132.5</v>
      </c>
      <c r="K150" cm="1">
        <f t="array" ref="K150">STOWA2019_JAARROND_T(A150*60,J150,I150,"","center")</f>
        <v>15.580654034335677</v>
      </c>
      <c r="L150">
        <f t="shared" si="44"/>
        <v>6.418215806578223E-2</v>
      </c>
    </row>
    <row r="151" spans="1:12" x14ac:dyDescent="0.3">
      <c r="A151">
        <v>216</v>
      </c>
      <c r="B151">
        <f t="shared" si="41"/>
        <v>1.6949568448819063E-2</v>
      </c>
      <c r="C151">
        <f t="shared" si="37"/>
        <v>1.6949568448819063E-2</v>
      </c>
      <c r="D151" t="s">
        <v>24</v>
      </c>
      <c r="E151" t="s">
        <v>21</v>
      </c>
      <c r="F151">
        <v>1</v>
      </c>
      <c r="G151">
        <f t="shared" si="42"/>
        <v>135</v>
      </c>
      <c r="I151">
        <v>2030</v>
      </c>
      <c r="J151">
        <f t="shared" si="43"/>
        <v>137.5</v>
      </c>
      <c r="K151" cm="1">
        <f t="array" ref="K151">STOWA2019_JAARROND_T(A151*60,J151,I151,"","center")</f>
        <v>21.171822424084468</v>
      </c>
      <c r="L151">
        <f t="shared" si="44"/>
        <v>4.7232589616963166E-2</v>
      </c>
    </row>
    <row r="152" spans="1:12" x14ac:dyDescent="0.3">
      <c r="A152">
        <v>216</v>
      </c>
      <c r="B152">
        <f t="shared" si="41"/>
        <v>1.2522938337964869E-2</v>
      </c>
      <c r="C152">
        <f t="shared" si="37"/>
        <v>1.2522938337964869E-2</v>
      </c>
      <c r="D152" t="s">
        <v>24</v>
      </c>
      <c r="E152" t="s">
        <v>21</v>
      </c>
      <c r="F152">
        <v>1</v>
      </c>
      <c r="G152">
        <f t="shared" si="42"/>
        <v>140</v>
      </c>
      <c r="I152">
        <v>2030</v>
      </c>
      <c r="J152">
        <f t="shared" si="43"/>
        <v>142.5</v>
      </c>
      <c r="K152" cm="1">
        <f t="array" ref="K152">STOWA2019_JAARROND_T(A152*60,J152,I152,"","center")</f>
        <v>28.81043061948214</v>
      </c>
      <c r="L152">
        <f t="shared" si="44"/>
        <v>3.4709651278998298E-2</v>
      </c>
    </row>
    <row r="153" spans="1:12" x14ac:dyDescent="0.3">
      <c r="A153">
        <v>216</v>
      </c>
      <c r="B153">
        <f t="shared" si="41"/>
        <v>9.2390653450611024E-3</v>
      </c>
      <c r="C153">
        <f t="shared" si="37"/>
        <v>9.2390653450611024E-3</v>
      </c>
      <c r="D153" t="s">
        <v>24</v>
      </c>
      <c r="E153" t="s">
        <v>21</v>
      </c>
      <c r="F153">
        <v>1</v>
      </c>
      <c r="G153">
        <f t="shared" si="42"/>
        <v>145</v>
      </c>
      <c r="I153">
        <v>2030</v>
      </c>
      <c r="J153">
        <f t="shared" si="43"/>
        <v>147.5</v>
      </c>
      <c r="K153" cm="1">
        <f t="array" ref="K153">STOWA2019_JAARROND_T(A153*60,J153,I153,"","center")</f>
        <v>39.260973524271883</v>
      </c>
      <c r="L153">
        <f t="shared" si="44"/>
        <v>2.5470585933937195E-2</v>
      </c>
    </row>
    <row r="154" spans="1:12" x14ac:dyDescent="0.3">
      <c r="A154">
        <v>216</v>
      </c>
      <c r="B154">
        <f t="shared" si="41"/>
        <v>6.8069580420829813E-3</v>
      </c>
      <c r="C154">
        <f t="shared" si="37"/>
        <v>6.8069580420829813E-3</v>
      </c>
      <c r="D154" t="s">
        <v>24</v>
      </c>
      <c r="E154" t="s">
        <v>21</v>
      </c>
      <c r="F154">
        <v>1</v>
      </c>
      <c r="G154">
        <f t="shared" si="42"/>
        <v>150</v>
      </c>
      <c r="I154">
        <v>2030</v>
      </c>
      <c r="J154">
        <f t="shared" si="43"/>
        <v>152.5</v>
      </c>
      <c r="K154" cm="1">
        <f t="array" ref="K154">STOWA2019_JAARROND_T(A154*60,J154,I154,"","center")</f>
        <v>53.580150964992846</v>
      </c>
      <c r="L154">
        <f t="shared" si="44"/>
        <v>1.8663627891854214E-2</v>
      </c>
    </row>
    <row r="155" spans="1:12" x14ac:dyDescent="0.3">
      <c r="A155">
        <v>216</v>
      </c>
      <c r="B155">
        <f t="shared" si="41"/>
        <v>5.0077294875989654E-3</v>
      </c>
      <c r="C155">
        <f t="shared" si="37"/>
        <v>5.0077294875989654E-3</v>
      </c>
      <c r="D155" t="s">
        <v>24</v>
      </c>
      <c r="E155" t="s">
        <v>21</v>
      </c>
      <c r="F155">
        <v>1</v>
      </c>
      <c r="G155">
        <f t="shared" si="42"/>
        <v>155</v>
      </c>
      <c r="I155">
        <v>2030</v>
      </c>
      <c r="J155">
        <f t="shared" si="43"/>
        <v>157.5</v>
      </c>
      <c r="K155" cm="1">
        <f t="array" ref="K155">STOWA2019_JAARROND_T(A155*60,J155,I155,"","center")</f>
        <v>73.228429971944934</v>
      </c>
      <c r="L155">
        <f t="shared" si="44"/>
        <v>1.3655898404255249E-2</v>
      </c>
    </row>
    <row r="156" spans="1:12" x14ac:dyDescent="0.3">
      <c r="A156">
        <v>216</v>
      </c>
      <c r="B156" s="1">
        <f>L155</f>
        <v>1.3655898404255249E-2</v>
      </c>
      <c r="C156">
        <f t="shared" si="37"/>
        <v>1.3655898404255249E-2</v>
      </c>
      <c r="D156" t="s">
        <v>24</v>
      </c>
      <c r="E156" t="s">
        <v>21</v>
      </c>
      <c r="F156">
        <v>1</v>
      </c>
      <c r="G156">
        <f t="shared" si="42"/>
        <v>160</v>
      </c>
      <c r="I156">
        <v>2030</v>
      </c>
      <c r="J156">
        <f>AVERAGE(G156:G157)</f>
        <v>160</v>
      </c>
      <c r="K156" cm="1">
        <f t="array" ref="K156">STOWA2019_JAARROND_T(A156*60,J156,I156,"","center")</f>
        <v>85.656026353795653</v>
      </c>
      <c r="L156">
        <f>1/K156</f>
        <v>1.1674601806410872E-2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B64DB1-93AB-4A06-A1F6-A5FAB751D072}">
  <sheetPr codeName="Blad4"/>
  <dimension ref="A1:L156"/>
  <sheetViews>
    <sheetView workbookViewId="0">
      <selection activeCell="K18" sqref="K18"/>
    </sheetView>
  </sheetViews>
  <sheetFormatPr defaultRowHeight="14.4" x14ac:dyDescent="0.3"/>
  <cols>
    <col min="4" max="4" width="24" bestFit="1" customWidth="1"/>
    <col min="8" max="8" width="11.21875" bestFit="1" customWidth="1"/>
    <col min="11" max="11" width="13.5546875" bestFit="1" customWidth="1"/>
  </cols>
  <sheetData>
    <row r="1" spans="1:12" x14ac:dyDescent="0.3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20</v>
      </c>
      <c r="G1" t="s">
        <v>1</v>
      </c>
      <c r="I1" t="s">
        <v>4</v>
      </c>
      <c r="J1" t="s">
        <v>13</v>
      </c>
      <c r="K1" t="s">
        <v>2</v>
      </c>
      <c r="L1" t="s">
        <v>3</v>
      </c>
    </row>
    <row r="2" spans="1:12" x14ac:dyDescent="0.3">
      <c r="A2">
        <v>24</v>
      </c>
      <c r="B2" s="1">
        <f>365.25*24/A2 - L2</f>
        <v>358.29511593872712</v>
      </c>
      <c r="C2">
        <f>B2</f>
        <v>358.29511593872712</v>
      </c>
      <c r="D2" t="s">
        <v>24</v>
      </c>
      <c r="E2" t="s">
        <v>19</v>
      </c>
      <c r="F2">
        <v>1</v>
      </c>
      <c r="G2">
        <v>10</v>
      </c>
      <c r="I2">
        <v>2030</v>
      </c>
      <c r="J2">
        <f>AVERAGE(G2:G4)</f>
        <v>15</v>
      </c>
      <c r="K2" cm="1">
        <f t="array" ref="K2">STOWA2019_NDJF_T(A2*60,J2,I2,"","center")</f>
        <v>0.14378384904621683</v>
      </c>
      <c r="L2">
        <f>1/K2</f>
        <v>6.9548840612728853</v>
      </c>
    </row>
    <row r="3" spans="1:12" x14ac:dyDescent="0.3">
      <c r="A3">
        <v>24</v>
      </c>
      <c r="B3">
        <f t="shared" ref="B3:B7" si="0">L2-L3</f>
        <v>2.6026762641818664</v>
      </c>
      <c r="C3">
        <f t="shared" ref="C3:C32" si="1">B3</f>
        <v>2.6026762641818664</v>
      </c>
      <c r="D3" t="s">
        <v>24</v>
      </c>
      <c r="E3" t="s">
        <v>19</v>
      </c>
      <c r="F3">
        <v>1</v>
      </c>
      <c r="G3">
        <f t="shared" ref="G3:G7" si="2">G2+5</f>
        <v>15</v>
      </c>
      <c r="I3">
        <v>2030</v>
      </c>
      <c r="J3">
        <f t="shared" ref="J3:J7" si="3">AVERAGE(G3:G4)</f>
        <v>17.5</v>
      </c>
      <c r="K3" cm="1">
        <f t="array" ref="K3">STOWA2019_NDJF_T(A3*60,J3,I3,"","center")</f>
        <v>0.22976844089760423</v>
      </c>
      <c r="L3">
        <f t="shared" ref="L3:L7" si="4">1/K3</f>
        <v>4.3522077970910189</v>
      </c>
    </row>
    <row r="4" spans="1:12" x14ac:dyDescent="0.3">
      <c r="A4">
        <v>24</v>
      </c>
      <c r="B4">
        <f t="shared" si="0"/>
        <v>2.5684123133706711</v>
      </c>
      <c r="C4">
        <f t="shared" si="1"/>
        <v>2.5684123133706711</v>
      </c>
      <c r="D4" t="s">
        <v>24</v>
      </c>
      <c r="E4" t="s">
        <v>19</v>
      </c>
      <c r="F4">
        <v>1</v>
      </c>
      <c r="G4">
        <f t="shared" si="2"/>
        <v>20</v>
      </c>
      <c r="I4">
        <v>2030</v>
      </c>
      <c r="J4">
        <f t="shared" si="3"/>
        <v>22.5</v>
      </c>
      <c r="K4" cm="1">
        <f t="array" ref="K4">STOWA2019_NDJF_T(A4*60,J4,I4,"","center")</f>
        <v>0.56060238358399939</v>
      </c>
      <c r="L4">
        <f t="shared" si="4"/>
        <v>1.7837954837203476</v>
      </c>
    </row>
    <row r="5" spans="1:12" x14ac:dyDescent="0.3">
      <c r="A5">
        <v>24</v>
      </c>
      <c r="B5">
        <f t="shared" si="0"/>
        <v>1.0115664599063263</v>
      </c>
      <c r="C5">
        <f t="shared" si="1"/>
        <v>1.0115664599063263</v>
      </c>
      <c r="D5" t="s">
        <v>24</v>
      </c>
      <c r="E5" t="s">
        <v>19</v>
      </c>
      <c r="F5">
        <v>1</v>
      </c>
      <c r="G5">
        <f t="shared" si="2"/>
        <v>25</v>
      </c>
      <c r="I5">
        <v>2030</v>
      </c>
      <c r="J5">
        <f t="shared" si="3"/>
        <v>27.5</v>
      </c>
      <c r="K5" cm="1">
        <f t="array" ref="K5">STOWA2019_NDJF_T(A5*60,J5,I5,"","center")</f>
        <v>1.2949526230716157</v>
      </c>
      <c r="L5">
        <f t="shared" si="4"/>
        <v>0.77222902381402125</v>
      </c>
    </row>
    <row r="6" spans="1:12" x14ac:dyDescent="0.3">
      <c r="A6">
        <v>24</v>
      </c>
      <c r="B6">
        <f t="shared" si="0"/>
        <v>0.42146307566583668</v>
      </c>
      <c r="C6">
        <f t="shared" si="1"/>
        <v>0.42146307566583668</v>
      </c>
      <c r="D6" t="s">
        <v>24</v>
      </c>
      <c r="E6" t="s">
        <v>19</v>
      </c>
      <c r="F6">
        <v>1</v>
      </c>
      <c r="G6">
        <f t="shared" si="2"/>
        <v>30</v>
      </c>
      <c r="I6">
        <v>2030</v>
      </c>
      <c r="J6">
        <f t="shared" si="3"/>
        <v>32.5</v>
      </c>
      <c r="K6" cm="1">
        <f t="array" ref="K6">STOWA2019_NDJF_T(A6*60,J6,I6,"","center")</f>
        <v>2.8509038727372134</v>
      </c>
      <c r="L6">
        <f t="shared" si="4"/>
        <v>0.35076594814818457</v>
      </c>
    </row>
    <row r="7" spans="1:12" x14ac:dyDescent="0.3">
      <c r="A7">
        <v>24</v>
      </c>
      <c r="B7">
        <f t="shared" si="0"/>
        <v>0.18443409776920788</v>
      </c>
      <c r="C7">
        <f t="shared" si="1"/>
        <v>0.18443409776920788</v>
      </c>
      <c r="D7" t="s">
        <v>24</v>
      </c>
      <c r="E7" t="s">
        <v>19</v>
      </c>
      <c r="F7">
        <v>1</v>
      </c>
      <c r="G7">
        <f t="shared" si="2"/>
        <v>35</v>
      </c>
      <c r="I7">
        <v>2030</v>
      </c>
      <c r="J7">
        <f t="shared" si="3"/>
        <v>37.5</v>
      </c>
      <c r="K7" cm="1">
        <f t="array" ref="K7">STOWA2019_NDJF_T(A7*60,J7,I7,"","center")</f>
        <v>6.0120776491186909</v>
      </c>
      <c r="L7">
        <f t="shared" si="4"/>
        <v>0.16633185037897669</v>
      </c>
    </row>
    <row r="8" spans="1:12" x14ac:dyDescent="0.3">
      <c r="A8">
        <v>24</v>
      </c>
      <c r="B8">
        <f>L7-L8</f>
        <v>8.4359491448687082E-2</v>
      </c>
      <c r="C8">
        <f t="shared" si="1"/>
        <v>8.4359491448687082E-2</v>
      </c>
      <c r="D8" t="s">
        <v>24</v>
      </c>
      <c r="E8" t="s">
        <v>19</v>
      </c>
      <c r="F8">
        <v>1</v>
      </c>
      <c r="G8">
        <f>G7+5</f>
        <v>40</v>
      </c>
      <c r="I8">
        <v>2030</v>
      </c>
      <c r="J8">
        <f>AVERAGE(G8:G9)</f>
        <v>42.5</v>
      </c>
      <c r="K8" cm="1">
        <f t="array" ref="K8">STOWA2019_NDJF_T(A8*60,J8,I8,"","center")</f>
        <v>12.199234144895273</v>
      </c>
      <c r="L8">
        <f>1/K8</f>
        <v>8.1972358930289604E-2</v>
      </c>
    </row>
    <row r="9" spans="1:12" x14ac:dyDescent="0.3">
      <c r="A9">
        <v>24</v>
      </c>
      <c r="B9">
        <f t="shared" ref="B9:B31" si="5">L8-L9</f>
        <v>4.0145118724530346E-2</v>
      </c>
      <c r="C9">
        <f t="shared" si="1"/>
        <v>4.0145118724530346E-2</v>
      </c>
      <c r="D9" t="s">
        <v>24</v>
      </c>
      <c r="E9" t="s">
        <v>19</v>
      </c>
      <c r="F9">
        <v>1</v>
      </c>
      <c r="G9">
        <f t="shared" ref="G9:G32" si="6">G8+5</f>
        <v>45</v>
      </c>
      <c r="I9">
        <v>2030</v>
      </c>
      <c r="J9">
        <f t="shared" ref="J9:J31" si="7">AVERAGE(G9:G10)</f>
        <v>47.5</v>
      </c>
      <c r="K9" cm="1">
        <f t="array" ref="K9">STOWA2019_NDJF_T(A9*60,J9,I9,"","center")</f>
        <v>23.907864709235788</v>
      </c>
      <c r="L9">
        <f t="shared" ref="L9:L31" si="8">1/K9</f>
        <v>4.1827240205759258E-2</v>
      </c>
    </row>
    <row r="10" spans="1:12" x14ac:dyDescent="0.3">
      <c r="A10">
        <v>24</v>
      </c>
      <c r="B10">
        <f t="shared" si="5"/>
        <v>1.9801482034584705E-2</v>
      </c>
      <c r="C10">
        <f t="shared" si="1"/>
        <v>1.9801482034584705E-2</v>
      </c>
      <c r="D10" t="s">
        <v>24</v>
      </c>
      <c r="E10" t="s">
        <v>19</v>
      </c>
      <c r="F10">
        <v>1</v>
      </c>
      <c r="G10">
        <f t="shared" si="6"/>
        <v>50</v>
      </c>
      <c r="I10">
        <v>2030</v>
      </c>
      <c r="J10">
        <f t="shared" si="7"/>
        <v>52.5</v>
      </c>
      <c r="K10" cm="1">
        <f t="array" ref="K10">STOWA2019_NDJF_T(A10*60,J10,I10,"","center")</f>
        <v>45.401388330355651</v>
      </c>
      <c r="L10">
        <f t="shared" si="8"/>
        <v>2.2025758171174553E-2</v>
      </c>
    </row>
    <row r="11" spans="1:12" x14ac:dyDescent="0.3">
      <c r="A11">
        <v>24</v>
      </c>
      <c r="B11">
        <f t="shared" si="5"/>
        <v>1.00895919931461E-2</v>
      </c>
      <c r="C11">
        <f t="shared" si="1"/>
        <v>1.00895919931461E-2</v>
      </c>
      <c r="D11" t="s">
        <v>24</v>
      </c>
      <c r="E11" t="s">
        <v>19</v>
      </c>
      <c r="F11">
        <v>1</v>
      </c>
      <c r="G11">
        <f t="shared" si="6"/>
        <v>55</v>
      </c>
      <c r="I11">
        <v>2030</v>
      </c>
      <c r="J11">
        <f t="shared" si="7"/>
        <v>57.5</v>
      </c>
      <c r="K11" cm="1">
        <f t="array" ref="K11">STOWA2019_NDJF_T(A11*60,J11,I11,"","center")</f>
        <v>83.778994451397139</v>
      </c>
      <c r="L11">
        <f t="shared" si="8"/>
        <v>1.1936166178028453E-2</v>
      </c>
    </row>
    <row r="12" spans="1:12" x14ac:dyDescent="0.3">
      <c r="A12">
        <v>24</v>
      </c>
      <c r="B12">
        <f t="shared" si="5"/>
        <v>5.2958534345894665E-3</v>
      </c>
      <c r="C12">
        <f t="shared" si="1"/>
        <v>5.2958534345894665E-3</v>
      </c>
      <c r="D12" t="s">
        <v>24</v>
      </c>
      <c r="E12" t="s">
        <v>19</v>
      </c>
      <c r="F12">
        <v>1</v>
      </c>
      <c r="G12">
        <f t="shared" si="6"/>
        <v>60</v>
      </c>
      <c r="I12">
        <v>2030</v>
      </c>
      <c r="J12">
        <f t="shared" si="7"/>
        <v>62.5</v>
      </c>
      <c r="K12" cm="1">
        <f t="array" ref="K12">STOWA2019_NDJF_T(A12*60,J12,I12,"","center")</f>
        <v>150.5953166118656</v>
      </c>
      <c r="L12">
        <f t="shared" si="8"/>
        <v>6.6403127434389864E-3</v>
      </c>
    </row>
    <row r="13" spans="1:12" x14ac:dyDescent="0.3">
      <c r="A13">
        <v>24</v>
      </c>
      <c r="B13">
        <f t="shared" si="5"/>
        <v>2.8561749080160273E-3</v>
      </c>
      <c r="C13">
        <f t="shared" si="1"/>
        <v>2.8561749080160273E-3</v>
      </c>
      <c r="D13" t="s">
        <v>24</v>
      </c>
      <c r="E13" t="s">
        <v>19</v>
      </c>
      <c r="F13">
        <v>1</v>
      </c>
      <c r="G13">
        <f t="shared" si="6"/>
        <v>65</v>
      </c>
      <c r="I13">
        <v>2030</v>
      </c>
      <c r="J13">
        <f t="shared" si="7"/>
        <v>67.5</v>
      </c>
      <c r="K13" cm="1">
        <f t="array" ref="K13">STOWA2019_NDJF_T(A13*60,J13,I13,"","center")</f>
        <v>264.26098717628463</v>
      </c>
      <c r="L13">
        <f t="shared" si="8"/>
        <v>3.784137835422959E-3</v>
      </c>
    </row>
    <row r="14" spans="1:12" x14ac:dyDescent="0.3">
      <c r="A14">
        <v>24</v>
      </c>
      <c r="B14">
        <f t="shared" si="5"/>
        <v>1.5792815141416503E-3</v>
      </c>
      <c r="C14">
        <f t="shared" si="1"/>
        <v>1.5792815141416503E-3</v>
      </c>
      <c r="D14" t="s">
        <v>24</v>
      </c>
      <c r="E14" t="s">
        <v>19</v>
      </c>
      <c r="F14">
        <v>1</v>
      </c>
      <c r="G14">
        <f t="shared" si="6"/>
        <v>70</v>
      </c>
      <c r="I14">
        <v>2030</v>
      </c>
      <c r="J14">
        <f t="shared" si="7"/>
        <v>72.5</v>
      </c>
      <c r="K14" cm="1">
        <f t="array" ref="K14">STOWA2019_NDJF_T(A14*60,J14,I14,"","center")</f>
        <v>453.54429236408009</v>
      </c>
      <c r="L14">
        <f t="shared" si="8"/>
        <v>2.2048563212813087E-3</v>
      </c>
    </row>
    <row r="15" spans="1:12" x14ac:dyDescent="0.3">
      <c r="A15">
        <v>24</v>
      </c>
      <c r="B15">
        <f t="shared" si="5"/>
        <v>8.9359739044735987E-4</v>
      </c>
      <c r="C15">
        <f t="shared" si="1"/>
        <v>8.9359739044735987E-4</v>
      </c>
      <c r="D15" t="s">
        <v>24</v>
      </c>
      <c r="E15" t="s">
        <v>19</v>
      </c>
      <c r="F15">
        <v>1</v>
      </c>
      <c r="G15">
        <f t="shared" si="6"/>
        <v>75</v>
      </c>
      <c r="I15">
        <v>2030</v>
      </c>
      <c r="J15">
        <f t="shared" si="7"/>
        <v>77.5</v>
      </c>
      <c r="K15" cm="1">
        <f t="array" ref="K15">STOWA2019_NDJF_T(A15*60,J15,I15,"","center")</f>
        <v>762.62588302373581</v>
      </c>
      <c r="L15">
        <f t="shared" si="8"/>
        <v>1.3112589308339488E-3</v>
      </c>
    </row>
    <row r="16" spans="1:12" x14ac:dyDescent="0.3">
      <c r="A16">
        <v>24</v>
      </c>
      <c r="B16">
        <f t="shared" si="5"/>
        <v>5.1647356857664533E-4</v>
      </c>
      <c r="C16">
        <f t="shared" si="1"/>
        <v>5.1647356857664533E-4</v>
      </c>
      <c r="D16" t="s">
        <v>24</v>
      </c>
      <c r="E16" t="s">
        <v>19</v>
      </c>
      <c r="F16">
        <v>1</v>
      </c>
      <c r="G16">
        <f t="shared" si="6"/>
        <v>80</v>
      </c>
      <c r="I16">
        <v>2030</v>
      </c>
      <c r="J16">
        <f t="shared" si="7"/>
        <v>82.5</v>
      </c>
      <c r="K16" cm="1">
        <f t="array" ref="K16">STOWA2019_NDJF_T(A16*60,J16,I16,"","center")</f>
        <v>1258.2013301803368</v>
      </c>
      <c r="L16">
        <f t="shared" si="8"/>
        <v>7.9478536225730347E-4</v>
      </c>
    </row>
    <row r="17" spans="1:12" x14ac:dyDescent="0.3">
      <c r="A17">
        <v>24</v>
      </c>
      <c r="B17">
        <f t="shared" si="5"/>
        <v>3.0446683368412334E-4</v>
      </c>
      <c r="C17">
        <f t="shared" si="1"/>
        <v>3.0446683368412334E-4</v>
      </c>
      <c r="D17" t="s">
        <v>24</v>
      </c>
      <c r="E17" t="s">
        <v>19</v>
      </c>
      <c r="F17">
        <v>1</v>
      </c>
      <c r="G17">
        <f t="shared" si="6"/>
        <v>85</v>
      </c>
      <c r="I17">
        <v>2030</v>
      </c>
      <c r="J17">
        <f t="shared" si="7"/>
        <v>87.5</v>
      </c>
      <c r="K17" cm="1">
        <f t="array" ref="K17">STOWA2019_NDJF_T(A17*60,J17,I17,"","center")</f>
        <v>2039.4905387524018</v>
      </c>
      <c r="L17">
        <f t="shared" si="8"/>
        <v>4.9031852857318013E-4</v>
      </c>
    </row>
    <row r="18" spans="1:12" x14ac:dyDescent="0.3">
      <c r="A18">
        <v>24</v>
      </c>
      <c r="B18">
        <f t="shared" si="5"/>
        <v>1.8281142742600123E-4</v>
      </c>
      <c r="C18">
        <f t="shared" si="1"/>
        <v>1.8281142742600123E-4</v>
      </c>
      <c r="D18" t="s">
        <v>24</v>
      </c>
      <c r="E18" t="s">
        <v>19</v>
      </c>
      <c r="F18">
        <v>1</v>
      </c>
      <c r="G18">
        <f t="shared" si="6"/>
        <v>90</v>
      </c>
      <c r="I18">
        <v>2030</v>
      </c>
      <c r="J18">
        <f t="shared" si="7"/>
        <v>92.5</v>
      </c>
      <c r="K18" cm="1">
        <f t="array" ref="K18">STOWA2019_NDJF_T(A18*60,J18,I18,"","center")</f>
        <v>3251.9574223470713</v>
      </c>
      <c r="L18">
        <f t="shared" si="8"/>
        <v>3.075071011471789E-4</v>
      </c>
    </row>
    <row r="19" spans="1:12" x14ac:dyDescent="0.3">
      <c r="A19">
        <v>24</v>
      </c>
      <c r="B19">
        <f t="shared" si="5"/>
        <v>1.1166671304321782E-4</v>
      </c>
      <c r="C19">
        <f t="shared" si="1"/>
        <v>1.1166671304321782E-4</v>
      </c>
      <c r="D19" t="s">
        <v>24</v>
      </c>
      <c r="E19" t="s">
        <v>19</v>
      </c>
      <c r="F19">
        <v>1</v>
      </c>
      <c r="G19">
        <f t="shared" si="6"/>
        <v>95</v>
      </c>
      <c r="I19">
        <v>2030</v>
      </c>
      <c r="J19">
        <f t="shared" si="7"/>
        <v>97.5</v>
      </c>
      <c r="K19" cm="1">
        <f t="array" ref="K19">STOWA2019_NDJF_T(A19*60,J19,I19,"","center")</f>
        <v>5106.1990311679428</v>
      </c>
      <c r="L19">
        <f t="shared" si="8"/>
        <v>1.9584038810396107E-4</v>
      </c>
    </row>
    <row r="20" spans="1:12" x14ac:dyDescent="0.3">
      <c r="A20">
        <v>24</v>
      </c>
      <c r="B20">
        <f t="shared" si="5"/>
        <v>6.9308131458191495E-5</v>
      </c>
      <c r="C20">
        <f t="shared" si="1"/>
        <v>6.9308131458191495E-5</v>
      </c>
      <c r="D20" t="s">
        <v>24</v>
      </c>
      <c r="E20" t="s">
        <v>19</v>
      </c>
      <c r="F20">
        <v>1</v>
      </c>
      <c r="G20">
        <f t="shared" si="6"/>
        <v>100</v>
      </c>
      <c r="I20">
        <v>2030</v>
      </c>
      <c r="J20">
        <f t="shared" si="7"/>
        <v>102.5</v>
      </c>
      <c r="K20" cm="1">
        <f t="array" ref="K20">STOWA2019_NDJF_T(A20*60,J20,I20,"","center")</f>
        <v>7903.1230968995251</v>
      </c>
      <c r="L20">
        <f t="shared" si="8"/>
        <v>1.2653225664576958E-4</v>
      </c>
    </row>
    <row r="21" spans="1:12" x14ac:dyDescent="0.3">
      <c r="A21">
        <v>24</v>
      </c>
      <c r="B21">
        <f t="shared" si="5"/>
        <v>4.3669563354901945E-5</v>
      </c>
      <c r="C21">
        <f t="shared" si="1"/>
        <v>4.3669563354901945E-5</v>
      </c>
      <c r="D21" t="s">
        <v>24</v>
      </c>
      <c r="E21" t="s">
        <v>19</v>
      </c>
      <c r="F21">
        <v>1</v>
      </c>
      <c r="G21">
        <f t="shared" si="6"/>
        <v>105</v>
      </c>
      <c r="I21">
        <v>2030</v>
      </c>
      <c r="J21">
        <f t="shared" si="7"/>
        <v>107.5</v>
      </c>
      <c r="K21" cm="1">
        <f t="array" ref="K21">STOWA2019_NDJF_T(A21*60,J21,I21,"","center")</f>
        <v>12068.157095615559</v>
      </c>
      <c r="L21">
        <f t="shared" si="8"/>
        <v>8.2862693290867634E-5</v>
      </c>
    </row>
    <row r="22" spans="1:12" x14ac:dyDescent="0.3">
      <c r="A22">
        <v>24</v>
      </c>
      <c r="B22">
        <f t="shared" si="5"/>
        <v>2.7904713083478688E-5</v>
      </c>
      <c r="C22">
        <f t="shared" si="1"/>
        <v>2.7904713083478688E-5</v>
      </c>
      <c r="D22" t="s">
        <v>24</v>
      </c>
      <c r="E22" t="s">
        <v>19</v>
      </c>
      <c r="F22">
        <v>1</v>
      </c>
      <c r="G22">
        <f t="shared" si="6"/>
        <v>110</v>
      </c>
      <c r="I22">
        <v>2030</v>
      </c>
      <c r="J22">
        <f t="shared" si="7"/>
        <v>112.5</v>
      </c>
      <c r="K22" cm="1">
        <f t="array" ref="K22">STOWA2019_NDJF_T(A22*60,J22,I22,"","center")</f>
        <v>18195.719643014698</v>
      </c>
      <c r="L22">
        <f t="shared" si="8"/>
        <v>5.4957980207388946E-5</v>
      </c>
    </row>
    <row r="23" spans="1:12" x14ac:dyDescent="0.3">
      <c r="A23">
        <v>24</v>
      </c>
      <c r="B23">
        <f t="shared" si="5"/>
        <v>1.8069364939365917E-5</v>
      </c>
      <c r="C23">
        <f t="shared" si="1"/>
        <v>1.8069364939365917E-5</v>
      </c>
      <c r="D23" t="s">
        <v>24</v>
      </c>
      <c r="E23" t="s">
        <v>19</v>
      </c>
      <c r="F23">
        <v>1</v>
      </c>
      <c r="G23">
        <f t="shared" si="6"/>
        <v>115</v>
      </c>
      <c r="I23">
        <v>2030</v>
      </c>
      <c r="J23">
        <f t="shared" si="7"/>
        <v>117.5</v>
      </c>
      <c r="K23" cm="1">
        <f t="array" ref="K23">STOWA2019_NDJF_T(A23*60,J23,I23,"","center")</f>
        <v>27108.634811425196</v>
      </c>
      <c r="L23">
        <f t="shared" si="8"/>
        <v>3.6888615268023029E-5</v>
      </c>
    </row>
    <row r="24" spans="1:12" x14ac:dyDescent="0.3">
      <c r="A24">
        <v>24</v>
      </c>
      <c r="B24">
        <f t="shared" si="5"/>
        <v>1.1847695913722475E-5</v>
      </c>
      <c r="C24">
        <f t="shared" si="1"/>
        <v>1.1847695913722475E-5</v>
      </c>
      <c r="D24" t="s">
        <v>24</v>
      </c>
      <c r="E24" t="s">
        <v>19</v>
      </c>
      <c r="F24">
        <v>1</v>
      </c>
      <c r="G24">
        <f t="shared" si="6"/>
        <v>120</v>
      </c>
      <c r="I24">
        <v>2030</v>
      </c>
      <c r="J24">
        <f t="shared" si="7"/>
        <v>122.5</v>
      </c>
      <c r="K24" cm="1">
        <f t="array" ref="K24">STOWA2019_NDJF_T(A24*60,J24,I24,"","center")</f>
        <v>39934.636019194673</v>
      </c>
      <c r="L24">
        <f t="shared" si="8"/>
        <v>2.5040919354300554E-5</v>
      </c>
    </row>
    <row r="25" spans="1:12" x14ac:dyDescent="0.3">
      <c r="A25">
        <v>24</v>
      </c>
      <c r="B25">
        <f t="shared" si="5"/>
        <v>7.860443168628208E-6</v>
      </c>
      <c r="C25">
        <f t="shared" si="1"/>
        <v>7.860443168628208E-6</v>
      </c>
      <c r="D25" t="s">
        <v>24</v>
      </c>
      <c r="E25" t="s">
        <v>19</v>
      </c>
      <c r="F25">
        <v>1</v>
      </c>
      <c r="G25">
        <f t="shared" si="6"/>
        <v>125</v>
      </c>
      <c r="I25">
        <v>2030</v>
      </c>
      <c r="J25">
        <f t="shared" si="7"/>
        <v>127.5</v>
      </c>
      <c r="K25" cm="1">
        <f t="array" ref="K25">STOWA2019_NDJF_T(A25*60,J25,I25,"","center")</f>
        <v>58205.604384466933</v>
      </c>
      <c r="L25">
        <f t="shared" si="8"/>
        <v>1.7180476185672346E-5</v>
      </c>
    </row>
    <row r="26" spans="1:12" x14ac:dyDescent="0.3">
      <c r="A26">
        <v>24</v>
      </c>
      <c r="B26">
        <f t="shared" si="5"/>
        <v>5.2735558071989664E-6</v>
      </c>
      <c r="C26">
        <f t="shared" si="1"/>
        <v>5.2735558071989664E-6</v>
      </c>
      <c r="D26" t="s">
        <v>24</v>
      </c>
      <c r="E26" t="s">
        <v>19</v>
      </c>
      <c r="F26">
        <v>1</v>
      </c>
      <c r="G26">
        <f t="shared" si="6"/>
        <v>130</v>
      </c>
      <c r="I26">
        <v>2030</v>
      </c>
      <c r="J26">
        <f t="shared" si="7"/>
        <v>132.5</v>
      </c>
      <c r="K26" cm="1">
        <f t="array" ref="K26">STOWA2019_NDJF_T(A26*60,J26,I26,"","center")</f>
        <v>83984.77257040437</v>
      </c>
      <c r="L26">
        <f t="shared" si="8"/>
        <v>1.190692037847338E-5</v>
      </c>
    </row>
    <row r="27" spans="1:12" x14ac:dyDescent="0.3">
      <c r="A27">
        <v>24</v>
      </c>
      <c r="B27">
        <f t="shared" si="5"/>
        <v>3.5755831156463674E-6</v>
      </c>
      <c r="C27">
        <f t="shared" si="1"/>
        <v>3.5755831156463674E-6</v>
      </c>
      <c r="D27" t="s">
        <v>24</v>
      </c>
      <c r="E27" t="s">
        <v>19</v>
      </c>
      <c r="F27">
        <v>1</v>
      </c>
      <c r="G27">
        <f t="shared" si="6"/>
        <v>135</v>
      </c>
      <c r="I27">
        <v>2030</v>
      </c>
      <c r="J27">
        <f t="shared" si="7"/>
        <v>137.5</v>
      </c>
      <c r="K27" cm="1">
        <f t="array" ref="K27">STOWA2019_NDJF_T(A27*60,J27,I27,"","center")</f>
        <v>120028.75030180656</v>
      </c>
      <c r="L27">
        <f t="shared" si="8"/>
        <v>8.3313372628270125E-6</v>
      </c>
    </row>
    <row r="28" spans="1:12" x14ac:dyDescent="0.3">
      <c r="A28">
        <v>24</v>
      </c>
      <c r="B28">
        <f t="shared" si="5"/>
        <v>2.4486943435370082E-6</v>
      </c>
      <c r="C28">
        <f t="shared" si="1"/>
        <v>2.4486943435370082E-6</v>
      </c>
      <c r="D28" t="s">
        <v>24</v>
      </c>
      <c r="E28" t="s">
        <v>19</v>
      </c>
      <c r="F28">
        <v>1</v>
      </c>
      <c r="G28">
        <f t="shared" si="6"/>
        <v>140</v>
      </c>
      <c r="I28">
        <v>2030</v>
      </c>
      <c r="J28">
        <f t="shared" si="7"/>
        <v>142.5</v>
      </c>
      <c r="K28" cm="1">
        <f t="array" ref="K28">STOWA2019_NDJF_T(A28*60,J28,I28,"","center")</f>
        <v>169991.62004561943</v>
      </c>
      <c r="L28">
        <f t="shared" si="8"/>
        <v>5.8826429192900043E-6</v>
      </c>
    </row>
    <row r="29" spans="1:12" x14ac:dyDescent="0.3">
      <c r="A29">
        <v>24</v>
      </c>
      <c r="B29">
        <f t="shared" si="5"/>
        <v>1.6930428835704567E-6</v>
      </c>
      <c r="C29">
        <f t="shared" si="1"/>
        <v>1.6930428835704567E-6</v>
      </c>
      <c r="D29" t="s">
        <v>24</v>
      </c>
      <c r="E29" t="s">
        <v>19</v>
      </c>
      <c r="F29">
        <v>1</v>
      </c>
      <c r="G29">
        <f t="shared" si="6"/>
        <v>145</v>
      </c>
      <c r="I29">
        <v>2030</v>
      </c>
      <c r="J29">
        <f t="shared" si="7"/>
        <v>147.5</v>
      </c>
      <c r="K29" cm="1">
        <f t="array" ref="K29">STOWA2019_NDJF_T(A29*60,J29,I29,"","center")</f>
        <v>238686.2687307224</v>
      </c>
      <c r="L29">
        <f t="shared" si="8"/>
        <v>4.1896000357195476E-6</v>
      </c>
    </row>
    <row r="30" spans="1:12" x14ac:dyDescent="0.3">
      <c r="A30">
        <v>24</v>
      </c>
      <c r="B30">
        <f t="shared" si="5"/>
        <v>1.1811781083100585E-6</v>
      </c>
      <c r="C30">
        <f t="shared" si="1"/>
        <v>1.1811781083100585E-6</v>
      </c>
      <c r="D30" t="s">
        <v>24</v>
      </c>
      <c r="E30" t="s">
        <v>19</v>
      </c>
      <c r="F30">
        <v>1</v>
      </c>
      <c r="G30">
        <f t="shared" si="6"/>
        <v>150</v>
      </c>
      <c r="I30">
        <v>2030</v>
      </c>
      <c r="J30">
        <f t="shared" si="7"/>
        <v>152.5</v>
      </c>
      <c r="K30" cm="1">
        <f t="array" ref="K30">STOWA2019_NDJF_T(A30*60,J30,I30,"","center")</f>
        <v>332400.18326188915</v>
      </c>
      <c r="L30">
        <f t="shared" si="8"/>
        <v>3.0084219274094891E-6</v>
      </c>
    </row>
    <row r="31" spans="1:12" x14ac:dyDescent="0.3">
      <c r="A31">
        <v>24</v>
      </c>
      <c r="B31">
        <f t="shared" si="5"/>
        <v>8.3122356092749779E-7</v>
      </c>
      <c r="C31">
        <f t="shared" si="1"/>
        <v>8.3122356092749779E-7</v>
      </c>
      <c r="D31" t="s">
        <v>24</v>
      </c>
      <c r="E31" t="s">
        <v>19</v>
      </c>
      <c r="F31">
        <v>1</v>
      </c>
      <c r="G31">
        <f t="shared" si="6"/>
        <v>155</v>
      </c>
      <c r="I31">
        <v>2030</v>
      </c>
      <c r="J31">
        <f t="shared" si="7"/>
        <v>157.5</v>
      </c>
      <c r="K31" cm="1">
        <f t="array" ref="K31">STOWA2019_NDJF_T(A31*60,J31,I31,"","center")</f>
        <v>459305.8746483638</v>
      </c>
      <c r="L31">
        <f t="shared" si="8"/>
        <v>2.1771983664819913E-6</v>
      </c>
    </row>
    <row r="32" spans="1:12" x14ac:dyDescent="0.3">
      <c r="A32">
        <v>24</v>
      </c>
      <c r="B32" s="1">
        <f>L31</f>
        <v>2.1771983664819913E-6</v>
      </c>
      <c r="C32">
        <f t="shared" si="1"/>
        <v>2.1771983664819913E-6</v>
      </c>
      <c r="D32" t="s">
        <v>24</v>
      </c>
      <c r="E32" t="s">
        <v>19</v>
      </c>
      <c r="F32">
        <v>1</v>
      </c>
      <c r="G32">
        <f t="shared" si="6"/>
        <v>160</v>
      </c>
      <c r="I32">
        <v>2030</v>
      </c>
      <c r="J32">
        <f>AVERAGE(G32:G33)</f>
        <v>85</v>
      </c>
      <c r="K32" cm="1">
        <f t="array" ref="K32">STOWA2019_NDJF_T(A32*60,J32,I32,"","center")</f>
        <v>1605.3081271556364</v>
      </c>
      <c r="L32">
        <f>1/K32</f>
        <v>6.2293336904227167E-4</v>
      </c>
    </row>
    <row r="33" spans="1:12" x14ac:dyDescent="0.3">
      <c r="A33">
        <v>48</v>
      </c>
      <c r="B33" s="1">
        <f>365.25*24/A33 - L33</f>
        <v>168.75634166714926</v>
      </c>
      <c r="C33">
        <f>B33</f>
        <v>168.75634166714926</v>
      </c>
      <c r="D33" t="s">
        <v>24</v>
      </c>
      <c r="E33" t="s">
        <v>19</v>
      </c>
      <c r="F33">
        <v>1</v>
      </c>
      <c r="G33">
        <v>10</v>
      </c>
      <c r="I33">
        <v>2030</v>
      </c>
      <c r="J33">
        <f>AVERAGE(G33:G35)</f>
        <v>15</v>
      </c>
      <c r="K33" cm="1">
        <f t="array" ref="K33">STOWA2019_NDJF_T(A33*60,J33,I33,"","center")</f>
        <v>7.2105028186561934E-2</v>
      </c>
      <c r="L33">
        <f>1/K33</f>
        <v>13.868658332850744</v>
      </c>
    </row>
    <row r="34" spans="1:12" x14ac:dyDescent="0.3">
      <c r="A34">
        <v>48</v>
      </c>
      <c r="B34">
        <f t="shared" ref="B34:B38" si="9">L33-L34</f>
        <v>4.125728216056757</v>
      </c>
      <c r="C34">
        <f t="shared" ref="C34:C63" si="10">B34</f>
        <v>4.125728216056757</v>
      </c>
      <c r="D34" t="s">
        <v>24</v>
      </c>
      <c r="E34" t="s">
        <v>19</v>
      </c>
      <c r="F34">
        <v>1</v>
      </c>
      <c r="G34">
        <f t="shared" ref="G34:G38" si="11">G33+5</f>
        <v>15</v>
      </c>
      <c r="I34">
        <v>2030</v>
      </c>
      <c r="J34">
        <f t="shared" ref="J34:J38" si="12">AVERAGE(G34:G35)</f>
        <v>17.5</v>
      </c>
      <c r="K34" cm="1">
        <f t="array" ref="K34">STOWA2019_NDJF_T(A34*60,J34,I34,"","center")</f>
        <v>0.1026385274257782</v>
      </c>
      <c r="L34">
        <f t="shared" ref="L34:L38" si="13">1/K34</f>
        <v>9.7429301167939872</v>
      </c>
    </row>
    <row r="35" spans="1:12" x14ac:dyDescent="0.3">
      <c r="A35">
        <v>48</v>
      </c>
      <c r="B35">
        <f t="shared" si="9"/>
        <v>4.8360439641552446</v>
      </c>
      <c r="C35">
        <f t="shared" si="10"/>
        <v>4.8360439641552446</v>
      </c>
      <c r="D35" t="s">
        <v>24</v>
      </c>
      <c r="E35" t="s">
        <v>19</v>
      </c>
      <c r="F35">
        <v>1</v>
      </c>
      <c r="G35">
        <f t="shared" si="11"/>
        <v>20</v>
      </c>
      <c r="I35">
        <v>2030</v>
      </c>
      <c r="J35">
        <f t="shared" si="12"/>
        <v>22.5</v>
      </c>
      <c r="K35" cm="1">
        <f t="array" ref="K35">STOWA2019_NDJF_T(A35*60,J35,I35,"","center")</f>
        <v>0.20379523161796545</v>
      </c>
      <c r="L35">
        <f t="shared" si="13"/>
        <v>4.9068861526387426</v>
      </c>
    </row>
    <row r="36" spans="1:12" x14ac:dyDescent="0.3">
      <c r="A36">
        <v>48</v>
      </c>
      <c r="B36">
        <f t="shared" si="9"/>
        <v>2.372117560989552</v>
      </c>
      <c r="C36">
        <f t="shared" si="10"/>
        <v>2.372117560989552</v>
      </c>
      <c r="D36" t="s">
        <v>24</v>
      </c>
      <c r="E36" t="s">
        <v>19</v>
      </c>
      <c r="F36">
        <v>1</v>
      </c>
      <c r="G36">
        <f t="shared" si="11"/>
        <v>25</v>
      </c>
      <c r="I36">
        <v>2030</v>
      </c>
      <c r="J36">
        <f t="shared" si="12"/>
        <v>27.5</v>
      </c>
      <c r="K36" cm="1">
        <f t="array" ref="K36">STOWA2019_NDJF_T(A36*60,J36,I36,"","center")</f>
        <v>0.39451333083994555</v>
      </c>
      <c r="L36">
        <f t="shared" si="13"/>
        <v>2.5347685916491907</v>
      </c>
    </row>
    <row r="37" spans="1:12" x14ac:dyDescent="0.3">
      <c r="A37">
        <v>48</v>
      </c>
      <c r="B37">
        <f t="shared" si="9"/>
        <v>1.1941487386074474</v>
      </c>
      <c r="C37">
        <f t="shared" si="10"/>
        <v>1.1941487386074474</v>
      </c>
      <c r="D37" t="s">
        <v>24</v>
      </c>
      <c r="E37" t="s">
        <v>19</v>
      </c>
      <c r="F37">
        <v>1</v>
      </c>
      <c r="G37">
        <f t="shared" si="11"/>
        <v>30</v>
      </c>
      <c r="I37">
        <v>2030</v>
      </c>
      <c r="J37">
        <f t="shared" si="12"/>
        <v>32.5</v>
      </c>
      <c r="K37" cm="1">
        <f t="array" ref="K37">STOWA2019_NDJF_T(A37*60,J37,I37,"","center")</f>
        <v>0.74592360968778126</v>
      </c>
      <c r="L37">
        <f t="shared" si="13"/>
        <v>1.3406198530417432</v>
      </c>
    </row>
    <row r="38" spans="1:12" x14ac:dyDescent="0.3">
      <c r="A38">
        <v>48</v>
      </c>
      <c r="B38">
        <f t="shared" si="9"/>
        <v>0.61574790235164056</v>
      </c>
      <c r="C38">
        <f t="shared" si="10"/>
        <v>0.61574790235164056</v>
      </c>
      <c r="D38" t="s">
        <v>24</v>
      </c>
      <c r="E38" t="s">
        <v>19</v>
      </c>
      <c r="F38">
        <v>1</v>
      </c>
      <c r="G38">
        <f t="shared" si="11"/>
        <v>35</v>
      </c>
      <c r="I38">
        <v>2030</v>
      </c>
      <c r="J38">
        <f t="shared" si="12"/>
        <v>37.5</v>
      </c>
      <c r="K38" cm="1">
        <f t="array" ref="K38">STOWA2019_NDJF_T(A38*60,J38,I38,"","center")</f>
        <v>1.379554001293561</v>
      </c>
      <c r="L38">
        <f t="shared" si="13"/>
        <v>0.72487195069010268</v>
      </c>
    </row>
    <row r="39" spans="1:12" x14ac:dyDescent="0.3">
      <c r="A39">
        <v>48</v>
      </c>
      <c r="B39">
        <f>L38-L39</f>
        <v>0.32487601371325886</v>
      </c>
      <c r="C39">
        <f t="shared" si="10"/>
        <v>0.32487601371325886</v>
      </c>
      <c r="D39" t="s">
        <v>24</v>
      </c>
      <c r="E39" t="s">
        <v>19</v>
      </c>
      <c r="F39">
        <v>1</v>
      </c>
      <c r="G39">
        <f>G38+5</f>
        <v>40</v>
      </c>
      <c r="I39">
        <v>2030</v>
      </c>
      <c r="J39">
        <f>AVERAGE(G39:G40)</f>
        <v>42.5</v>
      </c>
      <c r="K39" cm="1">
        <f t="array" ref="K39">STOWA2019_NDJF_T(A39*60,J39,I39,"","center")</f>
        <v>2.5000253941526687</v>
      </c>
      <c r="L39">
        <f>1/K39</f>
        <v>0.39999593697684382</v>
      </c>
    </row>
    <row r="40" spans="1:12" x14ac:dyDescent="0.3">
      <c r="A40">
        <v>48</v>
      </c>
      <c r="B40">
        <f t="shared" ref="B40:B62" si="14">L39-L40</f>
        <v>0.17500252479675257</v>
      </c>
      <c r="C40">
        <f t="shared" si="10"/>
        <v>0.17500252479675257</v>
      </c>
      <c r="D40" t="s">
        <v>24</v>
      </c>
      <c r="E40" t="s">
        <v>19</v>
      </c>
      <c r="F40">
        <v>1</v>
      </c>
      <c r="G40">
        <f t="shared" ref="G40:G63" si="15">G39+5</f>
        <v>45</v>
      </c>
      <c r="I40">
        <v>2030</v>
      </c>
      <c r="J40">
        <f t="shared" ref="J40:J62" si="16">AVERAGE(G40:G41)</f>
        <v>47.5</v>
      </c>
      <c r="K40" cm="1">
        <f t="array" ref="K40">STOWA2019_NDJF_T(A40*60,J40,I40,"","center")</f>
        <v>4.4445745780306272</v>
      </c>
      <c r="L40">
        <f t="shared" ref="L40:L62" si="17">1/K40</f>
        <v>0.22499341218009125</v>
      </c>
    </row>
    <row r="41" spans="1:12" x14ac:dyDescent="0.3">
      <c r="A41">
        <v>48</v>
      </c>
      <c r="B41">
        <f t="shared" si="14"/>
        <v>9.6142797373898831E-2</v>
      </c>
      <c r="C41">
        <f t="shared" si="10"/>
        <v>9.6142797373898831E-2</v>
      </c>
      <c r="D41" t="s">
        <v>24</v>
      </c>
      <c r="E41" t="s">
        <v>19</v>
      </c>
      <c r="F41">
        <v>1</v>
      </c>
      <c r="G41">
        <f t="shared" si="15"/>
        <v>50</v>
      </c>
      <c r="I41">
        <v>2030</v>
      </c>
      <c r="J41">
        <f t="shared" si="16"/>
        <v>52.5</v>
      </c>
      <c r="K41" cm="1">
        <f t="array" ref="K41">STOWA2019_NDJF_T(A41*60,J41,I41,"","center")</f>
        <v>7.7609253281726769</v>
      </c>
      <c r="L41">
        <f t="shared" si="17"/>
        <v>0.12885061480619242</v>
      </c>
    </row>
    <row r="42" spans="1:12" x14ac:dyDescent="0.3">
      <c r="A42">
        <v>48</v>
      </c>
      <c r="B42">
        <f t="shared" si="14"/>
        <v>5.3804340647709378E-2</v>
      </c>
      <c r="C42">
        <f t="shared" si="10"/>
        <v>5.3804340647709378E-2</v>
      </c>
      <c r="D42" t="s">
        <v>24</v>
      </c>
      <c r="E42" t="s">
        <v>19</v>
      </c>
      <c r="F42">
        <v>1</v>
      </c>
      <c r="G42">
        <f t="shared" si="15"/>
        <v>55</v>
      </c>
      <c r="I42">
        <v>2030</v>
      </c>
      <c r="J42">
        <f t="shared" si="16"/>
        <v>57.5</v>
      </c>
      <c r="K42" cm="1">
        <f t="array" ref="K42">STOWA2019_NDJF_T(A42*60,J42,I42,"","center")</f>
        <v>13.325111888808706</v>
      </c>
      <c r="L42">
        <f t="shared" si="17"/>
        <v>7.5046274158483042E-2</v>
      </c>
    </row>
    <row r="43" spans="1:12" x14ac:dyDescent="0.3">
      <c r="A43">
        <v>48</v>
      </c>
      <c r="B43">
        <f t="shared" si="14"/>
        <v>3.0637559627856088E-2</v>
      </c>
      <c r="C43">
        <f t="shared" si="10"/>
        <v>3.0637559627856088E-2</v>
      </c>
      <c r="D43" t="s">
        <v>24</v>
      </c>
      <c r="E43" t="s">
        <v>19</v>
      </c>
      <c r="F43">
        <v>1</v>
      </c>
      <c r="G43">
        <f t="shared" si="15"/>
        <v>60</v>
      </c>
      <c r="I43">
        <v>2030</v>
      </c>
      <c r="J43">
        <f t="shared" si="16"/>
        <v>62.5</v>
      </c>
      <c r="K43" cm="1">
        <f t="array" ref="K43">STOWA2019_NDJF_T(A43*60,J43,I43,"","center")</f>
        <v>22.518102822146297</v>
      </c>
      <c r="L43">
        <f t="shared" si="17"/>
        <v>4.4408714530626954E-2</v>
      </c>
    </row>
    <row r="44" spans="1:12" x14ac:dyDescent="0.3">
      <c r="A44">
        <v>48</v>
      </c>
      <c r="B44">
        <f t="shared" si="14"/>
        <v>1.7733067826688809E-2</v>
      </c>
      <c r="C44">
        <f t="shared" si="10"/>
        <v>1.7733067826688809E-2</v>
      </c>
      <c r="D44" t="s">
        <v>24</v>
      </c>
      <c r="E44" t="s">
        <v>19</v>
      </c>
      <c r="F44">
        <v>1</v>
      </c>
      <c r="G44">
        <f t="shared" si="15"/>
        <v>65</v>
      </c>
      <c r="I44">
        <v>2030</v>
      </c>
      <c r="J44">
        <f t="shared" si="16"/>
        <v>67.5</v>
      </c>
      <c r="K44" cm="1">
        <f t="array" ref="K44">STOWA2019_NDJF_T(A44*60,J44,I44,"","center")</f>
        <v>37.487376073711808</v>
      </c>
      <c r="L44">
        <f t="shared" si="17"/>
        <v>2.6675646703938145E-2</v>
      </c>
    </row>
    <row r="45" spans="1:12" x14ac:dyDescent="0.3">
      <c r="A45">
        <v>48</v>
      </c>
      <c r="B45">
        <f t="shared" si="14"/>
        <v>1.0423765652626621E-2</v>
      </c>
      <c r="C45">
        <f t="shared" si="10"/>
        <v>1.0423765652626621E-2</v>
      </c>
      <c r="D45" t="s">
        <v>24</v>
      </c>
      <c r="E45" t="s">
        <v>19</v>
      </c>
      <c r="F45">
        <v>1</v>
      </c>
      <c r="G45">
        <f t="shared" si="15"/>
        <v>70</v>
      </c>
      <c r="I45">
        <v>2030</v>
      </c>
      <c r="J45">
        <f t="shared" si="16"/>
        <v>72.5</v>
      </c>
      <c r="K45" cm="1">
        <f t="array" ref="K45">STOWA2019_NDJF_T(A45*60,J45,I45,"","center")</f>
        <v>61.531338855036736</v>
      </c>
      <c r="L45">
        <f t="shared" si="17"/>
        <v>1.6251881051311524E-2</v>
      </c>
    </row>
    <row r="46" spans="1:12" x14ac:dyDescent="0.3">
      <c r="A46">
        <v>48</v>
      </c>
      <c r="B46">
        <f t="shared" si="14"/>
        <v>6.2172197960165109E-3</v>
      </c>
      <c r="C46">
        <f t="shared" si="10"/>
        <v>6.2172197960165109E-3</v>
      </c>
      <c r="D46" t="s">
        <v>24</v>
      </c>
      <c r="E46" t="s">
        <v>19</v>
      </c>
      <c r="F46">
        <v>1</v>
      </c>
      <c r="G46">
        <f t="shared" si="15"/>
        <v>75</v>
      </c>
      <c r="I46">
        <v>2030</v>
      </c>
      <c r="J46">
        <f t="shared" si="16"/>
        <v>77.5</v>
      </c>
      <c r="K46" cm="1">
        <f t="array" ref="K46">STOWA2019_NDJF_T(A46*60,J46,I46,"","center")</f>
        <v>99.654584699840029</v>
      </c>
      <c r="L46">
        <f t="shared" si="17"/>
        <v>1.0034661255295013E-2</v>
      </c>
    </row>
    <row r="47" spans="1:12" x14ac:dyDescent="0.3">
      <c r="A47">
        <v>48</v>
      </c>
      <c r="B47">
        <f t="shared" si="14"/>
        <v>3.7597607244268076E-3</v>
      </c>
      <c r="C47">
        <f t="shared" si="10"/>
        <v>3.7597607244268076E-3</v>
      </c>
      <c r="D47" t="s">
        <v>24</v>
      </c>
      <c r="E47" t="s">
        <v>19</v>
      </c>
      <c r="F47">
        <v>1</v>
      </c>
      <c r="G47">
        <f t="shared" si="15"/>
        <v>80</v>
      </c>
      <c r="I47">
        <v>2030</v>
      </c>
      <c r="J47">
        <f t="shared" si="16"/>
        <v>82.5</v>
      </c>
      <c r="K47" cm="1">
        <f t="array" ref="K47">STOWA2019_NDJF_T(A47*60,J47,I47,"","center")</f>
        <v>159.36507600091605</v>
      </c>
      <c r="L47">
        <f t="shared" si="17"/>
        <v>6.2749005308682052E-3</v>
      </c>
    </row>
    <row r="48" spans="1:12" x14ac:dyDescent="0.3">
      <c r="A48">
        <v>48</v>
      </c>
      <c r="B48">
        <f t="shared" si="14"/>
        <v>2.3035545264291687E-3</v>
      </c>
      <c r="C48">
        <f t="shared" si="10"/>
        <v>2.3035545264291687E-3</v>
      </c>
      <c r="D48" t="s">
        <v>24</v>
      </c>
      <c r="E48" t="s">
        <v>19</v>
      </c>
      <c r="F48">
        <v>1</v>
      </c>
      <c r="G48">
        <f t="shared" si="15"/>
        <v>85</v>
      </c>
      <c r="I48">
        <v>2030</v>
      </c>
      <c r="J48">
        <f t="shared" si="16"/>
        <v>87.5</v>
      </c>
      <c r="K48" cm="1">
        <f t="array" ref="K48">STOWA2019_NDJF_T(A48*60,J48,I48,"","center")</f>
        <v>251.80379621474273</v>
      </c>
      <c r="L48">
        <f t="shared" si="17"/>
        <v>3.9713460044390365E-3</v>
      </c>
    </row>
    <row r="49" spans="1:12" x14ac:dyDescent="0.3">
      <c r="A49">
        <v>48</v>
      </c>
      <c r="B49">
        <f t="shared" si="14"/>
        <v>1.4290451384542944E-3</v>
      </c>
      <c r="C49">
        <f t="shared" si="10"/>
        <v>1.4290451384542944E-3</v>
      </c>
      <c r="D49" t="s">
        <v>24</v>
      </c>
      <c r="E49" t="s">
        <v>19</v>
      </c>
      <c r="F49">
        <v>1</v>
      </c>
      <c r="G49">
        <f t="shared" si="15"/>
        <v>90</v>
      </c>
      <c r="I49">
        <v>2030</v>
      </c>
      <c r="J49">
        <f t="shared" si="16"/>
        <v>92.5</v>
      </c>
      <c r="K49" cm="1">
        <f t="array" ref="K49">STOWA2019_NDJF_T(A49*60,J49,I49,"","center")</f>
        <v>393.344475227033</v>
      </c>
      <c r="L49">
        <f t="shared" si="17"/>
        <v>2.5423008659847422E-3</v>
      </c>
    </row>
    <row r="50" spans="1:12" x14ac:dyDescent="0.3">
      <c r="A50">
        <v>48</v>
      </c>
      <c r="B50">
        <f t="shared" si="14"/>
        <v>8.9702040892723225E-4</v>
      </c>
      <c r="C50">
        <f t="shared" si="10"/>
        <v>8.9702040892723225E-4</v>
      </c>
      <c r="D50" t="s">
        <v>24</v>
      </c>
      <c r="E50" t="s">
        <v>19</v>
      </c>
      <c r="F50">
        <v>1</v>
      </c>
      <c r="G50">
        <f t="shared" si="15"/>
        <v>95</v>
      </c>
      <c r="I50">
        <v>2030</v>
      </c>
      <c r="J50">
        <f t="shared" si="16"/>
        <v>97.5</v>
      </c>
      <c r="K50" cm="1">
        <f t="array" ref="K50">STOWA2019_NDJF_T(A50*60,J50,I50,"","center")</f>
        <v>607.79911151952956</v>
      </c>
      <c r="L50">
        <f t="shared" si="17"/>
        <v>1.6452804570575099E-3</v>
      </c>
    </row>
    <row r="51" spans="1:12" x14ac:dyDescent="0.3">
      <c r="A51">
        <v>48</v>
      </c>
      <c r="B51">
        <f t="shared" si="14"/>
        <v>5.6943834691383774E-4</v>
      </c>
      <c r="C51">
        <f t="shared" si="10"/>
        <v>5.6943834691383774E-4</v>
      </c>
      <c r="D51" t="s">
        <v>24</v>
      </c>
      <c r="E51" t="s">
        <v>19</v>
      </c>
      <c r="F51">
        <v>1</v>
      </c>
      <c r="G51">
        <f t="shared" si="15"/>
        <v>100</v>
      </c>
      <c r="I51">
        <v>2030</v>
      </c>
      <c r="J51">
        <f t="shared" si="16"/>
        <v>102.5</v>
      </c>
      <c r="K51" cm="1">
        <f t="array" ref="K51">STOWA2019_NDJF_T(A51*60,J51,I51,"","center")</f>
        <v>929.50442315969212</v>
      </c>
      <c r="L51">
        <f t="shared" si="17"/>
        <v>1.0758421101436722E-3</v>
      </c>
    </row>
    <row r="52" spans="1:12" x14ac:dyDescent="0.3">
      <c r="A52">
        <v>48</v>
      </c>
      <c r="B52">
        <f t="shared" si="14"/>
        <v>3.6537521224901668E-4</v>
      </c>
      <c r="C52">
        <f t="shared" si="10"/>
        <v>3.6537521224901668E-4</v>
      </c>
      <c r="D52" t="s">
        <v>24</v>
      </c>
      <c r="E52" t="s">
        <v>19</v>
      </c>
      <c r="F52">
        <v>1</v>
      </c>
      <c r="G52">
        <f t="shared" si="15"/>
        <v>105</v>
      </c>
      <c r="I52">
        <v>2030</v>
      </c>
      <c r="J52">
        <f t="shared" si="16"/>
        <v>107.5</v>
      </c>
      <c r="K52" cm="1">
        <f t="array" ref="K52">STOWA2019_NDJF_T(A52*60,J52,I52,"","center")</f>
        <v>1407.5251119557086</v>
      </c>
      <c r="L52">
        <f t="shared" si="17"/>
        <v>7.1046689789465553E-4</v>
      </c>
    </row>
    <row r="53" spans="1:12" x14ac:dyDescent="0.3">
      <c r="A53">
        <v>48</v>
      </c>
      <c r="B53">
        <f t="shared" si="14"/>
        <v>2.368456147717196E-4</v>
      </c>
      <c r="C53">
        <f t="shared" si="10"/>
        <v>2.368456147717196E-4</v>
      </c>
      <c r="D53" t="s">
        <v>24</v>
      </c>
      <c r="E53" t="s">
        <v>19</v>
      </c>
      <c r="F53">
        <v>1</v>
      </c>
      <c r="G53">
        <f t="shared" si="15"/>
        <v>110</v>
      </c>
      <c r="I53">
        <v>2030</v>
      </c>
      <c r="J53">
        <f t="shared" si="16"/>
        <v>112.5</v>
      </c>
      <c r="K53" cm="1">
        <f t="array" ref="K53">STOWA2019_NDJF_T(A53*60,J53,I53,"","center")</f>
        <v>2111.3916026033698</v>
      </c>
      <c r="L53">
        <f t="shared" si="17"/>
        <v>4.7362128312293593E-4</v>
      </c>
    </row>
    <row r="54" spans="1:12" x14ac:dyDescent="0.3">
      <c r="A54">
        <v>48</v>
      </c>
      <c r="B54">
        <f t="shared" si="14"/>
        <v>1.5503362920827582E-4</v>
      </c>
      <c r="C54">
        <f t="shared" si="10"/>
        <v>1.5503362920827582E-4</v>
      </c>
      <c r="D54" t="s">
        <v>24</v>
      </c>
      <c r="E54" t="s">
        <v>19</v>
      </c>
      <c r="F54">
        <v>1</v>
      </c>
      <c r="G54">
        <f t="shared" si="15"/>
        <v>115</v>
      </c>
      <c r="I54">
        <v>2030</v>
      </c>
      <c r="J54">
        <f t="shared" si="16"/>
        <v>117.5</v>
      </c>
      <c r="K54" cm="1">
        <f t="array" ref="K54">STOWA2019_NDJF_T(A54*60,J54,I54,"","center")</f>
        <v>3138.8535861715136</v>
      </c>
      <c r="L54">
        <f t="shared" si="17"/>
        <v>3.1858765391466011E-4</v>
      </c>
    </row>
    <row r="55" spans="1:12" x14ac:dyDescent="0.3">
      <c r="A55">
        <v>48</v>
      </c>
      <c r="B55">
        <f t="shared" si="14"/>
        <v>1.024303339516892E-4</v>
      </c>
      <c r="C55">
        <f t="shared" si="10"/>
        <v>1.024303339516892E-4</v>
      </c>
      <c r="D55" t="s">
        <v>24</v>
      </c>
      <c r="E55" t="s">
        <v>19</v>
      </c>
      <c r="F55">
        <v>1</v>
      </c>
      <c r="G55">
        <f t="shared" si="15"/>
        <v>120</v>
      </c>
      <c r="I55">
        <v>2030</v>
      </c>
      <c r="J55">
        <f t="shared" si="16"/>
        <v>122.5</v>
      </c>
      <c r="K55" cm="1">
        <f t="array" ref="K55">STOWA2019_NDJF_T(A55*60,J55,I55,"","center")</f>
        <v>4626.2601709315522</v>
      </c>
      <c r="L55">
        <f t="shared" si="17"/>
        <v>2.1615731996297091E-4</v>
      </c>
    </row>
    <row r="56" spans="1:12" x14ac:dyDescent="0.3">
      <c r="A56">
        <v>48</v>
      </c>
      <c r="B56">
        <f t="shared" si="14"/>
        <v>6.8284106112101065E-5</v>
      </c>
      <c r="C56">
        <f t="shared" si="10"/>
        <v>6.8284106112101065E-5</v>
      </c>
      <c r="D56" t="s">
        <v>24</v>
      </c>
      <c r="E56" t="s">
        <v>19</v>
      </c>
      <c r="F56">
        <v>1</v>
      </c>
      <c r="G56">
        <f t="shared" si="15"/>
        <v>125</v>
      </c>
      <c r="I56">
        <v>2030</v>
      </c>
      <c r="J56">
        <f t="shared" si="16"/>
        <v>127.5</v>
      </c>
      <c r="K56" cm="1">
        <f t="array" ref="K56">STOWA2019_NDJF_T(A56*60,J56,I56,"","center")</f>
        <v>6762.5499842621948</v>
      </c>
      <c r="L56">
        <f t="shared" si="17"/>
        <v>1.4787321385086985E-4</v>
      </c>
    </row>
    <row r="57" spans="1:12" x14ac:dyDescent="0.3">
      <c r="A57">
        <v>48</v>
      </c>
      <c r="B57">
        <f t="shared" si="14"/>
        <v>4.5909862609078728E-5</v>
      </c>
      <c r="C57">
        <f t="shared" si="10"/>
        <v>4.5909862609078728E-5</v>
      </c>
      <c r="D57" t="s">
        <v>24</v>
      </c>
      <c r="E57" t="s">
        <v>19</v>
      </c>
      <c r="F57">
        <v>1</v>
      </c>
      <c r="G57">
        <f t="shared" si="15"/>
        <v>130</v>
      </c>
      <c r="I57">
        <v>2030</v>
      </c>
      <c r="J57">
        <f t="shared" si="16"/>
        <v>132.5</v>
      </c>
      <c r="K57" cm="1">
        <f t="array" ref="K57">STOWA2019_NDJF_T(A57*60,J57,I57,"","center")</f>
        <v>9807.4453989713111</v>
      </c>
      <c r="L57">
        <f t="shared" si="17"/>
        <v>1.0196335124179112E-4</v>
      </c>
    </row>
    <row r="58" spans="1:12" x14ac:dyDescent="0.3">
      <c r="A58">
        <v>48</v>
      </c>
      <c r="B58">
        <f t="shared" si="14"/>
        <v>3.1121754835973799E-5</v>
      </c>
      <c r="C58">
        <f t="shared" si="10"/>
        <v>3.1121754835973799E-5</v>
      </c>
      <c r="D58" t="s">
        <v>24</v>
      </c>
      <c r="E58" t="s">
        <v>19</v>
      </c>
      <c r="F58">
        <v>1</v>
      </c>
      <c r="G58">
        <f t="shared" si="15"/>
        <v>135</v>
      </c>
      <c r="I58">
        <v>2030</v>
      </c>
      <c r="J58">
        <f t="shared" si="16"/>
        <v>137.5</v>
      </c>
      <c r="K58" cm="1">
        <f t="array" ref="K58">STOWA2019_NDJF_T(A58*60,J58,I58,"","center")</f>
        <v>14116.000354812482</v>
      </c>
      <c r="L58">
        <f t="shared" si="17"/>
        <v>7.0841596405817319E-5</v>
      </c>
    </row>
    <row r="59" spans="1:12" x14ac:dyDescent="0.3">
      <c r="A59">
        <v>48</v>
      </c>
      <c r="B59">
        <f t="shared" si="14"/>
        <v>2.1262814442724973E-5</v>
      </c>
      <c r="C59">
        <f t="shared" si="10"/>
        <v>2.1262814442724973E-5</v>
      </c>
      <c r="D59" t="s">
        <v>24</v>
      </c>
      <c r="E59" t="s">
        <v>19</v>
      </c>
      <c r="F59">
        <v>1</v>
      </c>
      <c r="G59">
        <f t="shared" si="15"/>
        <v>140</v>
      </c>
      <c r="I59">
        <v>2030</v>
      </c>
      <c r="J59">
        <f t="shared" si="16"/>
        <v>142.5</v>
      </c>
      <c r="K59" cm="1">
        <f t="array" ref="K59">STOWA2019_NDJF_T(A59*60,J59,I59,"","center")</f>
        <v>20169.918670943236</v>
      </c>
      <c r="L59">
        <f t="shared" si="17"/>
        <v>4.9578781963092346E-5</v>
      </c>
    </row>
    <row r="60" spans="1:12" x14ac:dyDescent="0.3">
      <c r="A60">
        <v>48</v>
      </c>
      <c r="B60">
        <f t="shared" si="14"/>
        <v>1.4637391383518797E-5</v>
      </c>
      <c r="C60">
        <f t="shared" si="10"/>
        <v>1.4637391383518797E-5</v>
      </c>
      <c r="D60" t="s">
        <v>24</v>
      </c>
      <c r="E60" t="s">
        <v>19</v>
      </c>
      <c r="F60">
        <v>1</v>
      </c>
      <c r="G60">
        <f t="shared" si="15"/>
        <v>145</v>
      </c>
      <c r="I60">
        <v>2030</v>
      </c>
      <c r="J60">
        <f t="shared" si="16"/>
        <v>147.5</v>
      </c>
      <c r="K60" cm="1">
        <f t="array" ref="K60">STOWA2019_NDJF_T(A60*60,J60,I60,"","center")</f>
        <v>28619.35324876829</v>
      </c>
      <c r="L60">
        <f t="shared" si="17"/>
        <v>3.4941390579573549E-5</v>
      </c>
    </row>
    <row r="61" spans="1:12" x14ac:dyDescent="0.3">
      <c r="A61">
        <v>48</v>
      </c>
      <c r="B61">
        <f t="shared" si="14"/>
        <v>1.01499206748287E-5</v>
      </c>
      <c r="C61">
        <f t="shared" si="10"/>
        <v>1.01499206748287E-5</v>
      </c>
      <c r="D61" t="s">
        <v>24</v>
      </c>
      <c r="E61" t="s">
        <v>19</v>
      </c>
      <c r="F61">
        <v>1</v>
      </c>
      <c r="G61">
        <f t="shared" si="15"/>
        <v>150</v>
      </c>
      <c r="I61">
        <v>2030</v>
      </c>
      <c r="J61">
        <f t="shared" si="16"/>
        <v>152.5</v>
      </c>
      <c r="K61" cm="1">
        <f t="array" ref="K61">STOWA2019_NDJF_T(A61*60,J61,I61,"","center")</f>
        <v>40336.454588705514</v>
      </c>
      <c r="L61">
        <f t="shared" si="17"/>
        <v>2.4791469904744849E-5</v>
      </c>
    </row>
    <row r="62" spans="1:12" x14ac:dyDescent="0.3">
      <c r="A62">
        <v>48</v>
      </c>
      <c r="B62">
        <f t="shared" si="14"/>
        <v>7.0872527937851674E-6</v>
      </c>
      <c r="C62">
        <f t="shared" si="10"/>
        <v>7.0872527937851674E-6</v>
      </c>
      <c r="D62" t="s">
        <v>24</v>
      </c>
      <c r="E62" t="s">
        <v>19</v>
      </c>
      <c r="F62">
        <v>1</v>
      </c>
      <c r="G62">
        <f t="shared" si="15"/>
        <v>155</v>
      </c>
      <c r="I62">
        <v>2030</v>
      </c>
      <c r="J62">
        <f t="shared" si="16"/>
        <v>157.5</v>
      </c>
      <c r="K62" cm="1">
        <f t="array" ref="K62">STOWA2019_NDJF_T(A62*60,J62,I62,"","center")</f>
        <v>56483.717621207681</v>
      </c>
      <c r="L62">
        <f t="shared" si="17"/>
        <v>1.7704217110959682E-5</v>
      </c>
    </row>
    <row r="63" spans="1:12" x14ac:dyDescent="0.3">
      <c r="A63">
        <v>48</v>
      </c>
      <c r="B63" s="1">
        <f>L62</f>
        <v>1.7704217110959682E-5</v>
      </c>
      <c r="C63">
        <f t="shared" si="10"/>
        <v>1.7704217110959682E-5</v>
      </c>
      <c r="D63" t="s">
        <v>24</v>
      </c>
      <c r="E63" t="s">
        <v>19</v>
      </c>
      <c r="F63">
        <v>1</v>
      </c>
      <c r="G63">
        <f t="shared" si="15"/>
        <v>160</v>
      </c>
      <c r="I63">
        <v>2030</v>
      </c>
      <c r="J63">
        <f>AVERAGE(G63:G64)</f>
        <v>85</v>
      </c>
      <c r="K63" cm="1">
        <f t="array" ref="K63">STOWA2019_NDJF_T(A63*60,J63,I63,"","center")</f>
        <v>200.61427122823329</v>
      </c>
      <c r="L63">
        <f>1/K63</f>
        <v>4.984690241016442E-3</v>
      </c>
    </row>
    <row r="64" spans="1:12" x14ac:dyDescent="0.3">
      <c r="A64">
        <v>96</v>
      </c>
      <c r="B64" s="1">
        <f>365.25*24/A64 - L64</f>
        <v>70.340621339002553</v>
      </c>
      <c r="C64">
        <f>B64</f>
        <v>70.340621339002553</v>
      </c>
      <c r="D64" t="s">
        <v>24</v>
      </c>
      <c r="E64" t="s">
        <v>19</v>
      </c>
      <c r="F64">
        <v>1</v>
      </c>
      <c r="G64">
        <v>10</v>
      </c>
      <c r="I64">
        <v>2030</v>
      </c>
      <c r="J64">
        <f>AVERAGE(G64:G66)</f>
        <v>15</v>
      </c>
      <c r="K64" cm="1">
        <f t="array" ref="K64">STOWA2019_NDJF_T(A64*60,J64,I64,"","center")</f>
        <v>4.7682900333566931E-2</v>
      </c>
      <c r="L64">
        <f>1/K64</f>
        <v>20.97187866099744</v>
      </c>
    </row>
    <row r="65" spans="1:12" x14ac:dyDescent="0.3">
      <c r="A65">
        <v>96</v>
      </c>
      <c r="B65">
        <f t="shared" ref="B65:B69" si="18">L64-L65</f>
        <v>4.4690605263380476</v>
      </c>
      <c r="C65">
        <f t="shared" ref="C65:C94" si="19">B65</f>
        <v>4.4690605263380476</v>
      </c>
      <c r="D65" t="s">
        <v>24</v>
      </c>
      <c r="E65" t="s">
        <v>19</v>
      </c>
      <c r="F65">
        <v>1</v>
      </c>
      <c r="G65">
        <f t="shared" ref="G65:G69" si="20">G64+5</f>
        <v>15</v>
      </c>
      <c r="I65">
        <v>2030</v>
      </c>
      <c r="J65">
        <f t="shared" ref="J65:J69" si="21">AVERAGE(G65:G66)</f>
        <v>17.5</v>
      </c>
      <c r="K65" cm="1">
        <f t="array" ref="K65">STOWA2019_NDJF_T(A65*60,J65,I65,"","center")</f>
        <v>6.0595711098566214E-2</v>
      </c>
      <c r="L65">
        <f t="shared" ref="L65:L69" si="22">1/K65</f>
        <v>16.502818134659393</v>
      </c>
    </row>
    <row r="66" spans="1:12" x14ac:dyDescent="0.3">
      <c r="A66">
        <v>96</v>
      </c>
      <c r="B66">
        <f t="shared" si="18"/>
        <v>6.2453923666408109</v>
      </c>
      <c r="C66">
        <f t="shared" si="19"/>
        <v>6.2453923666408109</v>
      </c>
      <c r="D66" t="s">
        <v>24</v>
      </c>
      <c r="E66" t="s">
        <v>19</v>
      </c>
      <c r="F66">
        <v>1</v>
      </c>
      <c r="G66">
        <f t="shared" si="20"/>
        <v>20</v>
      </c>
      <c r="I66">
        <v>2030</v>
      </c>
      <c r="J66">
        <f t="shared" si="21"/>
        <v>22.5</v>
      </c>
      <c r="K66" cm="1">
        <f t="array" ref="K66">STOWA2019_NDJF_T(A66*60,J66,I66,"","center")</f>
        <v>9.7490347248515269E-2</v>
      </c>
      <c r="L66">
        <f t="shared" si="22"/>
        <v>10.257425768018582</v>
      </c>
    </row>
    <row r="67" spans="1:12" x14ac:dyDescent="0.3">
      <c r="A67">
        <v>96</v>
      </c>
      <c r="B67">
        <f t="shared" si="18"/>
        <v>3.8504251474123281</v>
      </c>
      <c r="C67">
        <f t="shared" si="19"/>
        <v>3.8504251474123281</v>
      </c>
      <c r="D67" t="s">
        <v>24</v>
      </c>
      <c r="E67" t="s">
        <v>19</v>
      </c>
      <c r="F67">
        <v>1</v>
      </c>
      <c r="G67">
        <f t="shared" si="20"/>
        <v>25</v>
      </c>
      <c r="I67">
        <v>2030</v>
      </c>
      <c r="J67">
        <f t="shared" si="21"/>
        <v>27.5</v>
      </c>
      <c r="K67" cm="1">
        <f t="array" ref="K67">STOWA2019_NDJF_T(A67*60,J67,I67,"","center")</f>
        <v>0.15607927316001671</v>
      </c>
      <c r="L67">
        <f t="shared" si="22"/>
        <v>6.4070006206062535</v>
      </c>
    </row>
    <row r="68" spans="1:12" x14ac:dyDescent="0.3">
      <c r="A68">
        <v>96</v>
      </c>
      <c r="B68">
        <f t="shared" si="18"/>
        <v>2.3857313810179006</v>
      </c>
      <c r="C68">
        <f t="shared" si="19"/>
        <v>2.3857313810179006</v>
      </c>
      <c r="D68" t="s">
        <v>24</v>
      </c>
      <c r="E68" t="s">
        <v>19</v>
      </c>
      <c r="F68">
        <v>1</v>
      </c>
      <c r="G68">
        <f t="shared" si="20"/>
        <v>30</v>
      </c>
      <c r="I68">
        <v>2030</v>
      </c>
      <c r="J68">
        <f t="shared" si="21"/>
        <v>32.5</v>
      </c>
      <c r="K68" cm="1">
        <f t="array" ref="K68">STOWA2019_NDJF_T(A68*60,J68,I68,"","center")</f>
        <v>0.24867770358553945</v>
      </c>
      <c r="L68">
        <f t="shared" si="22"/>
        <v>4.0212692395883529</v>
      </c>
    </row>
    <row r="69" spans="1:12" x14ac:dyDescent="0.3">
      <c r="A69">
        <v>96</v>
      </c>
      <c r="B69">
        <f t="shared" si="18"/>
        <v>1.4853949346649591</v>
      </c>
      <c r="C69">
        <f t="shared" si="19"/>
        <v>1.4853949346649591</v>
      </c>
      <c r="D69" t="s">
        <v>24</v>
      </c>
      <c r="E69" t="s">
        <v>19</v>
      </c>
      <c r="F69">
        <v>1</v>
      </c>
      <c r="G69">
        <f t="shared" si="20"/>
        <v>35</v>
      </c>
      <c r="I69">
        <v>2030</v>
      </c>
      <c r="J69">
        <f t="shared" si="21"/>
        <v>37.5</v>
      </c>
      <c r="K69" cm="1">
        <f t="array" ref="K69">STOWA2019_NDJF_T(A69*60,J69,I69,"","center")</f>
        <v>0.39434131181443116</v>
      </c>
      <c r="L69">
        <f t="shared" si="22"/>
        <v>2.5358743049233938</v>
      </c>
    </row>
    <row r="70" spans="1:12" x14ac:dyDescent="0.3">
      <c r="A70">
        <v>96</v>
      </c>
      <c r="B70">
        <f>L69-L70</f>
        <v>0.92930491156446005</v>
      </c>
      <c r="C70">
        <f t="shared" si="19"/>
        <v>0.92930491156446005</v>
      </c>
      <c r="D70" t="s">
        <v>24</v>
      </c>
      <c r="E70" t="s">
        <v>19</v>
      </c>
      <c r="F70">
        <v>1</v>
      </c>
      <c r="G70">
        <f>G69+5</f>
        <v>40</v>
      </c>
      <c r="I70">
        <v>2030</v>
      </c>
      <c r="J70">
        <f>AVERAGE(G70:G71)</f>
        <v>42.5</v>
      </c>
      <c r="K70" cm="1">
        <f t="array" ref="K70">STOWA2019_NDJF_T(A70*60,J70,I70,"","center")</f>
        <v>0.62244432399477667</v>
      </c>
      <c r="L70">
        <f>1/K70</f>
        <v>1.6065693933589338</v>
      </c>
    </row>
    <row r="71" spans="1:12" x14ac:dyDescent="0.3">
      <c r="A71">
        <v>96</v>
      </c>
      <c r="B71">
        <f t="shared" ref="B71:B93" si="23">L70-L71</f>
        <v>0.58411102185714303</v>
      </c>
      <c r="C71">
        <f t="shared" si="19"/>
        <v>0.58411102185714303</v>
      </c>
      <c r="D71" t="s">
        <v>24</v>
      </c>
      <c r="E71" t="s">
        <v>19</v>
      </c>
      <c r="F71">
        <v>1</v>
      </c>
      <c r="G71">
        <f t="shared" ref="G71:G94" si="24">G70+5</f>
        <v>45</v>
      </c>
      <c r="I71">
        <v>2030</v>
      </c>
      <c r="J71">
        <f t="shared" ref="J71:J93" si="25">AVERAGE(G71:G72)</f>
        <v>47.5</v>
      </c>
      <c r="K71" cm="1">
        <f t="array" ref="K71">STOWA2019_NDJF_T(A71*60,J71,I71,"","center")</f>
        <v>0.97803492823986193</v>
      </c>
      <c r="L71">
        <f t="shared" ref="L71:L93" si="26">1/K71</f>
        <v>1.0224583715017908</v>
      </c>
    </row>
    <row r="72" spans="1:12" x14ac:dyDescent="0.3">
      <c r="A72">
        <v>96</v>
      </c>
      <c r="B72">
        <f t="shared" si="23"/>
        <v>0.36877252927039494</v>
      </c>
      <c r="C72">
        <f t="shared" si="19"/>
        <v>0.36877252927039494</v>
      </c>
      <c r="D72" t="s">
        <v>24</v>
      </c>
      <c r="E72" t="s">
        <v>19</v>
      </c>
      <c r="F72">
        <v>1</v>
      </c>
      <c r="G72">
        <f t="shared" si="24"/>
        <v>50</v>
      </c>
      <c r="I72">
        <v>2030</v>
      </c>
      <c r="J72">
        <f t="shared" si="25"/>
        <v>52.5</v>
      </c>
      <c r="K72" cm="1">
        <f t="array" ref="K72">STOWA2019_NDJF_T(A72*60,J72,I72,"","center")</f>
        <v>1.5297868416217186</v>
      </c>
      <c r="L72">
        <f t="shared" si="26"/>
        <v>0.65368584223139581</v>
      </c>
    </row>
    <row r="73" spans="1:12" x14ac:dyDescent="0.3">
      <c r="A73">
        <v>96</v>
      </c>
      <c r="B73">
        <f t="shared" si="23"/>
        <v>0.2339849722904695</v>
      </c>
      <c r="C73">
        <f t="shared" si="19"/>
        <v>0.2339849722904695</v>
      </c>
      <c r="D73" t="s">
        <v>24</v>
      </c>
      <c r="E73" t="s">
        <v>19</v>
      </c>
      <c r="F73">
        <v>1</v>
      </c>
      <c r="G73">
        <f t="shared" si="24"/>
        <v>55</v>
      </c>
      <c r="I73">
        <v>2030</v>
      </c>
      <c r="J73">
        <f t="shared" si="25"/>
        <v>57.5</v>
      </c>
      <c r="K73" cm="1">
        <f t="array" ref="K73">STOWA2019_NDJF_T(A73*60,J73,I73,"","center")</f>
        <v>2.3826493381840068</v>
      </c>
      <c r="L73">
        <f t="shared" si="26"/>
        <v>0.41970086994092631</v>
      </c>
    </row>
    <row r="74" spans="1:12" x14ac:dyDescent="0.3">
      <c r="A74">
        <v>96</v>
      </c>
      <c r="B74">
        <f t="shared" si="23"/>
        <v>0.14907257695349102</v>
      </c>
      <c r="C74">
        <f t="shared" si="19"/>
        <v>0.14907257695349102</v>
      </c>
      <c r="D74" t="s">
        <v>24</v>
      </c>
      <c r="E74" t="s">
        <v>19</v>
      </c>
      <c r="F74">
        <v>1</v>
      </c>
      <c r="G74">
        <f t="shared" si="24"/>
        <v>60</v>
      </c>
      <c r="I74">
        <v>2030</v>
      </c>
      <c r="J74">
        <f t="shared" si="25"/>
        <v>62.5</v>
      </c>
      <c r="K74" cm="1">
        <f t="array" ref="K74">STOWA2019_NDJF_T(A74*60,J74,I74,"","center")</f>
        <v>3.6951051531276069</v>
      </c>
      <c r="L74">
        <f t="shared" si="26"/>
        <v>0.27062829298743529</v>
      </c>
    </row>
    <row r="75" spans="1:12" x14ac:dyDescent="0.3">
      <c r="A75">
        <v>96</v>
      </c>
      <c r="B75">
        <f t="shared" si="23"/>
        <v>9.5391002888245063E-2</v>
      </c>
      <c r="C75">
        <f t="shared" si="19"/>
        <v>9.5391002888245063E-2</v>
      </c>
      <c r="D75" t="s">
        <v>24</v>
      </c>
      <c r="E75" t="s">
        <v>19</v>
      </c>
      <c r="F75">
        <v>1</v>
      </c>
      <c r="G75">
        <f t="shared" si="24"/>
        <v>65</v>
      </c>
      <c r="I75">
        <v>2030</v>
      </c>
      <c r="J75">
        <f t="shared" si="25"/>
        <v>67.5</v>
      </c>
      <c r="K75" cm="1">
        <f t="array" ref="K75">STOWA2019_NDJF_T(A75*60,J75,I75,"","center")</f>
        <v>5.7065479581084952</v>
      </c>
      <c r="L75">
        <f t="shared" si="26"/>
        <v>0.17523729009919023</v>
      </c>
    </row>
    <row r="76" spans="1:12" x14ac:dyDescent="0.3">
      <c r="A76">
        <v>96</v>
      </c>
      <c r="B76">
        <f t="shared" si="23"/>
        <v>6.1299876587118649E-2</v>
      </c>
      <c r="C76">
        <f t="shared" si="19"/>
        <v>6.1299876587118649E-2</v>
      </c>
      <c r="D76" t="s">
        <v>24</v>
      </c>
      <c r="E76" t="s">
        <v>19</v>
      </c>
      <c r="F76">
        <v>1</v>
      </c>
      <c r="G76">
        <f t="shared" si="24"/>
        <v>70</v>
      </c>
      <c r="I76">
        <v>2030</v>
      </c>
      <c r="J76">
        <f t="shared" si="25"/>
        <v>72.5</v>
      </c>
      <c r="K76" cm="1">
        <f t="array" ref="K76">STOWA2019_NDJF_T(A76*60,J76,I76,"","center")</f>
        <v>8.7767482969415553</v>
      </c>
      <c r="L76">
        <f t="shared" si="26"/>
        <v>0.11393741351207158</v>
      </c>
    </row>
    <row r="77" spans="1:12" x14ac:dyDescent="0.3">
      <c r="A77">
        <v>96</v>
      </c>
      <c r="B77">
        <f t="shared" si="23"/>
        <v>3.9556815972105835E-2</v>
      </c>
      <c r="C77">
        <f t="shared" si="19"/>
        <v>3.9556815972105835E-2</v>
      </c>
      <c r="D77" t="s">
        <v>24</v>
      </c>
      <c r="E77" t="s">
        <v>19</v>
      </c>
      <c r="F77">
        <v>1</v>
      </c>
      <c r="G77">
        <f t="shared" si="24"/>
        <v>75</v>
      </c>
      <c r="I77">
        <v>2030</v>
      </c>
      <c r="J77">
        <f t="shared" si="25"/>
        <v>77.5</v>
      </c>
      <c r="K77" cm="1">
        <f t="array" ref="K77">STOWA2019_NDJF_T(A77*60,J77,I77,"","center")</f>
        <v>13.444366314248629</v>
      </c>
      <c r="L77">
        <f t="shared" si="26"/>
        <v>7.4380597539965745E-2</v>
      </c>
    </row>
    <row r="78" spans="1:12" x14ac:dyDescent="0.3">
      <c r="A78">
        <v>96</v>
      </c>
      <c r="B78">
        <f t="shared" si="23"/>
        <v>2.5630225123580708E-2</v>
      </c>
      <c r="C78">
        <f t="shared" si="19"/>
        <v>2.5630225123580708E-2</v>
      </c>
      <c r="D78" t="s">
        <v>24</v>
      </c>
      <c r="E78" t="s">
        <v>19</v>
      </c>
      <c r="F78">
        <v>1</v>
      </c>
      <c r="G78">
        <f t="shared" si="24"/>
        <v>80</v>
      </c>
      <c r="I78">
        <v>2030</v>
      </c>
      <c r="J78">
        <f t="shared" si="25"/>
        <v>82.5</v>
      </c>
      <c r="K78" cm="1">
        <f t="array" ref="K78">STOWA2019_NDJF_T(A78*60,J78,I78,"","center")</f>
        <v>20.512663810213258</v>
      </c>
      <c r="L78">
        <f t="shared" si="26"/>
        <v>4.8750372416385038E-2</v>
      </c>
    </row>
    <row r="79" spans="1:12" x14ac:dyDescent="0.3">
      <c r="A79">
        <v>96</v>
      </c>
      <c r="B79">
        <f t="shared" si="23"/>
        <v>1.6674271126365908E-2</v>
      </c>
      <c r="C79">
        <f t="shared" si="19"/>
        <v>1.6674271126365908E-2</v>
      </c>
      <c r="D79" t="s">
        <v>24</v>
      </c>
      <c r="E79" t="s">
        <v>19</v>
      </c>
      <c r="F79">
        <v>1</v>
      </c>
      <c r="G79">
        <f t="shared" si="24"/>
        <v>85</v>
      </c>
      <c r="I79">
        <v>2030</v>
      </c>
      <c r="J79">
        <f t="shared" si="25"/>
        <v>87.5</v>
      </c>
      <c r="K79" cm="1">
        <f t="array" ref="K79">STOWA2019_NDJF_T(A79*60,J79,I79,"","center")</f>
        <v>31.175858654342203</v>
      </c>
      <c r="L79">
        <f t="shared" si="26"/>
        <v>3.2076101290019129E-2</v>
      </c>
    </row>
    <row r="80" spans="1:12" x14ac:dyDescent="0.3">
      <c r="A80">
        <v>96</v>
      </c>
      <c r="B80">
        <f t="shared" si="23"/>
        <v>1.0890170216467692E-2</v>
      </c>
      <c r="C80">
        <f t="shared" si="19"/>
        <v>1.0890170216467692E-2</v>
      </c>
      <c r="D80" t="s">
        <v>24</v>
      </c>
      <c r="E80" t="s">
        <v>19</v>
      </c>
      <c r="F80">
        <v>1</v>
      </c>
      <c r="G80">
        <f t="shared" si="24"/>
        <v>90</v>
      </c>
      <c r="I80">
        <v>2030</v>
      </c>
      <c r="J80">
        <f t="shared" si="25"/>
        <v>92.5</v>
      </c>
      <c r="K80" cm="1">
        <f t="array" ref="K80">STOWA2019_NDJF_T(A80*60,J80,I80,"","center")</f>
        <v>47.20113534440798</v>
      </c>
      <c r="L80">
        <f t="shared" si="26"/>
        <v>2.1185931073551437E-2</v>
      </c>
    </row>
    <row r="81" spans="1:12" x14ac:dyDescent="0.3">
      <c r="A81">
        <v>96</v>
      </c>
      <c r="B81">
        <f t="shared" si="23"/>
        <v>7.1403845873894943E-3</v>
      </c>
      <c r="C81">
        <f t="shared" si="19"/>
        <v>7.1403845873894943E-3</v>
      </c>
      <c r="D81" t="s">
        <v>24</v>
      </c>
      <c r="E81" t="s">
        <v>19</v>
      </c>
      <c r="F81">
        <v>1</v>
      </c>
      <c r="G81">
        <f t="shared" si="24"/>
        <v>95</v>
      </c>
      <c r="I81">
        <v>2030</v>
      </c>
      <c r="J81">
        <f t="shared" si="25"/>
        <v>97.5</v>
      </c>
      <c r="K81" cm="1">
        <f t="array" ref="K81">STOWA2019_NDJF_T(A81*60,J81,I81,"","center")</f>
        <v>71.196944952282735</v>
      </c>
      <c r="L81">
        <f t="shared" si="26"/>
        <v>1.4045546486161943E-2</v>
      </c>
    </row>
    <row r="82" spans="1:12" x14ac:dyDescent="0.3">
      <c r="A82">
        <v>96</v>
      </c>
      <c r="B82">
        <f t="shared" si="23"/>
        <v>4.699400111208351E-3</v>
      </c>
      <c r="C82">
        <f t="shared" si="19"/>
        <v>4.699400111208351E-3</v>
      </c>
      <c r="D82" t="s">
        <v>24</v>
      </c>
      <c r="E82" t="s">
        <v>19</v>
      </c>
      <c r="F82">
        <v>1</v>
      </c>
      <c r="G82">
        <f t="shared" si="24"/>
        <v>100</v>
      </c>
      <c r="I82">
        <v>2030</v>
      </c>
      <c r="J82">
        <f t="shared" si="25"/>
        <v>102.5</v>
      </c>
      <c r="K82" cm="1">
        <f t="array" ref="K82">STOWA2019_NDJF_T(A82*60,J82,I82,"","center")</f>
        <v>106.99597030492318</v>
      </c>
      <c r="L82">
        <f t="shared" si="26"/>
        <v>9.3461463749535921E-3</v>
      </c>
    </row>
    <row r="83" spans="1:12" x14ac:dyDescent="0.3">
      <c r="A83">
        <v>96</v>
      </c>
      <c r="B83">
        <f t="shared" si="23"/>
        <v>3.1045232911185794E-3</v>
      </c>
      <c r="C83">
        <f t="shared" si="19"/>
        <v>3.1045232911185794E-3</v>
      </c>
      <c r="D83" t="s">
        <v>24</v>
      </c>
      <c r="E83" t="s">
        <v>19</v>
      </c>
      <c r="F83">
        <v>1</v>
      </c>
      <c r="G83">
        <f t="shared" si="24"/>
        <v>105</v>
      </c>
      <c r="I83">
        <v>2030</v>
      </c>
      <c r="J83">
        <f t="shared" si="25"/>
        <v>107.5</v>
      </c>
      <c r="K83" cm="1">
        <f t="array" ref="K83">STOWA2019_NDJF_T(A83*60,J83,I83,"","center")</f>
        <v>160.21473686706094</v>
      </c>
      <c r="L83">
        <f t="shared" si="26"/>
        <v>6.2416230838350127E-3</v>
      </c>
    </row>
    <row r="84" spans="1:12" x14ac:dyDescent="0.3">
      <c r="A84">
        <v>96</v>
      </c>
      <c r="B84">
        <f t="shared" si="23"/>
        <v>2.0584495504240401E-3</v>
      </c>
      <c r="C84">
        <f t="shared" si="19"/>
        <v>2.0584495504240401E-3</v>
      </c>
      <c r="D84" t="s">
        <v>24</v>
      </c>
      <c r="E84" t="s">
        <v>19</v>
      </c>
      <c r="F84">
        <v>1</v>
      </c>
      <c r="G84">
        <f t="shared" si="24"/>
        <v>110</v>
      </c>
      <c r="I84">
        <v>2030</v>
      </c>
      <c r="J84">
        <f t="shared" si="25"/>
        <v>112.5</v>
      </c>
      <c r="K84" cm="1">
        <f t="array" ref="K84">STOWA2019_NDJF_T(A84*60,J84,I84,"","center")</f>
        <v>239.05295632920991</v>
      </c>
      <c r="L84">
        <f t="shared" si="26"/>
        <v>4.1831735334109726E-3</v>
      </c>
    </row>
    <row r="85" spans="1:12" x14ac:dyDescent="0.3">
      <c r="A85">
        <v>96</v>
      </c>
      <c r="B85">
        <f t="shared" si="23"/>
        <v>1.369778691388341E-3</v>
      </c>
      <c r="C85">
        <f t="shared" si="19"/>
        <v>1.369778691388341E-3</v>
      </c>
      <c r="D85" t="s">
        <v>24</v>
      </c>
      <c r="E85" t="s">
        <v>19</v>
      </c>
      <c r="F85">
        <v>1</v>
      </c>
      <c r="G85">
        <f t="shared" si="24"/>
        <v>115</v>
      </c>
      <c r="I85">
        <v>2030</v>
      </c>
      <c r="J85">
        <f t="shared" si="25"/>
        <v>117.5</v>
      </c>
      <c r="K85" cm="1">
        <f t="array" ref="K85">STOWA2019_NDJF_T(A85*60,J85,I85,"","center")</f>
        <v>355.44246582931487</v>
      </c>
      <c r="L85">
        <f t="shared" si="26"/>
        <v>2.8133948420226316E-3</v>
      </c>
    </row>
    <row r="86" spans="1:12" x14ac:dyDescent="0.3">
      <c r="A86">
        <v>96</v>
      </c>
      <c r="B86">
        <f t="shared" si="23"/>
        <v>9.1474123644248295E-4</v>
      </c>
      <c r="C86">
        <f t="shared" si="19"/>
        <v>9.1474123644248295E-4</v>
      </c>
      <c r="D86" t="s">
        <v>24</v>
      </c>
      <c r="E86" t="s">
        <v>19</v>
      </c>
      <c r="F86">
        <v>1</v>
      </c>
      <c r="G86">
        <f t="shared" si="24"/>
        <v>120</v>
      </c>
      <c r="I86">
        <v>2030</v>
      </c>
      <c r="J86">
        <f t="shared" si="25"/>
        <v>122.5</v>
      </c>
      <c r="K86" cm="1">
        <f t="array" ref="K86">STOWA2019_NDJF_T(A86*60,J86,I86,"","center")</f>
        <v>526.68901639614353</v>
      </c>
      <c r="L86">
        <f t="shared" si="26"/>
        <v>1.8986536055801487E-3</v>
      </c>
    </row>
    <row r="87" spans="1:12" x14ac:dyDescent="0.3">
      <c r="A87">
        <v>96</v>
      </c>
      <c r="B87">
        <f t="shared" si="23"/>
        <v>6.1299550175839056E-4</v>
      </c>
      <c r="C87">
        <f t="shared" si="19"/>
        <v>6.1299550175839056E-4</v>
      </c>
      <c r="D87" t="s">
        <v>24</v>
      </c>
      <c r="E87" t="s">
        <v>19</v>
      </c>
      <c r="F87">
        <v>1</v>
      </c>
      <c r="G87">
        <f t="shared" si="24"/>
        <v>125</v>
      </c>
      <c r="I87">
        <v>2030</v>
      </c>
      <c r="J87">
        <f t="shared" si="25"/>
        <v>127.5</v>
      </c>
      <c r="K87" cm="1">
        <f t="array" ref="K87">STOWA2019_NDJF_T(A87*60,J87,I87,"","center")</f>
        <v>777.81176583991623</v>
      </c>
      <c r="L87">
        <f t="shared" si="26"/>
        <v>1.2856581038217581E-3</v>
      </c>
    </row>
    <row r="88" spans="1:12" x14ac:dyDescent="0.3">
      <c r="A88">
        <v>96</v>
      </c>
      <c r="B88">
        <f t="shared" si="23"/>
        <v>4.1219401560305536E-4</v>
      </c>
      <c r="C88">
        <f t="shared" si="19"/>
        <v>4.1219401560305536E-4</v>
      </c>
      <c r="D88" t="s">
        <v>24</v>
      </c>
      <c r="E88" t="s">
        <v>19</v>
      </c>
      <c r="F88">
        <v>1</v>
      </c>
      <c r="G88">
        <f t="shared" si="24"/>
        <v>130</v>
      </c>
      <c r="I88">
        <v>2030</v>
      </c>
      <c r="J88">
        <f t="shared" si="25"/>
        <v>132.5</v>
      </c>
      <c r="K88" cm="1">
        <f t="array" ref="K88">STOWA2019_NDJF_T(A88*60,J88,I88,"","center")</f>
        <v>1144.8667592497684</v>
      </c>
      <c r="L88">
        <f t="shared" si="26"/>
        <v>8.7346408821870275E-4</v>
      </c>
    </row>
    <row r="89" spans="1:12" x14ac:dyDescent="0.3">
      <c r="A89">
        <v>96</v>
      </c>
      <c r="B89">
        <f t="shared" si="23"/>
        <v>2.7810339061544085E-4</v>
      </c>
      <c r="C89">
        <f t="shared" si="19"/>
        <v>2.7810339061544085E-4</v>
      </c>
      <c r="D89" t="s">
        <v>24</v>
      </c>
      <c r="E89" t="s">
        <v>19</v>
      </c>
      <c r="F89">
        <v>1</v>
      </c>
      <c r="G89">
        <f t="shared" si="24"/>
        <v>135</v>
      </c>
      <c r="I89">
        <v>2030</v>
      </c>
      <c r="J89">
        <f t="shared" si="25"/>
        <v>137.5</v>
      </c>
      <c r="K89" cm="1">
        <f t="array" ref="K89">STOWA2019_NDJF_T(A89*60,J89,I89,"","center")</f>
        <v>1679.654038342959</v>
      </c>
      <c r="L89">
        <f t="shared" si="26"/>
        <v>5.9536069760326191E-4</v>
      </c>
    </row>
    <row r="90" spans="1:12" x14ac:dyDescent="0.3">
      <c r="A90">
        <v>96</v>
      </c>
      <c r="B90">
        <f t="shared" si="23"/>
        <v>1.8825502124319955E-4</v>
      </c>
      <c r="C90">
        <f t="shared" si="19"/>
        <v>1.8825502124319955E-4</v>
      </c>
      <c r="D90" t="s">
        <v>24</v>
      </c>
      <c r="E90" t="s">
        <v>19</v>
      </c>
      <c r="F90">
        <v>1</v>
      </c>
      <c r="G90">
        <f t="shared" si="24"/>
        <v>140</v>
      </c>
      <c r="I90">
        <v>2030</v>
      </c>
      <c r="J90">
        <f t="shared" si="25"/>
        <v>142.5</v>
      </c>
      <c r="K90" cm="1">
        <f t="array" ref="K90">STOWA2019_NDJF_T(A90*60,J90,I90,"","center")</f>
        <v>2456.3646690977494</v>
      </c>
      <c r="L90">
        <f t="shared" si="26"/>
        <v>4.0710567636006236E-4</v>
      </c>
    </row>
    <row r="91" spans="1:12" x14ac:dyDescent="0.3">
      <c r="A91">
        <v>96</v>
      </c>
      <c r="B91">
        <f t="shared" si="23"/>
        <v>1.2784782585673559E-4</v>
      </c>
      <c r="C91">
        <f t="shared" si="19"/>
        <v>1.2784782585673559E-4</v>
      </c>
      <c r="D91" t="s">
        <v>24</v>
      </c>
      <c r="E91" t="s">
        <v>19</v>
      </c>
      <c r="F91">
        <v>1</v>
      </c>
      <c r="G91">
        <f t="shared" si="24"/>
        <v>145</v>
      </c>
      <c r="I91">
        <v>2030</v>
      </c>
      <c r="J91">
        <f t="shared" si="25"/>
        <v>147.5</v>
      </c>
      <c r="K91" cm="1">
        <f t="array" ref="K91">STOWA2019_NDJF_T(A91*60,J91,I91,"","center")</f>
        <v>3580.9199211324844</v>
      </c>
      <c r="L91">
        <f t="shared" si="26"/>
        <v>2.7925785050332677E-4</v>
      </c>
    </row>
    <row r="92" spans="1:12" x14ac:dyDescent="0.3">
      <c r="A92">
        <v>96</v>
      </c>
      <c r="B92">
        <f t="shared" si="23"/>
        <v>8.7104750879018886E-5</v>
      </c>
      <c r="C92">
        <f t="shared" si="19"/>
        <v>8.7104750879018886E-5</v>
      </c>
      <c r="D92" t="s">
        <v>24</v>
      </c>
      <c r="E92" t="s">
        <v>19</v>
      </c>
      <c r="F92">
        <v>1</v>
      </c>
      <c r="G92">
        <f t="shared" si="24"/>
        <v>150</v>
      </c>
      <c r="I92">
        <v>2030</v>
      </c>
      <c r="J92">
        <f t="shared" si="25"/>
        <v>152.5</v>
      </c>
      <c r="K92" cm="1">
        <f t="array" ref="K92">STOWA2019_NDJF_T(A92*60,J92,I92,"","center")</f>
        <v>5204.1835492384498</v>
      </c>
      <c r="L92">
        <f t="shared" si="26"/>
        <v>1.9215309962430788E-4</v>
      </c>
    </row>
    <row r="93" spans="1:12" x14ac:dyDescent="0.3">
      <c r="A93">
        <v>96</v>
      </c>
      <c r="B93">
        <f t="shared" si="23"/>
        <v>5.953165097407446E-5</v>
      </c>
      <c r="C93">
        <f t="shared" si="19"/>
        <v>5.953165097407446E-5</v>
      </c>
      <c r="D93" t="s">
        <v>24</v>
      </c>
      <c r="E93" t="s">
        <v>19</v>
      </c>
      <c r="F93">
        <v>1</v>
      </c>
      <c r="G93">
        <f t="shared" si="24"/>
        <v>155</v>
      </c>
      <c r="I93">
        <v>2030</v>
      </c>
      <c r="J93">
        <f t="shared" si="25"/>
        <v>157.5</v>
      </c>
      <c r="K93" cm="1">
        <f t="array" ref="K93">STOWA2019_NDJF_T(A93*60,J93,I93,"","center")</f>
        <v>7540.2584587756264</v>
      </c>
      <c r="L93">
        <f t="shared" si="26"/>
        <v>1.3262144865023342E-4</v>
      </c>
    </row>
    <row r="94" spans="1:12" x14ac:dyDescent="0.3">
      <c r="A94">
        <v>96</v>
      </c>
      <c r="B94" s="1">
        <f>L93</f>
        <v>1.3262144865023342E-4</v>
      </c>
      <c r="C94">
        <f t="shared" si="19"/>
        <v>1.3262144865023342E-4</v>
      </c>
      <c r="D94" t="s">
        <v>24</v>
      </c>
      <c r="E94" t="s">
        <v>19</v>
      </c>
      <c r="F94">
        <v>1</v>
      </c>
      <c r="G94">
        <f t="shared" si="24"/>
        <v>160</v>
      </c>
      <c r="I94">
        <v>2030</v>
      </c>
      <c r="J94">
        <f>AVERAGE(G94:G95)</f>
        <v>85</v>
      </c>
      <c r="K94" cm="1">
        <f t="array" ref="K94">STOWA2019_NDJF_T(A94*60,J94,I94,"","center")</f>
        <v>25.30063207907795</v>
      </c>
      <c r="L94">
        <f>1/K94</f>
        <v>3.9524704239580551E-2</v>
      </c>
    </row>
    <row r="95" spans="1:12" x14ac:dyDescent="0.3">
      <c r="A95">
        <v>192</v>
      </c>
      <c r="B95" s="1">
        <f>365.25*24/A95 - L95</f>
        <v>23.542268051975245</v>
      </c>
      <c r="C95">
        <f>B95</f>
        <v>23.542268051975245</v>
      </c>
      <c r="D95" t="s">
        <v>24</v>
      </c>
      <c r="E95" t="s">
        <v>19</v>
      </c>
      <c r="F95">
        <v>1</v>
      </c>
      <c r="G95">
        <v>10</v>
      </c>
      <c r="I95">
        <v>2030</v>
      </c>
      <c r="J95">
        <f>AVERAGE(G95:G97)</f>
        <v>15</v>
      </c>
      <c r="K95" cm="1">
        <f t="array" ref="K95">STOWA2019_NDJF_T(A95*60,J95,I95,"","center")</f>
        <v>4.5220259397440683E-2</v>
      </c>
      <c r="L95">
        <f>1/K95</f>
        <v>22.113981948024755</v>
      </c>
    </row>
    <row r="96" spans="1:12" x14ac:dyDescent="0.3">
      <c r="A96">
        <v>192</v>
      </c>
      <c r="B96">
        <f t="shared" ref="B96:B100" si="27">L95-L96</f>
        <v>2.8857469264775517</v>
      </c>
      <c r="C96">
        <f t="shared" ref="C96:C125" si="28">B96</f>
        <v>2.8857469264775517</v>
      </c>
      <c r="D96" t="s">
        <v>24</v>
      </c>
      <c r="E96" t="s">
        <v>19</v>
      </c>
      <c r="F96">
        <v>1</v>
      </c>
      <c r="G96">
        <f t="shared" ref="G96:G100" si="29">G95+5</f>
        <v>15</v>
      </c>
      <c r="I96">
        <v>2030</v>
      </c>
      <c r="J96">
        <f t="shared" ref="J96:J100" si="30">AVERAGE(G96:G97)</f>
        <v>17.5</v>
      </c>
      <c r="K96" cm="1">
        <f t="array" ref="K96">STOWA2019_NDJF_T(A96*60,J96,I96,"","center")</f>
        <v>5.2006853404870379E-2</v>
      </c>
      <c r="L96">
        <f t="shared" ref="L96:L100" si="31">1/K96</f>
        <v>19.228235021547203</v>
      </c>
    </row>
    <row r="97" spans="1:12" x14ac:dyDescent="0.3">
      <c r="A97">
        <v>192</v>
      </c>
      <c r="B97">
        <f t="shared" si="27"/>
        <v>4.7305061285748256</v>
      </c>
      <c r="C97">
        <f t="shared" si="28"/>
        <v>4.7305061285748256</v>
      </c>
      <c r="D97" t="s">
        <v>24</v>
      </c>
      <c r="E97" t="s">
        <v>19</v>
      </c>
      <c r="F97">
        <v>1</v>
      </c>
      <c r="G97">
        <f t="shared" si="29"/>
        <v>20</v>
      </c>
      <c r="I97">
        <v>2030</v>
      </c>
      <c r="J97">
        <f t="shared" si="30"/>
        <v>22.5</v>
      </c>
      <c r="K97" cm="1">
        <f t="array" ref="K97">STOWA2019_NDJF_T(A97*60,J97,I97,"","center")</f>
        <v>6.8976320869452837E-2</v>
      </c>
      <c r="L97">
        <f t="shared" si="31"/>
        <v>14.497728892972377</v>
      </c>
    </row>
    <row r="98" spans="1:12" x14ac:dyDescent="0.3">
      <c r="A98">
        <v>192</v>
      </c>
      <c r="B98">
        <f t="shared" si="27"/>
        <v>3.6072914008915049</v>
      </c>
      <c r="C98">
        <f t="shared" si="28"/>
        <v>3.6072914008915049</v>
      </c>
      <c r="D98" t="s">
        <v>24</v>
      </c>
      <c r="E98" t="s">
        <v>19</v>
      </c>
      <c r="F98">
        <v>1</v>
      </c>
      <c r="G98">
        <f t="shared" si="29"/>
        <v>25</v>
      </c>
      <c r="I98">
        <v>2030</v>
      </c>
      <c r="J98">
        <f t="shared" si="30"/>
        <v>27.5</v>
      </c>
      <c r="K98" cm="1">
        <f t="array" ref="K98">STOWA2019_NDJF_T(A98*60,J98,I98,"","center")</f>
        <v>9.182367565372497E-2</v>
      </c>
      <c r="L98">
        <f t="shared" si="31"/>
        <v>10.890437492080872</v>
      </c>
    </row>
    <row r="99" spans="1:12" x14ac:dyDescent="0.3">
      <c r="A99">
        <v>192</v>
      </c>
      <c r="B99">
        <f t="shared" si="27"/>
        <v>2.7408989075200072</v>
      </c>
      <c r="C99">
        <f t="shared" si="28"/>
        <v>2.7408989075200072</v>
      </c>
      <c r="D99" t="s">
        <v>24</v>
      </c>
      <c r="E99" t="s">
        <v>19</v>
      </c>
      <c r="F99">
        <v>1</v>
      </c>
      <c r="G99">
        <f t="shared" si="29"/>
        <v>30</v>
      </c>
      <c r="I99">
        <v>2030</v>
      </c>
      <c r="J99">
        <f t="shared" si="30"/>
        <v>32.5</v>
      </c>
      <c r="K99" cm="1">
        <f t="array" ref="K99">STOWA2019_NDJF_T(A99*60,J99,I99,"","center")</f>
        <v>0.12270633357015814</v>
      </c>
      <c r="L99">
        <f t="shared" si="31"/>
        <v>8.1495385845608652</v>
      </c>
    </row>
    <row r="100" spans="1:12" x14ac:dyDescent="0.3">
      <c r="A100">
        <v>192</v>
      </c>
      <c r="B100">
        <f t="shared" si="27"/>
        <v>2.0749213774961683</v>
      </c>
      <c r="C100">
        <f t="shared" si="28"/>
        <v>2.0749213774961683</v>
      </c>
      <c r="D100" t="s">
        <v>24</v>
      </c>
      <c r="E100" t="s">
        <v>19</v>
      </c>
      <c r="F100">
        <v>1</v>
      </c>
      <c r="G100">
        <f t="shared" si="29"/>
        <v>35</v>
      </c>
      <c r="I100">
        <v>2030</v>
      </c>
      <c r="J100">
        <f t="shared" si="30"/>
        <v>37.5</v>
      </c>
      <c r="K100" cm="1">
        <f t="array" ref="K100">STOWA2019_NDJF_T(A100*60,J100,I100,"","center")</f>
        <v>0.16461942636270374</v>
      </c>
      <c r="L100">
        <f t="shared" si="31"/>
        <v>6.0746172070646969</v>
      </c>
    </row>
    <row r="101" spans="1:12" x14ac:dyDescent="0.3">
      <c r="A101">
        <v>192</v>
      </c>
      <c r="B101">
        <f>L100-L101</f>
        <v>1.5648229685197057</v>
      </c>
      <c r="C101">
        <f t="shared" si="28"/>
        <v>1.5648229685197057</v>
      </c>
      <c r="D101" t="s">
        <v>24</v>
      </c>
      <c r="E101" t="s">
        <v>19</v>
      </c>
      <c r="F101">
        <v>1</v>
      </c>
      <c r="G101">
        <f>G100+5</f>
        <v>40</v>
      </c>
      <c r="I101">
        <v>2030</v>
      </c>
      <c r="J101">
        <f>AVERAGE(G101:G102)</f>
        <v>42.5</v>
      </c>
      <c r="K101" cm="1">
        <f t="array" ref="K101">STOWA2019_NDJF_T(A101*60,J101,I101,"","center")</f>
        <v>0.22173960653305394</v>
      </c>
      <c r="L101">
        <f>1/K101</f>
        <v>4.5097942385449912</v>
      </c>
    </row>
    <row r="102" spans="1:12" x14ac:dyDescent="0.3">
      <c r="A102">
        <v>192</v>
      </c>
      <c r="B102">
        <f t="shared" ref="B102:B124" si="32">L101-L102</f>
        <v>1.1755447023076084</v>
      </c>
      <c r="C102">
        <f t="shared" si="28"/>
        <v>1.1755447023076084</v>
      </c>
      <c r="D102" t="s">
        <v>24</v>
      </c>
      <c r="E102" t="s">
        <v>19</v>
      </c>
      <c r="F102">
        <v>1</v>
      </c>
      <c r="G102">
        <f t="shared" ref="G102:G125" si="33">G101+5</f>
        <v>45</v>
      </c>
      <c r="I102">
        <v>2030</v>
      </c>
      <c r="J102">
        <f t="shared" ref="J102:J124" si="34">AVERAGE(G102:G103)</f>
        <v>47.5</v>
      </c>
      <c r="K102" cm="1">
        <f t="array" ref="K102">STOWA2019_NDJF_T(A102*60,J102,I102,"","center")</f>
        <v>0.29991756439695721</v>
      </c>
      <c r="L102">
        <f t="shared" ref="L102:L124" si="35">1/K102</f>
        <v>3.3342495362373827</v>
      </c>
    </row>
    <row r="103" spans="1:12" x14ac:dyDescent="0.3">
      <c r="A103">
        <v>192</v>
      </c>
      <c r="B103">
        <f t="shared" si="32"/>
        <v>0.879601415475324</v>
      </c>
      <c r="C103">
        <f t="shared" si="28"/>
        <v>0.879601415475324</v>
      </c>
      <c r="D103" t="s">
        <v>24</v>
      </c>
      <c r="E103" t="s">
        <v>19</v>
      </c>
      <c r="F103">
        <v>1</v>
      </c>
      <c r="G103">
        <f t="shared" si="33"/>
        <v>50</v>
      </c>
      <c r="I103">
        <v>2030</v>
      </c>
      <c r="J103">
        <f t="shared" si="34"/>
        <v>52.5</v>
      </c>
      <c r="K103" cm="1">
        <f t="array" ref="K103">STOWA2019_NDJF_T(A103*60,J103,I103,"","center")</f>
        <v>0.40739036749982094</v>
      </c>
      <c r="L103">
        <f t="shared" si="35"/>
        <v>2.4546481207620587</v>
      </c>
    </row>
    <row r="104" spans="1:12" x14ac:dyDescent="0.3">
      <c r="A104">
        <v>192</v>
      </c>
      <c r="B104">
        <f t="shared" si="32"/>
        <v>0.65543789107121553</v>
      </c>
      <c r="C104">
        <f t="shared" si="28"/>
        <v>0.65543789107121553</v>
      </c>
      <c r="D104" t="s">
        <v>24</v>
      </c>
      <c r="E104" t="s">
        <v>19</v>
      </c>
      <c r="F104">
        <v>1</v>
      </c>
      <c r="G104">
        <f t="shared" si="33"/>
        <v>55</v>
      </c>
      <c r="I104">
        <v>2030</v>
      </c>
      <c r="J104">
        <f t="shared" si="34"/>
        <v>57.5</v>
      </c>
      <c r="K104" cm="1">
        <f t="array" ref="K104">STOWA2019_NDJF_T(A104*60,J104,I104,"","center")</f>
        <v>0.55579941882157324</v>
      </c>
      <c r="L104">
        <f t="shared" si="35"/>
        <v>1.7992102296908432</v>
      </c>
    </row>
    <row r="105" spans="1:12" x14ac:dyDescent="0.3">
      <c r="A105">
        <v>192</v>
      </c>
      <c r="B105">
        <f t="shared" si="32"/>
        <v>0.48635560923032473</v>
      </c>
      <c r="C105">
        <f t="shared" si="28"/>
        <v>0.48635560923032473</v>
      </c>
      <c r="D105" t="s">
        <v>24</v>
      </c>
      <c r="E105" t="s">
        <v>19</v>
      </c>
      <c r="F105">
        <v>1</v>
      </c>
      <c r="G105">
        <f t="shared" si="33"/>
        <v>60</v>
      </c>
      <c r="I105">
        <v>2030</v>
      </c>
      <c r="J105">
        <f t="shared" si="34"/>
        <v>62.5</v>
      </c>
      <c r="K105" cm="1">
        <f t="array" ref="K105">STOWA2019_NDJF_T(A105*60,J105,I105,"","center")</f>
        <v>0.76169896073429944</v>
      </c>
      <c r="L105">
        <f t="shared" si="35"/>
        <v>1.3128546204605185</v>
      </c>
    </row>
    <row r="106" spans="1:12" x14ac:dyDescent="0.3">
      <c r="A106">
        <v>192</v>
      </c>
      <c r="B106">
        <f t="shared" si="32"/>
        <v>0.35924523959354338</v>
      </c>
      <c r="C106">
        <f t="shared" si="28"/>
        <v>0.35924523959354338</v>
      </c>
      <c r="D106" t="s">
        <v>24</v>
      </c>
      <c r="E106" t="s">
        <v>19</v>
      </c>
      <c r="F106">
        <v>1</v>
      </c>
      <c r="G106">
        <f t="shared" si="33"/>
        <v>65</v>
      </c>
      <c r="I106">
        <v>2030</v>
      </c>
      <c r="J106">
        <f t="shared" si="34"/>
        <v>67.5</v>
      </c>
      <c r="K106" cm="1">
        <f t="array" ref="K106">STOWA2019_NDJF_T(A106*60,J106,I106,"","center")</f>
        <v>1.0486474022422565</v>
      </c>
      <c r="L106">
        <f t="shared" si="35"/>
        <v>0.95360938086697511</v>
      </c>
    </row>
    <row r="107" spans="1:12" x14ac:dyDescent="0.3">
      <c r="A107">
        <v>192</v>
      </c>
      <c r="B107">
        <f t="shared" si="32"/>
        <v>0.26428557266433794</v>
      </c>
      <c r="C107">
        <f t="shared" si="28"/>
        <v>0.26428557266433794</v>
      </c>
      <c r="D107" t="s">
        <v>24</v>
      </c>
      <c r="E107" t="s">
        <v>19</v>
      </c>
      <c r="F107">
        <v>1</v>
      </c>
      <c r="G107">
        <f t="shared" si="33"/>
        <v>70</v>
      </c>
      <c r="I107">
        <v>2030</v>
      </c>
      <c r="J107">
        <f t="shared" si="34"/>
        <v>72.5</v>
      </c>
      <c r="K107" cm="1">
        <f t="array" ref="K107">STOWA2019_NDJF_T(A107*60,J107,I107,"","center")</f>
        <v>1.4506970281607259</v>
      </c>
      <c r="L107">
        <f t="shared" si="35"/>
        <v>0.68932380820263717</v>
      </c>
    </row>
    <row r="108" spans="1:12" x14ac:dyDescent="0.3">
      <c r="A108">
        <v>192</v>
      </c>
      <c r="B108">
        <f t="shared" si="32"/>
        <v>0.19348523701041542</v>
      </c>
      <c r="C108">
        <f t="shared" si="28"/>
        <v>0.19348523701041542</v>
      </c>
      <c r="D108" t="s">
        <v>24</v>
      </c>
      <c r="E108" t="s">
        <v>19</v>
      </c>
      <c r="F108">
        <v>1</v>
      </c>
      <c r="G108">
        <f t="shared" si="33"/>
        <v>75</v>
      </c>
      <c r="I108">
        <v>2030</v>
      </c>
      <c r="J108">
        <f t="shared" si="34"/>
        <v>77.5</v>
      </c>
      <c r="K108" cm="1">
        <f t="array" ref="K108">STOWA2019_NDJF_T(A108*60,J108,I108,"","center")</f>
        <v>2.0167854178740967</v>
      </c>
      <c r="L108">
        <f t="shared" si="35"/>
        <v>0.49583857119222174</v>
      </c>
    </row>
    <row r="109" spans="1:12" x14ac:dyDescent="0.3">
      <c r="A109">
        <v>192</v>
      </c>
      <c r="B109">
        <f t="shared" si="32"/>
        <v>0.14097879338135016</v>
      </c>
      <c r="C109">
        <f t="shared" si="28"/>
        <v>0.14097879338135016</v>
      </c>
      <c r="D109" t="s">
        <v>24</v>
      </c>
      <c r="E109" t="s">
        <v>19</v>
      </c>
      <c r="F109">
        <v>1</v>
      </c>
      <c r="G109">
        <f t="shared" si="33"/>
        <v>80</v>
      </c>
      <c r="I109">
        <v>2030</v>
      </c>
      <c r="J109">
        <f t="shared" si="34"/>
        <v>82.5</v>
      </c>
      <c r="K109" cm="1">
        <f t="array" ref="K109">STOWA2019_NDJF_T(A109*60,J109,I109,"","center")</f>
        <v>2.8180145018660485</v>
      </c>
      <c r="L109">
        <f t="shared" si="35"/>
        <v>0.35485977781087158</v>
      </c>
    </row>
    <row r="110" spans="1:12" x14ac:dyDescent="0.3">
      <c r="A110">
        <v>192</v>
      </c>
      <c r="B110">
        <f t="shared" si="32"/>
        <v>0.10222199261854908</v>
      </c>
      <c r="C110">
        <f t="shared" si="28"/>
        <v>0.10222199261854908</v>
      </c>
      <c r="D110" t="s">
        <v>24</v>
      </c>
      <c r="E110" t="s">
        <v>19</v>
      </c>
      <c r="F110">
        <v>1</v>
      </c>
      <c r="G110">
        <f t="shared" si="33"/>
        <v>85</v>
      </c>
      <c r="I110">
        <v>2030</v>
      </c>
      <c r="J110">
        <f t="shared" si="34"/>
        <v>87.5</v>
      </c>
      <c r="K110" cm="1">
        <f t="array" ref="K110">STOWA2019_NDJF_T(A110*60,J110,I110,"","center")</f>
        <v>3.9582360937764802</v>
      </c>
      <c r="L110">
        <f t="shared" si="35"/>
        <v>0.25263778519232249</v>
      </c>
    </row>
    <row r="111" spans="1:12" x14ac:dyDescent="0.3">
      <c r="A111">
        <v>192</v>
      </c>
      <c r="B111">
        <f t="shared" si="32"/>
        <v>7.3741853874759178E-2</v>
      </c>
      <c r="C111">
        <f t="shared" si="28"/>
        <v>7.3741853874759178E-2</v>
      </c>
      <c r="D111" t="s">
        <v>24</v>
      </c>
      <c r="E111" t="s">
        <v>19</v>
      </c>
      <c r="F111">
        <v>1</v>
      </c>
      <c r="G111">
        <f t="shared" si="33"/>
        <v>90</v>
      </c>
      <c r="I111">
        <v>2030</v>
      </c>
      <c r="J111">
        <f t="shared" si="34"/>
        <v>92.5</v>
      </c>
      <c r="K111" cm="1">
        <f t="array" ref="K111">STOWA2019_NDJF_T(A111*60,J111,I111,"","center")</f>
        <v>5.589842053058609</v>
      </c>
      <c r="L111">
        <f t="shared" si="35"/>
        <v>0.17889593131756332</v>
      </c>
    </row>
    <row r="112" spans="1:12" x14ac:dyDescent="0.3">
      <c r="A112">
        <v>192</v>
      </c>
      <c r="B112">
        <f t="shared" si="32"/>
        <v>5.2921877806740236E-2</v>
      </c>
      <c r="C112">
        <f t="shared" si="28"/>
        <v>5.2921877806740236E-2</v>
      </c>
      <c r="D112" t="s">
        <v>24</v>
      </c>
      <c r="E112" t="s">
        <v>19</v>
      </c>
      <c r="F112">
        <v>1</v>
      </c>
      <c r="G112">
        <f t="shared" si="33"/>
        <v>95</v>
      </c>
      <c r="I112">
        <v>2030</v>
      </c>
      <c r="J112">
        <f t="shared" si="34"/>
        <v>97.5</v>
      </c>
      <c r="K112" cm="1">
        <f t="array" ref="K112">STOWA2019_NDJF_T(A112*60,J112,I112,"","center")</f>
        <v>7.9381425946898245</v>
      </c>
      <c r="L112">
        <f t="shared" si="35"/>
        <v>0.12597405351082308</v>
      </c>
    </row>
    <row r="113" spans="1:12" x14ac:dyDescent="0.3">
      <c r="A113">
        <v>192</v>
      </c>
      <c r="B113">
        <f t="shared" si="32"/>
        <v>3.7774269872744598E-2</v>
      </c>
      <c r="C113">
        <f t="shared" si="28"/>
        <v>3.7774269872744598E-2</v>
      </c>
      <c r="D113" t="s">
        <v>24</v>
      </c>
      <c r="E113" t="s">
        <v>19</v>
      </c>
      <c r="F113">
        <v>1</v>
      </c>
      <c r="G113">
        <f t="shared" si="33"/>
        <v>100</v>
      </c>
      <c r="I113">
        <v>2030</v>
      </c>
      <c r="J113">
        <f t="shared" si="34"/>
        <v>102.5</v>
      </c>
      <c r="K113" cm="1">
        <f t="array" ref="K113">STOWA2019_NDJF_T(A113*60,J113,I113,"","center")</f>
        <v>11.337896293526395</v>
      </c>
      <c r="L113">
        <f t="shared" si="35"/>
        <v>8.8199783638078483E-2</v>
      </c>
    </row>
    <row r="114" spans="1:12" x14ac:dyDescent="0.3">
      <c r="A114">
        <v>192</v>
      </c>
      <c r="B114">
        <f t="shared" si="32"/>
        <v>2.6813667735892159E-2</v>
      </c>
      <c r="C114">
        <f t="shared" si="28"/>
        <v>2.6813667735892159E-2</v>
      </c>
      <c r="D114" t="s">
        <v>24</v>
      </c>
      <c r="E114" t="s">
        <v>19</v>
      </c>
      <c r="F114">
        <v>1</v>
      </c>
      <c r="G114">
        <f t="shared" si="33"/>
        <v>105</v>
      </c>
      <c r="I114">
        <v>2030</v>
      </c>
      <c r="J114">
        <f t="shared" si="34"/>
        <v>107.5</v>
      </c>
      <c r="K114" cm="1">
        <f t="array" ref="K114">STOWA2019_NDJF_T(A114*60,J114,I114,"","center")</f>
        <v>16.290328607749299</v>
      </c>
      <c r="L114">
        <f t="shared" si="35"/>
        <v>6.1386115902186324E-2</v>
      </c>
    </row>
    <row r="115" spans="1:12" x14ac:dyDescent="0.3">
      <c r="A115">
        <v>192</v>
      </c>
      <c r="B115">
        <f t="shared" si="32"/>
        <v>1.8923694925229946E-2</v>
      </c>
      <c r="C115">
        <f t="shared" si="28"/>
        <v>1.8923694925229946E-2</v>
      </c>
      <c r="D115" t="s">
        <v>24</v>
      </c>
      <c r="E115" t="s">
        <v>19</v>
      </c>
      <c r="F115">
        <v>1</v>
      </c>
      <c r="G115">
        <f t="shared" si="33"/>
        <v>110</v>
      </c>
      <c r="I115">
        <v>2030</v>
      </c>
      <c r="J115">
        <f t="shared" si="34"/>
        <v>112.5</v>
      </c>
      <c r="K115" cm="1">
        <f t="array" ref="K115">STOWA2019_NDJF_T(A115*60,J115,I115,"","center")</f>
        <v>23.550235172475983</v>
      </c>
      <c r="L115">
        <f t="shared" si="35"/>
        <v>4.2462420976956378E-2</v>
      </c>
    </row>
    <row r="116" spans="1:12" x14ac:dyDescent="0.3">
      <c r="A116">
        <v>192</v>
      </c>
      <c r="B116">
        <f t="shared" si="32"/>
        <v>1.3276107426564293E-2</v>
      </c>
      <c r="C116">
        <f t="shared" si="28"/>
        <v>1.3276107426564293E-2</v>
      </c>
      <c r="D116" t="s">
        <v>24</v>
      </c>
      <c r="E116" t="s">
        <v>19</v>
      </c>
      <c r="F116">
        <v>1</v>
      </c>
      <c r="G116">
        <f t="shared" si="33"/>
        <v>115</v>
      </c>
      <c r="I116">
        <v>2030</v>
      </c>
      <c r="J116">
        <f t="shared" si="34"/>
        <v>117.5</v>
      </c>
      <c r="K116" cm="1">
        <f t="array" ref="K116">STOWA2019_NDJF_T(A116*60,J116,I116,"","center")</f>
        <v>34.262634719983886</v>
      </c>
      <c r="L116">
        <f t="shared" si="35"/>
        <v>2.9186313550392085E-2</v>
      </c>
    </row>
    <row r="117" spans="1:12" x14ac:dyDescent="0.3">
      <c r="A117">
        <v>192</v>
      </c>
      <c r="B117">
        <f t="shared" si="32"/>
        <v>9.2567976245883365E-3</v>
      </c>
      <c r="C117">
        <f t="shared" si="28"/>
        <v>9.2567976245883365E-3</v>
      </c>
      <c r="D117" t="s">
        <v>24</v>
      </c>
      <c r="E117" t="s">
        <v>19</v>
      </c>
      <c r="F117">
        <v>1</v>
      </c>
      <c r="G117">
        <f t="shared" si="33"/>
        <v>120</v>
      </c>
      <c r="I117">
        <v>2030</v>
      </c>
      <c r="J117">
        <f t="shared" si="34"/>
        <v>122.5</v>
      </c>
      <c r="K117" cm="1">
        <f t="array" ref="K117">STOWA2019_NDJF_T(A117*60,J117,I117,"","center")</f>
        <v>50.176833382352733</v>
      </c>
      <c r="L117">
        <f t="shared" si="35"/>
        <v>1.9929515925803748E-2</v>
      </c>
    </row>
    <row r="118" spans="1:12" x14ac:dyDescent="0.3">
      <c r="A118">
        <v>192</v>
      </c>
      <c r="B118">
        <f t="shared" si="32"/>
        <v>6.4133828773827502E-3</v>
      </c>
      <c r="C118">
        <f t="shared" si="28"/>
        <v>6.4133828773827502E-3</v>
      </c>
      <c r="D118" t="s">
        <v>24</v>
      </c>
      <c r="E118" t="s">
        <v>19</v>
      </c>
      <c r="F118">
        <v>1</v>
      </c>
      <c r="G118">
        <f t="shared" si="33"/>
        <v>125</v>
      </c>
      <c r="I118">
        <v>2030</v>
      </c>
      <c r="J118">
        <f t="shared" si="34"/>
        <v>127.5</v>
      </c>
      <c r="K118" cm="1">
        <f t="array" ref="K118">STOWA2019_NDJF_T(A118*60,J118,I118,"","center")</f>
        <v>73.98565820693986</v>
      </c>
      <c r="L118">
        <f t="shared" si="35"/>
        <v>1.3516133048420998E-2</v>
      </c>
    </row>
    <row r="119" spans="1:12" x14ac:dyDescent="0.3">
      <c r="A119">
        <v>192</v>
      </c>
      <c r="B119">
        <f t="shared" si="32"/>
        <v>4.4139786185347727E-3</v>
      </c>
      <c r="C119">
        <f t="shared" si="28"/>
        <v>4.4139786185347727E-3</v>
      </c>
      <c r="D119" t="s">
        <v>24</v>
      </c>
      <c r="E119" t="s">
        <v>19</v>
      </c>
      <c r="F119">
        <v>1</v>
      </c>
      <c r="G119">
        <f t="shared" si="33"/>
        <v>130</v>
      </c>
      <c r="I119">
        <v>2030</v>
      </c>
      <c r="J119">
        <f t="shared" si="34"/>
        <v>132.5</v>
      </c>
      <c r="K119" cm="1">
        <f t="array" ref="K119">STOWA2019_NDJF_T(A119*60,J119,I119,"","center")</f>
        <v>109.86409950556066</v>
      </c>
      <c r="L119">
        <f t="shared" si="35"/>
        <v>9.102154429886225E-3</v>
      </c>
    </row>
    <row r="120" spans="1:12" x14ac:dyDescent="0.3">
      <c r="A120">
        <v>192</v>
      </c>
      <c r="B120">
        <f t="shared" si="32"/>
        <v>3.0172612928706811E-3</v>
      </c>
      <c r="C120">
        <f t="shared" si="28"/>
        <v>3.0172612928706811E-3</v>
      </c>
      <c r="D120" t="s">
        <v>24</v>
      </c>
      <c r="E120" t="s">
        <v>19</v>
      </c>
      <c r="F120">
        <v>1</v>
      </c>
      <c r="G120">
        <f t="shared" si="33"/>
        <v>135</v>
      </c>
      <c r="I120">
        <v>2030</v>
      </c>
      <c r="J120">
        <f t="shared" si="34"/>
        <v>137.5</v>
      </c>
      <c r="K120" cm="1">
        <f t="array" ref="K120">STOWA2019_NDJF_T(A120*60,J120,I120,"","center")</f>
        <v>164.34142350287351</v>
      </c>
      <c r="L120">
        <f t="shared" si="35"/>
        <v>6.0848931370155439E-3</v>
      </c>
    </row>
    <row r="121" spans="1:12" x14ac:dyDescent="0.3">
      <c r="A121">
        <v>192</v>
      </c>
      <c r="B121">
        <f t="shared" si="32"/>
        <v>2.0478686293070097E-3</v>
      </c>
      <c r="C121">
        <f t="shared" si="28"/>
        <v>2.0478686293070097E-3</v>
      </c>
      <c r="D121" t="s">
        <v>24</v>
      </c>
      <c r="E121" t="s">
        <v>19</v>
      </c>
      <c r="F121">
        <v>1</v>
      </c>
      <c r="G121">
        <f t="shared" si="33"/>
        <v>140</v>
      </c>
      <c r="I121">
        <v>2030</v>
      </c>
      <c r="J121">
        <f t="shared" si="34"/>
        <v>142.5</v>
      </c>
      <c r="K121" cm="1">
        <f t="array" ref="K121">STOWA2019_NDJF_T(A121*60,J121,I121,"","center")</f>
        <v>247.70719080118059</v>
      </c>
      <c r="L121">
        <f t="shared" si="35"/>
        <v>4.0370245077085342E-3</v>
      </c>
    </row>
    <row r="122" spans="1:12" x14ac:dyDescent="0.3">
      <c r="A122">
        <v>192</v>
      </c>
      <c r="B122">
        <f t="shared" si="32"/>
        <v>1.3797283903394237E-3</v>
      </c>
      <c r="C122">
        <f t="shared" si="28"/>
        <v>1.3797283903394237E-3</v>
      </c>
      <c r="D122" t="s">
        <v>24</v>
      </c>
      <c r="E122" t="s">
        <v>19</v>
      </c>
      <c r="F122">
        <v>1</v>
      </c>
      <c r="G122">
        <f t="shared" si="33"/>
        <v>145</v>
      </c>
      <c r="I122">
        <v>2030</v>
      </c>
      <c r="J122">
        <f t="shared" si="34"/>
        <v>147.5</v>
      </c>
      <c r="K122" cm="1">
        <f t="array" ref="K122">STOWA2019_NDJF_T(A122*60,J122,I122,"","center")</f>
        <v>376.32238028107406</v>
      </c>
      <c r="L122">
        <f t="shared" si="35"/>
        <v>2.6572961173691105E-3</v>
      </c>
    </row>
    <row r="123" spans="1:12" x14ac:dyDescent="0.3">
      <c r="A123">
        <v>192</v>
      </c>
      <c r="B123">
        <f t="shared" si="32"/>
        <v>9.2246654368257058E-4</v>
      </c>
      <c r="C123">
        <f t="shared" si="28"/>
        <v>9.2246654368257058E-4</v>
      </c>
      <c r="D123" t="s">
        <v>24</v>
      </c>
      <c r="E123" t="s">
        <v>19</v>
      </c>
      <c r="F123">
        <v>1</v>
      </c>
      <c r="G123">
        <f t="shared" si="33"/>
        <v>150</v>
      </c>
      <c r="I123">
        <v>2030</v>
      </c>
      <c r="J123">
        <f t="shared" si="34"/>
        <v>152.5</v>
      </c>
      <c r="K123" cm="1">
        <f t="array" ref="K123">STOWA2019_NDJF_T(A123*60,J123,I123,"","center")</f>
        <v>576.42549744813516</v>
      </c>
      <c r="L123">
        <f t="shared" si="35"/>
        <v>1.7348295736865399E-3</v>
      </c>
    </row>
    <row r="124" spans="1:12" x14ac:dyDescent="0.3">
      <c r="A124">
        <v>192</v>
      </c>
      <c r="B124">
        <f t="shared" si="32"/>
        <v>6.1185644681756345E-4</v>
      </c>
      <c r="C124">
        <f t="shared" si="28"/>
        <v>6.1185644681756345E-4</v>
      </c>
      <c r="D124" t="s">
        <v>24</v>
      </c>
      <c r="E124" t="s">
        <v>19</v>
      </c>
      <c r="F124">
        <v>1</v>
      </c>
      <c r="G124">
        <f t="shared" si="33"/>
        <v>155</v>
      </c>
      <c r="I124">
        <v>2030</v>
      </c>
      <c r="J124">
        <f t="shared" si="34"/>
        <v>157.5</v>
      </c>
      <c r="K124" cm="1">
        <f t="array" ref="K124">STOWA2019_NDJF_T(A124*60,J124,I124,"","center")</f>
        <v>890.49325943191116</v>
      </c>
      <c r="L124">
        <f t="shared" si="35"/>
        <v>1.1229731268689765E-3</v>
      </c>
    </row>
    <row r="125" spans="1:12" x14ac:dyDescent="0.3">
      <c r="A125">
        <v>192</v>
      </c>
      <c r="B125" s="1">
        <f>L124</f>
        <v>1.1229731268689765E-3</v>
      </c>
      <c r="C125">
        <f t="shared" si="28"/>
        <v>1.1229731268689765E-3</v>
      </c>
      <c r="D125" t="s">
        <v>24</v>
      </c>
      <c r="E125" t="s">
        <v>19</v>
      </c>
      <c r="F125">
        <v>1</v>
      </c>
      <c r="G125">
        <f t="shared" si="33"/>
        <v>160</v>
      </c>
      <c r="I125">
        <v>2030</v>
      </c>
      <c r="J125">
        <f>AVERAGE(G125:G126)</f>
        <v>85</v>
      </c>
      <c r="K125" cm="1">
        <f t="array" ref="K125">STOWA2019_NDJF_T(A125*60,J125,I125,"","center")</f>
        <v>3.3375994240192921</v>
      </c>
      <c r="L125">
        <f>1/K125</f>
        <v>0.29961654259747972</v>
      </c>
    </row>
    <row r="126" spans="1:12" x14ac:dyDescent="0.3">
      <c r="A126">
        <v>216</v>
      </c>
      <c r="B126" s="1">
        <f>365.25*24/A126 - L126</f>
        <v>19.112180884863708</v>
      </c>
      <c r="C126">
        <f>B126</f>
        <v>19.112180884863708</v>
      </c>
      <c r="D126" t="s">
        <v>24</v>
      </c>
      <c r="E126" t="s">
        <v>19</v>
      </c>
      <c r="F126">
        <v>1</v>
      </c>
      <c r="G126">
        <v>10</v>
      </c>
      <c r="I126">
        <v>2030</v>
      </c>
      <c r="J126">
        <f>AVERAGE(G126:G128)</f>
        <v>15</v>
      </c>
      <c r="K126" cm="1">
        <f t="array" ref="K126">STOWA2019_NDJF_T(A126*60,J126,I126,"","center")</f>
        <v>4.6574118571417238E-2</v>
      </c>
      <c r="L126">
        <f>1/K126</f>
        <v>21.471152448469628</v>
      </c>
    </row>
    <row r="127" spans="1:12" x14ac:dyDescent="0.3">
      <c r="A127">
        <v>216</v>
      </c>
      <c r="B127">
        <f t="shared" ref="B127:B131" si="36">L126-L127</f>
        <v>2.5297530417627492</v>
      </c>
      <c r="C127">
        <f t="shared" ref="C127:C156" si="37">B127</f>
        <v>2.5297530417627492</v>
      </c>
      <c r="D127" t="s">
        <v>24</v>
      </c>
      <c r="E127" t="s">
        <v>19</v>
      </c>
      <c r="F127">
        <v>1</v>
      </c>
      <c r="G127">
        <f t="shared" ref="G127:G131" si="38">G126+5</f>
        <v>15</v>
      </c>
      <c r="I127">
        <v>2030</v>
      </c>
      <c r="J127">
        <f t="shared" ref="J127:J131" si="39">AVERAGE(G127:G128)</f>
        <v>17.5</v>
      </c>
      <c r="K127" cm="1">
        <f t="array" ref="K127">STOWA2019_NDJF_T(A127*60,J127,I127,"","center")</f>
        <v>5.2794409669958936E-2</v>
      </c>
      <c r="L127">
        <f t="shared" ref="L127:L131" si="40">1/K127</f>
        <v>18.941399406706878</v>
      </c>
    </row>
    <row r="128" spans="1:12" x14ac:dyDescent="0.3">
      <c r="A128">
        <v>216</v>
      </c>
      <c r="B128">
        <f t="shared" si="36"/>
        <v>4.2446586057037994</v>
      </c>
      <c r="C128">
        <f t="shared" si="37"/>
        <v>4.2446586057037994</v>
      </c>
      <c r="D128" t="s">
        <v>24</v>
      </c>
      <c r="E128" t="s">
        <v>19</v>
      </c>
      <c r="F128">
        <v>1</v>
      </c>
      <c r="G128">
        <f t="shared" si="38"/>
        <v>20</v>
      </c>
      <c r="I128">
        <v>2030</v>
      </c>
      <c r="J128">
        <f t="shared" si="39"/>
        <v>22.5</v>
      </c>
      <c r="K128" cm="1">
        <f t="array" ref="K128">STOWA2019_NDJF_T(A128*60,J128,I128,"","center")</f>
        <v>6.8042296828950549E-2</v>
      </c>
      <c r="L128">
        <f t="shared" si="40"/>
        <v>14.696740801003079</v>
      </c>
    </row>
    <row r="129" spans="1:12" x14ac:dyDescent="0.3">
      <c r="A129">
        <v>216</v>
      </c>
      <c r="B129">
        <f t="shared" si="36"/>
        <v>3.3403921822833667</v>
      </c>
      <c r="C129">
        <f t="shared" si="37"/>
        <v>3.3403921822833667</v>
      </c>
      <c r="D129" t="s">
        <v>24</v>
      </c>
      <c r="E129" t="s">
        <v>19</v>
      </c>
      <c r="F129">
        <v>1</v>
      </c>
      <c r="G129">
        <f t="shared" si="38"/>
        <v>25</v>
      </c>
      <c r="I129">
        <v>2030</v>
      </c>
      <c r="J129">
        <f t="shared" si="39"/>
        <v>27.5</v>
      </c>
      <c r="K129" cm="1">
        <f t="array" ref="K129">STOWA2019_NDJF_T(A129*60,J129,I129,"","center")</f>
        <v>8.8056472513674697E-2</v>
      </c>
      <c r="L129">
        <f t="shared" si="40"/>
        <v>11.356348618719712</v>
      </c>
    </row>
    <row r="130" spans="1:12" x14ac:dyDescent="0.3">
      <c r="A130">
        <v>216</v>
      </c>
      <c r="B130">
        <f t="shared" si="36"/>
        <v>2.6184516585875137</v>
      </c>
      <c r="C130">
        <f t="shared" si="37"/>
        <v>2.6184516585875137</v>
      </c>
      <c r="D130" t="s">
        <v>24</v>
      </c>
      <c r="E130" t="s">
        <v>19</v>
      </c>
      <c r="F130">
        <v>1</v>
      </c>
      <c r="G130">
        <f t="shared" si="38"/>
        <v>30</v>
      </c>
      <c r="I130">
        <v>2030</v>
      </c>
      <c r="J130">
        <f t="shared" si="39"/>
        <v>32.5</v>
      </c>
      <c r="K130" cm="1">
        <f t="array" ref="K130">STOWA2019_NDJF_T(A130*60,J130,I130,"","center")</f>
        <v>0.11444401376700036</v>
      </c>
      <c r="L130">
        <f t="shared" si="40"/>
        <v>8.7378969601321987</v>
      </c>
    </row>
    <row r="131" spans="1:12" x14ac:dyDescent="0.3">
      <c r="A131">
        <v>216</v>
      </c>
      <c r="B131">
        <f t="shared" si="36"/>
        <v>2.044230168672371</v>
      </c>
      <c r="C131">
        <f t="shared" si="37"/>
        <v>2.044230168672371</v>
      </c>
      <c r="D131" t="s">
        <v>24</v>
      </c>
      <c r="E131" t="s">
        <v>19</v>
      </c>
      <c r="F131">
        <v>1</v>
      </c>
      <c r="G131">
        <f t="shared" si="38"/>
        <v>35</v>
      </c>
      <c r="I131">
        <v>2030</v>
      </c>
      <c r="J131">
        <f t="shared" si="39"/>
        <v>37.5</v>
      </c>
      <c r="K131" cm="1">
        <f t="array" ref="K131">STOWA2019_NDJF_T(A131*60,J131,I131,"","center")</f>
        <v>0.14939494766543482</v>
      </c>
      <c r="L131">
        <f t="shared" si="40"/>
        <v>6.6936667914598278</v>
      </c>
    </row>
    <row r="132" spans="1:12" x14ac:dyDescent="0.3">
      <c r="A132">
        <v>216</v>
      </c>
      <c r="B132">
        <f>L131-L132</f>
        <v>1.5892623363472476</v>
      </c>
      <c r="C132">
        <f t="shared" si="37"/>
        <v>1.5892623363472476</v>
      </c>
      <c r="D132" t="s">
        <v>24</v>
      </c>
      <c r="E132" t="s">
        <v>19</v>
      </c>
      <c r="F132">
        <v>1</v>
      </c>
      <c r="G132">
        <f>G131+5</f>
        <v>40</v>
      </c>
      <c r="I132">
        <v>2030</v>
      </c>
      <c r="J132">
        <f>AVERAGE(G132:G133)</f>
        <v>42.5</v>
      </c>
      <c r="K132" cm="1">
        <f t="array" ref="K132">STOWA2019_NDJF_T(A132*60,J132,I132,"","center")</f>
        <v>0.19590924049883984</v>
      </c>
      <c r="L132">
        <f>1/K132</f>
        <v>5.1044044551125802</v>
      </c>
    </row>
    <row r="133" spans="1:12" x14ac:dyDescent="0.3">
      <c r="A133">
        <v>216</v>
      </c>
      <c r="B133">
        <f t="shared" ref="B133:B155" si="41">L132-L133</f>
        <v>1.2302112101604763</v>
      </c>
      <c r="C133">
        <f t="shared" si="37"/>
        <v>1.2302112101604763</v>
      </c>
      <c r="D133" t="s">
        <v>24</v>
      </c>
      <c r="E133" t="s">
        <v>19</v>
      </c>
      <c r="F133">
        <v>1</v>
      </c>
      <c r="G133">
        <f t="shared" ref="G133:G156" si="42">G132+5</f>
        <v>45</v>
      </c>
      <c r="I133">
        <v>2030</v>
      </c>
      <c r="J133">
        <f t="shared" ref="J133:J155" si="43">AVERAGE(G133:G134)</f>
        <v>47.5</v>
      </c>
      <c r="K133" cm="1">
        <f t="array" ref="K133">STOWA2019_NDJF_T(A133*60,J133,I133,"","center")</f>
        <v>0.25811825502069474</v>
      </c>
      <c r="L133">
        <f t="shared" ref="L133:L155" si="44">1/K133</f>
        <v>3.8741932449521039</v>
      </c>
    </row>
    <row r="134" spans="1:12" x14ac:dyDescent="0.3">
      <c r="A134">
        <v>216</v>
      </c>
      <c r="B134">
        <f t="shared" si="41"/>
        <v>0.94803944668044737</v>
      </c>
      <c r="C134">
        <f t="shared" si="37"/>
        <v>0.94803944668044737</v>
      </c>
      <c r="D134" t="s">
        <v>24</v>
      </c>
      <c r="E134" t="s">
        <v>19</v>
      </c>
      <c r="F134">
        <v>1</v>
      </c>
      <c r="G134">
        <f t="shared" si="42"/>
        <v>50</v>
      </c>
      <c r="I134">
        <v>2030</v>
      </c>
      <c r="J134">
        <f t="shared" si="43"/>
        <v>52.5</v>
      </c>
      <c r="K134" cm="1">
        <f t="array" ref="K134">STOWA2019_NDJF_T(A134*60,J134,I134,"","center")</f>
        <v>0.34174553661214035</v>
      </c>
      <c r="L134">
        <f t="shared" si="44"/>
        <v>2.9261537982716566</v>
      </c>
    </row>
    <row r="135" spans="1:12" x14ac:dyDescent="0.3">
      <c r="A135">
        <v>216</v>
      </c>
      <c r="B135">
        <f t="shared" si="41"/>
        <v>0.727160450248165</v>
      </c>
      <c r="C135">
        <f t="shared" si="37"/>
        <v>0.727160450248165</v>
      </c>
      <c r="D135" t="s">
        <v>24</v>
      </c>
      <c r="E135" t="s">
        <v>19</v>
      </c>
      <c r="F135">
        <v>1</v>
      </c>
      <c r="G135">
        <f t="shared" si="42"/>
        <v>55</v>
      </c>
      <c r="I135">
        <v>2030</v>
      </c>
      <c r="J135">
        <f t="shared" si="43"/>
        <v>57.5</v>
      </c>
      <c r="K135" cm="1">
        <f t="array" ref="K135">STOWA2019_NDJF_T(A135*60,J135,I135,"","center")</f>
        <v>0.45475353570251775</v>
      </c>
      <c r="L135">
        <f t="shared" si="44"/>
        <v>2.1989933480234916</v>
      </c>
    </row>
    <row r="136" spans="1:12" x14ac:dyDescent="0.3">
      <c r="A136">
        <v>216</v>
      </c>
      <c r="B136">
        <f t="shared" si="41"/>
        <v>0.55510768779898156</v>
      </c>
      <c r="C136">
        <f t="shared" si="37"/>
        <v>0.55510768779898156</v>
      </c>
      <c r="D136" t="s">
        <v>24</v>
      </c>
      <c r="E136" t="s">
        <v>19</v>
      </c>
      <c r="F136">
        <v>1</v>
      </c>
      <c r="G136">
        <f t="shared" si="42"/>
        <v>60</v>
      </c>
      <c r="I136">
        <v>2030</v>
      </c>
      <c r="J136">
        <f t="shared" si="43"/>
        <v>62.5</v>
      </c>
      <c r="K136" cm="1">
        <f t="array" ref="K136">STOWA2019_NDJF_T(A136*60,J136,I136,"","center")</f>
        <v>0.60831481422097644</v>
      </c>
      <c r="L136">
        <f t="shared" si="44"/>
        <v>1.64388566022451</v>
      </c>
    </row>
    <row r="137" spans="1:12" x14ac:dyDescent="0.3">
      <c r="A137">
        <v>216</v>
      </c>
      <c r="B137">
        <f t="shared" si="41"/>
        <v>0.42162670085973319</v>
      </c>
      <c r="C137">
        <f t="shared" si="37"/>
        <v>0.42162670085973319</v>
      </c>
      <c r="D137" t="s">
        <v>24</v>
      </c>
      <c r="E137" t="s">
        <v>19</v>
      </c>
      <c r="F137">
        <v>1</v>
      </c>
      <c r="G137">
        <f t="shared" si="42"/>
        <v>65</v>
      </c>
      <c r="I137">
        <v>2030</v>
      </c>
      <c r="J137">
        <f t="shared" si="43"/>
        <v>67.5</v>
      </c>
      <c r="K137" cm="1">
        <f t="array" ref="K137">STOWA2019_NDJF_T(A137*60,J137,I137,"","center")</f>
        <v>0.81815722628837384</v>
      </c>
      <c r="L137">
        <f t="shared" si="44"/>
        <v>1.2222589593647768</v>
      </c>
    </row>
    <row r="138" spans="1:12" x14ac:dyDescent="0.3">
      <c r="A138">
        <v>216</v>
      </c>
      <c r="B138">
        <f t="shared" si="41"/>
        <v>0.31853569084100974</v>
      </c>
      <c r="C138">
        <f t="shared" si="37"/>
        <v>0.31853569084100974</v>
      </c>
      <c r="D138" t="s">
        <v>24</v>
      </c>
      <c r="E138" t="s">
        <v>19</v>
      </c>
      <c r="F138">
        <v>1</v>
      </c>
      <c r="G138">
        <f t="shared" si="42"/>
        <v>70</v>
      </c>
      <c r="I138">
        <v>2030</v>
      </c>
      <c r="J138">
        <f t="shared" si="43"/>
        <v>72.5</v>
      </c>
      <c r="K138" cm="1">
        <f t="array" ref="K138">STOWA2019_NDJF_T(A138*60,J138,I138,"","center")</f>
        <v>1.1065334210476854</v>
      </c>
      <c r="L138">
        <f t="shared" si="44"/>
        <v>0.90372326852376705</v>
      </c>
    </row>
    <row r="139" spans="1:12" x14ac:dyDescent="0.3">
      <c r="A139">
        <v>216</v>
      </c>
      <c r="B139">
        <f t="shared" si="41"/>
        <v>0.23946793791458498</v>
      </c>
      <c r="C139">
        <f t="shared" si="37"/>
        <v>0.23946793791458498</v>
      </c>
      <c r="D139" t="s">
        <v>24</v>
      </c>
      <c r="E139" t="s">
        <v>19</v>
      </c>
      <c r="F139">
        <v>1</v>
      </c>
      <c r="G139">
        <f t="shared" si="42"/>
        <v>75</v>
      </c>
      <c r="I139">
        <v>2030</v>
      </c>
      <c r="J139">
        <f t="shared" si="43"/>
        <v>77.5</v>
      </c>
      <c r="K139" cm="1">
        <f t="array" ref="K139">STOWA2019_NDJF_T(A139*60,J139,I139,"","center")</f>
        <v>1.505445201445218</v>
      </c>
      <c r="L139">
        <f t="shared" si="44"/>
        <v>0.66425533060918207</v>
      </c>
    </row>
    <row r="140" spans="1:12" x14ac:dyDescent="0.3">
      <c r="A140">
        <v>216</v>
      </c>
      <c r="B140">
        <f t="shared" si="41"/>
        <v>0.17897642603639158</v>
      </c>
      <c r="C140">
        <f t="shared" si="37"/>
        <v>0.17897642603639158</v>
      </c>
      <c r="D140" t="s">
        <v>24</v>
      </c>
      <c r="E140" t="s">
        <v>19</v>
      </c>
      <c r="F140">
        <v>1</v>
      </c>
      <c r="G140">
        <f t="shared" si="42"/>
        <v>80</v>
      </c>
      <c r="I140">
        <v>2030</v>
      </c>
      <c r="J140">
        <f t="shared" si="43"/>
        <v>82.5</v>
      </c>
      <c r="K140" cm="1">
        <f t="array" ref="K140">STOWA2019_NDJF_T(A140*60,J140,I140,"","center")</f>
        <v>2.0606706588252339</v>
      </c>
      <c r="L140">
        <f t="shared" si="44"/>
        <v>0.48527890457279049</v>
      </c>
    </row>
    <row r="141" spans="1:12" x14ac:dyDescent="0.3">
      <c r="A141">
        <v>216</v>
      </c>
      <c r="B141">
        <f t="shared" si="41"/>
        <v>0.13299310794164532</v>
      </c>
      <c r="C141">
        <f t="shared" si="37"/>
        <v>0.13299310794164532</v>
      </c>
      <c r="D141" t="s">
        <v>24</v>
      </c>
      <c r="E141" t="s">
        <v>19</v>
      </c>
      <c r="F141">
        <v>1</v>
      </c>
      <c r="G141">
        <f t="shared" si="42"/>
        <v>85</v>
      </c>
      <c r="I141">
        <v>2030</v>
      </c>
      <c r="J141">
        <f t="shared" si="43"/>
        <v>87.5</v>
      </c>
      <c r="K141" cm="1">
        <f t="array" ref="K141">STOWA2019_NDJF_T(A141*60,J141,I141,"","center")</f>
        <v>2.8386043648731967</v>
      </c>
      <c r="L141">
        <f t="shared" si="44"/>
        <v>0.35228579663114518</v>
      </c>
    </row>
    <row r="142" spans="1:12" x14ac:dyDescent="0.3">
      <c r="A142">
        <v>216</v>
      </c>
      <c r="B142">
        <f t="shared" si="41"/>
        <v>9.8225199947107156E-2</v>
      </c>
      <c r="C142">
        <f t="shared" si="37"/>
        <v>9.8225199947107156E-2</v>
      </c>
      <c r="D142" t="s">
        <v>24</v>
      </c>
      <c r="E142" t="s">
        <v>19</v>
      </c>
      <c r="F142">
        <v>1</v>
      </c>
      <c r="G142">
        <f t="shared" si="42"/>
        <v>90</v>
      </c>
      <c r="I142">
        <v>2030</v>
      </c>
      <c r="J142">
        <f t="shared" si="43"/>
        <v>92.5</v>
      </c>
      <c r="K142" cm="1">
        <f t="array" ref="K142">STOWA2019_NDJF_T(A142*60,J142,I142,"","center")</f>
        <v>3.9360688475578449</v>
      </c>
      <c r="L142">
        <f t="shared" si="44"/>
        <v>0.25406059668403802</v>
      </c>
    </row>
    <row r="143" spans="1:12" x14ac:dyDescent="0.3">
      <c r="A143">
        <v>216</v>
      </c>
      <c r="B143">
        <f t="shared" si="41"/>
        <v>7.209406020303788E-2</v>
      </c>
      <c r="C143">
        <f t="shared" si="37"/>
        <v>7.209406020303788E-2</v>
      </c>
      <c r="D143" t="s">
        <v>24</v>
      </c>
      <c r="E143" t="s">
        <v>19</v>
      </c>
      <c r="F143">
        <v>1</v>
      </c>
      <c r="G143">
        <f t="shared" si="42"/>
        <v>95</v>
      </c>
      <c r="I143">
        <v>2030</v>
      </c>
      <c r="J143">
        <f t="shared" si="43"/>
        <v>97.5</v>
      </c>
      <c r="K143" cm="1">
        <f t="array" ref="K143">STOWA2019_NDJF_T(A143*60,J143,I143,"","center")</f>
        <v>5.4955159302293692</v>
      </c>
      <c r="L143">
        <f t="shared" si="44"/>
        <v>0.18196653648100014</v>
      </c>
    </row>
    <row r="144" spans="1:12" x14ac:dyDescent="0.3">
      <c r="A144">
        <v>216</v>
      </c>
      <c r="B144">
        <f t="shared" si="41"/>
        <v>5.2565998139822434E-2</v>
      </c>
      <c r="C144">
        <f t="shared" si="37"/>
        <v>5.2565998139822434E-2</v>
      </c>
      <c r="D144" t="s">
        <v>24</v>
      </c>
      <c r="E144" t="s">
        <v>19</v>
      </c>
      <c r="F144">
        <v>1</v>
      </c>
      <c r="G144">
        <f t="shared" si="42"/>
        <v>100</v>
      </c>
      <c r="I144">
        <v>2030</v>
      </c>
      <c r="J144">
        <f t="shared" si="43"/>
        <v>102.5</v>
      </c>
      <c r="K144" cm="1">
        <f t="array" ref="K144">STOWA2019_NDJF_T(A144*60,J144,I144,"","center")</f>
        <v>7.7279431200154525</v>
      </c>
      <c r="L144">
        <f t="shared" si="44"/>
        <v>0.12940053834117771</v>
      </c>
    </row>
    <row r="145" spans="1:12" x14ac:dyDescent="0.3">
      <c r="A145">
        <v>216</v>
      </c>
      <c r="B145">
        <f t="shared" si="41"/>
        <v>3.8067451805511396E-2</v>
      </c>
      <c r="C145">
        <f t="shared" si="37"/>
        <v>3.8067451805511396E-2</v>
      </c>
      <c r="D145" t="s">
        <v>24</v>
      </c>
      <c r="E145" t="s">
        <v>19</v>
      </c>
      <c r="F145">
        <v>1</v>
      </c>
      <c r="G145">
        <f t="shared" si="42"/>
        <v>105</v>
      </c>
      <c r="I145">
        <v>2030</v>
      </c>
      <c r="J145">
        <f t="shared" si="43"/>
        <v>107.5</v>
      </c>
      <c r="K145" cm="1">
        <f t="array" ref="K145">STOWA2019_NDJF_T(A145*60,J145,I145,"","center")</f>
        <v>10.948934695308823</v>
      </c>
      <c r="L145">
        <f t="shared" si="44"/>
        <v>9.1333086535666311E-2</v>
      </c>
    </row>
    <row r="146" spans="1:12" x14ac:dyDescent="0.3">
      <c r="A146">
        <v>216</v>
      </c>
      <c r="B146">
        <f t="shared" si="41"/>
        <v>2.7370636449380259E-2</v>
      </c>
      <c r="C146">
        <f t="shared" si="37"/>
        <v>2.7370636449380259E-2</v>
      </c>
      <c r="D146" t="s">
        <v>24</v>
      </c>
      <c r="E146" t="s">
        <v>19</v>
      </c>
      <c r="F146">
        <v>1</v>
      </c>
      <c r="G146">
        <f t="shared" si="42"/>
        <v>110</v>
      </c>
      <c r="I146">
        <v>2030</v>
      </c>
      <c r="J146">
        <f t="shared" si="43"/>
        <v>112.5</v>
      </c>
      <c r="K146" cm="1">
        <f t="array" ref="K146">STOWA2019_NDJF_T(A146*60,J146,I146,"","center")</f>
        <v>15.634172841268414</v>
      </c>
      <c r="L146">
        <f t="shared" si="44"/>
        <v>6.3962450086286052E-2</v>
      </c>
    </row>
    <row r="147" spans="1:12" x14ac:dyDescent="0.3">
      <c r="A147">
        <v>216</v>
      </c>
      <c r="B147">
        <f t="shared" si="41"/>
        <v>1.9533287211253594E-2</v>
      </c>
      <c r="C147">
        <f t="shared" si="37"/>
        <v>1.9533287211253594E-2</v>
      </c>
      <c r="D147" t="s">
        <v>24</v>
      </c>
      <c r="E147" t="s">
        <v>19</v>
      </c>
      <c r="F147">
        <v>1</v>
      </c>
      <c r="G147">
        <f t="shared" si="42"/>
        <v>115</v>
      </c>
      <c r="I147">
        <v>2030</v>
      </c>
      <c r="J147">
        <f t="shared" si="43"/>
        <v>117.5</v>
      </c>
      <c r="K147" cm="1">
        <f t="array" ref="K147">STOWA2019_NDJF_T(A147*60,J147,I147,"","center")</f>
        <v>22.507738955440974</v>
      </c>
      <c r="L147">
        <f t="shared" si="44"/>
        <v>4.4429162875032457E-2</v>
      </c>
    </row>
    <row r="148" spans="1:12" x14ac:dyDescent="0.3">
      <c r="A148">
        <v>216</v>
      </c>
      <c r="B148">
        <f t="shared" si="41"/>
        <v>1.3830938459374758E-2</v>
      </c>
      <c r="C148">
        <f t="shared" si="37"/>
        <v>1.3830938459374758E-2</v>
      </c>
      <c r="D148" t="s">
        <v>24</v>
      </c>
      <c r="E148" t="s">
        <v>19</v>
      </c>
      <c r="F148">
        <v>1</v>
      </c>
      <c r="G148">
        <f t="shared" si="42"/>
        <v>120</v>
      </c>
      <c r="I148">
        <v>2030</v>
      </c>
      <c r="J148">
        <f t="shared" si="43"/>
        <v>122.5</v>
      </c>
      <c r="K148" cm="1">
        <f t="array" ref="K148">STOWA2019_NDJF_T(A148*60,J148,I148,"","center")</f>
        <v>32.681634934616689</v>
      </c>
      <c r="L148">
        <f t="shared" si="44"/>
        <v>3.0598224415657699E-2</v>
      </c>
    </row>
    <row r="149" spans="1:12" x14ac:dyDescent="0.3">
      <c r="A149">
        <v>216</v>
      </c>
      <c r="B149">
        <f t="shared" si="41"/>
        <v>9.7136944934426254E-3</v>
      </c>
      <c r="C149">
        <f t="shared" si="37"/>
        <v>9.7136944934426254E-3</v>
      </c>
      <c r="D149" t="s">
        <v>24</v>
      </c>
      <c r="E149" t="s">
        <v>19</v>
      </c>
      <c r="F149">
        <v>1</v>
      </c>
      <c r="G149">
        <f t="shared" si="42"/>
        <v>125</v>
      </c>
      <c r="I149">
        <v>2030</v>
      </c>
      <c r="J149">
        <f t="shared" si="43"/>
        <v>127.5</v>
      </c>
      <c r="K149" cm="1">
        <f t="array" ref="K149">STOWA2019_NDJF_T(A149*60,J149,I149,"","center")</f>
        <v>47.882332220285718</v>
      </c>
      <c r="L149">
        <f t="shared" si="44"/>
        <v>2.0884529922215074E-2</v>
      </c>
    </row>
    <row r="150" spans="1:12" x14ac:dyDescent="0.3">
      <c r="A150">
        <v>216</v>
      </c>
      <c r="B150">
        <f t="shared" si="41"/>
        <v>6.7635676009291518E-3</v>
      </c>
      <c r="C150">
        <f t="shared" si="37"/>
        <v>6.7635676009291518E-3</v>
      </c>
      <c r="D150" t="s">
        <v>24</v>
      </c>
      <c r="E150" t="s">
        <v>19</v>
      </c>
      <c r="F150">
        <v>1</v>
      </c>
      <c r="G150">
        <f t="shared" si="42"/>
        <v>130</v>
      </c>
      <c r="I150">
        <v>2030</v>
      </c>
      <c r="J150">
        <f t="shared" si="43"/>
        <v>132.5</v>
      </c>
      <c r="K150" cm="1">
        <f t="array" ref="K150">STOWA2019_NDJF_T(A150*60,J150,I150,"","center")</f>
        <v>70.816703369613919</v>
      </c>
      <c r="L150">
        <f t="shared" si="44"/>
        <v>1.4120962321285922E-2</v>
      </c>
    </row>
    <row r="151" spans="1:12" x14ac:dyDescent="0.3">
      <c r="A151">
        <v>216</v>
      </c>
      <c r="B151">
        <f t="shared" si="41"/>
        <v>4.6671818189597761E-3</v>
      </c>
      <c r="C151">
        <f t="shared" si="37"/>
        <v>4.6671818189597761E-3</v>
      </c>
      <c r="D151" t="s">
        <v>24</v>
      </c>
      <c r="E151" t="s">
        <v>19</v>
      </c>
      <c r="F151">
        <v>1</v>
      </c>
      <c r="G151">
        <f t="shared" si="42"/>
        <v>135</v>
      </c>
      <c r="I151">
        <v>2030</v>
      </c>
      <c r="J151">
        <f t="shared" si="43"/>
        <v>137.5</v>
      </c>
      <c r="K151" cm="1">
        <f t="array" ref="K151">STOWA2019_NDJF_T(A151*60,J151,I151,"","center")</f>
        <v>105.77778908172719</v>
      </c>
      <c r="L151">
        <f t="shared" si="44"/>
        <v>9.4537805023261461E-3</v>
      </c>
    </row>
    <row r="152" spans="1:12" x14ac:dyDescent="0.3">
      <c r="A152">
        <v>216</v>
      </c>
      <c r="B152">
        <f t="shared" si="41"/>
        <v>3.1901183266639889E-3</v>
      </c>
      <c r="C152">
        <f t="shared" si="37"/>
        <v>3.1901183266639889E-3</v>
      </c>
      <c r="D152" t="s">
        <v>24</v>
      </c>
      <c r="E152" t="s">
        <v>19</v>
      </c>
      <c r="F152">
        <v>1</v>
      </c>
      <c r="G152">
        <f t="shared" si="42"/>
        <v>140</v>
      </c>
      <c r="I152">
        <v>2030</v>
      </c>
      <c r="J152">
        <f t="shared" si="43"/>
        <v>142.5</v>
      </c>
      <c r="K152" cm="1">
        <f t="array" ref="K152">STOWA2019_NDJF_T(A152*60,J152,I152,"","center")</f>
        <v>159.65101117451084</v>
      </c>
      <c r="L152">
        <f t="shared" si="44"/>
        <v>6.2636621756621573E-3</v>
      </c>
    </row>
    <row r="153" spans="1:12" x14ac:dyDescent="0.3">
      <c r="A153">
        <v>216</v>
      </c>
      <c r="B153">
        <f t="shared" si="41"/>
        <v>2.1588617613363418E-3</v>
      </c>
      <c r="C153">
        <f t="shared" si="37"/>
        <v>2.1588617613363418E-3</v>
      </c>
      <c r="D153" t="s">
        <v>24</v>
      </c>
      <c r="E153" t="s">
        <v>19</v>
      </c>
      <c r="F153">
        <v>1</v>
      </c>
      <c r="G153">
        <f t="shared" si="42"/>
        <v>145</v>
      </c>
      <c r="I153">
        <v>2030</v>
      </c>
      <c r="J153">
        <f t="shared" si="43"/>
        <v>147.5</v>
      </c>
      <c r="K153" cm="1">
        <f t="array" ref="K153">STOWA2019_NDJF_T(A153*60,J153,I153,"","center")</f>
        <v>243.61720402044031</v>
      </c>
      <c r="L153">
        <f t="shared" si="44"/>
        <v>4.1048004143258154E-3</v>
      </c>
    </row>
    <row r="154" spans="1:12" x14ac:dyDescent="0.3">
      <c r="A154">
        <v>216</v>
      </c>
      <c r="B154">
        <f t="shared" si="41"/>
        <v>1.4457060040203606E-3</v>
      </c>
      <c r="C154">
        <f t="shared" si="37"/>
        <v>1.4457060040203606E-3</v>
      </c>
      <c r="D154" t="s">
        <v>24</v>
      </c>
      <c r="E154" t="s">
        <v>19</v>
      </c>
      <c r="F154">
        <v>1</v>
      </c>
      <c r="G154">
        <f t="shared" si="42"/>
        <v>150</v>
      </c>
      <c r="I154">
        <v>2030</v>
      </c>
      <c r="J154">
        <f t="shared" si="43"/>
        <v>152.5</v>
      </c>
      <c r="K154" cm="1">
        <f t="array" ref="K154">STOWA2019_NDJF_T(A154*60,J154,I154,"","center")</f>
        <v>376.06788090127577</v>
      </c>
      <c r="L154">
        <f t="shared" si="44"/>
        <v>2.6590944103054548E-3</v>
      </c>
    </row>
    <row r="155" spans="1:12" x14ac:dyDescent="0.3">
      <c r="A155">
        <v>216</v>
      </c>
      <c r="B155">
        <f t="shared" si="41"/>
        <v>9.5744029613738691E-4</v>
      </c>
      <c r="C155">
        <f t="shared" si="37"/>
        <v>9.5744029613738691E-4</v>
      </c>
      <c r="D155" t="s">
        <v>24</v>
      </c>
      <c r="E155" t="s">
        <v>19</v>
      </c>
      <c r="F155">
        <v>1</v>
      </c>
      <c r="G155">
        <f t="shared" si="42"/>
        <v>155</v>
      </c>
      <c r="I155">
        <v>2030</v>
      </c>
      <c r="J155">
        <f t="shared" si="43"/>
        <v>157.5</v>
      </c>
      <c r="K155" cm="1">
        <f t="array" ref="K155">STOWA2019_NDJF_T(A155*60,J155,I155,"","center")</f>
        <v>587.66349264162659</v>
      </c>
      <c r="L155">
        <f t="shared" si="44"/>
        <v>1.7016541141680679E-3</v>
      </c>
    </row>
    <row r="156" spans="1:12" x14ac:dyDescent="0.3">
      <c r="A156">
        <v>216</v>
      </c>
      <c r="B156" s="1">
        <f>L155</f>
        <v>1.7016541141680679E-3</v>
      </c>
      <c r="C156">
        <f t="shared" si="37"/>
        <v>1.7016541141680679E-3</v>
      </c>
      <c r="D156" t="s">
        <v>24</v>
      </c>
      <c r="E156" t="s">
        <v>19</v>
      </c>
      <c r="F156">
        <v>1</v>
      </c>
      <c r="G156">
        <f t="shared" si="42"/>
        <v>160</v>
      </c>
      <c r="I156">
        <v>2030</v>
      </c>
      <c r="J156">
        <f>AVERAGE(G156:G157)</f>
        <v>160</v>
      </c>
      <c r="K156" cm="1">
        <f t="array" ref="K156">STOWA2019_NDJF_T(A156*60,J156,I156,"","center")</f>
        <v>738.14317677783265</v>
      </c>
      <c r="L156">
        <f>1/K156</f>
        <v>1.3547507197251805E-3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DDF81D-1D52-40DE-84B6-F12D47A98673}">
  <sheetPr codeName="Blad5"/>
  <dimension ref="A1:L156"/>
  <sheetViews>
    <sheetView workbookViewId="0">
      <selection activeCell="K19" sqref="K19"/>
    </sheetView>
  </sheetViews>
  <sheetFormatPr defaultRowHeight="14.4" x14ac:dyDescent="0.3"/>
  <cols>
    <col min="4" max="4" width="24" bestFit="1" customWidth="1"/>
    <col min="8" max="8" width="12" bestFit="1" customWidth="1"/>
    <col min="11" max="11" width="10.5546875" bestFit="1" customWidth="1"/>
  </cols>
  <sheetData>
    <row r="1" spans="1:12" x14ac:dyDescent="0.3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20</v>
      </c>
      <c r="G1" t="s">
        <v>1</v>
      </c>
      <c r="I1" t="s">
        <v>4</v>
      </c>
      <c r="J1" t="s">
        <v>13</v>
      </c>
      <c r="K1" t="s">
        <v>2</v>
      </c>
      <c r="L1" t="s">
        <v>3</v>
      </c>
    </row>
    <row r="2" spans="1:12" x14ac:dyDescent="0.3">
      <c r="A2">
        <v>24</v>
      </c>
      <c r="B2" s="1">
        <f>365.25*24/A2 - L2</f>
        <v>350.52080019057018</v>
      </c>
      <c r="C2">
        <f>B2</f>
        <v>350.52080019057018</v>
      </c>
      <c r="D2" t="s">
        <v>25</v>
      </c>
      <c r="E2" t="s">
        <v>21</v>
      </c>
      <c r="F2">
        <v>1</v>
      </c>
      <c r="G2">
        <v>10</v>
      </c>
      <c r="I2">
        <v>2030</v>
      </c>
      <c r="J2">
        <f>AVERAGE(G2:G4)</f>
        <v>15</v>
      </c>
      <c r="K2" cm="1">
        <f t="array" ref="K2">STOWA2019_JAARROND_T(A2*60,J2,I2,"","upper")</f>
        <v>6.7892350768423176E-2</v>
      </c>
      <c r="L2">
        <f>1/K2</f>
        <v>14.729199809429803</v>
      </c>
    </row>
    <row r="3" spans="1:12" x14ac:dyDescent="0.3">
      <c r="A3">
        <v>24</v>
      </c>
      <c r="B3">
        <f t="shared" ref="B3:B7" si="0">L2-L3</f>
        <v>4.2178899822956453</v>
      </c>
      <c r="C3">
        <f t="shared" ref="C3:C32" si="1">B3</f>
        <v>4.2178899822956453</v>
      </c>
      <c r="D3" t="s">
        <v>25</v>
      </c>
      <c r="E3" t="s">
        <v>21</v>
      </c>
      <c r="F3">
        <v>1</v>
      </c>
      <c r="G3">
        <f t="shared" ref="G3:G7" si="2">G2+5</f>
        <v>15</v>
      </c>
      <c r="I3">
        <v>2030</v>
      </c>
      <c r="J3">
        <f t="shared" ref="J3:J7" si="3">AVERAGE(G3:G4)</f>
        <v>17.5</v>
      </c>
      <c r="K3" cm="1">
        <f t="array" ref="K3">STOWA2019_JAARROND_T(A3*60,J3,I3,"","upper")</f>
        <v>9.5135622148495233E-2</v>
      </c>
      <c r="L3">
        <f t="shared" ref="L3:L7" si="4">1/K3</f>
        <v>10.511309827134157</v>
      </c>
    </row>
    <row r="4" spans="1:12" x14ac:dyDescent="0.3">
      <c r="A4">
        <v>24</v>
      </c>
      <c r="B4">
        <f t="shared" si="0"/>
        <v>4.9361145601350866</v>
      </c>
      <c r="C4">
        <f t="shared" si="1"/>
        <v>4.9361145601350866</v>
      </c>
      <c r="D4" t="s">
        <v>25</v>
      </c>
      <c r="E4" t="s">
        <v>21</v>
      </c>
      <c r="F4">
        <v>1</v>
      </c>
      <c r="G4">
        <f t="shared" si="2"/>
        <v>20</v>
      </c>
      <c r="I4">
        <v>2030</v>
      </c>
      <c r="J4">
        <f t="shared" si="3"/>
        <v>22.5</v>
      </c>
      <c r="K4" cm="1">
        <f t="array" ref="K4">STOWA2019_JAARROND_T(A4*60,J4,I4,"","upper")</f>
        <v>0.17936591493382156</v>
      </c>
      <c r="L4">
        <f t="shared" si="4"/>
        <v>5.5751952669990708</v>
      </c>
    </row>
    <row r="5" spans="1:12" x14ac:dyDescent="0.3">
      <c r="A5">
        <v>24</v>
      </c>
      <c r="B5">
        <f t="shared" si="0"/>
        <v>2.4694235771360682</v>
      </c>
      <c r="C5">
        <f t="shared" si="1"/>
        <v>2.4694235771360682</v>
      </c>
      <c r="D5" t="s">
        <v>25</v>
      </c>
      <c r="E5" t="s">
        <v>21</v>
      </c>
      <c r="F5">
        <v>1</v>
      </c>
      <c r="G5">
        <f t="shared" si="2"/>
        <v>25</v>
      </c>
      <c r="I5">
        <v>2030</v>
      </c>
      <c r="J5">
        <f t="shared" si="3"/>
        <v>27.5</v>
      </c>
      <c r="K5" cm="1">
        <f t="array" ref="K5">STOWA2019_JAARROND_T(A5*60,J5,I5,"","upper")</f>
        <v>0.32198116920954695</v>
      </c>
      <c r="L5">
        <f t="shared" si="4"/>
        <v>3.1057716898630026</v>
      </c>
    </row>
    <row r="6" spans="1:12" x14ac:dyDescent="0.3">
      <c r="A6">
        <v>24</v>
      </c>
      <c r="B6">
        <f t="shared" si="0"/>
        <v>1.3000354217506478</v>
      </c>
      <c r="C6">
        <f t="shared" si="1"/>
        <v>1.3000354217506478</v>
      </c>
      <c r="D6" t="s">
        <v>25</v>
      </c>
      <c r="E6" t="s">
        <v>21</v>
      </c>
      <c r="F6">
        <v>1</v>
      </c>
      <c r="G6">
        <f t="shared" si="2"/>
        <v>30</v>
      </c>
      <c r="I6">
        <v>2030</v>
      </c>
      <c r="J6">
        <f t="shared" si="3"/>
        <v>32.5</v>
      </c>
      <c r="K6" cm="1">
        <f t="array" ref="K6">STOWA2019_JAARROND_T(A6*60,J6,I6,"","upper")</f>
        <v>0.55379072661887685</v>
      </c>
      <c r="L6">
        <f t="shared" si="4"/>
        <v>1.8057362681123548</v>
      </c>
    </row>
    <row r="7" spans="1:12" x14ac:dyDescent="0.3">
      <c r="A7">
        <v>24</v>
      </c>
      <c r="B7">
        <f t="shared" si="0"/>
        <v>0.71601486631952871</v>
      </c>
      <c r="C7">
        <f t="shared" si="1"/>
        <v>0.71601486631952871</v>
      </c>
      <c r="D7" t="s">
        <v>25</v>
      </c>
      <c r="E7" t="s">
        <v>21</v>
      </c>
      <c r="F7">
        <v>1</v>
      </c>
      <c r="G7">
        <f t="shared" si="2"/>
        <v>35</v>
      </c>
      <c r="I7">
        <v>2030</v>
      </c>
      <c r="J7">
        <f t="shared" si="3"/>
        <v>37.5</v>
      </c>
      <c r="K7" cm="1">
        <f t="array" ref="K7">STOWA2019_JAARROND_T(A7*60,J7,I7,"","upper")</f>
        <v>0.91766574314754668</v>
      </c>
      <c r="L7">
        <f t="shared" si="4"/>
        <v>1.0897214017928261</v>
      </c>
    </row>
    <row r="8" spans="1:12" x14ac:dyDescent="0.3">
      <c r="A8">
        <v>24</v>
      </c>
      <c r="B8">
        <f>L7-L8</f>
        <v>0.41024267366612432</v>
      </c>
      <c r="C8">
        <f t="shared" si="1"/>
        <v>0.41024267366612432</v>
      </c>
      <c r="D8" t="s">
        <v>25</v>
      </c>
      <c r="E8" t="s">
        <v>21</v>
      </c>
      <c r="F8">
        <v>1</v>
      </c>
      <c r="G8">
        <f>G7+5</f>
        <v>40</v>
      </c>
      <c r="I8">
        <v>2030</v>
      </c>
      <c r="J8">
        <f>AVERAGE(G8:G9)</f>
        <v>42.5</v>
      </c>
      <c r="K8" cm="1">
        <f t="array" ref="K8">STOWA2019_JAARROND_T(A8*60,J8,I8,"","upper")</f>
        <v>1.4717164181974671</v>
      </c>
      <c r="L8">
        <f>1/K8</f>
        <v>0.67947872812670174</v>
      </c>
    </row>
    <row r="9" spans="1:12" x14ac:dyDescent="0.3">
      <c r="A9">
        <v>24</v>
      </c>
      <c r="B9">
        <f t="shared" ref="B9:B31" si="5">L8-L9</f>
        <v>0.24351959389058875</v>
      </c>
      <c r="C9">
        <f t="shared" si="1"/>
        <v>0.24351959389058875</v>
      </c>
      <c r="D9" t="s">
        <v>25</v>
      </c>
      <c r="E9" t="s">
        <v>21</v>
      </c>
      <c r="F9">
        <v>1</v>
      </c>
      <c r="G9">
        <f t="shared" ref="G9:G32" si="6">G8+5</f>
        <v>45</v>
      </c>
      <c r="I9">
        <v>2030</v>
      </c>
      <c r="J9">
        <f t="shared" ref="J9:J31" si="7">AVERAGE(G9:G10)</f>
        <v>47.5</v>
      </c>
      <c r="K9" cm="1">
        <f t="array" ref="K9">STOWA2019_JAARROND_T(A9*60,J9,I9,"","upper")</f>
        <v>2.2937929761517641</v>
      </c>
      <c r="L9">
        <f t="shared" ref="L9:L31" si="8">1/K9</f>
        <v>0.43595913423611299</v>
      </c>
    </row>
    <row r="10" spans="1:12" x14ac:dyDescent="0.3">
      <c r="A10">
        <v>24</v>
      </c>
      <c r="B10">
        <f t="shared" si="5"/>
        <v>0.14902752101429201</v>
      </c>
      <c r="C10">
        <f t="shared" si="1"/>
        <v>0.14902752101429201</v>
      </c>
      <c r="D10" t="s">
        <v>25</v>
      </c>
      <c r="E10" t="s">
        <v>21</v>
      </c>
      <c r="F10">
        <v>1</v>
      </c>
      <c r="G10">
        <f t="shared" si="6"/>
        <v>50</v>
      </c>
      <c r="I10">
        <v>2030</v>
      </c>
      <c r="J10">
        <f t="shared" si="7"/>
        <v>52.5</v>
      </c>
      <c r="K10" cm="1">
        <f t="array" ref="K10">STOWA2019_JAARROND_T(A10*60,J10,I10,"","upper")</f>
        <v>3.4851510043507137</v>
      </c>
      <c r="L10">
        <f t="shared" si="8"/>
        <v>0.28693161322182098</v>
      </c>
    </row>
    <row r="11" spans="1:12" x14ac:dyDescent="0.3">
      <c r="A11">
        <v>24</v>
      </c>
      <c r="B11">
        <f t="shared" si="5"/>
        <v>9.3746090527003612E-2</v>
      </c>
      <c r="C11">
        <f t="shared" si="1"/>
        <v>9.3746090527003612E-2</v>
      </c>
      <c r="D11" t="s">
        <v>25</v>
      </c>
      <c r="E11" t="s">
        <v>21</v>
      </c>
      <c r="F11">
        <v>1</v>
      </c>
      <c r="G11">
        <f t="shared" si="6"/>
        <v>55</v>
      </c>
      <c r="I11">
        <v>2030</v>
      </c>
      <c r="J11">
        <f t="shared" si="7"/>
        <v>57.5</v>
      </c>
      <c r="K11" cm="1">
        <f t="array" ref="K11">STOWA2019_JAARROND_T(A11*60,J11,I11,"","upper")</f>
        <v>5.1763713245724867</v>
      </c>
      <c r="L11">
        <f t="shared" si="8"/>
        <v>0.19318552269481737</v>
      </c>
    </row>
    <row r="12" spans="1:12" x14ac:dyDescent="0.3">
      <c r="A12">
        <v>24</v>
      </c>
      <c r="B12">
        <f t="shared" si="5"/>
        <v>6.0436433661348821E-2</v>
      </c>
      <c r="C12">
        <f t="shared" si="1"/>
        <v>6.0436433661348821E-2</v>
      </c>
      <c r="D12" t="s">
        <v>25</v>
      </c>
      <c r="E12" t="s">
        <v>21</v>
      </c>
      <c r="F12">
        <v>1</v>
      </c>
      <c r="G12">
        <f t="shared" si="6"/>
        <v>60</v>
      </c>
      <c r="I12">
        <v>2030</v>
      </c>
      <c r="J12">
        <f t="shared" si="7"/>
        <v>62.5</v>
      </c>
      <c r="K12" cm="1">
        <f t="array" ref="K12">STOWA2019_JAARROND_T(A12*60,J12,I12,"","upper")</f>
        <v>7.5330083790471907</v>
      </c>
      <c r="L12">
        <f t="shared" si="8"/>
        <v>0.13274908903346855</v>
      </c>
    </row>
    <row r="13" spans="1:12" x14ac:dyDescent="0.3">
      <c r="A13">
        <v>24</v>
      </c>
      <c r="B13">
        <f t="shared" si="5"/>
        <v>3.9836599045616192E-2</v>
      </c>
      <c r="C13">
        <f t="shared" si="1"/>
        <v>3.9836599045616192E-2</v>
      </c>
      <c r="D13" t="s">
        <v>25</v>
      </c>
      <c r="E13" t="s">
        <v>21</v>
      </c>
      <c r="F13">
        <v>1</v>
      </c>
      <c r="G13">
        <f t="shared" si="6"/>
        <v>65</v>
      </c>
      <c r="I13">
        <v>2030</v>
      </c>
      <c r="J13">
        <f t="shared" si="7"/>
        <v>67.5</v>
      </c>
      <c r="K13" cm="1">
        <f t="array" ref="K13">STOWA2019_JAARROND_T(A13*60,J13,I13,"","upper")</f>
        <v>10.76281563577451</v>
      </c>
      <c r="L13">
        <f t="shared" si="8"/>
        <v>9.2912489987852356E-2</v>
      </c>
    </row>
    <row r="14" spans="1:12" x14ac:dyDescent="0.3">
      <c r="A14">
        <v>24</v>
      </c>
      <c r="B14">
        <f t="shared" si="5"/>
        <v>2.6787027056775145E-2</v>
      </c>
      <c r="C14">
        <f t="shared" si="1"/>
        <v>2.6787027056775145E-2</v>
      </c>
      <c r="D14" t="s">
        <v>25</v>
      </c>
      <c r="E14" t="s">
        <v>21</v>
      </c>
      <c r="F14">
        <v>1</v>
      </c>
      <c r="G14">
        <f t="shared" si="6"/>
        <v>70</v>
      </c>
      <c r="I14">
        <v>2030</v>
      </c>
      <c r="J14">
        <f t="shared" si="7"/>
        <v>72.5</v>
      </c>
      <c r="K14" cm="1">
        <f t="array" ref="K14">STOWA2019_JAARROND_T(A14*60,J14,I14,"","upper")</f>
        <v>15.122767473738572</v>
      </c>
      <c r="L14">
        <f t="shared" si="8"/>
        <v>6.6125462931077211E-2</v>
      </c>
    </row>
    <row r="15" spans="1:12" x14ac:dyDescent="0.3">
      <c r="A15">
        <v>24</v>
      </c>
      <c r="B15">
        <f t="shared" si="5"/>
        <v>1.8342970464758024E-2</v>
      </c>
      <c r="C15">
        <f t="shared" si="1"/>
        <v>1.8342970464758024E-2</v>
      </c>
      <c r="D15" t="s">
        <v>25</v>
      </c>
      <c r="E15" t="s">
        <v>21</v>
      </c>
      <c r="F15">
        <v>1</v>
      </c>
      <c r="G15">
        <f t="shared" si="6"/>
        <v>75</v>
      </c>
      <c r="I15">
        <v>2030</v>
      </c>
      <c r="J15">
        <f t="shared" si="7"/>
        <v>77.5</v>
      </c>
      <c r="K15" cm="1">
        <f t="array" ref="K15">STOWA2019_JAARROND_T(A15*60,J15,I15,"","upper")</f>
        <v>20.928167376469062</v>
      </c>
      <c r="L15">
        <f t="shared" si="8"/>
        <v>4.7782492466319187E-2</v>
      </c>
    </row>
    <row r="16" spans="1:12" x14ac:dyDescent="0.3">
      <c r="A16">
        <v>24</v>
      </c>
      <c r="B16">
        <f t="shared" si="5"/>
        <v>1.2771715604159156E-2</v>
      </c>
      <c r="C16">
        <f t="shared" si="1"/>
        <v>1.2771715604159156E-2</v>
      </c>
      <c r="D16" t="s">
        <v>25</v>
      </c>
      <c r="E16" t="s">
        <v>21</v>
      </c>
      <c r="F16">
        <v>1</v>
      </c>
      <c r="G16">
        <f t="shared" si="6"/>
        <v>80</v>
      </c>
      <c r="I16">
        <v>2030</v>
      </c>
      <c r="J16">
        <f t="shared" si="7"/>
        <v>82.5</v>
      </c>
      <c r="K16" cm="1">
        <f t="array" ref="K16">STOWA2019_JAARROND_T(A16*60,J16,I16,"","upper")</f>
        <v>28.562633840919116</v>
      </c>
      <c r="L16">
        <f t="shared" si="8"/>
        <v>3.5010776862160031E-2</v>
      </c>
    </row>
    <row r="17" spans="1:12" x14ac:dyDescent="0.3">
      <c r="A17">
        <v>24</v>
      </c>
      <c r="B17">
        <f t="shared" si="5"/>
        <v>9.0284549028478399E-3</v>
      </c>
      <c r="C17">
        <f t="shared" si="1"/>
        <v>9.0284549028478399E-3</v>
      </c>
      <c r="D17" t="s">
        <v>25</v>
      </c>
      <c r="E17" t="s">
        <v>21</v>
      </c>
      <c r="F17">
        <v>1</v>
      </c>
      <c r="G17">
        <f t="shared" si="6"/>
        <v>85</v>
      </c>
      <c r="I17">
        <v>2030</v>
      </c>
      <c r="J17">
        <f t="shared" si="7"/>
        <v>87.5</v>
      </c>
      <c r="K17" cm="1">
        <f t="array" ref="K17">STOWA2019_JAARROND_T(A17*60,J17,I17,"","upper")</f>
        <v>38.487707202073025</v>
      </c>
      <c r="L17">
        <f t="shared" si="8"/>
        <v>2.5982321959312191E-2</v>
      </c>
    </row>
    <row r="18" spans="1:12" x14ac:dyDescent="0.3">
      <c r="A18">
        <v>24</v>
      </c>
      <c r="B18">
        <f t="shared" si="5"/>
        <v>6.4719954588529638E-3</v>
      </c>
      <c r="C18">
        <f t="shared" si="1"/>
        <v>6.4719954588529638E-3</v>
      </c>
      <c r="D18" t="s">
        <v>25</v>
      </c>
      <c r="E18" t="s">
        <v>21</v>
      </c>
      <c r="F18">
        <v>1</v>
      </c>
      <c r="G18">
        <f t="shared" si="6"/>
        <v>90</v>
      </c>
      <c r="I18">
        <v>2030</v>
      </c>
      <c r="J18">
        <f t="shared" si="7"/>
        <v>92.5</v>
      </c>
      <c r="K18" cm="1">
        <f t="array" ref="K18">STOWA2019_JAARROND_T(A18*60,J18,I18,"","upper")</f>
        <v>51.254908521211178</v>
      </c>
      <c r="L18">
        <f t="shared" si="8"/>
        <v>1.9510326500459228E-2</v>
      </c>
    </row>
    <row r="19" spans="1:12" x14ac:dyDescent="0.3">
      <c r="A19">
        <v>24</v>
      </c>
      <c r="B19">
        <f t="shared" si="5"/>
        <v>4.6997929274154113E-3</v>
      </c>
      <c r="C19">
        <f t="shared" si="1"/>
        <v>4.6997929274154113E-3</v>
      </c>
      <c r="D19" t="s">
        <v>25</v>
      </c>
      <c r="E19" t="s">
        <v>21</v>
      </c>
      <c r="F19">
        <v>1</v>
      </c>
      <c r="G19">
        <f t="shared" si="6"/>
        <v>95</v>
      </c>
      <c r="I19">
        <v>2030</v>
      </c>
      <c r="J19">
        <f t="shared" si="7"/>
        <v>97.5</v>
      </c>
      <c r="K19" cm="1">
        <f t="array" ref="K19">STOWA2019_JAARROND_T(A19*60,J19,I19,"","upper")</f>
        <v>67.519512046484834</v>
      </c>
      <c r="L19">
        <f t="shared" si="8"/>
        <v>1.4810533573043816E-2</v>
      </c>
    </row>
    <row r="20" spans="1:12" x14ac:dyDescent="0.3">
      <c r="A20">
        <v>24</v>
      </c>
      <c r="B20">
        <f t="shared" si="5"/>
        <v>3.4539346368267429E-3</v>
      </c>
      <c r="C20">
        <f t="shared" si="1"/>
        <v>3.4539346368267429E-3</v>
      </c>
      <c r="D20" t="s">
        <v>25</v>
      </c>
      <c r="E20" t="s">
        <v>21</v>
      </c>
      <c r="F20">
        <v>1</v>
      </c>
      <c r="G20">
        <f t="shared" si="6"/>
        <v>100</v>
      </c>
      <c r="I20">
        <v>2030</v>
      </c>
      <c r="J20">
        <f t="shared" si="7"/>
        <v>102.5</v>
      </c>
      <c r="K20" cm="1">
        <f t="array" ref="K20">STOWA2019_JAARROND_T(A20*60,J20,I20,"","upper")</f>
        <v>88.054531609012145</v>
      </c>
      <c r="L20">
        <f t="shared" si="8"/>
        <v>1.1356598936217073E-2</v>
      </c>
    </row>
    <row r="21" spans="1:12" x14ac:dyDescent="0.3">
      <c r="A21">
        <v>24</v>
      </c>
      <c r="B21">
        <f t="shared" si="5"/>
        <v>2.5664546283973143E-3</v>
      </c>
      <c r="C21">
        <f t="shared" si="1"/>
        <v>2.5664546283973143E-3</v>
      </c>
      <c r="D21" t="s">
        <v>25</v>
      </c>
      <c r="E21" t="s">
        <v>21</v>
      </c>
      <c r="F21">
        <v>1</v>
      </c>
      <c r="G21">
        <f t="shared" si="6"/>
        <v>105</v>
      </c>
      <c r="I21">
        <v>2030</v>
      </c>
      <c r="J21">
        <f t="shared" si="7"/>
        <v>107.5</v>
      </c>
      <c r="K21" cm="1">
        <f t="array" ref="K21">STOWA2019_JAARROND_T(A21*60,J21,I21,"","upper")</f>
        <v>113.76377508505686</v>
      </c>
      <c r="L21">
        <f t="shared" si="8"/>
        <v>8.790144307819759E-3</v>
      </c>
    </row>
    <row r="22" spans="1:12" x14ac:dyDescent="0.3">
      <c r="A22">
        <v>24</v>
      </c>
      <c r="B22">
        <f t="shared" si="5"/>
        <v>1.9268359086668319E-3</v>
      </c>
      <c r="C22">
        <f t="shared" si="1"/>
        <v>1.9268359086668319E-3</v>
      </c>
      <c r="D22" t="s">
        <v>25</v>
      </c>
      <c r="E22" t="s">
        <v>21</v>
      </c>
      <c r="F22">
        <v>1</v>
      </c>
      <c r="G22">
        <f t="shared" si="6"/>
        <v>110</v>
      </c>
      <c r="I22">
        <v>2030</v>
      </c>
      <c r="J22">
        <f t="shared" si="7"/>
        <v>112.5</v>
      </c>
      <c r="K22" cm="1">
        <f t="array" ref="K22">STOWA2019_JAARROND_T(A22*60,J22,I22,"","upper")</f>
        <v>145.70232631880864</v>
      </c>
      <c r="L22">
        <f t="shared" si="8"/>
        <v>6.8633083991529271E-3</v>
      </c>
    </row>
    <row r="23" spans="1:12" x14ac:dyDescent="0.3">
      <c r="A23">
        <v>24</v>
      </c>
      <c r="B23">
        <f t="shared" si="5"/>
        <v>1.4606032681555269E-3</v>
      </c>
      <c r="C23">
        <f t="shared" si="1"/>
        <v>1.4606032681555269E-3</v>
      </c>
      <c r="D23" t="s">
        <v>25</v>
      </c>
      <c r="E23" t="s">
        <v>21</v>
      </c>
      <c r="F23">
        <v>1</v>
      </c>
      <c r="G23">
        <f t="shared" si="6"/>
        <v>115</v>
      </c>
      <c r="I23">
        <v>2030</v>
      </c>
      <c r="J23">
        <f t="shared" si="7"/>
        <v>117.5</v>
      </c>
      <c r="K23" cm="1">
        <f t="array" ref="K23">STOWA2019_JAARROND_T(A23*60,J23,I23,"","upper")</f>
        <v>185.09246308161718</v>
      </c>
      <c r="L23">
        <f t="shared" si="8"/>
        <v>5.4027051309974003E-3</v>
      </c>
    </row>
    <row r="24" spans="1:12" x14ac:dyDescent="0.3">
      <c r="A24">
        <v>24</v>
      </c>
      <c r="B24">
        <f t="shared" si="5"/>
        <v>1.1171849011826548E-3</v>
      </c>
      <c r="C24">
        <f t="shared" si="1"/>
        <v>1.1171849011826548E-3</v>
      </c>
      <c r="D24" t="s">
        <v>25</v>
      </c>
      <c r="E24" t="s">
        <v>21</v>
      </c>
      <c r="F24">
        <v>1</v>
      </c>
      <c r="G24">
        <f t="shared" si="6"/>
        <v>120</v>
      </c>
      <c r="I24">
        <v>2030</v>
      </c>
      <c r="J24">
        <f t="shared" si="7"/>
        <v>122.5</v>
      </c>
      <c r="K24" cm="1">
        <f t="array" ref="K24">STOWA2019_JAARROND_T(A24*60,J24,I24,"","upper")</f>
        <v>233.34389907738881</v>
      </c>
      <c r="L24">
        <f t="shared" si="8"/>
        <v>4.2855202298147455E-3</v>
      </c>
    </row>
    <row r="25" spans="1:12" x14ac:dyDescent="0.3">
      <c r="A25">
        <v>24</v>
      </c>
      <c r="B25">
        <f t="shared" si="5"/>
        <v>8.6174251684560882E-4</v>
      </c>
      <c r="C25">
        <f t="shared" si="1"/>
        <v>8.6174251684560882E-4</v>
      </c>
      <c r="D25" t="s">
        <v>25</v>
      </c>
      <c r="E25" t="s">
        <v>21</v>
      </c>
      <c r="F25">
        <v>1</v>
      </c>
      <c r="G25">
        <f t="shared" si="6"/>
        <v>125</v>
      </c>
      <c r="I25">
        <v>2030</v>
      </c>
      <c r="J25">
        <f t="shared" si="7"/>
        <v>127.5</v>
      </c>
      <c r="K25" cm="1">
        <f t="array" ref="K25">STOWA2019_JAARROND_T(A25*60,J25,I25,"","upper")</f>
        <v>292.07503635882637</v>
      </c>
      <c r="L25">
        <f t="shared" si="8"/>
        <v>3.4237777129691367E-3</v>
      </c>
    </row>
    <row r="26" spans="1:12" x14ac:dyDescent="0.3">
      <c r="A26">
        <v>24</v>
      </c>
      <c r="B26">
        <f t="shared" si="5"/>
        <v>6.6998723954282994E-4</v>
      </c>
      <c r="C26">
        <f t="shared" si="1"/>
        <v>6.6998723954282994E-4</v>
      </c>
      <c r="D26" t="s">
        <v>25</v>
      </c>
      <c r="E26" t="s">
        <v>21</v>
      </c>
      <c r="F26">
        <v>1</v>
      </c>
      <c r="G26">
        <f t="shared" si="6"/>
        <v>130</v>
      </c>
      <c r="I26">
        <v>2030</v>
      </c>
      <c r="J26">
        <f t="shared" si="7"/>
        <v>132.5</v>
      </c>
      <c r="K26" cm="1">
        <f t="array" ref="K26">STOWA2019_JAARROND_T(A26*60,J26,I26,"","upper")</f>
        <v>363.13583391687212</v>
      </c>
      <c r="L26">
        <f t="shared" si="8"/>
        <v>2.7537904734263067E-3</v>
      </c>
    </row>
    <row r="27" spans="1:12" x14ac:dyDescent="0.3">
      <c r="A27">
        <v>24</v>
      </c>
      <c r="B27">
        <f t="shared" si="5"/>
        <v>5.2479387926062824E-4</v>
      </c>
      <c r="C27">
        <f t="shared" si="1"/>
        <v>5.2479387926062824E-4</v>
      </c>
      <c r="D27" t="s">
        <v>25</v>
      </c>
      <c r="E27" t="s">
        <v>21</v>
      </c>
      <c r="F27">
        <v>1</v>
      </c>
      <c r="G27">
        <f t="shared" si="6"/>
        <v>135</v>
      </c>
      <c r="I27">
        <v>2030</v>
      </c>
      <c r="J27">
        <f t="shared" si="7"/>
        <v>137.5</v>
      </c>
      <c r="K27" cm="1">
        <f t="array" ref="K27">STOWA2019_JAARROND_T(A27*60,J27,I27,"","upper")</f>
        <v>448.63235889075179</v>
      </c>
      <c r="L27">
        <f t="shared" si="8"/>
        <v>2.2289965941656785E-3</v>
      </c>
    </row>
    <row r="28" spans="1:12" x14ac:dyDescent="0.3">
      <c r="A28">
        <v>24</v>
      </c>
      <c r="B28">
        <f t="shared" si="5"/>
        <v>4.1394957030790533E-4</v>
      </c>
      <c r="C28">
        <f t="shared" si="1"/>
        <v>4.1394957030790533E-4</v>
      </c>
      <c r="D28" t="s">
        <v>25</v>
      </c>
      <c r="E28" t="s">
        <v>21</v>
      </c>
      <c r="F28">
        <v>1</v>
      </c>
      <c r="G28">
        <f t="shared" si="6"/>
        <v>140</v>
      </c>
      <c r="I28">
        <v>2030</v>
      </c>
      <c r="J28">
        <f t="shared" si="7"/>
        <v>142.5</v>
      </c>
      <c r="K28" cm="1">
        <f t="array" ref="K28">STOWA2019_JAARROND_T(A28*60,J28,I28,"","upper")</f>
        <v>550.94991306316695</v>
      </c>
      <c r="L28">
        <f t="shared" si="8"/>
        <v>1.8150470238577732E-3</v>
      </c>
    </row>
    <row r="29" spans="1:12" x14ac:dyDescent="0.3">
      <c r="A29">
        <v>24</v>
      </c>
      <c r="B29">
        <f t="shared" si="5"/>
        <v>3.2870668408904779E-4</v>
      </c>
      <c r="C29">
        <f t="shared" si="1"/>
        <v>3.2870668408904779E-4</v>
      </c>
      <c r="D29" t="s">
        <v>25</v>
      </c>
      <c r="E29" t="s">
        <v>21</v>
      </c>
      <c r="F29">
        <v>1</v>
      </c>
      <c r="G29">
        <f t="shared" si="6"/>
        <v>145</v>
      </c>
      <c r="I29">
        <v>2030</v>
      </c>
      <c r="J29">
        <f t="shared" si="7"/>
        <v>147.5</v>
      </c>
      <c r="K29" cm="1">
        <f t="array" ref="K29">STOWA2019_JAARROND_T(A29*60,J29,I29,"","upper")</f>
        <v>672.79341967910261</v>
      </c>
      <c r="L29">
        <f t="shared" si="8"/>
        <v>1.4863403397687254E-3</v>
      </c>
    </row>
    <row r="30" spans="1:12" x14ac:dyDescent="0.3">
      <c r="A30">
        <v>24</v>
      </c>
      <c r="B30">
        <f t="shared" si="5"/>
        <v>2.6264916331238315E-4</v>
      </c>
      <c r="C30">
        <f t="shared" si="1"/>
        <v>2.6264916331238315E-4</v>
      </c>
      <c r="D30" t="s">
        <v>25</v>
      </c>
      <c r="E30" t="s">
        <v>21</v>
      </c>
      <c r="F30">
        <v>1</v>
      </c>
      <c r="G30">
        <f t="shared" si="6"/>
        <v>150</v>
      </c>
      <c r="I30">
        <v>2030</v>
      </c>
      <c r="J30">
        <f t="shared" si="7"/>
        <v>152.5</v>
      </c>
      <c r="K30" cm="1">
        <f t="array" ref="K30">STOWA2019_JAARROND_T(A30*60,J30,I30,"","upper")</f>
        <v>817.19964909437033</v>
      </c>
      <c r="L30">
        <f t="shared" si="8"/>
        <v>1.2236911764563422E-3</v>
      </c>
    </row>
    <row r="31" spans="1:12" x14ac:dyDescent="0.3">
      <c r="A31">
        <v>24</v>
      </c>
      <c r="B31">
        <f t="shared" si="5"/>
        <v>2.1111562201150827E-4</v>
      </c>
      <c r="C31">
        <f t="shared" si="1"/>
        <v>2.1111562201150827E-4</v>
      </c>
      <c r="D31" t="s">
        <v>25</v>
      </c>
      <c r="E31" t="s">
        <v>21</v>
      </c>
      <c r="F31">
        <v>1</v>
      </c>
      <c r="G31">
        <f t="shared" si="6"/>
        <v>155</v>
      </c>
      <c r="I31">
        <v>2030</v>
      </c>
      <c r="J31">
        <f t="shared" si="7"/>
        <v>157.5</v>
      </c>
      <c r="K31" cm="1">
        <f t="array" ref="K31">STOWA2019_JAARROND_T(A31*60,J31,I31,"","upper")</f>
        <v>987.58062606821602</v>
      </c>
      <c r="L31">
        <f t="shared" si="8"/>
        <v>1.0125755544448339E-3</v>
      </c>
    </row>
    <row r="32" spans="1:12" x14ac:dyDescent="0.3">
      <c r="A32">
        <v>24</v>
      </c>
      <c r="B32" s="1">
        <f>L31</f>
        <v>1.0125755544448339E-3</v>
      </c>
      <c r="C32">
        <f t="shared" si="1"/>
        <v>1.0125755544448339E-3</v>
      </c>
      <c r="D32" t="s">
        <v>25</v>
      </c>
      <c r="E32" t="s">
        <v>21</v>
      </c>
      <c r="F32">
        <v>1</v>
      </c>
      <c r="G32">
        <f t="shared" si="6"/>
        <v>160</v>
      </c>
      <c r="I32">
        <v>2030</v>
      </c>
      <c r="J32">
        <f>AVERAGE(G32:G33)</f>
        <v>85</v>
      </c>
      <c r="K32" cm="1">
        <f t="array" ref="K32">STOWA2019_JAARROND_T(A32*60,J32,I32,"","upper")</f>
        <v>33.206609453054369</v>
      </c>
      <c r="L32">
        <f>1/K32</f>
        <v>3.0114486738362842E-2</v>
      </c>
    </row>
    <row r="33" spans="1:12" x14ac:dyDescent="0.3">
      <c r="A33">
        <v>48</v>
      </c>
      <c r="B33" s="1">
        <f>365.25*24/A33 - L33</f>
        <v>157.20199572466146</v>
      </c>
      <c r="C33">
        <f>B33</f>
        <v>157.20199572466146</v>
      </c>
      <c r="D33" t="s">
        <v>25</v>
      </c>
      <c r="E33" t="s">
        <v>21</v>
      </c>
      <c r="F33">
        <v>1</v>
      </c>
      <c r="G33">
        <v>10</v>
      </c>
      <c r="I33">
        <v>2030</v>
      </c>
      <c r="J33">
        <f>AVERAGE(G33:G35)</f>
        <v>15</v>
      </c>
      <c r="K33" cm="1">
        <f t="array" ref="K33">STOWA2019_JAARROND_T(A33*60,J33,I33,"","upper")</f>
        <v>3.9334454306411179E-2</v>
      </c>
      <c r="L33">
        <f>1/K33</f>
        <v>25.423004275338545</v>
      </c>
    </row>
    <row r="34" spans="1:12" x14ac:dyDescent="0.3">
      <c r="A34">
        <v>48</v>
      </c>
      <c r="B34">
        <f t="shared" ref="B34:B38" si="9">L33-L34</f>
        <v>6.2758862785603533</v>
      </c>
      <c r="C34">
        <f t="shared" ref="C34:C63" si="10">B34</f>
        <v>6.2758862785603533</v>
      </c>
      <c r="D34" t="s">
        <v>25</v>
      </c>
      <c r="E34" t="s">
        <v>21</v>
      </c>
      <c r="F34">
        <v>1</v>
      </c>
      <c r="G34">
        <f t="shared" ref="G34:G38" si="11">G33+5</f>
        <v>15</v>
      </c>
      <c r="I34">
        <v>2030</v>
      </c>
      <c r="J34">
        <f t="shared" ref="J34:J38" si="12">AVERAGE(G34:G35)</f>
        <v>17.5</v>
      </c>
      <c r="K34" cm="1">
        <f t="array" ref="K34">STOWA2019_JAARROND_T(A34*60,J34,I34,"","upper")</f>
        <v>5.2227181143828849E-2</v>
      </c>
      <c r="L34">
        <f t="shared" ref="L34:L38" si="13">1/K34</f>
        <v>19.147117996778192</v>
      </c>
    </row>
    <row r="35" spans="1:12" x14ac:dyDescent="0.3">
      <c r="A35">
        <v>48</v>
      </c>
      <c r="B35">
        <f t="shared" si="9"/>
        <v>8.0651714254733928</v>
      </c>
      <c r="C35">
        <f t="shared" si="10"/>
        <v>8.0651714254733928</v>
      </c>
      <c r="D35" t="s">
        <v>25</v>
      </c>
      <c r="E35" t="s">
        <v>21</v>
      </c>
      <c r="F35">
        <v>1</v>
      </c>
      <c r="G35">
        <f t="shared" si="11"/>
        <v>20</v>
      </c>
      <c r="I35">
        <v>2030</v>
      </c>
      <c r="J35">
        <f t="shared" si="12"/>
        <v>22.5</v>
      </c>
      <c r="K35" cm="1">
        <f t="array" ref="K35">STOWA2019_JAARROND_T(A35*60,J35,I35,"","upper")</f>
        <v>9.0236854470076996E-2</v>
      </c>
      <c r="L35">
        <f t="shared" si="13"/>
        <v>11.081946571304799</v>
      </c>
    </row>
    <row r="36" spans="1:12" x14ac:dyDescent="0.3">
      <c r="A36">
        <v>48</v>
      </c>
      <c r="B36">
        <f t="shared" si="9"/>
        <v>4.4950004819355476</v>
      </c>
      <c r="C36">
        <f t="shared" si="10"/>
        <v>4.4950004819355476</v>
      </c>
      <c r="D36" t="s">
        <v>25</v>
      </c>
      <c r="E36" t="s">
        <v>21</v>
      </c>
      <c r="F36">
        <v>1</v>
      </c>
      <c r="G36">
        <f t="shared" si="11"/>
        <v>25</v>
      </c>
      <c r="I36">
        <v>2030</v>
      </c>
      <c r="J36">
        <f t="shared" si="12"/>
        <v>27.5</v>
      </c>
      <c r="K36" cm="1">
        <f t="array" ref="K36">STOWA2019_JAARROND_T(A36*60,J36,I36,"","upper")</f>
        <v>0.15181542196222184</v>
      </c>
      <c r="L36">
        <f t="shared" si="13"/>
        <v>6.5869460893692517</v>
      </c>
    </row>
    <row r="37" spans="1:12" x14ac:dyDescent="0.3">
      <c r="A37">
        <v>48</v>
      </c>
      <c r="B37">
        <f t="shared" si="9"/>
        <v>2.5725737882699242</v>
      </c>
      <c r="C37">
        <f t="shared" si="10"/>
        <v>2.5725737882699242</v>
      </c>
      <c r="D37" t="s">
        <v>25</v>
      </c>
      <c r="E37" t="s">
        <v>21</v>
      </c>
      <c r="F37">
        <v>1</v>
      </c>
      <c r="G37">
        <f t="shared" si="11"/>
        <v>30</v>
      </c>
      <c r="I37">
        <v>2030</v>
      </c>
      <c r="J37">
        <f t="shared" si="12"/>
        <v>32.5</v>
      </c>
      <c r="K37" cm="1">
        <f t="array" ref="K37">STOWA2019_JAARROND_T(A37*60,J37,I37,"","upper")</f>
        <v>0.2491049471734727</v>
      </c>
      <c r="L37">
        <f t="shared" si="13"/>
        <v>4.0143723010993275</v>
      </c>
    </row>
    <row r="38" spans="1:12" x14ac:dyDescent="0.3">
      <c r="A38">
        <v>48</v>
      </c>
      <c r="B38">
        <f t="shared" si="9"/>
        <v>1.5107810111550917</v>
      </c>
      <c r="C38">
        <f t="shared" si="10"/>
        <v>1.5107810111550917</v>
      </c>
      <c r="D38" t="s">
        <v>25</v>
      </c>
      <c r="E38" t="s">
        <v>21</v>
      </c>
      <c r="F38">
        <v>1</v>
      </c>
      <c r="G38">
        <f t="shared" si="11"/>
        <v>35</v>
      </c>
      <c r="I38">
        <v>2030</v>
      </c>
      <c r="J38">
        <f t="shared" si="12"/>
        <v>37.5</v>
      </c>
      <c r="K38" cm="1">
        <f t="array" ref="K38">STOWA2019_JAARROND_T(A38*60,J38,I38,"","upper")</f>
        <v>0.39942621785613963</v>
      </c>
      <c r="L38">
        <f t="shared" si="13"/>
        <v>2.5035912899442359</v>
      </c>
    </row>
    <row r="39" spans="1:12" x14ac:dyDescent="0.3">
      <c r="A39">
        <v>48</v>
      </c>
      <c r="B39">
        <f>L38-L39</f>
        <v>0.90881223615594697</v>
      </c>
      <c r="C39">
        <f t="shared" si="10"/>
        <v>0.90881223615594697</v>
      </c>
      <c r="D39" t="s">
        <v>25</v>
      </c>
      <c r="E39" t="s">
        <v>21</v>
      </c>
      <c r="F39">
        <v>1</v>
      </c>
      <c r="G39">
        <f>G38+5</f>
        <v>40</v>
      </c>
      <c r="I39">
        <v>2030</v>
      </c>
      <c r="J39">
        <f>AVERAGE(G39:G40)</f>
        <v>42.5</v>
      </c>
      <c r="K39" cm="1">
        <f t="array" ref="K39">STOWA2019_JAARROND_T(A39*60,J39,I39,"","upper")</f>
        <v>0.62704610875379141</v>
      </c>
      <c r="L39">
        <f>1/K39</f>
        <v>1.5947790537882889</v>
      </c>
    </row>
    <row r="40" spans="1:12" x14ac:dyDescent="0.3">
      <c r="A40">
        <v>48</v>
      </c>
      <c r="B40">
        <f t="shared" ref="B40:B62" si="14">L39-L40</f>
        <v>0.55894031951569922</v>
      </c>
      <c r="C40">
        <f t="shared" si="10"/>
        <v>0.55894031951569922</v>
      </c>
      <c r="D40" t="s">
        <v>25</v>
      </c>
      <c r="E40" t="s">
        <v>21</v>
      </c>
      <c r="F40">
        <v>1</v>
      </c>
      <c r="G40">
        <f t="shared" ref="G40:G63" si="15">G39+5</f>
        <v>45</v>
      </c>
      <c r="I40">
        <v>2030</v>
      </c>
      <c r="J40">
        <f t="shared" ref="J40:J62" si="16">AVERAGE(G40:G41)</f>
        <v>47.5</v>
      </c>
      <c r="K40" cm="1">
        <f t="array" ref="K40">STOWA2019_JAARROND_T(A40*60,J40,I40,"","upper")</f>
        <v>0.96540124144154815</v>
      </c>
      <c r="L40">
        <f t="shared" ref="L40:L62" si="17">1/K40</f>
        <v>1.0358387342725897</v>
      </c>
    </row>
    <row r="41" spans="1:12" x14ac:dyDescent="0.3">
      <c r="A41">
        <v>48</v>
      </c>
      <c r="B41">
        <f t="shared" si="14"/>
        <v>0.35083703050658721</v>
      </c>
      <c r="C41">
        <f t="shared" si="10"/>
        <v>0.35083703050658721</v>
      </c>
      <c r="D41" t="s">
        <v>25</v>
      </c>
      <c r="E41" t="s">
        <v>21</v>
      </c>
      <c r="F41">
        <v>1</v>
      </c>
      <c r="G41">
        <f t="shared" si="15"/>
        <v>50</v>
      </c>
      <c r="I41">
        <v>2030</v>
      </c>
      <c r="J41">
        <f t="shared" si="16"/>
        <v>52.5</v>
      </c>
      <c r="K41" cm="1">
        <f t="array" ref="K41">STOWA2019_JAARROND_T(A41*60,J41,I41,"","upper")</f>
        <v>1.4598503835862011</v>
      </c>
      <c r="L41">
        <f t="shared" si="17"/>
        <v>0.68500170376600245</v>
      </c>
    </row>
    <row r="42" spans="1:12" x14ac:dyDescent="0.3">
      <c r="A42">
        <v>48</v>
      </c>
      <c r="B42">
        <f t="shared" si="14"/>
        <v>0.22452304175928617</v>
      </c>
      <c r="C42">
        <f t="shared" si="10"/>
        <v>0.22452304175928617</v>
      </c>
      <c r="D42" t="s">
        <v>25</v>
      </c>
      <c r="E42" t="s">
        <v>21</v>
      </c>
      <c r="F42">
        <v>1</v>
      </c>
      <c r="G42">
        <f t="shared" si="15"/>
        <v>55</v>
      </c>
      <c r="I42">
        <v>2030</v>
      </c>
      <c r="J42">
        <f t="shared" si="16"/>
        <v>57.5</v>
      </c>
      <c r="K42" cm="1">
        <f t="array" ref="K42">STOWA2019_JAARROND_T(A42*60,J42,I42,"","upper")</f>
        <v>2.1716532871297618</v>
      </c>
      <c r="L42">
        <f t="shared" si="17"/>
        <v>0.46047866200671628</v>
      </c>
    </row>
    <row r="43" spans="1:12" x14ac:dyDescent="0.3">
      <c r="A43">
        <v>48</v>
      </c>
      <c r="B43">
        <f t="shared" si="14"/>
        <v>0.14617095733548569</v>
      </c>
      <c r="C43">
        <f t="shared" si="10"/>
        <v>0.14617095733548569</v>
      </c>
      <c r="D43" t="s">
        <v>25</v>
      </c>
      <c r="E43" t="s">
        <v>21</v>
      </c>
      <c r="F43">
        <v>1</v>
      </c>
      <c r="G43">
        <f t="shared" si="15"/>
        <v>60</v>
      </c>
      <c r="I43">
        <v>2030</v>
      </c>
      <c r="J43">
        <f t="shared" si="16"/>
        <v>62.5</v>
      </c>
      <c r="K43" cm="1">
        <f t="array" ref="K43">STOWA2019_JAARROND_T(A43*60,J43,I43,"","upper")</f>
        <v>3.1815955674583645</v>
      </c>
      <c r="L43">
        <f t="shared" si="17"/>
        <v>0.31430770467123059</v>
      </c>
    </row>
    <row r="44" spans="1:12" x14ac:dyDescent="0.3">
      <c r="A44">
        <v>48</v>
      </c>
      <c r="B44">
        <f t="shared" si="14"/>
        <v>9.6719063789051374E-2</v>
      </c>
      <c r="C44">
        <f t="shared" si="10"/>
        <v>9.6719063789051374E-2</v>
      </c>
      <c r="D44" t="s">
        <v>25</v>
      </c>
      <c r="E44" t="s">
        <v>21</v>
      </c>
      <c r="F44">
        <v>1</v>
      </c>
      <c r="G44">
        <f t="shared" si="15"/>
        <v>65</v>
      </c>
      <c r="I44">
        <v>2030</v>
      </c>
      <c r="J44">
        <f t="shared" si="16"/>
        <v>67.5</v>
      </c>
      <c r="K44" cm="1">
        <f t="array" ref="K44">STOWA2019_JAARROND_T(A44*60,J44,I44,"","upper")</f>
        <v>4.5958281459255224</v>
      </c>
      <c r="L44">
        <f t="shared" si="17"/>
        <v>0.21758864088217922</v>
      </c>
    </row>
    <row r="45" spans="1:12" x14ac:dyDescent="0.3">
      <c r="A45">
        <v>48</v>
      </c>
      <c r="B45">
        <f t="shared" si="14"/>
        <v>6.4965650114033574E-2</v>
      </c>
      <c r="C45">
        <f t="shared" si="10"/>
        <v>6.4965650114033574E-2</v>
      </c>
      <c r="D45" t="s">
        <v>25</v>
      </c>
      <c r="E45" t="s">
        <v>21</v>
      </c>
      <c r="F45">
        <v>1</v>
      </c>
      <c r="G45">
        <f t="shared" si="15"/>
        <v>70</v>
      </c>
      <c r="I45">
        <v>2030</v>
      </c>
      <c r="J45">
        <f t="shared" si="16"/>
        <v>72.5</v>
      </c>
      <c r="K45" cm="1">
        <f t="array" ref="K45">STOWA2019_JAARROND_T(A45*60,J45,I45,"","upper")</f>
        <v>6.5520928070341071</v>
      </c>
      <c r="L45">
        <f t="shared" si="17"/>
        <v>0.15262299076814564</v>
      </c>
    </row>
    <row r="46" spans="1:12" x14ac:dyDescent="0.3">
      <c r="A46">
        <v>48</v>
      </c>
      <c r="B46">
        <f t="shared" si="14"/>
        <v>4.425117527433467E-2</v>
      </c>
      <c r="C46">
        <f t="shared" si="10"/>
        <v>4.425117527433467E-2</v>
      </c>
      <c r="D46" t="s">
        <v>25</v>
      </c>
      <c r="E46" t="s">
        <v>21</v>
      </c>
      <c r="F46">
        <v>1</v>
      </c>
      <c r="G46">
        <f t="shared" si="15"/>
        <v>75</v>
      </c>
      <c r="I46">
        <v>2030</v>
      </c>
      <c r="J46">
        <f t="shared" si="16"/>
        <v>77.5</v>
      </c>
      <c r="K46" cm="1">
        <f t="array" ref="K46">STOWA2019_JAARROND_T(A46*60,J46,I46,"","upper")</f>
        <v>9.2274914417864409</v>
      </c>
      <c r="L46">
        <f t="shared" si="17"/>
        <v>0.10837181549381097</v>
      </c>
    </row>
    <row r="47" spans="1:12" x14ac:dyDescent="0.3">
      <c r="A47">
        <v>48</v>
      </c>
      <c r="B47">
        <f t="shared" si="14"/>
        <v>3.0536375464217794E-2</v>
      </c>
      <c r="C47">
        <f t="shared" si="10"/>
        <v>3.0536375464217794E-2</v>
      </c>
      <c r="D47" t="s">
        <v>25</v>
      </c>
      <c r="E47" t="s">
        <v>21</v>
      </c>
      <c r="F47">
        <v>1</v>
      </c>
      <c r="G47">
        <f t="shared" si="15"/>
        <v>80</v>
      </c>
      <c r="I47">
        <v>2030</v>
      </c>
      <c r="J47">
        <f t="shared" si="16"/>
        <v>82.5</v>
      </c>
      <c r="K47" cm="1">
        <f t="array" ref="K47">STOWA2019_JAARROND_T(A47*60,J47,I47,"","upper")</f>
        <v>12.847617995347596</v>
      </c>
      <c r="L47">
        <f t="shared" si="17"/>
        <v>7.7835440029593181E-2</v>
      </c>
    </row>
    <row r="48" spans="1:12" x14ac:dyDescent="0.3">
      <c r="A48">
        <v>48</v>
      </c>
      <c r="B48">
        <f t="shared" si="14"/>
        <v>2.1331374975608108E-2</v>
      </c>
      <c r="C48">
        <f t="shared" si="10"/>
        <v>2.1331374975608108E-2</v>
      </c>
      <c r="D48" t="s">
        <v>25</v>
      </c>
      <c r="E48" t="s">
        <v>21</v>
      </c>
      <c r="F48">
        <v>1</v>
      </c>
      <c r="G48">
        <f t="shared" si="15"/>
        <v>85</v>
      </c>
      <c r="I48">
        <v>2030</v>
      </c>
      <c r="J48">
        <f t="shared" si="16"/>
        <v>87.5</v>
      </c>
      <c r="K48" cm="1">
        <f t="array" ref="K48">STOWA2019_JAARROND_T(A48*60,J48,I48,"","upper")</f>
        <v>17.697841722442107</v>
      </c>
      <c r="L48">
        <f t="shared" si="17"/>
        <v>5.6504065053985073E-2</v>
      </c>
    </row>
    <row r="49" spans="1:12" x14ac:dyDescent="0.3">
      <c r="A49">
        <v>48</v>
      </c>
      <c r="B49">
        <f t="shared" si="14"/>
        <v>1.5072249970311757E-2</v>
      </c>
      <c r="C49">
        <f t="shared" si="10"/>
        <v>1.5072249970311757E-2</v>
      </c>
      <c r="D49" t="s">
        <v>25</v>
      </c>
      <c r="E49" t="s">
        <v>21</v>
      </c>
      <c r="F49">
        <v>1</v>
      </c>
      <c r="G49">
        <f t="shared" si="15"/>
        <v>90</v>
      </c>
      <c r="I49">
        <v>2030</v>
      </c>
      <c r="J49">
        <f t="shared" si="16"/>
        <v>92.5</v>
      </c>
      <c r="K49" cm="1">
        <f t="array" ref="K49">STOWA2019_JAARROND_T(A49*60,J49,I49,"","upper")</f>
        <v>24.136041300156833</v>
      </c>
      <c r="L49">
        <f t="shared" si="17"/>
        <v>4.1431815083673315E-2</v>
      </c>
    </row>
    <row r="50" spans="1:12" x14ac:dyDescent="0.3">
      <c r="A50">
        <v>48</v>
      </c>
      <c r="B50">
        <f t="shared" si="14"/>
        <v>1.0764416332113894E-2</v>
      </c>
      <c r="C50">
        <f t="shared" si="10"/>
        <v>1.0764416332113894E-2</v>
      </c>
      <c r="D50" t="s">
        <v>25</v>
      </c>
      <c r="E50" t="s">
        <v>21</v>
      </c>
      <c r="F50">
        <v>1</v>
      </c>
      <c r="G50">
        <f t="shared" si="15"/>
        <v>95</v>
      </c>
      <c r="I50">
        <v>2030</v>
      </c>
      <c r="J50">
        <f t="shared" si="16"/>
        <v>97.5</v>
      </c>
      <c r="K50" cm="1">
        <f t="array" ref="K50">STOWA2019_JAARROND_T(A50*60,J50,I50,"","upper")</f>
        <v>32.607917225100501</v>
      </c>
      <c r="L50">
        <f t="shared" si="17"/>
        <v>3.0667398751559421E-2</v>
      </c>
    </row>
    <row r="51" spans="1:12" x14ac:dyDescent="0.3">
      <c r="A51">
        <v>48</v>
      </c>
      <c r="B51">
        <f t="shared" si="14"/>
        <v>7.7656602482080381E-3</v>
      </c>
      <c r="C51">
        <f t="shared" si="10"/>
        <v>7.7656602482080381E-3</v>
      </c>
      <c r="D51" t="s">
        <v>25</v>
      </c>
      <c r="E51" t="s">
        <v>21</v>
      </c>
      <c r="F51">
        <v>1</v>
      </c>
      <c r="G51">
        <f t="shared" si="15"/>
        <v>100</v>
      </c>
      <c r="I51">
        <v>2030</v>
      </c>
      <c r="J51">
        <f t="shared" si="16"/>
        <v>102.5</v>
      </c>
      <c r="K51" cm="1">
        <f t="array" ref="K51">STOWA2019_JAARROND_T(A51*60,J51,I51,"","upper")</f>
        <v>43.664807361836857</v>
      </c>
      <c r="L51">
        <f t="shared" si="17"/>
        <v>2.2901738503351383E-2</v>
      </c>
    </row>
    <row r="52" spans="1:12" x14ac:dyDescent="0.3">
      <c r="A52">
        <v>48</v>
      </c>
      <c r="B52">
        <f t="shared" si="14"/>
        <v>5.6557228480660776E-3</v>
      </c>
      <c r="C52">
        <f t="shared" si="10"/>
        <v>5.6557228480660776E-3</v>
      </c>
      <c r="D52" t="s">
        <v>25</v>
      </c>
      <c r="E52" t="s">
        <v>21</v>
      </c>
      <c r="F52">
        <v>1</v>
      </c>
      <c r="G52">
        <f t="shared" si="15"/>
        <v>105</v>
      </c>
      <c r="I52">
        <v>2030</v>
      </c>
      <c r="J52">
        <f t="shared" si="16"/>
        <v>107.5</v>
      </c>
      <c r="K52" cm="1">
        <f t="array" ref="K52">STOWA2019_JAARROND_T(A52*60,J52,I52,"","upper")</f>
        <v>57.984407528560645</v>
      </c>
      <c r="L52">
        <f t="shared" si="17"/>
        <v>1.7246015655285305E-2</v>
      </c>
    </row>
    <row r="53" spans="1:12" x14ac:dyDescent="0.3">
      <c r="A53">
        <v>48</v>
      </c>
      <c r="B53">
        <f t="shared" si="14"/>
        <v>4.1561130522897484E-3</v>
      </c>
      <c r="C53">
        <f t="shared" si="10"/>
        <v>4.1561130522897484E-3</v>
      </c>
      <c r="D53" t="s">
        <v>25</v>
      </c>
      <c r="E53" t="s">
        <v>21</v>
      </c>
      <c r="F53">
        <v>1</v>
      </c>
      <c r="G53">
        <f t="shared" si="15"/>
        <v>110</v>
      </c>
      <c r="I53">
        <v>2030</v>
      </c>
      <c r="J53">
        <f t="shared" si="16"/>
        <v>112.5</v>
      </c>
      <c r="K53" cm="1">
        <f t="array" ref="K53">STOWA2019_JAARROND_T(A53*60,J53,I53,"","upper")</f>
        <v>76.394762461498772</v>
      </c>
      <c r="L53">
        <f t="shared" si="17"/>
        <v>1.3089902602995557E-2</v>
      </c>
    </row>
    <row r="54" spans="1:12" x14ac:dyDescent="0.3">
      <c r="A54">
        <v>48</v>
      </c>
      <c r="B54">
        <f t="shared" si="14"/>
        <v>3.0800163587126703E-3</v>
      </c>
      <c r="C54">
        <f t="shared" si="10"/>
        <v>3.0800163587126703E-3</v>
      </c>
      <c r="D54" t="s">
        <v>25</v>
      </c>
      <c r="E54" t="s">
        <v>21</v>
      </c>
      <c r="F54">
        <v>1</v>
      </c>
      <c r="G54">
        <f t="shared" si="15"/>
        <v>115</v>
      </c>
      <c r="I54">
        <v>2030</v>
      </c>
      <c r="J54">
        <f t="shared" si="16"/>
        <v>117.5</v>
      </c>
      <c r="K54" cm="1">
        <f t="array" ref="K54">STOWA2019_JAARROND_T(A54*60,J54,I54,"","upper")</f>
        <v>99.901235198466594</v>
      </c>
      <c r="L54">
        <f t="shared" si="17"/>
        <v>1.0009886244282886E-2</v>
      </c>
    </row>
    <row r="55" spans="1:12" x14ac:dyDescent="0.3">
      <c r="A55">
        <v>48</v>
      </c>
      <c r="B55">
        <f t="shared" si="14"/>
        <v>2.3010297547316873E-3</v>
      </c>
      <c r="C55">
        <f t="shared" si="10"/>
        <v>2.3010297547316873E-3</v>
      </c>
      <c r="D55" t="s">
        <v>25</v>
      </c>
      <c r="E55" t="s">
        <v>21</v>
      </c>
      <c r="F55">
        <v>1</v>
      </c>
      <c r="G55">
        <f t="shared" si="15"/>
        <v>120</v>
      </c>
      <c r="I55">
        <v>2030</v>
      </c>
      <c r="J55">
        <f t="shared" si="16"/>
        <v>122.5</v>
      </c>
      <c r="K55" cm="1">
        <f t="array" ref="K55">STOWA2019_JAARROND_T(A55*60,J55,I55,"","upper")</f>
        <v>129.72092571128132</v>
      </c>
      <c r="L55">
        <f t="shared" si="17"/>
        <v>7.7088564895511991E-3</v>
      </c>
    </row>
    <row r="56" spans="1:12" x14ac:dyDescent="0.3">
      <c r="A56">
        <v>48</v>
      </c>
      <c r="B56">
        <f t="shared" si="14"/>
        <v>1.7320740653219502E-3</v>
      </c>
      <c r="C56">
        <f t="shared" si="10"/>
        <v>1.7320740653219502E-3</v>
      </c>
      <c r="D56" t="s">
        <v>25</v>
      </c>
      <c r="E56" t="s">
        <v>21</v>
      </c>
      <c r="F56">
        <v>1</v>
      </c>
      <c r="G56">
        <f t="shared" si="15"/>
        <v>125</v>
      </c>
      <c r="I56">
        <v>2030</v>
      </c>
      <c r="J56">
        <f t="shared" si="16"/>
        <v>127.5</v>
      </c>
      <c r="K56" cm="1">
        <f t="array" ref="K56">STOWA2019_JAARROND_T(A56*60,J56,I56,"","upper")</f>
        <v>167.31410465037257</v>
      </c>
      <c r="L56">
        <f t="shared" si="17"/>
        <v>5.9767824242292489E-3</v>
      </c>
    </row>
    <row r="57" spans="1:12" x14ac:dyDescent="0.3">
      <c r="A57">
        <v>48</v>
      </c>
      <c r="B57">
        <f t="shared" si="14"/>
        <v>1.3133046614354918E-3</v>
      </c>
      <c r="C57">
        <f t="shared" si="10"/>
        <v>1.3133046614354918E-3</v>
      </c>
      <c r="D57" t="s">
        <v>25</v>
      </c>
      <c r="E57" t="s">
        <v>21</v>
      </c>
      <c r="F57">
        <v>1</v>
      </c>
      <c r="G57">
        <f t="shared" si="15"/>
        <v>130</v>
      </c>
      <c r="I57">
        <v>2030</v>
      </c>
      <c r="J57">
        <f t="shared" si="16"/>
        <v>132.5</v>
      </c>
      <c r="K57" cm="1">
        <f t="array" ref="K57">STOWA2019_JAARROND_T(A57*60,J57,I57,"","upper")</f>
        <v>214.43224367407049</v>
      </c>
      <c r="L57">
        <f t="shared" si="17"/>
        <v>4.6634777627937571E-3</v>
      </c>
    </row>
    <row r="58" spans="1:12" x14ac:dyDescent="0.3">
      <c r="A58">
        <v>48</v>
      </c>
      <c r="B58">
        <f t="shared" si="14"/>
        <v>1.002577644562872E-3</v>
      </c>
      <c r="C58">
        <f t="shared" si="10"/>
        <v>1.002577644562872E-3</v>
      </c>
      <c r="D58" t="s">
        <v>25</v>
      </c>
      <c r="E58" t="s">
        <v>21</v>
      </c>
      <c r="F58">
        <v>1</v>
      </c>
      <c r="G58">
        <f t="shared" si="15"/>
        <v>135</v>
      </c>
      <c r="I58">
        <v>2030</v>
      </c>
      <c r="J58">
        <f t="shared" si="16"/>
        <v>137.5</v>
      </c>
      <c r="K58" cm="1">
        <f t="array" ref="K58">STOWA2019_JAARROND_T(A58*60,J58,I58,"","upper")</f>
        <v>273.15686517097492</v>
      </c>
      <c r="L58">
        <f t="shared" si="17"/>
        <v>3.6609001182308851E-3</v>
      </c>
    </row>
    <row r="59" spans="1:12" x14ac:dyDescent="0.3">
      <c r="A59">
        <v>48</v>
      </c>
      <c r="B59">
        <f t="shared" si="14"/>
        <v>7.703994686450678E-4</v>
      </c>
      <c r="C59">
        <f t="shared" si="10"/>
        <v>7.703994686450678E-4</v>
      </c>
      <c r="D59" t="s">
        <v>25</v>
      </c>
      <c r="E59" t="s">
        <v>21</v>
      </c>
      <c r="F59">
        <v>1</v>
      </c>
      <c r="G59">
        <f t="shared" si="15"/>
        <v>140</v>
      </c>
      <c r="I59">
        <v>2030</v>
      </c>
      <c r="J59">
        <f t="shared" si="16"/>
        <v>142.5</v>
      </c>
      <c r="K59" cm="1">
        <f t="array" ref="K59">STOWA2019_JAARROND_T(A59*60,J59,I59,"","upper")</f>
        <v>345.9608286693487</v>
      </c>
      <c r="L59">
        <f t="shared" si="17"/>
        <v>2.8905006495858173E-3</v>
      </c>
    </row>
    <row r="60" spans="1:12" x14ac:dyDescent="0.3">
      <c r="A60">
        <v>48</v>
      </c>
      <c r="B60">
        <f t="shared" si="14"/>
        <v>5.9569349408977387E-4</v>
      </c>
      <c r="C60">
        <f t="shared" si="10"/>
        <v>5.9569349408977387E-4</v>
      </c>
      <c r="D60" t="s">
        <v>25</v>
      </c>
      <c r="E60" t="s">
        <v>21</v>
      </c>
      <c r="F60">
        <v>1</v>
      </c>
      <c r="G60">
        <f t="shared" si="15"/>
        <v>145</v>
      </c>
      <c r="I60">
        <v>2030</v>
      </c>
      <c r="J60">
        <f t="shared" si="16"/>
        <v>147.5</v>
      </c>
      <c r="K60" cm="1">
        <f t="array" ref="K60">STOWA2019_JAARROND_T(A60*60,J60,I60,"","upper")</f>
        <v>435.7664641253225</v>
      </c>
      <c r="L60">
        <f t="shared" si="17"/>
        <v>2.2948071554960434E-3</v>
      </c>
    </row>
    <row r="61" spans="1:12" x14ac:dyDescent="0.3">
      <c r="A61">
        <v>48</v>
      </c>
      <c r="B61">
        <f t="shared" si="14"/>
        <v>4.6332137117645247E-4</v>
      </c>
      <c r="C61">
        <f t="shared" si="10"/>
        <v>4.6332137117645247E-4</v>
      </c>
      <c r="D61" t="s">
        <v>25</v>
      </c>
      <c r="E61" t="s">
        <v>21</v>
      </c>
      <c r="F61">
        <v>1</v>
      </c>
      <c r="G61">
        <f t="shared" si="15"/>
        <v>150</v>
      </c>
      <c r="I61">
        <v>2030</v>
      </c>
      <c r="J61">
        <f t="shared" si="16"/>
        <v>152.5</v>
      </c>
      <c r="K61" cm="1">
        <f t="array" ref="K61">STOWA2019_JAARROND_T(A61*60,J61,I61,"","upper")</f>
        <v>546.00478396369681</v>
      </c>
      <c r="L61">
        <f t="shared" si="17"/>
        <v>1.8314857843195909E-3</v>
      </c>
    </row>
    <row r="62" spans="1:12" x14ac:dyDescent="0.3">
      <c r="A62">
        <v>48</v>
      </c>
      <c r="B62">
        <f t="shared" si="14"/>
        <v>3.6242054018068991E-4</v>
      </c>
      <c r="C62">
        <f t="shared" si="10"/>
        <v>3.6242054018068991E-4</v>
      </c>
      <c r="D62" t="s">
        <v>25</v>
      </c>
      <c r="E62" t="s">
        <v>21</v>
      </c>
      <c r="F62">
        <v>1</v>
      </c>
      <c r="G62">
        <f t="shared" si="15"/>
        <v>155</v>
      </c>
      <c r="I62">
        <v>2030</v>
      </c>
      <c r="J62">
        <f t="shared" si="16"/>
        <v>157.5</v>
      </c>
      <c r="K62" cm="1">
        <f t="array" ref="K62">STOWA2019_JAARROND_T(A62*60,J62,I62,"","upper")</f>
        <v>680.70496119194104</v>
      </c>
      <c r="L62">
        <f t="shared" si="17"/>
        <v>1.469065244138901E-3</v>
      </c>
    </row>
    <row r="63" spans="1:12" x14ac:dyDescent="0.3">
      <c r="A63">
        <v>48</v>
      </c>
      <c r="B63" s="1">
        <f>L62</f>
        <v>1.469065244138901E-3</v>
      </c>
      <c r="C63">
        <f t="shared" si="10"/>
        <v>1.469065244138901E-3</v>
      </c>
      <c r="D63" t="s">
        <v>25</v>
      </c>
      <c r="E63" t="s">
        <v>21</v>
      </c>
      <c r="F63">
        <v>1</v>
      </c>
      <c r="G63">
        <f t="shared" si="15"/>
        <v>160</v>
      </c>
      <c r="I63">
        <v>2030</v>
      </c>
      <c r="J63">
        <f>AVERAGE(G63:G64)</f>
        <v>85</v>
      </c>
      <c r="K63" cm="1">
        <f t="array" ref="K63">STOWA2019_JAARROND_T(A63*60,J63,I63,"","upper")</f>
        <v>15.098468192014128</v>
      </c>
      <c r="L63">
        <f>1/K63</f>
        <v>6.6231884405923994E-2</v>
      </c>
    </row>
    <row r="64" spans="1:12" x14ac:dyDescent="0.3">
      <c r="A64">
        <v>96</v>
      </c>
      <c r="B64" s="1">
        <f>365.25*24/A64 - L64</f>
        <v>52.086887458858634</v>
      </c>
      <c r="C64">
        <f>B64</f>
        <v>52.086887458858634</v>
      </c>
      <c r="D64" t="s">
        <v>25</v>
      </c>
      <c r="E64" t="s">
        <v>21</v>
      </c>
      <c r="F64">
        <v>1</v>
      </c>
      <c r="G64">
        <v>10</v>
      </c>
      <c r="I64">
        <v>2030</v>
      </c>
      <c r="J64">
        <f>AVERAGE(G64:G66)</f>
        <v>15</v>
      </c>
      <c r="K64" cm="1">
        <f t="array" ref="K64">STOWA2019_JAARROND_T(A64*60,J64,I64,"","upper")</f>
        <v>2.5493547078485022E-2</v>
      </c>
      <c r="L64">
        <f>1/K64</f>
        <v>39.225612541141366</v>
      </c>
    </row>
    <row r="65" spans="1:12" x14ac:dyDescent="0.3">
      <c r="A65">
        <v>96</v>
      </c>
      <c r="B65">
        <f t="shared" ref="B65:B69" si="18">L64-L65</f>
        <v>7.4717305599879715</v>
      </c>
      <c r="C65">
        <f t="shared" ref="C65:C94" si="19">B65</f>
        <v>7.4717305599879715</v>
      </c>
      <c r="D65" t="s">
        <v>25</v>
      </c>
      <c r="E65" t="s">
        <v>21</v>
      </c>
      <c r="F65">
        <v>1</v>
      </c>
      <c r="G65">
        <f t="shared" ref="G65:G69" si="20">G64+5</f>
        <v>15</v>
      </c>
      <c r="I65">
        <v>2030</v>
      </c>
      <c r="J65">
        <f t="shared" ref="J65:J69" si="21">AVERAGE(G65:G66)</f>
        <v>17.5</v>
      </c>
      <c r="K65" cm="1">
        <f t="array" ref="K65">STOWA2019_JAARROND_T(A65*60,J65,I65,"","upper")</f>
        <v>3.1492212529904889E-2</v>
      </c>
      <c r="L65">
        <f t="shared" ref="L65:L69" si="22">1/K65</f>
        <v>31.753881981153395</v>
      </c>
    </row>
    <row r="66" spans="1:12" x14ac:dyDescent="0.3">
      <c r="A66">
        <v>96</v>
      </c>
      <c r="B66">
        <f t="shared" si="18"/>
        <v>10.910487353526509</v>
      </c>
      <c r="C66">
        <f t="shared" si="19"/>
        <v>10.910487353526509</v>
      </c>
      <c r="D66" t="s">
        <v>25</v>
      </c>
      <c r="E66" t="s">
        <v>21</v>
      </c>
      <c r="F66">
        <v>1</v>
      </c>
      <c r="G66">
        <f t="shared" si="20"/>
        <v>20</v>
      </c>
      <c r="I66">
        <v>2030</v>
      </c>
      <c r="J66">
        <f t="shared" si="21"/>
        <v>22.5</v>
      </c>
      <c r="K66" cm="1">
        <f t="array" ref="K66">STOWA2019_JAARROND_T(A66*60,J66,I66,"","upper")</f>
        <v>4.7976829967732303E-2</v>
      </c>
      <c r="L66">
        <f t="shared" si="22"/>
        <v>20.843394627626886</v>
      </c>
    </row>
    <row r="67" spans="1:12" x14ac:dyDescent="0.3">
      <c r="A67">
        <v>96</v>
      </c>
      <c r="B67">
        <f t="shared" si="18"/>
        <v>7.0805735405469203</v>
      </c>
      <c r="C67">
        <f t="shared" si="19"/>
        <v>7.0805735405469203</v>
      </c>
      <c r="D67" t="s">
        <v>25</v>
      </c>
      <c r="E67" t="s">
        <v>21</v>
      </c>
      <c r="F67">
        <v>1</v>
      </c>
      <c r="G67">
        <f t="shared" si="20"/>
        <v>25</v>
      </c>
      <c r="I67">
        <v>2030</v>
      </c>
      <c r="J67">
        <f t="shared" si="21"/>
        <v>27.5</v>
      </c>
      <c r="K67" cm="1">
        <f t="array" ref="K67">STOWA2019_JAARROND_T(A67*60,J67,I67,"","upper")</f>
        <v>7.2659521886741921E-2</v>
      </c>
      <c r="L67">
        <f t="shared" si="22"/>
        <v>13.762821087079965</v>
      </c>
    </row>
    <row r="68" spans="1:12" x14ac:dyDescent="0.3">
      <c r="A68">
        <v>96</v>
      </c>
      <c r="B68">
        <f t="shared" si="18"/>
        <v>4.6074346092752965</v>
      </c>
      <c r="C68">
        <f t="shared" si="19"/>
        <v>4.6074346092752965</v>
      </c>
      <c r="D68" t="s">
        <v>25</v>
      </c>
      <c r="E68" t="s">
        <v>21</v>
      </c>
      <c r="F68">
        <v>1</v>
      </c>
      <c r="G68">
        <f t="shared" si="20"/>
        <v>30</v>
      </c>
      <c r="I68">
        <v>2030</v>
      </c>
      <c r="J68">
        <f t="shared" si="21"/>
        <v>32.5</v>
      </c>
      <c r="K68" cm="1">
        <f t="array" ref="K68">STOWA2019_JAARROND_T(A68*60,J68,I68,"","upper")</f>
        <v>0.10922531805995216</v>
      </c>
      <c r="L68">
        <f t="shared" si="22"/>
        <v>9.1553864778046687</v>
      </c>
    </row>
    <row r="69" spans="1:12" x14ac:dyDescent="0.3">
      <c r="A69">
        <v>96</v>
      </c>
      <c r="B69">
        <f t="shared" si="18"/>
        <v>3.0168843330108945</v>
      </c>
      <c r="C69">
        <f t="shared" si="19"/>
        <v>3.0168843330108945</v>
      </c>
      <c r="D69" t="s">
        <v>25</v>
      </c>
      <c r="E69" t="s">
        <v>21</v>
      </c>
      <c r="F69">
        <v>1</v>
      </c>
      <c r="G69">
        <f t="shared" si="20"/>
        <v>35</v>
      </c>
      <c r="I69">
        <v>2030</v>
      </c>
      <c r="J69">
        <f t="shared" si="21"/>
        <v>37.5</v>
      </c>
      <c r="K69" cm="1">
        <f t="array" ref="K69">STOWA2019_JAARROND_T(A69*60,J69,I69,"","upper")</f>
        <v>0.16290619053511718</v>
      </c>
      <c r="L69">
        <f t="shared" si="22"/>
        <v>6.1385021447937742</v>
      </c>
    </row>
    <row r="70" spans="1:12" x14ac:dyDescent="0.3">
      <c r="A70">
        <v>96</v>
      </c>
      <c r="B70">
        <f>L69-L70</f>
        <v>1.9902483651454288</v>
      </c>
      <c r="C70">
        <f t="shared" si="19"/>
        <v>1.9902483651454288</v>
      </c>
      <c r="D70" t="s">
        <v>25</v>
      </c>
      <c r="E70" t="s">
        <v>21</v>
      </c>
      <c r="F70">
        <v>1</v>
      </c>
      <c r="G70">
        <f>G69+5</f>
        <v>40</v>
      </c>
      <c r="I70">
        <v>2030</v>
      </c>
      <c r="J70">
        <f>AVERAGE(G70:G71)</f>
        <v>42.5</v>
      </c>
      <c r="K70" cm="1">
        <f t="array" ref="K70">STOWA2019_JAARROND_T(A70*60,J70,I70,"","upper")</f>
        <v>0.2410652899073045</v>
      </c>
      <c r="L70">
        <f>1/K70</f>
        <v>4.1482537796483454</v>
      </c>
    </row>
    <row r="71" spans="1:12" x14ac:dyDescent="0.3">
      <c r="A71">
        <v>96</v>
      </c>
      <c r="B71">
        <f t="shared" ref="B71:B93" si="23">L70-L71</f>
        <v>1.3231567748131194</v>
      </c>
      <c r="C71">
        <f t="shared" si="19"/>
        <v>1.3231567748131194</v>
      </c>
      <c r="D71" t="s">
        <v>25</v>
      </c>
      <c r="E71" t="s">
        <v>21</v>
      </c>
      <c r="F71">
        <v>1</v>
      </c>
      <c r="G71">
        <f t="shared" ref="G71:G94" si="24">G70+5</f>
        <v>45</v>
      </c>
      <c r="I71">
        <v>2030</v>
      </c>
      <c r="J71">
        <f t="shared" ref="J71:J93" si="25">AVERAGE(G71:G72)</f>
        <v>47.5</v>
      </c>
      <c r="K71" cm="1">
        <f t="array" ref="K71">STOWA2019_JAARROND_T(A71*60,J71,I71,"","upper")</f>
        <v>0.35397014625992468</v>
      </c>
      <c r="L71">
        <f t="shared" ref="L71:L93" si="26">1/K71</f>
        <v>2.825097004835226</v>
      </c>
    </row>
    <row r="72" spans="1:12" x14ac:dyDescent="0.3">
      <c r="A72">
        <v>96</v>
      </c>
      <c r="B72">
        <f t="shared" si="23"/>
        <v>0.88654177542672774</v>
      </c>
      <c r="C72">
        <f t="shared" si="19"/>
        <v>0.88654177542672774</v>
      </c>
      <c r="D72" t="s">
        <v>25</v>
      </c>
      <c r="E72" t="s">
        <v>21</v>
      </c>
      <c r="F72">
        <v>1</v>
      </c>
      <c r="G72">
        <f t="shared" si="24"/>
        <v>50</v>
      </c>
      <c r="I72">
        <v>2030</v>
      </c>
      <c r="J72">
        <f t="shared" si="25"/>
        <v>52.5</v>
      </c>
      <c r="K72" cm="1">
        <f t="array" ref="K72">STOWA2019_JAARROND_T(A72*60,J72,I72,"","upper")</f>
        <v>0.51584808357775036</v>
      </c>
      <c r="L72">
        <f t="shared" si="26"/>
        <v>1.9385552294084982</v>
      </c>
    </row>
    <row r="73" spans="1:12" x14ac:dyDescent="0.3">
      <c r="A73">
        <v>96</v>
      </c>
      <c r="B73">
        <f t="shared" si="23"/>
        <v>0.59861258970801301</v>
      </c>
      <c r="C73">
        <f t="shared" si="19"/>
        <v>0.59861258970801301</v>
      </c>
      <c r="D73" t="s">
        <v>25</v>
      </c>
      <c r="E73" t="s">
        <v>21</v>
      </c>
      <c r="F73">
        <v>1</v>
      </c>
      <c r="G73">
        <f t="shared" si="24"/>
        <v>55</v>
      </c>
      <c r="I73">
        <v>2030</v>
      </c>
      <c r="J73">
        <f t="shared" si="25"/>
        <v>57.5</v>
      </c>
      <c r="K73" cm="1">
        <f t="array" ref="K73">STOWA2019_JAARROND_T(A73*60,J73,I73,"","upper")</f>
        <v>0.74630060300456447</v>
      </c>
      <c r="L73">
        <f t="shared" si="26"/>
        <v>1.3399426397004852</v>
      </c>
    </row>
    <row r="74" spans="1:12" x14ac:dyDescent="0.3">
      <c r="A74">
        <v>96</v>
      </c>
      <c r="B74">
        <f t="shared" si="23"/>
        <v>0.40710443263126705</v>
      </c>
      <c r="C74">
        <f t="shared" si="19"/>
        <v>0.40710443263126705</v>
      </c>
      <c r="D74" t="s">
        <v>25</v>
      </c>
      <c r="E74" t="s">
        <v>21</v>
      </c>
      <c r="F74">
        <v>1</v>
      </c>
      <c r="G74">
        <f t="shared" si="24"/>
        <v>60</v>
      </c>
      <c r="I74">
        <v>2030</v>
      </c>
      <c r="J74">
        <f t="shared" si="25"/>
        <v>62.5</v>
      </c>
      <c r="K74" cm="1">
        <f t="array" ref="K74">STOWA2019_JAARROND_T(A74*60,J74,I74,"","upper")</f>
        <v>1.0719972578543819</v>
      </c>
      <c r="L74">
        <f t="shared" si="26"/>
        <v>0.93283820706921816</v>
      </c>
    </row>
    <row r="75" spans="1:12" x14ac:dyDescent="0.3">
      <c r="A75">
        <v>96</v>
      </c>
      <c r="B75">
        <f t="shared" si="23"/>
        <v>0.27903244381891346</v>
      </c>
      <c r="C75">
        <f t="shared" si="19"/>
        <v>0.27903244381891346</v>
      </c>
      <c r="D75" t="s">
        <v>25</v>
      </c>
      <c r="E75" t="s">
        <v>21</v>
      </c>
      <c r="F75">
        <v>1</v>
      </c>
      <c r="G75">
        <f t="shared" si="24"/>
        <v>65</v>
      </c>
      <c r="I75">
        <v>2030</v>
      </c>
      <c r="J75">
        <f t="shared" si="25"/>
        <v>67.5</v>
      </c>
      <c r="K75" cm="1">
        <f t="array" ref="K75">STOWA2019_JAARROND_T(A75*60,J75,I75,"","upper")</f>
        <v>1.5295062481992185</v>
      </c>
      <c r="L75">
        <f t="shared" si="26"/>
        <v>0.65380576325030471</v>
      </c>
    </row>
    <row r="76" spans="1:12" x14ac:dyDescent="0.3">
      <c r="A76">
        <v>96</v>
      </c>
      <c r="B76">
        <f t="shared" si="23"/>
        <v>0.19254331336343156</v>
      </c>
      <c r="C76">
        <f t="shared" si="19"/>
        <v>0.19254331336343156</v>
      </c>
      <c r="D76" t="s">
        <v>25</v>
      </c>
      <c r="E76" t="s">
        <v>21</v>
      </c>
      <c r="F76">
        <v>1</v>
      </c>
      <c r="G76">
        <f t="shared" si="24"/>
        <v>70</v>
      </c>
      <c r="I76">
        <v>2030</v>
      </c>
      <c r="J76">
        <f t="shared" si="25"/>
        <v>72.5</v>
      </c>
      <c r="K76" cm="1">
        <f t="array" ref="K76">STOWA2019_JAARROND_T(A76*60,J76,I76,"","upper")</f>
        <v>2.1679631633688259</v>
      </c>
      <c r="L76">
        <f t="shared" si="26"/>
        <v>0.46126244988687315</v>
      </c>
    </row>
    <row r="77" spans="1:12" x14ac:dyDescent="0.3">
      <c r="A77">
        <v>96</v>
      </c>
      <c r="B77">
        <f t="shared" si="23"/>
        <v>0.13376408525996808</v>
      </c>
      <c r="C77">
        <f t="shared" si="19"/>
        <v>0.13376408525996808</v>
      </c>
      <c r="D77" t="s">
        <v>25</v>
      </c>
      <c r="E77" t="s">
        <v>21</v>
      </c>
      <c r="F77">
        <v>1</v>
      </c>
      <c r="G77">
        <f t="shared" si="24"/>
        <v>75</v>
      </c>
      <c r="I77">
        <v>2030</v>
      </c>
      <c r="J77">
        <f t="shared" si="25"/>
        <v>77.5</v>
      </c>
      <c r="K77" cm="1">
        <f t="array" ref="K77">STOWA2019_JAARROND_T(A77*60,J77,I77,"","upper")</f>
        <v>3.0534503619254005</v>
      </c>
      <c r="L77">
        <f t="shared" si="26"/>
        <v>0.32749836462690507</v>
      </c>
    </row>
    <row r="78" spans="1:12" x14ac:dyDescent="0.3">
      <c r="A78">
        <v>96</v>
      </c>
      <c r="B78">
        <f t="shared" si="23"/>
        <v>9.3542227762919594E-2</v>
      </c>
      <c r="C78">
        <f t="shared" si="19"/>
        <v>9.3542227762919594E-2</v>
      </c>
      <c r="D78" t="s">
        <v>25</v>
      </c>
      <c r="E78" t="s">
        <v>21</v>
      </c>
      <c r="F78">
        <v>1</v>
      </c>
      <c r="G78">
        <f t="shared" si="24"/>
        <v>80</v>
      </c>
      <c r="I78">
        <v>2030</v>
      </c>
      <c r="J78">
        <f t="shared" si="25"/>
        <v>82.5</v>
      </c>
      <c r="K78" cm="1">
        <f t="array" ref="K78">STOWA2019_JAARROND_T(A78*60,J78,I78,"","upper")</f>
        <v>4.2743054890727983</v>
      </c>
      <c r="L78">
        <f t="shared" si="26"/>
        <v>0.23395613686398548</v>
      </c>
    </row>
    <row r="79" spans="1:12" x14ac:dyDescent="0.3">
      <c r="A79">
        <v>96</v>
      </c>
      <c r="B79">
        <f t="shared" si="23"/>
        <v>6.5828998633245206E-2</v>
      </c>
      <c r="C79">
        <f t="shared" si="19"/>
        <v>6.5828998633245206E-2</v>
      </c>
      <c r="D79" t="s">
        <v>25</v>
      </c>
      <c r="E79" t="s">
        <v>21</v>
      </c>
      <c r="F79">
        <v>1</v>
      </c>
      <c r="G79">
        <f t="shared" si="24"/>
        <v>85</v>
      </c>
      <c r="I79">
        <v>2030</v>
      </c>
      <c r="J79">
        <f t="shared" si="25"/>
        <v>87.5</v>
      </c>
      <c r="K79" cm="1">
        <f t="array" ref="K79">STOWA2019_JAARROND_T(A79*60,J79,I79,"","upper")</f>
        <v>5.9478797445989038</v>
      </c>
      <c r="L79">
        <f t="shared" si="26"/>
        <v>0.16812713823074027</v>
      </c>
    </row>
    <row r="80" spans="1:12" x14ac:dyDescent="0.3">
      <c r="A80">
        <v>96</v>
      </c>
      <c r="B80">
        <f t="shared" si="23"/>
        <v>4.6612595385621319E-2</v>
      </c>
      <c r="C80">
        <f t="shared" si="19"/>
        <v>4.6612595385621319E-2</v>
      </c>
      <c r="D80" t="s">
        <v>25</v>
      </c>
      <c r="E80" t="s">
        <v>21</v>
      </c>
      <c r="F80">
        <v>1</v>
      </c>
      <c r="G80">
        <f t="shared" si="24"/>
        <v>90</v>
      </c>
      <c r="I80">
        <v>2030</v>
      </c>
      <c r="J80">
        <f t="shared" si="25"/>
        <v>92.5</v>
      </c>
      <c r="K80" cm="1">
        <f t="array" ref="K80">STOWA2019_JAARROND_T(A80*60,J80,I80,"","upper")</f>
        <v>8.2294676553619475</v>
      </c>
      <c r="L80">
        <f t="shared" si="26"/>
        <v>0.12151454284511895</v>
      </c>
    </row>
    <row r="81" spans="1:12" x14ac:dyDescent="0.3">
      <c r="A81">
        <v>96</v>
      </c>
      <c r="B81">
        <f t="shared" si="23"/>
        <v>3.3201920961790712E-2</v>
      </c>
      <c r="C81">
        <f t="shared" si="19"/>
        <v>3.3201920961790712E-2</v>
      </c>
      <c r="D81" t="s">
        <v>25</v>
      </c>
      <c r="E81" t="s">
        <v>21</v>
      </c>
      <c r="F81">
        <v>1</v>
      </c>
      <c r="G81">
        <f t="shared" si="24"/>
        <v>95</v>
      </c>
      <c r="I81">
        <v>2030</v>
      </c>
      <c r="J81">
        <f t="shared" si="25"/>
        <v>97.5</v>
      </c>
      <c r="K81" cm="1">
        <f t="array" ref="K81">STOWA2019_JAARROND_T(A81*60,J81,I81,"","upper")</f>
        <v>11.323409708310123</v>
      </c>
      <c r="L81">
        <f t="shared" si="26"/>
        <v>8.8312621883328238E-2</v>
      </c>
    </row>
    <row r="82" spans="1:12" x14ac:dyDescent="0.3">
      <c r="A82">
        <v>96</v>
      </c>
      <c r="B82">
        <f t="shared" si="23"/>
        <v>2.3785518069551773E-2</v>
      </c>
      <c r="C82">
        <f t="shared" si="19"/>
        <v>2.3785518069551773E-2</v>
      </c>
      <c r="D82" t="s">
        <v>25</v>
      </c>
      <c r="E82" t="s">
        <v>21</v>
      </c>
      <c r="F82">
        <v>1</v>
      </c>
      <c r="G82">
        <f t="shared" si="24"/>
        <v>100</v>
      </c>
      <c r="I82">
        <v>2030</v>
      </c>
      <c r="J82">
        <f t="shared" si="25"/>
        <v>102.5</v>
      </c>
      <c r="K82" cm="1">
        <f t="array" ref="K82">STOWA2019_JAARROND_T(A82*60,J82,I82,"","upper")</f>
        <v>15.497363757189131</v>
      </c>
      <c r="L82">
        <f t="shared" si="26"/>
        <v>6.4527103813776465E-2</v>
      </c>
    </row>
    <row r="83" spans="1:12" x14ac:dyDescent="0.3">
      <c r="A83">
        <v>96</v>
      </c>
      <c r="B83">
        <f t="shared" si="23"/>
        <v>1.7134470773742305E-2</v>
      </c>
      <c r="C83">
        <f t="shared" si="19"/>
        <v>1.7134470773742305E-2</v>
      </c>
      <c r="D83" t="s">
        <v>25</v>
      </c>
      <c r="E83" t="s">
        <v>21</v>
      </c>
      <c r="F83">
        <v>1</v>
      </c>
      <c r="G83">
        <f t="shared" si="24"/>
        <v>105</v>
      </c>
      <c r="I83">
        <v>2030</v>
      </c>
      <c r="J83">
        <f t="shared" si="25"/>
        <v>107.5</v>
      </c>
      <c r="K83" cm="1">
        <f t="array" ref="K83">STOWA2019_JAARROND_T(A83*60,J83,I83,"","upper")</f>
        <v>21.100325849278434</v>
      </c>
      <c r="L83">
        <f t="shared" si="26"/>
        <v>4.739263304003416E-2</v>
      </c>
    </row>
    <row r="84" spans="1:12" x14ac:dyDescent="0.3">
      <c r="A84">
        <v>96</v>
      </c>
      <c r="B84">
        <f t="shared" si="23"/>
        <v>1.2409668157700213E-2</v>
      </c>
      <c r="C84">
        <f t="shared" si="19"/>
        <v>1.2409668157700213E-2</v>
      </c>
      <c r="D84" t="s">
        <v>25</v>
      </c>
      <c r="E84" t="s">
        <v>21</v>
      </c>
      <c r="F84">
        <v>1</v>
      </c>
      <c r="G84">
        <f t="shared" si="24"/>
        <v>110</v>
      </c>
      <c r="I84">
        <v>2030</v>
      </c>
      <c r="J84">
        <f t="shared" si="25"/>
        <v>112.5</v>
      </c>
      <c r="K84" cm="1">
        <f t="array" ref="K84">STOWA2019_JAARROND_T(A84*60,J84,I84,"","upper")</f>
        <v>28.585341561629335</v>
      </c>
      <c r="L84">
        <f t="shared" si="26"/>
        <v>3.4982964882333947E-2</v>
      </c>
    </row>
    <row r="85" spans="1:12" x14ac:dyDescent="0.3">
      <c r="A85">
        <v>96</v>
      </c>
      <c r="B85">
        <f t="shared" si="23"/>
        <v>9.0343793954502823E-3</v>
      </c>
      <c r="C85">
        <f t="shared" si="19"/>
        <v>9.0343793954502823E-3</v>
      </c>
      <c r="D85" t="s">
        <v>25</v>
      </c>
      <c r="E85" t="s">
        <v>21</v>
      </c>
      <c r="F85">
        <v>1</v>
      </c>
      <c r="G85">
        <f t="shared" si="24"/>
        <v>115</v>
      </c>
      <c r="I85">
        <v>2030</v>
      </c>
      <c r="J85">
        <f t="shared" si="25"/>
        <v>117.5</v>
      </c>
      <c r="K85" cm="1">
        <f t="array" ref="K85">STOWA2019_JAARROND_T(A85*60,J85,I85,"","upper")</f>
        <v>38.537746132846969</v>
      </c>
      <c r="L85">
        <f t="shared" si="26"/>
        <v>2.5948585486883665E-2</v>
      </c>
    </row>
    <row r="86" spans="1:12" x14ac:dyDescent="0.3">
      <c r="A86">
        <v>96</v>
      </c>
      <c r="B86">
        <f t="shared" si="23"/>
        <v>6.6106621047013273E-3</v>
      </c>
      <c r="C86">
        <f t="shared" si="19"/>
        <v>6.6106621047013273E-3</v>
      </c>
      <c r="D86" t="s">
        <v>25</v>
      </c>
      <c r="E86" t="s">
        <v>21</v>
      </c>
      <c r="F86">
        <v>1</v>
      </c>
      <c r="G86">
        <f t="shared" si="24"/>
        <v>120</v>
      </c>
      <c r="I86">
        <v>2030</v>
      </c>
      <c r="J86">
        <f t="shared" si="25"/>
        <v>122.5</v>
      </c>
      <c r="K86" cm="1">
        <f t="array" ref="K86">STOWA2019_JAARROND_T(A86*60,J86,I86,"","upper")</f>
        <v>51.711860691380359</v>
      </c>
      <c r="L86">
        <f t="shared" si="26"/>
        <v>1.9337923382182338E-2</v>
      </c>
    </row>
    <row r="87" spans="1:12" x14ac:dyDescent="0.3">
      <c r="A87">
        <v>96</v>
      </c>
      <c r="B87">
        <f t="shared" si="23"/>
        <v>4.8605931455321123E-3</v>
      </c>
      <c r="C87">
        <f t="shared" si="19"/>
        <v>4.8605931455321123E-3</v>
      </c>
      <c r="D87" t="s">
        <v>25</v>
      </c>
      <c r="E87" t="s">
        <v>21</v>
      </c>
      <c r="F87">
        <v>1</v>
      </c>
      <c r="G87">
        <f t="shared" si="24"/>
        <v>125</v>
      </c>
      <c r="I87">
        <v>2030</v>
      </c>
      <c r="J87">
        <f t="shared" si="25"/>
        <v>127.5</v>
      </c>
      <c r="K87" cm="1">
        <f t="array" ref="K87">STOWA2019_JAARROND_T(A87*60,J87,I87,"","upper")</f>
        <v>69.073508972561825</v>
      </c>
      <c r="L87">
        <f t="shared" si="26"/>
        <v>1.4477330236650226E-2</v>
      </c>
    </row>
    <row r="88" spans="1:12" x14ac:dyDescent="0.3">
      <c r="A88">
        <v>96</v>
      </c>
      <c r="B88">
        <f t="shared" si="23"/>
        <v>3.5909495235878688E-3</v>
      </c>
      <c r="C88">
        <f t="shared" si="19"/>
        <v>3.5909495235878688E-3</v>
      </c>
      <c r="D88" t="s">
        <v>25</v>
      </c>
      <c r="E88" t="s">
        <v>21</v>
      </c>
      <c r="F88">
        <v>1</v>
      </c>
      <c r="G88">
        <f t="shared" si="24"/>
        <v>130</v>
      </c>
      <c r="I88">
        <v>2030</v>
      </c>
      <c r="J88">
        <f t="shared" si="25"/>
        <v>132.5</v>
      </c>
      <c r="K88" cm="1">
        <f t="array" ref="K88">STOWA2019_JAARROND_T(A88*60,J88,I88,"","upper")</f>
        <v>91.857893487053914</v>
      </c>
      <c r="L88">
        <f t="shared" si="26"/>
        <v>1.0886380713062357E-2</v>
      </c>
    </row>
    <row r="89" spans="1:12" x14ac:dyDescent="0.3">
      <c r="A89">
        <v>96</v>
      </c>
      <c r="B89">
        <f t="shared" si="23"/>
        <v>2.6650267579281881E-3</v>
      </c>
      <c r="C89">
        <f t="shared" si="19"/>
        <v>2.6650267579281881E-3</v>
      </c>
      <c r="D89" t="s">
        <v>25</v>
      </c>
      <c r="E89" t="s">
        <v>21</v>
      </c>
      <c r="F89">
        <v>1</v>
      </c>
      <c r="G89">
        <f t="shared" si="24"/>
        <v>135</v>
      </c>
      <c r="I89">
        <v>2030</v>
      </c>
      <c r="J89">
        <f t="shared" si="25"/>
        <v>137.5</v>
      </c>
      <c r="K89" cm="1">
        <f t="array" ref="K89">STOWA2019_JAARROND_T(A89*60,J89,I89,"","upper")</f>
        <v>121.63446622748899</v>
      </c>
      <c r="L89">
        <f t="shared" si="26"/>
        <v>8.2213539551341686E-3</v>
      </c>
    </row>
    <row r="90" spans="1:12" x14ac:dyDescent="0.3">
      <c r="A90">
        <v>96</v>
      </c>
      <c r="B90">
        <f t="shared" si="23"/>
        <v>1.9867315216372918E-3</v>
      </c>
      <c r="C90">
        <f t="shared" si="19"/>
        <v>1.9867315216372918E-3</v>
      </c>
      <c r="D90" t="s">
        <v>25</v>
      </c>
      <c r="E90" t="s">
        <v>21</v>
      </c>
      <c r="F90">
        <v>1</v>
      </c>
      <c r="G90">
        <f t="shared" si="24"/>
        <v>140</v>
      </c>
      <c r="I90">
        <v>2030</v>
      </c>
      <c r="J90">
        <f t="shared" si="25"/>
        <v>142.5</v>
      </c>
      <c r="K90" cm="1">
        <f t="array" ref="K90">STOWA2019_JAARROND_T(A90*60,J90,I90,"","upper")</f>
        <v>160.39463667074378</v>
      </c>
      <c r="L90">
        <f t="shared" si="26"/>
        <v>6.2346224334968768E-3</v>
      </c>
    </row>
    <row r="91" spans="1:12" x14ac:dyDescent="0.3">
      <c r="A91">
        <v>96</v>
      </c>
      <c r="B91">
        <f t="shared" si="23"/>
        <v>1.4875181321175662E-3</v>
      </c>
      <c r="C91">
        <f t="shared" si="19"/>
        <v>1.4875181321175662E-3</v>
      </c>
      <c r="D91" t="s">
        <v>25</v>
      </c>
      <c r="E91" t="s">
        <v>21</v>
      </c>
      <c r="F91">
        <v>1</v>
      </c>
      <c r="G91">
        <f t="shared" si="24"/>
        <v>145</v>
      </c>
      <c r="I91">
        <v>2030</v>
      </c>
      <c r="J91">
        <f t="shared" si="25"/>
        <v>147.5</v>
      </c>
      <c r="K91" cm="1">
        <f t="array" ref="K91">STOWA2019_JAARROND_T(A91*60,J91,I91,"","upper")</f>
        <v>210.65473528977267</v>
      </c>
      <c r="L91">
        <f t="shared" si="26"/>
        <v>4.7471043013793107E-3</v>
      </c>
    </row>
    <row r="92" spans="1:12" x14ac:dyDescent="0.3">
      <c r="A92">
        <v>96</v>
      </c>
      <c r="B92">
        <f t="shared" si="23"/>
        <v>1.1183788813035282E-3</v>
      </c>
      <c r="C92">
        <f t="shared" si="19"/>
        <v>1.1183788813035282E-3</v>
      </c>
      <c r="D92" t="s">
        <v>25</v>
      </c>
      <c r="E92" t="s">
        <v>21</v>
      </c>
      <c r="F92">
        <v>1</v>
      </c>
      <c r="G92">
        <f t="shared" si="24"/>
        <v>150</v>
      </c>
      <c r="I92">
        <v>2030</v>
      </c>
      <c r="J92">
        <f t="shared" si="25"/>
        <v>152.5</v>
      </c>
      <c r="K92" cm="1">
        <f t="array" ref="K92">STOWA2019_JAARROND_T(A92*60,J92,I92,"","upper")</f>
        <v>275.5788559992825</v>
      </c>
      <c r="L92">
        <f t="shared" si="26"/>
        <v>3.6287254200757825E-3</v>
      </c>
    </row>
    <row r="93" spans="1:12" x14ac:dyDescent="0.3">
      <c r="A93">
        <v>96</v>
      </c>
      <c r="B93">
        <f t="shared" si="23"/>
        <v>8.443016703501378E-4</v>
      </c>
      <c r="C93">
        <f t="shared" si="19"/>
        <v>8.443016703501378E-4</v>
      </c>
      <c r="D93" t="s">
        <v>25</v>
      </c>
      <c r="E93" t="s">
        <v>21</v>
      </c>
      <c r="F93">
        <v>1</v>
      </c>
      <c r="G93">
        <f t="shared" si="24"/>
        <v>155</v>
      </c>
      <c r="I93">
        <v>2030</v>
      </c>
      <c r="J93">
        <f t="shared" si="25"/>
        <v>157.5</v>
      </c>
      <c r="K93" cm="1">
        <f t="array" ref="K93">STOWA2019_JAARROND_T(A93*60,J93,I93,"","upper")</f>
        <v>359.14073786309723</v>
      </c>
      <c r="L93">
        <f t="shared" si="26"/>
        <v>2.7844237497256447E-3</v>
      </c>
    </row>
    <row r="94" spans="1:12" x14ac:dyDescent="0.3">
      <c r="A94">
        <v>96</v>
      </c>
      <c r="B94" s="1">
        <f>L93</f>
        <v>2.7844237497256447E-3</v>
      </c>
      <c r="C94">
        <f t="shared" si="19"/>
        <v>2.7844237497256447E-3</v>
      </c>
      <c r="D94" t="s">
        <v>25</v>
      </c>
      <c r="E94" t="s">
        <v>21</v>
      </c>
      <c r="F94">
        <v>1</v>
      </c>
      <c r="G94">
        <f t="shared" si="24"/>
        <v>160</v>
      </c>
      <c r="I94">
        <v>2030</v>
      </c>
      <c r="J94">
        <f>AVERAGE(G94:G95)</f>
        <v>85</v>
      </c>
      <c r="K94" cm="1">
        <f t="array" ref="K94">STOWA2019_JAARROND_T(A94*60,J94,I94,"","upper")</f>
        <v>5.0457755787744905</v>
      </c>
      <c r="L94">
        <f>1/K94</f>
        <v>0.19818558800089922</v>
      </c>
    </row>
    <row r="95" spans="1:12" x14ac:dyDescent="0.3">
      <c r="A95">
        <v>192</v>
      </c>
      <c r="B95" s="1">
        <f>365.25*24/A95 - L95</f>
        <v>-2.5263418720122601</v>
      </c>
      <c r="C95">
        <f>B95</f>
        <v>-2.5263418720122601</v>
      </c>
      <c r="D95" t="s">
        <v>25</v>
      </c>
      <c r="E95" t="s">
        <v>21</v>
      </c>
      <c r="F95">
        <v>1</v>
      </c>
      <c r="G95">
        <v>10</v>
      </c>
      <c r="I95">
        <v>2030</v>
      </c>
      <c r="J95">
        <f>AVERAGE(G95:G97)</f>
        <v>15</v>
      </c>
      <c r="K95" cm="1">
        <f t="array" ref="K95">STOWA2019_JAARROND_T(A95*60,J95,I95,"","upper")</f>
        <v>2.0754383713028693E-2</v>
      </c>
      <c r="L95">
        <f>1/K95</f>
        <v>48.18259187201226</v>
      </c>
    </row>
    <row r="96" spans="1:12" x14ac:dyDescent="0.3">
      <c r="A96">
        <v>192</v>
      </c>
      <c r="B96">
        <f t="shared" ref="B96:B100" si="27">L95-L96</f>
        <v>4.7889498059012396</v>
      </c>
      <c r="C96">
        <f t="shared" ref="C96:C125" si="28">B96</f>
        <v>4.7889498059012396</v>
      </c>
      <c r="D96" t="s">
        <v>25</v>
      </c>
      <c r="E96" t="s">
        <v>21</v>
      </c>
      <c r="F96">
        <v>1</v>
      </c>
      <c r="G96">
        <f t="shared" ref="G96:G100" si="29">G95+5</f>
        <v>15</v>
      </c>
      <c r="I96">
        <v>2030</v>
      </c>
      <c r="J96">
        <f t="shared" ref="J96:J100" si="30">AVERAGE(G96:G97)</f>
        <v>17.5</v>
      </c>
      <c r="K96" cm="1">
        <f t="array" ref="K96">STOWA2019_JAARROND_T(A96*60,J96,I96,"","upper")</f>
        <v>2.3044850636793322E-2</v>
      </c>
      <c r="L96">
        <f t="shared" ref="L96:L100" si="31">1/K96</f>
        <v>43.39364206611102</v>
      </c>
    </row>
    <row r="97" spans="1:12" x14ac:dyDescent="0.3">
      <c r="A97">
        <v>192</v>
      </c>
      <c r="B97">
        <f t="shared" si="27"/>
        <v>9.891236547851058</v>
      </c>
      <c r="C97">
        <f t="shared" si="28"/>
        <v>9.891236547851058</v>
      </c>
      <c r="D97" t="s">
        <v>25</v>
      </c>
      <c r="E97" t="s">
        <v>21</v>
      </c>
      <c r="F97">
        <v>1</v>
      </c>
      <c r="G97">
        <f t="shared" si="29"/>
        <v>20</v>
      </c>
      <c r="I97">
        <v>2030</v>
      </c>
      <c r="J97">
        <f t="shared" si="30"/>
        <v>22.5</v>
      </c>
      <c r="K97" cm="1">
        <f t="array" ref="K97">STOWA2019_JAARROND_T(A97*60,J97,I97,"","upper")</f>
        <v>2.9848602944495001E-2</v>
      </c>
      <c r="L97">
        <f t="shared" si="31"/>
        <v>33.502405518259962</v>
      </c>
    </row>
    <row r="98" spans="1:12" x14ac:dyDescent="0.3">
      <c r="A98">
        <v>192</v>
      </c>
      <c r="B98">
        <f t="shared" si="27"/>
        <v>8.229451580672098</v>
      </c>
      <c r="C98">
        <f t="shared" si="28"/>
        <v>8.229451580672098</v>
      </c>
      <c r="D98" t="s">
        <v>25</v>
      </c>
      <c r="E98" t="s">
        <v>21</v>
      </c>
      <c r="F98">
        <v>1</v>
      </c>
      <c r="G98">
        <f t="shared" si="29"/>
        <v>25</v>
      </c>
      <c r="I98">
        <v>2030</v>
      </c>
      <c r="J98">
        <f t="shared" si="30"/>
        <v>27.5</v>
      </c>
      <c r="K98" cm="1">
        <f t="array" ref="K98">STOWA2019_JAARROND_T(A98*60,J98,I98,"","upper")</f>
        <v>3.9567990448189108E-2</v>
      </c>
      <c r="L98">
        <f t="shared" si="31"/>
        <v>25.272953937587864</v>
      </c>
    </row>
    <row r="99" spans="1:12" x14ac:dyDescent="0.3">
      <c r="A99">
        <v>192</v>
      </c>
      <c r="B99">
        <f t="shared" si="27"/>
        <v>6.3505176881022791</v>
      </c>
      <c r="C99">
        <f t="shared" si="28"/>
        <v>6.3505176881022791</v>
      </c>
      <c r="D99" t="s">
        <v>25</v>
      </c>
      <c r="E99" t="s">
        <v>21</v>
      </c>
      <c r="F99">
        <v>1</v>
      </c>
      <c r="G99">
        <f t="shared" si="29"/>
        <v>30</v>
      </c>
      <c r="I99">
        <v>2030</v>
      </c>
      <c r="J99">
        <f t="shared" si="30"/>
        <v>32.5</v>
      </c>
      <c r="K99" cm="1">
        <f t="array" ref="K99">STOWA2019_JAARROND_T(A99*60,J99,I99,"","upper")</f>
        <v>5.2847317692888807E-2</v>
      </c>
      <c r="L99">
        <f t="shared" si="31"/>
        <v>18.922436249485585</v>
      </c>
    </row>
    <row r="100" spans="1:12" x14ac:dyDescent="0.3">
      <c r="A100">
        <v>192</v>
      </c>
      <c r="B100">
        <f t="shared" si="27"/>
        <v>4.8022341424524004</v>
      </c>
      <c r="C100">
        <f t="shared" si="28"/>
        <v>4.8022341424524004</v>
      </c>
      <c r="D100" t="s">
        <v>25</v>
      </c>
      <c r="E100" t="s">
        <v>21</v>
      </c>
      <c r="F100">
        <v>1</v>
      </c>
      <c r="G100">
        <f t="shared" si="29"/>
        <v>35</v>
      </c>
      <c r="I100">
        <v>2030</v>
      </c>
      <c r="J100">
        <f t="shared" si="30"/>
        <v>37.5</v>
      </c>
      <c r="K100" cm="1">
        <f t="array" ref="K100">STOWA2019_JAARROND_T(A100*60,J100,I100,"","upper")</f>
        <v>7.0820516053513582E-2</v>
      </c>
      <c r="L100">
        <f t="shared" si="31"/>
        <v>14.120202107033185</v>
      </c>
    </row>
    <row r="101" spans="1:12" x14ac:dyDescent="0.3">
      <c r="A101">
        <v>192</v>
      </c>
      <c r="B101">
        <f>L100-L101</f>
        <v>3.6031402716531318</v>
      </c>
      <c r="C101">
        <f t="shared" si="28"/>
        <v>3.6031402716531318</v>
      </c>
      <c r="D101" t="s">
        <v>25</v>
      </c>
      <c r="E101" t="s">
        <v>21</v>
      </c>
      <c r="F101">
        <v>1</v>
      </c>
      <c r="G101">
        <f>G100+5</f>
        <v>40</v>
      </c>
      <c r="I101">
        <v>2030</v>
      </c>
      <c r="J101">
        <f>AVERAGE(G101:G102)</f>
        <v>42.5</v>
      </c>
      <c r="K101" cm="1">
        <f t="array" ref="K101">STOWA2019_JAARROND_T(A101*60,J101,I101,"","upper")</f>
        <v>9.5083590422178316E-2</v>
      </c>
      <c r="L101">
        <f>1/K101</f>
        <v>10.517061835380053</v>
      </c>
    </row>
    <row r="102" spans="1:12" x14ac:dyDescent="0.3">
      <c r="A102">
        <v>192</v>
      </c>
      <c r="B102">
        <f t="shared" ref="B102:B124" si="32">L101-L102</f>
        <v>2.6933019680303865</v>
      </c>
      <c r="C102">
        <f t="shared" si="28"/>
        <v>2.6933019680303865</v>
      </c>
      <c r="D102" t="s">
        <v>25</v>
      </c>
      <c r="E102" t="s">
        <v>21</v>
      </c>
      <c r="F102">
        <v>1</v>
      </c>
      <c r="G102">
        <f t="shared" ref="G102:G125" si="33">G101+5</f>
        <v>45</v>
      </c>
      <c r="I102">
        <v>2030</v>
      </c>
      <c r="J102">
        <f t="shared" ref="J102:J124" si="34">AVERAGE(G102:G103)</f>
        <v>47.5</v>
      </c>
      <c r="K102" cm="1">
        <f t="array" ref="K102">STOWA2019_JAARROND_T(A102*60,J102,I102,"","upper")</f>
        <v>0.1278157838372862</v>
      </c>
      <c r="L102">
        <f t="shared" ref="L102:L124" si="35">1/K102</f>
        <v>7.8237598673496667</v>
      </c>
    </row>
    <row r="103" spans="1:12" x14ac:dyDescent="0.3">
      <c r="A103">
        <v>192</v>
      </c>
      <c r="B103">
        <f t="shared" si="32"/>
        <v>2.0089179164191107</v>
      </c>
      <c r="C103">
        <f t="shared" si="28"/>
        <v>2.0089179164191107</v>
      </c>
      <c r="D103" t="s">
        <v>25</v>
      </c>
      <c r="E103" t="s">
        <v>21</v>
      </c>
      <c r="F103">
        <v>1</v>
      </c>
      <c r="G103">
        <f t="shared" si="33"/>
        <v>50</v>
      </c>
      <c r="I103">
        <v>2030</v>
      </c>
      <c r="J103">
        <f t="shared" si="34"/>
        <v>52.5</v>
      </c>
      <c r="K103" cm="1">
        <f t="array" ref="K103">STOWA2019_JAARROND_T(A103*60,J103,I103,"","upper")</f>
        <v>0.17197371973970313</v>
      </c>
      <c r="L103">
        <f t="shared" si="35"/>
        <v>5.814841950930556</v>
      </c>
    </row>
    <row r="104" spans="1:12" x14ac:dyDescent="0.3">
      <c r="A104">
        <v>192</v>
      </c>
      <c r="B104">
        <f t="shared" si="32"/>
        <v>1.4961818224514829</v>
      </c>
      <c r="C104">
        <f t="shared" si="28"/>
        <v>1.4961818224514829</v>
      </c>
      <c r="D104" t="s">
        <v>25</v>
      </c>
      <c r="E104" t="s">
        <v>21</v>
      </c>
      <c r="F104">
        <v>1</v>
      </c>
      <c r="G104">
        <f t="shared" si="33"/>
        <v>55</v>
      </c>
      <c r="I104">
        <v>2030</v>
      </c>
      <c r="J104">
        <f t="shared" si="34"/>
        <v>57.5</v>
      </c>
      <c r="K104" cm="1">
        <f t="array" ref="K104">STOWA2019_JAARROND_T(A104*60,J104,I104,"","upper")</f>
        <v>0.23155329899789442</v>
      </c>
      <c r="L104">
        <f t="shared" si="35"/>
        <v>4.3186601284790731</v>
      </c>
    </row>
    <row r="105" spans="1:12" x14ac:dyDescent="0.3">
      <c r="A105">
        <v>192</v>
      </c>
      <c r="B105">
        <f t="shared" si="32"/>
        <v>1.1132451953886457</v>
      </c>
      <c r="C105">
        <f t="shared" si="28"/>
        <v>1.1132451953886457</v>
      </c>
      <c r="D105" t="s">
        <v>25</v>
      </c>
      <c r="E105" t="s">
        <v>21</v>
      </c>
      <c r="F105">
        <v>1</v>
      </c>
      <c r="G105">
        <f t="shared" si="33"/>
        <v>60</v>
      </c>
      <c r="I105">
        <v>2030</v>
      </c>
      <c r="J105">
        <f t="shared" si="34"/>
        <v>62.5</v>
      </c>
      <c r="K105" cm="1">
        <f t="array" ref="K105">STOWA2019_JAARROND_T(A105*60,J105,I105,"","upper")</f>
        <v>0.3119720912499378</v>
      </c>
      <c r="L105">
        <f t="shared" si="35"/>
        <v>3.2054149330904274</v>
      </c>
    </row>
    <row r="106" spans="1:12" x14ac:dyDescent="0.3">
      <c r="A106">
        <v>192</v>
      </c>
      <c r="B106">
        <f t="shared" si="32"/>
        <v>0.8276005999056788</v>
      </c>
      <c r="C106">
        <f t="shared" si="28"/>
        <v>0.8276005999056788</v>
      </c>
      <c r="D106" t="s">
        <v>25</v>
      </c>
      <c r="E106" t="s">
        <v>21</v>
      </c>
      <c r="F106">
        <v>1</v>
      </c>
      <c r="G106">
        <f t="shared" si="33"/>
        <v>65</v>
      </c>
      <c r="I106">
        <v>2030</v>
      </c>
      <c r="J106">
        <f t="shared" si="34"/>
        <v>67.5</v>
      </c>
      <c r="K106" cm="1">
        <f t="array" ref="K106">STOWA2019_JAARROND_T(A106*60,J106,I106,"","upper")</f>
        <v>0.42055428215904495</v>
      </c>
      <c r="L106">
        <f t="shared" si="35"/>
        <v>2.3778143331847486</v>
      </c>
    </row>
    <row r="107" spans="1:12" x14ac:dyDescent="0.3">
      <c r="A107">
        <v>192</v>
      </c>
      <c r="B107">
        <f t="shared" si="32"/>
        <v>0.61484110792978242</v>
      </c>
      <c r="C107">
        <f t="shared" si="28"/>
        <v>0.61484110792978242</v>
      </c>
      <c r="D107" t="s">
        <v>25</v>
      </c>
      <c r="E107" t="s">
        <v>21</v>
      </c>
      <c r="F107">
        <v>1</v>
      </c>
      <c r="G107">
        <f t="shared" si="33"/>
        <v>70</v>
      </c>
      <c r="I107">
        <v>2030</v>
      </c>
      <c r="J107">
        <f t="shared" si="34"/>
        <v>72.5</v>
      </c>
      <c r="K107" cm="1">
        <f t="array" ref="K107">STOWA2019_JAARROND_T(A107*60,J107,I107,"","upper")</f>
        <v>0.56722358892057323</v>
      </c>
      <c r="L107">
        <f t="shared" si="35"/>
        <v>1.7629732252549661</v>
      </c>
    </row>
    <row r="108" spans="1:12" x14ac:dyDescent="0.3">
      <c r="A108">
        <v>192</v>
      </c>
      <c r="B108">
        <f t="shared" si="32"/>
        <v>0.45650084935014434</v>
      </c>
      <c r="C108">
        <f t="shared" si="28"/>
        <v>0.45650084935014434</v>
      </c>
      <c r="D108" t="s">
        <v>25</v>
      </c>
      <c r="E108" t="s">
        <v>21</v>
      </c>
      <c r="F108">
        <v>1</v>
      </c>
      <c r="G108">
        <f t="shared" si="33"/>
        <v>75</v>
      </c>
      <c r="I108">
        <v>2030</v>
      </c>
      <c r="J108">
        <f t="shared" si="34"/>
        <v>77.5</v>
      </c>
      <c r="K108" cm="1">
        <f t="array" ref="K108">STOWA2019_JAARROND_T(A108*60,J108,I108,"","upper")</f>
        <v>0.76541993420062282</v>
      </c>
      <c r="L108">
        <f t="shared" si="35"/>
        <v>1.3064723759048218</v>
      </c>
    </row>
    <row r="109" spans="1:12" x14ac:dyDescent="0.3">
      <c r="A109">
        <v>192</v>
      </c>
      <c r="B109">
        <f t="shared" si="32"/>
        <v>0.33865051839005467</v>
      </c>
      <c r="C109">
        <f t="shared" si="28"/>
        <v>0.33865051839005467</v>
      </c>
      <c r="D109" t="s">
        <v>25</v>
      </c>
      <c r="E109" t="s">
        <v>21</v>
      </c>
      <c r="F109">
        <v>1</v>
      </c>
      <c r="G109">
        <f t="shared" si="33"/>
        <v>80</v>
      </c>
      <c r="I109">
        <v>2030</v>
      </c>
      <c r="J109">
        <f t="shared" si="34"/>
        <v>82.5</v>
      </c>
      <c r="K109" cm="1">
        <f t="array" ref="K109">STOWA2019_JAARROND_T(A109*60,J109,I109,"","upper")</f>
        <v>1.033248001412018</v>
      </c>
      <c r="L109">
        <f t="shared" si="35"/>
        <v>0.96782185751476713</v>
      </c>
    </row>
    <row r="110" spans="1:12" x14ac:dyDescent="0.3">
      <c r="A110">
        <v>192</v>
      </c>
      <c r="B110">
        <f t="shared" si="32"/>
        <v>0.25125988139380395</v>
      </c>
      <c r="C110">
        <f t="shared" si="28"/>
        <v>0.25125988139380395</v>
      </c>
      <c r="D110" t="s">
        <v>25</v>
      </c>
      <c r="E110" t="s">
        <v>21</v>
      </c>
      <c r="F110">
        <v>1</v>
      </c>
      <c r="G110">
        <f t="shared" si="33"/>
        <v>85</v>
      </c>
      <c r="I110">
        <v>2030</v>
      </c>
      <c r="J110">
        <f t="shared" si="34"/>
        <v>87.5</v>
      </c>
      <c r="K110" cm="1">
        <f t="array" ref="K110">STOWA2019_JAARROND_T(A110*60,J110,I110,"","upper")</f>
        <v>1.3955526993120684</v>
      </c>
      <c r="L110">
        <f t="shared" si="35"/>
        <v>0.71656197612096317</v>
      </c>
    </row>
    <row r="111" spans="1:12" x14ac:dyDescent="0.3">
      <c r="A111">
        <v>192</v>
      </c>
      <c r="B111">
        <f t="shared" si="32"/>
        <v>0.18626307183089108</v>
      </c>
      <c r="C111">
        <f t="shared" si="28"/>
        <v>0.18626307183089108</v>
      </c>
      <c r="D111" t="s">
        <v>25</v>
      </c>
      <c r="E111" t="s">
        <v>21</v>
      </c>
      <c r="F111">
        <v>1</v>
      </c>
      <c r="G111">
        <f t="shared" si="33"/>
        <v>90</v>
      </c>
      <c r="I111">
        <v>2030</v>
      </c>
      <c r="J111">
        <f t="shared" si="34"/>
        <v>92.5</v>
      </c>
      <c r="K111" cm="1">
        <f t="array" ref="K111">STOWA2019_JAARROND_T(A111*60,J111,I111,"","upper")</f>
        <v>1.8857289575937022</v>
      </c>
      <c r="L111">
        <f t="shared" si="35"/>
        <v>0.53029890429007209</v>
      </c>
    </row>
    <row r="112" spans="1:12" x14ac:dyDescent="0.3">
      <c r="A112">
        <v>192</v>
      </c>
      <c r="B112">
        <f t="shared" si="32"/>
        <v>0.13801532436530778</v>
      </c>
      <c r="C112">
        <f t="shared" si="28"/>
        <v>0.13801532436530778</v>
      </c>
      <c r="D112" t="s">
        <v>25</v>
      </c>
      <c r="E112" t="s">
        <v>21</v>
      </c>
      <c r="F112">
        <v>1</v>
      </c>
      <c r="G112">
        <f t="shared" si="33"/>
        <v>95</v>
      </c>
      <c r="I112">
        <v>2030</v>
      </c>
      <c r="J112">
        <f t="shared" si="34"/>
        <v>97.5</v>
      </c>
      <c r="K112" cm="1">
        <f t="array" ref="K112">STOWA2019_JAARROND_T(A112*60,J112,I112,"","upper")</f>
        <v>2.5491762877043924</v>
      </c>
      <c r="L112">
        <f t="shared" si="35"/>
        <v>0.39228357992476431</v>
      </c>
    </row>
    <row r="113" spans="1:12" x14ac:dyDescent="0.3">
      <c r="A113">
        <v>192</v>
      </c>
      <c r="B113">
        <f t="shared" si="32"/>
        <v>0.10221774398582489</v>
      </c>
      <c r="C113">
        <f t="shared" si="28"/>
        <v>0.10221774398582489</v>
      </c>
      <c r="D113" t="s">
        <v>25</v>
      </c>
      <c r="E113" t="s">
        <v>21</v>
      </c>
      <c r="F113">
        <v>1</v>
      </c>
      <c r="G113">
        <f t="shared" si="33"/>
        <v>100</v>
      </c>
      <c r="I113">
        <v>2030</v>
      </c>
      <c r="J113">
        <f t="shared" si="34"/>
        <v>102.5</v>
      </c>
      <c r="K113" cm="1">
        <f t="array" ref="K113">STOWA2019_JAARROND_T(A113*60,J113,I113,"","upper")</f>
        <v>3.4474932105086169</v>
      </c>
      <c r="L113">
        <f t="shared" si="35"/>
        <v>0.29006583593893942</v>
      </c>
    </row>
    <row r="114" spans="1:12" x14ac:dyDescent="0.3">
      <c r="A114">
        <v>192</v>
      </c>
      <c r="B114">
        <f t="shared" si="32"/>
        <v>7.5673573679147704E-2</v>
      </c>
      <c r="C114">
        <f t="shared" si="28"/>
        <v>7.5673573679147704E-2</v>
      </c>
      <c r="D114" t="s">
        <v>25</v>
      </c>
      <c r="E114" t="s">
        <v>21</v>
      </c>
      <c r="F114">
        <v>1</v>
      </c>
      <c r="G114">
        <f t="shared" si="33"/>
        <v>105</v>
      </c>
      <c r="I114">
        <v>2030</v>
      </c>
      <c r="J114">
        <f t="shared" si="34"/>
        <v>107.5</v>
      </c>
      <c r="K114" cm="1">
        <f t="array" ref="K114">STOWA2019_JAARROND_T(A114*60,J114,I114,"","upper")</f>
        <v>4.6643474417385509</v>
      </c>
      <c r="L114">
        <f t="shared" si="35"/>
        <v>0.21439226225979172</v>
      </c>
    </row>
    <row r="115" spans="1:12" x14ac:dyDescent="0.3">
      <c r="A115">
        <v>192</v>
      </c>
      <c r="B115">
        <f t="shared" si="32"/>
        <v>5.599798378937676E-2</v>
      </c>
      <c r="C115">
        <f t="shared" si="28"/>
        <v>5.599798378937676E-2</v>
      </c>
      <c r="D115" t="s">
        <v>25</v>
      </c>
      <c r="E115" t="s">
        <v>21</v>
      </c>
      <c r="F115">
        <v>1</v>
      </c>
      <c r="G115">
        <f t="shared" si="33"/>
        <v>110</v>
      </c>
      <c r="I115">
        <v>2030</v>
      </c>
      <c r="J115">
        <f t="shared" si="34"/>
        <v>112.5</v>
      </c>
      <c r="K115" cm="1">
        <f t="array" ref="K115">STOWA2019_JAARROND_T(A115*60,J115,I115,"","upper")</f>
        <v>6.3133593565172932</v>
      </c>
      <c r="L115">
        <f t="shared" si="35"/>
        <v>0.15839427847041496</v>
      </c>
    </row>
    <row r="116" spans="1:12" x14ac:dyDescent="0.3">
      <c r="A116">
        <v>192</v>
      </c>
      <c r="B116">
        <f t="shared" si="32"/>
        <v>4.1421228809238597E-2</v>
      </c>
      <c r="C116">
        <f t="shared" si="28"/>
        <v>4.1421228809238597E-2</v>
      </c>
      <c r="D116" t="s">
        <v>25</v>
      </c>
      <c r="E116" t="s">
        <v>21</v>
      </c>
      <c r="F116">
        <v>1</v>
      </c>
      <c r="G116">
        <f t="shared" si="33"/>
        <v>115</v>
      </c>
      <c r="I116">
        <v>2030</v>
      </c>
      <c r="J116">
        <f t="shared" si="34"/>
        <v>117.5</v>
      </c>
      <c r="K116" cm="1">
        <f t="array" ref="K116">STOWA2019_JAARROND_T(A116*60,J116,I116,"","upper")</f>
        <v>8.5489777593778715</v>
      </c>
      <c r="L116">
        <f t="shared" si="35"/>
        <v>0.11697304966117636</v>
      </c>
    </row>
    <row r="117" spans="1:12" x14ac:dyDescent="0.3">
      <c r="A117">
        <v>192</v>
      </c>
      <c r="B117">
        <f t="shared" si="32"/>
        <v>3.06244076276386E-2</v>
      </c>
      <c r="C117">
        <f t="shared" si="28"/>
        <v>3.06244076276386E-2</v>
      </c>
      <c r="D117" t="s">
        <v>25</v>
      </c>
      <c r="E117" t="s">
        <v>21</v>
      </c>
      <c r="F117">
        <v>1</v>
      </c>
      <c r="G117">
        <f t="shared" si="33"/>
        <v>120</v>
      </c>
      <c r="I117">
        <v>2030</v>
      </c>
      <c r="J117">
        <f t="shared" si="34"/>
        <v>122.5</v>
      </c>
      <c r="K117" cm="1">
        <f t="array" ref="K117">STOWA2019_JAARROND_T(A117*60,J117,I117,"","upper")</f>
        <v>11.580958037667815</v>
      </c>
      <c r="L117">
        <f t="shared" si="35"/>
        <v>8.6348642033537759E-2</v>
      </c>
    </row>
    <row r="118" spans="1:12" x14ac:dyDescent="0.3">
      <c r="A118">
        <v>192</v>
      </c>
      <c r="B118">
        <f t="shared" si="32"/>
        <v>2.263301665819567E-2</v>
      </c>
      <c r="C118">
        <f t="shared" si="28"/>
        <v>2.263301665819567E-2</v>
      </c>
      <c r="D118" t="s">
        <v>25</v>
      </c>
      <c r="E118" t="s">
        <v>21</v>
      </c>
      <c r="F118">
        <v>1</v>
      </c>
      <c r="G118">
        <f t="shared" si="33"/>
        <v>125</v>
      </c>
      <c r="I118">
        <v>2030</v>
      </c>
      <c r="J118">
        <f t="shared" si="34"/>
        <v>127.5</v>
      </c>
      <c r="K118" cm="1">
        <f t="array" ref="K118">STOWA2019_JAARROND_T(A118*60,J118,I118,"","upper")</f>
        <v>15.694737265923461</v>
      </c>
      <c r="L118">
        <f t="shared" si="35"/>
        <v>6.3715625375342089E-2</v>
      </c>
    </row>
    <row r="119" spans="1:12" x14ac:dyDescent="0.3">
      <c r="A119">
        <v>192</v>
      </c>
      <c r="B119">
        <f t="shared" si="32"/>
        <v>1.6719983718108934E-2</v>
      </c>
      <c r="C119">
        <f t="shared" si="28"/>
        <v>1.6719983718108934E-2</v>
      </c>
      <c r="D119" t="s">
        <v>25</v>
      </c>
      <c r="E119" t="s">
        <v>21</v>
      </c>
      <c r="F119">
        <v>1</v>
      </c>
      <c r="G119">
        <f t="shared" si="33"/>
        <v>130</v>
      </c>
      <c r="I119">
        <v>2030</v>
      </c>
      <c r="J119">
        <f t="shared" si="34"/>
        <v>132.5</v>
      </c>
      <c r="K119" cm="1">
        <f t="array" ref="K119">STOWA2019_JAARROND_T(A119*60,J119,I119,"","upper")</f>
        <v>21.27856892121163</v>
      </c>
      <c r="L119">
        <f t="shared" si="35"/>
        <v>4.6995641657233155E-2</v>
      </c>
    </row>
    <row r="120" spans="1:12" x14ac:dyDescent="0.3">
      <c r="A120">
        <v>192</v>
      </c>
      <c r="B120">
        <f t="shared" si="32"/>
        <v>1.2346640904435463E-2</v>
      </c>
      <c r="C120">
        <f t="shared" si="28"/>
        <v>1.2346640904435463E-2</v>
      </c>
      <c r="D120" t="s">
        <v>25</v>
      </c>
      <c r="E120" t="s">
        <v>21</v>
      </c>
      <c r="F120">
        <v>1</v>
      </c>
      <c r="G120">
        <f t="shared" si="33"/>
        <v>135</v>
      </c>
      <c r="I120">
        <v>2030</v>
      </c>
      <c r="J120">
        <f t="shared" si="34"/>
        <v>137.5</v>
      </c>
      <c r="K120" cm="1">
        <f t="array" ref="K120">STOWA2019_JAARROND_T(A120*60,J120,I120,"","upper")</f>
        <v>28.860861158290582</v>
      </c>
      <c r="L120">
        <f t="shared" si="35"/>
        <v>3.4649000752797691E-2</v>
      </c>
    </row>
    <row r="121" spans="1:12" x14ac:dyDescent="0.3">
      <c r="A121">
        <v>192</v>
      </c>
      <c r="B121">
        <f t="shared" si="32"/>
        <v>9.1134328170328453E-3</v>
      </c>
      <c r="C121">
        <f t="shared" si="28"/>
        <v>9.1134328170328453E-3</v>
      </c>
      <c r="D121" t="s">
        <v>25</v>
      </c>
      <c r="E121" t="s">
        <v>21</v>
      </c>
      <c r="F121">
        <v>1</v>
      </c>
      <c r="G121">
        <f t="shared" si="33"/>
        <v>140</v>
      </c>
      <c r="I121">
        <v>2030</v>
      </c>
      <c r="J121">
        <f t="shared" si="34"/>
        <v>142.5</v>
      </c>
      <c r="K121" cm="1">
        <f t="array" ref="K121">STOWA2019_JAARROND_T(A121*60,J121,I121,"","upper")</f>
        <v>39.161063600211165</v>
      </c>
      <c r="L121">
        <f t="shared" si="35"/>
        <v>2.5535567935764846E-2</v>
      </c>
    </row>
    <row r="122" spans="1:12" x14ac:dyDescent="0.3">
      <c r="A122">
        <v>192</v>
      </c>
      <c r="B122">
        <f t="shared" si="32"/>
        <v>6.7241260869291067E-3</v>
      </c>
      <c r="C122">
        <f t="shared" si="28"/>
        <v>6.7241260869291067E-3</v>
      </c>
      <c r="D122" t="s">
        <v>25</v>
      </c>
      <c r="E122" t="s">
        <v>21</v>
      </c>
      <c r="F122">
        <v>1</v>
      </c>
      <c r="G122">
        <f t="shared" si="33"/>
        <v>145</v>
      </c>
      <c r="I122">
        <v>2030</v>
      </c>
      <c r="J122">
        <f t="shared" si="34"/>
        <v>147.5</v>
      </c>
      <c r="K122" cm="1">
        <f t="array" ref="K122">STOWA2019_JAARROND_T(A122*60,J122,I122,"","upper")</f>
        <v>53.159136233987887</v>
      </c>
      <c r="L122">
        <f t="shared" si="35"/>
        <v>1.8811441848835739E-2</v>
      </c>
    </row>
    <row r="123" spans="1:12" x14ac:dyDescent="0.3">
      <c r="A123">
        <v>192</v>
      </c>
      <c r="B123">
        <f t="shared" si="32"/>
        <v>4.9591081479241229E-3</v>
      </c>
      <c r="C123">
        <f t="shared" si="28"/>
        <v>4.9591081479241229E-3</v>
      </c>
      <c r="D123" t="s">
        <v>25</v>
      </c>
      <c r="E123" t="s">
        <v>21</v>
      </c>
      <c r="F123">
        <v>1</v>
      </c>
      <c r="G123">
        <f t="shared" si="33"/>
        <v>150</v>
      </c>
      <c r="I123">
        <v>2030</v>
      </c>
      <c r="J123">
        <f t="shared" si="34"/>
        <v>152.5</v>
      </c>
      <c r="K123" cm="1">
        <f t="array" ref="K123">STOWA2019_JAARROND_T(A123*60,J123,I123,"","upper")</f>
        <v>72.190002175170704</v>
      </c>
      <c r="L123">
        <f t="shared" si="35"/>
        <v>1.3852333700911617E-2</v>
      </c>
    </row>
    <row r="124" spans="1:12" x14ac:dyDescent="0.3">
      <c r="A124">
        <v>192</v>
      </c>
      <c r="B124">
        <f t="shared" si="32"/>
        <v>3.6560852809529309E-3</v>
      </c>
      <c r="C124">
        <f t="shared" si="28"/>
        <v>3.6560852809529309E-3</v>
      </c>
      <c r="D124" t="s">
        <v>25</v>
      </c>
      <c r="E124" t="s">
        <v>21</v>
      </c>
      <c r="F124">
        <v>1</v>
      </c>
      <c r="G124">
        <f t="shared" si="33"/>
        <v>155</v>
      </c>
      <c r="I124">
        <v>2030</v>
      </c>
      <c r="J124">
        <f t="shared" si="34"/>
        <v>157.5</v>
      </c>
      <c r="K124" cm="1">
        <f t="array" ref="K124">STOWA2019_JAARROND_T(A124*60,J124,I124,"","upper")</f>
        <v>98.075287969891562</v>
      </c>
      <c r="L124">
        <f t="shared" si="35"/>
        <v>1.0196248419958686E-2</v>
      </c>
    </row>
    <row r="125" spans="1:12" x14ac:dyDescent="0.3">
      <c r="A125">
        <v>192</v>
      </c>
      <c r="B125" s="1">
        <f>L124</f>
        <v>1.0196248419958686E-2</v>
      </c>
      <c r="C125">
        <f t="shared" si="28"/>
        <v>1.0196248419958686E-2</v>
      </c>
      <c r="D125" t="s">
        <v>25</v>
      </c>
      <c r="E125" t="s">
        <v>21</v>
      </c>
      <c r="F125">
        <v>1</v>
      </c>
      <c r="G125">
        <f t="shared" si="33"/>
        <v>160</v>
      </c>
      <c r="I125">
        <v>2030</v>
      </c>
      <c r="J125">
        <f>AVERAGE(G125:G126)</f>
        <v>85</v>
      </c>
      <c r="K125" cm="1">
        <f t="array" ref="K125">STOWA2019_JAARROND_T(A125*60,J125,I125,"","upper")</f>
        <v>1.2007475511170707</v>
      </c>
      <c r="L125">
        <f>1/K125</f>
        <v>0.83281452381034404</v>
      </c>
    </row>
    <row r="126" spans="1:12" x14ac:dyDescent="0.3">
      <c r="A126">
        <v>216</v>
      </c>
      <c r="B126" s="1">
        <f>365.25*24/A126 - L126</f>
        <v>-959.41666666666663</v>
      </c>
      <c r="C126">
        <f>B126</f>
        <v>-959.41666666666663</v>
      </c>
      <c r="D126" t="s">
        <v>25</v>
      </c>
      <c r="E126" t="s">
        <v>21</v>
      </c>
      <c r="F126">
        <v>1</v>
      </c>
      <c r="G126">
        <v>10</v>
      </c>
      <c r="I126">
        <v>2030</v>
      </c>
      <c r="J126">
        <f>AVERAGE(G126:G128)</f>
        <v>15</v>
      </c>
      <c r="K126" s="1">
        <v>1E-3</v>
      </c>
      <c r="L126">
        <f>1/K126</f>
        <v>1000</v>
      </c>
    </row>
    <row r="127" spans="1:12" x14ac:dyDescent="0.3">
      <c r="A127">
        <v>216</v>
      </c>
      <c r="B127">
        <f t="shared" ref="B127:B131" si="36">L126-L127</f>
        <v>956.37013706715879</v>
      </c>
      <c r="C127">
        <f t="shared" ref="C127:C156" si="37">B127</f>
        <v>956.37013706715879</v>
      </c>
      <c r="D127" t="s">
        <v>25</v>
      </c>
      <c r="E127" t="s">
        <v>21</v>
      </c>
      <c r="F127">
        <v>1</v>
      </c>
      <c r="G127">
        <f t="shared" ref="G127:G131" si="38">G126+5</f>
        <v>15</v>
      </c>
      <c r="I127">
        <v>2030</v>
      </c>
      <c r="J127">
        <f t="shared" ref="J127:J131" si="39">AVERAGE(G127:G128)</f>
        <v>17.5</v>
      </c>
      <c r="K127" cm="1">
        <f t="array" ref="K127">STOWA2019_JAARROND_T(A127*60,J127,I127,"","upper")</f>
        <v>2.2920081173284552E-2</v>
      </c>
      <c r="L127">
        <f t="shared" ref="L127:L131" si="40">1/K127</f>
        <v>43.629862932841242</v>
      </c>
    </row>
    <row r="128" spans="1:12" x14ac:dyDescent="0.3">
      <c r="A128">
        <v>216</v>
      </c>
      <c r="B128">
        <f t="shared" si="36"/>
        <v>8.2265778861019641</v>
      </c>
      <c r="C128">
        <f t="shared" si="37"/>
        <v>8.2265778861019641</v>
      </c>
      <c r="D128" t="s">
        <v>25</v>
      </c>
      <c r="E128" t="s">
        <v>21</v>
      </c>
      <c r="F128">
        <v>1</v>
      </c>
      <c r="G128">
        <f t="shared" si="38"/>
        <v>20</v>
      </c>
      <c r="I128">
        <v>2030</v>
      </c>
      <c r="J128">
        <f t="shared" si="39"/>
        <v>22.5</v>
      </c>
      <c r="K128" cm="1">
        <f t="array" ref="K128">STOWA2019_JAARROND_T(A128*60,J128,I128,"","upper")</f>
        <v>2.82459664033946E-2</v>
      </c>
      <c r="L128">
        <f t="shared" si="40"/>
        <v>35.403285046739278</v>
      </c>
    </row>
    <row r="129" spans="1:12" x14ac:dyDescent="0.3">
      <c r="A129">
        <v>216</v>
      </c>
      <c r="B129">
        <f t="shared" si="36"/>
        <v>7.9510317538665092</v>
      </c>
      <c r="C129">
        <f t="shared" si="37"/>
        <v>7.9510317538665092</v>
      </c>
      <c r="D129" t="s">
        <v>25</v>
      </c>
      <c r="E129" t="s">
        <v>21</v>
      </c>
      <c r="F129">
        <v>1</v>
      </c>
      <c r="G129">
        <f t="shared" si="38"/>
        <v>25</v>
      </c>
      <c r="I129">
        <v>2030</v>
      </c>
      <c r="J129">
        <f t="shared" si="39"/>
        <v>27.5</v>
      </c>
      <c r="K129" cm="1">
        <f t="array" ref="K129">STOWA2019_JAARROND_T(A129*60,J129,I129,"","upper")</f>
        <v>3.6426882315690377E-2</v>
      </c>
      <c r="L129">
        <f t="shared" si="40"/>
        <v>27.452253292872768</v>
      </c>
    </row>
    <row r="130" spans="1:12" x14ac:dyDescent="0.3">
      <c r="A130">
        <v>216</v>
      </c>
      <c r="B130">
        <f t="shared" si="36"/>
        <v>6.4418089934331597</v>
      </c>
      <c r="C130">
        <f t="shared" si="37"/>
        <v>6.4418089934331597</v>
      </c>
      <c r="D130" t="s">
        <v>25</v>
      </c>
      <c r="E130" t="s">
        <v>21</v>
      </c>
      <c r="F130">
        <v>1</v>
      </c>
      <c r="G130">
        <f t="shared" si="38"/>
        <v>30</v>
      </c>
      <c r="I130">
        <v>2030</v>
      </c>
      <c r="J130">
        <f t="shared" si="39"/>
        <v>32.5</v>
      </c>
      <c r="K130" cm="1">
        <f t="array" ref="K130">STOWA2019_JAARROND_T(A130*60,J130,I130,"","upper")</f>
        <v>4.7595376173300251E-2</v>
      </c>
      <c r="L130">
        <f t="shared" si="40"/>
        <v>21.010444299439609</v>
      </c>
    </row>
    <row r="131" spans="1:12" x14ac:dyDescent="0.3">
      <c r="A131">
        <v>216</v>
      </c>
      <c r="B131">
        <f t="shared" si="36"/>
        <v>5.0167953696197856</v>
      </c>
      <c r="C131">
        <f t="shared" si="37"/>
        <v>5.0167953696197856</v>
      </c>
      <c r="D131" t="s">
        <v>25</v>
      </c>
      <c r="E131" t="s">
        <v>21</v>
      </c>
      <c r="F131">
        <v>1</v>
      </c>
      <c r="G131">
        <f t="shared" si="38"/>
        <v>35</v>
      </c>
      <c r="I131">
        <v>2030</v>
      </c>
      <c r="J131">
        <f t="shared" si="39"/>
        <v>37.5</v>
      </c>
      <c r="K131" cm="1">
        <f t="array" ref="K131">STOWA2019_JAARROND_T(A131*60,J131,I131,"","upper")</f>
        <v>6.2524818719480638E-2</v>
      </c>
      <c r="L131">
        <f t="shared" si="40"/>
        <v>15.993648929819823</v>
      </c>
    </row>
    <row r="132" spans="1:12" x14ac:dyDescent="0.3">
      <c r="A132">
        <v>216</v>
      </c>
      <c r="B132">
        <f>L131-L132</f>
        <v>3.8565982781523545</v>
      </c>
      <c r="C132">
        <f t="shared" si="37"/>
        <v>3.8565982781523545</v>
      </c>
      <c r="D132" t="s">
        <v>25</v>
      </c>
      <c r="E132" t="s">
        <v>21</v>
      </c>
      <c r="F132">
        <v>1</v>
      </c>
      <c r="G132">
        <f>G131+5</f>
        <v>40</v>
      </c>
      <c r="I132">
        <v>2030</v>
      </c>
      <c r="J132">
        <f>AVERAGE(G132:G133)</f>
        <v>42.5</v>
      </c>
      <c r="K132" cm="1">
        <f t="array" ref="K132">STOWA2019_JAARROND_T(A132*60,J132,I132,"","upper")</f>
        <v>8.2392339679542598E-2</v>
      </c>
      <c r="L132">
        <f>1/K132</f>
        <v>12.137050651667469</v>
      </c>
    </row>
    <row r="133" spans="1:12" x14ac:dyDescent="0.3">
      <c r="A133">
        <v>216</v>
      </c>
      <c r="B133">
        <f t="shared" ref="B133:B155" si="41">L132-L133</f>
        <v>2.9470068433571903</v>
      </c>
      <c r="C133">
        <f t="shared" si="37"/>
        <v>2.9470068433571903</v>
      </c>
      <c r="D133" t="s">
        <v>25</v>
      </c>
      <c r="E133" t="s">
        <v>21</v>
      </c>
      <c r="F133">
        <v>1</v>
      </c>
      <c r="G133">
        <f t="shared" ref="G133:G156" si="42">G132+5</f>
        <v>45</v>
      </c>
      <c r="I133">
        <v>2030</v>
      </c>
      <c r="J133">
        <f t="shared" ref="J133:J155" si="43">AVERAGE(G133:G134)</f>
        <v>47.5</v>
      </c>
      <c r="K133" cm="1">
        <f t="array" ref="K133">STOWA2019_JAARROND_T(A133*60,J133,I133,"","upper")</f>
        <v>0.10881340947425411</v>
      </c>
      <c r="L133">
        <f t="shared" ref="L133:L155" si="44">1/K133</f>
        <v>9.1900438083102785</v>
      </c>
    </row>
    <row r="134" spans="1:12" x14ac:dyDescent="0.3">
      <c r="A134">
        <v>216</v>
      </c>
      <c r="B134">
        <f t="shared" si="41"/>
        <v>2.2440037882300272</v>
      </c>
      <c r="C134">
        <f t="shared" si="37"/>
        <v>2.2440037882300272</v>
      </c>
      <c r="D134" t="s">
        <v>25</v>
      </c>
      <c r="E134" t="s">
        <v>21</v>
      </c>
      <c r="F134">
        <v>1</v>
      </c>
      <c r="G134">
        <f t="shared" si="42"/>
        <v>50</v>
      </c>
      <c r="I134">
        <v>2030</v>
      </c>
      <c r="J134">
        <f t="shared" si="43"/>
        <v>52.5</v>
      </c>
      <c r="K134" cm="1">
        <f t="array" ref="K134">STOWA2019_JAARROND_T(A134*60,J134,I134,"","upper")</f>
        <v>0.14396692174377171</v>
      </c>
      <c r="L134">
        <f t="shared" si="44"/>
        <v>6.9460400200802512</v>
      </c>
    </row>
    <row r="135" spans="1:12" x14ac:dyDescent="0.3">
      <c r="A135">
        <v>216</v>
      </c>
      <c r="B135">
        <f t="shared" si="41"/>
        <v>1.7045161554709649</v>
      </c>
      <c r="C135">
        <f t="shared" si="37"/>
        <v>1.7045161554709649</v>
      </c>
      <c r="D135" t="s">
        <v>25</v>
      </c>
      <c r="E135" t="s">
        <v>21</v>
      </c>
      <c r="F135">
        <v>1</v>
      </c>
      <c r="G135">
        <f t="shared" si="42"/>
        <v>55</v>
      </c>
      <c r="I135">
        <v>2030</v>
      </c>
      <c r="J135">
        <f t="shared" si="43"/>
        <v>57.5</v>
      </c>
      <c r="K135" cm="1">
        <f t="array" ref="K135">STOWA2019_JAARROND_T(A135*60,J135,I135,"","upper")</f>
        <v>0.19078421196400333</v>
      </c>
      <c r="L135">
        <f t="shared" si="44"/>
        <v>5.2415238646092863</v>
      </c>
    </row>
    <row r="136" spans="1:12" x14ac:dyDescent="0.3">
      <c r="A136">
        <v>216</v>
      </c>
      <c r="B136">
        <f t="shared" si="41"/>
        <v>1.2920464610440607</v>
      </c>
      <c r="C136">
        <f t="shared" si="37"/>
        <v>1.2920464610440607</v>
      </c>
      <c r="D136" t="s">
        <v>25</v>
      </c>
      <c r="E136" t="s">
        <v>21</v>
      </c>
      <c r="F136">
        <v>1</v>
      </c>
      <c r="G136">
        <f t="shared" si="42"/>
        <v>60</v>
      </c>
      <c r="I136">
        <v>2030</v>
      </c>
      <c r="J136">
        <f t="shared" si="43"/>
        <v>62.5</v>
      </c>
      <c r="K136" cm="1">
        <f t="array" ref="K136">STOWA2019_JAARROND_T(A136*60,J136,I136,"","upper")</f>
        <v>0.25319805579778526</v>
      </c>
      <c r="L136">
        <f t="shared" si="44"/>
        <v>3.9494774035652256</v>
      </c>
    </row>
    <row r="137" spans="1:12" x14ac:dyDescent="0.3">
      <c r="A137">
        <v>216</v>
      </c>
      <c r="B137">
        <f t="shared" si="41"/>
        <v>0.97779833038734587</v>
      </c>
      <c r="C137">
        <f t="shared" si="37"/>
        <v>0.97779833038734587</v>
      </c>
      <c r="D137" t="s">
        <v>25</v>
      </c>
      <c r="E137" t="s">
        <v>21</v>
      </c>
      <c r="F137">
        <v>1</v>
      </c>
      <c r="G137">
        <f t="shared" si="42"/>
        <v>65</v>
      </c>
      <c r="I137">
        <v>2030</v>
      </c>
      <c r="J137">
        <f t="shared" si="43"/>
        <v>67.5</v>
      </c>
      <c r="K137" cm="1">
        <f t="array" ref="K137">STOWA2019_JAARROND_T(A137*60,J137,I137,"","upper")</f>
        <v>0.33651009256884912</v>
      </c>
      <c r="L137">
        <f t="shared" si="44"/>
        <v>2.9716790731778797</v>
      </c>
    </row>
    <row r="138" spans="1:12" x14ac:dyDescent="0.3">
      <c r="A138">
        <v>216</v>
      </c>
      <c r="B138">
        <f t="shared" si="41"/>
        <v>0.73879054567858482</v>
      </c>
      <c r="C138">
        <f t="shared" si="37"/>
        <v>0.73879054567858482</v>
      </c>
      <c r="D138" t="s">
        <v>25</v>
      </c>
      <c r="E138" t="s">
        <v>21</v>
      </c>
      <c r="F138">
        <v>1</v>
      </c>
      <c r="G138">
        <f t="shared" si="42"/>
        <v>70</v>
      </c>
      <c r="I138">
        <v>2030</v>
      </c>
      <c r="J138">
        <f t="shared" si="43"/>
        <v>72.5</v>
      </c>
      <c r="K138" cm="1">
        <f t="array" ref="K138">STOWA2019_JAARROND_T(A138*60,J138,I138,"","upper")</f>
        <v>0.44785039095522688</v>
      </c>
      <c r="L138">
        <f t="shared" si="44"/>
        <v>2.2328885274992949</v>
      </c>
    </row>
    <row r="139" spans="1:12" x14ac:dyDescent="0.3">
      <c r="A139">
        <v>216</v>
      </c>
      <c r="B139">
        <f t="shared" si="41"/>
        <v>0.55739815041435037</v>
      </c>
      <c r="C139">
        <f t="shared" si="37"/>
        <v>0.55739815041435037</v>
      </c>
      <c r="D139" t="s">
        <v>25</v>
      </c>
      <c r="E139" t="s">
        <v>21</v>
      </c>
      <c r="F139">
        <v>1</v>
      </c>
      <c r="G139">
        <f t="shared" si="42"/>
        <v>75</v>
      </c>
      <c r="I139">
        <v>2030</v>
      </c>
      <c r="J139">
        <f t="shared" si="43"/>
        <v>77.5</v>
      </c>
      <c r="K139" cm="1">
        <f t="array" ref="K139">STOWA2019_JAARROND_T(A139*60,J139,I139,"","upper")</f>
        <v>0.5968401929826791</v>
      </c>
      <c r="L139">
        <f t="shared" si="44"/>
        <v>1.6754903770849445</v>
      </c>
    </row>
    <row r="140" spans="1:12" x14ac:dyDescent="0.3">
      <c r="A140">
        <v>216</v>
      </c>
      <c r="B140">
        <f t="shared" si="41"/>
        <v>0.41994408455883625</v>
      </c>
      <c r="C140">
        <f t="shared" si="37"/>
        <v>0.41994408455883625</v>
      </c>
      <c r="D140" t="s">
        <v>25</v>
      </c>
      <c r="E140" t="s">
        <v>21</v>
      </c>
      <c r="F140">
        <v>1</v>
      </c>
      <c r="G140">
        <f t="shared" si="42"/>
        <v>80</v>
      </c>
      <c r="I140">
        <v>2030</v>
      </c>
      <c r="J140">
        <f t="shared" si="43"/>
        <v>82.5</v>
      </c>
      <c r="K140" cm="1">
        <f t="array" ref="K140">STOWA2019_JAARROND_T(A140*60,J140,I140,"","upper")</f>
        <v>0.79646605302624129</v>
      </c>
      <c r="L140">
        <f t="shared" si="44"/>
        <v>1.2555462925261083</v>
      </c>
    </row>
    <row r="141" spans="1:12" x14ac:dyDescent="0.3">
      <c r="A141">
        <v>216</v>
      </c>
      <c r="B141">
        <f t="shared" si="41"/>
        <v>0.31586593739161162</v>
      </c>
      <c r="C141">
        <f t="shared" si="37"/>
        <v>0.31586593739161162</v>
      </c>
      <c r="D141" t="s">
        <v>25</v>
      </c>
      <c r="E141" t="s">
        <v>21</v>
      </c>
      <c r="F141">
        <v>1</v>
      </c>
      <c r="G141">
        <f t="shared" si="42"/>
        <v>85</v>
      </c>
      <c r="I141">
        <v>2030</v>
      </c>
      <c r="J141">
        <f t="shared" si="43"/>
        <v>87.5</v>
      </c>
      <c r="K141" cm="1">
        <f t="array" ref="K141">STOWA2019_JAARROND_T(A141*60,J141,I141,"","upper")</f>
        <v>1.0641916631926074</v>
      </c>
      <c r="L141">
        <f t="shared" si="44"/>
        <v>0.93968035513449666</v>
      </c>
    </row>
    <row r="142" spans="1:12" x14ac:dyDescent="0.3">
      <c r="A142">
        <v>216</v>
      </c>
      <c r="B142">
        <f t="shared" si="41"/>
        <v>0.23740252447524124</v>
      </c>
      <c r="C142">
        <f t="shared" si="37"/>
        <v>0.23740252447524124</v>
      </c>
      <c r="D142" t="s">
        <v>25</v>
      </c>
      <c r="E142" t="s">
        <v>21</v>
      </c>
      <c r="F142">
        <v>1</v>
      </c>
      <c r="G142">
        <f t="shared" si="42"/>
        <v>90</v>
      </c>
      <c r="I142">
        <v>2030</v>
      </c>
      <c r="J142">
        <f t="shared" si="43"/>
        <v>92.5</v>
      </c>
      <c r="K142" cm="1">
        <f t="array" ref="K142">STOWA2019_JAARROND_T(A142*60,J142,I142,"","upper")</f>
        <v>1.4239378723677796</v>
      </c>
      <c r="L142">
        <f t="shared" si="44"/>
        <v>0.70227783065925542</v>
      </c>
    </row>
    <row r="143" spans="1:12" x14ac:dyDescent="0.3">
      <c r="A143">
        <v>216</v>
      </c>
      <c r="B143">
        <f t="shared" si="41"/>
        <v>0.17812567801953638</v>
      </c>
      <c r="C143">
        <f t="shared" si="37"/>
        <v>0.17812567801953638</v>
      </c>
      <c r="D143" t="s">
        <v>25</v>
      </c>
      <c r="E143" t="s">
        <v>21</v>
      </c>
      <c r="F143">
        <v>1</v>
      </c>
      <c r="G143">
        <f t="shared" si="42"/>
        <v>95</v>
      </c>
      <c r="I143">
        <v>2030</v>
      </c>
      <c r="J143">
        <f t="shared" si="43"/>
        <v>97.5</v>
      </c>
      <c r="K143" cm="1">
        <f t="array" ref="K143">STOWA2019_JAARROND_T(A143*60,J143,I143,"","upper")</f>
        <v>1.9078429707172442</v>
      </c>
      <c r="L143">
        <f t="shared" si="44"/>
        <v>0.52415215263971904</v>
      </c>
    </row>
    <row r="144" spans="1:12" x14ac:dyDescent="0.3">
      <c r="A144">
        <v>216</v>
      </c>
      <c r="B144">
        <f t="shared" si="41"/>
        <v>0.13346740394995155</v>
      </c>
      <c r="C144">
        <f t="shared" si="37"/>
        <v>0.13346740394995155</v>
      </c>
      <c r="D144" t="s">
        <v>25</v>
      </c>
      <c r="E144" t="s">
        <v>21</v>
      </c>
      <c r="F144">
        <v>1</v>
      </c>
      <c r="G144">
        <f t="shared" si="42"/>
        <v>100</v>
      </c>
      <c r="I144">
        <v>2030</v>
      </c>
      <c r="J144">
        <f t="shared" si="43"/>
        <v>102.5</v>
      </c>
      <c r="K144" cm="1">
        <f t="array" ref="K144">STOWA2019_JAARROND_T(A144*60,J144,I144,"","upper")</f>
        <v>2.5596084908706631</v>
      </c>
      <c r="L144">
        <f t="shared" si="44"/>
        <v>0.39068474868976749</v>
      </c>
    </row>
    <row r="145" spans="1:12" x14ac:dyDescent="0.3">
      <c r="A145">
        <v>216</v>
      </c>
      <c r="B145">
        <f t="shared" si="41"/>
        <v>9.9877804863657882E-2</v>
      </c>
      <c r="C145">
        <f t="shared" si="37"/>
        <v>9.9877804863657882E-2</v>
      </c>
      <c r="D145" t="s">
        <v>25</v>
      </c>
      <c r="E145" t="s">
        <v>21</v>
      </c>
      <c r="F145">
        <v>1</v>
      </c>
      <c r="G145">
        <f t="shared" si="42"/>
        <v>105</v>
      </c>
      <c r="I145">
        <v>2030</v>
      </c>
      <c r="J145">
        <f t="shared" si="43"/>
        <v>107.5</v>
      </c>
      <c r="K145" cm="1">
        <f t="array" ref="K145">STOWA2019_JAARROND_T(A145*60,J145,I145,"","upper")</f>
        <v>3.4387074353972724</v>
      </c>
      <c r="L145">
        <f t="shared" si="44"/>
        <v>0.29080694382610961</v>
      </c>
    </row>
    <row r="146" spans="1:12" x14ac:dyDescent="0.3">
      <c r="A146">
        <v>216</v>
      </c>
      <c r="B146">
        <f t="shared" si="41"/>
        <v>7.4636254209838632E-2</v>
      </c>
      <c r="C146">
        <f t="shared" si="37"/>
        <v>7.4636254209838632E-2</v>
      </c>
      <c r="D146" t="s">
        <v>25</v>
      </c>
      <c r="E146" t="s">
        <v>21</v>
      </c>
      <c r="F146">
        <v>1</v>
      </c>
      <c r="G146">
        <f t="shared" si="42"/>
        <v>110</v>
      </c>
      <c r="I146">
        <v>2030</v>
      </c>
      <c r="J146">
        <f t="shared" si="43"/>
        <v>112.5</v>
      </c>
      <c r="K146" cm="1">
        <f t="array" ref="K146">STOWA2019_JAARROND_T(A146*60,J146,I146,"","upper")</f>
        <v>4.6259740475229112</v>
      </c>
      <c r="L146">
        <f t="shared" si="44"/>
        <v>0.21617068961627098</v>
      </c>
    </row>
    <row r="147" spans="1:12" x14ac:dyDescent="0.3">
      <c r="A147">
        <v>216</v>
      </c>
      <c r="B147">
        <f t="shared" si="41"/>
        <v>5.5701208168544236E-2</v>
      </c>
      <c r="C147">
        <f t="shared" si="37"/>
        <v>5.5701208168544236E-2</v>
      </c>
      <c r="D147" t="s">
        <v>25</v>
      </c>
      <c r="E147" t="s">
        <v>21</v>
      </c>
      <c r="F147">
        <v>1</v>
      </c>
      <c r="G147">
        <f t="shared" si="42"/>
        <v>115</v>
      </c>
      <c r="I147">
        <v>2030</v>
      </c>
      <c r="J147">
        <f t="shared" si="43"/>
        <v>117.5</v>
      </c>
      <c r="K147" cm="1">
        <f t="array" ref="K147">STOWA2019_JAARROND_T(A147*60,J147,I147,"","upper")</f>
        <v>6.2317145352386021</v>
      </c>
      <c r="L147">
        <f t="shared" si="44"/>
        <v>0.16046948144772674</v>
      </c>
    </row>
    <row r="148" spans="1:12" x14ac:dyDescent="0.3">
      <c r="A148">
        <v>216</v>
      </c>
      <c r="B148">
        <f t="shared" si="41"/>
        <v>4.1511335822655301E-2</v>
      </c>
      <c r="C148">
        <f t="shared" si="37"/>
        <v>4.1511335822655301E-2</v>
      </c>
      <c r="D148" t="s">
        <v>25</v>
      </c>
      <c r="E148" t="s">
        <v>21</v>
      </c>
      <c r="F148">
        <v>1</v>
      </c>
      <c r="G148">
        <f t="shared" si="42"/>
        <v>120</v>
      </c>
      <c r="I148">
        <v>2030</v>
      </c>
      <c r="J148">
        <f t="shared" si="43"/>
        <v>122.5</v>
      </c>
      <c r="K148" cm="1">
        <f t="array" ref="K148">STOWA2019_JAARROND_T(A148*60,J148,I148,"","upper")</f>
        <v>8.4063179931517151</v>
      </c>
      <c r="L148">
        <f t="shared" si="44"/>
        <v>0.11895814562507144</v>
      </c>
    </row>
    <row r="149" spans="1:12" x14ac:dyDescent="0.3">
      <c r="A149">
        <v>216</v>
      </c>
      <c r="B149">
        <f t="shared" si="41"/>
        <v>3.0894922765273253E-2</v>
      </c>
      <c r="C149">
        <f t="shared" si="37"/>
        <v>3.0894922765273253E-2</v>
      </c>
      <c r="D149" t="s">
        <v>25</v>
      </c>
      <c r="E149" t="s">
        <v>21</v>
      </c>
      <c r="F149">
        <v>1</v>
      </c>
      <c r="G149">
        <f t="shared" si="42"/>
        <v>125</v>
      </c>
      <c r="I149">
        <v>2030</v>
      </c>
      <c r="J149">
        <f t="shared" si="43"/>
        <v>127.5</v>
      </c>
      <c r="K149" cm="1">
        <f t="array" ref="K149">STOWA2019_JAARROND_T(A149*60,J149,I149,"","upper")</f>
        <v>11.355478115899285</v>
      </c>
      <c r="L149">
        <f t="shared" si="44"/>
        <v>8.8063222859798188E-2</v>
      </c>
    </row>
    <row r="150" spans="1:12" x14ac:dyDescent="0.3">
      <c r="A150">
        <v>216</v>
      </c>
      <c r="B150">
        <f t="shared" si="41"/>
        <v>2.2962012057240203E-2</v>
      </c>
      <c r="C150">
        <f t="shared" si="37"/>
        <v>2.2962012057240203E-2</v>
      </c>
      <c r="D150" t="s">
        <v>25</v>
      </c>
      <c r="E150" t="s">
        <v>21</v>
      </c>
      <c r="F150">
        <v>1</v>
      </c>
      <c r="G150">
        <f t="shared" si="42"/>
        <v>130</v>
      </c>
      <c r="I150">
        <v>2030</v>
      </c>
      <c r="J150">
        <f t="shared" si="43"/>
        <v>132.5</v>
      </c>
      <c r="K150" cm="1">
        <f t="array" ref="K150">STOWA2019_JAARROND_T(A150*60,J150,I150,"","upper")</f>
        <v>15.360697407500563</v>
      </c>
      <c r="L150">
        <f t="shared" si="44"/>
        <v>6.5101210802557985E-2</v>
      </c>
    </row>
    <row r="151" spans="1:12" x14ac:dyDescent="0.3">
      <c r="A151">
        <v>216</v>
      </c>
      <c r="B151">
        <f t="shared" si="41"/>
        <v>1.7042726931961877E-2</v>
      </c>
      <c r="C151">
        <f t="shared" si="37"/>
        <v>1.7042726931961877E-2</v>
      </c>
      <c r="D151" t="s">
        <v>25</v>
      </c>
      <c r="E151" t="s">
        <v>21</v>
      </c>
      <c r="F151">
        <v>1</v>
      </c>
      <c r="G151">
        <f t="shared" si="42"/>
        <v>135</v>
      </c>
      <c r="I151">
        <v>2030</v>
      </c>
      <c r="J151">
        <f t="shared" si="43"/>
        <v>137.5</v>
      </c>
      <c r="K151" cm="1">
        <f t="array" ref="K151">STOWA2019_JAARROND_T(A151*60,J151,I151,"","upper")</f>
        <v>20.807980599068287</v>
      </c>
      <c r="L151">
        <f t="shared" si="44"/>
        <v>4.8058483870596108E-2</v>
      </c>
    </row>
    <row r="152" spans="1:12" x14ac:dyDescent="0.3">
      <c r="A152">
        <v>216</v>
      </c>
      <c r="B152">
        <f t="shared" si="41"/>
        <v>1.2631172643759465E-2</v>
      </c>
      <c r="C152">
        <f t="shared" si="37"/>
        <v>1.2631172643759465E-2</v>
      </c>
      <c r="D152" t="s">
        <v>25</v>
      </c>
      <c r="E152" t="s">
        <v>21</v>
      </c>
      <c r="F152">
        <v>1</v>
      </c>
      <c r="G152">
        <f t="shared" si="42"/>
        <v>140</v>
      </c>
      <c r="I152">
        <v>2030</v>
      </c>
      <c r="J152">
        <f t="shared" si="43"/>
        <v>142.5</v>
      </c>
      <c r="K152" cm="1">
        <f t="array" ref="K152">STOWA2019_JAARROND_T(A152*60,J152,I152,"","upper")</f>
        <v>28.226810485196719</v>
      </c>
      <c r="L152">
        <f t="shared" si="44"/>
        <v>3.5427311226836643E-2</v>
      </c>
    </row>
    <row r="153" spans="1:12" x14ac:dyDescent="0.3">
      <c r="A153">
        <v>216</v>
      </c>
      <c r="B153">
        <f t="shared" si="41"/>
        <v>9.3486384909505782E-3</v>
      </c>
      <c r="C153">
        <f t="shared" si="37"/>
        <v>9.3486384909505782E-3</v>
      </c>
      <c r="D153" t="s">
        <v>25</v>
      </c>
      <c r="E153" t="s">
        <v>21</v>
      </c>
      <c r="F153">
        <v>1</v>
      </c>
      <c r="G153">
        <f t="shared" si="42"/>
        <v>145</v>
      </c>
      <c r="I153">
        <v>2030</v>
      </c>
      <c r="J153">
        <f t="shared" si="43"/>
        <v>147.5</v>
      </c>
      <c r="K153" cm="1">
        <f t="array" ref="K153">STOWA2019_JAARROND_T(A153*60,J153,I153,"","upper")</f>
        <v>38.34550976299996</v>
      </c>
      <c r="L153">
        <f t="shared" si="44"/>
        <v>2.6078672735886065E-2</v>
      </c>
    </row>
    <row r="154" spans="1:12" x14ac:dyDescent="0.3">
      <c r="A154">
        <v>216</v>
      </c>
      <c r="B154">
        <f t="shared" si="41"/>
        <v>6.9094689862648564E-3</v>
      </c>
      <c r="C154">
        <f t="shared" si="37"/>
        <v>6.9094689862648564E-3</v>
      </c>
      <c r="D154" t="s">
        <v>25</v>
      </c>
      <c r="E154" t="s">
        <v>21</v>
      </c>
      <c r="F154">
        <v>1</v>
      </c>
      <c r="G154">
        <f t="shared" si="42"/>
        <v>150</v>
      </c>
      <c r="I154">
        <v>2030</v>
      </c>
      <c r="J154">
        <f t="shared" si="43"/>
        <v>152.5</v>
      </c>
      <c r="K154" cm="1">
        <f t="array" ref="K154">STOWA2019_JAARROND_T(A154*60,J154,I154,"","upper")</f>
        <v>52.167007720378599</v>
      </c>
      <c r="L154">
        <f t="shared" si="44"/>
        <v>1.9169203749621208E-2</v>
      </c>
    </row>
    <row r="155" spans="1:12" x14ac:dyDescent="0.3">
      <c r="A155">
        <v>216</v>
      </c>
      <c r="B155">
        <f t="shared" si="41"/>
        <v>5.0992214238146892E-3</v>
      </c>
      <c r="C155">
        <f t="shared" si="37"/>
        <v>5.0992214238146892E-3</v>
      </c>
      <c r="D155" t="s">
        <v>25</v>
      </c>
      <c r="E155" t="s">
        <v>21</v>
      </c>
      <c r="F155">
        <v>1</v>
      </c>
      <c r="G155">
        <f t="shared" si="42"/>
        <v>155</v>
      </c>
      <c r="I155">
        <v>2030</v>
      </c>
      <c r="J155">
        <f t="shared" si="43"/>
        <v>157.5</v>
      </c>
      <c r="K155" cm="1">
        <f t="array" ref="K155">STOWA2019_JAARROND_T(A155*60,J155,I155,"","upper")</f>
        <v>71.073294681106006</v>
      </c>
      <c r="L155">
        <f t="shared" si="44"/>
        <v>1.4069982325806519E-2</v>
      </c>
    </row>
    <row r="156" spans="1:12" x14ac:dyDescent="0.3">
      <c r="A156">
        <v>216</v>
      </c>
      <c r="B156" s="1">
        <f>L155</f>
        <v>1.4069982325806519E-2</v>
      </c>
      <c r="C156">
        <f t="shared" si="37"/>
        <v>1.4069982325806519E-2</v>
      </c>
      <c r="D156" t="s">
        <v>25</v>
      </c>
      <c r="E156" t="s">
        <v>21</v>
      </c>
      <c r="F156">
        <v>1</v>
      </c>
      <c r="G156">
        <f t="shared" si="42"/>
        <v>160</v>
      </c>
      <c r="I156">
        <v>2030</v>
      </c>
      <c r="J156">
        <f>AVERAGE(G156:G157)</f>
        <v>160</v>
      </c>
      <c r="K156" cm="1">
        <f t="array" ref="K156">STOWA2019_JAARROND_T(A156*60,J156,I156,"","upper")</f>
        <v>83.004247300720778</v>
      </c>
      <c r="L156">
        <f>1/K156</f>
        <v>1.2047576268923246E-2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AFF83-B249-4308-BF01-EC5D8CE368CB}">
  <sheetPr codeName="Blad6"/>
  <dimension ref="A1:L156"/>
  <sheetViews>
    <sheetView workbookViewId="0">
      <selection activeCell="K18" sqref="K18"/>
    </sheetView>
  </sheetViews>
  <sheetFormatPr defaultRowHeight="14.4" x14ac:dyDescent="0.3"/>
  <cols>
    <col min="4" max="4" width="22.77734375" bestFit="1" customWidth="1"/>
    <col min="11" max="11" width="13.5546875" bestFit="1" customWidth="1"/>
  </cols>
  <sheetData>
    <row r="1" spans="1:12" x14ac:dyDescent="0.3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20</v>
      </c>
      <c r="G1" t="s">
        <v>1</v>
      </c>
      <c r="I1" t="s">
        <v>4</v>
      </c>
      <c r="J1" t="s">
        <v>13</v>
      </c>
      <c r="K1" t="s">
        <v>2</v>
      </c>
      <c r="L1" t="s">
        <v>3</v>
      </c>
    </row>
    <row r="2" spans="1:12" x14ac:dyDescent="0.3">
      <c r="A2">
        <v>24</v>
      </c>
      <c r="B2" s="1">
        <f>365.25*24/A2 - L2</f>
        <v>358.31579169701172</v>
      </c>
      <c r="C2">
        <f>B2</f>
        <v>358.31579169701172</v>
      </c>
      <c r="D2" t="s">
        <v>25</v>
      </c>
      <c r="E2" t="s">
        <v>19</v>
      </c>
      <c r="F2">
        <v>1</v>
      </c>
      <c r="G2">
        <v>10</v>
      </c>
      <c r="I2">
        <v>2030</v>
      </c>
      <c r="J2">
        <f>AVERAGE(G2:G4)</f>
        <v>15</v>
      </c>
      <c r="K2" cm="1">
        <f t="array" ref="K2">STOWA2019_NDJF_T(A2*60,J2,I2,"","upper")</f>
        <v>0.14421256995828291</v>
      </c>
      <c r="L2">
        <f>1/K2</f>
        <v>6.9342083029882557</v>
      </c>
    </row>
    <row r="3" spans="1:12" x14ac:dyDescent="0.3">
      <c r="A3">
        <v>24</v>
      </c>
      <c r="B3">
        <f t="shared" ref="B3:B7" si="0">L2-L3</f>
        <v>2.5523142208107918</v>
      </c>
      <c r="C3">
        <f t="shared" ref="C3:C32" si="1">B3</f>
        <v>2.5523142208107918</v>
      </c>
      <c r="D3" t="s">
        <v>25</v>
      </c>
      <c r="E3" t="s">
        <v>19</v>
      </c>
      <c r="F3">
        <v>1</v>
      </c>
      <c r="G3">
        <f t="shared" ref="G3:G7" si="2">G2+5</f>
        <v>15</v>
      </c>
      <c r="I3">
        <v>2030</v>
      </c>
      <c r="J3">
        <f t="shared" ref="J3:J7" si="3">AVERAGE(G3:G4)</f>
        <v>17.5</v>
      </c>
      <c r="K3" cm="1">
        <f t="array" ref="K3">STOWA2019_NDJF_T(A3*60,J3,I3,"","upper")</f>
        <v>0.2282118146276774</v>
      </c>
      <c r="L3">
        <f t="shared" ref="L3:L7" si="4">1/K3</f>
        <v>4.3818940821774639</v>
      </c>
    </row>
    <row r="4" spans="1:12" x14ac:dyDescent="0.3">
      <c r="A4">
        <v>24</v>
      </c>
      <c r="B4">
        <f t="shared" si="0"/>
        <v>2.5539287503110866</v>
      </c>
      <c r="C4">
        <f t="shared" si="1"/>
        <v>2.5539287503110866</v>
      </c>
      <c r="D4" t="s">
        <v>25</v>
      </c>
      <c r="E4" t="s">
        <v>19</v>
      </c>
      <c r="F4">
        <v>1</v>
      </c>
      <c r="G4">
        <f t="shared" si="2"/>
        <v>20</v>
      </c>
      <c r="I4">
        <v>2030</v>
      </c>
      <c r="J4">
        <f t="shared" si="3"/>
        <v>22.5</v>
      </c>
      <c r="K4" cm="1">
        <f t="array" ref="K4">STOWA2019_NDJF_T(A4*60,J4,I4,"","upper")</f>
        <v>0.54705632681719762</v>
      </c>
      <c r="L4">
        <f t="shared" si="4"/>
        <v>1.8279653318663773</v>
      </c>
    </row>
    <row r="5" spans="1:12" x14ac:dyDescent="0.3">
      <c r="A5">
        <v>24</v>
      </c>
      <c r="B5">
        <f t="shared" si="0"/>
        <v>1.0241945772937915</v>
      </c>
      <c r="C5">
        <f t="shared" si="1"/>
        <v>1.0241945772937915</v>
      </c>
      <c r="D5" t="s">
        <v>25</v>
      </c>
      <c r="E5" t="s">
        <v>19</v>
      </c>
      <c r="F5">
        <v>1</v>
      </c>
      <c r="G5">
        <f t="shared" si="2"/>
        <v>25</v>
      </c>
      <c r="I5">
        <v>2030</v>
      </c>
      <c r="J5">
        <f t="shared" si="3"/>
        <v>27.5</v>
      </c>
      <c r="K5" cm="1">
        <f t="array" ref="K5">STOWA2019_NDJF_T(A5*60,J5,I5,"","upper")</f>
        <v>1.244135836382553</v>
      </c>
      <c r="L5">
        <f t="shared" si="4"/>
        <v>0.80377075457258595</v>
      </c>
    </row>
    <row r="6" spans="1:12" x14ac:dyDescent="0.3">
      <c r="A6">
        <v>24</v>
      </c>
      <c r="B6">
        <f t="shared" si="0"/>
        <v>0.43357972201212619</v>
      </c>
      <c r="C6">
        <f t="shared" si="1"/>
        <v>0.43357972201212619</v>
      </c>
      <c r="D6" t="s">
        <v>25</v>
      </c>
      <c r="E6" t="s">
        <v>19</v>
      </c>
      <c r="F6">
        <v>1</v>
      </c>
      <c r="G6">
        <f t="shared" si="2"/>
        <v>30</v>
      </c>
      <c r="I6">
        <v>2030</v>
      </c>
      <c r="J6">
        <f t="shared" si="3"/>
        <v>32.5</v>
      </c>
      <c r="K6" cm="1">
        <f t="array" ref="K6">STOWA2019_NDJF_T(A6*60,J6,I6,"","upper")</f>
        <v>2.7013080059865566</v>
      </c>
      <c r="L6">
        <f t="shared" si="4"/>
        <v>0.37019103256045977</v>
      </c>
    </row>
    <row r="7" spans="1:12" x14ac:dyDescent="0.3">
      <c r="A7">
        <v>24</v>
      </c>
      <c r="B7">
        <f t="shared" si="0"/>
        <v>0.19245708636128533</v>
      </c>
      <c r="C7">
        <f t="shared" si="1"/>
        <v>0.19245708636128533</v>
      </c>
      <c r="D7" t="s">
        <v>25</v>
      </c>
      <c r="E7" t="s">
        <v>19</v>
      </c>
      <c r="F7">
        <v>1</v>
      </c>
      <c r="G7">
        <f t="shared" si="2"/>
        <v>35</v>
      </c>
      <c r="I7">
        <v>2030</v>
      </c>
      <c r="J7">
        <f t="shared" si="3"/>
        <v>37.5</v>
      </c>
      <c r="K7" cm="1">
        <f t="array" ref="K7">STOWA2019_NDJF_T(A7*60,J7,I7,"","upper")</f>
        <v>5.6263872005596927</v>
      </c>
      <c r="L7">
        <f t="shared" si="4"/>
        <v>0.17773394619917443</v>
      </c>
    </row>
    <row r="8" spans="1:12" x14ac:dyDescent="0.3">
      <c r="A8">
        <v>24</v>
      </c>
      <c r="B8">
        <f>L7-L8</f>
        <v>8.9159063428822835E-2</v>
      </c>
      <c r="C8">
        <f t="shared" si="1"/>
        <v>8.9159063428822835E-2</v>
      </c>
      <c r="D8" t="s">
        <v>25</v>
      </c>
      <c r="E8" t="s">
        <v>19</v>
      </c>
      <c r="F8">
        <v>1</v>
      </c>
      <c r="G8">
        <f>G7+5</f>
        <v>40</v>
      </c>
      <c r="I8">
        <v>2030</v>
      </c>
      <c r="J8">
        <f>AVERAGE(G8:G9)</f>
        <v>42.5</v>
      </c>
      <c r="K8" cm="1">
        <f t="array" ref="K8">STOWA2019_NDJF_T(A8*60,J8,I8,"","upper")</f>
        <v>11.289882286298967</v>
      </c>
      <c r="L8">
        <f>1/K8</f>
        <v>8.8574882770351596E-2</v>
      </c>
    </row>
    <row r="9" spans="1:12" x14ac:dyDescent="0.3">
      <c r="A9">
        <v>24</v>
      </c>
      <c r="B9">
        <f t="shared" ref="B9:B31" si="5">L8-L9</f>
        <v>4.291978555894703E-2</v>
      </c>
      <c r="C9">
        <f t="shared" si="1"/>
        <v>4.291978555894703E-2</v>
      </c>
      <c r="D9" t="s">
        <v>25</v>
      </c>
      <c r="E9" t="s">
        <v>19</v>
      </c>
      <c r="F9">
        <v>1</v>
      </c>
      <c r="G9">
        <f t="shared" ref="G9:G32" si="6">G8+5</f>
        <v>45</v>
      </c>
      <c r="I9">
        <v>2030</v>
      </c>
      <c r="J9">
        <f t="shared" ref="J9:J31" si="7">AVERAGE(G9:G10)</f>
        <v>47.5</v>
      </c>
      <c r="K9" cm="1">
        <f t="array" ref="K9">STOWA2019_NDJF_T(A9*60,J9,I9,"","upper")</f>
        <v>21.903359341664082</v>
      </c>
      <c r="L9">
        <f t="shared" ref="L9:L31" si="8">1/K9</f>
        <v>4.5655097211404566E-2</v>
      </c>
    </row>
    <row r="10" spans="1:12" x14ac:dyDescent="0.3">
      <c r="A10">
        <v>24</v>
      </c>
      <c r="B10">
        <f t="shared" si="5"/>
        <v>2.1391823082641138E-2</v>
      </c>
      <c r="C10">
        <f t="shared" si="1"/>
        <v>2.1391823082641138E-2</v>
      </c>
      <c r="D10" t="s">
        <v>25</v>
      </c>
      <c r="E10" t="s">
        <v>19</v>
      </c>
      <c r="F10">
        <v>1</v>
      </c>
      <c r="G10">
        <f t="shared" si="6"/>
        <v>50</v>
      </c>
      <c r="I10">
        <v>2030</v>
      </c>
      <c r="J10">
        <f t="shared" si="7"/>
        <v>52.5</v>
      </c>
      <c r="K10" cm="1">
        <f t="array" ref="K10">STOWA2019_NDJF_T(A10*60,J10,I10,"","upper")</f>
        <v>41.214553101657792</v>
      </c>
      <c r="L10">
        <f t="shared" si="8"/>
        <v>2.4263274128763428E-2</v>
      </c>
    </row>
    <row r="11" spans="1:12" x14ac:dyDescent="0.3">
      <c r="A11">
        <v>24</v>
      </c>
      <c r="B11">
        <f t="shared" si="5"/>
        <v>1.1003829589317775E-2</v>
      </c>
      <c r="C11">
        <f t="shared" si="1"/>
        <v>1.1003829589317775E-2</v>
      </c>
      <c r="D11" t="s">
        <v>25</v>
      </c>
      <c r="E11" t="s">
        <v>19</v>
      </c>
      <c r="F11">
        <v>1</v>
      </c>
      <c r="G11">
        <f t="shared" si="6"/>
        <v>55</v>
      </c>
      <c r="I11">
        <v>2030</v>
      </c>
      <c r="J11">
        <f t="shared" si="7"/>
        <v>57.5</v>
      </c>
      <c r="K11" cm="1">
        <f t="array" ref="K11">STOWA2019_NDJF_T(A11*60,J11,I11,"","upper")</f>
        <v>75.417940549854109</v>
      </c>
      <c r="L11">
        <f t="shared" si="8"/>
        <v>1.3259444539445654E-2</v>
      </c>
    </row>
    <row r="12" spans="1:12" x14ac:dyDescent="0.3">
      <c r="A12">
        <v>24</v>
      </c>
      <c r="B12">
        <f t="shared" si="5"/>
        <v>5.8260409400541528E-3</v>
      </c>
      <c r="C12">
        <f t="shared" si="1"/>
        <v>5.8260409400541528E-3</v>
      </c>
      <c r="D12" t="s">
        <v>25</v>
      </c>
      <c r="E12" t="s">
        <v>19</v>
      </c>
      <c r="F12">
        <v>1</v>
      </c>
      <c r="G12">
        <f t="shared" si="6"/>
        <v>60</v>
      </c>
      <c r="I12">
        <v>2030</v>
      </c>
      <c r="J12">
        <f t="shared" si="7"/>
        <v>62.5</v>
      </c>
      <c r="K12" cm="1">
        <f t="array" ref="K12">STOWA2019_NDJF_T(A12*60,J12,I12,"","upper")</f>
        <v>134.52787631252258</v>
      </c>
      <c r="L12">
        <f t="shared" si="8"/>
        <v>7.4334035993915007E-3</v>
      </c>
    </row>
    <row r="13" spans="1:12" x14ac:dyDescent="0.3">
      <c r="A13">
        <v>24</v>
      </c>
      <c r="B13">
        <f t="shared" si="5"/>
        <v>3.1672355402416847E-3</v>
      </c>
      <c r="C13">
        <f t="shared" si="1"/>
        <v>3.1672355402416847E-3</v>
      </c>
      <c r="D13" t="s">
        <v>25</v>
      </c>
      <c r="E13" t="s">
        <v>19</v>
      </c>
      <c r="F13">
        <v>1</v>
      </c>
      <c r="G13">
        <f t="shared" si="6"/>
        <v>65</v>
      </c>
      <c r="I13">
        <v>2030</v>
      </c>
      <c r="J13">
        <f t="shared" si="7"/>
        <v>67.5</v>
      </c>
      <c r="K13" cm="1">
        <f t="array" ref="K13">STOWA2019_NDJF_T(A13*60,J13,I13,"","upper")</f>
        <v>234.40239253005075</v>
      </c>
      <c r="L13">
        <f t="shared" si="8"/>
        <v>4.266168059149816E-3</v>
      </c>
    </row>
    <row r="14" spans="1:12" x14ac:dyDescent="0.3">
      <c r="A14">
        <v>24</v>
      </c>
      <c r="B14">
        <f t="shared" si="5"/>
        <v>1.7641699044793143E-3</v>
      </c>
      <c r="C14">
        <f t="shared" si="1"/>
        <v>1.7641699044793143E-3</v>
      </c>
      <c r="D14" t="s">
        <v>25</v>
      </c>
      <c r="E14" t="s">
        <v>19</v>
      </c>
      <c r="F14">
        <v>1</v>
      </c>
      <c r="G14">
        <f t="shared" si="6"/>
        <v>70</v>
      </c>
      <c r="I14">
        <v>2030</v>
      </c>
      <c r="J14">
        <f t="shared" si="7"/>
        <v>72.5</v>
      </c>
      <c r="K14" cm="1">
        <f t="array" ref="K14">STOWA2019_NDJF_T(A14*60,J14,I14,"","upper")</f>
        <v>399.68055057646279</v>
      </c>
      <c r="L14">
        <f t="shared" si="8"/>
        <v>2.5019981546705017E-3</v>
      </c>
    </row>
    <row r="15" spans="1:12" x14ac:dyDescent="0.3">
      <c r="A15">
        <v>24</v>
      </c>
      <c r="B15">
        <f t="shared" si="5"/>
        <v>1.0050009638864774E-3</v>
      </c>
      <c r="C15">
        <f t="shared" si="1"/>
        <v>1.0050009638864774E-3</v>
      </c>
      <c r="D15" t="s">
        <v>25</v>
      </c>
      <c r="E15" t="s">
        <v>19</v>
      </c>
      <c r="F15">
        <v>1</v>
      </c>
      <c r="G15">
        <f t="shared" si="6"/>
        <v>75</v>
      </c>
      <c r="I15">
        <v>2030</v>
      </c>
      <c r="J15">
        <f t="shared" si="7"/>
        <v>77.5</v>
      </c>
      <c r="K15" cm="1">
        <f t="array" ref="K15">STOWA2019_NDJF_T(A15*60,J15,I15,"","upper")</f>
        <v>668.00392556265831</v>
      </c>
      <c r="L15">
        <f t="shared" si="8"/>
        <v>1.4969971907840243E-3</v>
      </c>
    </row>
    <row r="16" spans="1:12" x14ac:dyDescent="0.3">
      <c r="A16">
        <v>24</v>
      </c>
      <c r="B16">
        <f t="shared" si="5"/>
        <v>5.8452265785549856E-4</v>
      </c>
      <c r="C16">
        <f t="shared" si="1"/>
        <v>5.8452265785549856E-4</v>
      </c>
      <c r="D16" t="s">
        <v>25</v>
      </c>
      <c r="E16" t="s">
        <v>19</v>
      </c>
      <c r="F16">
        <v>1</v>
      </c>
      <c r="G16">
        <f t="shared" si="6"/>
        <v>80</v>
      </c>
      <c r="I16">
        <v>2030</v>
      </c>
      <c r="J16">
        <f t="shared" si="7"/>
        <v>82.5</v>
      </c>
      <c r="K16" cm="1">
        <f t="array" ref="K16">STOWA2019_NDJF_T(A16*60,J16,I16,"","upper")</f>
        <v>1095.9209971488926</v>
      </c>
      <c r="L16">
        <f t="shared" si="8"/>
        <v>9.1247453292852578E-4</v>
      </c>
    </row>
    <row r="17" spans="1:12" x14ac:dyDescent="0.3">
      <c r="A17">
        <v>24</v>
      </c>
      <c r="B17">
        <f t="shared" si="5"/>
        <v>3.4660082398330083E-4</v>
      </c>
      <c r="C17">
        <f t="shared" si="1"/>
        <v>3.4660082398330083E-4</v>
      </c>
      <c r="D17" t="s">
        <v>25</v>
      </c>
      <c r="E17" t="s">
        <v>19</v>
      </c>
      <c r="F17">
        <v>1</v>
      </c>
      <c r="G17">
        <f t="shared" si="6"/>
        <v>85</v>
      </c>
      <c r="I17">
        <v>2030</v>
      </c>
      <c r="J17">
        <f t="shared" si="7"/>
        <v>87.5</v>
      </c>
      <c r="K17" cm="1">
        <f t="array" ref="K17">STOWA2019_NDJF_T(A17*60,J17,I17,"","upper")</f>
        <v>1767.1787612539483</v>
      </c>
      <c r="L17">
        <f t="shared" si="8"/>
        <v>5.6587370894522495E-4</v>
      </c>
    </row>
    <row r="18" spans="1:12" x14ac:dyDescent="0.3">
      <c r="A18">
        <v>24</v>
      </c>
      <c r="B18">
        <f t="shared" si="5"/>
        <v>2.0924574816762924E-4</v>
      </c>
      <c r="C18">
        <f t="shared" si="1"/>
        <v>2.0924574816762924E-4</v>
      </c>
      <c r="D18" t="s">
        <v>25</v>
      </c>
      <c r="E18" t="s">
        <v>19</v>
      </c>
      <c r="F18">
        <v>1</v>
      </c>
      <c r="G18">
        <f t="shared" si="6"/>
        <v>90</v>
      </c>
      <c r="I18">
        <v>2030</v>
      </c>
      <c r="J18">
        <f t="shared" si="7"/>
        <v>92.5</v>
      </c>
      <c r="K18" cm="1">
        <f t="array" ref="K18">STOWA2019_NDJF_T(A18*60,J18,I18,"","upper")</f>
        <v>2804.0426157825327</v>
      </c>
      <c r="L18">
        <f t="shared" si="8"/>
        <v>3.5662796077759571E-4</v>
      </c>
    </row>
    <row r="19" spans="1:12" x14ac:dyDescent="0.3">
      <c r="A19">
        <v>24</v>
      </c>
      <c r="B19">
        <f t="shared" si="5"/>
        <v>1.2846510616948515E-4</v>
      </c>
      <c r="C19">
        <f t="shared" si="1"/>
        <v>1.2846510616948515E-4</v>
      </c>
      <c r="D19" t="s">
        <v>25</v>
      </c>
      <c r="E19" t="s">
        <v>19</v>
      </c>
      <c r="F19">
        <v>1</v>
      </c>
      <c r="G19">
        <f t="shared" si="6"/>
        <v>95</v>
      </c>
      <c r="I19">
        <v>2030</v>
      </c>
      <c r="J19">
        <f t="shared" si="7"/>
        <v>97.5</v>
      </c>
      <c r="K19" cm="1">
        <f t="array" ref="K19">STOWA2019_NDJF_T(A19*60,J19,I19,"","upper")</f>
        <v>4382.8343650310062</v>
      </c>
      <c r="L19">
        <f t="shared" si="8"/>
        <v>2.2816285460811056E-4</v>
      </c>
    </row>
    <row r="20" spans="1:12" x14ac:dyDescent="0.3">
      <c r="A20">
        <v>24</v>
      </c>
      <c r="B20">
        <f t="shared" si="5"/>
        <v>8.0114863872225543E-5</v>
      </c>
      <c r="C20">
        <f t="shared" si="1"/>
        <v>8.0114863872225543E-5</v>
      </c>
      <c r="D20" t="s">
        <v>25</v>
      </c>
      <c r="E20" t="s">
        <v>19</v>
      </c>
      <c r="F20">
        <v>1</v>
      </c>
      <c r="G20">
        <f t="shared" si="6"/>
        <v>100</v>
      </c>
      <c r="I20">
        <v>2030</v>
      </c>
      <c r="J20">
        <f t="shared" si="7"/>
        <v>102.5</v>
      </c>
      <c r="K20" cm="1">
        <f t="array" ref="K20">STOWA2019_NDJF_T(A20*60,J20,I20,"","upper")</f>
        <v>6754.5665093421112</v>
      </c>
      <c r="L20">
        <f t="shared" si="8"/>
        <v>1.4804799073588502E-4</v>
      </c>
    </row>
    <row r="21" spans="1:12" x14ac:dyDescent="0.3">
      <c r="A21">
        <v>24</v>
      </c>
      <c r="B21">
        <f t="shared" si="5"/>
        <v>5.0704628535698322E-5</v>
      </c>
      <c r="C21">
        <f t="shared" si="1"/>
        <v>5.0704628535698322E-5</v>
      </c>
      <c r="D21" t="s">
        <v>25</v>
      </c>
      <c r="E21" t="s">
        <v>19</v>
      </c>
      <c r="F21">
        <v>1</v>
      </c>
      <c r="G21">
        <f t="shared" si="6"/>
        <v>105</v>
      </c>
      <c r="I21">
        <v>2030</v>
      </c>
      <c r="J21">
        <f t="shared" si="7"/>
        <v>107.5</v>
      </c>
      <c r="K21" cm="1">
        <f t="array" ref="K21">STOWA2019_NDJF_T(A21*60,J21,I21,"","upper")</f>
        <v>10272.914119644844</v>
      </c>
      <c r="L21">
        <f t="shared" si="8"/>
        <v>9.7343362200186693E-5</v>
      </c>
    </row>
    <row r="22" spans="1:12" x14ac:dyDescent="0.3">
      <c r="A22">
        <v>24</v>
      </c>
      <c r="B22">
        <f t="shared" si="5"/>
        <v>3.2536436380917094E-5</v>
      </c>
      <c r="C22">
        <f t="shared" si="1"/>
        <v>3.2536436380917094E-5</v>
      </c>
      <c r="D22" t="s">
        <v>25</v>
      </c>
      <c r="E22" t="s">
        <v>19</v>
      </c>
      <c r="F22">
        <v>1</v>
      </c>
      <c r="G22">
        <f t="shared" si="6"/>
        <v>110</v>
      </c>
      <c r="I22">
        <v>2030</v>
      </c>
      <c r="J22">
        <f t="shared" si="7"/>
        <v>112.5</v>
      </c>
      <c r="K22" cm="1">
        <f t="array" ref="K22">STOWA2019_NDJF_T(A22*60,J22,I22,"","upper")</f>
        <v>15430.449560109539</v>
      </c>
      <c r="L22">
        <f t="shared" si="8"/>
        <v>6.4806925819269599E-5</v>
      </c>
    </row>
    <row r="23" spans="1:12" x14ac:dyDescent="0.3">
      <c r="A23">
        <v>24</v>
      </c>
      <c r="B23">
        <f t="shared" si="5"/>
        <v>2.1152074233436567E-5</v>
      </c>
      <c r="C23">
        <f t="shared" si="1"/>
        <v>2.1152074233436567E-5</v>
      </c>
      <c r="D23" t="s">
        <v>25</v>
      </c>
      <c r="E23" t="s">
        <v>19</v>
      </c>
      <c r="F23">
        <v>1</v>
      </c>
      <c r="G23">
        <f t="shared" si="6"/>
        <v>115</v>
      </c>
      <c r="I23">
        <v>2030</v>
      </c>
      <c r="J23">
        <f t="shared" si="7"/>
        <v>117.5</v>
      </c>
      <c r="K23" cm="1">
        <f t="array" ref="K23">STOWA2019_NDJF_T(A23*60,J23,I23,"","upper")</f>
        <v>22906.961395432212</v>
      </c>
      <c r="L23">
        <f t="shared" si="8"/>
        <v>4.3654851585833032E-5</v>
      </c>
    </row>
    <row r="24" spans="1:12" x14ac:dyDescent="0.3">
      <c r="A24">
        <v>24</v>
      </c>
      <c r="B24">
        <f t="shared" si="5"/>
        <v>1.3920813025255601E-5</v>
      </c>
      <c r="C24">
        <f t="shared" si="1"/>
        <v>1.3920813025255601E-5</v>
      </c>
      <c r="D24" t="s">
        <v>25</v>
      </c>
      <c r="E24" t="s">
        <v>19</v>
      </c>
      <c r="F24">
        <v>1</v>
      </c>
      <c r="G24">
        <f t="shared" si="6"/>
        <v>120</v>
      </c>
      <c r="I24">
        <v>2030</v>
      </c>
      <c r="J24">
        <f t="shared" si="7"/>
        <v>122.5</v>
      </c>
      <c r="K24" cm="1">
        <f t="array" ref="K24">STOWA2019_NDJF_T(A24*60,J24,I24,"","upper")</f>
        <v>33631.48931022911</v>
      </c>
      <c r="L24">
        <f t="shared" si="8"/>
        <v>2.973403856057743E-5</v>
      </c>
    </row>
    <row r="25" spans="1:12" x14ac:dyDescent="0.3">
      <c r="A25">
        <v>24</v>
      </c>
      <c r="B25">
        <f t="shared" si="5"/>
        <v>9.2684976039592006E-6</v>
      </c>
      <c r="C25">
        <f t="shared" si="1"/>
        <v>9.2684976039592006E-6</v>
      </c>
      <c r="D25" t="s">
        <v>25</v>
      </c>
      <c r="E25" t="s">
        <v>19</v>
      </c>
      <c r="F25">
        <v>1</v>
      </c>
      <c r="G25">
        <f t="shared" si="6"/>
        <v>125</v>
      </c>
      <c r="I25">
        <v>2030</v>
      </c>
      <c r="J25">
        <f t="shared" si="7"/>
        <v>127.5</v>
      </c>
      <c r="K25" cm="1">
        <f t="array" ref="K25">STOWA2019_NDJF_T(A25*60,J25,I25,"","upper")</f>
        <v>48862.622401222965</v>
      </c>
      <c r="L25">
        <f t="shared" si="8"/>
        <v>2.046554095661823E-5</v>
      </c>
    </row>
    <row r="26" spans="1:12" x14ac:dyDescent="0.3">
      <c r="A26">
        <v>24</v>
      </c>
      <c r="B26">
        <f t="shared" si="5"/>
        <v>6.2390086612458715E-6</v>
      </c>
      <c r="C26">
        <f t="shared" si="1"/>
        <v>6.2390086612458715E-6</v>
      </c>
      <c r="D26" t="s">
        <v>25</v>
      </c>
      <c r="E26" t="s">
        <v>19</v>
      </c>
      <c r="F26">
        <v>1</v>
      </c>
      <c r="G26">
        <f t="shared" si="6"/>
        <v>130</v>
      </c>
      <c r="I26">
        <v>2030</v>
      </c>
      <c r="J26">
        <f t="shared" si="7"/>
        <v>132.5</v>
      </c>
      <c r="K26" cm="1">
        <f t="array" ref="K26">STOWA2019_NDJF_T(A26*60,J26,I26,"","upper")</f>
        <v>70291.19811053903</v>
      </c>
      <c r="L26">
        <f t="shared" si="8"/>
        <v>1.4226532295372358E-5</v>
      </c>
    </row>
    <row r="27" spans="1:12" x14ac:dyDescent="0.3">
      <c r="A27">
        <v>24</v>
      </c>
      <c r="B27">
        <f t="shared" si="5"/>
        <v>4.243587634546715E-6</v>
      </c>
      <c r="C27">
        <f t="shared" si="1"/>
        <v>4.243587634546715E-6</v>
      </c>
      <c r="D27" t="s">
        <v>25</v>
      </c>
      <c r="E27" t="s">
        <v>19</v>
      </c>
      <c r="F27">
        <v>1</v>
      </c>
      <c r="G27">
        <f t="shared" si="6"/>
        <v>135</v>
      </c>
      <c r="I27">
        <v>2030</v>
      </c>
      <c r="J27">
        <f t="shared" si="7"/>
        <v>137.5</v>
      </c>
      <c r="K27" cm="1">
        <f t="array" ref="K27">STOWA2019_NDJF_T(A27*60,J27,I27,"","upper")</f>
        <v>100170.84477329905</v>
      </c>
      <c r="L27">
        <f t="shared" si="8"/>
        <v>9.9829446608256432E-6</v>
      </c>
    </row>
    <row r="28" spans="1:12" x14ac:dyDescent="0.3">
      <c r="A28">
        <v>24</v>
      </c>
      <c r="B28">
        <f t="shared" si="5"/>
        <v>2.9149113603833497E-6</v>
      </c>
      <c r="C28">
        <f t="shared" si="1"/>
        <v>2.9149113603833497E-6</v>
      </c>
      <c r="D28" t="s">
        <v>25</v>
      </c>
      <c r="E28" t="s">
        <v>19</v>
      </c>
      <c r="F28">
        <v>1</v>
      </c>
      <c r="G28">
        <f t="shared" si="6"/>
        <v>140</v>
      </c>
      <c r="I28">
        <v>2030</v>
      </c>
      <c r="J28">
        <f t="shared" si="7"/>
        <v>142.5</v>
      </c>
      <c r="K28" cm="1">
        <f t="array" ref="K28">STOWA2019_NDJF_T(A28*60,J28,I28,"","upper")</f>
        <v>141482.07252184613</v>
      </c>
      <c r="L28">
        <f t="shared" si="8"/>
        <v>7.0680333004422935E-6</v>
      </c>
    </row>
    <row r="29" spans="1:12" x14ac:dyDescent="0.3">
      <c r="A29">
        <v>24</v>
      </c>
      <c r="B29">
        <f t="shared" si="5"/>
        <v>2.0211509859178371E-6</v>
      </c>
      <c r="C29">
        <f t="shared" si="1"/>
        <v>2.0211509859178371E-6</v>
      </c>
      <c r="D29" t="s">
        <v>25</v>
      </c>
      <c r="E29" t="s">
        <v>19</v>
      </c>
      <c r="F29">
        <v>1</v>
      </c>
      <c r="G29">
        <f t="shared" si="6"/>
        <v>145</v>
      </c>
      <c r="I29">
        <v>2030</v>
      </c>
      <c r="J29">
        <f t="shared" si="7"/>
        <v>147.5</v>
      </c>
      <c r="K29" cm="1">
        <f t="array" ref="K29">STOWA2019_NDJF_T(A29*60,J29,I29,"","upper")</f>
        <v>198142.12768982016</v>
      </c>
      <c r="L29">
        <f t="shared" si="8"/>
        <v>5.0468823145244565E-6</v>
      </c>
    </row>
    <row r="30" spans="1:12" x14ac:dyDescent="0.3">
      <c r="A30">
        <v>24</v>
      </c>
      <c r="B30">
        <f t="shared" si="5"/>
        <v>1.4139438300498493E-6</v>
      </c>
      <c r="C30">
        <f t="shared" si="1"/>
        <v>1.4139438300498493E-6</v>
      </c>
      <c r="D30" t="s">
        <v>25</v>
      </c>
      <c r="E30" t="s">
        <v>19</v>
      </c>
      <c r="F30">
        <v>1</v>
      </c>
      <c r="G30">
        <f t="shared" si="6"/>
        <v>150</v>
      </c>
      <c r="I30">
        <v>2030</v>
      </c>
      <c r="J30">
        <f t="shared" si="7"/>
        <v>152.5</v>
      </c>
      <c r="K30" cm="1">
        <f t="array" ref="K30">STOWA2019_NDJF_T(A30*60,J30,I30,"","upper")</f>
        <v>275259.27132361539</v>
      </c>
      <c r="L30">
        <f t="shared" si="8"/>
        <v>3.6329384844746072E-6</v>
      </c>
    </row>
    <row r="31" spans="1:12" x14ac:dyDescent="0.3">
      <c r="A31">
        <v>24</v>
      </c>
      <c r="B31">
        <f t="shared" si="5"/>
        <v>9.9757335042089753E-7</v>
      </c>
      <c r="C31">
        <f t="shared" si="1"/>
        <v>9.9757335042089753E-7</v>
      </c>
      <c r="D31" t="s">
        <v>25</v>
      </c>
      <c r="E31" t="s">
        <v>19</v>
      </c>
      <c r="F31">
        <v>1</v>
      </c>
      <c r="G31">
        <f t="shared" si="6"/>
        <v>155</v>
      </c>
      <c r="I31">
        <v>2030</v>
      </c>
      <c r="J31">
        <f t="shared" si="7"/>
        <v>157.5</v>
      </c>
      <c r="K31" cm="1">
        <f t="array" ref="K31">STOWA2019_NDJF_T(A31*60,J31,I31,"","upper")</f>
        <v>379454.06011416845</v>
      </c>
      <c r="L31">
        <f t="shared" si="8"/>
        <v>2.6353651340537097E-6</v>
      </c>
    </row>
    <row r="32" spans="1:12" x14ac:dyDescent="0.3">
      <c r="A32">
        <v>24</v>
      </c>
      <c r="B32" s="1">
        <f>L31</f>
        <v>2.6353651340537097E-6</v>
      </c>
      <c r="C32">
        <f t="shared" si="1"/>
        <v>2.6353651340537097E-6</v>
      </c>
      <c r="D32" t="s">
        <v>25</v>
      </c>
      <c r="E32" t="s">
        <v>19</v>
      </c>
      <c r="F32">
        <v>1</v>
      </c>
      <c r="G32">
        <f t="shared" si="6"/>
        <v>160</v>
      </c>
      <c r="I32">
        <v>2030</v>
      </c>
      <c r="J32">
        <f>AVERAGE(G32:G33)</f>
        <v>85</v>
      </c>
      <c r="K32" cm="1">
        <f t="array" ref="K32">STOWA2019_NDJF_T(A32*60,J32,I32,"","upper")</f>
        <v>1394.5448042284104</v>
      </c>
      <c r="L32">
        <f>1/K32</f>
        <v>7.1707986503401829E-4</v>
      </c>
    </row>
    <row r="33" spans="1:12" x14ac:dyDescent="0.3">
      <c r="A33">
        <v>48</v>
      </c>
      <c r="B33" s="1">
        <f>365.25*24/A33 - L33</f>
        <v>169.06653933470488</v>
      </c>
      <c r="C33">
        <f>B33</f>
        <v>169.06653933470488</v>
      </c>
      <c r="D33" t="s">
        <v>25</v>
      </c>
      <c r="E33" t="s">
        <v>19</v>
      </c>
      <c r="F33">
        <v>1</v>
      </c>
      <c r="G33">
        <v>10</v>
      </c>
      <c r="I33">
        <v>2030</v>
      </c>
      <c r="J33">
        <f>AVERAGE(G33:G35)</f>
        <v>15</v>
      </c>
      <c r="K33" cm="1">
        <f t="array" ref="K33">STOWA2019_NDJF_T(A33*60,J33,I33,"","upper")</f>
        <v>7.3754685335308628E-2</v>
      </c>
      <c r="L33">
        <f>1/K33</f>
        <v>13.558460665295108</v>
      </c>
    </row>
    <row r="34" spans="1:12" x14ac:dyDescent="0.3">
      <c r="A34">
        <v>48</v>
      </c>
      <c r="B34">
        <f t="shared" ref="B34:B38" si="9">L33-L34</f>
        <v>3.9659264434438359</v>
      </c>
      <c r="C34">
        <f t="shared" ref="C34:C63" si="10">B34</f>
        <v>3.9659264434438359</v>
      </c>
      <c r="D34" t="s">
        <v>25</v>
      </c>
      <c r="E34" t="s">
        <v>19</v>
      </c>
      <c r="F34">
        <v>1</v>
      </c>
      <c r="G34">
        <f t="shared" ref="G34:G38" si="11">G33+5</f>
        <v>15</v>
      </c>
      <c r="I34">
        <v>2030</v>
      </c>
      <c r="J34">
        <f t="shared" ref="J34:J38" si="12">AVERAGE(G34:G35)</f>
        <v>17.5</v>
      </c>
      <c r="K34" cm="1">
        <f t="array" ref="K34">STOWA2019_NDJF_T(A34*60,J34,I34,"","upper")</f>
        <v>0.10424773859258737</v>
      </c>
      <c r="L34">
        <f t="shared" ref="L34:L38" si="13">1/K34</f>
        <v>9.5925342218512721</v>
      </c>
    </row>
    <row r="35" spans="1:12" x14ac:dyDescent="0.3">
      <c r="A35">
        <v>48</v>
      </c>
      <c r="B35">
        <f t="shared" si="9"/>
        <v>4.6966077869863136</v>
      </c>
      <c r="C35">
        <f t="shared" si="10"/>
        <v>4.6966077869863136</v>
      </c>
      <c r="D35" t="s">
        <v>25</v>
      </c>
      <c r="E35" t="s">
        <v>19</v>
      </c>
      <c r="F35">
        <v>1</v>
      </c>
      <c r="G35">
        <f t="shared" si="11"/>
        <v>20</v>
      </c>
      <c r="I35">
        <v>2030</v>
      </c>
      <c r="J35">
        <f t="shared" si="12"/>
        <v>22.5</v>
      </c>
      <c r="K35" cm="1">
        <f t="array" ref="K35">STOWA2019_NDJF_T(A35*60,J35,I35,"","upper")</f>
        <v>0.20425143500498336</v>
      </c>
      <c r="L35">
        <f t="shared" si="13"/>
        <v>4.8959264348649585</v>
      </c>
    </row>
    <row r="36" spans="1:12" x14ac:dyDescent="0.3">
      <c r="A36">
        <v>48</v>
      </c>
      <c r="B36">
        <f t="shared" si="9"/>
        <v>2.3353196198472981</v>
      </c>
      <c r="C36">
        <f t="shared" si="10"/>
        <v>2.3353196198472981</v>
      </c>
      <c r="D36" t="s">
        <v>25</v>
      </c>
      <c r="E36" t="s">
        <v>19</v>
      </c>
      <c r="F36">
        <v>1</v>
      </c>
      <c r="G36">
        <f t="shared" si="11"/>
        <v>25</v>
      </c>
      <c r="I36">
        <v>2030</v>
      </c>
      <c r="J36">
        <f t="shared" si="12"/>
        <v>27.5</v>
      </c>
      <c r="K36" cm="1">
        <f t="array" ref="K36">STOWA2019_NDJF_T(A36*60,J36,I36,"","upper")</f>
        <v>0.39053242931914289</v>
      </c>
      <c r="L36">
        <f t="shared" si="13"/>
        <v>2.5606068150176604</v>
      </c>
    </row>
    <row r="37" spans="1:12" x14ac:dyDescent="0.3">
      <c r="A37">
        <v>48</v>
      </c>
      <c r="B37">
        <f t="shared" si="9"/>
        <v>1.190612265014191</v>
      </c>
      <c r="C37">
        <f t="shared" si="10"/>
        <v>1.190612265014191</v>
      </c>
      <c r="D37" t="s">
        <v>25</v>
      </c>
      <c r="E37" t="s">
        <v>19</v>
      </c>
      <c r="F37">
        <v>1</v>
      </c>
      <c r="G37">
        <f t="shared" si="11"/>
        <v>30</v>
      </c>
      <c r="I37">
        <v>2030</v>
      </c>
      <c r="J37">
        <f t="shared" si="12"/>
        <v>32.5</v>
      </c>
      <c r="K37" cm="1">
        <f t="array" ref="K37">STOWA2019_NDJF_T(A37*60,J37,I37,"","upper")</f>
        <v>0.72992991103319904</v>
      </c>
      <c r="L37">
        <f t="shared" si="13"/>
        <v>1.3699945500034694</v>
      </c>
    </row>
    <row r="38" spans="1:12" x14ac:dyDescent="0.3">
      <c r="A38">
        <v>48</v>
      </c>
      <c r="B38">
        <f t="shared" si="9"/>
        <v>0.62124260307131507</v>
      </c>
      <c r="C38">
        <f t="shared" si="10"/>
        <v>0.62124260307131507</v>
      </c>
      <c r="D38" t="s">
        <v>25</v>
      </c>
      <c r="E38" t="s">
        <v>19</v>
      </c>
      <c r="F38">
        <v>1</v>
      </c>
      <c r="G38">
        <f t="shared" si="11"/>
        <v>35</v>
      </c>
      <c r="I38">
        <v>2030</v>
      </c>
      <c r="J38">
        <f t="shared" si="12"/>
        <v>37.5</v>
      </c>
      <c r="K38" cm="1">
        <f t="array" ref="K38">STOWA2019_NDJF_T(A38*60,J38,I38,"","upper")</f>
        <v>1.335555792672432</v>
      </c>
      <c r="L38">
        <f t="shared" si="13"/>
        <v>0.7487519469321543</v>
      </c>
    </row>
    <row r="39" spans="1:12" x14ac:dyDescent="0.3">
      <c r="A39">
        <v>48</v>
      </c>
      <c r="B39">
        <f>L38-L39</f>
        <v>0.33140574571763676</v>
      </c>
      <c r="C39">
        <f t="shared" si="10"/>
        <v>0.33140574571763676</v>
      </c>
      <c r="D39" t="s">
        <v>25</v>
      </c>
      <c r="E39" t="s">
        <v>19</v>
      </c>
      <c r="F39">
        <v>1</v>
      </c>
      <c r="G39">
        <f>G38+5</f>
        <v>40</v>
      </c>
      <c r="I39">
        <v>2030</v>
      </c>
      <c r="J39">
        <f>AVERAGE(G39:G40)</f>
        <v>42.5</v>
      </c>
      <c r="K39" cm="1">
        <f t="array" ref="K39">STOWA2019_NDJF_T(A39*60,J39,I39,"","upper")</f>
        <v>2.3960922540804348</v>
      </c>
      <c r="L39">
        <f>1/K39</f>
        <v>0.41734620121451754</v>
      </c>
    </row>
    <row r="40" spans="1:12" x14ac:dyDescent="0.3">
      <c r="A40">
        <v>48</v>
      </c>
      <c r="B40">
        <f t="shared" ref="B40:B62" si="14">L39-L40</f>
        <v>0.18037283643047353</v>
      </c>
      <c r="C40">
        <f t="shared" si="10"/>
        <v>0.18037283643047353</v>
      </c>
      <c r="D40" t="s">
        <v>25</v>
      </c>
      <c r="E40" t="s">
        <v>19</v>
      </c>
      <c r="F40">
        <v>1</v>
      </c>
      <c r="G40">
        <f t="shared" ref="G40:G63" si="15">G39+5</f>
        <v>45</v>
      </c>
      <c r="I40">
        <v>2030</v>
      </c>
      <c r="J40">
        <f t="shared" ref="J40:J62" si="16">AVERAGE(G40:G41)</f>
        <v>47.5</v>
      </c>
      <c r="K40" cm="1">
        <f t="array" ref="K40">STOWA2019_NDJF_T(A40*60,J40,I40,"","upper")</f>
        <v>4.2198835337942269</v>
      </c>
      <c r="L40">
        <f t="shared" ref="L40:L62" si="17">1/K40</f>
        <v>0.23697336478404402</v>
      </c>
    </row>
    <row r="41" spans="1:12" x14ac:dyDescent="0.3">
      <c r="A41">
        <v>48</v>
      </c>
      <c r="B41">
        <f t="shared" si="14"/>
        <v>0.10005689331695572</v>
      </c>
      <c r="C41">
        <f t="shared" si="10"/>
        <v>0.10005689331695572</v>
      </c>
      <c r="D41" t="s">
        <v>25</v>
      </c>
      <c r="E41" t="s">
        <v>19</v>
      </c>
      <c r="F41">
        <v>1</v>
      </c>
      <c r="G41">
        <f t="shared" si="15"/>
        <v>50</v>
      </c>
      <c r="I41">
        <v>2030</v>
      </c>
      <c r="J41">
        <f t="shared" si="16"/>
        <v>52.5</v>
      </c>
      <c r="K41" cm="1">
        <f t="array" ref="K41">STOWA2019_NDJF_T(A41*60,J41,I41,"","upper")</f>
        <v>7.3037231334169892</v>
      </c>
      <c r="L41">
        <f t="shared" si="17"/>
        <v>0.1369164714670883</v>
      </c>
    </row>
    <row r="42" spans="1:12" x14ac:dyDescent="0.3">
      <c r="A42">
        <v>48</v>
      </c>
      <c r="B42">
        <f t="shared" si="14"/>
        <v>5.6506372195170435E-2</v>
      </c>
      <c r="C42">
        <f t="shared" si="10"/>
        <v>5.6506372195170435E-2</v>
      </c>
      <c r="D42" t="s">
        <v>25</v>
      </c>
      <c r="E42" t="s">
        <v>19</v>
      </c>
      <c r="F42">
        <v>1</v>
      </c>
      <c r="G42">
        <f t="shared" si="15"/>
        <v>55</v>
      </c>
      <c r="I42">
        <v>2030</v>
      </c>
      <c r="J42">
        <f t="shared" si="16"/>
        <v>57.5</v>
      </c>
      <c r="K42" cm="1">
        <f t="array" ref="K42">STOWA2019_NDJF_T(A42*60,J42,I42,"","upper")</f>
        <v>12.436248792808497</v>
      </c>
      <c r="L42">
        <f t="shared" si="17"/>
        <v>8.0410099271917862E-2</v>
      </c>
    </row>
    <row r="43" spans="1:12" x14ac:dyDescent="0.3">
      <c r="A43">
        <v>48</v>
      </c>
      <c r="B43">
        <f t="shared" si="14"/>
        <v>3.2452840380806043E-2</v>
      </c>
      <c r="C43">
        <f t="shared" si="10"/>
        <v>3.2452840380806043E-2</v>
      </c>
      <c r="D43" t="s">
        <v>25</v>
      </c>
      <c r="E43" t="s">
        <v>19</v>
      </c>
      <c r="F43">
        <v>1</v>
      </c>
      <c r="G43">
        <f t="shared" si="15"/>
        <v>60</v>
      </c>
      <c r="I43">
        <v>2030</v>
      </c>
      <c r="J43">
        <f t="shared" si="16"/>
        <v>62.5</v>
      </c>
      <c r="K43" cm="1">
        <f t="array" ref="K43">STOWA2019_NDJF_T(A43*60,J43,I43,"","upper")</f>
        <v>20.851900694961017</v>
      </c>
      <c r="L43">
        <f t="shared" si="17"/>
        <v>4.7957258891111819E-2</v>
      </c>
    </row>
    <row r="44" spans="1:12" x14ac:dyDescent="0.3">
      <c r="A44">
        <v>48</v>
      </c>
      <c r="B44">
        <f t="shared" si="14"/>
        <v>1.8936046101549895E-2</v>
      </c>
      <c r="C44">
        <f t="shared" si="10"/>
        <v>1.8936046101549895E-2</v>
      </c>
      <c r="D44" t="s">
        <v>25</v>
      </c>
      <c r="E44" t="s">
        <v>19</v>
      </c>
      <c r="F44">
        <v>1</v>
      </c>
      <c r="G44">
        <f t="shared" si="15"/>
        <v>65</v>
      </c>
      <c r="I44">
        <v>2030</v>
      </c>
      <c r="J44">
        <f t="shared" si="16"/>
        <v>67.5</v>
      </c>
      <c r="K44" cm="1">
        <f t="array" ref="K44">STOWA2019_NDJF_T(A44*60,J44,I44,"","upper")</f>
        <v>34.457553764247599</v>
      </c>
      <c r="L44">
        <f t="shared" si="17"/>
        <v>2.9021212789561924E-2</v>
      </c>
    </row>
    <row r="45" spans="1:12" x14ac:dyDescent="0.3">
      <c r="A45">
        <v>48</v>
      </c>
      <c r="B45">
        <f t="shared" si="14"/>
        <v>1.12161301525881E-2</v>
      </c>
      <c r="C45">
        <f t="shared" si="10"/>
        <v>1.12161301525881E-2</v>
      </c>
      <c r="D45" t="s">
        <v>25</v>
      </c>
      <c r="E45" t="s">
        <v>19</v>
      </c>
      <c r="F45">
        <v>1</v>
      </c>
      <c r="G45">
        <f t="shared" si="15"/>
        <v>70</v>
      </c>
      <c r="I45">
        <v>2030</v>
      </c>
      <c r="J45">
        <f t="shared" si="16"/>
        <v>72.5</v>
      </c>
      <c r="K45" cm="1">
        <f t="array" ref="K45">STOWA2019_NDJF_T(A45*60,J45,I45,"","upper")</f>
        <v>56.163738208291818</v>
      </c>
      <c r="L45">
        <f t="shared" si="17"/>
        <v>1.7805082636973824E-2</v>
      </c>
    </row>
    <row r="46" spans="1:12" x14ac:dyDescent="0.3">
      <c r="A46">
        <v>48</v>
      </c>
      <c r="B46">
        <f t="shared" si="14"/>
        <v>6.7382839186591933E-3</v>
      </c>
      <c r="C46">
        <f t="shared" si="10"/>
        <v>6.7382839186591933E-3</v>
      </c>
      <c r="D46" t="s">
        <v>25</v>
      </c>
      <c r="E46" t="s">
        <v>19</v>
      </c>
      <c r="F46">
        <v>1</v>
      </c>
      <c r="G46">
        <f t="shared" si="15"/>
        <v>75</v>
      </c>
      <c r="I46">
        <v>2030</v>
      </c>
      <c r="J46">
        <f t="shared" si="16"/>
        <v>77.5</v>
      </c>
      <c r="K46" cm="1">
        <f t="array" ref="K46">STOWA2019_NDJF_T(A46*60,J46,I46,"","upper")</f>
        <v>90.360367569086009</v>
      </c>
      <c r="L46">
        <f t="shared" si="17"/>
        <v>1.1066798718314631E-2</v>
      </c>
    </row>
    <row r="47" spans="1:12" x14ac:dyDescent="0.3">
      <c r="A47">
        <v>48</v>
      </c>
      <c r="B47">
        <f t="shared" si="14"/>
        <v>4.1027688555072888E-3</v>
      </c>
      <c r="C47">
        <f t="shared" si="10"/>
        <v>4.1027688555072888E-3</v>
      </c>
      <c r="D47" t="s">
        <v>25</v>
      </c>
      <c r="E47" t="s">
        <v>19</v>
      </c>
      <c r="F47">
        <v>1</v>
      </c>
      <c r="G47">
        <f t="shared" si="15"/>
        <v>80</v>
      </c>
      <c r="I47">
        <v>2030</v>
      </c>
      <c r="J47">
        <f t="shared" si="16"/>
        <v>82.5</v>
      </c>
      <c r="K47" cm="1">
        <f t="array" ref="K47">STOWA2019_NDJF_T(A47*60,J47,I47,"","upper")</f>
        <v>143.59501893302905</v>
      </c>
      <c r="L47">
        <f t="shared" si="17"/>
        <v>6.9640298628073421E-3</v>
      </c>
    </row>
    <row r="48" spans="1:12" x14ac:dyDescent="0.3">
      <c r="A48">
        <v>48</v>
      </c>
      <c r="B48">
        <f t="shared" si="14"/>
        <v>2.5301816149177819E-3</v>
      </c>
      <c r="C48">
        <f t="shared" si="10"/>
        <v>2.5301816149177819E-3</v>
      </c>
      <c r="D48" t="s">
        <v>25</v>
      </c>
      <c r="E48" t="s">
        <v>19</v>
      </c>
      <c r="F48">
        <v>1</v>
      </c>
      <c r="G48">
        <f t="shared" si="15"/>
        <v>85</v>
      </c>
      <c r="I48">
        <v>2030</v>
      </c>
      <c r="J48">
        <f t="shared" si="16"/>
        <v>87.5</v>
      </c>
      <c r="K48" cm="1">
        <f t="array" ref="K48">STOWA2019_NDJF_T(A48*60,J48,I48,"","upper")</f>
        <v>225.53771443936623</v>
      </c>
      <c r="L48">
        <f t="shared" si="17"/>
        <v>4.4338482478895602E-3</v>
      </c>
    </row>
    <row r="49" spans="1:12" x14ac:dyDescent="0.3">
      <c r="A49">
        <v>48</v>
      </c>
      <c r="B49">
        <f t="shared" si="14"/>
        <v>1.5792841692216977E-3</v>
      </c>
      <c r="C49">
        <f t="shared" si="10"/>
        <v>1.5792841692216977E-3</v>
      </c>
      <c r="D49" t="s">
        <v>25</v>
      </c>
      <c r="E49" t="s">
        <v>19</v>
      </c>
      <c r="F49">
        <v>1</v>
      </c>
      <c r="G49">
        <f t="shared" si="15"/>
        <v>90</v>
      </c>
      <c r="I49">
        <v>2030</v>
      </c>
      <c r="J49">
        <f t="shared" si="16"/>
        <v>92.5</v>
      </c>
      <c r="K49" cm="1">
        <f t="array" ref="K49">STOWA2019_NDJF_T(A49*60,J49,I49,"","upper")</f>
        <v>350.31618574373334</v>
      </c>
      <c r="L49">
        <f t="shared" si="17"/>
        <v>2.8545640786678626E-3</v>
      </c>
    </row>
    <row r="50" spans="1:12" x14ac:dyDescent="0.3">
      <c r="A50">
        <v>48</v>
      </c>
      <c r="B50">
        <f t="shared" si="14"/>
        <v>9.971984090959595E-4</v>
      </c>
      <c r="C50">
        <f t="shared" si="10"/>
        <v>9.971984090959595E-4</v>
      </c>
      <c r="D50" t="s">
        <v>25</v>
      </c>
      <c r="E50" t="s">
        <v>19</v>
      </c>
      <c r="F50">
        <v>1</v>
      </c>
      <c r="G50">
        <f t="shared" si="15"/>
        <v>95</v>
      </c>
      <c r="I50">
        <v>2030</v>
      </c>
      <c r="J50">
        <f t="shared" si="16"/>
        <v>97.5</v>
      </c>
      <c r="K50" cm="1">
        <f t="array" ref="K50">STOWA2019_NDJF_T(A50*60,J50,I50,"","upper")</f>
        <v>538.39694379108778</v>
      </c>
      <c r="L50">
        <f t="shared" si="17"/>
        <v>1.8573656695719031E-3</v>
      </c>
    </row>
    <row r="51" spans="1:12" x14ac:dyDescent="0.3">
      <c r="A51">
        <v>48</v>
      </c>
      <c r="B51">
        <f t="shared" si="14"/>
        <v>6.3656590656502158E-4</v>
      </c>
      <c r="C51">
        <f t="shared" si="10"/>
        <v>6.3656590656502158E-4</v>
      </c>
      <c r="D51" t="s">
        <v>25</v>
      </c>
      <c r="E51" t="s">
        <v>19</v>
      </c>
      <c r="F51">
        <v>1</v>
      </c>
      <c r="G51">
        <f t="shared" si="15"/>
        <v>100</v>
      </c>
      <c r="I51">
        <v>2030</v>
      </c>
      <c r="J51">
        <f t="shared" si="16"/>
        <v>102.5</v>
      </c>
      <c r="K51" cm="1">
        <f t="array" ref="K51">STOWA2019_NDJF_T(A51*60,J51,I51,"","upper")</f>
        <v>819.13515246510019</v>
      </c>
      <c r="L51">
        <f t="shared" si="17"/>
        <v>1.2207997630068815E-3</v>
      </c>
    </row>
    <row r="52" spans="1:12" x14ac:dyDescent="0.3">
      <c r="A52">
        <v>48</v>
      </c>
      <c r="B52">
        <f t="shared" si="14"/>
        <v>4.1063013171053011E-4</v>
      </c>
      <c r="C52">
        <f t="shared" si="10"/>
        <v>4.1063013171053011E-4</v>
      </c>
      <c r="D52" t="s">
        <v>25</v>
      </c>
      <c r="E52" t="s">
        <v>19</v>
      </c>
      <c r="F52">
        <v>1</v>
      </c>
      <c r="G52">
        <f t="shared" si="15"/>
        <v>105</v>
      </c>
      <c r="I52">
        <v>2030</v>
      </c>
      <c r="J52">
        <f t="shared" si="16"/>
        <v>107.5</v>
      </c>
      <c r="K52" cm="1">
        <f t="array" ref="K52">STOWA2019_NDJF_T(A52*60,J52,I52,"","upper")</f>
        <v>1234.3094104871609</v>
      </c>
      <c r="L52">
        <f t="shared" si="17"/>
        <v>8.1016963129635136E-4</v>
      </c>
    </row>
    <row r="53" spans="1:12" x14ac:dyDescent="0.3">
      <c r="A53">
        <v>48</v>
      </c>
      <c r="B53">
        <f t="shared" si="14"/>
        <v>2.6753916612669044E-4</v>
      </c>
      <c r="C53">
        <f t="shared" si="10"/>
        <v>2.6753916612669044E-4</v>
      </c>
      <c r="D53" t="s">
        <v>25</v>
      </c>
      <c r="E53" t="s">
        <v>19</v>
      </c>
      <c r="F53">
        <v>1</v>
      </c>
      <c r="G53">
        <f t="shared" si="15"/>
        <v>110</v>
      </c>
      <c r="I53">
        <v>2030</v>
      </c>
      <c r="J53">
        <f t="shared" si="16"/>
        <v>112.5</v>
      </c>
      <c r="K53" cm="1">
        <f t="array" ref="K53">STOWA2019_NDJF_T(A53*60,J53,I53,"","upper")</f>
        <v>1842.8747816201881</v>
      </c>
      <c r="L53">
        <f t="shared" si="17"/>
        <v>5.4263046516966093E-4</v>
      </c>
    </row>
    <row r="54" spans="1:12" x14ac:dyDescent="0.3">
      <c r="A54">
        <v>48</v>
      </c>
      <c r="B54">
        <f t="shared" si="14"/>
        <v>1.7597640100740561E-4</v>
      </c>
      <c r="C54">
        <f t="shared" si="10"/>
        <v>1.7597640100740561E-4</v>
      </c>
      <c r="D54" t="s">
        <v>25</v>
      </c>
      <c r="E54" t="s">
        <v>19</v>
      </c>
      <c r="F54">
        <v>1</v>
      </c>
      <c r="G54">
        <f t="shared" si="15"/>
        <v>115</v>
      </c>
      <c r="I54">
        <v>2030</v>
      </c>
      <c r="J54">
        <f t="shared" si="16"/>
        <v>117.5</v>
      </c>
      <c r="K54" cm="1">
        <f t="array" ref="K54">STOWA2019_NDJF_T(A54*60,J54,I54,"","upper")</f>
        <v>2727.3664681307619</v>
      </c>
      <c r="L54">
        <f t="shared" si="17"/>
        <v>3.6665406416225532E-4</v>
      </c>
    </row>
    <row r="55" spans="1:12" x14ac:dyDescent="0.3">
      <c r="A55">
        <v>48</v>
      </c>
      <c r="B55">
        <f t="shared" si="14"/>
        <v>1.1681353728545648E-4</v>
      </c>
      <c r="C55">
        <f t="shared" si="10"/>
        <v>1.1681353728545648E-4</v>
      </c>
      <c r="D55" t="s">
        <v>25</v>
      </c>
      <c r="E55" t="s">
        <v>19</v>
      </c>
      <c r="F55">
        <v>1</v>
      </c>
      <c r="G55">
        <f t="shared" si="15"/>
        <v>120</v>
      </c>
      <c r="I55">
        <v>2030</v>
      </c>
      <c r="J55">
        <f t="shared" si="16"/>
        <v>122.5</v>
      </c>
      <c r="K55" cm="1">
        <f t="array" ref="K55">STOWA2019_NDJF_T(A55*60,J55,I55,"","upper")</f>
        <v>4002.5531986374617</v>
      </c>
      <c r="L55">
        <f t="shared" si="17"/>
        <v>2.4984052687679884E-4</v>
      </c>
    </row>
    <row r="56" spans="1:12" x14ac:dyDescent="0.3">
      <c r="A56">
        <v>48</v>
      </c>
      <c r="B56">
        <f t="shared" si="14"/>
        <v>7.8218664657196836E-5</v>
      </c>
      <c r="C56">
        <f t="shared" si="10"/>
        <v>7.8218664657196836E-5</v>
      </c>
      <c r="D56" t="s">
        <v>25</v>
      </c>
      <c r="E56" t="s">
        <v>19</v>
      </c>
      <c r="F56">
        <v>1</v>
      </c>
      <c r="G56">
        <f t="shared" si="15"/>
        <v>125</v>
      </c>
      <c r="I56">
        <v>2030</v>
      </c>
      <c r="J56">
        <f t="shared" si="16"/>
        <v>127.5</v>
      </c>
      <c r="K56" cm="1">
        <f t="array" ref="K56">STOWA2019_NDJF_T(A56*60,J56,I56,"","upper")</f>
        <v>5826.7634849482702</v>
      </c>
      <c r="L56">
        <f t="shared" si="17"/>
        <v>1.7162186221960201E-4</v>
      </c>
    </row>
    <row r="57" spans="1:12" x14ac:dyDescent="0.3">
      <c r="A57">
        <v>48</v>
      </c>
      <c r="B57">
        <f t="shared" si="14"/>
        <v>5.281434709672594E-5</v>
      </c>
      <c r="C57">
        <f t="shared" si="10"/>
        <v>5.281434709672594E-5</v>
      </c>
      <c r="D57" t="s">
        <v>25</v>
      </c>
      <c r="E57" t="s">
        <v>19</v>
      </c>
      <c r="F57">
        <v>1</v>
      </c>
      <c r="G57">
        <f t="shared" si="15"/>
        <v>130</v>
      </c>
      <c r="I57">
        <v>2030</v>
      </c>
      <c r="J57">
        <f t="shared" si="16"/>
        <v>132.5</v>
      </c>
      <c r="K57" cm="1">
        <f t="array" ref="K57">STOWA2019_NDJF_T(A57*60,J57,I57,"","upper")</f>
        <v>8416.9759713074982</v>
      </c>
      <c r="L57">
        <f t="shared" si="17"/>
        <v>1.1880751512287607E-4</v>
      </c>
    </row>
    <row r="58" spans="1:12" x14ac:dyDescent="0.3">
      <c r="A58">
        <v>48</v>
      </c>
      <c r="B58">
        <f t="shared" si="14"/>
        <v>3.5948733712472359E-5</v>
      </c>
      <c r="C58">
        <f t="shared" si="10"/>
        <v>3.5948733712472359E-5</v>
      </c>
      <c r="D58" t="s">
        <v>25</v>
      </c>
      <c r="E58" t="s">
        <v>19</v>
      </c>
      <c r="F58">
        <v>1</v>
      </c>
      <c r="G58">
        <f t="shared" si="15"/>
        <v>135</v>
      </c>
      <c r="I58">
        <v>2030</v>
      </c>
      <c r="J58">
        <f t="shared" si="16"/>
        <v>137.5</v>
      </c>
      <c r="K58" cm="1">
        <f t="array" ref="K58">STOWA2019_NDJF_T(A58*60,J58,I58,"","upper")</f>
        <v>12068.726850410094</v>
      </c>
      <c r="L58">
        <f t="shared" si="17"/>
        <v>8.2858781410403707E-5</v>
      </c>
    </row>
    <row r="59" spans="1:12" x14ac:dyDescent="0.3">
      <c r="A59">
        <v>48</v>
      </c>
      <c r="B59">
        <f t="shared" si="14"/>
        <v>2.4658322667005975E-5</v>
      </c>
      <c r="C59">
        <f t="shared" si="10"/>
        <v>2.4658322667005975E-5</v>
      </c>
      <c r="D59" t="s">
        <v>25</v>
      </c>
      <c r="E59" t="s">
        <v>19</v>
      </c>
      <c r="F59">
        <v>1</v>
      </c>
      <c r="G59">
        <f t="shared" si="15"/>
        <v>140</v>
      </c>
      <c r="I59">
        <v>2030</v>
      </c>
      <c r="J59">
        <f t="shared" si="16"/>
        <v>142.5</v>
      </c>
      <c r="K59" cm="1">
        <f t="array" ref="K59">STOWA2019_NDJF_T(A59*60,J59,I59,"","upper")</f>
        <v>17181.995152459862</v>
      </c>
      <c r="L59">
        <f t="shared" si="17"/>
        <v>5.8200458743397732E-5</v>
      </c>
    </row>
    <row r="60" spans="1:12" x14ac:dyDescent="0.3">
      <c r="A60">
        <v>48</v>
      </c>
      <c r="B60">
        <f t="shared" si="14"/>
        <v>1.7038832744430828E-5</v>
      </c>
      <c r="C60">
        <f t="shared" si="10"/>
        <v>1.7038832744430828E-5</v>
      </c>
      <c r="D60" t="s">
        <v>25</v>
      </c>
      <c r="E60" t="s">
        <v>19</v>
      </c>
      <c r="F60">
        <v>1</v>
      </c>
      <c r="G60">
        <f t="shared" si="15"/>
        <v>145</v>
      </c>
      <c r="I60">
        <v>2030</v>
      </c>
      <c r="J60">
        <f t="shared" si="16"/>
        <v>147.5</v>
      </c>
      <c r="K60" cm="1">
        <f t="array" ref="K60">STOWA2019_NDJF_T(A60*60,J60,I60,"","upper")</f>
        <v>24294.472721391001</v>
      </c>
      <c r="L60">
        <f t="shared" si="17"/>
        <v>4.1161625998966905E-5</v>
      </c>
    </row>
    <row r="61" spans="1:12" x14ac:dyDescent="0.3">
      <c r="A61">
        <v>48</v>
      </c>
      <c r="B61">
        <f t="shared" si="14"/>
        <v>1.1858018313586495E-5</v>
      </c>
      <c r="C61">
        <f t="shared" si="10"/>
        <v>1.1858018313586495E-5</v>
      </c>
      <c r="D61" t="s">
        <v>25</v>
      </c>
      <c r="E61" t="s">
        <v>19</v>
      </c>
      <c r="F61">
        <v>1</v>
      </c>
      <c r="G61">
        <f t="shared" si="15"/>
        <v>150</v>
      </c>
      <c r="I61">
        <v>2030</v>
      </c>
      <c r="J61">
        <f t="shared" si="16"/>
        <v>152.5</v>
      </c>
      <c r="K61" cm="1">
        <f t="array" ref="K61">STOWA2019_NDJF_T(A61*60,J61,I61,"","upper")</f>
        <v>34125.490988568643</v>
      </c>
      <c r="L61">
        <f t="shared" si="17"/>
        <v>2.930360768538041E-5</v>
      </c>
    </row>
    <row r="62" spans="1:12" x14ac:dyDescent="0.3">
      <c r="A62">
        <v>48</v>
      </c>
      <c r="B62">
        <f t="shared" si="14"/>
        <v>8.30912324244347E-6</v>
      </c>
      <c r="C62">
        <f t="shared" si="10"/>
        <v>8.30912324244347E-6</v>
      </c>
      <c r="D62" t="s">
        <v>25</v>
      </c>
      <c r="E62" t="s">
        <v>19</v>
      </c>
      <c r="F62">
        <v>1</v>
      </c>
      <c r="G62">
        <f t="shared" si="15"/>
        <v>155</v>
      </c>
      <c r="I62">
        <v>2030</v>
      </c>
      <c r="J62">
        <f t="shared" si="16"/>
        <v>157.5</v>
      </c>
      <c r="K62" cm="1">
        <f t="array" ref="K62">STOWA2019_NDJF_T(A62*60,J62,I62,"","upper")</f>
        <v>47631.557836916763</v>
      </c>
      <c r="L62">
        <f t="shared" si="17"/>
        <v>2.099448444293694E-5</v>
      </c>
    </row>
    <row r="63" spans="1:12" x14ac:dyDescent="0.3">
      <c r="A63">
        <v>48</v>
      </c>
      <c r="B63" s="1">
        <f>L62</f>
        <v>2.099448444293694E-5</v>
      </c>
      <c r="C63">
        <f t="shared" si="10"/>
        <v>2.099448444293694E-5</v>
      </c>
      <c r="D63" t="s">
        <v>25</v>
      </c>
      <c r="E63" t="s">
        <v>19</v>
      </c>
      <c r="F63">
        <v>1</v>
      </c>
      <c r="G63">
        <f t="shared" si="15"/>
        <v>160</v>
      </c>
      <c r="I63">
        <v>2030</v>
      </c>
      <c r="J63">
        <f>AVERAGE(G63:G64)</f>
        <v>85</v>
      </c>
      <c r="K63" cm="1">
        <f t="array" ref="K63">STOWA2019_NDJF_T(A63*60,J63,I63,"","upper")</f>
        <v>180.21830647662296</v>
      </c>
      <c r="L63">
        <f>1/K63</f>
        <v>5.5488258632022773E-3</v>
      </c>
    </row>
    <row r="64" spans="1:12" x14ac:dyDescent="0.3">
      <c r="A64">
        <v>96</v>
      </c>
      <c r="B64" s="1">
        <f>365.25*24/A64 - L64</f>
        <v>71.051252317115285</v>
      </c>
      <c r="C64">
        <f>B64</f>
        <v>71.051252317115285</v>
      </c>
      <c r="D64" t="s">
        <v>25</v>
      </c>
      <c r="E64" t="s">
        <v>19</v>
      </c>
      <c r="F64">
        <v>1</v>
      </c>
      <c r="G64">
        <v>10</v>
      </c>
      <c r="I64">
        <v>2030</v>
      </c>
      <c r="J64">
        <f>AVERAGE(G64:G66)</f>
        <v>15</v>
      </c>
      <c r="K64" cm="1">
        <f t="array" ref="K64">STOWA2019_NDJF_T(A64*60,J64,I64,"","upper")</f>
        <v>4.9355302084615929E-2</v>
      </c>
      <c r="L64">
        <f>1/K64</f>
        <v>20.261247682884722</v>
      </c>
    </row>
    <row r="65" spans="1:12" x14ac:dyDescent="0.3">
      <c r="A65">
        <v>96</v>
      </c>
      <c r="B65">
        <f t="shared" ref="B65:B69" si="18">L64-L65</f>
        <v>4.2515722028267326</v>
      </c>
      <c r="C65">
        <f t="shared" ref="C65:C94" si="19">B65</f>
        <v>4.2515722028267326</v>
      </c>
      <c r="D65" t="s">
        <v>25</v>
      </c>
      <c r="E65" t="s">
        <v>19</v>
      </c>
      <c r="F65">
        <v>1</v>
      </c>
      <c r="G65">
        <f t="shared" ref="G65:G69" si="20">G64+5</f>
        <v>15</v>
      </c>
      <c r="I65">
        <v>2030</v>
      </c>
      <c r="J65">
        <f t="shared" ref="J65:J69" si="21">AVERAGE(G65:G66)</f>
        <v>17.5</v>
      </c>
      <c r="K65" cm="1">
        <f t="array" ref="K65">STOWA2019_NDJF_T(A65*60,J65,I65,"","upper")</f>
        <v>6.2462227997414591E-2</v>
      </c>
      <c r="L65">
        <f t="shared" ref="L65:L69" si="22">1/K65</f>
        <v>16.009675480057989</v>
      </c>
    </row>
    <row r="66" spans="1:12" x14ac:dyDescent="0.3">
      <c r="A66">
        <v>96</v>
      </c>
      <c r="B66">
        <f t="shared" si="18"/>
        <v>5.9775859817384998</v>
      </c>
      <c r="C66">
        <f t="shared" si="19"/>
        <v>5.9775859817384998</v>
      </c>
      <c r="D66" t="s">
        <v>25</v>
      </c>
      <c r="E66" t="s">
        <v>19</v>
      </c>
      <c r="F66">
        <v>1</v>
      </c>
      <c r="G66">
        <f t="shared" si="20"/>
        <v>20</v>
      </c>
      <c r="I66">
        <v>2030</v>
      </c>
      <c r="J66">
        <f t="shared" si="21"/>
        <v>22.5</v>
      </c>
      <c r="K66" cm="1">
        <f t="array" ref="K66">STOWA2019_NDJF_T(A66*60,J66,I66,"","upper")</f>
        <v>9.9680131458906293E-2</v>
      </c>
      <c r="L66">
        <f t="shared" si="22"/>
        <v>10.03208949831949</v>
      </c>
    </row>
    <row r="67" spans="1:12" x14ac:dyDescent="0.3">
      <c r="A67">
        <v>96</v>
      </c>
      <c r="B67">
        <f t="shared" si="18"/>
        <v>3.7156932470498774</v>
      </c>
      <c r="C67">
        <f t="shared" si="19"/>
        <v>3.7156932470498774</v>
      </c>
      <c r="D67" t="s">
        <v>25</v>
      </c>
      <c r="E67" t="s">
        <v>19</v>
      </c>
      <c r="F67">
        <v>1</v>
      </c>
      <c r="G67">
        <f t="shared" si="20"/>
        <v>25</v>
      </c>
      <c r="I67">
        <v>2030</v>
      </c>
      <c r="J67">
        <f t="shared" si="21"/>
        <v>27.5</v>
      </c>
      <c r="K67" cm="1">
        <f t="array" ref="K67">STOWA2019_NDJF_T(A67*60,J67,I67,"","upper")</f>
        <v>0.15831812321764921</v>
      </c>
      <c r="L67">
        <f t="shared" si="22"/>
        <v>6.3163962512696123</v>
      </c>
    </row>
    <row r="68" spans="1:12" x14ac:dyDescent="0.3">
      <c r="A68">
        <v>96</v>
      </c>
      <c r="B68">
        <f t="shared" si="18"/>
        <v>2.3208613119288155</v>
      </c>
      <c r="C68">
        <f t="shared" si="19"/>
        <v>2.3208613119288155</v>
      </c>
      <c r="D68" t="s">
        <v>25</v>
      </c>
      <c r="E68" t="s">
        <v>19</v>
      </c>
      <c r="F68">
        <v>1</v>
      </c>
      <c r="G68">
        <f t="shared" si="20"/>
        <v>30</v>
      </c>
      <c r="I68">
        <v>2030</v>
      </c>
      <c r="J68">
        <f t="shared" si="21"/>
        <v>32.5</v>
      </c>
      <c r="K68" cm="1">
        <f t="array" ref="K68">STOWA2019_NDJF_T(A68*60,J68,I68,"","upper")</f>
        <v>0.2502793781512983</v>
      </c>
      <c r="L68">
        <f t="shared" si="22"/>
        <v>3.9955349393407968</v>
      </c>
    </row>
    <row r="69" spans="1:12" x14ac:dyDescent="0.3">
      <c r="A69">
        <v>96</v>
      </c>
      <c r="B69">
        <f t="shared" si="18"/>
        <v>1.4565664144470656</v>
      </c>
      <c r="C69">
        <f t="shared" si="19"/>
        <v>1.4565664144470656</v>
      </c>
      <c r="D69" t="s">
        <v>25</v>
      </c>
      <c r="E69" t="s">
        <v>19</v>
      </c>
      <c r="F69">
        <v>1</v>
      </c>
      <c r="G69">
        <f t="shared" si="20"/>
        <v>35</v>
      </c>
      <c r="I69">
        <v>2030</v>
      </c>
      <c r="J69">
        <f t="shared" si="21"/>
        <v>37.5</v>
      </c>
      <c r="K69" cm="1">
        <f t="array" ref="K69">STOWA2019_NDJF_T(A69*60,J69,I69,"","upper")</f>
        <v>0.39386073131483779</v>
      </c>
      <c r="L69">
        <f t="shared" si="22"/>
        <v>2.5389685248937313</v>
      </c>
    </row>
    <row r="70" spans="1:12" x14ac:dyDescent="0.3">
      <c r="A70">
        <v>96</v>
      </c>
      <c r="B70">
        <f>L69-L70</f>
        <v>0.91830718920858012</v>
      </c>
      <c r="C70">
        <f t="shared" si="19"/>
        <v>0.91830718920858012</v>
      </c>
      <c r="D70" t="s">
        <v>25</v>
      </c>
      <c r="E70" t="s">
        <v>19</v>
      </c>
      <c r="F70">
        <v>1</v>
      </c>
      <c r="G70">
        <f>G69+5</f>
        <v>40</v>
      </c>
      <c r="I70">
        <v>2030</v>
      </c>
      <c r="J70">
        <f>AVERAGE(G70:G71)</f>
        <v>42.5</v>
      </c>
      <c r="K70" cm="1">
        <f t="array" ref="K70">STOWA2019_NDJF_T(A70*60,J70,I70,"","upper")</f>
        <v>0.61703205844498032</v>
      </c>
      <c r="L70">
        <f>1/K70</f>
        <v>1.6206613356851511</v>
      </c>
    </row>
    <row r="71" spans="1:12" x14ac:dyDescent="0.3">
      <c r="A71">
        <v>96</v>
      </c>
      <c r="B71">
        <f t="shared" ref="B71:B93" si="23">L70-L71</f>
        <v>0.58162353889762275</v>
      </c>
      <c r="C71">
        <f t="shared" si="19"/>
        <v>0.58162353889762275</v>
      </c>
      <c r="D71" t="s">
        <v>25</v>
      </c>
      <c r="E71" t="s">
        <v>19</v>
      </c>
      <c r="F71">
        <v>1</v>
      </c>
      <c r="G71">
        <f t="shared" ref="G71:G94" si="24">G70+5</f>
        <v>45</v>
      </c>
      <c r="I71">
        <v>2030</v>
      </c>
      <c r="J71">
        <f t="shared" ref="J71:J93" si="25">AVERAGE(G71:G72)</f>
        <v>47.5</v>
      </c>
      <c r="K71" cm="1">
        <f t="array" ref="K71">STOWA2019_NDJF_T(A71*60,J71,I71,"","upper")</f>
        <v>0.96242889632290129</v>
      </c>
      <c r="L71">
        <f t="shared" ref="L71:L93" si="26">1/K71</f>
        <v>1.0390377967875284</v>
      </c>
    </row>
    <row r="72" spans="1:12" x14ac:dyDescent="0.3">
      <c r="A72">
        <v>96</v>
      </c>
      <c r="B72">
        <f t="shared" si="23"/>
        <v>0.36995560294067209</v>
      </c>
      <c r="C72">
        <f t="shared" si="19"/>
        <v>0.36995560294067209</v>
      </c>
      <c r="D72" t="s">
        <v>25</v>
      </c>
      <c r="E72" t="s">
        <v>19</v>
      </c>
      <c r="F72">
        <v>1</v>
      </c>
      <c r="G72">
        <f t="shared" si="24"/>
        <v>50</v>
      </c>
      <c r="I72">
        <v>2030</v>
      </c>
      <c r="J72">
        <f t="shared" si="25"/>
        <v>52.5</v>
      </c>
      <c r="K72" cm="1">
        <f t="array" ref="K72">STOWA2019_NDJF_T(A72*60,J72,I72,"","upper")</f>
        <v>1.4945846851050504</v>
      </c>
      <c r="L72">
        <f t="shared" si="26"/>
        <v>0.6690821938468563</v>
      </c>
    </row>
    <row r="73" spans="1:12" x14ac:dyDescent="0.3">
      <c r="A73">
        <v>96</v>
      </c>
      <c r="B73">
        <f t="shared" si="23"/>
        <v>0.23644226443857075</v>
      </c>
      <c r="C73">
        <f t="shared" si="19"/>
        <v>0.23644226443857075</v>
      </c>
      <c r="D73" t="s">
        <v>25</v>
      </c>
      <c r="E73" t="s">
        <v>19</v>
      </c>
      <c r="F73">
        <v>1</v>
      </c>
      <c r="G73">
        <f t="shared" si="24"/>
        <v>55</v>
      </c>
      <c r="I73">
        <v>2030</v>
      </c>
      <c r="J73">
        <f t="shared" si="25"/>
        <v>57.5</v>
      </c>
      <c r="K73" cm="1">
        <f t="array" ref="K73">STOWA2019_NDJF_T(A73*60,J73,I73,"","upper")</f>
        <v>2.3113909096825238</v>
      </c>
      <c r="L73">
        <f t="shared" si="26"/>
        <v>0.43263992940828555</v>
      </c>
    </row>
    <row r="74" spans="1:12" x14ac:dyDescent="0.3">
      <c r="A74">
        <v>96</v>
      </c>
      <c r="B74">
        <f t="shared" si="23"/>
        <v>0.15172653412358755</v>
      </c>
      <c r="C74">
        <f t="shared" si="19"/>
        <v>0.15172653412358755</v>
      </c>
      <c r="D74" t="s">
        <v>25</v>
      </c>
      <c r="E74" t="s">
        <v>19</v>
      </c>
      <c r="F74">
        <v>1</v>
      </c>
      <c r="G74">
        <f t="shared" si="24"/>
        <v>60</v>
      </c>
      <c r="I74">
        <v>2030</v>
      </c>
      <c r="J74">
        <f t="shared" si="25"/>
        <v>62.5</v>
      </c>
      <c r="K74" cm="1">
        <f t="array" ref="K74">STOWA2019_NDJF_T(A74*60,J74,I74,"","upper")</f>
        <v>3.5598160030301425</v>
      </c>
      <c r="L74">
        <f t="shared" si="26"/>
        <v>0.280913395284698</v>
      </c>
    </row>
    <row r="75" spans="1:12" x14ac:dyDescent="0.3">
      <c r="A75">
        <v>96</v>
      </c>
      <c r="B75">
        <f t="shared" si="23"/>
        <v>9.7774175870855823E-2</v>
      </c>
      <c r="C75">
        <f t="shared" si="19"/>
        <v>9.7774175870855823E-2</v>
      </c>
      <c r="D75" t="s">
        <v>25</v>
      </c>
      <c r="E75" t="s">
        <v>19</v>
      </c>
      <c r="F75">
        <v>1</v>
      </c>
      <c r="G75">
        <f t="shared" si="24"/>
        <v>65</v>
      </c>
      <c r="I75">
        <v>2030</v>
      </c>
      <c r="J75">
        <f t="shared" si="25"/>
        <v>67.5</v>
      </c>
      <c r="K75" cm="1">
        <f t="array" ref="K75">STOWA2019_NDJF_T(A75*60,J75,I75,"","upper")</f>
        <v>5.4603268660891606</v>
      </c>
      <c r="L75">
        <f t="shared" si="26"/>
        <v>0.18313921941384217</v>
      </c>
    </row>
    <row r="76" spans="1:12" x14ac:dyDescent="0.3">
      <c r="A76">
        <v>96</v>
      </c>
      <c r="B76">
        <f t="shared" si="23"/>
        <v>6.3266181982751218E-2</v>
      </c>
      <c r="C76">
        <f t="shared" si="19"/>
        <v>6.3266181982751218E-2</v>
      </c>
      <c r="D76" t="s">
        <v>25</v>
      </c>
      <c r="E76" t="s">
        <v>19</v>
      </c>
      <c r="F76">
        <v>1</v>
      </c>
      <c r="G76">
        <f t="shared" si="24"/>
        <v>70</v>
      </c>
      <c r="I76">
        <v>2030</v>
      </c>
      <c r="J76">
        <f t="shared" si="25"/>
        <v>72.5</v>
      </c>
      <c r="K76" cm="1">
        <f t="array" ref="K76">STOWA2019_NDJF_T(A76*60,J76,I76,"","upper")</f>
        <v>8.3421595166873974</v>
      </c>
      <c r="L76">
        <f t="shared" si="26"/>
        <v>0.11987303743109096</v>
      </c>
    </row>
    <row r="77" spans="1:12" x14ac:dyDescent="0.3">
      <c r="A77">
        <v>96</v>
      </c>
      <c r="B77">
        <f t="shared" si="23"/>
        <v>4.1102929039712424E-2</v>
      </c>
      <c r="C77">
        <f t="shared" si="19"/>
        <v>4.1102929039712424E-2</v>
      </c>
      <c r="D77" t="s">
        <v>25</v>
      </c>
      <c r="E77" t="s">
        <v>19</v>
      </c>
      <c r="F77">
        <v>1</v>
      </c>
      <c r="G77">
        <f t="shared" si="24"/>
        <v>75</v>
      </c>
      <c r="I77">
        <v>2030</v>
      </c>
      <c r="J77">
        <f t="shared" si="25"/>
        <v>77.5</v>
      </c>
      <c r="K77" cm="1">
        <f t="array" ref="K77">STOWA2019_NDJF_T(A77*60,J77,I77,"","upper")</f>
        <v>12.695171054372333</v>
      </c>
      <c r="L77">
        <f t="shared" si="26"/>
        <v>7.8770108391378532E-2</v>
      </c>
    </row>
    <row r="78" spans="1:12" x14ac:dyDescent="0.3">
      <c r="A78">
        <v>96</v>
      </c>
      <c r="B78">
        <f t="shared" si="23"/>
        <v>2.6809522864816214E-2</v>
      </c>
      <c r="C78">
        <f t="shared" si="19"/>
        <v>2.6809522864816214E-2</v>
      </c>
      <c r="D78" t="s">
        <v>25</v>
      </c>
      <c r="E78" t="s">
        <v>19</v>
      </c>
      <c r="F78">
        <v>1</v>
      </c>
      <c r="G78">
        <f t="shared" si="24"/>
        <v>80</v>
      </c>
      <c r="I78">
        <v>2030</v>
      </c>
      <c r="J78">
        <f t="shared" si="25"/>
        <v>82.5</v>
      </c>
      <c r="K78" cm="1">
        <f t="array" ref="K78">STOWA2019_NDJF_T(A78*60,J78,I78,"","upper")</f>
        <v>19.245356646121678</v>
      </c>
      <c r="L78">
        <f t="shared" si="26"/>
        <v>5.1960585526562318E-2</v>
      </c>
    </row>
    <row r="79" spans="1:12" x14ac:dyDescent="0.3">
      <c r="A79">
        <v>96</v>
      </c>
      <c r="B79">
        <f t="shared" si="23"/>
        <v>1.7555608820851262E-2</v>
      </c>
      <c r="C79">
        <f t="shared" si="19"/>
        <v>1.7555608820851262E-2</v>
      </c>
      <c r="D79" t="s">
        <v>25</v>
      </c>
      <c r="E79" t="s">
        <v>19</v>
      </c>
      <c r="F79">
        <v>1</v>
      </c>
      <c r="G79">
        <f t="shared" si="24"/>
        <v>85</v>
      </c>
      <c r="I79">
        <v>2030</v>
      </c>
      <c r="J79">
        <f t="shared" si="25"/>
        <v>87.5</v>
      </c>
      <c r="K79" cm="1">
        <f t="array" ref="K79">STOWA2019_NDJF_T(A79*60,J79,I79,"","upper")</f>
        <v>29.065562478174996</v>
      </c>
      <c r="L79">
        <f t="shared" si="26"/>
        <v>3.4404976705711056E-2</v>
      </c>
    </row>
    <row r="80" spans="1:12" x14ac:dyDescent="0.3">
      <c r="A80">
        <v>96</v>
      </c>
      <c r="B80">
        <f t="shared" si="23"/>
        <v>1.1539445880627306E-2</v>
      </c>
      <c r="C80">
        <f t="shared" si="19"/>
        <v>1.1539445880627306E-2</v>
      </c>
      <c r="D80" t="s">
        <v>25</v>
      </c>
      <c r="E80" t="s">
        <v>19</v>
      </c>
      <c r="F80">
        <v>1</v>
      </c>
      <c r="G80">
        <f t="shared" si="24"/>
        <v>90</v>
      </c>
      <c r="I80">
        <v>2030</v>
      </c>
      <c r="J80">
        <f t="shared" si="25"/>
        <v>92.5</v>
      </c>
      <c r="K80" cm="1">
        <f t="array" ref="K80">STOWA2019_NDJF_T(A80*60,J80,I80,"","upper")</f>
        <v>43.73395079474772</v>
      </c>
      <c r="L80">
        <f t="shared" si="26"/>
        <v>2.286553082508375E-2</v>
      </c>
    </row>
    <row r="81" spans="1:12" x14ac:dyDescent="0.3">
      <c r="A81">
        <v>96</v>
      </c>
      <c r="B81">
        <f t="shared" si="23"/>
        <v>7.6137088671822221E-3</v>
      </c>
      <c r="C81">
        <f t="shared" si="19"/>
        <v>7.6137088671822221E-3</v>
      </c>
      <c r="D81" t="s">
        <v>25</v>
      </c>
      <c r="E81" t="s">
        <v>19</v>
      </c>
      <c r="F81">
        <v>1</v>
      </c>
      <c r="G81">
        <f t="shared" si="24"/>
        <v>95</v>
      </c>
      <c r="I81">
        <v>2030</v>
      </c>
      <c r="J81">
        <f t="shared" si="25"/>
        <v>97.5</v>
      </c>
      <c r="K81" cm="1">
        <f t="array" ref="K81">STOWA2019_NDJF_T(A81*60,J81,I81,"","upper")</f>
        <v>65.565937155588742</v>
      </c>
      <c r="L81">
        <f t="shared" si="26"/>
        <v>1.5251821957901528E-2</v>
      </c>
    </row>
    <row r="82" spans="1:12" x14ac:dyDescent="0.3">
      <c r="A82">
        <v>96</v>
      </c>
      <c r="B82">
        <f t="shared" si="23"/>
        <v>5.0420815693237482E-3</v>
      </c>
      <c r="C82">
        <f t="shared" si="19"/>
        <v>5.0420815693237482E-3</v>
      </c>
      <c r="D82" t="s">
        <v>25</v>
      </c>
      <c r="E82" t="s">
        <v>19</v>
      </c>
      <c r="F82">
        <v>1</v>
      </c>
      <c r="G82">
        <f t="shared" si="24"/>
        <v>100</v>
      </c>
      <c r="I82">
        <v>2030</v>
      </c>
      <c r="J82">
        <f t="shared" si="25"/>
        <v>102.5</v>
      </c>
      <c r="K82" cm="1">
        <f t="array" ref="K82">STOWA2019_NDJF_T(A82*60,J82,I82,"","upper")</f>
        <v>97.945683429791927</v>
      </c>
      <c r="L82">
        <f t="shared" si="26"/>
        <v>1.0209740388577779E-2</v>
      </c>
    </row>
    <row r="83" spans="1:12" x14ac:dyDescent="0.3">
      <c r="A83">
        <v>96</v>
      </c>
      <c r="B83">
        <f t="shared" si="23"/>
        <v>3.3512289947635618E-3</v>
      </c>
      <c r="C83">
        <f t="shared" si="19"/>
        <v>3.3512289947635618E-3</v>
      </c>
      <c r="D83" t="s">
        <v>25</v>
      </c>
      <c r="E83" t="s">
        <v>19</v>
      </c>
      <c r="F83">
        <v>1</v>
      </c>
      <c r="G83">
        <f t="shared" si="24"/>
        <v>105</v>
      </c>
      <c r="I83">
        <v>2030</v>
      </c>
      <c r="J83">
        <f t="shared" si="25"/>
        <v>107.5</v>
      </c>
      <c r="K83" cm="1">
        <f t="array" ref="K83">STOWA2019_NDJF_T(A83*60,J83,I83,"","upper")</f>
        <v>145.80423397734867</v>
      </c>
      <c r="L83">
        <f t="shared" si="26"/>
        <v>6.8585113938142176E-3</v>
      </c>
    </row>
    <row r="84" spans="1:12" x14ac:dyDescent="0.3">
      <c r="A84">
        <v>96</v>
      </c>
      <c r="B84">
        <f t="shared" si="23"/>
        <v>2.2352628182836145E-3</v>
      </c>
      <c r="C84">
        <f t="shared" si="19"/>
        <v>2.2352628182836145E-3</v>
      </c>
      <c r="D84" t="s">
        <v>25</v>
      </c>
      <c r="E84" t="s">
        <v>19</v>
      </c>
      <c r="F84">
        <v>1</v>
      </c>
      <c r="G84">
        <f t="shared" si="24"/>
        <v>110</v>
      </c>
      <c r="I84">
        <v>2030</v>
      </c>
      <c r="J84">
        <f t="shared" si="25"/>
        <v>112.5</v>
      </c>
      <c r="K84" cm="1">
        <f t="array" ref="K84">STOWA2019_NDJF_T(A84*60,J84,I84,"","upper")</f>
        <v>216.29812536853083</v>
      </c>
      <c r="L84">
        <f t="shared" si="26"/>
        <v>4.6232485755306032E-3</v>
      </c>
    </row>
    <row r="85" spans="1:12" x14ac:dyDescent="0.3">
      <c r="A85">
        <v>96</v>
      </c>
      <c r="B85">
        <f t="shared" si="23"/>
        <v>1.4961770455269919E-3</v>
      </c>
      <c r="C85">
        <f t="shared" si="19"/>
        <v>1.4961770455269919E-3</v>
      </c>
      <c r="D85" t="s">
        <v>25</v>
      </c>
      <c r="E85" t="s">
        <v>19</v>
      </c>
      <c r="F85">
        <v>1</v>
      </c>
      <c r="G85">
        <f t="shared" si="24"/>
        <v>115</v>
      </c>
      <c r="I85">
        <v>2030</v>
      </c>
      <c r="J85">
        <f t="shared" si="25"/>
        <v>117.5</v>
      </c>
      <c r="K85" cm="1">
        <f t="array" ref="K85">STOWA2019_NDJF_T(A85*60,J85,I85,"","upper")</f>
        <v>319.78801584971905</v>
      </c>
      <c r="L85">
        <f t="shared" si="26"/>
        <v>3.1270715300036112E-3</v>
      </c>
    </row>
    <row r="86" spans="1:12" x14ac:dyDescent="0.3">
      <c r="A86">
        <v>96</v>
      </c>
      <c r="B86">
        <f t="shared" si="23"/>
        <v>1.0049196157993386E-3</v>
      </c>
      <c r="C86">
        <f t="shared" si="19"/>
        <v>1.0049196157993386E-3</v>
      </c>
      <c r="D86" t="s">
        <v>25</v>
      </c>
      <c r="E86" t="s">
        <v>19</v>
      </c>
      <c r="F86">
        <v>1</v>
      </c>
      <c r="G86">
        <f t="shared" si="24"/>
        <v>120</v>
      </c>
      <c r="I86">
        <v>2030</v>
      </c>
      <c r="J86">
        <f t="shared" si="25"/>
        <v>122.5</v>
      </c>
      <c r="K86" cm="1">
        <f t="array" ref="K86">STOWA2019_NDJF_T(A86*60,J86,I86,"","upper")</f>
        <v>471.21979972624274</v>
      </c>
      <c r="L86">
        <f t="shared" si="26"/>
        <v>2.1221519142042727E-3</v>
      </c>
    </row>
    <row r="87" spans="1:12" x14ac:dyDescent="0.3">
      <c r="A87">
        <v>96</v>
      </c>
      <c r="B87">
        <f t="shared" si="23"/>
        <v>6.7724877370114642E-4</v>
      </c>
      <c r="C87">
        <f t="shared" si="19"/>
        <v>6.7724877370114642E-4</v>
      </c>
      <c r="D87" t="s">
        <v>25</v>
      </c>
      <c r="E87" t="s">
        <v>19</v>
      </c>
      <c r="F87">
        <v>1</v>
      </c>
      <c r="G87">
        <f t="shared" si="24"/>
        <v>125</v>
      </c>
      <c r="I87">
        <v>2030</v>
      </c>
      <c r="J87">
        <f t="shared" si="25"/>
        <v>127.5</v>
      </c>
      <c r="K87" cm="1">
        <f t="array" ref="K87">STOWA2019_NDJF_T(A87*60,J87,I87,"","upper")</f>
        <v>692.08791369350365</v>
      </c>
      <c r="L87">
        <f t="shared" si="26"/>
        <v>1.4449031405031263E-3</v>
      </c>
    </row>
    <row r="88" spans="1:12" x14ac:dyDescent="0.3">
      <c r="A88">
        <v>96</v>
      </c>
      <c r="B88">
        <f t="shared" si="23"/>
        <v>4.5793442346860405E-4</v>
      </c>
      <c r="C88">
        <f t="shared" si="19"/>
        <v>4.5793442346860405E-4</v>
      </c>
      <c r="D88" t="s">
        <v>25</v>
      </c>
      <c r="E88" t="s">
        <v>19</v>
      </c>
      <c r="F88">
        <v>1</v>
      </c>
      <c r="G88">
        <f t="shared" si="24"/>
        <v>130</v>
      </c>
      <c r="I88">
        <v>2030</v>
      </c>
      <c r="J88">
        <f t="shared" si="25"/>
        <v>132.5</v>
      </c>
      <c r="K88" cm="1">
        <f t="array" ref="K88">STOWA2019_NDJF_T(A88*60,J88,I88,"","upper")</f>
        <v>1013.2033394175168</v>
      </c>
      <c r="L88">
        <f t="shared" si="26"/>
        <v>9.8696871703452221E-4</v>
      </c>
    </row>
    <row r="89" spans="1:12" x14ac:dyDescent="0.3">
      <c r="A89">
        <v>96</v>
      </c>
      <c r="B89">
        <f t="shared" si="23"/>
        <v>3.106650070054417E-4</v>
      </c>
      <c r="C89">
        <f t="shared" si="19"/>
        <v>3.106650070054417E-4</v>
      </c>
      <c r="D89" t="s">
        <v>25</v>
      </c>
      <c r="E89" t="s">
        <v>19</v>
      </c>
      <c r="F89">
        <v>1</v>
      </c>
      <c r="G89">
        <f t="shared" si="24"/>
        <v>135</v>
      </c>
      <c r="I89">
        <v>2030</v>
      </c>
      <c r="J89">
        <f t="shared" si="25"/>
        <v>137.5</v>
      </c>
      <c r="K89" cm="1">
        <f t="array" ref="K89">STOWA2019_NDJF_T(A89*60,J89,I89,"","upper")</f>
        <v>1478.625631015688</v>
      </c>
      <c r="L89">
        <f t="shared" si="26"/>
        <v>6.7630371002908051E-4</v>
      </c>
    </row>
    <row r="90" spans="1:12" x14ac:dyDescent="0.3">
      <c r="A90">
        <v>96</v>
      </c>
      <c r="B90">
        <f t="shared" si="23"/>
        <v>2.1143110401107269E-4</v>
      </c>
      <c r="C90">
        <f t="shared" si="19"/>
        <v>2.1143110401107269E-4</v>
      </c>
      <c r="D90" t="s">
        <v>25</v>
      </c>
      <c r="E90" t="s">
        <v>19</v>
      </c>
      <c r="F90">
        <v>1</v>
      </c>
      <c r="G90">
        <f t="shared" si="24"/>
        <v>140</v>
      </c>
      <c r="I90">
        <v>2030</v>
      </c>
      <c r="J90">
        <f t="shared" si="25"/>
        <v>142.5</v>
      </c>
      <c r="K90" cm="1">
        <f t="array" ref="K90">STOWA2019_NDJF_T(A90*60,J90,I90,"","upper")</f>
        <v>2151.1269690975573</v>
      </c>
      <c r="L90">
        <f t="shared" si="26"/>
        <v>4.6487260601800782E-4</v>
      </c>
    </row>
    <row r="91" spans="1:12" x14ac:dyDescent="0.3">
      <c r="A91">
        <v>96</v>
      </c>
      <c r="B91">
        <f t="shared" si="23"/>
        <v>1.4435063044470372E-4</v>
      </c>
      <c r="C91">
        <f t="shared" si="19"/>
        <v>1.4435063044470372E-4</v>
      </c>
      <c r="D91" t="s">
        <v>25</v>
      </c>
      <c r="E91" t="s">
        <v>19</v>
      </c>
      <c r="F91">
        <v>1</v>
      </c>
      <c r="G91">
        <f t="shared" si="24"/>
        <v>145</v>
      </c>
      <c r="I91">
        <v>2030</v>
      </c>
      <c r="J91">
        <f t="shared" si="25"/>
        <v>147.5</v>
      </c>
      <c r="K91" cm="1">
        <f t="array" ref="K91">STOWA2019_NDJF_T(A91*60,J91,I91,"","upper")</f>
        <v>3119.910883524733</v>
      </c>
      <c r="L91">
        <f t="shared" si="26"/>
        <v>3.205219755733041E-4</v>
      </c>
    </row>
    <row r="92" spans="1:12" x14ac:dyDescent="0.3">
      <c r="A92">
        <v>96</v>
      </c>
      <c r="B92">
        <f t="shared" si="23"/>
        <v>9.8858534068406152E-5</v>
      </c>
      <c r="C92">
        <f t="shared" si="19"/>
        <v>9.8858534068406152E-5</v>
      </c>
      <c r="D92" t="s">
        <v>25</v>
      </c>
      <c r="E92" t="s">
        <v>19</v>
      </c>
      <c r="F92">
        <v>1</v>
      </c>
      <c r="G92">
        <f t="shared" si="24"/>
        <v>150</v>
      </c>
      <c r="I92">
        <v>2030</v>
      </c>
      <c r="J92">
        <f t="shared" si="25"/>
        <v>152.5</v>
      </c>
      <c r="K92" cm="1">
        <f t="array" ref="K92">STOWA2019_NDJF_T(A92*60,J92,I92,"","upper")</f>
        <v>4511.3438337458265</v>
      </c>
      <c r="L92">
        <f t="shared" si="26"/>
        <v>2.2166344150489794E-4</v>
      </c>
    </row>
    <row r="93" spans="1:12" x14ac:dyDescent="0.3">
      <c r="A93">
        <v>96</v>
      </c>
      <c r="B93">
        <f t="shared" si="23"/>
        <v>6.7912824807168524E-5</v>
      </c>
      <c r="C93">
        <f t="shared" si="19"/>
        <v>6.7912824807168524E-5</v>
      </c>
      <c r="D93" t="s">
        <v>25</v>
      </c>
      <c r="E93" t="s">
        <v>19</v>
      </c>
      <c r="F93">
        <v>1</v>
      </c>
      <c r="G93">
        <f t="shared" si="24"/>
        <v>155</v>
      </c>
      <c r="I93">
        <v>2030</v>
      </c>
      <c r="J93">
        <f t="shared" si="25"/>
        <v>157.5</v>
      </c>
      <c r="K93" cm="1">
        <f t="array" ref="K93">STOWA2019_NDJF_T(A93*60,J93,I93,"","upper")</f>
        <v>6504.03895267607</v>
      </c>
      <c r="L93">
        <f t="shared" si="26"/>
        <v>1.5375061669772942E-4</v>
      </c>
    </row>
    <row r="94" spans="1:12" x14ac:dyDescent="0.3">
      <c r="A94">
        <v>96</v>
      </c>
      <c r="B94" s="1">
        <f>L93</f>
        <v>1.5375061669772942E-4</v>
      </c>
      <c r="C94">
        <f t="shared" si="19"/>
        <v>1.5375061669772942E-4</v>
      </c>
      <c r="D94" t="s">
        <v>25</v>
      </c>
      <c r="E94" t="s">
        <v>19</v>
      </c>
      <c r="F94">
        <v>1</v>
      </c>
      <c r="G94">
        <f t="shared" si="24"/>
        <v>160</v>
      </c>
      <c r="I94">
        <v>2030</v>
      </c>
      <c r="J94">
        <f>AVERAGE(G94:G95)</f>
        <v>85</v>
      </c>
      <c r="K94" cm="1">
        <f t="array" ref="K94">STOWA2019_NDJF_T(A94*60,J94,I94,"","upper")</f>
        <v>23.662311246219186</v>
      </c>
      <c r="L94">
        <f>1/K94</f>
        <v>4.2261298551711936E-2</v>
      </c>
    </row>
    <row r="95" spans="1:12" x14ac:dyDescent="0.3">
      <c r="A95">
        <v>192</v>
      </c>
      <c r="B95" s="1">
        <f>365.25*24/A95 - L95</f>
        <v>24.324109395635908</v>
      </c>
      <c r="C95">
        <f>B95</f>
        <v>24.324109395635908</v>
      </c>
      <c r="D95" t="s">
        <v>25</v>
      </c>
      <c r="E95" t="s">
        <v>19</v>
      </c>
      <c r="F95">
        <v>1</v>
      </c>
      <c r="G95">
        <v>10</v>
      </c>
      <c r="I95">
        <v>2030</v>
      </c>
      <c r="J95">
        <f>AVERAGE(G95:G97)</f>
        <v>15</v>
      </c>
      <c r="K95" cm="1">
        <f t="array" ref="K95">STOWA2019_NDJF_T(A95*60,J95,I95,"","upper")</f>
        <v>4.6877620888895778E-2</v>
      </c>
      <c r="L95">
        <f>1/K95</f>
        <v>21.332140604364092</v>
      </c>
    </row>
    <row r="96" spans="1:12" x14ac:dyDescent="0.3">
      <c r="A96">
        <v>192</v>
      </c>
      <c r="B96">
        <f t="shared" ref="B96:B100" si="27">L95-L96</f>
        <v>2.752640278704277</v>
      </c>
      <c r="C96">
        <f t="shared" ref="C96:C125" si="28">B96</f>
        <v>2.752640278704277</v>
      </c>
      <c r="D96" t="s">
        <v>25</v>
      </c>
      <c r="E96" t="s">
        <v>19</v>
      </c>
      <c r="F96">
        <v>1</v>
      </c>
      <c r="G96">
        <f t="shared" ref="G96:G100" si="29">G95+5</f>
        <v>15</v>
      </c>
      <c r="I96">
        <v>2030</v>
      </c>
      <c r="J96">
        <f t="shared" ref="J96:J100" si="30">AVERAGE(G96:G97)</f>
        <v>17.5</v>
      </c>
      <c r="K96" cm="1">
        <f t="array" ref="K96">STOWA2019_NDJF_T(A96*60,J96,I96,"","upper")</f>
        <v>5.3822760702499514E-2</v>
      </c>
      <c r="L96">
        <f t="shared" ref="L96:L100" si="31">1/K96</f>
        <v>18.579500325659815</v>
      </c>
    </row>
    <row r="97" spans="1:12" x14ac:dyDescent="0.3">
      <c r="A97">
        <v>192</v>
      </c>
      <c r="B97">
        <f t="shared" si="27"/>
        <v>4.5230138602463974</v>
      </c>
      <c r="C97">
        <f t="shared" si="28"/>
        <v>4.5230138602463974</v>
      </c>
      <c r="D97" t="s">
        <v>25</v>
      </c>
      <c r="E97" t="s">
        <v>19</v>
      </c>
      <c r="F97">
        <v>1</v>
      </c>
      <c r="G97">
        <f t="shared" si="29"/>
        <v>20</v>
      </c>
      <c r="I97">
        <v>2030</v>
      </c>
      <c r="J97">
        <f t="shared" si="30"/>
        <v>22.5</v>
      </c>
      <c r="K97" cm="1">
        <f t="array" ref="K97">STOWA2019_NDJF_T(A97*60,J97,I97,"","upper")</f>
        <v>7.1141533302830864E-2</v>
      </c>
      <c r="L97">
        <f t="shared" si="31"/>
        <v>14.056486465413418</v>
      </c>
    </row>
    <row r="98" spans="1:12" x14ac:dyDescent="0.3">
      <c r="A98">
        <v>192</v>
      </c>
      <c r="B98">
        <f t="shared" si="27"/>
        <v>3.4604154806172644</v>
      </c>
      <c r="C98">
        <f t="shared" si="28"/>
        <v>3.4604154806172644</v>
      </c>
      <c r="D98" t="s">
        <v>25</v>
      </c>
      <c r="E98" t="s">
        <v>19</v>
      </c>
      <c r="F98">
        <v>1</v>
      </c>
      <c r="G98">
        <f t="shared" si="29"/>
        <v>25</v>
      </c>
      <c r="I98">
        <v>2030</v>
      </c>
      <c r="J98">
        <f t="shared" si="30"/>
        <v>27.5</v>
      </c>
      <c r="K98" cm="1">
        <f t="array" ref="K98">STOWA2019_NDJF_T(A98*60,J98,I98,"","upper")</f>
        <v>9.4374603703094945E-2</v>
      </c>
      <c r="L98">
        <f t="shared" si="31"/>
        <v>10.596070984796153</v>
      </c>
    </row>
    <row r="99" spans="1:12" x14ac:dyDescent="0.3">
      <c r="A99">
        <v>192</v>
      </c>
      <c r="B99">
        <f t="shared" si="27"/>
        <v>2.6382293488111692</v>
      </c>
      <c r="C99">
        <f t="shared" si="28"/>
        <v>2.6382293488111692</v>
      </c>
      <c r="D99" t="s">
        <v>25</v>
      </c>
      <c r="E99" t="s">
        <v>19</v>
      </c>
      <c r="F99">
        <v>1</v>
      </c>
      <c r="G99">
        <f t="shared" si="29"/>
        <v>30</v>
      </c>
      <c r="I99">
        <v>2030</v>
      </c>
      <c r="J99">
        <f t="shared" si="30"/>
        <v>32.5</v>
      </c>
      <c r="K99" cm="1">
        <f t="array" ref="K99">STOWA2019_NDJF_T(A99*60,J99,I99,"","upper")</f>
        <v>0.12566221417099421</v>
      </c>
      <c r="L99">
        <f t="shared" si="31"/>
        <v>7.957841635984984</v>
      </c>
    </row>
    <row r="100" spans="1:12" x14ac:dyDescent="0.3">
      <c r="A100">
        <v>192</v>
      </c>
      <c r="B100">
        <f t="shared" si="27"/>
        <v>2.0041531935531429</v>
      </c>
      <c r="C100">
        <f t="shared" si="28"/>
        <v>2.0041531935531429</v>
      </c>
      <c r="D100" t="s">
        <v>25</v>
      </c>
      <c r="E100" t="s">
        <v>19</v>
      </c>
      <c r="F100">
        <v>1</v>
      </c>
      <c r="G100">
        <f t="shared" si="29"/>
        <v>35</v>
      </c>
      <c r="I100">
        <v>2030</v>
      </c>
      <c r="J100">
        <f t="shared" si="30"/>
        <v>37.5</v>
      </c>
      <c r="K100" cm="1">
        <f t="array" ref="K100">STOWA2019_NDJF_T(A100*60,J100,I100,"","upper")</f>
        <v>0.16796310550498683</v>
      </c>
      <c r="L100">
        <f t="shared" si="31"/>
        <v>5.953688442431841</v>
      </c>
    </row>
    <row r="101" spans="1:12" x14ac:dyDescent="0.3">
      <c r="A101">
        <v>192</v>
      </c>
      <c r="B101">
        <f>L100-L101</f>
        <v>1.5168970842323484</v>
      </c>
      <c r="C101">
        <f t="shared" si="28"/>
        <v>1.5168970842323484</v>
      </c>
      <c r="D101" t="s">
        <v>25</v>
      </c>
      <c r="E101" t="s">
        <v>19</v>
      </c>
      <c r="F101">
        <v>1</v>
      </c>
      <c r="G101">
        <f>G100+5</f>
        <v>40</v>
      </c>
      <c r="I101">
        <v>2030</v>
      </c>
      <c r="J101">
        <f>AVERAGE(G101:G102)</f>
        <v>42.5</v>
      </c>
      <c r="K101" cm="1">
        <f t="array" ref="K101">STOWA2019_NDJF_T(A101*60,J101,I101,"","upper")</f>
        <v>0.22538810578774046</v>
      </c>
      <c r="L101">
        <f>1/K101</f>
        <v>4.4367913581994927</v>
      </c>
    </row>
    <row r="102" spans="1:12" x14ac:dyDescent="0.3">
      <c r="A102">
        <v>192</v>
      </c>
      <c r="B102">
        <f t="shared" ref="B102:B124" si="32">L101-L102</f>
        <v>1.1436893675846198</v>
      </c>
      <c r="C102">
        <f t="shared" si="28"/>
        <v>1.1436893675846198</v>
      </c>
      <c r="D102" t="s">
        <v>25</v>
      </c>
      <c r="E102" t="s">
        <v>19</v>
      </c>
      <c r="F102">
        <v>1</v>
      </c>
      <c r="G102">
        <f t="shared" ref="G102:G125" si="33">G101+5</f>
        <v>45</v>
      </c>
      <c r="I102">
        <v>2030</v>
      </c>
      <c r="J102">
        <f t="shared" ref="J102:J124" si="34">AVERAGE(G102:G103)</f>
        <v>47.5</v>
      </c>
      <c r="K102" cm="1">
        <f t="array" ref="K102">STOWA2019_NDJF_T(A102*60,J102,I102,"","upper")</f>
        <v>0.30366505588042375</v>
      </c>
      <c r="L102">
        <f t="shared" ref="L102:L124" si="35">1/K102</f>
        <v>3.2931019906148729</v>
      </c>
    </row>
    <row r="103" spans="1:12" x14ac:dyDescent="0.3">
      <c r="A103">
        <v>192</v>
      </c>
      <c r="B103">
        <f t="shared" si="32"/>
        <v>0.85897991431075127</v>
      </c>
      <c r="C103">
        <f t="shared" si="28"/>
        <v>0.85897991431075127</v>
      </c>
      <c r="D103" t="s">
        <v>25</v>
      </c>
      <c r="E103" t="s">
        <v>19</v>
      </c>
      <c r="F103">
        <v>1</v>
      </c>
      <c r="G103">
        <f t="shared" si="33"/>
        <v>50</v>
      </c>
      <c r="I103">
        <v>2030</v>
      </c>
      <c r="J103">
        <f t="shared" si="34"/>
        <v>52.5</v>
      </c>
      <c r="K103" cm="1">
        <f t="array" ref="K103">STOWA2019_NDJF_T(A103*60,J103,I103,"","upper")</f>
        <v>0.41082573866564737</v>
      </c>
      <c r="L103">
        <f t="shared" si="35"/>
        <v>2.4341220763041216</v>
      </c>
    </row>
    <row r="104" spans="1:12" x14ac:dyDescent="0.3">
      <c r="A104">
        <v>192</v>
      </c>
      <c r="B104">
        <f t="shared" si="32"/>
        <v>0.64257970531082376</v>
      </c>
      <c r="C104">
        <f t="shared" si="28"/>
        <v>0.64257970531082376</v>
      </c>
      <c r="D104" t="s">
        <v>25</v>
      </c>
      <c r="E104" t="s">
        <v>19</v>
      </c>
      <c r="F104">
        <v>1</v>
      </c>
      <c r="G104">
        <f t="shared" si="33"/>
        <v>55</v>
      </c>
      <c r="I104">
        <v>2030</v>
      </c>
      <c r="J104">
        <f t="shared" si="34"/>
        <v>57.5</v>
      </c>
      <c r="K104" cm="1">
        <f t="array" ref="K104">STOWA2019_NDJF_T(A104*60,J104,I104,"","upper")</f>
        <v>0.55817825812602062</v>
      </c>
      <c r="L104">
        <f t="shared" si="35"/>
        <v>1.7915423709932978</v>
      </c>
    </row>
    <row r="105" spans="1:12" x14ac:dyDescent="0.3">
      <c r="A105">
        <v>192</v>
      </c>
      <c r="B105">
        <f t="shared" si="32"/>
        <v>0.47871993601905749</v>
      </c>
      <c r="C105">
        <f t="shared" si="28"/>
        <v>0.47871993601905749</v>
      </c>
      <c r="D105" t="s">
        <v>25</v>
      </c>
      <c r="E105" t="s">
        <v>19</v>
      </c>
      <c r="F105">
        <v>1</v>
      </c>
      <c r="G105">
        <f t="shared" si="33"/>
        <v>60</v>
      </c>
      <c r="I105">
        <v>2030</v>
      </c>
      <c r="J105">
        <f t="shared" si="34"/>
        <v>62.5</v>
      </c>
      <c r="K105" cm="1">
        <f t="array" ref="K105">STOWA2019_NDJF_T(A105*60,J105,I105,"","upper")</f>
        <v>0.76171763473833509</v>
      </c>
      <c r="L105">
        <f t="shared" si="35"/>
        <v>1.3128224349742403</v>
      </c>
    </row>
    <row r="106" spans="1:12" x14ac:dyDescent="0.3">
      <c r="A106">
        <v>192</v>
      </c>
      <c r="B106">
        <f t="shared" si="32"/>
        <v>0.35506215852281264</v>
      </c>
      <c r="C106">
        <f t="shared" si="28"/>
        <v>0.35506215852281264</v>
      </c>
      <c r="D106" t="s">
        <v>25</v>
      </c>
      <c r="E106" t="s">
        <v>19</v>
      </c>
      <c r="F106">
        <v>1</v>
      </c>
      <c r="G106">
        <f t="shared" si="33"/>
        <v>65</v>
      </c>
      <c r="I106">
        <v>2030</v>
      </c>
      <c r="J106">
        <f t="shared" si="34"/>
        <v>67.5</v>
      </c>
      <c r="K106" cm="1">
        <f t="array" ref="K106">STOWA2019_NDJF_T(A106*60,J106,I106,"","upper")</f>
        <v>1.0441026054088123</v>
      </c>
      <c r="L106">
        <f t="shared" si="35"/>
        <v>0.95776027645142769</v>
      </c>
    </row>
    <row r="107" spans="1:12" x14ac:dyDescent="0.3">
      <c r="A107">
        <v>192</v>
      </c>
      <c r="B107">
        <f t="shared" si="32"/>
        <v>0.26231195996292966</v>
      </c>
      <c r="C107">
        <f t="shared" si="28"/>
        <v>0.26231195996292966</v>
      </c>
      <c r="D107" t="s">
        <v>25</v>
      </c>
      <c r="E107" t="s">
        <v>19</v>
      </c>
      <c r="F107">
        <v>1</v>
      </c>
      <c r="G107">
        <f t="shared" si="33"/>
        <v>70</v>
      </c>
      <c r="I107">
        <v>2030</v>
      </c>
      <c r="J107">
        <f t="shared" si="34"/>
        <v>72.5</v>
      </c>
      <c r="K107" cm="1">
        <f t="array" ref="K107">STOWA2019_NDJF_T(A107*60,J107,I107,"","upper")</f>
        <v>1.437921375738263</v>
      </c>
      <c r="L107">
        <f t="shared" si="35"/>
        <v>0.69544831648849803</v>
      </c>
    </row>
    <row r="108" spans="1:12" x14ac:dyDescent="0.3">
      <c r="A108">
        <v>192</v>
      </c>
      <c r="B108">
        <f t="shared" si="32"/>
        <v>0.19287917545123034</v>
      </c>
      <c r="C108">
        <f t="shared" si="28"/>
        <v>0.19287917545123034</v>
      </c>
      <c r="D108" t="s">
        <v>25</v>
      </c>
      <c r="E108" t="s">
        <v>19</v>
      </c>
      <c r="F108">
        <v>1</v>
      </c>
      <c r="G108">
        <f t="shared" si="33"/>
        <v>75</v>
      </c>
      <c r="I108">
        <v>2030</v>
      </c>
      <c r="J108">
        <f t="shared" si="34"/>
        <v>77.5</v>
      </c>
      <c r="K108" cm="1">
        <f t="array" ref="K108">STOWA2019_NDJF_T(A108*60,J108,I108,"","upper")</f>
        <v>1.9897759698020252</v>
      </c>
      <c r="L108">
        <f t="shared" si="35"/>
        <v>0.50256914103726769</v>
      </c>
    </row>
    <row r="109" spans="1:12" x14ac:dyDescent="0.3">
      <c r="A109">
        <v>192</v>
      </c>
      <c r="B109">
        <f t="shared" si="32"/>
        <v>0.14117203768493969</v>
      </c>
      <c r="C109">
        <f t="shared" si="28"/>
        <v>0.14117203768493969</v>
      </c>
      <c r="D109" t="s">
        <v>25</v>
      </c>
      <c r="E109" t="s">
        <v>19</v>
      </c>
      <c r="F109">
        <v>1</v>
      </c>
      <c r="G109">
        <f t="shared" si="33"/>
        <v>80</v>
      </c>
      <c r="I109">
        <v>2030</v>
      </c>
      <c r="J109">
        <f t="shared" si="34"/>
        <v>82.5</v>
      </c>
      <c r="K109" cm="1">
        <f t="array" ref="K109">STOWA2019_NDJF_T(A109*60,J109,I109,"","upper")</f>
        <v>2.767039333530835</v>
      </c>
      <c r="L109">
        <f t="shared" si="35"/>
        <v>0.361397103352328</v>
      </c>
    </row>
    <row r="110" spans="1:12" x14ac:dyDescent="0.3">
      <c r="A110">
        <v>192</v>
      </c>
      <c r="B110">
        <f t="shared" si="32"/>
        <v>0.10283159651516899</v>
      </c>
      <c r="C110">
        <f t="shared" si="28"/>
        <v>0.10283159651516899</v>
      </c>
      <c r="D110" t="s">
        <v>25</v>
      </c>
      <c r="E110" t="s">
        <v>19</v>
      </c>
      <c r="F110">
        <v>1</v>
      </c>
      <c r="G110">
        <f t="shared" si="33"/>
        <v>85</v>
      </c>
      <c r="I110">
        <v>2030</v>
      </c>
      <c r="J110">
        <f t="shared" si="34"/>
        <v>87.5</v>
      </c>
      <c r="K110" cm="1">
        <f t="array" ref="K110">STOWA2019_NDJF_T(A110*60,J110,I110,"","upper")</f>
        <v>3.8674918871904524</v>
      </c>
      <c r="L110">
        <f t="shared" si="35"/>
        <v>0.25856550683715901</v>
      </c>
    </row>
    <row r="111" spans="1:12" x14ac:dyDescent="0.3">
      <c r="A111">
        <v>192</v>
      </c>
      <c r="B111">
        <f t="shared" si="32"/>
        <v>7.4538461789875332E-2</v>
      </c>
      <c r="C111">
        <f t="shared" si="28"/>
        <v>7.4538461789875332E-2</v>
      </c>
      <c r="D111" t="s">
        <v>25</v>
      </c>
      <c r="E111" t="s">
        <v>19</v>
      </c>
      <c r="F111">
        <v>1</v>
      </c>
      <c r="G111">
        <f t="shared" si="33"/>
        <v>90</v>
      </c>
      <c r="I111">
        <v>2030</v>
      </c>
      <c r="J111">
        <f t="shared" si="34"/>
        <v>92.5</v>
      </c>
      <c r="K111" cm="1">
        <f t="array" ref="K111">STOWA2019_NDJF_T(A111*60,J111,I111,"","upper")</f>
        <v>5.4339839002634704</v>
      </c>
      <c r="L111">
        <f t="shared" si="35"/>
        <v>0.18402704504728368</v>
      </c>
    </row>
    <row r="112" spans="1:12" x14ac:dyDescent="0.3">
      <c r="A112">
        <v>192</v>
      </c>
      <c r="B112">
        <f t="shared" si="32"/>
        <v>5.3757610328783123E-2</v>
      </c>
      <c r="C112">
        <f t="shared" si="28"/>
        <v>5.3757610328783123E-2</v>
      </c>
      <c r="D112" t="s">
        <v>25</v>
      </c>
      <c r="E112" t="s">
        <v>19</v>
      </c>
      <c r="F112">
        <v>1</v>
      </c>
      <c r="G112">
        <f t="shared" si="33"/>
        <v>95</v>
      </c>
      <c r="I112">
        <v>2030</v>
      </c>
      <c r="J112">
        <f t="shared" si="34"/>
        <v>97.5</v>
      </c>
      <c r="K112" cm="1">
        <f t="array" ref="K112">STOWA2019_NDJF_T(A112*60,J112,I112,"","upper")</f>
        <v>7.6763977840304731</v>
      </c>
      <c r="L112">
        <f t="shared" si="35"/>
        <v>0.13026943471850055</v>
      </c>
    </row>
    <row r="113" spans="1:12" x14ac:dyDescent="0.3">
      <c r="A113">
        <v>192</v>
      </c>
      <c r="B113">
        <f t="shared" si="32"/>
        <v>3.856634508195228E-2</v>
      </c>
      <c r="C113">
        <f t="shared" si="28"/>
        <v>3.856634508195228E-2</v>
      </c>
      <c r="D113" t="s">
        <v>25</v>
      </c>
      <c r="E113" t="s">
        <v>19</v>
      </c>
      <c r="F113">
        <v>1</v>
      </c>
      <c r="G113">
        <f t="shared" si="33"/>
        <v>100</v>
      </c>
      <c r="I113">
        <v>2030</v>
      </c>
      <c r="J113">
        <f t="shared" si="34"/>
        <v>102.5</v>
      </c>
      <c r="K113" cm="1">
        <f t="array" ref="K113">STOWA2019_NDJF_T(A113*60,J113,I113,"","upper")</f>
        <v>10.904757996304738</v>
      </c>
      <c r="L113">
        <f t="shared" si="35"/>
        <v>9.1703089636548274E-2</v>
      </c>
    </row>
    <row r="114" spans="1:12" x14ac:dyDescent="0.3">
      <c r="A114">
        <v>192</v>
      </c>
      <c r="B114">
        <f t="shared" si="32"/>
        <v>2.7520051976288387E-2</v>
      </c>
      <c r="C114">
        <f t="shared" si="28"/>
        <v>2.7520051976288387E-2</v>
      </c>
      <c r="D114" t="s">
        <v>25</v>
      </c>
      <c r="E114" t="s">
        <v>19</v>
      </c>
      <c r="F114">
        <v>1</v>
      </c>
      <c r="G114">
        <f t="shared" si="33"/>
        <v>105</v>
      </c>
      <c r="I114">
        <v>2030</v>
      </c>
      <c r="J114">
        <f t="shared" si="34"/>
        <v>107.5</v>
      </c>
      <c r="K114" cm="1">
        <f t="array" ref="K114">STOWA2019_NDJF_T(A114*60,J114,I114,"","upper")</f>
        <v>15.580440509738736</v>
      </c>
      <c r="L114">
        <f t="shared" si="35"/>
        <v>6.4183037660259887E-2</v>
      </c>
    </row>
    <row r="115" spans="1:12" x14ac:dyDescent="0.3">
      <c r="A115">
        <v>192</v>
      </c>
      <c r="B115">
        <f t="shared" si="32"/>
        <v>1.9527632301461852E-2</v>
      </c>
      <c r="C115">
        <f t="shared" si="28"/>
        <v>1.9527632301461852E-2</v>
      </c>
      <c r="D115" t="s">
        <v>25</v>
      </c>
      <c r="E115" t="s">
        <v>19</v>
      </c>
      <c r="F115">
        <v>1</v>
      </c>
      <c r="G115">
        <f t="shared" si="33"/>
        <v>110</v>
      </c>
      <c r="I115">
        <v>2030</v>
      </c>
      <c r="J115">
        <f t="shared" si="34"/>
        <v>112.5</v>
      </c>
      <c r="K115" cm="1">
        <f t="array" ref="K115">STOWA2019_NDJF_T(A115*60,J115,I115,"","upper")</f>
        <v>22.393705576406315</v>
      </c>
      <c r="L115">
        <f t="shared" si="35"/>
        <v>4.4655405358798035E-2</v>
      </c>
    </row>
    <row r="116" spans="1:12" x14ac:dyDescent="0.3">
      <c r="A116">
        <v>192</v>
      </c>
      <c r="B116">
        <f t="shared" si="32"/>
        <v>1.3777240078093552E-2</v>
      </c>
      <c r="C116">
        <f t="shared" si="28"/>
        <v>1.3777240078093552E-2</v>
      </c>
      <c r="D116" t="s">
        <v>25</v>
      </c>
      <c r="E116" t="s">
        <v>19</v>
      </c>
      <c r="F116">
        <v>1</v>
      </c>
      <c r="G116">
        <f t="shared" si="33"/>
        <v>115</v>
      </c>
      <c r="I116">
        <v>2030</v>
      </c>
      <c r="J116">
        <f t="shared" si="34"/>
        <v>117.5</v>
      </c>
      <c r="K116" cm="1">
        <f t="array" ref="K116">STOWA2019_NDJF_T(A116*60,J116,I116,"","upper")</f>
        <v>32.38534384764408</v>
      </c>
      <c r="L116">
        <f t="shared" si="35"/>
        <v>3.0878165280704483E-2</v>
      </c>
    </row>
    <row r="117" spans="1:12" x14ac:dyDescent="0.3">
      <c r="A117">
        <v>192</v>
      </c>
      <c r="B117">
        <f t="shared" si="32"/>
        <v>9.6621705011023067E-3</v>
      </c>
      <c r="C117">
        <f t="shared" si="28"/>
        <v>9.6621705011023067E-3</v>
      </c>
      <c r="D117" t="s">
        <v>25</v>
      </c>
      <c r="E117" t="s">
        <v>19</v>
      </c>
      <c r="F117">
        <v>1</v>
      </c>
      <c r="G117">
        <f t="shared" si="33"/>
        <v>120</v>
      </c>
      <c r="I117">
        <v>2030</v>
      </c>
      <c r="J117">
        <f t="shared" si="34"/>
        <v>122.5</v>
      </c>
      <c r="K117" cm="1">
        <f t="array" ref="K117">STOWA2019_NDJF_T(A117*60,J117,I117,"","upper")</f>
        <v>47.13424990853769</v>
      </c>
      <c r="L117">
        <f t="shared" si="35"/>
        <v>2.1215994779602176E-2</v>
      </c>
    </row>
    <row r="118" spans="1:12" x14ac:dyDescent="0.3">
      <c r="A118">
        <v>192</v>
      </c>
      <c r="B118">
        <f t="shared" si="32"/>
        <v>6.7346207920895001E-3</v>
      </c>
      <c r="C118">
        <f t="shared" si="28"/>
        <v>6.7346207920895001E-3</v>
      </c>
      <c r="D118" t="s">
        <v>25</v>
      </c>
      <c r="E118" t="s">
        <v>19</v>
      </c>
      <c r="F118">
        <v>1</v>
      </c>
      <c r="G118">
        <f t="shared" si="33"/>
        <v>125</v>
      </c>
      <c r="I118">
        <v>2030</v>
      </c>
      <c r="J118">
        <f t="shared" si="34"/>
        <v>127.5</v>
      </c>
      <c r="K118" cm="1">
        <f t="array" ref="K118">STOWA2019_NDJF_T(A118*60,J118,I118,"","upper")</f>
        <v>69.054221019518067</v>
      </c>
      <c r="L118">
        <f t="shared" si="35"/>
        <v>1.4481373987512676E-2</v>
      </c>
    </row>
    <row r="119" spans="1:12" x14ac:dyDescent="0.3">
      <c r="A119">
        <v>192</v>
      </c>
      <c r="B119">
        <f t="shared" si="32"/>
        <v>4.664033985981501E-3</v>
      </c>
      <c r="C119">
        <f t="shared" si="28"/>
        <v>4.664033985981501E-3</v>
      </c>
      <c r="D119" t="s">
        <v>25</v>
      </c>
      <c r="E119" t="s">
        <v>19</v>
      </c>
      <c r="F119">
        <v>1</v>
      </c>
      <c r="G119">
        <f t="shared" si="33"/>
        <v>130</v>
      </c>
      <c r="I119">
        <v>2030</v>
      </c>
      <c r="J119">
        <f t="shared" si="34"/>
        <v>132.5</v>
      </c>
      <c r="K119" cm="1">
        <f t="array" ref="K119">STOWA2019_NDJF_T(A119*60,J119,I119,"","upper")</f>
        <v>101.86058543801413</v>
      </c>
      <c r="L119">
        <f t="shared" si="35"/>
        <v>9.8173400015311753E-3</v>
      </c>
    </row>
    <row r="120" spans="1:12" x14ac:dyDescent="0.3">
      <c r="A120">
        <v>192</v>
      </c>
      <c r="B120">
        <f t="shared" si="32"/>
        <v>3.2088520363480581E-3</v>
      </c>
      <c r="C120">
        <f t="shared" si="28"/>
        <v>3.2088520363480581E-3</v>
      </c>
      <c r="D120" t="s">
        <v>25</v>
      </c>
      <c r="E120" t="s">
        <v>19</v>
      </c>
      <c r="F120">
        <v>1</v>
      </c>
      <c r="G120">
        <f t="shared" si="33"/>
        <v>135</v>
      </c>
      <c r="I120">
        <v>2030</v>
      </c>
      <c r="J120">
        <f t="shared" si="34"/>
        <v>137.5</v>
      </c>
      <c r="K120" cm="1">
        <f t="array" ref="K120">STOWA2019_NDJF_T(A120*60,J120,I120,"","upper")</f>
        <v>151.32054492169914</v>
      </c>
      <c r="L120">
        <f t="shared" si="35"/>
        <v>6.6084879651831172E-3</v>
      </c>
    </row>
    <row r="121" spans="1:12" x14ac:dyDescent="0.3">
      <c r="A121">
        <v>192</v>
      </c>
      <c r="B121">
        <f t="shared" si="32"/>
        <v>2.1925460673182968E-3</v>
      </c>
      <c r="C121">
        <f t="shared" si="28"/>
        <v>2.1925460673182968E-3</v>
      </c>
      <c r="D121" t="s">
        <v>25</v>
      </c>
      <c r="E121" t="s">
        <v>19</v>
      </c>
      <c r="F121">
        <v>1</v>
      </c>
      <c r="G121">
        <f t="shared" si="33"/>
        <v>140</v>
      </c>
      <c r="I121">
        <v>2030</v>
      </c>
      <c r="J121">
        <f t="shared" si="34"/>
        <v>142.5</v>
      </c>
      <c r="K121" cm="1">
        <f t="array" ref="K121">STOWA2019_NDJF_T(A121*60,J121,I121,"","upper")</f>
        <v>226.45225483684834</v>
      </c>
      <c r="L121">
        <f t="shared" si="35"/>
        <v>4.4159418978648203E-3</v>
      </c>
    </row>
    <row r="122" spans="1:12" x14ac:dyDescent="0.3">
      <c r="A122">
        <v>192</v>
      </c>
      <c r="B122">
        <f t="shared" si="32"/>
        <v>1.487496715272344E-3</v>
      </c>
      <c r="C122">
        <f t="shared" si="28"/>
        <v>1.487496715272344E-3</v>
      </c>
      <c r="D122" t="s">
        <v>25</v>
      </c>
      <c r="E122" t="s">
        <v>19</v>
      </c>
      <c r="F122">
        <v>1</v>
      </c>
      <c r="G122">
        <f t="shared" si="33"/>
        <v>145</v>
      </c>
      <c r="I122">
        <v>2030</v>
      </c>
      <c r="J122">
        <f t="shared" si="34"/>
        <v>147.5</v>
      </c>
      <c r="K122" cm="1">
        <f t="array" ref="K122">STOWA2019_NDJF_T(A122*60,J122,I122,"","upper")</f>
        <v>341.47813520440428</v>
      </c>
      <c r="L122">
        <f t="shared" si="35"/>
        <v>2.9284451825924763E-3</v>
      </c>
    </row>
    <row r="123" spans="1:12" x14ac:dyDescent="0.3">
      <c r="A123">
        <v>192</v>
      </c>
      <c r="B123">
        <f t="shared" si="32"/>
        <v>1.0017480842983728E-3</v>
      </c>
      <c r="C123">
        <f t="shared" si="28"/>
        <v>1.0017480842983728E-3</v>
      </c>
      <c r="D123" t="s">
        <v>25</v>
      </c>
      <c r="E123" t="s">
        <v>19</v>
      </c>
      <c r="F123">
        <v>1</v>
      </c>
      <c r="G123">
        <f t="shared" si="33"/>
        <v>150</v>
      </c>
      <c r="I123">
        <v>2030</v>
      </c>
      <c r="J123">
        <f t="shared" si="34"/>
        <v>152.5</v>
      </c>
      <c r="K123" cm="1">
        <f t="array" ref="K123">STOWA2019_NDJF_T(A123*60,J123,I123,"","upper")</f>
        <v>519.02294392066062</v>
      </c>
      <c r="L123">
        <f t="shared" si="35"/>
        <v>1.9266970982941035E-3</v>
      </c>
    </row>
    <row r="124" spans="1:12" x14ac:dyDescent="0.3">
      <c r="A124">
        <v>192</v>
      </c>
      <c r="B124">
        <f t="shared" si="32"/>
        <v>6.6945175918874567E-4</v>
      </c>
      <c r="C124">
        <f t="shared" si="28"/>
        <v>6.6945175918874567E-4</v>
      </c>
      <c r="D124" t="s">
        <v>25</v>
      </c>
      <c r="E124" t="s">
        <v>19</v>
      </c>
      <c r="F124">
        <v>1</v>
      </c>
      <c r="G124">
        <f t="shared" si="33"/>
        <v>155</v>
      </c>
      <c r="I124">
        <v>2030</v>
      </c>
      <c r="J124">
        <f t="shared" si="34"/>
        <v>157.5</v>
      </c>
      <c r="K124" cm="1">
        <f t="array" ref="K124">STOWA2019_NDJF_T(A124*60,J124,I124,"","upper")</f>
        <v>795.38970549024998</v>
      </c>
      <c r="L124">
        <f t="shared" si="35"/>
        <v>1.2572453391053579E-3</v>
      </c>
    </row>
    <row r="125" spans="1:12" x14ac:dyDescent="0.3">
      <c r="A125">
        <v>192</v>
      </c>
      <c r="B125" s="1">
        <f>L124</f>
        <v>1.2572453391053579E-3</v>
      </c>
      <c r="C125">
        <f t="shared" si="28"/>
        <v>1.2572453391053579E-3</v>
      </c>
      <c r="D125" t="s">
        <v>25</v>
      </c>
      <c r="E125" t="s">
        <v>19</v>
      </c>
      <c r="F125">
        <v>1</v>
      </c>
      <c r="G125">
        <f t="shared" si="33"/>
        <v>160</v>
      </c>
      <c r="I125">
        <v>2030</v>
      </c>
      <c r="J125">
        <f>AVERAGE(G125:G126)</f>
        <v>85</v>
      </c>
      <c r="K125" cm="1">
        <f t="array" ref="K125">STOWA2019_NDJF_T(A125*60,J125,I125,"","upper")</f>
        <v>3.2691935843951327</v>
      </c>
      <c r="L125">
        <f>1/K125</f>
        <v>0.30588583214322573</v>
      </c>
    </row>
    <row r="126" spans="1:12" x14ac:dyDescent="0.3">
      <c r="A126">
        <v>216</v>
      </c>
      <c r="B126" s="1">
        <f>365.25*24/A126 - L126</f>
        <v>19.856216978772586</v>
      </c>
      <c r="C126">
        <f>B126</f>
        <v>19.856216978772586</v>
      </c>
      <c r="D126" t="s">
        <v>25</v>
      </c>
      <c r="E126" t="s">
        <v>19</v>
      </c>
      <c r="F126">
        <v>1</v>
      </c>
      <c r="G126">
        <v>10</v>
      </c>
      <c r="I126">
        <v>2030</v>
      </c>
      <c r="J126">
        <f>AVERAGE(G126:G128)</f>
        <v>15</v>
      </c>
      <c r="K126" cm="1">
        <f t="array" ref="K126">STOWA2019_NDJF_T(A126*60,J126,I126,"","upper")</f>
        <v>4.8245978017099428E-2</v>
      </c>
      <c r="L126">
        <f>1/K126</f>
        <v>20.727116354560749</v>
      </c>
    </row>
    <row r="127" spans="1:12" x14ac:dyDescent="0.3">
      <c r="A127">
        <v>216</v>
      </c>
      <c r="B127">
        <f t="shared" ref="B127:B131" si="36">L126-L127</f>
        <v>2.4172668031691416</v>
      </c>
      <c r="C127">
        <f t="shared" ref="C127:C156" si="37">B127</f>
        <v>2.4172668031691416</v>
      </c>
      <c r="D127" t="s">
        <v>25</v>
      </c>
      <c r="E127" t="s">
        <v>19</v>
      </c>
      <c r="F127">
        <v>1</v>
      </c>
      <c r="G127">
        <f t="shared" ref="G127:G131" si="38">G126+5</f>
        <v>15</v>
      </c>
      <c r="I127">
        <v>2030</v>
      </c>
      <c r="J127">
        <f t="shared" ref="J127:J131" si="39">AVERAGE(G127:G128)</f>
        <v>17.5</v>
      </c>
      <c r="K127" cm="1">
        <f t="array" ref="K127">STOWA2019_NDJF_T(A127*60,J127,I127,"","upper")</f>
        <v>5.461541326121911E-2</v>
      </c>
      <c r="L127">
        <f t="shared" ref="L127:L131" si="40">1/K127</f>
        <v>18.309849551391608</v>
      </c>
    </row>
    <row r="128" spans="1:12" x14ac:dyDescent="0.3">
      <c r="A128">
        <v>216</v>
      </c>
      <c r="B128">
        <f t="shared" si="36"/>
        <v>4.0635015957066685</v>
      </c>
      <c r="C128">
        <f t="shared" si="37"/>
        <v>4.0635015957066685</v>
      </c>
      <c r="D128" t="s">
        <v>25</v>
      </c>
      <c r="E128" t="s">
        <v>19</v>
      </c>
      <c r="F128">
        <v>1</v>
      </c>
      <c r="G128">
        <f t="shared" si="38"/>
        <v>20</v>
      </c>
      <c r="I128">
        <v>2030</v>
      </c>
      <c r="J128">
        <f t="shared" si="39"/>
        <v>22.5</v>
      </c>
      <c r="K128" cm="1">
        <f t="array" ref="K128">STOWA2019_NDJF_T(A128*60,J128,I128,"","upper")</f>
        <v>7.0193428035776328E-2</v>
      </c>
      <c r="L128">
        <f t="shared" si="40"/>
        <v>14.246347955684939</v>
      </c>
    </row>
    <row r="129" spans="1:12" x14ac:dyDescent="0.3">
      <c r="A129">
        <v>216</v>
      </c>
      <c r="B129">
        <f t="shared" si="36"/>
        <v>3.2063086559616067</v>
      </c>
      <c r="C129">
        <f t="shared" si="37"/>
        <v>3.2063086559616067</v>
      </c>
      <c r="D129" t="s">
        <v>25</v>
      </c>
      <c r="E129" t="s">
        <v>19</v>
      </c>
      <c r="F129">
        <v>1</v>
      </c>
      <c r="G129">
        <f t="shared" si="38"/>
        <v>25</v>
      </c>
      <c r="I129">
        <v>2030</v>
      </c>
      <c r="J129">
        <f t="shared" si="39"/>
        <v>27.5</v>
      </c>
      <c r="K129" cm="1">
        <f t="array" ref="K129">STOWA2019_NDJF_T(A129*60,J129,I129,"","upper")</f>
        <v>9.0579387704268446E-2</v>
      </c>
      <c r="L129">
        <f t="shared" si="40"/>
        <v>11.040039299723333</v>
      </c>
    </row>
    <row r="130" spans="1:12" x14ac:dyDescent="0.3">
      <c r="A130">
        <v>216</v>
      </c>
      <c r="B130">
        <f t="shared" si="36"/>
        <v>2.5202366694456355</v>
      </c>
      <c r="C130">
        <f t="shared" si="37"/>
        <v>2.5202366694456355</v>
      </c>
      <c r="D130" t="s">
        <v>25</v>
      </c>
      <c r="E130" t="s">
        <v>19</v>
      </c>
      <c r="F130">
        <v>1</v>
      </c>
      <c r="G130">
        <f t="shared" si="38"/>
        <v>30</v>
      </c>
      <c r="I130">
        <v>2030</v>
      </c>
      <c r="J130">
        <f t="shared" si="39"/>
        <v>32.5</v>
      </c>
      <c r="K130" cm="1">
        <f t="array" ref="K130">STOWA2019_NDJF_T(A130*60,J130,I130,"","upper")</f>
        <v>0.11737361103251351</v>
      </c>
      <c r="L130">
        <f t="shared" si="40"/>
        <v>8.519802630277697</v>
      </c>
    </row>
    <row r="131" spans="1:12" x14ac:dyDescent="0.3">
      <c r="A131">
        <v>216</v>
      </c>
      <c r="B131">
        <f t="shared" si="36"/>
        <v>1.9731277063591213</v>
      </c>
      <c r="C131">
        <f t="shared" si="37"/>
        <v>1.9731277063591213</v>
      </c>
      <c r="D131" t="s">
        <v>25</v>
      </c>
      <c r="E131" t="s">
        <v>19</v>
      </c>
      <c r="F131">
        <v>1</v>
      </c>
      <c r="G131">
        <f t="shared" si="38"/>
        <v>35</v>
      </c>
      <c r="I131">
        <v>2030</v>
      </c>
      <c r="J131">
        <f t="shared" si="39"/>
        <v>37.5</v>
      </c>
      <c r="K131" cm="1">
        <f t="array" ref="K131">STOWA2019_NDJF_T(A131*60,J131,I131,"","upper")</f>
        <v>0.15274929817371172</v>
      </c>
      <c r="L131">
        <f t="shared" si="40"/>
        <v>6.5466749239185758</v>
      </c>
    </row>
    <row r="132" spans="1:12" x14ac:dyDescent="0.3">
      <c r="A132">
        <v>216</v>
      </c>
      <c r="B132">
        <f>L131-L132</f>
        <v>1.5384775058706479</v>
      </c>
      <c r="C132">
        <f t="shared" si="37"/>
        <v>1.5384775058706479</v>
      </c>
      <c r="D132" t="s">
        <v>25</v>
      </c>
      <c r="E132" t="s">
        <v>19</v>
      </c>
      <c r="F132">
        <v>1</v>
      </c>
      <c r="G132">
        <f>G131+5</f>
        <v>40</v>
      </c>
      <c r="I132">
        <v>2030</v>
      </c>
      <c r="J132">
        <f>AVERAGE(G132:G133)</f>
        <v>42.5</v>
      </c>
      <c r="K132" cm="1">
        <f t="array" ref="K132">STOWA2019_NDJF_T(A132*60,J132,I132,"","upper")</f>
        <v>0.19967263997947099</v>
      </c>
      <c r="L132">
        <f>1/K132</f>
        <v>5.0081974180479278</v>
      </c>
    </row>
    <row r="133" spans="1:12" x14ac:dyDescent="0.3">
      <c r="A133">
        <v>216</v>
      </c>
      <c r="B133">
        <f t="shared" ref="B133:B155" si="41">L132-L133</f>
        <v>1.194536492176784</v>
      </c>
      <c r="C133">
        <f t="shared" si="37"/>
        <v>1.194536492176784</v>
      </c>
      <c r="D133" t="s">
        <v>25</v>
      </c>
      <c r="E133" t="s">
        <v>19</v>
      </c>
      <c r="F133">
        <v>1</v>
      </c>
      <c r="G133">
        <f t="shared" ref="G133:G156" si="42">G132+5</f>
        <v>45</v>
      </c>
      <c r="I133">
        <v>2030</v>
      </c>
      <c r="J133">
        <f t="shared" ref="J133:J155" si="43">AVERAGE(G133:G134)</f>
        <v>47.5</v>
      </c>
      <c r="K133" cm="1">
        <f t="array" ref="K133">STOWA2019_NDJF_T(A133*60,J133,I133,"","upper")</f>
        <v>0.26221523607832881</v>
      </c>
      <c r="L133">
        <f t="shared" ref="L133:L155" si="44">1/K133</f>
        <v>3.8136609258711438</v>
      </c>
    </row>
    <row r="134" spans="1:12" x14ac:dyDescent="0.3">
      <c r="A134">
        <v>216</v>
      </c>
      <c r="B134">
        <f t="shared" si="41"/>
        <v>0.92338109688825698</v>
      </c>
      <c r="C134">
        <f t="shared" si="37"/>
        <v>0.92338109688825698</v>
      </c>
      <c r="D134" t="s">
        <v>25</v>
      </c>
      <c r="E134" t="s">
        <v>19</v>
      </c>
      <c r="F134">
        <v>1</v>
      </c>
      <c r="G134">
        <f t="shared" si="42"/>
        <v>50</v>
      </c>
      <c r="I134">
        <v>2030</v>
      </c>
      <c r="J134">
        <f t="shared" si="43"/>
        <v>52.5</v>
      </c>
      <c r="K134" cm="1">
        <f t="array" ref="K134">STOWA2019_NDJF_T(A134*60,J134,I134,"","upper")</f>
        <v>0.34598726046256506</v>
      </c>
      <c r="L134">
        <f t="shared" si="44"/>
        <v>2.8902798289828868</v>
      </c>
    </row>
    <row r="135" spans="1:12" x14ac:dyDescent="0.3">
      <c r="A135">
        <v>216</v>
      </c>
      <c r="B135">
        <f t="shared" si="41"/>
        <v>0.71058966659792899</v>
      </c>
      <c r="C135">
        <f t="shared" si="37"/>
        <v>0.71058966659792899</v>
      </c>
      <c r="D135" t="s">
        <v>25</v>
      </c>
      <c r="E135" t="s">
        <v>19</v>
      </c>
      <c r="F135">
        <v>1</v>
      </c>
      <c r="G135">
        <f t="shared" si="42"/>
        <v>55</v>
      </c>
      <c r="I135">
        <v>2030</v>
      </c>
      <c r="J135">
        <f t="shared" si="43"/>
        <v>57.5</v>
      </c>
      <c r="K135" cm="1">
        <f t="array" ref="K135">STOWA2019_NDJF_T(A135*60,J135,I135,"","upper")</f>
        <v>0.45878080162816676</v>
      </c>
      <c r="L135">
        <f t="shared" si="44"/>
        <v>2.1796901623849578</v>
      </c>
    </row>
    <row r="136" spans="1:12" x14ac:dyDescent="0.3">
      <c r="A136">
        <v>216</v>
      </c>
      <c r="B136">
        <f t="shared" si="41"/>
        <v>0.54425239610457221</v>
      </c>
      <c r="C136">
        <f t="shared" si="37"/>
        <v>0.54425239610457221</v>
      </c>
      <c r="D136" t="s">
        <v>25</v>
      </c>
      <c r="E136" t="s">
        <v>19</v>
      </c>
      <c r="F136">
        <v>1</v>
      </c>
      <c r="G136">
        <f t="shared" si="42"/>
        <v>60</v>
      </c>
      <c r="I136">
        <v>2030</v>
      </c>
      <c r="J136">
        <f t="shared" si="43"/>
        <v>62.5</v>
      </c>
      <c r="K136" cm="1">
        <f t="array" ref="K136">STOWA2019_NDJF_T(A136*60,J136,I136,"","upper")</f>
        <v>0.61145707933257809</v>
      </c>
      <c r="L136">
        <f t="shared" si="44"/>
        <v>1.6354377662803856</v>
      </c>
    </row>
    <row r="137" spans="1:12" x14ac:dyDescent="0.3">
      <c r="A137">
        <v>216</v>
      </c>
      <c r="B137">
        <f t="shared" si="41"/>
        <v>0.41483913142239159</v>
      </c>
      <c r="C137">
        <f t="shared" si="37"/>
        <v>0.41483913142239159</v>
      </c>
      <c r="D137" t="s">
        <v>25</v>
      </c>
      <c r="E137" t="s">
        <v>19</v>
      </c>
      <c r="F137">
        <v>1</v>
      </c>
      <c r="G137">
        <f t="shared" si="42"/>
        <v>65</v>
      </c>
      <c r="I137">
        <v>2030</v>
      </c>
      <c r="J137">
        <f t="shared" si="43"/>
        <v>67.5</v>
      </c>
      <c r="K137" cm="1">
        <f t="array" ref="K137">STOWA2019_NDJF_T(A137*60,J137,I137,"","upper")</f>
        <v>0.81927012815014433</v>
      </c>
      <c r="L137">
        <f t="shared" si="44"/>
        <v>1.220598634857994</v>
      </c>
    </row>
    <row r="138" spans="1:12" x14ac:dyDescent="0.3">
      <c r="A138">
        <v>216</v>
      </c>
      <c r="B138">
        <f t="shared" si="41"/>
        <v>0.31455005435755379</v>
      </c>
      <c r="C138">
        <f t="shared" si="37"/>
        <v>0.31455005435755379</v>
      </c>
      <c r="D138" t="s">
        <v>25</v>
      </c>
      <c r="E138" t="s">
        <v>19</v>
      </c>
      <c r="F138">
        <v>1</v>
      </c>
      <c r="G138">
        <f t="shared" si="42"/>
        <v>70</v>
      </c>
      <c r="I138">
        <v>2030</v>
      </c>
      <c r="J138">
        <f t="shared" si="43"/>
        <v>72.5</v>
      </c>
      <c r="K138" cm="1">
        <f t="array" ref="K138">STOWA2019_NDJF_T(A138*60,J138,I138,"","upper")</f>
        <v>1.1036935783814896</v>
      </c>
      <c r="L138">
        <f t="shared" si="44"/>
        <v>0.90604858050044024</v>
      </c>
    </row>
    <row r="139" spans="1:12" x14ac:dyDescent="0.3">
      <c r="A139">
        <v>216</v>
      </c>
      <c r="B139">
        <f t="shared" si="41"/>
        <v>0.23734893354899722</v>
      </c>
      <c r="C139">
        <f t="shared" si="37"/>
        <v>0.23734893354899722</v>
      </c>
      <c r="D139" t="s">
        <v>25</v>
      </c>
      <c r="E139" t="s">
        <v>19</v>
      </c>
      <c r="F139">
        <v>1</v>
      </c>
      <c r="G139">
        <f t="shared" si="42"/>
        <v>75</v>
      </c>
      <c r="I139">
        <v>2030</v>
      </c>
      <c r="J139">
        <f t="shared" si="43"/>
        <v>77.5</v>
      </c>
      <c r="K139" cm="1">
        <f t="array" ref="K139">STOWA2019_NDJF_T(A139*60,J139,I139,"","upper")</f>
        <v>1.49543970085663</v>
      </c>
      <c r="L139">
        <f t="shared" si="44"/>
        <v>0.66869964695144302</v>
      </c>
    </row>
    <row r="140" spans="1:12" x14ac:dyDescent="0.3">
      <c r="A140">
        <v>216</v>
      </c>
      <c r="B140">
        <f t="shared" si="41"/>
        <v>0.17809201131475638</v>
      </c>
      <c r="C140">
        <f t="shared" si="37"/>
        <v>0.17809201131475638</v>
      </c>
      <c r="D140" t="s">
        <v>25</v>
      </c>
      <c r="E140" t="s">
        <v>19</v>
      </c>
      <c r="F140">
        <v>1</v>
      </c>
      <c r="G140">
        <f t="shared" si="42"/>
        <v>80</v>
      </c>
      <c r="I140">
        <v>2030</v>
      </c>
      <c r="J140">
        <f t="shared" si="43"/>
        <v>82.5</v>
      </c>
      <c r="K140" cm="1">
        <f t="array" ref="K140">STOWA2019_NDJF_T(A140*60,J140,I140,"","upper")</f>
        <v>2.0382887003017163</v>
      </c>
      <c r="L140">
        <f t="shared" si="44"/>
        <v>0.49060763563668663</v>
      </c>
    </row>
    <row r="141" spans="1:12" x14ac:dyDescent="0.3">
      <c r="A141">
        <v>216</v>
      </c>
      <c r="B141">
        <f t="shared" si="41"/>
        <v>0.13287413269479209</v>
      </c>
      <c r="C141">
        <f t="shared" si="37"/>
        <v>0.13287413269479209</v>
      </c>
      <c r="D141" t="s">
        <v>25</v>
      </c>
      <c r="E141" t="s">
        <v>19</v>
      </c>
      <c r="F141">
        <v>1</v>
      </c>
      <c r="G141">
        <f t="shared" si="42"/>
        <v>85</v>
      </c>
      <c r="I141">
        <v>2030</v>
      </c>
      <c r="J141">
        <f t="shared" si="43"/>
        <v>87.5</v>
      </c>
      <c r="K141" cm="1">
        <f t="array" ref="K141">STOWA2019_NDJF_T(A141*60,J141,I141,"","upper")</f>
        <v>2.7953769825199366</v>
      </c>
      <c r="L141">
        <f t="shared" si="44"/>
        <v>0.35773350294189454</v>
      </c>
    </row>
    <row r="142" spans="1:12" x14ac:dyDescent="0.3">
      <c r="A142">
        <v>216</v>
      </c>
      <c r="B142">
        <f t="shared" si="41"/>
        <v>9.8552639839417977E-2</v>
      </c>
      <c r="C142">
        <f t="shared" si="37"/>
        <v>9.8552639839417977E-2</v>
      </c>
      <c r="D142" t="s">
        <v>25</v>
      </c>
      <c r="E142" t="s">
        <v>19</v>
      </c>
      <c r="F142">
        <v>1</v>
      </c>
      <c r="G142">
        <f t="shared" si="42"/>
        <v>90</v>
      </c>
      <c r="I142">
        <v>2030</v>
      </c>
      <c r="J142">
        <f t="shared" si="43"/>
        <v>92.5</v>
      </c>
      <c r="K142" cm="1">
        <f t="array" ref="K142">STOWA2019_NDJF_T(A142*60,J142,I142,"","upper")</f>
        <v>3.858309552756654</v>
      </c>
      <c r="L142">
        <f t="shared" si="44"/>
        <v>0.25918086310247657</v>
      </c>
    </row>
    <row r="143" spans="1:12" x14ac:dyDescent="0.3">
      <c r="A143">
        <v>216</v>
      </c>
      <c r="B143">
        <f t="shared" si="41"/>
        <v>7.2653454647715859E-2</v>
      </c>
      <c r="C143">
        <f t="shared" si="37"/>
        <v>7.2653454647715859E-2</v>
      </c>
      <c r="D143" t="s">
        <v>25</v>
      </c>
      <c r="E143" t="s">
        <v>19</v>
      </c>
      <c r="F143">
        <v>1</v>
      </c>
      <c r="G143">
        <f t="shared" si="42"/>
        <v>95</v>
      </c>
      <c r="I143">
        <v>2030</v>
      </c>
      <c r="J143">
        <f t="shared" si="43"/>
        <v>97.5</v>
      </c>
      <c r="K143" cm="1">
        <f t="array" ref="K143">STOWA2019_NDJF_T(A143*60,J143,I143,"","upper")</f>
        <v>5.361142409494926</v>
      </c>
      <c r="L143">
        <f t="shared" si="44"/>
        <v>0.18652740845476071</v>
      </c>
    </row>
    <row r="144" spans="1:12" x14ac:dyDescent="0.3">
      <c r="A144">
        <v>216</v>
      </c>
      <c r="B144">
        <f t="shared" si="41"/>
        <v>5.3217443297069039E-2</v>
      </c>
      <c r="C144">
        <f t="shared" si="37"/>
        <v>5.3217443297069039E-2</v>
      </c>
      <c r="D144" t="s">
        <v>25</v>
      </c>
      <c r="E144" t="s">
        <v>19</v>
      </c>
      <c r="F144">
        <v>1</v>
      </c>
      <c r="G144">
        <f t="shared" si="42"/>
        <v>100</v>
      </c>
      <c r="I144">
        <v>2030</v>
      </c>
      <c r="J144">
        <f t="shared" si="43"/>
        <v>102.5</v>
      </c>
      <c r="K144" cm="1">
        <f t="array" ref="K144">STOWA2019_NDJF_T(A144*60,J144,I144,"","upper")</f>
        <v>7.5013146902941967</v>
      </c>
      <c r="L144">
        <f t="shared" si="44"/>
        <v>0.13330996515769167</v>
      </c>
    </row>
    <row r="145" spans="1:12" x14ac:dyDescent="0.3">
      <c r="A145">
        <v>216</v>
      </c>
      <c r="B145">
        <f t="shared" si="41"/>
        <v>3.8724172078880972E-2</v>
      </c>
      <c r="C145">
        <f t="shared" si="37"/>
        <v>3.8724172078880972E-2</v>
      </c>
      <c r="D145" t="s">
        <v>25</v>
      </c>
      <c r="E145" t="s">
        <v>19</v>
      </c>
      <c r="F145">
        <v>1</v>
      </c>
      <c r="G145">
        <f t="shared" si="42"/>
        <v>105</v>
      </c>
      <c r="I145">
        <v>2030</v>
      </c>
      <c r="J145">
        <f t="shared" si="43"/>
        <v>107.5</v>
      </c>
      <c r="K145" cm="1">
        <f t="array" ref="K145">STOWA2019_NDJF_T(A145*60,J145,I145,"","upper")</f>
        <v>10.572412277251626</v>
      </c>
      <c r="L145">
        <f t="shared" si="44"/>
        <v>9.4585793078810695E-2</v>
      </c>
    </row>
    <row r="146" spans="1:12" x14ac:dyDescent="0.3">
      <c r="A146">
        <v>216</v>
      </c>
      <c r="B146">
        <f t="shared" si="41"/>
        <v>2.7982393127962385E-2</v>
      </c>
      <c r="C146">
        <f t="shared" si="37"/>
        <v>2.7982393127962385E-2</v>
      </c>
      <c r="D146" t="s">
        <v>25</v>
      </c>
      <c r="E146" t="s">
        <v>19</v>
      </c>
      <c r="F146">
        <v>1</v>
      </c>
      <c r="G146">
        <f t="shared" si="42"/>
        <v>110</v>
      </c>
      <c r="I146">
        <v>2030</v>
      </c>
      <c r="J146">
        <f t="shared" si="43"/>
        <v>112.5</v>
      </c>
      <c r="K146" cm="1">
        <f t="array" ref="K146">STOWA2019_NDJF_T(A146*60,J146,I146,"","upper")</f>
        <v>15.014248532927384</v>
      </c>
      <c r="L146">
        <f t="shared" si="44"/>
        <v>6.660339995084831E-2</v>
      </c>
    </row>
    <row r="147" spans="1:12" x14ac:dyDescent="0.3">
      <c r="A147">
        <v>216</v>
      </c>
      <c r="B147">
        <f t="shared" si="41"/>
        <v>2.0074234935714273E-2</v>
      </c>
      <c r="C147">
        <f t="shared" si="37"/>
        <v>2.0074234935714273E-2</v>
      </c>
      <c r="D147" t="s">
        <v>25</v>
      </c>
      <c r="E147" t="s">
        <v>19</v>
      </c>
      <c r="F147">
        <v>1</v>
      </c>
      <c r="G147">
        <f t="shared" si="42"/>
        <v>115</v>
      </c>
      <c r="I147">
        <v>2030</v>
      </c>
      <c r="J147">
        <f t="shared" si="43"/>
        <v>117.5</v>
      </c>
      <c r="K147" cm="1">
        <f t="array" ref="K147">STOWA2019_NDJF_T(A147*60,J147,I147,"","upper")</f>
        <v>21.491896527151106</v>
      </c>
      <c r="L147">
        <f t="shared" si="44"/>
        <v>4.6529165015134037E-2</v>
      </c>
    </row>
    <row r="148" spans="1:12" x14ac:dyDescent="0.3">
      <c r="A148">
        <v>216</v>
      </c>
      <c r="B148">
        <f t="shared" si="41"/>
        <v>1.4292471444141336E-2</v>
      </c>
      <c r="C148">
        <f t="shared" si="37"/>
        <v>1.4292471444141336E-2</v>
      </c>
      <c r="D148" t="s">
        <v>25</v>
      </c>
      <c r="E148" t="s">
        <v>19</v>
      </c>
      <c r="F148">
        <v>1</v>
      </c>
      <c r="G148">
        <f t="shared" si="42"/>
        <v>120</v>
      </c>
      <c r="I148">
        <v>2030</v>
      </c>
      <c r="J148">
        <f t="shared" si="43"/>
        <v>122.5</v>
      </c>
      <c r="K148" cm="1">
        <f t="array" ref="K148">STOWA2019_NDJF_T(A148*60,J148,I148,"","upper")</f>
        <v>31.020551093360961</v>
      </c>
      <c r="L148">
        <f t="shared" si="44"/>
        <v>3.2236693570992701E-2</v>
      </c>
    </row>
    <row r="149" spans="1:12" x14ac:dyDescent="0.3">
      <c r="A149">
        <v>216</v>
      </c>
      <c r="B149">
        <f t="shared" si="41"/>
        <v>1.0095317050946091E-2</v>
      </c>
      <c r="C149">
        <f t="shared" si="37"/>
        <v>1.0095317050946091E-2</v>
      </c>
      <c r="D149" t="s">
        <v>25</v>
      </c>
      <c r="E149" t="s">
        <v>19</v>
      </c>
      <c r="F149">
        <v>1</v>
      </c>
      <c r="G149">
        <f t="shared" si="42"/>
        <v>125</v>
      </c>
      <c r="I149">
        <v>2030</v>
      </c>
      <c r="J149">
        <f t="shared" si="43"/>
        <v>127.5</v>
      </c>
      <c r="K149" cm="1">
        <f t="array" ref="K149">STOWA2019_NDJF_T(A149*60,J149,I149,"","upper")</f>
        <v>45.164310317138984</v>
      </c>
      <c r="L149">
        <f t="shared" si="44"/>
        <v>2.2141376520046611E-2</v>
      </c>
    </row>
    <row r="150" spans="1:12" x14ac:dyDescent="0.3">
      <c r="A150">
        <v>216</v>
      </c>
      <c r="B150">
        <f t="shared" si="41"/>
        <v>7.071673232413778E-3</v>
      </c>
      <c r="C150">
        <f t="shared" si="37"/>
        <v>7.071673232413778E-3</v>
      </c>
      <c r="D150" t="s">
        <v>25</v>
      </c>
      <c r="E150" t="s">
        <v>19</v>
      </c>
      <c r="F150">
        <v>1</v>
      </c>
      <c r="G150">
        <f t="shared" si="42"/>
        <v>130</v>
      </c>
      <c r="I150">
        <v>2030</v>
      </c>
      <c r="J150">
        <f t="shared" si="43"/>
        <v>132.5</v>
      </c>
      <c r="K150" cm="1">
        <f t="array" ref="K150">STOWA2019_NDJF_T(A150*60,J150,I150,"","upper")</f>
        <v>66.358307188480893</v>
      </c>
      <c r="L150">
        <f t="shared" si="44"/>
        <v>1.5069703287632833E-2</v>
      </c>
    </row>
    <row r="151" spans="1:12" x14ac:dyDescent="0.3">
      <c r="A151">
        <v>216</v>
      </c>
      <c r="B151">
        <f t="shared" si="41"/>
        <v>4.9106259854755242E-3</v>
      </c>
      <c r="C151">
        <f t="shared" si="37"/>
        <v>4.9106259854755242E-3</v>
      </c>
      <c r="D151" t="s">
        <v>25</v>
      </c>
      <c r="E151" t="s">
        <v>19</v>
      </c>
      <c r="F151">
        <v>1</v>
      </c>
      <c r="G151">
        <f t="shared" si="42"/>
        <v>135</v>
      </c>
      <c r="I151">
        <v>2030</v>
      </c>
      <c r="J151">
        <f t="shared" si="43"/>
        <v>137.5</v>
      </c>
      <c r="K151" cm="1">
        <f t="array" ref="K151">STOWA2019_NDJF_T(A151*60,J151,I151,"","upper")</f>
        <v>98.434136315474944</v>
      </c>
      <c r="L151">
        <f t="shared" si="44"/>
        <v>1.0159077302157309E-2</v>
      </c>
    </row>
    <row r="152" spans="1:12" x14ac:dyDescent="0.3">
      <c r="A152">
        <v>216</v>
      </c>
      <c r="B152">
        <f t="shared" si="41"/>
        <v>3.3789279169749321E-3</v>
      </c>
      <c r="C152">
        <f t="shared" si="37"/>
        <v>3.3789279169749321E-3</v>
      </c>
      <c r="D152" t="s">
        <v>25</v>
      </c>
      <c r="E152" t="s">
        <v>19</v>
      </c>
      <c r="F152">
        <v>1</v>
      </c>
      <c r="G152">
        <f t="shared" si="42"/>
        <v>140</v>
      </c>
      <c r="I152">
        <v>2030</v>
      </c>
      <c r="J152">
        <f t="shared" si="43"/>
        <v>142.5</v>
      </c>
      <c r="K152" cm="1">
        <f t="array" ref="K152">STOWA2019_NDJF_T(A152*60,J152,I152,"","upper")</f>
        <v>147.4893757039398</v>
      </c>
      <c r="L152">
        <f t="shared" si="44"/>
        <v>6.7801493851823765E-3</v>
      </c>
    </row>
    <row r="153" spans="1:12" x14ac:dyDescent="0.3">
      <c r="A153">
        <v>216</v>
      </c>
      <c r="B153">
        <f t="shared" si="41"/>
        <v>2.3026635664152167E-3</v>
      </c>
      <c r="C153">
        <f t="shared" si="37"/>
        <v>2.3026635664152167E-3</v>
      </c>
      <c r="D153" t="s">
        <v>25</v>
      </c>
      <c r="E153" t="s">
        <v>19</v>
      </c>
      <c r="F153">
        <v>1</v>
      </c>
      <c r="G153">
        <f t="shared" si="42"/>
        <v>145</v>
      </c>
      <c r="I153">
        <v>2030</v>
      </c>
      <c r="J153">
        <f t="shared" si="43"/>
        <v>147.5</v>
      </c>
      <c r="K153" cm="1">
        <f t="array" ref="K153">STOWA2019_NDJF_T(A153*60,J153,I153,"","upper")</f>
        <v>223.33962417224186</v>
      </c>
      <c r="L153">
        <f t="shared" si="44"/>
        <v>4.4774858187671598E-3</v>
      </c>
    </row>
    <row r="154" spans="1:12" x14ac:dyDescent="0.3">
      <c r="A154">
        <v>216</v>
      </c>
      <c r="B154">
        <f t="shared" si="41"/>
        <v>1.5533991894128821E-3</v>
      </c>
      <c r="C154">
        <f t="shared" si="37"/>
        <v>1.5533991894128821E-3</v>
      </c>
      <c r="D154" t="s">
        <v>25</v>
      </c>
      <c r="E154" t="s">
        <v>19</v>
      </c>
      <c r="F154">
        <v>1</v>
      </c>
      <c r="G154">
        <f t="shared" si="42"/>
        <v>150</v>
      </c>
      <c r="I154">
        <v>2030</v>
      </c>
      <c r="J154">
        <f t="shared" si="43"/>
        <v>152.5</v>
      </c>
      <c r="K154" cm="1">
        <f t="array" ref="K154">STOWA2019_NDJF_T(A154*60,J154,I154,"","upper")</f>
        <v>341.98713196839475</v>
      </c>
      <c r="L154">
        <f t="shared" si="44"/>
        <v>2.9240866293542777E-3</v>
      </c>
    </row>
    <row r="155" spans="1:12" x14ac:dyDescent="0.3">
      <c r="A155">
        <v>216</v>
      </c>
      <c r="B155">
        <f t="shared" si="41"/>
        <v>1.0367779845434622E-3</v>
      </c>
      <c r="C155">
        <f t="shared" si="37"/>
        <v>1.0367779845434622E-3</v>
      </c>
      <c r="D155" t="s">
        <v>25</v>
      </c>
      <c r="E155" t="s">
        <v>19</v>
      </c>
      <c r="F155">
        <v>1</v>
      </c>
      <c r="G155">
        <f t="shared" si="42"/>
        <v>155</v>
      </c>
      <c r="I155">
        <v>2030</v>
      </c>
      <c r="J155">
        <f t="shared" si="43"/>
        <v>157.5</v>
      </c>
      <c r="K155" cm="1">
        <f t="array" ref="K155">STOWA2019_NDJF_T(A155*60,J155,I155,"","upper")</f>
        <v>529.85504133068832</v>
      </c>
      <c r="L155">
        <f t="shared" si="44"/>
        <v>1.8873086448108155E-3</v>
      </c>
    </row>
    <row r="156" spans="1:12" x14ac:dyDescent="0.3">
      <c r="A156">
        <v>216</v>
      </c>
      <c r="B156" s="1">
        <f>L155</f>
        <v>1.8873086448108155E-3</v>
      </c>
      <c r="C156">
        <f t="shared" si="37"/>
        <v>1.8873086448108155E-3</v>
      </c>
      <c r="D156" t="s">
        <v>25</v>
      </c>
      <c r="E156" t="s">
        <v>19</v>
      </c>
      <c r="F156">
        <v>1</v>
      </c>
      <c r="G156">
        <f t="shared" si="42"/>
        <v>160</v>
      </c>
      <c r="I156">
        <v>2030</v>
      </c>
      <c r="J156">
        <f>AVERAGE(G156:G157)</f>
        <v>160</v>
      </c>
      <c r="K156" cm="1">
        <f t="array" ref="K156">STOWA2019_NDJF_T(A156*60,J156,I156,"","upper")</f>
        <v>662.57161006521858</v>
      </c>
      <c r="L156">
        <f>1/K156</f>
        <v>1.509270824177884E-3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2CD07-90EB-4F76-8F50-30A484987D79}">
  <sheetPr codeName="Blad7"/>
  <dimension ref="A1:L156"/>
  <sheetViews>
    <sheetView workbookViewId="0">
      <selection activeCell="K19" sqref="K19"/>
    </sheetView>
  </sheetViews>
  <sheetFormatPr defaultRowHeight="14.4" x14ac:dyDescent="0.3"/>
  <cols>
    <col min="2" max="3" width="12" bestFit="1" customWidth="1"/>
    <col min="4" max="4" width="23.5546875" bestFit="1" customWidth="1"/>
    <col min="11" max="11" width="10.5546875" bestFit="1" customWidth="1"/>
  </cols>
  <sheetData>
    <row r="1" spans="1:12" x14ac:dyDescent="0.3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20</v>
      </c>
      <c r="G1" t="s">
        <v>1</v>
      </c>
      <c r="I1" t="s">
        <v>4</v>
      </c>
      <c r="J1" t="s">
        <v>13</v>
      </c>
      <c r="K1" t="s">
        <v>2</v>
      </c>
      <c r="L1" t="s">
        <v>3</v>
      </c>
    </row>
    <row r="2" spans="1:12" x14ac:dyDescent="0.3">
      <c r="A2">
        <v>24</v>
      </c>
      <c r="B2" s="1">
        <f>365.25*24/A2 - L2</f>
        <v>350.06787544792803</v>
      </c>
      <c r="C2">
        <f>B2</f>
        <v>350.06787544792803</v>
      </c>
      <c r="D2" t="s">
        <v>26</v>
      </c>
      <c r="E2" t="s">
        <v>21</v>
      </c>
      <c r="F2">
        <v>1</v>
      </c>
      <c r="G2">
        <v>10</v>
      </c>
      <c r="I2">
        <v>2030</v>
      </c>
      <c r="J2">
        <f>AVERAGE(G2:G4)</f>
        <v>15</v>
      </c>
      <c r="K2" cm="1">
        <f t="array" ref="K2">STOWA2019_JAARROND_T(A2*60,J2,I2,"","lower")</f>
        <v>6.5866934273275016E-2</v>
      </c>
      <c r="L2">
        <f>1/K2</f>
        <v>15.182124552071979</v>
      </c>
    </row>
    <row r="3" spans="1:12" x14ac:dyDescent="0.3">
      <c r="A3">
        <v>24</v>
      </c>
      <c r="B3">
        <f t="shared" ref="B3:B7" si="0">L2-L3</f>
        <v>4.6577075690536347</v>
      </c>
      <c r="C3">
        <f t="shared" ref="C3:C32" si="1">B3</f>
        <v>4.6577075690536347</v>
      </c>
      <c r="D3" t="s">
        <v>26</v>
      </c>
      <c r="E3" t="s">
        <v>21</v>
      </c>
      <c r="F3">
        <v>1</v>
      </c>
      <c r="G3">
        <f t="shared" ref="G3:G7" si="2">G2+5</f>
        <v>15</v>
      </c>
      <c r="I3">
        <v>2030</v>
      </c>
      <c r="J3">
        <f t="shared" ref="J3:J7" si="3">AVERAGE(G3:G4)</f>
        <v>17.5</v>
      </c>
      <c r="K3" cm="1">
        <f t="array" ref="K3">STOWA2019_JAARROND_T(A3*60,J3,I3,"","lower")</f>
        <v>9.5017139820053526E-2</v>
      </c>
      <c r="L3">
        <f t="shared" ref="L3:L7" si="4">1/K3</f>
        <v>10.524416983018344</v>
      </c>
    </row>
    <row r="4" spans="1:12" x14ac:dyDescent="0.3">
      <c r="A4">
        <v>24</v>
      </c>
      <c r="B4">
        <f t="shared" si="0"/>
        <v>5.1989425693249283</v>
      </c>
      <c r="C4">
        <f t="shared" si="1"/>
        <v>5.1989425693249283</v>
      </c>
      <c r="D4" t="s">
        <v>26</v>
      </c>
      <c r="E4" t="s">
        <v>21</v>
      </c>
      <c r="F4">
        <v>1</v>
      </c>
      <c r="G4">
        <f t="shared" si="2"/>
        <v>20</v>
      </c>
      <c r="I4">
        <v>2030</v>
      </c>
      <c r="J4">
        <f t="shared" si="3"/>
        <v>22.5</v>
      </c>
      <c r="K4" cm="1">
        <f t="array" ref="K4">STOWA2019_JAARROND_T(A4*60,J4,I4,"","lower")</f>
        <v>0.18777669787102827</v>
      </c>
      <c r="L4">
        <f t="shared" si="4"/>
        <v>5.3254744136934162</v>
      </c>
    </row>
    <row r="5" spans="1:12" x14ac:dyDescent="0.3">
      <c r="A5">
        <v>24</v>
      </c>
      <c r="B5">
        <f t="shared" si="0"/>
        <v>2.4679473187914418</v>
      </c>
      <c r="C5">
        <f t="shared" si="1"/>
        <v>2.4679473187914418</v>
      </c>
      <c r="D5" t="s">
        <v>26</v>
      </c>
      <c r="E5" t="s">
        <v>21</v>
      </c>
      <c r="F5">
        <v>1</v>
      </c>
      <c r="G5">
        <f t="shared" si="2"/>
        <v>25</v>
      </c>
      <c r="I5">
        <v>2030</v>
      </c>
      <c r="J5">
        <f t="shared" si="3"/>
        <v>27.5</v>
      </c>
      <c r="K5" cm="1">
        <f t="array" ref="K5">STOWA2019_JAARROND_T(A5*60,J5,I5,"","lower")</f>
        <v>0.34995293720366433</v>
      </c>
      <c r="L5">
        <f t="shared" si="4"/>
        <v>2.8575270949019744</v>
      </c>
    </row>
    <row r="6" spans="1:12" x14ac:dyDescent="0.3">
      <c r="A6">
        <v>24</v>
      </c>
      <c r="B6">
        <f t="shared" si="0"/>
        <v>1.2468416501210451</v>
      </c>
      <c r="C6">
        <f t="shared" si="1"/>
        <v>1.2468416501210451</v>
      </c>
      <c r="D6" t="s">
        <v>26</v>
      </c>
      <c r="E6" t="s">
        <v>21</v>
      </c>
      <c r="F6">
        <v>1</v>
      </c>
      <c r="G6">
        <f t="shared" si="2"/>
        <v>30</v>
      </c>
      <c r="I6">
        <v>2030</v>
      </c>
      <c r="J6">
        <f t="shared" si="3"/>
        <v>32.5</v>
      </c>
      <c r="K6" cm="1">
        <f t="array" ref="K6">STOWA2019_JAARROND_T(A6*60,J6,I6,"","lower")</f>
        <v>0.62085368886909564</v>
      </c>
      <c r="L6">
        <f t="shared" si="4"/>
        <v>1.6106854447809293</v>
      </c>
    </row>
    <row r="7" spans="1:12" x14ac:dyDescent="0.3">
      <c r="A7">
        <v>24</v>
      </c>
      <c r="B7">
        <f t="shared" si="0"/>
        <v>0.66372648921504451</v>
      </c>
      <c r="C7">
        <f t="shared" si="1"/>
        <v>0.66372648921504451</v>
      </c>
      <c r="D7" t="s">
        <v>26</v>
      </c>
      <c r="E7" t="s">
        <v>21</v>
      </c>
      <c r="F7">
        <v>1</v>
      </c>
      <c r="G7">
        <f t="shared" si="2"/>
        <v>35</v>
      </c>
      <c r="I7">
        <v>2030</v>
      </c>
      <c r="J7">
        <f t="shared" si="3"/>
        <v>37.5</v>
      </c>
      <c r="K7" cm="1">
        <f t="array" ref="K7">STOWA2019_JAARROND_T(A7*60,J7,I7,"","lower")</f>
        <v>1.0560119782619499</v>
      </c>
      <c r="L7">
        <f t="shared" si="4"/>
        <v>0.94695895556588483</v>
      </c>
    </row>
    <row r="8" spans="1:12" x14ac:dyDescent="0.3">
      <c r="A8">
        <v>24</v>
      </c>
      <c r="B8">
        <f>L7-L8</f>
        <v>0.36976518538808789</v>
      </c>
      <c r="C8">
        <f t="shared" si="1"/>
        <v>0.36976518538808789</v>
      </c>
      <c r="D8" t="s">
        <v>26</v>
      </c>
      <c r="E8" t="s">
        <v>21</v>
      </c>
      <c r="F8">
        <v>1</v>
      </c>
      <c r="G8">
        <f>G7+5</f>
        <v>40</v>
      </c>
      <c r="I8">
        <v>2030</v>
      </c>
      <c r="J8">
        <f>AVERAGE(G8:G9)</f>
        <v>42.5</v>
      </c>
      <c r="K8" cm="1">
        <f t="array" ref="K8">STOWA2019_JAARROND_T(A8*60,J8,I8,"","lower")</f>
        <v>1.732520431902727</v>
      </c>
      <c r="L8">
        <f>1/K8</f>
        <v>0.57719377017779694</v>
      </c>
    </row>
    <row r="9" spans="1:12" x14ac:dyDescent="0.3">
      <c r="A9">
        <v>24</v>
      </c>
      <c r="B9">
        <f t="shared" ref="B9:B31" si="5">L8-L9</f>
        <v>0.21408421702422659</v>
      </c>
      <c r="C9">
        <f t="shared" si="1"/>
        <v>0.21408421702422659</v>
      </c>
      <c r="D9" t="s">
        <v>26</v>
      </c>
      <c r="E9" t="s">
        <v>21</v>
      </c>
      <c r="F9">
        <v>1</v>
      </c>
      <c r="G9">
        <f t="shared" ref="G9:G32" si="6">G8+5</f>
        <v>45</v>
      </c>
      <c r="I9">
        <v>2030</v>
      </c>
      <c r="J9">
        <f t="shared" ref="J9:J31" si="7">AVERAGE(G9:G10)</f>
        <v>47.5</v>
      </c>
      <c r="K9" cm="1">
        <f t="array" ref="K9">STOWA2019_JAARROND_T(A9*60,J9,I9,"","lower")</f>
        <v>2.7539897843917887</v>
      </c>
      <c r="L9">
        <f t="shared" ref="L9:L31" si="8">1/K9</f>
        <v>0.36310955315357035</v>
      </c>
    </row>
    <row r="10" spans="1:12" x14ac:dyDescent="0.3">
      <c r="A10">
        <v>24</v>
      </c>
      <c r="B10">
        <f t="shared" si="5"/>
        <v>0.12823997957755634</v>
      </c>
      <c r="C10">
        <f t="shared" si="1"/>
        <v>0.12823997957755634</v>
      </c>
      <c r="D10" t="s">
        <v>26</v>
      </c>
      <c r="E10" t="s">
        <v>21</v>
      </c>
      <c r="F10">
        <v>1</v>
      </c>
      <c r="G10">
        <f t="shared" si="6"/>
        <v>50</v>
      </c>
      <c r="I10">
        <v>2030</v>
      </c>
      <c r="J10">
        <f t="shared" si="7"/>
        <v>52.5</v>
      </c>
      <c r="K10" cm="1">
        <f t="array" ref="K10">STOWA2019_JAARROND_T(A10*60,J10,I10,"","lower")</f>
        <v>4.2576821883501932</v>
      </c>
      <c r="L10">
        <f t="shared" si="8"/>
        <v>0.23486957357601401</v>
      </c>
    </row>
    <row r="11" spans="1:12" x14ac:dyDescent="0.3">
      <c r="A11">
        <v>24</v>
      </c>
      <c r="B11">
        <f t="shared" si="5"/>
        <v>7.9159214395059324E-2</v>
      </c>
      <c r="C11">
        <f t="shared" si="1"/>
        <v>7.9159214395059324E-2</v>
      </c>
      <c r="D11" t="s">
        <v>26</v>
      </c>
      <c r="E11" t="s">
        <v>21</v>
      </c>
      <c r="F11">
        <v>1</v>
      </c>
      <c r="G11">
        <f t="shared" si="6"/>
        <v>55</v>
      </c>
      <c r="I11">
        <v>2030</v>
      </c>
      <c r="J11">
        <f t="shared" si="7"/>
        <v>57.5</v>
      </c>
      <c r="K11" cm="1">
        <f t="array" ref="K11">STOWA2019_JAARROND_T(A11*60,J11,I11,"","lower")</f>
        <v>6.4221802920502951</v>
      </c>
      <c r="L11">
        <f t="shared" si="8"/>
        <v>0.15571035918095469</v>
      </c>
    </row>
    <row r="12" spans="1:12" x14ac:dyDescent="0.3">
      <c r="A12">
        <v>24</v>
      </c>
      <c r="B12">
        <f t="shared" si="5"/>
        <v>5.018183754417431E-2</v>
      </c>
      <c r="C12">
        <f t="shared" si="1"/>
        <v>5.018183754417431E-2</v>
      </c>
      <c r="D12" t="s">
        <v>26</v>
      </c>
      <c r="E12" t="s">
        <v>21</v>
      </c>
      <c r="F12">
        <v>1</v>
      </c>
      <c r="G12">
        <f t="shared" si="6"/>
        <v>60</v>
      </c>
      <c r="I12">
        <v>2030</v>
      </c>
      <c r="J12">
        <f t="shared" si="7"/>
        <v>62.5</v>
      </c>
      <c r="K12" cm="1">
        <f t="array" ref="K12">STOWA2019_JAARROND_T(A12*60,J12,I12,"","lower")</f>
        <v>9.4761111450220969</v>
      </c>
      <c r="L12">
        <f t="shared" si="8"/>
        <v>0.10552852163678038</v>
      </c>
    </row>
    <row r="13" spans="1:12" x14ac:dyDescent="0.3">
      <c r="A13">
        <v>24</v>
      </c>
      <c r="B13">
        <f t="shared" si="5"/>
        <v>3.2582647733884681E-2</v>
      </c>
      <c r="C13">
        <f t="shared" si="1"/>
        <v>3.2582647733884681E-2</v>
      </c>
      <c r="D13" t="s">
        <v>26</v>
      </c>
      <c r="E13" t="s">
        <v>21</v>
      </c>
      <c r="F13">
        <v>1</v>
      </c>
      <c r="G13">
        <f t="shared" si="6"/>
        <v>65</v>
      </c>
      <c r="I13">
        <v>2030</v>
      </c>
      <c r="J13">
        <f t="shared" si="7"/>
        <v>67.5</v>
      </c>
      <c r="K13" cm="1">
        <f t="array" ref="K13">STOWA2019_JAARROND_T(A13*60,J13,I13,"","lower")</f>
        <v>13.708794569123718</v>
      </c>
      <c r="L13">
        <f t="shared" si="8"/>
        <v>7.2945873902895697E-2</v>
      </c>
    </row>
    <row r="14" spans="1:12" x14ac:dyDescent="0.3">
      <c r="A14">
        <v>24</v>
      </c>
      <c r="B14">
        <f t="shared" si="5"/>
        <v>2.1613036922029184E-2</v>
      </c>
      <c r="C14">
        <f t="shared" si="1"/>
        <v>2.1613036922029184E-2</v>
      </c>
      <c r="D14" t="s">
        <v>26</v>
      </c>
      <c r="E14" t="s">
        <v>21</v>
      </c>
      <c r="F14">
        <v>1</v>
      </c>
      <c r="G14">
        <f t="shared" si="6"/>
        <v>70</v>
      </c>
      <c r="I14">
        <v>2030</v>
      </c>
      <c r="J14">
        <f t="shared" si="7"/>
        <v>72.5</v>
      </c>
      <c r="K14" cm="1">
        <f t="array" ref="K14">STOWA2019_JAARROND_T(A14*60,J14,I14,"","lower")</f>
        <v>19.480707843455718</v>
      </c>
      <c r="L14">
        <f t="shared" si="8"/>
        <v>5.1332836980866513E-2</v>
      </c>
    </row>
    <row r="15" spans="1:12" x14ac:dyDescent="0.3">
      <c r="A15">
        <v>24</v>
      </c>
      <c r="B15">
        <f t="shared" si="5"/>
        <v>1.4619600498661081E-2</v>
      </c>
      <c r="C15">
        <f t="shared" si="1"/>
        <v>1.4619600498661081E-2</v>
      </c>
      <c r="D15" t="s">
        <v>26</v>
      </c>
      <c r="E15" t="s">
        <v>21</v>
      </c>
      <c r="F15">
        <v>1</v>
      </c>
      <c r="G15">
        <f t="shared" si="6"/>
        <v>75</v>
      </c>
      <c r="I15">
        <v>2030</v>
      </c>
      <c r="J15">
        <f t="shared" si="7"/>
        <v>77.5</v>
      </c>
      <c r="K15" cm="1">
        <f t="array" ref="K15">STOWA2019_JAARROND_T(A15*60,J15,I15,"","lower")</f>
        <v>27.238132505280237</v>
      </c>
      <c r="L15">
        <f t="shared" si="8"/>
        <v>3.6713236482205432E-2</v>
      </c>
    </row>
    <row r="16" spans="1:12" x14ac:dyDescent="0.3">
      <c r="A16">
        <v>24</v>
      </c>
      <c r="B16">
        <f t="shared" si="5"/>
        <v>1.0065058175453806E-2</v>
      </c>
      <c r="C16">
        <f t="shared" si="1"/>
        <v>1.0065058175453806E-2</v>
      </c>
      <c r="D16" t="s">
        <v>26</v>
      </c>
      <c r="E16" t="s">
        <v>21</v>
      </c>
      <c r="F16">
        <v>1</v>
      </c>
      <c r="G16">
        <f t="shared" si="6"/>
        <v>80</v>
      </c>
      <c r="I16">
        <v>2030</v>
      </c>
      <c r="J16">
        <f t="shared" si="7"/>
        <v>82.5</v>
      </c>
      <c r="K16" cm="1">
        <f t="array" ref="K16">STOWA2019_JAARROND_T(A16*60,J16,I16,"","lower")</f>
        <v>37.526017294271796</v>
      </c>
      <c r="L16">
        <f t="shared" si="8"/>
        <v>2.6648178306751626E-2</v>
      </c>
    </row>
    <row r="17" spans="1:12" x14ac:dyDescent="0.3">
      <c r="A17">
        <v>24</v>
      </c>
      <c r="B17">
        <f t="shared" si="5"/>
        <v>7.0420517838068152E-3</v>
      </c>
      <c r="C17">
        <f t="shared" si="1"/>
        <v>7.0420517838068152E-3</v>
      </c>
      <c r="D17" t="s">
        <v>26</v>
      </c>
      <c r="E17" t="s">
        <v>21</v>
      </c>
      <c r="F17">
        <v>1</v>
      </c>
      <c r="G17">
        <f t="shared" si="6"/>
        <v>85</v>
      </c>
      <c r="I17">
        <v>2030</v>
      </c>
      <c r="J17">
        <f t="shared" si="7"/>
        <v>87.5</v>
      </c>
      <c r="K17" cm="1">
        <f t="array" ref="K17">STOWA2019_JAARROND_T(A17*60,J17,I17,"","lower")</f>
        <v>51.004465304746056</v>
      </c>
      <c r="L17">
        <f t="shared" si="8"/>
        <v>1.960612652294481E-2</v>
      </c>
    </row>
    <row r="18" spans="1:12" x14ac:dyDescent="0.3">
      <c r="A18">
        <v>24</v>
      </c>
      <c r="B18">
        <f t="shared" si="5"/>
        <v>5.0008098604359189E-3</v>
      </c>
      <c r="C18">
        <f t="shared" si="1"/>
        <v>5.0008098604359189E-3</v>
      </c>
      <c r="D18" t="s">
        <v>26</v>
      </c>
      <c r="E18" t="s">
        <v>21</v>
      </c>
      <c r="F18">
        <v>1</v>
      </c>
      <c r="G18">
        <f t="shared" si="6"/>
        <v>90</v>
      </c>
      <c r="I18">
        <v>2030</v>
      </c>
      <c r="J18">
        <f t="shared" si="7"/>
        <v>92.5</v>
      </c>
      <c r="K18" cm="1">
        <f t="array" ref="K18">STOWA2019_JAARROND_T(A18*60,J18,I18,"","lower")</f>
        <v>68.468217643438663</v>
      </c>
      <c r="L18">
        <f t="shared" si="8"/>
        <v>1.4605316662508892E-2</v>
      </c>
    </row>
    <row r="19" spans="1:12" x14ac:dyDescent="0.3">
      <c r="A19">
        <v>24</v>
      </c>
      <c r="B19">
        <f t="shared" si="5"/>
        <v>3.5997466258790804E-3</v>
      </c>
      <c r="C19">
        <f t="shared" si="1"/>
        <v>3.5997466258790804E-3</v>
      </c>
      <c r="D19" t="s">
        <v>26</v>
      </c>
      <c r="E19" t="s">
        <v>21</v>
      </c>
      <c r="F19">
        <v>1</v>
      </c>
      <c r="G19">
        <f t="shared" si="6"/>
        <v>95</v>
      </c>
      <c r="I19">
        <v>2030</v>
      </c>
      <c r="J19">
        <f t="shared" si="7"/>
        <v>97.5</v>
      </c>
      <c r="K19" cm="1">
        <f t="array" ref="K19">STOWA2019_JAARROND_T(A19*60,J19,I19,"","lower")</f>
        <v>90.86308084648978</v>
      </c>
      <c r="L19">
        <f t="shared" si="8"/>
        <v>1.1005570036629811E-2</v>
      </c>
    </row>
    <row r="20" spans="1:12" x14ac:dyDescent="0.3">
      <c r="A20">
        <v>24</v>
      </c>
      <c r="B20">
        <f t="shared" si="5"/>
        <v>2.6241161728885309E-3</v>
      </c>
      <c r="C20">
        <f t="shared" si="1"/>
        <v>2.6241161728885309E-3</v>
      </c>
      <c r="D20" t="s">
        <v>26</v>
      </c>
      <c r="E20" t="s">
        <v>21</v>
      </c>
      <c r="F20">
        <v>1</v>
      </c>
      <c r="G20">
        <f t="shared" si="6"/>
        <v>100</v>
      </c>
      <c r="I20">
        <v>2030</v>
      </c>
      <c r="J20">
        <f t="shared" si="7"/>
        <v>102.5</v>
      </c>
      <c r="K20" cm="1">
        <f t="array" ref="K20">STOWA2019_JAARROND_T(A20*60,J20,I20,"","lower")</f>
        <v>119.31104272088947</v>
      </c>
      <c r="L20">
        <f t="shared" si="8"/>
        <v>8.3814538637412804E-3</v>
      </c>
    </row>
    <row r="21" spans="1:12" x14ac:dyDescent="0.3">
      <c r="A21">
        <v>24</v>
      </c>
      <c r="B21">
        <f t="shared" si="5"/>
        <v>1.9353294656487222E-3</v>
      </c>
      <c r="C21">
        <f t="shared" si="1"/>
        <v>1.9353294656487222E-3</v>
      </c>
      <c r="D21" t="s">
        <v>26</v>
      </c>
      <c r="E21" t="s">
        <v>21</v>
      </c>
      <c r="F21">
        <v>1</v>
      </c>
      <c r="G21">
        <f t="shared" si="6"/>
        <v>105</v>
      </c>
      <c r="I21">
        <v>2030</v>
      </c>
      <c r="J21">
        <f t="shared" si="7"/>
        <v>107.5</v>
      </c>
      <c r="K21" cm="1">
        <f t="array" ref="K21">STOWA2019_JAARROND_T(A21*60,J21,I21,"","lower")</f>
        <v>155.13197360818933</v>
      </c>
      <c r="L21">
        <f t="shared" si="8"/>
        <v>6.4461243980925582E-3</v>
      </c>
    </row>
    <row r="22" spans="1:12" x14ac:dyDescent="0.3">
      <c r="A22">
        <v>24</v>
      </c>
      <c r="B22">
        <f t="shared" si="5"/>
        <v>1.4429069515759967E-3</v>
      </c>
      <c r="C22">
        <f t="shared" si="1"/>
        <v>1.4429069515759967E-3</v>
      </c>
      <c r="D22" t="s">
        <v>26</v>
      </c>
      <c r="E22" t="s">
        <v>21</v>
      </c>
      <c r="F22">
        <v>1</v>
      </c>
      <c r="G22">
        <f t="shared" si="6"/>
        <v>110</v>
      </c>
      <c r="I22">
        <v>2030</v>
      </c>
      <c r="J22">
        <f t="shared" si="7"/>
        <v>112.5</v>
      </c>
      <c r="K22" cm="1">
        <f t="array" ref="K22">STOWA2019_JAARROND_T(A22*60,J22,I22,"","lower")</f>
        <v>199.8713849017775</v>
      </c>
      <c r="L22">
        <f t="shared" si="8"/>
        <v>5.0032174465165615E-3</v>
      </c>
    </row>
    <row r="23" spans="1:12" x14ac:dyDescent="0.3">
      <c r="A23">
        <v>24</v>
      </c>
      <c r="B23">
        <f t="shared" si="5"/>
        <v>1.0866087214728001E-3</v>
      </c>
      <c r="C23">
        <f t="shared" si="1"/>
        <v>1.0866087214728001E-3</v>
      </c>
      <c r="D23" t="s">
        <v>26</v>
      </c>
      <c r="E23" t="s">
        <v>21</v>
      </c>
      <c r="F23">
        <v>1</v>
      </c>
      <c r="G23">
        <f t="shared" si="6"/>
        <v>115</v>
      </c>
      <c r="I23">
        <v>2030</v>
      </c>
      <c r="J23">
        <f t="shared" si="7"/>
        <v>117.5</v>
      </c>
      <c r="K23" cm="1">
        <f t="array" ref="K23">STOWA2019_JAARROND_T(A23*60,J23,I23,"","lower")</f>
        <v>255.32292608290268</v>
      </c>
      <c r="L23">
        <f t="shared" si="8"/>
        <v>3.9166087250437614E-3</v>
      </c>
    </row>
    <row r="24" spans="1:12" x14ac:dyDescent="0.3">
      <c r="A24">
        <v>24</v>
      </c>
      <c r="B24">
        <f t="shared" si="5"/>
        <v>8.2605566645533842E-4</v>
      </c>
      <c r="C24">
        <f t="shared" si="1"/>
        <v>8.2605566645533842E-4</v>
      </c>
      <c r="D24" t="s">
        <v>26</v>
      </c>
      <c r="E24" t="s">
        <v>21</v>
      </c>
      <c r="F24">
        <v>1</v>
      </c>
      <c r="G24">
        <f t="shared" si="6"/>
        <v>120</v>
      </c>
      <c r="I24">
        <v>2030</v>
      </c>
      <c r="J24">
        <f t="shared" si="7"/>
        <v>122.5</v>
      </c>
      <c r="K24" cm="1">
        <f t="array" ref="K24">STOWA2019_JAARROND_T(A24*60,J24,I24,"","lower")</f>
        <v>323.56668241662197</v>
      </c>
      <c r="L24">
        <f t="shared" si="8"/>
        <v>3.090553058588423E-3</v>
      </c>
    </row>
    <row r="25" spans="1:12" x14ac:dyDescent="0.3">
      <c r="A25">
        <v>24</v>
      </c>
      <c r="B25">
        <f t="shared" si="5"/>
        <v>6.33532995203555E-4</v>
      </c>
      <c r="C25">
        <f t="shared" si="1"/>
        <v>6.33532995203555E-4</v>
      </c>
      <c r="D25" t="s">
        <v>26</v>
      </c>
      <c r="E25" t="s">
        <v>21</v>
      </c>
      <c r="F25">
        <v>1</v>
      </c>
      <c r="G25">
        <f t="shared" si="6"/>
        <v>125</v>
      </c>
      <c r="I25">
        <v>2030</v>
      </c>
      <c r="J25">
        <f t="shared" si="7"/>
        <v>127.5</v>
      </c>
      <c r="K25" cm="1">
        <f t="array" ref="K25">STOWA2019_JAARROND_T(A25*60,J25,I25,"","lower")</f>
        <v>406.99708354125875</v>
      </c>
      <c r="L25">
        <f t="shared" si="8"/>
        <v>2.457020063384868E-3</v>
      </c>
    </row>
    <row r="26" spans="1:12" x14ac:dyDescent="0.3">
      <c r="A26">
        <v>24</v>
      </c>
      <c r="B26">
        <f t="shared" si="5"/>
        <v>4.8989626503244182E-4</v>
      </c>
      <c r="C26">
        <f t="shared" si="1"/>
        <v>4.8989626503244182E-4</v>
      </c>
      <c r="D26" t="s">
        <v>26</v>
      </c>
      <c r="E26" t="s">
        <v>21</v>
      </c>
      <c r="F26">
        <v>1</v>
      </c>
      <c r="G26">
        <f t="shared" si="6"/>
        <v>130</v>
      </c>
      <c r="I26">
        <v>2030</v>
      </c>
      <c r="J26">
        <f t="shared" si="7"/>
        <v>132.5</v>
      </c>
      <c r="K26" cm="1">
        <f t="array" ref="K26">STOWA2019_JAARROND_T(A26*60,J26,I26,"","lower")</f>
        <v>508.35641398754609</v>
      </c>
      <c r="L26">
        <f t="shared" si="8"/>
        <v>1.9671237983524261E-3</v>
      </c>
    </row>
    <row r="27" spans="1:12" x14ac:dyDescent="0.3">
      <c r="A27">
        <v>24</v>
      </c>
      <c r="B27">
        <f t="shared" si="5"/>
        <v>3.8179719855906016E-4</v>
      </c>
      <c r="C27">
        <f t="shared" si="1"/>
        <v>3.8179719855906016E-4</v>
      </c>
      <c r="D27" t="s">
        <v>26</v>
      </c>
      <c r="E27" t="s">
        <v>21</v>
      </c>
      <c r="F27">
        <v>1</v>
      </c>
      <c r="G27">
        <f t="shared" si="6"/>
        <v>135</v>
      </c>
      <c r="I27">
        <v>2030</v>
      </c>
      <c r="J27">
        <f t="shared" si="7"/>
        <v>137.5</v>
      </c>
      <c r="K27" cm="1">
        <f t="array" ref="K27">STOWA2019_JAARROND_T(A27*60,J27,I27,"","lower")</f>
        <v>630.7848490843096</v>
      </c>
      <c r="L27">
        <f t="shared" si="8"/>
        <v>1.585326599793366E-3</v>
      </c>
    </row>
    <row r="28" spans="1:12" x14ac:dyDescent="0.3">
      <c r="A28">
        <v>24</v>
      </c>
      <c r="B28">
        <f t="shared" si="5"/>
        <v>2.9972209208451416E-4</v>
      </c>
      <c r="C28">
        <f t="shared" si="1"/>
        <v>2.9972209208451416E-4</v>
      </c>
      <c r="D28" t="s">
        <v>26</v>
      </c>
      <c r="E28" t="s">
        <v>21</v>
      </c>
      <c r="F28">
        <v>1</v>
      </c>
      <c r="G28">
        <f t="shared" si="6"/>
        <v>140</v>
      </c>
      <c r="I28">
        <v>2030</v>
      </c>
      <c r="J28">
        <f t="shared" si="7"/>
        <v>142.5</v>
      </c>
      <c r="K28" cm="1">
        <f t="array" ref="K28">STOWA2019_JAARROND_T(A28*60,J28,I28,"","lower")</f>
        <v>777.84419236531483</v>
      </c>
      <c r="L28">
        <f t="shared" si="8"/>
        <v>1.2856045077088518E-3</v>
      </c>
    </row>
    <row r="29" spans="1:12" x14ac:dyDescent="0.3">
      <c r="A29">
        <v>24</v>
      </c>
      <c r="B29">
        <f t="shared" si="5"/>
        <v>2.3691671013826394E-4</v>
      </c>
      <c r="C29">
        <f t="shared" si="1"/>
        <v>2.3691671013826394E-4</v>
      </c>
      <c r="D29" t="s">
        <v>26</v>
      </c>
      <c r="E29" t="s">
        <v>21</v>
      </c>
      <c r="F29">
        <v>1</v>
      </c>
      <c r="G29">
        <f t="shared" si="6"/>
        <v>145</v>
      </c>
      <c r="I29">
        <v>2030</v>
      </c>
      <c r="J29">
        <f t="shared" si="7"/>
        <v>147.5</v>
      </c>
      <c r="K29" cm="1">
        <f t="array" ref="K29">STOWA2019_JAARROND_T(A29*60,J29,I29,"","lower")</f>
        <v>953.57264794786488</v>
      </c>
      <c r="L29">
        <f t="shared" si="8"/>
        <v>1.0486877975705879E-3</v>
      </c>
    </row>
    <row r="30" spans="1:12" x14ac:dyDescent="0.3">
      <c r="A30">
        <v>24</v>
      </c>
      <c r="B30">
        <f t="shared" si="5"/>
        <v>1.8849418402862273E-4</v>
      </c>
      <c r="C30">
        <f t="shared" si="1"/>
        <v>1.8849418402862273E-4</v>
      </c>
      <c r="D30" t="s">
        <v>26</v>
      </c>
      <c r="E30" t="s">
        <v>21</v>
      </c>
      <c r="F30">
        <v>1</v>
      </c>
      <c r="G30">
        <f t="shared" si="6"/>
        <v>150</v>
      </c>
      <c r="I30">
        <v>2030</v>
      </c>
      <c r="J30">
        <f t="shared" si="7"/>
        <v>152.5</v>
      </c>
      <c r="K30" cm="1">
        <f t="array" ref="K30">STOWA2019_JAARROND_T(A30*60,J30,I30,"","lower")</f>
        <v>1162.5289751714884</v>
      </c>
      <c r="L30">
        <f t="shared" si="8"/>
        <v>8.6019361354196515E-4</v>
      </c>
    </row>
    <row r="31" spans="1:12" x14ac:dyDescent="0.3">
      <c r="A31">
        <v>24</v>
      </c>
      <c r="B31">
        <f t="shared" si="5"/>
        <v>1.5089090111855953E-4</v>
      </c>
      <c r="C31">
        <f t="shared" si="1"/>
        <v>1.5089090111855953E-4</v>
      </c>
      <c r="D31" t="s">
        <v>26</v>
      </c>
      <c r="E31" t="s">
        <v>21</v>
      </c>
      <c r="F31">
        <v>1</v>
      </c>
      <c r="G31">
        <f t="shared" si="6"/>
        <v>155</v>
      </c>
      <c r="I31">
        <v>2030</v>
      </c>
      <c r="J31">
        <f t="shared" si="7"/>
        <v>157.5</v>
      </c>
      <c r="K31" cm="1">
        <f t="array" ref="K31">STOWA2019_JAARROND_T(A31*60,J31,I31,"","lower")</f>
        <v>1409.835296672414</v>
      </c>
      <c r="L31">
        <f t="shared" si="8"/>
        <v>7.0930271242340562E-4</v>
      </c>
    </row>
    <row r="32" spans="1:12" x14ac:dyDescent="0.3">
      <c r="A32">
        <v>24</v>
      </c>
      <c r="B32" s="1">
        <f>L31</f>
        <v>7.0930271242340562E-4</v>
      </c>
      <c r="C32">
        <f t="shared" si="1"/>
        <v>7.0930271242340562E-4</v>
      </c>
      <c r="D32" t="s">
        <v>26</v>
      </c>
      <c r="E32" t="s">
        <v>21</v>
      </c>
      <c r="F32">
        <v>1</v>
      </c>
      <c r="G32">
        <f t="shared" si="6"/>
        <v>160</v>
      </c>
      <c r="I32">
        <v>2030</v>
      </c>
      <c r="J32">
        <f>AVERAGE(G32:G33)</f>
        <v>85</v>
      </c>
      <c r="K32" cm="1">
        <f t="array" ref="K32">STOWA2019_JAARROND_T(A32*60,J32,I32,"","lower")</f>
        <v>43.820322025778125</v>
      </c>
      <c r="L32">
        <f>1/K32</f>
        <v>2.2820462145662263E-2</v>
      </c>
    </row>
    <row r="33" spans="1:12" x14ac:dyDescent="0.3">
      <c r="A33">
        <v>48</v>
      </c>
      <c r="B33" s="1">
        <f>365.25*24/A33 - L33</f>
        <v>155.01788265589059</v>
      </c>
      <c r="C33">
        <f>B33</f>
        <v>155.01788265589059</v>
      </c>
      <c r="D33" t="s">
        <v>26</v>
      </c>
      <c r="E33" t="s">
        <v>21</v>
      </c>
      <c r="F33">
        <v>1</v>
      </c>
      <c r="G33">
        <v>10</v>
      </c>
      <c r="I33">
        <v>2030</v>
      </c>
      <c r="J33">
        <f>AVERAGE(G33:G35)</f>
        <v>15</v>
      </c>
      <c r="K33" cm="1">
        <f t="array" ref="K33">STOWA2019_JAARROND_T(A33*60,J33,I33,"","lower")</f>
        <v>3.622254317738003E-2</v>
      </c>
      <c r="L33">
        <f>1/K33</f>
        <v>27.607117344109405</v>
      </c>
    </row>
    <row r="34" spans="1:12" x14ac:dyDescent="0.3">
      <c r="A34">
        <v>48</v>
      </c>
      <c r="B34">
        <f t="shared" ref="B34:B38" si="9">L33-L34</f>
        <v>7.3554631681499849</v>
      </c>
      <c r="C34">
        <f t="shared" ref="C34:C63" si="10">B34</f>
        <v>7.3554631681499849</v>
      </c>
      <c r="D34" t="s">
        <v>26</v>
      </c>
      <c r="E34" t="s">
        <v>21</v>
      </c>
      <c r="F34">
        <v>1</v>
      </c>
      <c r="G34">
        <f t="shared" ref="G34:G38" si="11">G33+5</f>
        <v>15</v>
      </c>
      <c r="I34">
        <v>2030</v>
      </c>
      <c r="J34">
        <f t="shared" ref="J34:J38" si="12">AVERAGE(G34:G35)</f>
        <v>17.5</v>
      </c>
      <c r="K34" cm="1">
        <f t="array" ref="K34">STOWA2019_JAARROND_T(A34*60,J34,I34,"","lower")</f>
        <v>4.9378682418303003E-2</v>
      </c>
      <c r="L34">
        <f t="shared" ref="L34:L38" si="13">1/K34</f>
        <v>20.25165417595942</v>
      </c>
    </row>
    <row r="35" spans="1:12" x14ac:dyDescent="0.3">
      <c r="A35">
        <v>48</v>
      </c>
      <c r="B35">
        <f t="shared" si="9"/>
        <v>9.0318365016752242</v>
      </c>
      <c r="C35">
        <f t="shared" si="10"/>
        <v>9.0318365016752242</v>
      </c>
      <c r="D35" t="s">
        <v>26</v>
      </c>
      <c r="E35" t="s">
        <v>21</v>
      </c>
      <c r="F35">
        <v>1</v>
      </c>
      <c r="G35">
        <f t="shared" si="11"/>
        <v>20</v>
      </c>
      <c r="I35">
        <v>2030</v>
      </c>
      <c r="J35">
        <f t="shared" si="12"/>
        <v>22.5</v>
      </c>
      <c r="K35" cm="1">
        <f t="array" ref="K35">STOWA2019_JAARROND_T(A35*60,J35,I35,"","lower")</f>
        <v>8.9128008050611954E-2</v>
      </c>
      <c r="L35">
        <f t="shared" si="13"/>
        <v>11.219817674284196</v>
      </c>
    </row>
    <row r="36" spans="1:12" x14ac:dyDescent="0.3">
      <c r="A36">
        <v>48</v>
      </c>
      <c r="B36">
        <f t="shared" si="9"/>
        <v>4.7882583417640463</v>
      </c>
      <c r="C36">
        <f t="shared" si="10"/>
        <v>4.7882583417640463</v>
      </c>
      <c r="D36" t="s">
        <v>26</v>
      </c>
      <c r="E36" t="s">
        <v>21</v>
      </c>
      <c r="F36">
        <v>1</v>
      </c>
      <c r="G36">
        <f t="shared" si="11"/>
        <v>25</v>
      </c>
      <c r="I36">
        <v>2030</v>
      </c>
      <c r="J36">
        <f t="shared" si="12"/>
        <v>27.5</v>
      </c>
      <c r="K36" cm="1">
        <f t="array" ref="K36">STOWA2019_JAARROND_T(A36*60,J36,I36,"","lower")</f>
        <v>0.15548328924583812</v>
      </c>
      <c r="L36">
        <f t="shared" si="13"/>
        <v>6.4315593325201492</v>
      </c>
    </row>
    <row r="37" spans="1:12" x14ac:dyDescent="0.3">
      <c r="A37">
        <v>48</v>
      </c>
      <c r="B37">
        <f t="shared" si="9"/>
        <v>2.6325062543142077</v>
      </c>
      <c r="C37">
        <f t="shared" si="10"/>
        <v>2.6325062543142077</v>
      </c>
      <c r="D37" t="s">
        <v>26</v>
      </c>
      <c r="E37" t="s">
        <v>21</v>
      </c>
      <c r="F37">
        <v>1</v>
      </c>
      <c r="G37">
        <f t="shared" si="11"/>
        <v>30</v>
      </c>
      <c r="I37">
        <v>2030</v>
      </c>
      <c r="J37">
        <f t="shared" si="12"/>
        <v>32.5</v>
      </c>
      <c r="K37" cm="1">
        <f t="array" ref="K37">STOWA2019_JAARROND_T(A37*60,J37,I37,"","lower")</f>
        <v>0.26322348738339774</v>
      </c>
      <c r="L37">
        <f t="shared" si="13"/>
        <v>3.7990530782059415</v>
      </c>
    </row>
    <row r="38" spans="1:12" x14ac:dyDescent="0.3">
      <c r="A38">
        <v>48</v>
      </c>
      <c r="B38">
        <f t="shared" si="9"/>
        <v>1.4941640567869885</v>
      </c>
      <c r="C38">
        <f t="shared" si="10"/>
        <v>1.4941640567869885</v>
      </c>
      <c r="D38" t="s">
        <v>26</v>
      </c>
      <c r="E38" t="s">
        <v>21</v>
      </c>
      <c r="F38">
        <v>1</v>
      </c>
      <c r="G38">
        <f t="shared" si="11"/>
        <v>35</v>
      </c>
      <c r="I38">
        <v>2030</v>
      </c>
      <c r="J38">
        <f t="shared" si="12"/>
        <v>37.5</v>
      </c>
      <c r="K38" cm="1">
        <f t="array" ref="K38">STOWA2019_JAARROND_T(A38*60,J38,I38,"","lower")</f>
        <v>0.43386036841998254</v>
      </c>
      <c r="L38">
        <f t="shared" si="13"/>
        <v>2.304889021418953</v>
      </c>
    </row>
    <row r="39" spans="1:12" x14ac:dyDescent="0.3">
      <c r="A39">
        <v>48</v>
      </c>
      <c r="B39">
        <f>L38-L39</f>
        <v>0.87236647367540288</v>
      </c>
      <c r="C39">
        <f t="shared" si="10"/>
        <v>0.87236647367540288</v>
      </c>
      <c r="D39" t="s">
        <v>26</v>
      </c>
      <c r="E39" t="s">
        <v>21</v>
      </c>
      <c r="F39">
        <v>1</v>
      </c>
      <c r="G39">
        <f>G38+5</f>
        <v>40</v>
      </c>
      <c r="I39">
        <v>2030</v>
      </c>
      <c r="J39">
        <f>AVERAGE(G39:G40)</f>
        <v>42.5</v>
      </c>
      <c r="K39" cm="1">
        <f t="array" ref="K39">STOWA2019_JAARROND_T(A39*60,J39,I39,"","lower")</f>
        <v>0.69806929152714448</v>
      </c>
      <c r="L39">
        <f>1/K39</f>
        <v>1.4325225477435501</v>
      </c>
    </row>
    <row r="40" spans="1:12" x14ac:dyDescent="0.3">
      <c r="A40">
        <v>48</v>
      </c>
      <c r="B40">
        <f t="shared" ref="B40:B62" si="14">L39-L40</f>
        <v>0.52241259143592977</v>
      </c>
      <c r="C40">
        <f t="shared" si="10"/>
        <v>0.52241259143592977</v>
      </c>
      <c r="D40" t="s">
        <v>26</v>
      </c>
      <c r="E40" t="s">
        <v>21</v>
      </c>
      <c r="F40">
        <v>1</v>
      </c>
      <c r="G40">
        <f t="shared" ref="G40:G63" si="15">G39+5</f>
        <v>45</v>
      </c>
      <c r="I40">
        <v>2030</v>
      </c>
      <c r="J40">
        <f t="shared" ref="J40:J62" si="16">AVERAGE(G40:G41)</f>
        <v>47.5</v>
      </c>
      <c r="K40" cm="1">
        <f t="array" ref="K40">STOWA2019_JAARROND_T(A40*60,J40,I40,"","lower")</f>
        <v>1.0987683335067224</v>
      </c>
      <c r="L40">
        <f t="shared" ref="L40:L62" si="17">1/K40</f>
        <v>0.91010995630762037</v>
      </c>
    </row>
    <row r="41" spans="1:12" x14ac:dyDescent="0.3">
      <c r="A41">
        <v>48</v>
      </c>
      <c r="B41">
        <f t="shared" si="14"/>
        <v>0.32034532174008945</v>
      </c>
      <c r="C41">
        <f t="shared" si="10"/>
        <v>0.32034532174008945</v>
      </c>
      <c r="D41" t="s">
        <v>26</v>
      </c>
      <c r="E41" t="s">
        <v>21</v>
      </c>
      <c r="F41">
        <v>1</v>
      </c>
      <c r="G41">
        <f t="shared" si="15"/>
        <v>50</v>
      </c>
      <c r="I41">
        <v>2030</v>
      </c>
      <c r="J41">
        <f t="shared" si="16"/>
        <v>52.5</v>
      </c>
      <c r="K41" cm="1">
        <f t="array" ref="K41">STOWA2019_JAARROND_T(A41*60,J41,I41,"","lower")</f>
        <v>1.6955916672305908</v>
      </c>
      <c r="L41">
        <f t="shared" si="17"/>
        <v>0.58976463456753092</v>
      </c>
    </row>
    <row r="42" spans="1:12" x14ac:dyDescent="0.3">
      <c r="A42">
        <v>48</v>
      </c>
      <c r="B42">
        <f t="shared" si="14"/>
        <v>0.20055350080649631</v>
      </c>
      <c r="C42">
        <f t="shared" si="10"/>
        <v>0.20055350080649631</v>
      </c>
      <c r="D42" t="s">
        <v>26</v>
      </c>
      <c r="E42" t="s">
        <v>21</v>
      </c>
      <c r="F42">
        <v>1</v>
      </c>
      <c r="G42">
        <f t="shared" si="15"/>
        <v>55</v>
      </c>
      <c r="I42">
        <v>2030</v>
      </c>
      <c r="J42">
        <f t="shared" si="16"/>
        <v>57.5</v>
      </c>
      <c r="K42" cm="1">
        <f t="array" ref="K42">STOWA2019_JAARROND_T(A42*60,J42,I42,"","lower")</f>
        <v>2.5692995735676298</v>
      </c>
      <c r="L42">
        <f t="shared" si="17"/>
        <v>0.38921113376103461</v>
      </c>
    </row>
    <row r="43" spans="1:12" x14ac:dyDescent="0.3">
      <c r="A43">
        <v>48</v>
      </c>
      <c r="B43">
        <f t="shared" si="14"/>
        <v>0.12801846979397957</v>
      </c>
      <c r="C43">
        <f t="shared" si="10"/>
        <v>0.12801846979397957</v>
      </c>
      <c r="D43" t="s">
        <v>26</v>
      </c>
      <c r="E43" t="s">
        <v>21</v>
      </c>
      <c r="F43">
        <v>1</v>
      </c>
      <c r="G43">
        <f t="shared" si="15"/>
        <v>60</v>
      </c>
      <c r="I43">
        <v>2030</v>
      </c>
      <c r="J43">
        <f t="shared" si="16"/>
        <v>62.5</v>
      </c>
      <c r="K43" cm="1">
        <f t="array" ref="K43">STOWA2019_JAARROND_T(A43*60,J43,I43,"","lower")</f>
        <v>3.8285914497435223</v>
      </c>
      <c r="L43">
        <f t="shared" si="17"/>
        <v>0.26119266396705504</v>
      </c>
    </row>
    <row r="44" spans="1:12" x14ac:dyDescent="0.3">
      <c r="A44">
        <v>48</v>
      </c>
      <c r="B44">
        <f t="shared" si="14"/>
        <v>8.3181027777828931E-2</v>
      </c>
      <c r="C44">
        <f t="shared" si="10"/>
        <v>8.3181027777828931E-2</v>
      </c>
      <c r="D44" t="s">
        <v>26</v>
      </c>
      <c r="E44" t="s">
        <v>21</v>
      </c>
      <c r="F44">
        <v>1</v>
      </c>
      <c r="G44">
        <f t="shared" si="15"/>
        <v>65</v>
      </c>
      <c r="I44">
        <v>2030</v>
      </c>
      <c r="J44">
        <f t="shared" si="16"/>
        <v>67.5</v>
      </c>
      <c r="K44" cm="1">
        <f t="array" ref="K44">STOWA2019_JAARROND_T(A44*60,J44,I44,"","lower")</f>
        <v>5.6176102945146882</v>
      </c>
      <c r="L44">
        <f t="shared" si="17"/>
        <v>0.17801163618922611</v>
      </c>
    </row>
    <row r="45" spans="1:12" x14ac:dyDescent="0.3">
      <c r="A45">
        <v>48</v>
      </c>
      <c r="B45">
        <f t="shared" si="14"/>
        <v>5.4944720489056909E-2</v>
      </c>
      <c r="C45">
        <f t="shared" si="10"/>
        <v>5.4944720489056909E-2</v>
      </c>
      <c r="D45" t="s">
        <v>26</v>
      </c>
      <c r="E45" t="s">
        <v>21</v>
      </c>
      <c r="F45">
        <v>1</v>
      </c>
      <c r="G45">
        <f t="shared" si="15"/>
        <v>70</v>
      </c>
      <c r="I45">
        <v>2030</v>
      </c>
      <c r="J45">
        <f t="shared" si="16"/>
        <v>72.5</v>
      </c>
      <c r="K45" cm="1">
        <f t="array" ref="K45">STOWA2019_JAARROND_T(A45*60,J45,I45,"","lower")</f>
        <v>8.1256606969522451</v>
      </c>
      <c r="L45">
        <f t="shared" si="17"/>
        <v>0.1230669157001692</v>
      </c>
    </row>
    <row r="46" spans="1:12" x14ac:dyDescent="0.3">
      <c r="A46">
        <v>48</v>
      </c>
      <c r="B46">
        <f t="shared" si="14"/>
        <v>3.6848993837183375E-2</v>
      </c>
      <c r="C46">
        <f t="shared" si="10"/>
        <v>3.6848993837183375E-2</v>
      </c>
      <c r="D46" t="s">
        <v>26</v>
      </c>
      <c r="E46" t="s">
        <v>21</v>
      </c>
      <c r="F46">
        <v>1</v>
      </c>
      <c r="G46">
        <f t="shared" si="15"/>
        <v>75</v>
      </c>
      <c r="I46">
        <v>2030</v>
      </c>
      <c r="J46">
        <f t="shared" si="16"/>
        <v>77.5</v>
      </c>
      <c r="K46" cm="1">
        <f t="array" ref="K46">STOWA2019_JAARROND_T(A46*60,J46,I46,"","lower")</f>
        <v>11.598516623830962</v>
      </c>
      <c r="L46">
        <f t="shared" si="17"/>
        <v>8.6217921862985825E-2</v>
      </c>
    </row>
    <row r="47" spans="1:12" x14ac:dyDescent="0.3">
      <c r="A47">
        <v>48</v>
      </c>
      <c r="B47">
        <f t="shared" si="14"/>
        <v>2.5065669690004545E-2</v>
      </c>
      <c r="C47">
        <f t="shared" si="10"/>
        <v>2.5065669690004545E-2</v>
      </c>
      <c r="D47" t="s">
        <v>26</v>
      </c>
      <c r="E47" t="s">
        <v>21</v>
      </c>
      <c r="F47">
        <v>1</v>
      </c>
      <c r="G47">
        <f t="shared" si="15"/>
        <v>80</v>
      </c>
      <c r="I47">
        <v>2030</v>
      </c>
      <c r="J47">
        <f t="shared" si="16"/>
        <v>82.5</v>
      </c>
      <c r="K47" cm="1">
        <f t="array" ref="K47">STOWA2019_JAARROND_T(A47*60,J47,I47,"","lower")</f>
        <v>16.352627490665455</v>
      </c>
      <c r="L47">
        <f t="shared" si="17"/>
        <v>6.1152252172981279E-2</v>
      </c>
    </row>
    <row r="48" spans="1:12" x14ac:dyDescent="0.3">
      <c r="A48">
        <v>48</v>
      </c>
      <c r="B48">
        <f t="shared" si="14"/>
        <v>1.7276752658417757E-2</v>
      </c>
      <c r="C48">
        <f t="shared" si="10"/>
        <v>1.7276752658417757E-2</v>
      </c>
      <c r="D48" t="s">
        <v>26</v>
      </c>
      <c r="E48" t="s">
        <v>21</v>
      </c>
      <c r="F48">
        <v>1</v>
      </c>
      <c r="G48">
        <f t="shared" si="15"/>
        <v>85</v>
      </c>
      <c r="I48">
        <v>2030</v>
      </c>
      <c r="J48">
        <f t="shared" si="16"/>
        <v>87.5</v>
      </c>
      <c r="K48" cm="1">
        <f t="array" ref="K48">STOWA2019_JAARROND_T(A48*60,J48,I48,"","lower")</f>
        <v>22.791763308998263</v>
      </c>
      <c r="L48">
        <f t="shared" si="17"/>
        <v>4.3875499514563522E-2</v>
      </c>
    </row>
    <row r="49" spans="1:12" x14ac:dyDescent="0.3">
      <c r="A49">
        <v>48</v>
      </c>
      <c r="B49">
        <f t="shared" si="14"/>
        <v>1.2054737730716782E-2</v>
      </c>
      <c r="C49">
        <f t="shared" si="10"/>
        <v>1.2054737730716782E-2</v>
      </c>
      <c r="D49" t="s">
        <v>26</v>
      </c>
      <c r="E49" t="s">
        <v>21</v>
      </c>
      <c r="F49">
        <v>1</v>
      </c>
      <c r="G49">
        <f t="shared" si="15"/>
        <v>90</v>
      </c>
      <c r="I49">
        <v>2030</v>
      </c>
      <c r="J49">
        <f t="shared" si="16"/>
        <v>92.5</v>
      </c>
      <c r="K49" cm="1">
        <f t="array" ref="K49">STOWA2019_JAARROND_T(A49*60,J49,I49,"","lower")</f>
        <v>31.426023260940056</v>
      </c>
      <c r="L49">
        <f t="shared" si="17"/>
        <v>3.182076178384674E-2</v>
      </c>
    </row>
    <row r="50" spans="1:12" x14ac:dyDescent="0.3">
      <c r="A50">
        <v>48</v>
      </c>
      <c r="B50">
        <f t="shared" si="14"/>
        <v>8.508747268567065E-3</v>
      </c>
      <c r="C50">
        <f t="shared" si="10"/>
        <v>8.508747268567065E-3</v>
      </c>
      <c r="D50" t="s">
        <v>26</v>
      </c>
      <c r="E50" t="s">
        <v>21</v>
      </c>
      <c r="F50">
        <v>1</v>
      </c>
      <c r="G50">
        <f t="shared" si="15"/>
        <v>95</v>
      </c>
      <c r="I50">
        <v>2030</v>
      </c>
      <c r="J50">
        <f t="shared" si="16"/>
        <v>97.5</v>
      </c>
      <c r="K50" cm="1">
        <f t="array" ref="K50">STOWA2019_JAARROND_T(A50*60,J50,I50,"","lower")</f>
        <v>42.896335678950351</v>
      </c>
      <c r="L50">
        <f t="shared" si="17"/>
        <v>2.3312014515279676E-2</v>
      </c>
    </row>
    <row r="51" spans="1:12" x14ac:dyDescent="0.3">
      <c r="A51">
        <v>48</v>
      </c>
      <c r="B51">
        <f t="shared" si="14"/>
        <v>6.0709981524632133E-3</v>
      </c>
      <c r="C51">
        <f t="shared" si="10"/>
        <v>6.0709981524632133E-3</v>
      </c>
      <c r="D51" t="s">
        <v>26</v>
      </c>
      <c r="E51" t="s">
        <v>21</v>
      </c>
      <c r="F51">
        <v>1</v>
      </c>
      <c r="G51">
        <f t="shared" si="15"/>
        <v>100</v>
      </c>
      <c r="I51">
        <v>2030</v>
      </c>
      <c r="J51">
        <f t="shared" si="16"/>
        <v>102.5</v>
      </c>
      <c r="K51" cm="1">
        <f t="array" ref="K51">STOWA2019_JAARROND_T(A51*60,J51,I51,"","lower")</f>
        <v>58.00122098118824</v>
      </c>
      <c r="L51">
        <f t="shared" si="17"/>
        <v>1.7241016362816462E-2</v>
      </c>
    </row>
    <row r="52" spans="1:12" x14ac:dyDescent="0.3">
      <c r="A52">
        <v>48</v>
      </c>
      <c r="B52">
        <f t="shared" si="14"/>
        <v>4.3757177969967077E-3</v>
      </c>
      <c r="C52">
        <f t="shared" si="10"/>
        <v>4.3757177969967077E-3</v>
      </c>
      <c r="D52" t="s">
        <v>26</v>
      </c>
      <c r="E52" t="s">
        <v>21</v>
      </c>
      <c r="F52">
        <v>1</v>
      </c>
      <c r="G52">
        <f t="shared" si="15"/>
        <v>105</v>
      </c>
      <c r="I52">
        <v>2030</v>
      </c>
      <c r="J52">
        <f t="shared" si="16"/>
        <v>107.5</v>
      </c>
      <c r="K52" cm="1">
        <f t="array" ref="K52">STOWA2019_JAARROND_T(A52*60,J52,I52,"","lower")</f>
        <v>77.728472050915187</v>
      </c>
      <c r="L52">
        <f t="shared" si="17"/>
        <v>1.2865298565819755E-2</v>
      </c>
    </row>
    <row r="53" spans="1:12" x14ac:dyDescent="0.3">
      <c r="A53">
        <v>48</v>
      </c>
      <c r="B53">
        <f t="shared" si="14"/>
        <v>3.1842661741145906E-3</v>
      </c>
      <c r="C53">
        <f t="shared" si="10"/>
        <v>3.1842661741145906E-3</v>
      </c>
      <c r="D53" t="s">
        <v>26</v>
      </c>
      <c r="E53" t="s">
        <v>21</v>
      </c>
      <c r="F53">
        <v>1</v>
      </c>
      <c r="G53">
        <f t="shared" si="15"/>
        <v>110</v>
      </c>
      <c r="I53">
        <v>2030</v>
      </c>
      <c r="J53">
        <f t="shared" si="16"/>
        <v>112.5</v>
      </c>
      <c r="K53" cm="1">
        <f t="array" ref="K53">STOWA2019_JAARROND_T(A53*60,J53,I53,"","lower")</f>
        <v>103.29476852663082</v>
      </c>
      <c r="L53">
        <f t="shared" si="17"/>
        <v>9.681032391705164E-3</v>
      </c>
    </row>
    <row r="54" spans="1:12" x14ac:dyDescent="0.3">
      <c r="A54">
        <v>48</v>
      </c>
      <c r="B54">
        <f t="shared" si="14"/>
        <v>2.3381207333657717E-3</v>
      </c>
      <c r="C54">
        <f t="shared" si="10"/>
        <v>2.3381207333657717E-3</v>
      </c>
      <c r="D54" t="s">
        <v>26</v>
      </c>
      <c r="E54" t="s">
        <v>21</v>
      </c>
      <c r="F54">
        <v>1</v>
      </c>
      <c r="G54">
        <f t="shared" si="15"/>
        <v>115</v>
      </c>
      <c r="I54">
        <v>2030</v>
      </c>
      <c r="J54">
        <f t="shared" si="16"/>
        <v>117.5</v>
      </c>
      <c r="K54" cm="1">
        <f t="array" ref="K54">STOWA2019_JAARROND_T(A54*60,J54,I54,"","lower")</f>
        <v>136.18575934578942</v>
      </c>
      <c r="L54">
        <f t="shared" si="17"/>
        <v>7.3429116583393923E-3</v>
      </c>
    </row>
    <row r="55" spans="1:12" x14ac:dyDescent="0.3">
      <c r="A55">
        <v>48</v>
      </c>
      <c r="B55">
        <f t="shared" si="14"/>
        <v>1.7314552360579291E-3</v>
      </c>
      <c r="C55">
        <f t="shared" si="10"/>
        <v>1.7314552360579291E-3</v>
      </c>
      <c r="D55" t="s">
        <v>26</v>
      </c>
      <c r="E55" t="s">
        <v>21</v>
      </c>
      <c r="F55">
        <v>1</v>
      </c>
      <c r="G55">
        <f t="shared" si="15"/>
        <v>120</v>
      </c>
      <c r="I55">
        <v>2030</v>
      </c>
      <c r="J55">
        <f t="shared" si="16"/>
        <v>122.5</v>
      </c>
      <c r="K55" cm="1">
        <f t="array" ref="K55">STOWA2019_JAARROND_T(A55*60,J55,I55,"","lower")</f>
        <v>178.20685482458538</v>
      </c>
      <c r="L55">
        <f t="shared" si="17"/>
        <v>5.6114564222814632E-3</v>
      </c>
    </row>
    <row r="56" spans="1:12" x14ac:dyDescent="0.3">
      <c r="A56">
        <v>48</v>
      </c>
      <c r="B56">
        <f t="shared" si="14"/>
        <v>1.2926336420295143E-3</v>
      </c>
      <c r="C56">
        <f t="shared" si="10"/>
        <v>1.2926336420295143E-3</v>
      </c>
      <c r="D56" t="s">
        <v>26</v>
      </c>
      <c r="E56" t="s">
        <v>21</v>
      </c>
      <c r="F56">
        <v>1</v>
      </c>
      <c r="G56">
        <f t="shared" si="15"/>
        <v>125</v>
      </c>
      <c r="I56">
        <v>2030</v>
      </c>
      <c r="J56">
        <f t="shared" si="16"/>
        <v>127.5</v>
      </c>
      <c r="K56" cm="1">
        <f t="array" ref="K56">STOWA2019_JAARROND_T(A56*60,J56,I56,"","lower")</f>
        <v>231.54457843756731</v>
      </c>
      <c r="L56">
        <f t="shared" si="17"/>
        <v>4.3188227802519489E-3</v>
      </c>
    </row>
    <row r="57" spans="1:12" x14ac:dyDescent="0.3">
      <c r="A57">
        <v>48</v>
      </c>
      <c r="B57">
        <f t="shared" si="14"/>
        <v>9.7237106357352153E-4</v>
      </c>
      <c r="C57">
        <f t="shared" si="10"/>
        <v>9.7237106357352153E-4</v>
      </c>
      <c r="D57" t="s">
        <v>26</v>
      </c>
      <c r="E57" t="s">
        <v>21</v>
      </c>
      <c r="F57">
        <v>1</v>
      </c>
      <c r="G57">
        <f t="shared" si="15"/>
        <v>130</v>
      </c>
      <c r="I57">
        <v>2030</v>
      </c>
      <c r="J57">
        <f t="shared" si="16"/>
        <v>132.5</v>
      </c>
      <c r="K57" cm="1">
        <f t="array" ref="K57">STOWA2019_JAARROND_T(A57*60,J57,I57,"","lower")</f>
        <v>298.82397376782279</v>
      </c>
      <c r="L57">
        <f t="shared" si="17"/>
        <v>3.3464517166784274E-3</v>
      </c>
    </row>
    <row r="58" spans="1:12" x14ac:dyDescent="0.3">
      <c r="A58">
        <v>48</v>
      </c>
      <c r="B58">
        <f t="shared" si="14"/>
        <v>7.3679503006157708E-4</v>
      </c>
      <c r="C58">
        <f t="shared" si="10"/>
        <v>7.3679503006157708E-4</v>
      </c>
      <c r="D58" t="s">
        <v>26</v>
      </c>
      <c r="E58" t="s">
        <v>21</v>
      </c>
      <c r="F58">
        <v>1</v>
      </c>
      <c r="G58">
        <f t="shared" si="15"/>
        <v>135</v>
      </c>
      <c r="I58">
        <v>2030</v>
      </c>
      <c r="J58">
        <f t="shared" si="16"/>
        <v>137.5</v>
      </c>
      <c r="K58" cm="1">
        <f t="array" ref="K58">STOWA2019_JAARROND_T(A58*60,J58,I58,"","lower")</f>
        <v>383.19216666633514</v>
      </c>
      <c r="L58">
        <f t="shared" si="17"/>
        <v>2.6096566866168503E-3</v>
      </c>
    </row>
    <row r="59" spans="1:12" x14ac:dyDescent="0.3">
      <c r="A59">
        <v>48</v>
      </c>
      <c r="B59">
        <f t="shared" si="14"/>
        <v>5.621607012466015E-4</v>
      </c>
      <c r="C59">
        <f t="shared" si="10"/>
        <v>5.621607012466015E-4</v>
      </c>
      <c r="D59" t="s">
        <v>26</v>
      </c>
      <c r="E59" t="s">
        <v>21</v>
      </c>
      <c r="F59">
        <v>1</v>
      </c>
      <c r="G59">
        <f t="shared" si="15"/>
        <v>140</v>
      </c>
      <c r="I59">
        <v>2030</v>
      </c>
      <c r="J59">
        <f t="shared" si="16"/>
        <v>142.5</v>
      </c>
      <c r="K59" cm="1">
        <f t="array" ref="K59">STOWA2019_JAARROND_T(A59*60,J59,I59,"","lower")</f>
        <v>488.40144603222257</v>
      </c>
      <c r="L59">
        <f t="shared" si="17"/>
        <v>2.0474959853702488E-3</v>
      </c>
    </row>
    <row r="60" spans="1:12" x14ac:dyDescent="0.3">
      <c r="A60">
        <v>48</v>
      </c>
      <c r="B60">
        <f t="shared" si="14"/>
        <v>4.3171485085325952E-4</v>
      </c>
      <c r="C60">
        <f t="shared" si="10"/>
        <v>4.3171485085325952E-4</v>
      </c>
      <c r="D60" t="s">
        <v>26</v>
      </c>
      <c r="E60" t="s">
        <v>21</v>
      </c>
      <c r="F60">
        <v>1</v>
      </c>
      <c r="G60">
        <f t="shared" si="15"/>
        <v>145</v>
      </c>
      <c r="I60">
        <v>2030</v>
      </c>
      <c r="J60">
        <f t="shared" si="16"/>
        <v>147.5</v>
      </c>
      <c r="K60" cm="1">
        <f t="array" ref="K60">STOWA2019_JAARROND_T(A60*60,J60,I60,"","lower")</f>
        <v>618.89570229382161</v>
      </c>
      <c r="L60">
        <f t="shared" si="17"/>
        <v>1.6157811345169893E-3</v>
      </c>
    </row>
    <row r="61" spans="1:12" x14ac:dyDescent="0.3">
      <c r="A61">
        <v>48</v>
      </c>
      <c r="B61">
        <f t="shared" si="14"/>
        <v>3.3362273561347963E-4</v>
      </c>
      <c r="C61">
        <f t="shared" si="10"/>
        <v>3.3362273561347963E-4</v>
      </c>
      <c r="D61" t="s">
        <v>26</v>
      </c>
      <c r="E61" t="s">
        <v>21</v>
      </c>
      <c r="F61">
        <v>1</v>
      </c>
      <c r="G61">
        <f t="shared" si="15"/>
        <v>150</v>
      </c>
      <c r="I61">
        <v>2030</v>
      </c>
      <c r="J61">
        <f t="shared" si="16"/>
        <v>152.5</v>
      </c>
      <c r="K61" cm="1">
        <f t="array" ref="K61">STOWA2019_JAARROND_T(A61*60,J61,I61,"","lower")</f>
        <v>779.93483555166904</v>
      </c>
      <c r="L61">
        <f t="shared" si="17"/>
        <v>1.2821583989035097E-3</v>
      </c>
    </row>
    <row r="62" spans="1:12" x14ac:dyDescent="0.3">
      <c r="A62">
        <v>48</v>
      </c>
      <c r="B62">
        <f t="shared" si="14"/>
        <v>2.59357626636847E-4</v>
      </c>
      <c r="C62">
        <f t="shared" si="10"/>
        <v>2.59357626636847E-4</v>
      </c>
      <c r="D62" t="s">
        <v>26</v>
      </c>
      <c r="E62" t="s">
        <v>21</v>
      </c>
      <c r="F62">
        <v>1</v>
      </c>
      <c r="G62">
        <f t="shared" si="15"/>
        <v>155</v>
      </c>
      <c r="I62">
        <v>2030</v>
      </c>
      <c r="J62">
        <f t="shared" si="16"/>
        <v>157.5</v>
      </c>
      <c r="K62" cm="1">
        <f t="array" ref="K62">STOWA2019_JAARROND_T(A62*60,J62,I62,"","lower")</f>
        <v>977.70751363813201</v>
      </c>
      <c r="L62">
        <f t="shared" si="17"/>
        <v>1.0228007722666627E-3</v>
      </c>
    </row>
    <row r="63" spans="1:12" x14ac:dyDescent="0.3">
      <c r="A63">
        <v>48</v>
      </c>
      <c r="B63" s="1">
        <f>L62</f>
        <v>1.0228007722666627E-3</v>
      </c>
      <c r="C63">
        <f t="shared" si="10"/>
        <v>1.0228007722666627E-3</v>
      </c>
      <c r="D63" t="s">
        <v>26</v>
      </c>
      <c r="E63" t="s">
        <v>21</v>
      </c>
      <c r="F63">
        <v>1</v>
      </c>
      <c r="G63">
        <f t="shared" si="15"/>
        <v>160</v>
      </c>
      <c r="I63">
        <v>2030</v>
      </c>
      <c r="J63">
        <f>AVERAGE(G63:G64)</f>
        <v>85</v>
      </c>
      <c r="K63" cm="1">
        <f t="array" ref="K63">STOWA2019_JAARROND_T(A63*60,J63,I63,"","lower")</f>
        <v>19.332531559950507</v>
      </c>
      <c r="L63">
        <f>1/K63</f>
        <v>5.1726283073635915E-2</v>
      </c>
    </row>
    <row r="64" spans="1:12" x14ac:dyDescent="0.3">
      <c r="A64">
        <v>96</v>
      </c>
      <c r="B64" s="1">
        <f>365.25*24/A64 - L64</f>
        <v>45.429476138784544</v>
      </c>
      <c r="C64">
        <f>B64</f>
        <v>45.429476138784544</v>
      </c>
      <c r="D64" t="s">
        <v>26</v>
      </c>
      <c r="E64" t="s">
        <v>21</v>
      </c>
      <c r="F64">
        <v>1</v>
      </c>
      <c r="G64">
        <v>10</v>
      </c>
      <c r="I64">
        <v>2030</v>
      </c>
      <c r="J64">
        <f>AVERAGE(G64:G66)</f>
        <v>15</v>
      </c>
      <c r="K64" cm="1">
        <f t="array" ref="K64">STOWA2019_JAARROND_T(A64*60,J64,I64,"","lower")</f>
        <v>2.1794553101485793E-2</v>
      </c>
      <c r="L64">
        <f>1/K64</f>
        <v>45.883023861215456</v>
      </c>
    </row>
    <row r="65" spans="1:12" x14ac:dyDescent="0.3">
      <c r="A65">
        <v>96</v>
      </c>
      <c r="B65">
        <f t="shared" ref="B65:B69" si="18">L64-L65</f>
        <v>9.8632213378186506</v>
      </c>
      <c r="C65">
        <f t="shared" ref="C65:C94" si="19">B65</f>
        <v>9.8632213378186506</v>
      </c>
      <c r="D65" t="s">
        <v>26</v>
      </c>
      <c r="E65" t="s">
        <v>21</v>
      </c>
      <c r="F65">
        <v>1</v>
      </c>
      <c r="G65">
        <f t="shared" ref="G65:G69" si="20">G64+5</f>
        <v>15</v>
      </c>
      <c r="I65">
        <v>2030</v>
      </c>
      <c r="J65">
        <f t="shared" ref="J65:J69" si="21">AVERAGE(G65:G66)</f>
        <v>17.5</v>
      </c>
      <c r="K65" cm="1">
        <f t="array" ref="K65">STOWA2019_JAARROND_T(A65*60,J65,I65,"","lower")</f>
        <v>2.7762506453233495E-2</v>
      </c>
      <c r="L65">
        <f t="shared" ref="L65:L69" si="22">1/K65</f>
        <v>36.019802523396805</v>
      </c>
    </row>
    <row r="66" spans="1:12" x14ac:dyDescent="0.3">
      <c r="A66">
        <v>96</v>
      </c>
      <c r="B66">
        <f t="shared" si="18"/>
        <v>13.400910440768687</v>
      </c>
      <c r="C66">
        <f t="shared" si="19"/>
        <v>13.400910440768687</v>
      </c>
      <c r="D66" t="s">
        <v>26</v>
      </c>
      <c r="E66" t="s">
        <v>21</v>
      </c>
      <c r="F66">
        <v>1</v>
      </c>
      <c r="G66">
        <f t="shared" si="20"/>
        <v>20</v>
      </c>
      <c r="I66">
        <v>2030</v>
      </c>
      <c r="J66">
        <f t="shared" si="21"/>
        <v>22.5</v>
      </c>
      <c r="K66" cm="1">
        <f t="array" ref="K66">STOWA2019_JAARROND_T(A66*60,J66,I66,"","lower")</f>
        <v>4.4210830324798507E-2</v>
      </c>
      <c r="L66">
        <f t="shared" si="22"/>
        <v>22.618892082628118</v>
      </c>
    </row>
    <row r="67" spans="1:12" x14ac:dyDescent="0.3">
      <c r="A67">
        <v>96</v>
      </c>
      <c r="B67">
        <f t="shared" si="18"/>
        <v>8.1850505534882085</v>
      </c>
      <c r="C67">
        <f t="shared" si="19"/>
        <v>8.1850505534882085</v>
      </c>
      <c r="D67" t="s">
        <v>26</v>
      </c>
      <c r="E67" t="s">
        <v>21</v>
      </c>
      <c r="F67">
        <v>1</v>
      </c>
      <c r="G67">
        <f t="shared" si="20"/>
        <v>25</v>
      </c>
      <c r="I67">
        <v>2030</v>
      </c>
      <c r="J67">
        <f t="shared" si="21"/>
        <v>27.5</v>
      </c>
      <c r="K67" cm="1">
        <f t="array" ref="K67">STOWA2019_JAARROND_T(A67*60,J67,I67,"","lower")</f>
        <v>6.9281625268029973E-2</v>
      </c>
      <c r="L67">
        <f t="shared" si="22"/>
        <v>14.43384152913991</v>
      </c>
    </row>
    <row r="68" spans="1:12" x14ac:dyDescent="0.3">
      <c r="A68">
        <v>96</v>
      </c>
      <c r="B68">
        <f t="shared" si="18"/>
        <v>5.1071537703345449</v>
      </c>
      <c r="C68">
        <f t="shared" si="19"/>
        <v>5.1071537703345449</v>
      </c>
      <c r="D68" t="s">
        <v>26</v>
      </c>
      <c r="E68" t="s">
        <v>21</v>
      </c>
      <c r="F68">
        <v>1</v>
      </c>
      <c r="G68">
        <f t="shared" si="20"/>
        <v>30</v>
      </c>
      <c r="I68">
        <v>2030</v>
      </c>
      <c r="J68">
        <f t="shared" si="21"/>
        <v>32.5</v>
      </c>
      <c r="K68" cm="1">
        <f t="array" ref="K68">STOWA2019_JAARROND_T(A68*60,J68,I68,"","lower")</f>
        <v>0.1072191999840346</v>
      </c>
      <c r="L68">
        <f t="shared" si="22"/>
        <v>9.3266877588053649</v>
      </c>
    </row>
    <row r="69" spans="1:12" x14ac:dyDescent="0.3">
      <c r="A69">
        <v>96</v>
      </c>
      <c r="B69">
        <f t="shared" si="18"/>
        <v>3.2338924162401419</v>
      </c>
      <c r="C69">
        <f t="shared" si="19"/>
        <v>3.2338924162401419</v>
      </c>
      <c r="D69" t="s">
        <v>26</v>
      </c>
      <c r="E69" t="s">
        <v>21</v>
      </c>
      <c r="F69">
        <v>1</v>
      </c>
      <c r="G69">
        <f t="shared" si="20"/>
        <v>35</v>
      </c>
      <c r="I69">
        <v>2030</v>
      </c>
      <c r="J69">
        <f t="shared" si="21"/>
        <v>37.5</v>
      </c>
      <c r="K69" cm="1">
        <f t="array" ref="K69">STOWA2019_JAARROND_T(A69*60,J69,I69,"","lower")</f>
        <v>0.16412827672281116</v>
      </c>
      <c r="L69">
        <f t="shared" si="22"/>
        <v>6.092795342565223</v>
      </c>
    </row>
    <row r="70" spans="1:12" x14ac:dyDescent="0.3">
      <c r="A70">
        <v>96</v>
      </c>
      <c r="B70">
        <f>L69-L70</f>
        <v>2.0722761615351519</v>
      </c>
      <c r="C70">
        <f t="shared" si="19"/>
        <v>2.0722761615351519</v>
      </c>
      <c r="D70" t="s">
        <v>26</v>
      </c>
      <c r="E70" t="s">
        <v>21</v>
      </c>
      <c r="F70">
        <v>1</v>
      </c>
      <c r="G70">
        <f>G69+5</f>
        <v>40</v>
      </c>
      <c r="I70">
        <v>2030</v>
      </c>
      <c r="J70">
        <f>AVERAGE(G70:G71)</f>
        <v>42.5</v>
      </c>
      <c r="K70" cm="1">
        <f t="array" ref="K70">STOWA2019_JAARROND_T(A70*60,J70,I70,"","lower")</f>
        <v>0.24872409631031694</v>
      </c>
      <c r="L70">
        <f>1/K70</f>
        <v>4.0205191810300711</v>
      </c>
    </row>
    <row r="71" spans="1:12" x14ac:dyDescent="0.3">
      <c r="A71">
        <v>96</v>
      </c>
      <c r="B71">
        <f t="shared" ref="B71:B93" si="23">L70-L71</f>
        <v>1.3424165855732233</v>
      </c>
      <c r="C71">
        <f t="shared" si="19"/>
        <v>1.3424165855732233</v>
      </c>
      <c r="D71" t="s">
        <v>26</v>
      </c>
      <c r="E71" t="s">
        <v>21</v>
      </c>
      <c r="F71">
        <v>1</v>
      </c>
      <c r="G71">
        <f t="shared" ref="G71:G94" si="24">G70+5</f>
        <v>45</v>
      </c>
      <c r="I71">
        <v>2030</v>
      </c>
      <c r="J71">
        <f t="shared" ref="J71:J93" si="25">AVERAGE(G71:G72)</f>
        <v>47.5</v>
      </c>
      <c r="K71" cm="1">
        <f t="array" ref="K71">STOWA2019_JAARROND_T(A71*60,J71,I71,"","lower")</f>
        <v>0.3733986896903827</v>
      </c>
      <c r="L71">
        <f t="shared" ref="L71:L93" si="26">1/K71</f>
        <v>2.6781025954568478</v>
      </c>
    </row>
    <row r="72" spans="1:12" x14ac:dyDescent="0.3">
      <c r="A72">
        <v>96</v>
      </c>
      <c r="B72">
        <f t="shared" si="23"/>
        <v>0.87827572163889167</v>
      </c>
      <c r="C72">
        <f t="shared" si="19"/>
        <v>0.87827572163889167</v>
      </c>
      <c r="D72" t="s">
        <v>26</v>
      </c>
      <c r="E72" t="s">
        <v>21</v>
      </c>
      <c r="F72">
        <v>1</v>
      </c>
      <c r="G72">
        <f t="shared" si="24"/>
        <v>50</v>
      </c>
      <c r="I72">
        <v>2030</v>
      </c>
      <c r="J72">
        <f t="shared" si="25"/>
        <v>52.5</v>
      </c>
      <c r="K72" cm="1">
        <f t="array" ref="K72">STOWA2019_JAARROND_T(A72*60,J72,I72,"","lower")</f>
        <v>0.55560899470220115</v>
      </c>
      <c r="L72">
        <f t="shared" si="26"/>
        <v>1.7998268738179561</v>
      </c>
    </row>
    <row r="73" spans="1:12" x14ac:dyDescent="0.3">
      <c r="A73">
        <v>96</v>
      </c>
      <c r="B73">
        <f t="shared" si="23"/>
        <v>0.57999577226472443</v>
      </c>
      <c r="C73">
        <f t="shared" si="19"/>
        <v>0.57999577226472443</v>
      </c>
      <c r="D73" t="s">
        <v>26</v>
      </c>
      <c r="E73" t="s">
        <v>21</v>
      </c>
      <c r="F73">
        <v>1</v>
      </c>
      <c r="G73">
        <f t="shared" si="24"/>
        <v>55</v>
      </c>
      <c r="I73">
        <v>2030</v>
      </c>
      <c r="J73">
        <f t="shared" si="25"/>
        <v>57.5</v>
      </c>
      <c r="K73" cm="1">
        <f t="array" ref="K73">STOWA2019_JAARROND_T(A73*60,J73,I73,"","lower")</f>
        <v>0.81978562337579608</v>
      </c>
      <c r="L73">
        <f t="shared" si="26"/>
        <v>1.2198311015532317</v>
      </c>
    </row>
    <row r="74" spans="1:12" x14ac:dyDescent="0.3">
      <c r="A74">
        <v>96</v>
      </c>
      <c r="B74">
        <f t="shared" si="23"/>
        <v>0.38630847786707001</v>
      </c>
      <c r="C74">
        <f t="shared" si="19"/>
        <v>0.38630847786707001</v>
      </c>
      <c r="D74" t="s">
        <v>26</v>
      </c>
      <c r="E74" t="s">
        <v>21</v>
      </c>
      <c r="F74">
        <v>1</v>
      </c>
      <c r="G74">
        <f t="shared" si="24"/>
        <v>60</v>
      </c>
      <c r="I74">
        <v>2030</v>
      </c>
      <c r="J74">
        <f t="shared" si="25"/>
        <v>62.5</v>
      </c>
      <c r="K74" cm="1">
        <f t="array" ref="K74">STOWA2019_JAARROND_T(A74*60,J74,I74,"","lower")</f>
        <v>1.1997274837935539</v>
      </c>
      <c r="L74">
        <f t="shared" si="26"/>
        <v>0.8335226236861617</v>
      </c>
    </row>
    <row r="75" spans="1:12" x14ac:dyDescent="0.3">
      <c r="A75">
        <v>96</v>
      </c>
      <c r="B75">
        <f t="shared" si="23"/>
        <v>0.259625938140294</v>
      </c>
      <c r="C75">
        <f t="shared" si="19"/>
        <v>0.259625938140294</v>
      </c>
      <c r="D75" t="s">
        <v>26</v>
      </c>
      <c r="E75" t="s">
        <v>21</v>
      </c>
      <c r="F75">
        <v>1</v>
      </c>
      <c r="G75">
        <f t="shared" si="24"/>
        <v>65</v>
      </c>
      <c r="I75">
        <v>2030</v>
      </c>
      <c r="J75">
        <f t="shared" si="25"/>
        <v>67.5</v>
      </c>
      <c r="K75" cm="1">
        <f t="array" ref="K75">STOWA2019_JAARROND_T(A75*60,J75,I75,"","lower")</f>
        <v>1.7424739072135254</v>
      </c>
      <c r="L75">
        <f t="shared" si="26"/>
        <v>0.5738966855458677</v>
      </c>
    </row>
    <row r="76" spans="1:12" x14ac:dyDescent="0.3">
      <c r="A76">
        <v>96</v>
      </c>
      <c r="B76">
        <f t="shared" si="23"/>
        <v>0.17583148761906897</v>
      </c>
      <c r="C76">
        <f t="shared" si="19"/>
        <v>0.17583148761906897</v>
      </c>
      <c r="D76" t="s">
        <v>26</v>
      </c>
      <c r="E76" t="s">
        <v>21</v>
      </c>
      <c r="F76">
        <v>1</v>
      </c>
      <c r="G76">
        <f t="shared" si="24"/>
        <v>70</v>
      </c>
      <c r="I76">
        <v>2030</v>
      </c>
      <c r="J76">
        <f t="shared" si="25"/>
        <v>72.5</v>
      </c>
      <c r="K76" cm="1">
        <f t="array" ref="K76">STOWA2019_JAARROND_T(A76*60,J76,I76,"","lower")</f>
        <v>2.5121512888044353</v>
      </c>
      <c r="L76">
        <f t="shared" si="26"/>
        <v>0.39806519792679873</v>
      </c>
    </row>
    <row r="77" spans="1:12" x14ac:dyDescent="0.3">
      <c r="A77">
        <v>96</v>
      </c>
      <c r="B77">
        <f t="shared" si="23"/>
        <v>0.11999609839613062</v>
      </c>
      <c r="C77">
        <f t="shared" si="19"/>
        <v>0.11999609839613062</v>
      </c>
      <c r="D77" t="s">
        <v>26</v>
      </c>
      <c r="E77" t="s">
        <v>21</v>
      </c>
      <c r="F77">
        <v>1</v>
      </c>
      <c r="G77">
        <f t="shared" si="24"/>
        <v>75</v>
      </c>
      <c r="I77">
        <v>2030</v>
      </c>
      <c r="J77">
        <f t="shared" si="25"/>
        <v>77.5</v>
      </c>
      <c r="K77" cm="1">
        <f t="array" ref="K77">STOWA2019_JAARROND_T(A77*60,J77,I77,"","lower")</f>
        <v>3.5962284255525865</v>
      </c>
      <c r="L77">
        <f t="shared" si="26"/>
        <v>0.27806909953066811</v>
      </c>
    </row>
    <row r="78" spans="1:12" x14ac:dyDescent="0.3">
      <c r="A78">
        <v>96</v>
      </c>
      <c r="B78">
        <f t="shared" si="23"/>
        <v>8.2497541311582268E-2</v>
      </c>
      <c r="C78">
        <f t="shared" si="19"/>
        <v>8.2497541311582268E-2</v>
      </c>
      <c r="D78" t="s">
        <v>26</v>
      </c>
      <c r="E78" t="s">
        <v>21</v>
      </c>
      <c r="F78">
        <v>1</v>
      </c>
      <c r="G78">
        <f t="shared" si="24"/>
        <v>80</v>
      </c>
      <c r="I78">
        <v>2030</v>
      </c>
      <c r="J78">
        <f t="shared" si="25"/>
        <v>82.5</v>
      </c>
      <c r="K78" cm="1">
        <f t="array" ref="K78">STOWA2019_JAARROND_T(A78*60,J78,I78,"","lower")</f>
        <v>5.1132179397975976</v>
      </c>
      <c r="L78">
        <f t="shared" si="26"/>
        <v>0.19557155821908584</v>
      </c>
    </row>
    <row r="79" spans="1:12" x14ac:dyDescent="0.3">
      <c r="A79">
        <v>96</v>
      </c>
      <c r="B79">
        <f t="shared" si="23"/>
        <v>5.7117730482850543E-2</v>
      </c>
      <c r="C79">
        <f t="shared" si="19"/>
        <v>5.7117730482850543E-2</v>
      </c>
      <c r="D79" t="s">
        <v>26</v>
      </c>
      <c r="E79" t="s">
        <v>21</v>
      </c>
      <c r="F79">
        <v>1</v>
      </c>
      <c r="G79">
        <f t="shared" si="24"/>
        <v>85</v>
      </c>
      <c r="I79">
        <v>2030</v>
      </c>
      <c r="J79">
        <f t="shared" si="25"/>
        <v>87.5</v>
      </c>
      <c r="K79" cm="1">
        <f t="array" ref="K79">STOWA2019_JAARROND_T(A79*60,J79,I79,"","lower")</f>
        <v>7.2226244398607271</v>
      </c>
      <c r="L79">
        <f t="shared" si="26"/>
        <v>0.1384538277362353</v>
      </c>
    </row>
    <row r="80" spans="1:12" x14ac:dyDescent="0.3">
      <c r="A80">
        <v>96</v>
      </c>
      <c r="B80">
        <f t="shared" si="23"/>
        <v>3.9816617109036584E-2</v>
      </c>
      <c r="C80">
        <f t="shared" si="19"/>
        <v>3.9816617109036584E-2</v>
      </c>
      <c r="D80" t="s">
        <v>26</v>
      </c>
      <c r="E80" t="s">
        <v>21</v>
      </c>
      <c r="F80">
        <v>1</v>
      </c>
      <c r="G80">
        <f t="shared" si="24"/>
        <v>90</v>
      </c>
      <c r="I80">
        <v>2030</v>
      </c>
      <c r="J80">
        <f t="shared" si="25"/>
        <v>92.5</v>
      </c>
      <c r="K80" cm="1">
        <f t="array" ref="K80">STOWA2019_JAARROND_T(A80*60,J80,I80,"","lower")</f>
        <v>10.138161791491852</v>
      </c>
      <c r="L80">
        <f t="shared" si="26"/>
        <v>9.8637210627198713E-2</v>
      </c>
    </row>
    <row r="81" spans="1:12" x14ac:dyDescent="0.3">
      <c r="A81">
        <v>96</v>
      </c>
      <c r="B81">
        <f t="shared" si="23"/>
        <v>2.7938150733398393E-2</v>
      </c>
      <c r="C81">
        <f t="shared" si="19"/>
        <v>2.7938150733398393E-2</v>
      </c>
      <c r="D81" t="s">
        <v>26</v>
      </c>
      <c r="E81" t="s">
        <v>21</v>
      </c>
      <c r="F81">
        <v>1</v>
      </c>
      <c r="G81">
        <f t="shared" si="24"/>
        <v>95</v>
      </c>
      <c r="I81">
        <v>2030</v>
      </c>
      <c r="J81">
        <f t="shared" si="25"/>
        <v>97.5</v>
      </c>
      <c r="K81" cm="1">
        <f t="array" ref="K81">STOWA2019_JAARROND_T(A81*60,J81,I81,"","lower")</f>
        <v>14.144459650554577</v>
      </c>
      <c r="L81">
        <f t="shared" si="26"/>
        <v>7.069905989380032E-2</v>
      </c>
    </row>
    <row r="82" spans="1:12" x14ac:dyDescent="0.3">
      <c r="A82">
        <v>96</v>
      </c>
      <c r="B82">
        <f t="shared" si="23"/>
        <v>1.9727296680262255E-2</v>
      </c>
      <c r="C82">
        <f t="shared" si="19"/>
        <v>1.9727296680262255E-2</v>
      </c>
      <c r="D82" t="s">
        <v>26</v>
      </c>
      <c r="E82" t="s">
        <v>21</v>
      </c>
      <c r="F82">
        <v>1</v>
      </c>
      <c r="G82">
        <f t="shared" si="24"/>
        <v>100</v>
      </c>
      <c r="I82">
        <v>2030</v>
      </c>
      <c r="J82">
        <f t="shared" si="25"/>
        <v>102.5</v>
      </c>
      <c r="K82" cm="1">
        <f t="array" ref="K82">STOWA2019_JAARROND_T(A82*60,J82,I82,"","lower")</f>
        <v>19.618705278266706</v>
      </c>
      <c r="L82">
        <f t="shared" si="26"/>
        <v>5.0971763213538065E-2</v>
      </c>
    </row>
    <row r="83" spans="1:12" x14ac:dyDescent="0.3">
      <c r="A83">
        <v>96</v>
      </c>
      <c r="B83">
        <f t="shared" si="23"/>
        <v>1.4014475278644821E-2</v>
      </c>
      <c r="C83">
        <f t="shared" si="19"/>
        <v>1.4014475278644821E-2</v>
      </c>
      <c r="D83" t="s">
        <v>26</v>
      </c>
      <c r="E83" t="s">
        <v>21</v>
      </c>
      <c r="F83">
        <v>1</v>
      </c>
      <c r="G83">
        <f t="shared" si="24"/>
        <v>105</v>
      </c>
      <c r="I83">
        <v>2030</v>
      </c>
      <c r="J83">
        <f t="shared" si="25"/>
        <v>107.5</v>
      </c>
      <c r="K83" cm="1">
        <f t="array" ref="K83">STOWA2019_JAARROND_T(A83*60,J83,I83,"","lower")</f>
        <v>27.058262547881643</v>
      </c>
      <c r="L83">
        <f t="shared" si="26"/>
        <v>3.6957287934893245E-2</v>
      </c>
    </row>
    <row r="84" spans="1:12" x14ac:dyDescent="0.3">
      <c r="A84">
        <v>96</v>
      </c>
      <c r="B84">
        <f t="shared" si="23"/>
        <v>1.0014599725216348E-2</v>
      </c>
      <c r="C84">
        <f t="shared" si="19"/>
        <v>1.0014599725216348E-2</v>
      </c>
      <c r="D84" t="s">
        <v>26</v>
      </c>
      <c r="E84" t="s">
        <v>21</v>
      </c>
      <c r="F84">
        <v>1</v>
      </c>
      <c r="G84">
        <f t="shared" si="24"/>
        <v>110</v>
      </c>
      <c r="I84">
        <v>2030</v>
      </c>
      <c r="J84">
        <f t="shared" si="25"/>
        <v>112.5</v>
      </c>
      <c r="K84" cm="1">
        <f t="array" ref="K84">STOWA2019_JAARROND_T(A84*60,J84,I84,"","lower")</f>
        <v>37.115821265408627</v>
      </c>
      <c r="L84">
        <f t="shared" si="26"/>
        <v>2.6942688209676897E-2</v>
      </c>
    </row>
    <row r="85" spans="1:12" x14ac:dyDescent="0.3">
      <c r="A85">
        <v>96</v>
      </c>
      <c r="B85">
        <f t="shared" si="23"/>
        <v>7.1969904561391927E-3</v>
      </c>
      <c r="C85">
        <f t="shared" si="19"/>
        <v>7.1969904561391927E-3</v>
      </c>
      <c r="D85" t="s">
        <v>26</v>
      </c>
      <c r="E85" t="s">
        <v>21</v>
      </c>
      <c r="F85">
        <v>1</v>
      </c>
      <c r="G85">
        <f t="shared" si="24"/>
        <v>115</v>
      </c>
      <c r="I85">
        <v>2030</v>
      </c>
      <c r="J85">
        <f t="shared" si="25"/>
        <v>117.5</v>
      </c>
      <c r="K85" cm="1">
        <f t="array" ref="K85">STOWA2019_JAARROND_T(A85*60,J85,I85,"","lower")</f>
        <v>50.643943429187594</v>
      </c>
      <c r="L85">
        <f t="shared" si="26"/>
        <v>1.9745697753537704E-2</v>
      </c>
    </row>
    <row r="86" spans="1:12" x14ac:dyDescent="0.3">
      <c r="A86">
        <v>96</v>
      </c>
      <c r="B86">
        <f t="shared" si="23"/>
        <v>5.2004189675787706E-3</v>
      </c>
      <c r="C86">
        <f t="shared" si="19"/>
        <v>5.2004189675787706E-3</v>
      </c>
      <c r="D86" t="s">
        <v>26</v>
      </c>
      <c r="E86" t="s">
        <v>21</v>
      </c>
      <c r="F86">
        <v>1</v>
      </c>
      <c r="G86">
        <f t="shared" si="24"/>
        <v>120</v>
      </c>
      <c r="I86">
        <v>2030</v>
      </c>
      <c r="J86">
        <f t="shared" si="25"/>
        <v>122.5</v>
      </c>
      <c r="K86" cm="1">
        <f t="array" ref="K86">STOWA2019_JAARROND_T(A86*60,J86,I86,"","lower")</f>
        <v>68.750830748279299</v>
      </c>
      <c r="L86">
        <f t="shared" si="26"/>
        <v>1.4545278785958933E-2</v>
      </c>
    </row>
    <row r="87" spans="1:12" x14ac:dyDescent="0.3">
      <c r="A87">
        <v>96</v>
      </c>
      <c r="B87">
        <f t="shared" si="23"/>
        <v>3.7778592344713813E-3</v>
      </c>
      <c r="C87">
        <f t="shared" si="19"/>
        <v>3.7778592344713813E-3</v>
      </c>
      <c r="D87" t="s">
        <v>26</v>
      </c>
      <c r="E87" t="s">
        <v>21</v>
      </c>
      <c r="F87">
        <v>1</v>
      </c>
      <c r="G87">
        <f t="shared" si="24"/>
        <v>125</v>
      </c>
      <c r="I87">
        <v>2030</v>
      </c>
      <c r="J87">
        <f t="shared" si="25"/>
        <v>127.5</v>
      </c>
      <c r="K87" cm="1">
        <f t="array" ref="K87">STOWA2019_JAARROND_T(A87*60,J87,I87,"","lower")</f>
        <v>92.872762616726206</v>
      </c>
      <c r="L87">
        <f t="shared" si="26"/>
        <v>1.0767419551487552E-2</v>
      </c>
    </row>
    <row r="88" spans="1:12" x14ac:dyDescent="0.3">
      <c r="A88">
        <v>96</v>
      </c>
      <c r="B88">
        <f t="shared" si="23"/>
        <v>2.7584108559863263E-3</v>
      </c>
      <c r="C88">
        <f t="shared" si="19"/>
        <v>2.7584108559863263E-3</v>
      </c>
      <c r="D88" t="s">
        <v>26</v>
      </c>
      <c r="E88" t="s">
        <v>21</v>
      </c>
      <c r="F88">
        <v>1</v>
      </c>
      <c r="G88">
        <f t="shared" si="24"/>
        <v>130</v>
      </c>
      <c r="I88">
        <v>2030</v>
      </c>
      <c r="J88">
        <f t="shared" si="25"/>
        <v>132.5</v>
      </c>
      <c r="K88" cm="1">
        <f t="array" ref="K88">STOWA2019_JAARROND_T(A88*60,J88,I88,"","lower")</f>
        <v>124.85939746347313</v>
      </c>
      <c r="L88">
        <f t="shared" si="26"/>
        <v>8.0090086955012258E-3</v>
      </c>
    </row>
    <row r="89" spans="1:12" x14ac:dyDescent="0.3">
      <c r="A89">
        <v>96</v>
      </c>
      <c r="B89">
        <f t="shared" si="23"/>
        <v>2.0241298330456684E-3</v>
      </c>
      <c r="C89">
        <f t="shared" si="19"/>
        <v>2.0241298330456684E-3</v>
      </c>
      <c r="D89" t="s">
        <v>26</v>
      </c>
      <c r="E89" t="s">
        <v>21</v>
      </c>
      <c r="F89">
        <v>1</v>
      </c>
      <c r="G89">
        <f t="shared" si="24"/>
        <v>135</v>
      </c>
      <c r="I89">
        <v>2030</v>
      </c>
      <c r="J89">
        <f t="shared" si="25"/>
        <v>137.5</v>
      </c>
      <c r="K89" cm="1">
        <f t="array" ref="K89">STOWA2019_JAARROND_T(A89*60,J89,I89,"","lower")</f>
        <v>167.08775949889593</v>
      </c>
      <c r="L89">
        <f t="shared" si="26"/>
        <v>5.9848788624555574E-3</v>
      </c>
    </row>
    <row r="90" spans="1:12" x14ac:dyDescent="0.3">
      <c r="A90">
        <v>96</v>
      </c>
      <c r="B90">
        <f t="shared" si="23"/>
        <v>1.4924981606868164E-3</v>
      </c>
      <c r="C90">
        <f t="shared" si="19"/>
        <v>1.4924981606868164E-3</v>
      </c>
      <c r="D90" t="s">
        <v>26</v>
      </c>
      <c r="E90" t="s">
        <v>21</v>
      </c>
      <c r="F90">
        <v>1</v>
      </c>
      <c r="G90">
        <f t="shared" si="24"/>
        <v>140</v>
      </c>
      <c r="I90">
        <v>2030</v>
      </c>
      <c r="J90">
        <f t="shared" si="25"/>
        <v>142.5</v>
      </c>
      <c r="K90" cm="1">
        <f t="array" ref="K90">STOWA2019_JAARROND_T(A90*60,J90,I90,"","lower")</f>
        <v>222.59912202148845</v>
      </c>
      <c r="L90">
        <f t="shared" si="26"/>
        <v>4.492380701768741E-3</v>
      </c>
    </row>
    <row r="91" spans="1:12" x14ac:dyDescent="0.3">
      <c r="A91">
        <v>96</v>
      </c>
      <c r="B91">
        <f t="shared" si="23"/>
        <v>1.1055876718412375E-3</v>
      </c>
      <c r="C91">
        <f t="shared" si="19"/>
        <v>1.1055876718412375E-3</v>
      </c>
      <c r="D91" t="s">
        <v>26</v>
      </c>
      <c r="E91" t="s">
        <v>21</v>
      </c>
      <c r="F91">
        <v>1</v>
      </c>
      <c r="G91">
        <f t="shared" si="24"/>
        <v>145</v>
      </c>
      <c r="I91">
        <v>2030</v>
      </c>
      <c r="J91">
        <f t="shared" si="25"/>
        <v>147.5</v>
      </c>
      <c r="K91" cm="1">
        <f t="array" ref="K91">STOWA2019_JAARROND_T(A91*60,J91,I91,"","lower")</f>
        <v>295.26457364340496</v>
      </c>
      <c r="L91">
        <f t="shared" si="26"/>
        <v>3.3867930299275035E-3</v>
      </c>
    </row>
    <row r="92" spans="1:12" x14ac:dyDescent="0.3">
      <c r="A92">
        <v>96</v>
      </c>
      <c r="B92">
        <f t="shared" si="23"/>
        <v>8.2270826355469858E-4</v>
      </c>
      <c r="C92">
        <f t="shared" si="19"/>
        <v>8.2270826355469858E-4</v>
      </c>
      <c r="D92" t="s">
        <v>26</v>
      </c>
      <c r="E92" t="s">
        <v>21</v>
      </c>
      <c r="F92">
        <v>1</v>
      </c>
      <c r="G92">
        <f t="shared" si="24"/>
        <v>150</v>
      </c>
      <c r="I92">
        <v>2030</v>
      </c>
      <c r="J92">
        <f t="shared" si="25"/>
        <v>152.5</v>
      </c>
      <c r="K92" cm="1">
        <f t="array" ref="K92">STOWA2019_JAARROND_T(A92*60,J92,I92,"","lower")</f>
        <v>390.00270705348635</v>
      </c>
      <c r="L92">
        <f t="shared" si="26"/>
        <v>2.564084766372805E-3</v>
      </c>
    </row>
    <row r="93" spans="1:12" x14ac:dyDescent="0.3">
      <c r="A93">
        <v>96</v>
      </c>
      <c r="B93">
        <f t="shared" si="23"/>
        <v>6.1489690936185012E-4</v>
      </c>
      <c r="C93">
        <f t="shared" si="19"/>
        <v>6.1489690936185012E-4</v>
      </c>
      <c r="D93" t="s">
        <v>26</v>
      </c>
      <c r="E93" t="s">
        <v>21</v>
      </c>
      <c r="F93">
        <v>1</v>
      </c>
      <c r="G93">
        <f t="shared" si="24"/>
        <v>155</v>
      </c>
      <c r="I93">
        <v>2030</v>
      </c>
      <c r="J93">
        <f t="shared" si="25"/>
        <v>157.5</v>
      </c>
      <c r="K93" cm="1">
        <f t="array" ref="K93">STOWA2019_JAARROND_T(A93*60,J93,I93,"","lower")</f>
        <v>513.03418313588429</v>
      </c>
      <c r="L93">
        <f t="shared" si="26"/>
        <v>1.9491878570109548E-3</v>
      </c>
    </row>
    <row r="94" spans="1:12" x14ac:dyDescent="0.3">
      <c r="A94">
        <v>96</v>
      </c>
      <c r="B94" s="1">
        <f>L93</f>
        <v>1.9491878570109548E-3</v>
      </c>
      <c r="C94">
        <f t="shared" si="19"/>
        <v>1.9491878570109548E-3</v>
      </c>
      <c r="D94" t="s">
        <v>26</v>
      </c>
      <c r="E94" t="s">
        <v>21</v>
      </c>
      <c r="F94">
        <v>1</v>
      </c>
      <c r="G94">
        <f t="shared" si="24"/>
        <v>160</v>
      </c>
      <c r="I94">
        <v>2030</v>
      </c>
      <c r="J94">
        <f>AVERAGE(G94:G95)</f>
        <v>85</v>
      </c>
      <c r="K94" cm="1">
        <f t="array" ref="K94">STOWA2019_JAARROND_T(A94*60,J94,I94,"","lower")</f>
        <v>6.0819250975509398</v>
      </c>
      <c r="L94">
        <f>1/K94</f>
        <v>0.16442162373927927</v>
      </c>
    </row>
    <row r="95" spans="1:12" x14ac:dyDescent="0.3">
      <c r="A95">
        <v>192</v>
      </c>
      <c r="B95" s="1">
        <f>365.25*24/A95 - L95</f>
        <v>-954.34375</v>
      </c>
      <c r="C95">
        <f>B95</f>
        <v>-954.34375</v>
      </c>
      <c r="D95" t="s">
        <v>26</v>
      </c>
      <c r="E95" t="s">
        <v>21</v>
      </c>
      <c r="F95">
        <v>1</v>
      </c>
      <c r="G95">
        <v>10</v>
      </c>
      <c r="I95">
        <v>2030</v>
      </c>
      <c r="J95">
        <f>AVERAGE(G95:G97)</f>
        <v>15</v>
      </c>
      <c r="K95" s="1">
        <v>1E-3</v>
      </c>
      <c r="L95">
        <f>1/K95</f>
        <v>1000</v>
      </c>
    </row>
    <row r="96" spans="1:12" x14ac:dyDescent="0.3">
      <c r="A96">
        <v>192</v>
      </c>
      <c r="B96">
        <f t="shared" ref="B96:B100" si="27">L95-L96</f>
        <v>0</v>
      </c>
      <c r="C96">
        <f t="shared" ref="C96:C125" si="28">B96</f>
        <v>0</v>
      </c>
      <c r="D96" t="s">
        <v>26</v>
      </c>
      <c r="E96" t="s">
        <v>21</v>
      </c>
      <c r="F96">
        <v>1</v>
      </c>
      <c r="G96">
        <f t="shared" ref="G96:G100" si="29">G95+5</f>
        <v>15</v>
      </c>
      <c r="I96">
        <v>2030</v>
      </c>
      <c r="J96">
        <f t="shared" ref="J96:J100" si="30">AVERAGE(G96:G97)</f>
        <v>17.5</v>
      </c>
      <c r="K96" s="1">
        <v>1E-3</v>
      </c>
      <c r="L96">
        <f t="shared" ref="L96:L100" si="31">1/K96</f>
        <v>1000</v>
      </c>
    </row>
    <row r="97" spans="1:12" x14ac:dyDescent="0.3">
      <c r="A97">
        <v>192</v>
      </c>
      <c r="B97">
        <f t="shared" si="27"/>
        <v>0</v>
      </c>
      <c r="C97">
        <f t="shared" si="28"/>
        <v>0</v>
      </c>
      <c r="D97" t="s">
        <v>26</v>
      </c>
      <c r="E97" t="s">
        <v>21</v>
      </c>
      <c r="F97">
        <v>1</v>
      </c>
      <c r="G97">
        <f t="shared" si="29"/>
        <v>20</v>
      </c>
      <c r="I97">
        <v>2030</v>
      </c>
      <c r="J97">
        <f t="shared" si="30"/>
        <v>22.5</v>
      </c>
      <c r="K97" s="1">
        <v>1E-3</v>
      </c>
      <c r="L97">
        <f t="shared" si="31"/>
        <v>1000</v>
      </c>
    </row>
    <row r="98" spans="1:12" x14ac:dyDescent="0.3">
      <c r="A98">
        <v>192</v>
      </c>
      <c r="B98">
        <f t="shared" si="27"/>
        <v>969.41615204467507</v>
      </c>
      <c r="C98">
        <f t="shared" si="28"/>
        <v>969.41615204467507</v>
      </c>
      <c r="D98" t="s">
        <v>26</v>
      </c>
      <c r="E98" t="s">
        <v>21</v>
      </c>
      <c r="F98">
        <v>1</v>
      </c>
      <c r="G98">
        <f t="shared" si="29"/>
        <v>25</v>
      </c>
      <c r="I98">
        <v>2030</v>
      </c>
      <c r="J98">
        <f t="shared" si="30"/>
        <v>27.5</v>
      </c>
      <c r="K98" cm="1">
        <f t="array" ref="K98">STOWA2019_JAARROND_T(A98*60,J98,I98,"","lower")</f>
        <v>3.2696997495564969E-2</v>
      </c>
      <c r="L98">
        <f t="shared" si="31"/>
        <v>30.583847955324959</v>
      </c>
    </row>
    <row r="99" spans="1:12" x14ac:dyDescent="0.3">
      <c r="A99">
        <v>192</v>
      </c>
      <c r="B99">
        <f t="shared" si="27"/>
        <v>9.0325835638146721</v>
      </c>
      <c r="C99">
        <f t="shared" si="28"/>
        <v>9.0325835638146721</v>
      </c>
      <c r="D99" t="s">
        <v>26</v>
      </c>
      <c r="E99" t="s">
        <v>21</v>
      </c>
      <c r="F99">
        <v>1</v>
      </c>
      <c r="G99">
        <f t="shared" si="29"/>
        <v>30</v>
      </c>
      <c r="I99">
        <v>2030</v>
      </c>
      <c r="J99">
        <f t="shared" si="30"/>
        <v>32.5</v>
      </c>
      <c r="K99" cm="1">
        <f t="array" ref="K99">STOWA2019_JAARROND_T(A99*60,J99,I99,"","lower")</f>
        <v>4.6400989836769442E-2</v>
      </c>
      <c r="L99">
        <f t="shared" si="31"/>
        <v>21.551264391510287</v>
      </c>
    </row>
    <row r="100" spans="1:12" x14ac:dyDescent="0.3">
      <c r="A100">
        <v>192</v>
      </c>
      <c r="B100">
        <f t="shared" si="27"/>
        <v>6.036518806949406</v>
      </c>
      <c r="C100">
        <f t="shared" si="28"/>
        <v>6.036518806949406</v>
      </c>
      <c r="D100" t="s">
        <v>26</v>
      </c>
      <c r="E100" t="s">
        <v>21</v>
      </c>
      <c r="F100">
        <v>1</v>
      </c>
      <c r="G100">
        <f t="shared" si="29"/>
        <v>35</v>
      </c>
      <c r="I100">
        <v>2030</v>
      </c>
      <c r="J100">
        <f t="shared" si="30"/>
        <v>37.5</v>
      </c>
      <c r="K100" cm="1">
        <f t="array" ref="K100">STOWA2019_JAARROND_T(A100*60,J100,I100,"","lower")</f>
        <v>6.445481136314124E-2</v>
      </c>
      <c r="L100">
        <f t="shared" si="31"/>
        <v>15.514745584560881</v>
      </c>
    </row>
    <row r="101" spans="1:12" x14ac:dyDescent="0.3">
      <c r="A101">
        <v>192</v>
      </c>
      <c r="B101">
        <f>L100-L101</f>
        <v>4.2658593696872931</v>
      </c>
      <c r="C101">
        <f t="shared" si="28"/>
        <v>4.2658593696872931</v>
      </c>
      <c r="D101" t="s">
        <v>26</v>
      </c>
      <c r="E101" t="s">
        <v>21</v>
      </c>
      <c r="F101">
        <v>1</v>
      </c>
      <c r="G101">
        <f>G100+5</f>
        <v>40</v>
      </c>
      <c r="I101">
        <v>2030</v>
      </c>
      <c r="J101">
        <f>AVERAGE(G101:G102)</f>
        <v>42.5</v>
      </c>
      <c r="K101" cm="1">
        <f t="array" ref="K101">STOWA2019_JAARROND_T(A101*60,J101,I101,"","lower")</f>
        <v>8.8897690037772134E-2</v>
      </c>
      <c r="L101">
        <f>1/K101</f>
        <v>11.248886214873588</v>
      </c>
    </row>
    <row r="102" spans="1:12" x14ac:dyDescent="0.3">
      <c r="A102">
        <v>192</v>
      </c>
      <c r="B102">
        <f t="shared" ref="B102:B124" si="32">L101-L102</f>
        <v>3.0666652424096714</v>
      </c>
      <c r="C102">
        <f t="shared" si="28"/>
        <v>3.0666652424096714</v>
      </c>
      <c r="D102" t="s">
        <v>26</v>
      </c>
      <c r="E102" t="s">
        <v>21</v>
      </c>
      <c r="F102">
        <v>1</v>
      </c>
      <c r="G102">
        <f t="shared" ref="G102:G125" si="33">G101+5</f>
        <v>45</v>
      </c>
      <c r="I102">
        <v>2030</v>
      </c>
      <c r="J102">
        <f t="shared" ref="J102:J124" si="34">AVERAGE(G102:G103)</f>
        <v>47.5</v>
      </c>
      <c r="K102" cm="1">
        <f t="array" ref="K102">STOWA2019_JAARROND_T(A102*60,J102,I102,"","lower")</f>
        <v>0.12221620552235825</v>
      </c>
      <c r="L102">
        <f t="shared" ref="L102:L124" si="35">1/K102</f>
        <v>8.1822209724639166</v>
      </c>
    </row>
    <row r="103" spans="1:12" x14ac:dyDescent="0.3">
      <c r="A103">
        <v>192</v>
      </c>
      <c r="B103">
        <f t="shared" si="32"/>
        <v>2.220684561159401</v>
      </c>
      <c r="C103">
        <f t="shared" si="28"/>
        <v>2.220684561159401</v>
      </c>
      <c r="D103" t="s">
        <v>26</v>
      </c>
      <c r="E103" t="s">
        <v>21</v>
      </c>
      <c r="F103">
        <v>1</v>
      </c>
      <c r="G103">
        <f t="shared" si="33"/>
        <v>50</v>
      </c>
      <c r="I103">
        <v>2030</v>
      </c>
      <c r="J103">
        <f t="shared" si="34"/>
        <v>52.5</v>
      </c>
      <c r="K103" cm="1">
        <f t="array" ref="K103">STOWA2019_JAARROND_T(A103*60,J103,I103,"","lower")</f>
        <v>0.16774199317205513</v>
      </c>
      <c r="L103">
        <f t="shared" si="35"/>
        <v>5.9615364113045155</v>
      </c>
    </row>
    <row r="104" spans="1:12" x14ac:dyDescent="0.3">
      <c r="A104">
        <v>192</v>
      </c>
      <c r="B104">
        <f t="shared" si="32"/>
        <v>1.614159890895638</v>
      </c>
      <c r="C104">
        <f t="shared" si="28"/>
        <v>1.614159890895638</v>
      </c>
      <c r="D104" t="s">
        <v>26</v>
      </c>
      <c r="E104" t="s">
        <v>21</v>
      </c>
      <c r="F104">
        <v>1</v>
      </c>
      <c r="G104">
        <f t="shared" si="33"/>
        <v>55</v>
      </c>
      <c r="I104">
        <v>2030</v>
      </c>
      <c r="J104">
        <f t="shared" si="34"/>
        <v>57.5</v>
      </c>
      <c r="K104" cm="1">
        <f t="array" ref="K104">STOWA2019_JAARROND_T(A104*60,J104,I104,"","lower")</f>
        <v>0.23002378452969804</v>
      </c>
      <c r="L104">
        <f t="shared" si="35"/>
        <v>4.3473765204088775</v>
      </c>
    </row>
    <row r="105" spans="1:12" x14ac:dyDescent="0.3">
      <c r="A105">
        <v>192</v>
      </c>
      <c r="B105">
        <f t="shared" si="32"/>
        <v>1.1757035152627462</v>
      </c>
      <c r="C105">
        <f t="shared" si="28"/>
        <v>1.1757035152627462</v>
      </c>
      <c r="D105" t="s">
        <v>26</v>
      </c>
      <c r="E105" t="s">
        <v>21</v>
      </c>
      <c r="F105">
        <v>1</v>
      </c>
      <c r="G105">
        <f t="shared" si="33"/>
        <v>60</v>
      </c>
      <c r="I105">
        <v>2030</v>
      </c>
      <c r="J105">
        <f t="shared" si="34"/>
        <v>62.5</v>
      </c>
      <c r="K105" cm="1">
        <f t="array" ref="K105">STOWA2019_JAARROND_T(A105*60,J105,I105,"","lower")</f>
        <v>0.31529101467190063</v>
      </c>
      <c r="L105">
        <f t="shared" si="35"/>
        <v>3.1716730051461313</v>
      </c>
    </row>
    <row r="106" spans="1:12" x14ac:dyDescent="0.3">
      <c r="A106">
        <v>192</v>
      </c>
      <c r="B106">
        <f t="shared" si="32"/>
        <v>0.85731379654097628</v>
      </c>
      <c r="C106">
        <f t="shared" si="28"/>
        <v>0.85731379654097628</v>
      </c>
      <c r="D106" t="s">
        <v>26</v>
      </c>
      <c r="E106" t="s">
        <v>21</v>
      </c>
      <c r="F106">
        <v>1</v>
      </c>
      <c r="G106">
        <f t="shared" si="33"/>
        <v>65</v>
      </c>
      <c r="I106">
        <v>2030</v>
      </c>
      <c r="J106">
        <f t="shared" si="34"/>
        <v>67.5</v>
      </c>
      <c r="K106" cm="1">
        <f t="array" ref="K106">STOWA2019_JAARROND_T(A106*60,J106,I106,"","lower")</f>
        <v>0.43208504379175078</v>
      </c>
      <c r="L106">
        <f t="shared" si="35"/>
        <v>2.314359208605155</v>
      </c>
    </row>
    <row r="107" spans="1:12" x14ac:dyDescent="0.3">
      <c r="A107">
        <v>192</v>
      </c>
      <c r="B107">
        <f t="shared" si="32"/>
        <v>0.62551392361755775</v>
      </c>
      <c r="C107">
        <f t="shared" si="28"/>
        <v>0.62551392361755775</v>
      </c>
      <c r="D107" t="s">
        <v>26</v>
      </c>
      <c r="E107" t="s">
        <v>21</v>
      </c>
      <c r="F107">
        <v>1</v>
      </c>
      <c r="G107">
        <f t="shared" si="33"/>
        <v>70</v>
      </c>
      <c r="I107">
        <v>2030</v>
      </c>
      <c r="J107">
        <f t="shared" si="34"/>
        <v>72.5</v>
      </c>
      <c r="K107" cm="1">
        <f t="array" ref="K107">STOWA2019_JAARROND_T(A107*60,J107,I107,"","lower")</f>
        <v>0.59212055058515556</v>
      </c>
      <c r="L107">
        <f t="shared" si="35"/>
        <v>1.6888452849875972</v>
      </c>
    </row>
    <row r="108" spans="1:12" x14ac:dyDescent="0.3">
      <c r="A108">
        <v>192</v>
      </c>
      <c r="B108">
        <f t="shared" si="32"/>
        <v>0.45655064785505428</v>
      </c>
      <c r="C108">
        <f t="shared" si="28"/>
        <v>0.45655064785505428</v>
      </c>
      <c r="D108" t="s">
        <v>26</v>
      </c>
      <c r="E108" t="s">
        <v>21</v>
      </c>
      <c r="F108">
        <v>1</v>
      </c>
      <c r="G108">
        <f t="shared" si="33"/>
        <v>75</v>
      </c>
      <c r="I108">
        <v>2030</v>
      </c>
      <c r="J108">
        <f t="shared" si="34"/>
        <v>77.5</v>
      </c>
      <c r="K108" cm="1">
        <f t="array" ref="K108">STOWA2019_JAARROND_T(A108*60,J108,I108,"","lower")</f>
        <v>0.81149423998705772</v>
      </c>
      <c r="L108">
        <f t="shared" si="35"/>
        <v>1.2322946371325429</v>
      </c>
    </row>
    <row r="109" spans="1:12" x14ac:dyDescent="0.3">
      <c r="A109">
        <v>192</v>
      </c>
      <c r="B109">
        <f t="shared" si="32"/>
        <v>0.3331912420059624</v>
      </c>
      <c r="C109">
        <f t="shared" si="28"/>
        <v>0.3331912420059624</v>
      </c>
      <c r="D109" t="s">
        <v>26</v>
      </c>
      <c r="E109" t="s">
        <v>21</v>
      </c>
      <c r="F109">
        <v>1</v>
      </c>
      <c r="G109">
        <f t="shared" si="33"/>
        <v>80</v>
      </c>
      <c r="I109">
        <v>2030</v>
      </c>
      <c r="J109">
        <f t="shared" si="34"/>
        <v>82.5</v>
      </c>
      <c r="K109" cm="1">
        <f t="array" ref="K109">STOWA2019_JAARROND_T(A109*60,J109,I109,"","lower")</f>
        <v>1.1122191345514991</v>
      </c>
      <c r="L109">
        <f t="shared" si="35"/>
        <v>0.89910339512658055</v>
      </c>
    </row>
    <row r="110" spans="1:12" x14ac:dyDescent="0.3">
      <c r="A110">
        <v>192</v>
      </c>
      <c r="B110">
        <f t="shared" si="32"/>
        <v>0.24330306415281266</v>
      </c>
      <c r="C110">
        <f t="shared" si="28"/>
        <v>0.24330306415281266</v>
      </c>
      <c r="D110" t="s">
        <v>26</v>
      </c>
      <c r="E110" t="s">
        <v>21</v>
      </c>
      <c r="F110">
        <v>1</v>
      </c>
      <c r="G110">
        <f t="shared" si="33"/>
        <v>85</v>
      </c>
      <c r="I110">
        <v>2030</v>
      </c>
      <c r="J110">
        <f t="shared" si="34"/>
        <v>87.5</v>
      </c>
      <c r="K110" cm="1">
        <f t="array" ref="K110">STOWA2019_JAARROND_T(A110*60,J110,I110,"","lower")</f>
        <v>1.5248543691875631</v>
      </c>
      <c r="L110">
        <f t="shared" si="35"/>
        <v>0.65580033097376789</v>
      </c>
    </row>
    <row r="111" spans="1:12" x14ac:dyDescent="0.3">
      <c r="A111">
        <v>192</v>
      </c>
      <c r="B111">
        <f t="shared" si="32"/>
        <v>0.17758847306609343</v>
      </c>
      <c r="C111">
        <f t="shared" si="28"/>
        <v>0.17758847306609343</v>
      </c>
      <c r="D111" t="s">
        <v>26</v>
      </c>
      <c r="E111" t="s">
        <v>21</v>
      </c>
      <c r="F111">
        <v>1</v>
      </c>
      <c r="G111">
        <f t="shared" si="33"/>
        <v>90</v>
      </c>
      <c r="I111">
        <v>2030</v>
      </c>
      <c r="J111">
        <f t="shared" si="34"/>
        <v>92.5</v>
      </c>
      <c r="K111" cm="1">
        <f t="array" ref="K111">STOWA2019_JAARROND_T(A111*60,J111,I111,"","lower")</f>
        <v>2.0911233869760379</v>
      </c>
      <c r="L111">
        <f t="shared" si="35"/>
        <v>0.47821185790767445</v>
      </c>
    </row>
    <row r="112" spans="1:12" x14ac:dyDescent="0.3">
      <c r="A112">
        <v>192</v>
      </c>
      <c r="B112">
        <f t="shared" si="32"/>
        <v>0.12959764738556823</v>
      </c>
      <c r="C112">
        <f t="shared" si="28"/>
        <v>0.12959764738556823</v>
      </c>
      <c r="D112" t="s">
        <v>26</v>
      </c>
      <c r="E112" t="s">
        <v>21</v>
      </c>
      <c r="F112">
        <v>1</v>
      </c>
      <c r="G112">
        <f t="shared" si="33"/>
        <v>95</v>
      </c>
      <c r="I112">
        <v>2030</v>
      </c>
      <c r="J112">
        <f t="shared" si="34"/>
        <v>97.5</v>
      </c>
      <c r="K112" cm="1">
        <f t="array" ref="K112">STOWA2019_JAARROND_T(A112*60,J112,I112,"","lower")</f>
        <v>2.8685003933211388</v>
      </c>
      <c r="L112">
        <f t="shared" si="35"/>
        <v>0.34861421052210623</v>
      </c>
    </row>
    <row r="113" spans="1:12" x14ac:dyDescent="0.3">
      <c r="A113">
        <v>192</v>
      </c>
      <c r="B113">
        <f t="shared" si="32"/>
        <v>9.4553949885520738E-2</v>
      </c>
      <c r="C113">
        <f t="shared" si="28"/>
        <v>9.4553949885520738E-2</v>
      </c>
      <c r="D113" t="s">
        <v>26</v>
      </c>
      <c r="E113" t="s">
        <v>21</v>
      </c>
      <c r="F113">
        <v>1</v>
      </c>
      <c r="G113">
        <f t="shared" si="33"/>
        <v>100</v>
      </c>
      <c r="I113">
        <v>2030</v>
      </c>
      <c r="J113">
        <f t="shared" si="34"/>
        <v>102.5</v>
      </c>
      <c r="K113" cm="1">
        <f t="array" ref="K113">STOWA2019_JAARROND_T(A113*60,J113,I113,"","lower")</f>
        <v>3.9360740538262551</v>
      </c>
      <c r="L113">
        <f t="shared" si="35"/>
        <v>0.25406026063658549</v>
      </c>
    </row>
    <row r="114" spans="1:12" x14ac:dyDescent="0.3">
      <c r="A114">
        <v>192</v>
      </c>
      <c r="B114">
        <f t="shared" si="32"/>
        <v>6.8971428688426595E-2</v>
      </c>
      <c r="C114">
        <f t="shared" si="28"/>
        <v>6.8971428688426595E-2</v>
      </c>
      <c r="D114" t="s">
        <v>26</v>
      </c>
      <c r="E114" t="s">
        <v>21</v>
      </c>
      <c r="F114">
        <v>1</v>
      </c>
      <c r="G114">
        <f t="shared" si="33"/>
        <v>105</v>
      </c>
      <c r="I114">
        <v>2030</v>
      </c>
      <c r="J114">
        <f t="shared" si="34"/>
        <v>107.5</v>
      </c>
      <c r="K114" cm="1">
        <f t="array" ref="K114">STOWA2019_JAARROND_T(A114*60,J114,I114,"","lower")</f>
        <v>5.4028111230400313</v>
      </c>
      <c r="L114">
        <f t="shared" si="35"/>
        <v>0.18508883194815889</v>
      </c>
    </row>
    <row r="115" spans="1:12" x14ac:dyDescent="0.3">
      <c r="A115">
        <v>192</v>
      </c>
      <c r="B115">
        <f t="shared" si="32"/>
        <v>5.029309388488476E-2</v>
      </c>
      <c r="C115">
        <f t="shared" si="28"/>
        <v>5.029309388488476E-2</v>
      </c>
      <c r="D115" t="s">
        <v>26</v>
      </c>
      <c r="E115" t="s">
        <v>21</v>
      </c>
      <c r="F115">
        <v>1</v>
      </c>
      <c r="G115">
        <f t="shared" si="33"/>
        <v>110</v>
      </c>
      <c r="I115">
        <v>2030</v>
      </c>
      <c r="J115">
        <f t="shared" si="34"/>
        <v>112.5</v>
      </c>
      <c r="K115" cm="1">
        <f t="array" ref="K115">STOWA2019_JAARROND_T(A115*60,J115,I115,"","lower")</f>
        <v>7.4186321790870897</v>
      </c>
      <c r="L115">
        <f t="shared" si="35"/>
        <v>0.13479573806327413</v>
      </c>
    </row>
    <row r="116" spans="1:12" x14ac:dyDescent="0.3">
      <c r="A116">
        <v>192</v>
      </c>
      <c r="B116">
        <f t="shared" si="32"/>
        <v>3.6662601314350174E-2</v>
      </c>
      <c r="C116">
        <f t="shared" si="28"/>
        <v>3.6662601314350174E-2</v>
      </c>
      <c r="D116" t="s">
        <v>26</v>
      </c>
      <c r="E116" t="s">
        <v>21</v>
      </c>
      <c r="F116">
        <v>1</v>
      </c>
      <c r="G116">
        <f t="shared" si="33"/>
        <v>115</v>
      </c>
      <c r="I116">
        <v>2030</v>
      </c>
      <c r="J116">
        <f t="shared" si="34"/>
        <v>117.5</v>
      </c>
      <c r="K116" cm="1">
        <f t="array" ref="K116">STOWA2019_JAARROND_T(A116*60,J116,I116,"","lower")</f>
        <v>10.190237804774595</v>
      </c>
      <c r="L116">
        <f t="shared" si="35"/>
        <v>9.813313674892396E-2</v>
      </c>
    </row>
    <row r="117" spans="1:12" x14ac:dyDescent="0.3">
      <c r="A117">
        <v>192</v>
      </c>
      <c r="B117">
        <f t="shared" si="32"/>
        <v>2.6717340727187497E-2</v>
      </c>
      <c r="C117">
        <f t="shared" si="28"/>
        <v>2.6717340727187497E-2</v>
      </c>
      <c r="D117" t="s">
        <v>26</v>
      </c>
      <c r="E117" t="s">
        <v>21</v>
      </c>
      <c r="F117">
        <v>1</v>
      </c>
      <c r="G117">
        <f t="shared" si="33"/>
        <v>120</v>
      </c>
      <c r="I117">
        <v>2030</v>
      </c>
      <c r="J117">
        <f t="shared" si="34"/>
        <v>122.5</v>
      </c>
      <c r="K117" cm="1">
        <f t="array" ref="K117">STOWA2019_JAARROND_T(A117*60,J117,I117,"","lower")</f>
        <v>14.002504427670805</v>
      </c>
      <c r="L117">
        <f t="shared" si="35"/>
        <v>7.1415796021736463E-2</v>
      </c>
    </row>
    <row r="118" spans="1:12" x14ac:dyDescent="0.3">
      <c r="A118">
        <v>192</v>
      </c>
      <c r="B118">
        <f t="shared" si="32"/>
        <v>1.9463449915575859E-2</v>
      </c>
      <c r="C118">
        <f t="shared" si="28"/>
        <v>1.9463449915575859E-2</v>
      </c>
      <c r="D118" t="s">
        <v>26</v>
      </c>
      <c r="E118" t="s">
        <v>21</v>
      </c>
      <c r="F118">
        <v>1</v>
      </c>
      <c r="G118">
        <f t="shared" si="33"/>
        <v>125</v>
      </c>
      <c r="I118">
        <v>2030</v>
      </c>
      <c r="J118">
        <f t="shared" si="34"/>
        <v>127.5</v>
      </c>
      <c r="K118" cm="1">
        <f t="array" ref="K118">STOWA2019_JAARROND_T(A118*60,J118,I118,"","lower")</f>
        <v>19.248408877562088</v>
      </c>
      <c r="L118">
        <f t="shared" si="35"/>
        <v>5.1952346106160605E-2</v>
      </c>
    </row>
    <row r="119" spans="1:12" x14ac:dyDescent="0.3">
      <c r="A119">
        <v>192</v>
      </c>
      <c r="B119">
        <f t="shared" si="32"/>
        <v>1.4173286036841599E-2</v>
      </c>
      <c r="C119">
        <f t="shared" si="28"/>
        <v>1.4173286036841599E-2</v>
      </c>
      <c r="D119" t="s">
        <v>26</v>
      </c>
      <c r="E119" t="s">
        <v>21</v>
      </c>
      <c r="F119">
        <v>1</v>
      </c>
      <c r="G119">
        <f t="shared" si="33"/>
        <v>130</v>
      </c>
      <c r="I119">
        <v>2030</v>
      </c>
      <c r="J119">
        <f t="shared" si="34"/>
        <v>132.5</v>
      </c>
      <c r="K119" cm="1">
        <f t="array" ref="K119">STOWA2019_JAARROND_T(A119*60,J119,I119,"","lower")</f>
        <v>26.469689774312741</v>
      </c>
      <c r="L119">
        <f t="shared" si="35"/>
        <v>3.7779060069319005E-2</v>
      </c>
    </row>
    <row r="120" spans="1:12" x14ac:dyDescent="0.3">
      <c r="A120">
        <v>192</v>
      </c>
      <c r="B120">
        <f t="shared" si="32"/>
        <v>1.0317424941780475E-2</v>
      </c>
      <c r="C120">
        <f t="shared" si="28"/>
        <v>1.0317424941780475E-2</v>
      </c>
      <c r="D120" t="s">
        <v>26</v>
      </c>
      <c r="E120" t="s">
        <v>21</v>
      </c>
      <c r="F120">
        <v>1</v>
      </c>
      <c r="G120">
        <f t="shared" si="33"/>
        <v>135</v>
      </c>
      <c r="I120">
        <v>2030</v>
      </c>
      <c r="J120">
        <f t="shared" si="34"/>
        <v>137.5</v>
      </c>
      <c r="K120" cm="1">
        <f t="array" ref="K120">STOWA2019_JAARROND_T(A120*60,J120,I120,"","lower")</f>
        <v>36.414437645673907</v>
      </c>
      <c r="L120">
        <f t="shared" si="35"/>
        <v>2.746163512753853E-2</v>
      </c>
    </row>
    <row r="121" spans="1:12" x14ac:dyDescent="0.3">
      <c r="A121">
        <v>192</v>
      </c>
      <c r="B121">
        <f t="shared" si="32"/>
        <v>7.5077045946844757E-3</v>
      </c>
      <c r="C121">
        <f t="shared" si="28"/>
        <v>7.5077045946844757E-3</v>
      </c>
      <c r="D121" t="s">
        <v>26</v>
      </c>
      <c r="E121" t="s">
        <v>21</v>
      </c>
      <c r="F121">
        <v>1</v>
      </c>
      <c r="G121">
        <f t="shared" si="33"/>
        <v>140</v>
      </c>
      <c r="I121">
        <v>2030</v>
      </c>
      <c r="J121">
        <f t="shared" si="34"/>
        <v>142.5</v>
      </c>
      <c r="K121" cm="1">
        <f t="array" ref="K121">STOWA2019_JAARROND_T(A121*60,J121,I121,"","lower")</f>
        <v>50.115439579861452</v>
      </c>
      <c r="L121">
        <f t="shared" si="35"/>
        <v>1.9953930532854054E-2</v>
      </c>
    </row>
    <row r="122" spans="1:12" x14ac:dyDescent="0.3">
      <c r="A122">
        <v>192</v>
      </c>
      <c r="B122">
        <f t="shared" si="32"/>
        <v>5.4610341216283827E-3</v>
      </c>
      <c r="C122">
        <f t="shared" si="28"/>
        <v>5.4610341216283827E-3</v>
      </c>
      <c r="D122" t="s">
        <v>26</v>
      </c>
      <c r="E122" t="s">
        <v>21</v>
      </c>
      <c r="F122">
        <v>1</v>
      </c>
      <c r="G122">
        <f t="shared" si="33"/>
        <v>145</v>
      </c>
      <c r="I122">
        <v>2030</v>
      </c>
      <c r="J122">
        <f t="shared" si="34"/>
        <v>147.5</v>
      </c>
      <c r="K122" cm="1">
        <f t="array" ref="K122">STOWA2019_JAARROND_T(A122*60,J122,I122,"","lower")</f>
        <v>68.999320192852295</v>
      </c>
      <c r="L122">
        <f t="shared" si="35"/>
        <v>1.4492896411225671E-2</v>
      </c>
    </row>
    <row r="123" spans="1:12" x14ac:dyDescent="0.3">
      <c r="A123">
        <v>192</v>
      </c>
      <c r="B123">
        <f t="shared" si="32"/>
        <v>3.9707418993564364E-3</v>
      </c>
      <c r="C123">
        <f t="shared" si="28"/>
        <v>3.9707418993564364E-3</v>
      </c>
      <c r="D123" t="s">
        <v>26</v>
      </c>
      <c r="E123" t="s">
        <v>21</v>
      </c>
      <c r="F123">
        <v>1</v>
      </c>
      <c r="G123">
        <f t="shared" si="33"/>
        <v>150</v>
      </c>
      <c r="I123">
        <v>2030</v>
      </c>
      <c r="J123">
        <f t="shared" si="34"/>
        <v>152.5</v>
      </c>
      <c r="K123" cm="1">
        <f t="array" ref="K123">STOWA2019_JAARROND_T(A123*60,J123,I123,"","lower")</f>
        <v>95.037570382755433</v>
      </c>
      <c r="L123">
        <f t="shared" si="35"/>
        <v>1.0522154511869235E-2</v>
      </c>
    </row>
    <row r="124" spans="1:12" x14ac:dyDescent="0.3">
      <c r="A124">
        <v>192</v>
      </c>
      <c r="B124">
        <f t="shared" si="32"/>
        <v>2.8860351222538896E-3</v>
      </c>
      <c r="C124">
        <f t="shared" si="28"/>
        <v>2.8860351222538896E-3</v>
      </c>
      <c r="D124" t="s">
        <v>26</v>
      </c>
      <c r="E124" t="s">
        <v>21</v>
      </c>
      <c r="F124">
        <v>1</v>
      </c>
      <c r="G124">
        <f t="shared" si="33"/>
        <v>155</v>
      </c>
      <c r="I124">
        <v>2030</v>
      </c>
      <c r="J124">
        <f t="shared" si="34"/>
        <v>157.5</v>
      </c>
      <c r="K124" cm="1">
        <f t="array" ref="K124">STOWA2019_JAARROND_T(A124*60,J124,I124,"","lower")</f>
        <v>130.95656955808454</v>
      </c>
      <c r="L124">
        <f t="shared" si="35"/>
        <v>7.6361193896153454E-3</v>
      </c>
    </row>
    <row r="125" spans="1:12" x14ac:dyDescent="0.3">
      <c r="A125">
        <v>192</v>
      </c>
      <c r="B125" s="1">
        <f>L124</f>
        <v>7.6361193896153454E-3</v>
      </c>
      <c r="C125">
        <f t="shared" si="28"/>
        <v>7.6361193896153454E-3</v>
      </c>
      <c r="D125" t="s">
        <v>26</v>
      </c>
      <c r="E125" t="s">
        <v>21</v>
      </c>
      <c r="F125">
        <v>1</v>
      </c>
      <c r="G125">
        <f t="shared" si="33"/>
        <v>160</v>
      </c>
      <c r="I125">
        <v>2030</v>
      </c>
      <c r="J125">
        <f>AVERAGE(G125:G126)</f>
        <v>85</v>
      </c>
      <c r="K125" cm="1">
        <f t="array" ref="K125">STOWA2019_JAARROND_T(A125*60,J125,I125,"","lower")</f>
        <v>1.3022630574681624</v>
      </c>
      <c r="L125">
        <f>1/K125</f>
        <v>0.76789400902163574</v>
      </c>
    </row>
    <row r="126" spans="1:12" x14ac:dyDescent="0.3">
      <c r="A126">
        <v>216</v>
      </c>
      <c r="B126" s="1">
        <f>365.25*24/A126 - L126</f>
        <v>-959.41666666666663</v>
      </c>
      <c r="C126">
        <f>B126</f>
        <v>-959.41666666666663</v>
      </c>
      <c r="D126" t="s">
        <v>26</v>
      </c>
      <c r="E126" t="s">
        <v>21</v>
      </c>
      <c r="F126">
        <v>1</v>
      </c>
      <c r="G126">
        <v>10</v>
      </c>
      <c r="I126">
        <v>2030</v>
      </c>
      <c r="J126">
        <f>AVERAGE(G126:G128)</f>
        <v>15</v>
      </c>
      <c r="K126" s="1">
        <v>1E-3</v>
      </c>
      <c r="L126">
        <f>1/K126</f>
        <v>1000</v>
      </c>
    </row>
    <row r="127" spans="1:12" x14ac:dyDescent="0.3">
      <c r="A127">
        <v>216</v>
      </c>
      <c r="B127">
        <f t="shared" ref="B127:B131" si="36">L126-L127</f>
        <v>0</v>
      </c>
      <c r="C127">
        <f t="shared" ref="C127:C156" si="37">B127</f>
        <v>0</v>
      </c>
      <c r="D127" t="s">
        <v>26</v>
      </c>
      <c r="E127" t="s">
        <v>21</v>
      </c>
      <c r="F127">
        <v>1</v>
      </c>
      <c r="G127">
        <f t="shared" ref="G127:G131" si="38">G126+5</f>
        <v>15</v>
      </c>
      <c r="I127">
        <v>2030</v>
      </c>
      <c r="J127">
        <f t="shared" ref="J127:J131" si="39">AVERAGE(G127:G128)</f>
        <v>17.5</v>
      </c>
      <c r="K127" s="1">
        <v>1E-3</v>
      </c>
      <c r="L127">
        <f t="shared" ref="L127:L131" si="40">1/K127</f>
        <v>1000</v>
      </c>
    </row>
    <row r="128" spans="1:12" x14ac:dyDescent="0.3">
      <c r="A128">
        <v>216</v>
      </c>
      <c r="B128">
        <f t="shared" si="36"/>
        <v>0</v>
      </c>
      <c r="C128">
        <f t="shared" si="37"/>
        <v>0</v>
      </c>
      <c r="D128" t="s">
        <v>26</v>
      </c>
      <c r="E128" t="s">
        <v>21</v>
      </c>
      <c r="F128">
        <v>1</v>
      </c>
      <c r="G128">
        <f t="shared" si="38"/>
        <v>20</v>
      </c>
      <c r="I128">
        <v>2030</v>
      </c>
      <c r="J128">
        <f t="shared" si="39"/>
        <v>22.5</v>
      </c>
      <c r="K128" s="1">
        <v>1E-3</v>
      </c>
      <c r="L128">
        <f t="shared" si="40"/>
        <v>1000</v>
      </c>
    </row>
    <row r="129" spans="1:12" x14ac:dyDescent="0.3">
      <c r="A129">
        <v>216</v>
      </c>
      <c r="B129">
        <f t="shared" si="36"/>
        <v>0</v>
      </c>
      <c r="C129">
        <f t="shared" si="37"/>
        <v>0</v>
      </c>
      <c r="D129" t="s">
        <v>26</v>
      </c>
      <c r="E129" t="s">
        <v>21</v>
      </c>
      <c r="F129">
        <v>1</v>
      </c>
      <c r="G129">
        <f t="shared" si="38"/>
        <v>25</v>
      </c>
      <c r="I129">
        <v>2030</v>
      </c>
      <c r="J129">
        <f t="shared" si="39"/>
        <v>27.5</v>
      </c>
      <c r="K129" s="1">
        <v>1E-3</v>
      </c>
      <c r="L129">
        <f t="shared" si="40"/>
        <v>1000</v>
      </c>
    </row>
    <row r="130" spans="1:12" x14ac:dyDescent="0.3">
      <c r="A130">
        <v>216</v>
      </c>
      <c r="B130">
        <f t="shared" si="36"/>
        <v>974.94126942445791</v>
      </c>
      <c r="C130">
        <f t="shared" si="37"/>
        <v>974.94126942445791</v>
      </c>
      <c r="D130" t="s">
        <v>26</v>
      </c>
      <c r="E130" t="s">
        <v>21</v>
      </c>
      <c r="F130">
        <v>1</v>
      </c>
      <c r="G130">
        <f t="shared" si="38"/>
        <v>30</v>
      </c>
      <c r="I130">
        <v>2030</v>
      </c>
      <c r="J130">
        <f t="shared" si="39"/>
        <v>32.5</v>
      </c>
      <c r="K130" cm="1">
        <f t="array" ref="K130">STOWA2019_JAARROND_T(A130*60,J130,I130,"","lower")</f>
        <v>3.9906251315700067E-2</v>
      </c>
      <c r="L130">
        <f t="shared" si="40"/>
        <v>25.058730575542089</v>
      </c>
    </row>
    <row r="131" spans="1:12" x14ac:dyDescent="0.3">
      <c r="A131">
        <v>216</v>
      </c>
      <c r="B131">
        <f t="shared" si="36"/>
        <v>6.954205501704525</v>
      </c>
      <c r="C131">
        <f t="shared" si="37"/>
        <v>6.954205501704525</v>
      </c>
      <c r="D131" t="s">
        <v>26</v>
      </c>
      <c r="E131" t="s">
        <v>21</v>
      </c>
      <c r="F131">
        <v>1</v>
      </c>
      <c r="G131">
        <f t="shared" si="38"/>
        <v>35</v>
      </c>
      <c r="I131">
        <v>2030</v>
      </c>
      <c r="J131">
        <f t="shared" si="39"/>
        <v>37.5</v>
      </c>
      <c r="K131" cm="1">
        <f t="array" ref="K131">STOWA2019_JAARROND_T(A131*60,J131,I131,"","lower")</f>
        <v>5.5234809856740029E-2</v>
      </c>
      <c r="L131">
        <f t="shared" si="40"/>
        <v>18.104525073837564</v>
      </c>
    </row>
    <row r="132" spans="1:12" x14ac:dyDescent="0.3">
      <c r="A132">
        <v>216</v>
      </c>
      <c r="B132">
        <f>L131-L132</f>
        <v>4.8088454665530307</v>
      </c>
      <c r="C132">
        <f t="shared" si="37"/>
        <v>4.8088454665530307</v>
      </c>
      <c r="D132" t="s">
        <v>26</v>
      </c>
      <c r="E132" t="s">
        <v>21</v>
      </c>
      <c r="F132">
        <v>1</v>
      </c>
      <c r="G132">
        <f>G131+5</f>
        <v>40</v>
      </c>
      <c r="I132">
        <v>2030</v>
      </c>
      <c r="J132">
        <f>AVERAGE(G132:G133)</f>
        <v>42.5</v>
      </c>
      <c r="K132" cm="1">
        <f t="array" ref="K132">STOWA2019_JAARROND_T(A132*60,J132,I132,"","lower")</f>
        <v>7.5212402038637632E-2</v>
      </c>
      <c r="L132">
        <f>1/K132</f>
        <v>13.295679607284534</v>
      </c>
    </row>
    <row r="133" spans="1:12" x14ac:dyDescent="0.3">
      <c r="A133">
        <v>216</v>
      </c>
      <c r="B133">
        <f t="shared" ref="B133:B155" si="41">L132-L133</f>
        <v>3.477222251214652</v>
      </c>
      <c r="C133">
        <f t="shared" si="37"/>
        <v>3.477222251214652</v>
      </c>
      <c r="D133" t="s">
        <v>26</v>
      </c>
      <c r="E133" t="s">
        <v>21</v>
      </c>
      <c r="F133">
        <v>1</v>
      </c>
      <c r="G133">
        <f t="shared" ref="G133:G156" si="42">G132+5</f>
        <v>45</v>
      </c>
      <c r="I133">
        <v>2030</v>
      </c>
      <c r="J133">
        <f t="shared" ref="J133:J155" si="43">AVERAGE(G133:G134)</f>
        <v>47.5</v>
      </c>
      <c r="K133" cm="1">
        <f t="array" ref="K133">STOWA2019_JAARROND_T(A133*60,J133,I133,"","lower")</f>
        <v>0.10184899355719956</v>
      </c>
      <c r="L133">
        <f t="shared" ref="L133:L155" si="44">1/K133</f>
        <v>9.8184573560698816</v>
      </c>
    </row>
    <row r="134" spans="1:12" x14ac:dyDescent="0.3">
      <c r="A134">
        <v>216</v>
      </c>
      <c r="B134">
        <f t="shared" si="41"/>
        <v>2.5517308825231044</v>
      </c>
      <c r="C134">
        <f t="shared" si="37"/>
        <v>2.5517308825231044</v>
      </c>
      <c r="D134" t="s">
        <v>26</v>
      </c>
      <c r="E134" t="s">
        <v>21</v>
      </c>
      <c r="F134">
        <v>1</v>
      </c>
      <c r="G134">
        <f t="shared" si="42"/>
        <v>50</v>
      </c>
      <c r="I134">
        <v>2030</v>
      </c>
      <c r="J134">
        <f t="shared" si="43"/>
        <v>52.5</v>
      </c>
      <c r="K134" cm="1">
        <f t="array" ref="K134">STOWA2019_JAARROND_T(A134*60,J134,I134,"","lower")</f>
        <v>0.13761354629767913</v>
      </c>
      <c r="L134">
        <f t="shared" si="44"/>
        <v>7.2667264735467771</v>
      </c>
    </row>
    <row r="135" spans="1:12" x14ac:dyDescent="0.3">
      <c r="A135">
        <v>216</v>
      </c>
      <c r="B135">
        <f t="shared" si="41"/>
        <v>1.8846044287680339</v>
      </c>
      <c r="C135">
        <f t="shared" si="37"/>
        <v>1.8846044287680339</v>
      </c>
      <c r="D135" t="s">
        <v>26</v>
      </c>
      <c r="E135" t="s">
        <v>21</v>
      </c>
      <c r="F135">
        <v>1</v>
      </c>
      <c r="G135">
        <f t="shared" si="42"/>
        <v>55</v>
      </c>
      <c r="I135">
        <v>2030</v>
      </c>
      <c r="J135">
        <f t="shared" si="43"/>
        <v>57.5</v>
      </c>
      <c r="K135" cm="1">
        <f t="array" ref="K135">STOWA2019_JAARROND_T(A135*60,J135,I135,"","lower")</f>
        <v>0.18580032033463664</v>
      </c>
      <c r="L135">
        <f t="shared" si="44"/>
        <v>5.3821220447787432</v>
      </c>
    </row>
    <row r="136" spans="1:12" x14ac:dyDescent="0.3">
      <c r="A136">
        <v>216</v>
      </c>
      <c r="B136">
        <f t="shared" si="41"/>
        <v>1.3957844349988289</v>
      </c>
      <c r="C136">
        <f t="shared" si="37"/>
        <v>1.3957844349988289</v>
      </c>
      <c r="D136" t="s">
        <v>26</v>
      </c>
      <c r="E136" t="s">
        <v>21</v>
      </c>
      <c r="F136">
        <v>1</v>
      </c>
      <c r="G136">
        <f t="shared" si="42"/>
        <v>60</v>
      </c>
      <c r="I136">
        <v>2030</v>
      </c>
      <c r="J136">
        <f t="shared" si="43"/>
        <v>62.5</v>
      </c>
      <c r="K136" cm="1">
        <f t="array" ref="K136">STOWA2019_JAARROND_T(A136*60,J136,I136,"","lower")</f>
        <v>0.25085682596141423</v>
      </c>
      <c r="L136">
        <f t="shared" si="44"/>
        <v>3.9863376097799144</v>
      </c>
    </row>
    <row r="137" spans="1:12" x14ac:dyDescent="0.3">
      <c r="A137">
        <v>216</v>
      </c>
      <c r="B137">
        <f t="shared" si="41"/>
        <v>1.0351080541766127</v>
      </c>
      <c r="C137">
        <f t="shared" si="37"/>
        <v>1.0351080541766127</v>
      </c>
      <c r="D137" t="s">
        <v>26</v>
      </c>
      <c r="E137" t="s">
        <v>21</v>
      </c>
      <c r="F137">
        <v>1</v>
      </c>
      <c r="G137">
        <f t="shared" si="42"/>
        <v>65</v>
      </c>
      <c r="I137">
        <v>2030</v>
      </c>
      <c r="J137">
        <f t="shared" si="43"/>
        <v>67.5</v>
      </c>
      <c r="K137" cm="1">
        <f t="array" ref="K137">STOWA2019_JAARROND_T(A137*60,J137,I137,"","lower")</f>
        <v>0.3388418220810262</v>
      </c>
      <c r="L137">
        <f t="shared" si="44"/>
        <v>2.9512295556033017</v>
      </c>
    </row>
    <row r="138" spans="1:12" x14ac:dyDescent="0.3">
      <c r="A138">
        <v>216</v>
      </c>
      <c r="B138">
        <f t="shared" si="41"/>
        <v>0.76787248045325418</v>
      </c>
      <c r="C138">
        <f t="shared" si="37"/>
        <v>0.76787248045325418</v>
      </c>
      <c r="D138" t="s">
        <v>26</v>
      </c>
      <c r="E138" t="s">
        <v>21</v>
      </c>
      <c r="F138">
        <v>1</v>
      </c>
      <c r="G138">
        <f t="shared" si="42"/>
        <v>70</v>
      </c>
      <c r="I138">
        <v>2030</v>
      </c>
      <c r="J138">
        <f t="shared" si="43"/>
        <v>72.5</v>
      </c>
      <c r="K138" cm="1">
        <f t="array" ref="K138">STOWA2019_JAARROND_T(A138*60,J138,I138,"","lower")</f>
        <v>0.45801028671926081</v>
      </c>
      <c r="L138">
        <f t="shared" si="44"/>
        <v>2.1833570751500475</v>
      </c>
    </row>
    <row r="139" spans="1:12" x14ac:dyDescent="0.3">
      <c r="A139">
        <v>216</v>
      </c>
      <c r="B139">
        <f t="shared" si="41"/>
        <v>0.56948687811934895</v>
      </c>
      <c r="C139">
        <f t="shared" si="37"/>
        <v>0.56948687811934895</v>
      </c>
      <c r="D139" t="s">
        <v>26</v>
      </c>
      <c r="E139" t="s">
        <v>21</v>
      </c>
      <c r="F139">
        <v>1</v>
      </c>
      <c r="G139">
        <f t="shared" si="42"/>
        <v>75</v>
      </c>
      <c r="I139">
        <v>2030</v>
      </c>
      <c r="J139">
        <f t="shared" si="43"/>
        <v>77.5</v>
      </c>
      <c r="K139" cm="1">
        <f t="array" ref="K139">STOWA2019_JAARROND_T(A139*60,J139,I139,"","lower")</f>
        <v>0.61962851897250715</v>
      </c>
      <c r="L139">
        <f t="shared" si="44"/>
        <v>1.6138701970306986</v>
      </c>
    </row>
    <row r="140" spans="1:12" x14ac:dyDescent="0.3">
      <c r="A140">
        <v>216</v>
      </c>
      <c r="B140">
        <f t="shared" si="41"/>
        <v>0.42215142207640888</v>
      </c>
      <c r="C140">
        <f t="shared" si="37"/>
        <v>0.42215142207640888</v>
      </c>
      <c r="D140" t="s">
        <v>26</v>
      </c>
      <c r="E140" t="s">
        <v>21</v>
      </c>
      <c r="F140">
        <v>1</v>
      </c>
      <c r="G140">
        <f t="shared" si="42"/>
        <v>80</v>
      </c>
      <c r="I140">
        <v>2030</v>
      </c>
      <c r="J140">
        <f t="shared" si="43"/>
        <v>82.5</v>
      </c>
      <c r="K140" cm="1">
        <f t="array" ref="K140">STOWA2019_JAARROND_T(A140*60,J140,I140,"","lower")</f>
        <v>0.83912414658261691</v>
      </c>
      <c r="L140">
        <f t="shared" si="44"/>
        <v>1.1917187749542897</v>
      </c>
    </row>
    <row r="141" spans="1:12" x14ac:dyDescent="0.3">
      <c r="A141">
        <v>216</v>
      </c>
      <c r="B141">
        <f t="shared" si="41"/>
        <v>0.31260539670638088</v>
      </c>
      <c r="C141">
        <f t="shared" si="37"/>
        <v>0.31260539670638088</v>
      </c>
      <c r="D141" t="s">
        <v>26</v>
      </c>
      <c r="E141" t="s">
        <v>21</v>
      </c>
      <c r="F141">
        <v>1</v>
      </c>
      <c r="G141">
        <f t="shared" si="42"/>
        <v>85</v>
      </c>
      <c r="I141">
        <v>2030</v>
      </c>
      <c r="J141">
        <f t="shared" si="43"/>
        <v>87.5</v>
      </c>
      <c r="K141" cm="1">
        <f t="array" ref="K141">STOWA2019_JAARROND_T(A141*60,J141,I141,"","lower")</f>
        <v>1.1375097055092265</v>
      </c>
      <c r="L141">
        <f t="shared" si="44"/>
        <v>0.87911337824790881</v>
      </c>
    </row>
    <row r="142" spans="1:12" x14ac:dyDescent="0.3">
      <c r="A142">
        <v>216</v>
      </c>
      <c r="B142">
        <f t="shared" si="41"/>
        <v>0.23142533008432531</v>
      </c>
      <c r="C142">
        <f t="shared" si="37"/>
        <v>0.23142533008432531</v>
      </c>
      <c r="D142" t="s">
        <v>26</v>
      </c>
      <c r="E142" t="s">
        <v>21</v>
      </c>
      <c r="F142">
        <v>1</v>
      </c>
      <c r="G142">
        <f t="shared" si="42"/>
        <v>90</v>
      </c>
      <c r="I142">
        <v>2030</v>
      </c>
      <c r="J142">
        <f t="shared" si="43"/>
        <v>92.5</v>
      </c>
      <c r="K142" cm="1">
        <f t="array" ref="K142">STOWA2019_JAARROND_T(A142*60,J142,I142,"","lower")</f>
        <v>1.5439531466349288</v>
      </c>
      <c r="L142">
        <f t="shared" si="44"/>
        <v>0.6476880481635835</v>
      </c>
    </row>
    <row r="143" spans="1:12" x14ac:dyDescent="0.3">
      <c r="A143">
        <v>216</v>
      </c>
      <c r="B143">
        <f t="shared" si="41"/>
        <v>0.17108606681130473</v>
      </c>
      <c r="C143">
        <f t="shared" si="37"/>
        <v>0.17108606681130473</v>
      </c>
      <c r="D143" t="s">
        <v>26</v>
      </c>
      <c r="E143" t="s">
        <v>21</v>
      </c>
      <c r="F143">
        <v>1</v>
      </c>
      <c r="G143">
        <f t="shared" si="42"/>
        <v>95</v>
      </c>
      <c r="I143">
        <v>2030</v>
      </c>
      <c r="J143">
        <f t="shared" si="43"/>
        <v>97.5</v>
      </c>
      <c r="K143" cm="1">
        <f t="array" ref="K143">STOWA2019_JAARROND_T(A143*60,J143,I143,"","lower")</f>
        <v>2.0981868291077315</v>
      </c>
      <c r="L143">
        <f t="shared" si="44"/>
        <v>0.47660198135227877</v>
      </c>
    </row>
    <row r="144" spans="1:12" x14ac:dyDescent="0.3">
      <c r="A144">
        <v>216</v>
      </c>
      <c r="B144">
        <f t="shared" si="41"/>
        <v>0.12633512842609057</v>
      </c>
      <c r="C144">
        <f t="shared" si="37"/>
        <v>0.12633512842609057</v>
      </c>
      <c r="D144" t="s">
        <v>26</v>
      </c>
      <c r="E144" t="s">
        <v>21</v>
      </c>
      <c r="F144">
        <v>1</v>
      </c>
      <c r="G144">
        <f t="shared" si="42"/>
        <v>100</v>
      </c>
      <c r="I144">
        <v>2030</v>
      </c>
      <c r="J144">
        <f t="shared" si="43"/>
        <v>102.5</v>
      </c>
      <c r="K144" cm="1">
        <f t="array" ref="K144">STOWA2019_JAARROND_T(A144*60,J144,I144,"","lower")</f>
        <v>2.8549661255292409</v>
      </c>
      <c r="L144">
        <f t="shared" si="44"/>
        <v>0.3502668529261882</v>
      </c>
    </row>
    <row r="145" spans="1:12" x14ac:dyDescent="0.3">
      <c r="A145">
        <v>216</v>
      </c>
      <c r="B145">
        <f t="shared" si="41"/>
        <v>9.3186187277661647E-2</v>
      </c>
      <c r="C145">
        <f t="shared" si="37"/>
        <v>9.3186187277661647E-2</v>
      </c>
      <c r="D145" t="s">
        <v>26</v>
      </c>
      <c r="E145" t="s">
        <v>21</v>
      </c>
      <c r="F145">
        <v>1</v>
      </c>
      <c r="G145">
        <f t="shared" si="42"/>
        <v>105</v>
      </c>
      <c r="I145">
        <v>2030</v>
      </c>
      <c r="J145">
        <f t="shared" si="43"/>
        <v>107.5</v>
      </c>
      <c r="K145" cm="1">
        <f t="array" ref="K145">STOWA2019_JAARROND_T(A145*60,J145,I145,"","lower")</f>
        <v>3.8898296667987156</v>
      </c>
      <c r="L145">
        <f t="shared" si="44"/>
        <v>0.25708066564852655</v>
      </c>
    </row>
    <row r="146" spans="1:12" x14ac:dyDescent="0.3">
      <c r="A146">
        <v>216</v>
      </c>
      <c r="B146">
        <f t="shared" si="41"/>
        <v>6.8647628278545758E-2</v>
      </c>
      <c r="C146">
        <f t="shared" si="37"/>
        <v>6.8647628278545758E-2</v>
      </c>
      <c r="D146" t="s">
        <v>26</v>
      </c>
      <c r="E146" t="s">
        <v>21</v>
      </c>
      <c r="F146">
        <v>1</v>
      </c>
      <c r="G146">
        <f t="shared" si="42"/>
        <v>110</v>
      </c>
      <c r="I146">
        <v>2030</v>
      </c>
      <c r="J146">
        <f t="shared" si="43"/>
        <v>112.5</v>
      </c>
      <c r="K146" cm="1">
        <f t="array" ref="K146">STOWA2019_JAARROND_T(A146*60,J146,I146,"","lower")</f>
        <v>5.3069250167450184</v>
      </c>
      <c r="L146">
        <f t="shared" si="44"/>
        <v>0.18843303736998079</v>
      </c>
    </row>
    <row r="147" spans="1:12" x14ac:dyDescent="0.3">
      <c r="A147">
        <v>216</v>
      </c>
      <c r="B147">
        <f t="shared" si="41"/>
        <v>5.0505006606977987E-2</v>
      </c>
      <c r="C147">
        <f t="shared" si="37"/>
        <v>5.0505006606977987E-2</v>
      </c>
      <c r="D147" t="s">
        <v>26</v>
      </c>
      <c r="E147" t="s">
        <v>21</v>
      </c>
      <c r="F147">
        <v>1</v>
      </c>
      <c r="G147">
        <f t="shared" si="42"/>
        <v>115</v>
      </c>
      <c r="I147">
        <v>2030</v>
      </c>
      <c r="J147">
        <f t="shared" si="43"/>
        <v>117.5</v>
      </c>
      <c r="K147" cm="1">
        <f t="array" ref="K147">STOWA2019_JAARROND_T(A147*60,J147,I147,"","lower")</f>
        <v>7.2501578864579539</v>
      </c>
      <c r="L147">
        <f t="shared" si="44"/>
        <v>0.13792803076300281</v>
      </c>
    </row>
    <row r="148" spans="1:12" x14ac:dyDescent="0.3">
      <c r="A148">
        <v>216</v>
      </c>
      <c r="B148">
        <f t="shared" si="41"/>
        <v>3.7110019047897375E-2</v>
      </c>
      <c r="C148">
        <f t="shared" si="37"/>
        <v>3.7110019047897375E-2</v>
      </c>
      <c r="D148" t="s">
        <v>26</v>
      </c>
      <c r="E148" t="s">
        <v>21</v>
      </c>
      <c r="F148">
        <v>1</v>
      </c>
      <c r="G148">
        <f t="shared" si="42"/>
        <v>120</v>
      </c>
      <c r="I148">
        <v>2030</v>
      </c>
      <c r="J148">
        <f t="shared" si="43"/>
        <v>122.5</v>
      </c>
      <c r="K148" cm="1">
        <f t="array" ref="K148">STOWA2019_JAARROND_T(A148*60,J148,I148,"","lower")</f>
        <v>9.9188625423979797</v>
      </c>
      <c r="L148">
        <f t="shared" si="44"/>
        <v>0.10081801171510543</v>
      </c>
    </row>
    <row r="149" spans="1:12" x14ac:dyDescent="0.3">
      <c r="A149">
        <v>216</v>
      </c>
      <c r="B149">
        <f t="shared" si="41"/>
        <v>2.7229590597433892E-2</v>
      </c>
      <c r="C149">
        <f t="shared" si="37"/>
        <v>2.7229590597433892E-2</v>
      </c>
      <c r="D149" t="s">
        <v>26</v>
      </c>
      <c r="E149" t="s">
        <v>21</v>
      </c>
      <c r="F149">
        <v>1</v>
      </c>
      <c r="G149">
        <f t="shared" si="42"/>
        <v>125</v>
      </c>
      <c r="I149">
        <v>2030</v>
      </c>
      <c r="J149">
        <f t="shared" si="43"/>
        <v>127.5</v>
      </c>
      <c r="K149" cm="1">
        <f t="array" ref="K149">STOWA2019_JAARROND_T(A149*60,J149,I149,"","lower")</f>
        <v>13.589094382130448</v>
      </c>
      <c r="L149">
        <f t="shared" si="44"/>
        <v>7.358842111767154E-2</v>
      </c>
    </row>
    <row r="150" spans="1:12" x14ac:dyDescent="0.3">
      <c r="A150">
        <v>216</v>
      </c>
      <c r="B150">
        <f t="shared" si="41"/>
        <v>1.9952744606699144E-2</v>
      </c>
      <c r="C150">
        <f t="shared" si="37"/>
        <v>1.9952744606699144E-2</v>
      </c>
      <c r="D150" t="s">
        <v>26</v>
      </c>
      <c r="E150" t="s">
        <v>21</v>
      </c>
      <c r="F150">
        <v>1</v>
      </c>
      <c r="G150">
        <f t="shared" si="42"/>
        <v>130</v>
      </c>
      <c r="I150">
        <v>2030</v>
      </c>
      <c r="J150">
        <f t="shared" si="43"/>
        <v>132.5</v>
      </c>
      <c r="K150" cm="1">
        <f t="array" ref="K150">STOWA2019_JAARROND_T(A150*60,J150,I150,"","lower")</f>
        <v>18.644306645324541</v>
      </c>
      <c r="L150">
        <f t="shared" si="44"/>
        <v>5.3635676510972397E-2</v>
      </c>
    </row>
    <row r="151" spans="1:12" x14ac:dyDescent="0.3">
      <c r="A151">
        <v>216</v>
      </c>
      <c r="B151">
        <f t="shared" si="41"/>
        <v>1.4600266441959969E-2</v>
      </c>
      <c r="C151">
        <f t="shared" si="37"/>
        <v>1.4600266441959969E-2</v>
      </c>
      <c r="D151" t="s">
        <v>26</v>
      </c>
      <c r="E151" t="s">
        <v>21</v>
      </c>
      <c r="F151">
        <v>1</v>
      </c>
      <c r="G151">
        <f t="shared" si="42"/>
        <v>135</v>
      </c>
      <c r="I151">
        <v>2030</v>
      </c>
      <c r="J151">
        <f t="shared" si="43"/>
        <v>137.5</v>
      </c>
      <c r="K151" cm="1">
        <f t="array" ref="K151">STOWA2019_JAARROND_T(A151*60,J151,I151,"","lower")</f>
        <v>25.617765977917376</v>
      </c>
      <c r="L151">
        <f t="shared" si="44"/>
        <v>3.9035410069012427E-2</v>
      </c>
    </row>
    <row r="152" spans="1:12" x14ac:dyDescent="0.3">
      <c r="A152">
        <v>216</v>
      </c>
      <c r="B152">
        <f t="shared" si="41"/>
        <v>1.066789294192028E-2</v>
      </c>
      <c r="C152">
        <f t="shared" si="37"/>
        <v>1.066789294192028E-2</v>
      </c>
      <c r="D152" t="s">
        <v>26</v>
      </c>
      <c r="E152" t="s">
        <v>21</v>
      </c>
      <c r="F152">
        <v>1</v>
      </c>
      <c r="G152">
        <f t="shared" si="42"/>
        <v>140</v>
      </c>
      <c r="I152">
        <v>2030</v>
      </c>
      <c r="J152">
        <f t="shared" si="43"/>
        <v>142.5</v>
      </c>
      <c r="K152" cm="1">
        <f t="array" ref="K152">STOWA2019_JAARROND_T(A152*60,J152,I152,"","lower")</f>
        <v>35.251587071219525</v>
      </c>
      <c r="L152">
        <f t="shared" si="44"/>
        <v>2.8367517127092148E-2</v>
      </c>
    </row>
    <row r="153" spans="1:12" x14ac:dyDescent="0.3">
      <c r="A153">
        <v>216</v>
      </c>
      <c r="B153">
        <f t="shared" si="41"/>
        <v>7.7836334449229022E-3</v>
      </c>
      <c r="C153">
        <f t="shared" si="37"/>
        <v>7.7836334449229022E-3</v>
      </c>
      <c r="D153" t="s">
        <v>26</v>
      </c>
      <c r="E153" t="s">
        <v>21</v>
      </c>
      <c r="F153">
        <v>1</v>
      </c>
      <c r="G153">
        <f t="shared" si="42"/>
        <v>145</v>
      </c>
      <c r="I153">
        <v>2030</v>
      </c>
      <c r="J153">
        <f t="shared" si="43"/>
        <v>147.5</v>
      </c>
      <c r="K153" cm="1">
        <f t="array" ref="K153">STOWA2019_JAARROND_T(A153*60,J153,I153,"","lower")</f>
        <v>48.581696993665403</v>
      </c>
      <c r="L153">
        <f t="shared" si="44"/>
        <v>2.0583883682169245E-2</v>
      </c>
    </row>
    <row r="154" spans="1:12" x14ac:dyDescent="0.3">
      <c r="A154">
        <v>216</v>
      </c>
      <c r="B154">
        <f t="shared" si="41"/>
        <v>5.6705832569701967E-3</v>
      </c>
      <c r="C154">
        <f t="shared" si="37"/>
        <v>5.6705832569701967E-3</v>
      </c>
      <c r="D154" t="s">
        <v>26</v>
      </c>
      <c r="E154" t="s">
        <v>21</v>
      </c>
      <c r="F154">
        <v>1</v>
      </c>
      <c r="G154">
        <f t="shared" si="42"/>
        <v>150</v>
      </c>
      <c r="I154">
        <v>2030</v>
      </c>
      <c r="J154">
        <f t="shared" si="43"/>
        <v>152.5</v>
      </c>
      <c r="K154" cm="1">
        <f t="array" ref="K154">STOWA2019_JAARROND_T(A154*60,J154,I154,"","lower")</f>
        <v>67.054238263067305</v>
      </c>
      <c r="L154">
        <f t="shared" si="44"/>
        <v>1.4913300425199049E-2</v>
      </c>
    </row>
    <row r="155" spans="1:12" x14ac:dyDescent="0.3">
      <c r="A155">
        <v>216</v>
      </c>
      <c r="B155">
        <f t="shared" si="41"/>
        <v>4.1251447939774141E-3</v>
      </c>
      <c r="C155">
        <f t="shared" si="37"/>
        <v>4.1251447939774141E-3</v>
      </c>
      <c r="D155" t="s">
        <v>26</v>
      </c>
      <c r="E155" t="s">
        <v>21</v>
      </c>
      <c r="F155">
        <v>1</v>
      </c>
      <c r="G155">
        <f t="shared" si="42"/>
        <v>155</v>
      </c>
      <c r="I155">
        <v>2030</v>
      </c>
      <c r="J155">
        <f t="shared" si="43"/>
        <v>157.5</v>
      </c>
      <c r="K155" cm="1">
        <f t="array" ref="K155">STOWA2019_JAARROND_T(A155*60,J155,I155,"","lower")</f>
        <v>92.694250452406706</v>
      </c>
      <c r="L155">
        <f t="shared" si="44"/>
        <v>1.0788155631221635E-2</v>
      </c>
    </row>
    <row r="156" spans="1:12" x14ac:dyDescent="0.3">
      <c r="A156">
        <v>216</v>
      </c>
      <c r="B156" s="1">
        <f>L155</f>
        <v>1.0788155631221635E-2</v>
      </c>
      <c r="C156">
        <f t="shared" si="37"/>
        <v>1.0788155631221635E-2</v>
      </c>
      <c r="D156" t="s">
        <v>26</v>
      </c>
      <c r="E156" t="s">
        <v>21</v>
      </c>
      <c r="F156">
        <v>1</v>
      </c>
      <c r="G156">
        <f t="shared" si="42"/>
        <v>160</v>
      </c>
      <c r="I156">
        <v>2030</v>
      </c>
      <c r="J156">
        <f>AVERAGE(G156:G157)</f>
        <v>160</v>
      </c>
      <c r="K156" cm="1">
        <f t="array" ref="K156">STOWA2019_JAARROND_T(A156*60,J156,I156,"","lower")</f>
        <v>109.04826005967705</v>
      </c>
      <c r="L156">
        <f>1/K156</f>
        <v>9.1702517715802744E-3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3E52F-3262-43EE-8F89-4AAAE281067F}">
  <sheetPr codeName="Blad8"/>
  <dimension ref="A1:L156"/>
  <sheetViews>
    <sheetView workbookViewId="0">
      <selection activeCell="K22" sqref="K22"/>
    </sheetView>
  </sheetViews>
  <sheetFormatPr defaultRowHeight="14.4" x14ac:dyDescent="0.3"/>
  <cols>
    <col min="4" max="4" width="23.5546875" bestFit="1" customWidth="1"/>
    <col min="11" max="11" width="13.5546875" bestFit="1" customWidth="1"/>
  </cols>
  <sheetData>
    <row r="1" spans="1:12" x14ac:dyDescent="0.3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20</v>
      </c>
      <c r="G1" t="s">
        <v>1</v>
      </c>
      <c r="I1" t="s">
        <v>4</v>
      </c>
      <c r="J1" t="s">
        <v>13</v>
      </c>
      <c r="K1" t="s">
        <v>2</v>
      </c>
      <c r="L1" t="s">
        <v>3</v>
      </c>
    </row>
    <row r="2" spans="1:12" x14ac:dyDescent="0.3">
      <c r="A2">
        <v>24</v>
      </c>
      <c r="B2" s="1">
        <f>365.25*24/A2 - L2</f>
        <v>358.51903282227357</v>
      </c>
      <c r="C2">
        <f>B2</f>
        <v>358.51903282227357</v>
      </c>
      <c r="D2" t="s">
        <v>26</v>
      </c>
      <c r="E2" t="s">
        <v>19</v>
      </c>
      <c r="F2">
        <v>1</v>
      </c>
      <c r="G2">
        <v>10</v>
      </c>
      <c r="I2">
        <v>2030</v>
      </c>
      <c r="J2">
        <f>AVERAGE(G2:G4)</f>
        <v>15</v>
      </c>
      <c r="K2" cm="1">
        <f t="array" ref="K2">STOWA2019_NDJF_T(A2*60,J2,I2,"","lower")</f>
        <v>0.14856705932382544</v>
      </c>
      <c r="L2">
        <f>1/K2</f>
        <v>6.7309671777264004</v>
      </c>
    </row>
    <row r="3" spans="1:12" x14ac:dyDescent="0.3">
      <c r="A3">
        <v>24</v>
      </c>
      <c r="B3">
        <f t="shared" ref="B3:B7" si="0">L2-L3</f>
        <v>2.5795945709461154</v>
      </c>
      <c r="C3">
        <f t="shared" ref="C3:C32" si="1">B3</f>
        <v>2.5795945709461154</v>
      </c>
      <c r="D3" t="s">
        <v>26</v>
      </c>
      <c r="E3" t="s">
        <v>19</v>
      </c>
      <c r="F3">
        <v>1</v>
      </c>
      <c r="G3">
        <f t="shared" ref="G3:G7" si="2">G2+5</f>
        <v>15</v>
      </c>
      <c r="I3">
        <v>2030</v>
      </c>
      <c r="J3">
        <f t="shared" ref="J3:J7" si="3">AVERAGE(G3:G4)</f>
        <v>17.5</v>
      </c>
      <c r="K3" cm="1">
        <f t="array" ref="K3">STOWA2019_NDJF_T(A3*60,J3,I3,"","lower")</f>
        <v>0.24088418331005429</v>
      </c>
      <c r="L3">
        <f t="shared" ref="L3:L7" si="4">1/K3</f>
        <v>4.151372606780285</v>
      </c>
    </row>
    <row r="4" spans="1:12" x14ac:dyDescent="0.3">
      <c r="A4">
        <v>24</v>
      </c>
      <c r="B4">
        <f t="shared" si="0"/>
        <v>2.494011049568666</v>
      </c>
      <c r="C4">
        <f t="shared" si="1"/>
        <v>2.494011049568666</v>
      </c>
      <c r="D4" t="s">
        <v>26</v>
      </c>
      <c r="E4" t="s">
        <v>19</v>
      </c>
      <c r="F4">
        <v>1</v>
      </c>
      <c r="G4">
        <f t="shared" si="2"/>
        <v>20</v>
      </c>
      <c r="I4">
        <v>2030</v>
      </c>
      <c r="J4">
        <f t="shared" si="3"/>
        <v>22.5</v>
      </c>
      <c r="K4" cm="1">
        <f t="array" ref="K4">STOWA2019_NDJF_T(A4*60,J4,I4,"","lower")</f>
        <v>0.60336864678001934</v>
      </c>
      <c r="L4">
        <f t="shared" si="4"/>
        <v>1.6573615572116187</v>
      </c>
    </row>
    <row r="5" spans="1:12" x14ac:dyDescent="0.3">
      <c r="A5">
        <v>24</v>
      </c>
      <c r="B5">
        <f t="shared" si="0"/>
        <v>0.95625533365976312</v>
      </c>
      <c r="C5">
        <f t="shared" si="1"/>
        <v>0.95625533365976312</v>
      </c>
      <c r="D5" t="s">
        <v>26</v>
      </c>
      <c r="E5" t="s">
        <v>19</v>
      </c>
      <c r="F5">
        <v>1</v>
      </c>
      <c r="G5">
        <f t="shared" si="2"/>
        <v>25</v>
      </c>
      <c r="I5">
        <v>2030</v>
      </c>
      <c r="J5">
        <f t="shared" si="3"/>
        <v>27.5</v>
      </c>
      <c r="K5" cm="1">
        <f t="array" ref="K5">STOWA2019_NDJF_T(A5*60,J5,I5,"","lower")</f>
        <v>1.4263173915842975</v>
      </c>
      <c r="L5">
        <f t="shared" si="4"/>
        <v>0.70110622355185559</v>
      </c>
    </row>
    <row r="6" spans="1:12" x14ac:dyDescent="0.3">
      <c r="A6">
        <v>24</v>
      </c>
      <c r="B6">
        <f t="shared" si="0"/>
        <v>0.38909300579195344</v>
      </c>
      <c r="C6">
        <f t="shared" si="1"/>
        <v>0.38909300579195344</v>
      </c>
      <c r="D6" t="s">
        <v>26</v>
      </c>
      <c r="E6" t="s">
        <v>19</v>
      </c>
      <c r="F6">
        <v>1</v>
      </c>
      <c r="G6">
        <f t="shared" si="2"/>
        <v>30</v>
      </c>
      <c r="I6">
        <v>2030</v>
      </c>
      <c r="J6">
        <f t="shared" si="3"/>
        <v>32.5</v>
      </c>
      <c r="K6" cm="1">
        <f t="array" ref="K6">STOWA2019_NDJF_T(A6*60,J6,I6,"","lower")</f>
        <v>3.2049924268577357</v>
      </c>
      <c r="L6">
        <f t="shared" si="4"/>
        <v>0.31201321775990215</v>
      </c>
    </row>
    <row r="7" spans="1:12" x14ac:dyDescent="0.3">
      <c r="A7">
        <v>24</v>
      </c>
      <c r="B7">
        <f t="shared" si="0"/>
        <v>0.16674110786198615</v>
      </c>
      <c r="C7">
        <f t="shared" si="1"/>
        <v>0.16674110786198615</v>
      </c>
      <c r="D7" t="s">
        <v>26</v>
      </c>
      <c r="E7" t="s">
        <v>19</v>
      </c>
      <c r="F7">
        <v>1</v>
      </c>
      <c r="G7">
        <f t="shared" si="2"/>
        <v>35</v>
      </c>
      <c r="I7">
        <v>2030</v>
      </c>
      <c r="J7">
        <f t="shared" si="3"/>
        <v>37.5</v>
      </c>
      <c r="K7" cm="1">
        <f t="array" ref="K7">STOWA2019_NDJF_T(A7*60,J7,I7,"","lower")</f>
        <v>6.8836337594512047</v>
      </c>
      <c r="L7">
        <f t="shared" si="4"/>
        <v>0.145272109897916</v>
      </c>
    </row>
    <row r="8" spans="1:12" x14ac:dyDescent="0.3">
      <c r="A8">
        <v>24</v>
      </c>
      <c r="B8">
        <f>L7-L8</f>
        <v>7.4844521236216516E-2</v>
      </c>
      <c r="C8">
        <f t="shared" si="1"/>
        <v>7.4844521236216516E-2</v>
      </c>
      <c r="D8" t="s">
        <v>26</v>
      </c>
      <c r="E8" t="s">
        <v>19</v>
      </c>
      <c r="F8">
        <v>1</v>
      </c>
      <c r="G8">
        <f>G7+5</f>
        <v>40</v>
      </c>
      <c r="I8">
        <v>2030</v>
      </c>
      <c r="J8">
        <f>AVERAGE(G8:G9)</f>
        <v>42.5</v>
      </c>
      <c r="K8" cm="1">
        <f t="array" ref="K8">STOWA2019_NDJF_T(A8*60,J8,I8,"","lower")</f>
        <v>14.198981095370488</v>
      </c>
      <c r="L8">
        <f>1/K8</f>
        <v>7.0427588661699486E-2</v>
      </c>
    </row>
    <row r="9" spans="1:12" x14ac:dyDescent="0.3">
      <c r="A9">
        <v>24</v>
      </c>
      <c r="B9">
        <f t="shared" ref="B9:B31" si="5">L8-L9</f>
        <v>3.5020201789360536E-2</v>
      </c>
      <c r="C9">
        <f t="shared" si="1"/>
        <v>3.5020201789360536E-2</v>
      </c>
      <c r="D9" t="s">
        <v>26</v>
      </c>
      <c r="E9" t="s">
        <v>19</v>
      </c>
      <c r="F9">
        <v>1</v>
      </c>
      <c r="G9">
        <f t="shared" ref="G9:G32" si="6">G8+5</f>
        <v>45</v>
      </c>
      <c r="I9">
        <v>2030</v>
      </c>
      <c r="J9">
        <f t="shared" ref="J9:J31" si="7">AVERAGE(G9:G10)</f>
        <v>47.5</v>
      </c>
      <c r="K9" cm="1">
        <f t="array" ref="K9">STOWA2019_NDJF_T(A9*60,J9,I9,"","lower")</f>
        <v>28.242694204051034</v>
      </c>
      <c r="L9">
        <f t="shared" ref="L9:L31" si="8">1/K9</f>
        <v>3.540738687233895E-2</v>
      </c>
    </row>
    <row r="10" spans="1:12" x14ac:dyDescent="0.3">
      <c r="A10">
        <v>24</v>
      </c>
      <c r="B10">
        <f t="shared" si="5"/>
        <v>1.7011271612203466E-2</v>
      </c>
      <c r="C10">
        <f t="shared" si="1"/>
        <v>1.7011271612203466E-2</v>
      </c>
      <c r="D10" t="s">
        <v>26</v>
      </c>
      <c r="E10" t="s">
        <v>19</v>
      </c>
      <c r="F10">
        <v>1</v>
      </c>
      <c r="G10">
        <f t="shared" si="6"/>
        <v>50</v>
      </c>
      <c r="I10">
        <v>2030</v>
      </c>
      <c r="J10">
        <f t="shared" si="7"/>
        <v>52.5</v>
      </c>
      <c r="K10" cm="1">
        <f t="array" ref="K10">STOWA2019_NDJF_T(A10*60,J10,I10,"","lower")</f>
        <v>54.359302812534956</v>
      </c>
      <c r="L10">
        <f t="shared" si="8"/>
        <v>1.8396115260135484E-2</v>
      </c>
    </row>
    <row r="11" spans="1:12" x14ac:dyDescent="0.3">
      <c r="A11">
        <v>24</v>
      </c>
      <c r="B11">
        <f t="shared" si="5"/>
        <v>8.5486408301907058E-3</v>
      </c>
      <c r="C11">
        <f t="shared" si="1"/>
        <v>8.5486408301907058E-3</v>
      </c>
      <c r="D11" t="s">
        <v>26</v>
      </c>
      <c r="E11" t="s">
        <v>19</v>
      </c>
      <c r="F11">
        <v>1</v>
      </c>
      <c r="G11">
        <f t="shared" si="6"/>
        <v>55</v>
      </c>
      <c r="I11">
        <v>2030</v>
      </c>
      <c r="J11">
        <f t="shared" si="7"/>
        <v>57.5</v>
      </c>
      <c r="K11" cm="1">
        <f t="array" ref="K11">STOWA2019_NDJF_T(A11*60,J11,I11,"","lower")</f>
        <v>101.54888008230225</v>
      </c>
      <c r="L11">
        <f t="shared" si="8"/>
        <v>9.8474744299447779E-3</v>
      </c>
    </row>
    <row r="12" spans="1:12" x14ac:dyDescent="0.3">
      <c r="A12">
        <v>24</v>
      </c>
      <c r="B12">
        <f t="shared" si="5"/>
        <v>4.430333401111753E-3</v>
      </c>
      <c r="C12">
        <f t="shared" si="1"/>
        <v>4.430333401111753E-3</v>
      </c>
      <c r="D12" t="s">
        <v>26</v>
      </c>
      <c r="E12" t="s">
        <v>19</v>
      </c>
      <c r="F12">
        <v>1</v>
      </c>
      <c r="G12">
        <f t="shared" si="6"/>
        <v>60</v>
      </c>
      <c r="I12">
        <v>2030</v>
      </c>
      <c r="J12">
        <f t="shared" si="7"/>
        <v>62.5</v>
      </c>
      <c r="K12" cm="1">
        <f t="array" ref="K12">STOWA2019_NDJF_T(A12*60,J12,I12,"","lower")</f>
        <v>184.59921842120156</v>
      </c>
      <c r="L12">
        <f t="shared" si="8"/>
        <v>5.4171410288330248E-3</v>
      </c>
    </row>
    <row r="13" spans="1:12" x14ac:dyDescent="0.3">
      <c r="A13">
        <v>24</v>
      </c>
      <c r="B13">
        <f t="shared" si="5"/>
        <v>2.3617546270943931E-3</v>
      </c>
      <c r="C13">
        <f t="shared" si="1"/>
        <v>2.3617546270943931E-3</v>
      </c>
      <c r="D13" t="s">
        <v>26</v>
      </c>
      <c r="E13" t="s">
        <v>19</v>
      </c>
      <c r="F13">
        <v>1</v>
      </c>
      <c r="G13">
        <f t="shared" si="6"/>
        <v>65</v>
      </c>
      <c r="I13">
        <v>2030</v>
      </c>
      <c r="J13">
        <f t="shared" si="7"/>
        <v>67.5</v>
      </c>
      <c r="K13" cm="1">
        <f t="array" ref="K13">STOWA2019_NDJF_T(A13*60,J13,I13,"","lower")</f>
        <v>327.29084590772601</v>
      </c>
      <c r="L13">
        <f t="shared" si="8"/>
        <v>3.0553864017386317E-3</v>
      </c>
    </row>
    <row r="14" spans="1:12" x14ac:dyDescent="0.3">
      <c r="A14">
        <v>24</v>
      </c>
      <c r="B14">
        <f t="shared" si="5"/>
        <v>1.2920041334104069E-3</v>
      </c>
      <c r="C14">
        <f t="shared" si="1"/>
        <v>1.2920041334104069E-3</v>
      </c>
      <c r="D14" t="s">
        <v>26</v>
      </c>
      <c r="E14" t="s">
        <v>19</v>
      </c>
      <c r="F14">
        <v>1</v>
      </c>
      <c r="G14">
        <f t="shared" si="6"/>
        <v>70</v>
      </c>
      <c r="I14">
        <v>2030</v>
      </c>
      <c r="J14">
        <f t="shared" si="7"/>
        <v>72.5</v>
      </c>
      <c r="K14" cm="1">
        <f t="array" ref="K14">STOWA2019_NDJF_T(A14*60,J14,I14,"","lower")</f>
        <v>567.09201286686994</v>
      </c>
      <c r="L14">
        <f t="shared" si="8"/>
        <v>1.7633822683282248E-3</v>
      </c>
    </row>
    <row r="15" spans="1:12" x14ac:dyDescent="0.3">
      <c r="A15">
        <v>24</v>
      </c>
      <c r="B15">
        <f t="shared" si="5"/>
        <v>7.2385401183540582E-4</v>
      </c>
      <c r="C15">
        <f t="shared" si="1"/>
        <v>7.2385401183540582E-4</v>
      </c>
      <c r="D15" t="s">
        <v>26</v>
      </c>
      <c r="E15" t="s">
        <v>19</v>
      </c>
      <c r="F15">
        <v>1</v>
      </c>
      <c r="G15">
        <f t="shared" si="6"/>
        <v>75</v>
      </c>
      <c r="I15">
        <v>2030</v>
      </c>
      <c r="J15">
        <f t="shared" si="7"/>
        <v>77.5</v>
      </c>
      <c r="K15" cm="1">
        <f t="array" ref="K15">STOWA2019_NDJF_T(A15*60,J15,I15,"","lower")</f>
        <v>961.97481285772824</v>
      </c>
      <c r="L15">
        <f t="shared" si="8"/>
        <v>1.039528256492819E-3</v>
      </c>
    </row>
    <row r="16" spans="1:12" x14ac:dyDescent="0.3">
      <c r="A16">
        <v>24</v>
      </c>
      <c r="B16">
        <f t="shared" si="5"/>
        <v>4.1456944634354746E-4</v>
      </c>
      <c r="C16">
        <f t="shared" si="1"/>
        <v>4.1456944634354746E-4</v>
      </c>
      <c r="D16" t="s">
        <v>26</v>
      </c>
      <c r="E16" t="s">
        <v>19</v>
      </c>
      <c r="F16">
        <v>1</v>
      </c>
      <c r="G16">
        <f t="shared" si="6"/>
        <v>80</v>
      </c>
      <c r="I16">
        <v>2030</v>
      </c>
      <c r="J16">
        <f t="shared" si="7"/>
        <v>82.5</v>
      </c>
      <c r="K16" cm="1">
        <f t="array" ref="K16">STOWA2019_NDJF_T(A16*60,J16,I16,"","lower")</f>
        <v>1600.1054529676119</v>
      </c>
      <c r="L16">
        <f t="shared" si="8"/>
        <v>6.2495881014927156E-4</v>
      </c>
    </row>
    <row r="17" spans="1:12" x14ac:dyDescent="0.3">
      <c r="A17">
        <v>24</v>
      </c>
      <c r="B17">
        <f t="shared" si="5"/>
        <v>2.4232697180259148E-4</v>
      </c>
      <c r="C17">
        <f t="shared" si="1"/>
        <v>2.4232697180259148E-4</v>
      </c>
      <c r="D17" t="s">
        <v>26</v>
      </c>
      <c r="E17" t="s">
        <v>19</v>
      </c>
      <c r="F17">
        <v>1</v>
      </c>
      <c r="G17">
        <f t="shared" si="6"/>
        <v>85</v>
      </c>
      <c r="I17">
        <v>2030</v>
      </c>
      <c r="J17">
        <f t="shared" si="7"/>
        <v>87.5</v>
      </c>
      <c r="K17" cm="1">
        <f t="array" ref="K17">STOWA2019_NDJF_T(A17*60,J17,I17,"","lower")</f>
        <v>2613.4782832524229</v>
      </c>
      <c r="L17">
        <f t="shared" si="8"/>
        <v>3.8263183834668008E-4</v>
      </c>
    </row>
    <row r="18" spans="1:12" x14ac:dyDescent="0.3">
      <c r="A18">
        <v>24</v>
      </c>
      <c r="B18">
        <f t="shared" si="5"/>
        <v>1.443570173883281E-4</v>
      </c>
      <c r="C18">
        <f t="shared" si="1"/>
        <v>1.443570173883281E-4</v>
      </c>
      <c r="D18" t="s">
        <v>26</v>
      </c>
      <c r="E18" t="s">
        <v>19</v>
      </c>
      <c r="F18">
        <v>1</v>
      </c>
      <c r="G18">
        <f t="shared" si="6"/>
        <v>90</v>
      </c>
      <c r="I18">
        <v>2030</v>
      </c>
      <c r="J18">
        <f t="shared" si="7"/>
        <v>92.5</v>
      </c>
      <c r="K18" cm="1">
        <f t="array" ref="K18">STOWA2019_NDJF_T(A18*60,J18,I18,"","lower")</f>
        <v>4196.8345458322256</v>
      </c>
      <c r="L18">
        <f t="shared" si="8"/>
        <v>2.3827482095835199E-4</v>
      </c>
    </row>
    <row r="19" spans="1:12" x14ac:dyDescent="0.3">
      <c r="A19">
        <v>24</v>
      </c>
      <c r="B19">
        <f t="shared" si="5"/>
        <v>8.7526098717718206E-5</v>
      </c>
      <c r="C19">
        <f t="shared" si="1"/>
        <v>8.7526098717718206E-5</v>
      </c>
      <c r="D19" t="s">
        <v>26</v>
      </c>
      <c r="E19" t="s">
        <v>19</v>
      </c>
      <c r="F19">
        <v>1</v>
      </c>
      <c r="G19">
        <f t="shared" si="6"/>
        <v>95</v>
      </c>
      <c r="I19">
        <v>2030</v>
      </c>
      <c r="J19">
        <f t="shared" si="7"/>
        <v>97.5</v>
      </c>
      <c r="K19" cm="1">
        <f t="array" ref="K19">STOWA2019_NDJF_T(A19*60,J19,I19,"","lower")</f>
        <v>6633.55539693227</v>
      </c>
      <c r="L19">
        <f t="shared" si="8"/>
        <v>1.5074872224063378E-4</v>
      </c>
    </row>
    <row r="20" spans="1:12" x14ac:dyDescent="0.3">
      <c r="A20">
        <v>24</v>
      </c>
      <c r="B20">
        <f t="shared" si="5"/>
        <v>5.3953127003802986E-5</v>
      </c>
      <c r="C20">
        <f t="shared" si="1"/>
        <v>5.3953127003802986E-5</v>
      </c>
      <c r="D20" t="s">
        <v>26</v>
      </c>
      <c r="E20" t="s">
        <v>19</v>
      </c>
      <c r="F20">
        <v>1</v>
      </c>
      <c r="G20">
        <f t="shared" si="6"/>
        <v>100</v>
      </c>
      <c r="I20">
        <v>2030</v>
      </c>
      <c r="J20">
        <f t="shared" si="7"/>
        <v>102.5</v>
      </c>
      <c r="K20" cm="1">
        <f t="array" ref="K20">STOWA2019_NDJF_T(A20*60,J20,I20,"","lower")</f>
        <v>10331.048613868115</v>
      </c>
      <c r="L20">
        <f t="shared" si="8"/>
        <v>9.6795595236830797E-5</v>
      </c>
    </row>
    <row r="21" spans="1:12" x14ac:dyDescent="0.3">
      <c r="A21">
        <v>24</v>
      </c>
      <c r="B21">
        <f t="shared" si="5"/>
        <v>3.3774179036628722E-5</v>
      </c>
      <c r="C21">
        <f t="shared" si="1"/>
        <v>3.3774179036628722E-5</v>
      </c>
      <c r="D21" t="s">
        <v>26</v>
      </c>
      <c r="E21" t="s">
        <v>19</v>
      </c>
      <c r="F21">
        <v>1</v>
      </c>
      <c r="G21">
        <f t="shared" si="6"/>
        <v>105</v>
      </c>
      <c r="I21">
        <v>2030</v>
      </c>
      <c r="J21">
        <f t="shared" si="7"/>
        <v>107.5</v>
      </c>
      <c r="K21" cm="1">
        <f t="array" ref="K21">STOWA2019_NDJF_T(A21*60,J21,I21,"","lower")</f>
        <v>15867.621838634494</v>
      </c>
      <c r="L21">
        <f t="shared" si="8"/>
        <v>6.3021416200202075E-5</v>
      </c>
    </row>
    <row r="22" spans="1:12" x14ac:dyDescent="0.3">
      <c r="A22">
        <v>24</v>
      </c>
      <c r="B22">
        <f t="shared" si="5"/>
        <v>2.1451260292660617E-5</v>
      </c>
      <c r="C22">
        <f t="shared" si="1"/>
        <v>2.1451260292660617E-5</v>
      </c>
      <c r="D22" t="s">
        <v>26</v>
      </c>
      <c r="E22" t="s">
        <v>19</v>
      </c>
      <c r="F22">
        <v>1</v>
      </c>
      <c r="G22">
        <f t="shared" si="6"/>
        <v>110</v>
      </c>
      <c r="I22">
        <v>2030</v>
      </c>
      <c r="J22">
        <f t="shared" si="7"/>
        <v>112.5</v>
      </c>
      <c r="K22" cm="1">
        <f t="array" ref="K22">STOWA2019_NDJF_T(A22*60,J22,I22,"","lower")</f>
        <v>24055.719257444132</v>
      </c>
      <c r="L22">
        <f t="shared" si="8"/>
        <v>4.1570155907541458E-5</v>
      </c>
    </row>
    <row r="23" spans="1:12" x14ac:dyDescent="0.3">
      <c r="A23">
        <v>24</v>
      </c>
      <c r="B23">
        <f t="shared" si="5"/>
        <v>1.3811442412584703E-5</v>
      </c>
      <c r="C23">
        <f t="shared" si="1"/>
        <v>1.3811442412584703E-5</v>
      </c>
      <c r="D23" t="s">
        <v>26</v>
      </c>
      <c r="E23" t="s">
        <v>19</v>
      </c>
      <c r="F23">
        <v>1</v>
      </c>
      <c r="G23">
        <f t="shared" si="6"/>
        <v>115</v>
      </c>
      <c r="I23">
        <v>2030</v>
      </c>
      <c r="J23">
        <f t="shared" si="7"/>
        <v>117.5</v>
      </c>
      <c r="K23" cm="1">
        <f t="array" ref="K23">STOWA2019_NDJF_T(A23*60,J23,I23,"","lower")</f>
        <v>36024.724279159462</v>
      </c>
      <c r="L23">
        <f t="shared" si="8"/>
        <v>2.7758713494956755E-5</v>
      </c>
    </row>
    <row r="24" spans="1:12" x14ac:dyDescent="0.3">
      <c r="A24">
        <v>24</v>
      </c>
      <c r="B24">
        <f t="shared" si="5"/>
        <v>9.0069487678324543E-6</v>
      </c>
      <c r="C24">
        <f t="shared" si="1"/>
        <v>9.0069487678324543E-6</v>
      </c>
      <c r="D24" t="s">
        <v>26</v>
      </c>
      <c r="E24" t="s">
        <v>19</v>
      </c>
      <c r="F24">
        <v>1</v>
      </c>
      <c r="G24">
        <f t="shared" si="6"/>
        <v>120</v>
      </c>
      <c r="I24">
        <v>2030</v>
      </c>
      <c r="J24">
        <f t="shared" si="7"/>
        <v>122.5</v>
      </c>
      <c r="K24" cm="1">
        <f t="array" ref="K24">STOWA2019_NDJF_T(A24*60,J24,I24,"","lower")</f>
        <v>53328.31413746925</v>
      </c>
      <c r="L24">
        <f t="shared" si="8"/>
        <v>1.8751764727124301E-5</v>
      </c>
    </row>
    <row r="25" spans="1:12" x14ac:dyDescent="0.3">
      <c r="A25">
        <v>24</v>
      </c>
      <c r="B25">
        <f t="shared" si="5"/>
        <v>5.9452738102119473E-6</v>
      </c>
      <c r="C25">
        <f t="shared" si="1"/>
        <v>5.9452738102119473E-6</v>
      </c>
      <c r="D25" t="s">
        <v>26</v>
      </c>
      <c r="E25" t="s">
        <v>19</v>
      </c>
      <c r="F25">
        <v>1</v>
      </c>
      <c r="G25">
        <f t="shared" si="6"/>
        <v>125</v>
      </c>
      <c r="I25">
        <v>2030</v>
      </c>
      <c r="J25">
        <f t="shared" si="7"/>
        <v>127.5</v>
      </c>
      <c r="K25" cm="1">
        <f t="array" ref="K25">STOWA2019_NDJF_T(A25*60,J25,I25,"","lower")</f>
        <v>78085.40266712656</v>
      </c>
      <c r="L25">
        <f t="shared" si="8"/>
        <v>1.2806490916912353E-5</v>
      </c>
    </row>
    <row r="26" spans="1:12" x14ac:dyDescent="0.3">
      <c r="A26">
        <v>24</v>
      </c>
      <c r="B26">
        <f t="shared" si="5"/>
        <v>3.9695722116833E-6</v>
      </c>
      <c r="C26">
        <f t="shared" si="1"/>
        <v>3.9695722116833E-6</v>
      </c>
      <c r="D26" t="s">
        <v>26</v>
      </c>
      <c r="E26" t="s">
        <v>19</v>
      </c>
      <c r="F26">
        <v>1</v>
      </c>
      <c r="G26">
        <f t="shared" si="6"/>
        <v>130</v>
      </c>
      <c r="I26">
        <v>2030</v>
      </c>
      <c r="J26">
        <f t="shared" si="7"/>
        <v>132.5</v>
      </c>
      <c r="K26" cm="1">
        <f t="array" ref="K26">STOWA2019_NDJF_T(A26*60,J26,I26,"","lower")</f>
        <v>113161.61587050381</v>
      </c>
      <c r="L26">
        <f t="shared" si="8"/>
        <v>8.8369187052290534E-6</v>
      </c>
    </row>
    <row r="27" spans="1:12" x14ac:dyDescent="0.3">
      <c r="A27">
        <v>24</v>
      </c>
      <c r="B27">
        <f t="shared" si="5"/>
        <v>2.6791895527887544E-6</v>
      </c>
      <c r="C27">
        <f t="shared" si="1"/>
        <v>2.6791895527887544E-6</v>
      </c>
      <c r="D27" t="s">
        <v>26</v>
      </c>
      <c r="E27" t="s">
        <v>19</v>
      </c>
      <c r="F27">
        <v>1</v>
      </c>
      <c r="G27">
        <f t="shared" si="6"/>
        <v>135</v>
      </c>
      <c r="I27">
        <v>2030</v>
      </c>
      <c r="J27">
        <f t="shared" si="7"/>
        <v>137.5</v>
      </c>
      <c r="K27" cm="1">
        <f t="array" ref="K27">STOWA2019_NDJF_T(A27*60,J27,I27,"","lower")</f>
        <v>162397.52922612737</v>
      </c>
      <c r="L27">
        <f t="shared" si="8"/>
        <v>6.157729152440299E-6</v>
      </c>
    </row>
    <row r="28" spans="1:12" x14ac:dyDescent="0.3">
      <c r="A28">
        <v>24</v>
      </c>
      <c r="B28">
        <f t="shared" si="5"/>
        <v>1.8269005961540409E-6</v>
      </c>
      <c r="C28">
        <f t="shared" si="1"/>
        <v>1.8269005961540409E-6</v>
      </c>
      <c r="D28" t="s">
        <v>26</v>
      </c>
      <c r="E28" t="s">
        <v>19</v>
      </c>
      <c r="F28">
        <v>1</v>
      </c>
      <c r="G28">
        <f t="shared" si="6"/>
        <v>140</v>
      </c>
      <c r="I28">
        <v>2030</v>
      </c>
      <c r="J28">
        <f t="shared" si="7"/>
        <v>142.5</v>
      </c>
      <c r="K28" cm="1">
        <f t="array" ref="K28">STOWA2019_NDJF_T(A28*60,J28,I28,"","lower")</f>
        <v>230902.69841055843</v>
      </c>
      <c r="L28">
        <f t="shared" si="8"/>
        <v>4.3308285562862581E-6</v>
      </c>
    </row>
    <row r="29" spans="1:12" x14ac:dyDescent="0.3">
      <c r="A29">
        <v>24</v>
      </c>
      <c r="B29">
        <f t="shared" si="5"/>
        <v>1.2578996079721548E-6</v>
      </c>
      <c r="C29">
        <f t="shared" si="1"/>
        <v>1.2578996079721548E-6</v>
      </c>
      <c r="D29" t="s">
        <v>26</v>
      </c>
      <c r="E29" t="s">
        <v>19</v>
      </c>
      <c r="F29">
        <v>1</v>
      </c>
      <c r="G29">
        <f t="shared" si="6"/>
        <v>145</v>
      </c>
      <c r="I29">
        <v>2030</v>
      </c>
      <c r="J29">
        <f t="shared" si="7"/>
        <v>147.5</v>
      </c>
      <c r="K29" cm="1">
        <f t="array" ref="K29">STOWA2019_NDJF_T(A29*60,J29,I29,"","lower")</f>
        <v>325422.42818488483</v>
      </c>
      <c r="L29">
        <f t="shared" si="8"/>
        <v>3.0729289483141033E-6</v>
      </c>
    </row>
    <row r="30" spans="1:12" x14ac:dyDescent="0.3">
      <c r="A30">
        <v>24</v>
      </c>
      <c r="B30">
        <f t="shared" si="5"/>
        <v>8.7419248720157096E-7</v>
      </c>
      <c r="C30">
        <f t="shared" si="1"/>
        <v>8.7419248720157096E-7</v>
      </c>
      <c r="D30" t="s">
        <v>26</v>
      </c>
      <c r="E30" t="s">
        <v>19</v>
      </c>
      <c r="F30">
        <v>1</v>
      </c>
      <c r="G30">
        <f t="shared" si="6"/>
        <v>150</v>
      </c>
      <c r="I30">
        <v>2030</v>
      </c>
      <c r="J30">
        <f t="shared" si="7"/>
        <v>152.5</v>
      </c>
      <c r="K30" cm="1">
        <f t="array" ref="K30">STOWA2019_NDJF_T(A30*60,J30,I30,"","lower")</f>
        <v>454806.66632235359</v>
      </c>
      <c r="L30">
        <f t="shared" si="8"/>
        <v>2.1987364611125324E-6</v>
      </c>
    </row>
    <row r="31" spans="1:12" x14ac:dyDescent="0.3">
      <c r="A31">
        <v>24</v>
      </c>
      <c r="B31">
        <f t="shared" si="5"/>
        <v>6.1287957735846458E-7</v>
      </c>
      <c r="C31">
        <f t="shared" si="1"/>
        <v>6.1287957735846458E-7</v>
      </c>
      <c r="D31" t="s">
        <v>26</v>
      </c>
      <c r="E31" t="s">
        <v>19</v>
      </c>
      <c r="F31">
        <v>1</v>
      </c>
      <c r="G31">
        <f t="shared" si="6"/>
        <v>155</v>
      </c>
      <c r="I31">
        <v>2030</v>
      </c>
      <c r="J31">
        <f t="shared" si="7"/>
        <v>157.5</v>
      </c>
      <c r="K31" cm="1">
        <f t="array" ref="K31">STOWA2019_NDJF_T(A31*60,J31,I31,"","lower")</f>
        <v>630573.92520363047</v>
      </c>
      <c r="L31">
        <f t="shared" si="8"/>
        <v>1.5858568837540678E-6</v>
      </c>
    </row>
    <row r="32" spans="1:12" x14ac:dyDescent="0.3">
      <c r="A32">
        <v>24</v>
      </c>
      <c r="B32" s="1">
        <f>L31</f>
        <v>1.5858568837540678E-6</v>
      </c>
      <c r="C32">
        <f t="shared" si="1"/>
        <v>1.5858568837540678E-6</v>
      </c>
      <c r="D32" t="s">
        <v>26</v>
      </c>
      <c r="E32" t="s">
        <v>19</v>
      </c>
      <c r="F32">
        <v>1</v>
      </c>
      <c r="G32">
        <f t="shared" si="6"/>
        <v>160</v>
      </c>
      <c r="I32">
        <v>2030</v>
      </c>
      <c r="J32">
        <f>AVERAGE(G32:G33)</f>
        <v>85</v>
      </c>
      <c r="K32" cm="1">
        <f t="array" ref="K32">STOWA2019_NDJF_T(A32*60,J32,I32,"","lower")</f>
        <v>2049.4601492650863</v>
      </c>
      <c r="L32">
        <f>1/K32</f>
        <v>4.8793337131175198E-4</v>
      </c>
    </row>
    <row r="33" spans="1:12" x14ac:dyDescent="0.3">
      <c r="A33">
        <v>48</v>
      </c>
      <c r="B33" s="1">
        <f>365.25*24/A33 - L33</f>
        <v>168.81055864238229</v>
      </c>
      <c r="C33">
        <f>B33</f>
        <v>168.81055864238229</v>
      </c>
      <c r="D33" t="s">
        <v>26</v>
      </c>
      <c r="E33" t="s">
        <v>19</v>
      </c>
      <c r="F33">
        <v>1</v>
      </c>
      <c r="G33">
        <v>10</v>
      </c>
      <c r="I33">
        <v>2030</v>
      </c>
      <c r="J33">
        <f>AVERAGE(G33:G35)</f>
        <v>15</v>
      </c>
      <c r="K33" cm="1">
        <f t="array" ref="K33">STOWA2019_NDJF_T(A33*60,J33,I33,"","lower")</f>
        <v>7.2388015853320692E-2</v>
      </c>
      <c r="L33">
        <f>1/K33</f>
        <v>13.814441357617712</v>
      </c>
    </row>
    <row r="34" spans="1:12" x14ac:dyDescent="0.3">
      <c r="A34">
        <v>48</v>
      </c>
      <c r="B34">
        <f t="shared" ref="B34:B38" si="9">L33-L34</f>
        <v>4.2172911351205293</v>
      </c>
      <c r="C34">
        <f t="shared" ref="C34:C63" si="10">B34</f>
        <v>4.2172911351205293</v>
      </c>
      <c r="D34" t="s">
        <v>26</v>
      </c>
      <c r="E34" t="s">
        <v>19</v>
      </c>
      <c r="F34">
        <v>1</v>
      </c>
      <c r="G34">
        <f t="shared" ref="G34:G38" si="11">G33+5</f>
        <v>15</v>
      </c>
      <c r="I34">
        <v>2030</v>
      </c>
      <c r="J34">
        <f t="shared" ref="J34:J38" si="12">AVERAGE(G34:G35)</f>
        <v>17.5</v>
      </c>
      <c r="K34" cm="1">
        <f t="array" ref="K34">STOWA2019_NDJF_T(A34*60,J34,I34,"","lower")</f>
        <v>0.10419759791358144</v>
      </c>
      <c r="L34">
        <f t="shared" ref="L34:L38" si="13">1/K34</f>
        <v>9.5971502224971825</v>
      </c>
    </row>
    <row r="35" spans="1:12" x14ac:dyDescent="0.3">
      <c r="A35">
        <v>48</v>
      </c>
      <c r="B35">
        <f t="shared" si="9"/>
        <v>4.864386355668203</v>
      </c>
      <c r="C35">
        <f t="shared" si="10"/>
        <v>4.864386355668203</v>
      </c>
      <c r="D35" t="s">
        <v>26</v>
      </c>
      <c r="E35" t="s">
        <v>19</v>
      </c>
      <c r="F35">
        <v>1</v>
      </c>
      <c r="G35">
        <f t="shared" si="11"/>
        <v>20</v>
      </c>
      <c r="I35">
        <v>2030</v>
      </c>
      <c r="J35">
        <f t="shared" si="12"/>
        <v>22.5</v>
      </c>
      <c r="K35" cm="1">
        <f t="array" ref="K35">STOWA2019_NDJF_T(A35*60,J35,I35,"","lower")</f>
        <v>0.21129302626078711</v>
      </c>
      <c r="L35">
        <f t="shared" si="13"/>
        <v>4.7327638668289795</v>
      </c>
    </row>
    <row r="36" spans="1:12" x14ac:dyDescent="0.3">
      <c r="A36">
        <v>48</v>
      </c>
      <c r="B36">
        <f t="shared" si="9"/>
        <v>2.3350653816552862</v>
      </c>
      <c r="C36">
        <f t="shared" si="10"/>
        <v>2.3350653816552862</v>
      </c>
      <c r="D36" t="s">
        <v>26</v>
      </c>
      <c r="E36" t="s">
        <v>19</v>
      </c>
      <c r="F36">
        <v>1</v>
      </c>
      <c r="G36">
        <f t="shared" si="11"/>
        <v>25</v>
      </c>
      <c r="I36">
        <v>2030</v>
      </c>
      <c r="J36">
        <f t="shared" si="12"/>
        <v>27.5</v>
      </c>
      <c r="K36" cm="1">
        <f t="array" ref="K36">STOWA2019_NDJF_T(A36*60,J36,I36,"","lower")</f>
        <v>0.41706661875275713</v>
      </c>
      <c r="L36">
        <f t="shared" si="13"/>
        <v>2.3976984851736933</v>
      </c>
    </row>
    <row r="37" spans="1:12" x14ac:dyDescent="0.3">
      <c r="A37">
        <v>48</v>
      </c>
      <c r="B37">
        <f t="shared" si="9"/>
        <v>1.1523214515524287</v>
      </c>
      <c r="C37">
        <f t="shared" si="10"/>
        <v>1.1523214515524287</v>
      </c>
      <c r="D37" t="s">
        <v>26</v>
      </c>
      <c r="E37" t="s">
        <v>19</v>
      </c>
      <c r="F37">
        <v>1</v>
      </c>
      <c r="G37">
        <f t="shared" si="11"/>
        <v>30</v>
      </c>
      <c r="I37">
        <v>2030</v>
      </c>
      <c r="J37">
        <f t="shared" si="12"/>
        <v>32.5</v>
      </c>
      <c r="K37" cm="1">
        <f t="array" ref="K37">STOWA2019_NDJF_T(A37*60,J37,I37,"","lower")</f>
        <v>0.80296968147247294</v>
      </c>
      <c r="L37">
        <f t="shared" si="13"/>
        <v>1.2453770336212646</v>
      </c>
    </row>
    <row r="38" spans="1:12" x14ac:dyDescent="0.3">
      <c r="A38">
        <v>48</v>
      </c>
      <c r="B38">
        <f t="shared" si="9"/>
        <v>0.58326011862794425</v>
      </c>
      <c r="C38">
        <f t="shared" si="10"/>
        <v>0.58326011862794425</v>
      </c>
      <c r="D38" t="s">
        <v>26</v>
      </c>
      <c r="E38" t="s">
        <v>19</v>
      </c>
      <c r="F38">
        <v>1</v>
      </c>
      <c r="G38">
        <f t="shared" si="11"/>
        <v>35</v>
      </c>
      <c r="I38">
        <v>2030</v>
      </c>
      <c r="J38">
        <f t="shared" si="12"/>
        <v>37.5</v>
      </c>
      <c r="K38" cm="1">
        <f t="array" ref="K38">STOWA2019_NDJF_T(A38*60,J38,I38,"","lower")</f>
        <v>1.5103072846433598</v>
      </c>
      <c r="L38">
        <f t="shared" si="13"/>
        <v>0.66211691499332037</v>
      </c>
    </row>
    <row r="39" spans="1:12" x14ac:dyDescent="0.3">
      <c r="A39">
        <v>48</v>
      </c>
      <c r="B39">
        <f>L38-L39</f>
        <v>0.30245741088280509</v>
      </c>
      <c r="C39">
        <f t="shared" si="10"/>
        <v>0.30245741088280509</v>
      </c>
      <c r="D39" t="s">
        <v>26</v>
      </c>
      <c r="E39" t="s">
        <v>19</v>
      </c>
      <c r="F39">
        <v>1</v>
      </c>
      <c r="G39">
        <f>G38+5</f>
        <v>40</v>
      </c>
      <c r="I39">
        <v>2030</v>
      </c>
      <c r="J39">
        <f>AVERAGE(G39:G40)</f>
        <v>42.5</v>
      </c>
      <c r="K39" cm="1">
        <f t="array" ref="K39">STOWA2019_NDJF_T(A39*60,J39,I39,"","lower")</f>
        <v>2.7804075481701229</v>
      </c>
      <c r="L39">
        <f>1/K39</f>
        <v>0.35965950411051528</v>
      </c>
    </row>
    <row r="40" spans="1:12" x14ac:dyDescent="0.3">
      <c r="A40">
        <v>48</v>
      </c>
      <c r="B40">
        <f t="shared" ref="B40:B62" si="14">L39-L40</f>
        <v>0.16031259306894752</v>
      </c>
      <c r="C40">
        <f t="shared" si="10"/>
        <v>0.16031259306894752</v>
      </c>
      <c r="D40" t="s">
        <v>26</v>
      </c>
      <c r="E40" t="s">
        <v>19</v>
      </c>
      <c r="F40">
        <v>1</v>
      </c>
      <c r="G40">
        <f t="shared" ref="G40:G63" si="15">G39+5</f>
        <v>45</v>
      </c>
      <c r="I40">
        <v>2030</v>
      </c>
      <c r="J40">
        <f t="shared" ref="J40:J62" si="16">AVERAGE(G40:G41)</f>
        <v>47.5</v>
      </c>
      <c r="K40" cm="1">
        <f t="array" ref="K40">STOWA2019_NDJF_T(A40*60,J40,I40,"","lower")</f>
        <v>5.0163807142789398</v>
      </c>
      <c r="L40">
        <f t="shared" ref="L40:L62" si="17">1/K40</f>
        <v>0.19934691104156776</v>
      </c>
    </row>
    <row r="41" spans="1:12" x14ac:dyDescent="0.3">
      <c r="A41">
        <v>48</v>
      </c>
      <c r="B41">
        <f t="shared" si="14"/>
        <v>8.6749609742572481E-2</v>
      </c>
      <c r="C41">
        <f t="shared" si="10"/>
        <v>8.6749609742572481E-2</v>
      </c>
      <c r="D41" t="s">
        <v>26</v>
      </c>
      <c r="E41" t="s">
        <v>19</v>
      </c>
      <c r="F41">
        <v>1</v>
      </c>
      <c r="G41">
        <f t="shared" si="15"/>
        <v>50</v>
      </c>
      <c r="I41">
        <v>2030</v>
      </c>
      <c r="J41">
        <f t="shared" si="16"/>
        <v>52.5</v>
      </c>
      <c r="K41" cm="1">
        <f t="array" ref="K41">STOWA2019_NDJF_T(A41*60,J41,I41,"","lower")</f>
        <v>8.8812075286294903</v>
      </c>
      <c r="L41">
        <f t="shared" si="17"/>
        <v>0.11259730129899528</v>
      </c>
    </row>
    <row r="42" spans="1:12" x14ac:dyDescent="0.3">
      <c r="A42">
        <v>48</v>
      </c>
      <c r="B42">
        <f t="shared" si="14"/>
        <v>4.7862991849482922E-2</v>
      </c>
      <c r="C42">
        <f t="shared" si="10"/>
        <v>4.7862991849482922E-2</v>
      </c>
      <c r="D42" t="s">
        <v>26</v>
      </c>
      <c r="E42" t="s">
        <v>19</v>
      </c>
      <c r="F42">
        <v>1</v>
      </c>
      <c r="G42">
        <f t="shared" si="15"/>
        <v>55</v>
      </c>
      <c r="I42">
        <v>2030</v>
      </c>
      <c r="J42">
        <f t="shared" si="16"/>
        <v>57.5</v>
      </c>
      <c r="K42" cm="1">
        <f t="array" ref="K42">STOWA2019_NDJF_T(A42*60,J42,I42,"","lower")</f>
        <v>15.447758823779852</v>
      </c>
      <c r="L42">
        <f t="shared" si="17"/>
        <v>6.4734309449512362E-2</v>
      </c>
    </row>
    <row r="43" spans="1:12" x14ac:dyDescent="0.3">
      <c r="A43">
        <v>48</v>
      </c>
      <c r="B43">
        <f t="shared" si="14"/>
        <v>2.6892447853679967E-2</v>
      </c>
      <c r="C43">
        <f t="shared" si="10"/>
        <v>2.6892447853679967E-2</v>
      </c>
      <c r="D43" t="s">
        <v>26</v>
      </c>
      <c r="E43" t="s">
        <v>19</v>
      </c>
      <c r="F43">
        <v>1</v>
      </c>
      <c r="G43">
        <f t="shared" si="15"/>
        <v>60</v>
      </c>
      <c r="I43">
        <v>2030</v>
      </c>
      <c r="J43">
        <f t="shared" si="16"/>
        <v>62.5</v>
      </c>
      <c r="K43" cm="1">
        <f t="array" ref="K43">STOWA2019_NDJF_T(A43*60,J43,I43,"","lower")</f>
        <v>26.425761255628398</v>
      </c>
      <c r="L43">
        <f t="shared" si="17"/>
        <v>3.7841861595832395E-2</v>
      </c>
    </row>
    <row r="44" spans="1:12" x14ac:dyDescent="0.3">
      <c r="A44">
        <v>48</v>
      </c>
      <c r="B44">
        <f t="shared" si="14"/>
        <v>1.5371496043587021E-2</v>
      </c>
      <c r="C44">
        <f t="shared" si="10"/>
        <v>1.5371496043587021E-2</v>
      </c>
      <c r="D44" t="s">
        <v>26</v>
      </c>
      <c r="E44" t="s">
        <v>19</v>
      </c>
      <c r="F44">
        <v>1</v>
      </c>
      <c r="G44">
        <f t="shared" si="15"/>
        <v>65</v>
      </c>
      <c r="I44">
        <v>2030</v>
      </c>
      <c r="J44">
        <f t="shared" si="16"/>
        <v>67.5</v>
      </c>
      <c r="K44" cm="1">
        <f t="array" ref="K44">STOWA2019_NDJF_T(A44*60,J44,I44,"","lower")</f>
        <v>44.503058825408118</v>
      </c>
      <c r="L44">
        <f t="shared" si="17"/>
        <v>2.2470365552245374E-2</v>
      </c>
    </row>
    <row r="45" spans="1:12" x14ac:dyDescent="0.3">
      <c r="A45">
        <v>48</v>
      </c>
      <c r="B45">
        <f t="shared" si="14"/>
        <v>8.9287186445926158E-3</v>
      </c>
      <c r="C45">
        <f t="shared" si="10"/>
        <v>8.9287186445926158E-3</v>
      </c>
      <c r="D45" t="s">
        <v>26</v>
      </c>
      <c r="E45" t="s">
        <v>19</v>
      </c>
      <c r="F45">
        <v>1</v>
      </c>
      <c r="G45">
        <f t="shared" si="15"/>
        <v>70</v>
      </c>
      <c r="I45">
        <v>2030</v>
      </c>
      <c r="J45">
        <f t="shared" si="16"/>
        <v>72.5</v>
      </c>
      <c r="K45" cm="1">
        <f t="array" ref="K45">STOWA2019_NDJF_T(A45*60,J45,I45,"","lower")</f>
        <v>73.846261597241352</v>
      </c>
      <c r="L45">
        <f t="shared" si="17"/>
        <v>1.3541646907652758E-2</v>
      </c>
    </row>
    <row r="46" spans="1:12" x14ac:dyDescent="0.3">
      <c r="A46">
        <v>48</v>
      </c>
      <c r="B46">
        <f t="shared" si="14"/>
        <v>5.266079962479988E-3</v>
      </c>
      <c r="C46">
        <f t="shared" si="10"/>
        <v>5.266079962479988E-3</v>
      </c>
      <c r="D46" t="s">
        <v>26</v>
      </c>
      <c r="E46" t="s">
        <v>19</v>
      </c>
      <c r="F46">
        <v>1</v>
      </c>
      <c r="G46">
        <f t="shared" si="15"/>
        <v>75</v>
      </c>
      <c r="I46">
        <v>2030</v>
      </c>
      <c r="J46">
        <f t="shared" si="16"/>
        <v>77.5</v>
      </c>
      <c r="K46" cm="1">
        <f t="array" ref="K46">STOWA2019_NDJF_T(A46*60,J46,I46,"","lower")</f>
        <v>120.8376424993228</v>
      </c>
      <c r="L46">
        <f t="shared" si="17"/>
        <v>8.2755669451727697E-3</v>
      </c>
    </row>
    <row r="47" spans="1:12" x14ac:dyDescent="0.3">
      <c r="A47">
        <v>48</v>
      </c>
      <c r="B47">
        <f t="shared" si="14"/>
        <v>3.1508780082661501E-3</v>
      </c>
      <c r="C47">
        <f t="shared" si="10"/>
        <v>3.1508780082661501E-3</v>
      </c>
      <c r="D47" t="s">
        <v>26</v>
      </c>
      <c r="E47" t="s">
        <v>19</v>
      </c>
      <c r="F47">
        <v>1</v>
      </c>
      <c r="G47">
        <f t="shared" si="15"/>
        <v>80</v>
      </c>
      <c r="I47">
        <v>2030</v>
      </c>
      <c r="J47">
        <f t="shared" si="16"/>
        <v>82.5</v>
      </c>
      <c r="K47" cm="1">
        <f t="array" ref="K47">STOWA2019_NDJF_T(A47*60,J47,I47,"","lower")</f>
        <v>195.13379491158403</v>
      </c>
      <c r="L47">
        <f t="shared" si="17"/>
        <v>5.1246889369066196E-3</v>
      </c>
    </row>
    <row r="48" spans="1:12" x14ac:dyDescent="0.3">
      <c r="A48">
        <v>48</v>
      </c>
      <c r="B48">
        <f t="shared" si="14"/>
        <v>1.9112312970957887E-3</v>
      </c>
      <c r="C48">
        <f t="shared" si="10"/>
        <v>1.9112312970957887E-3</v>
      </c>
      <c r="D48" t="s">
        <v>26</v>
      </c>
      <c r="E48" t="s">
        <v>19</v>
      </c>
      <c r="F48">
        <v>1</v>
      </c>
      <c r="G48">
        <f t="shared" si="15"/>
        <v>85</v>
      </c>
      <c r="I48">
        <v>2030</v>
      </c>
      <c r="J48">
        <f t="shared" si="16"/>
        <v>87.5</v>
      </c>
      <c r="K48" cm="1">
        <f t="array" ref="K48">STOWA2019_NDJF_T(A48*60,J48,I48,"","lower")</f>
        <v>311.19128119543774</v>
      </c>
      <c r="L48">
        <f t="shared" si="17"/>
        <v>3.2134576398108309E-3</v>
      </c>
    </row>
    <row r="49" spans="1:12" x14ac:dyDescent="0.3">
      <c r="A49">
        <v>48</v>
      </c>
      <c r="B49">
        <f t="shared" si="14"/>
        <v>1.1743323576240278E-3</v>
      </c>
      <c r="C49">
        <f t="shared" si="10"/>
        <v>1.1743323576240278E-3</v>
      </c>
      <c r="D49" t="s">
        <v>26</v>
      </c>
      <c r="E49" t="s">
        <v>19</v>
      </c>
      <c r="F49">
        <v>1</v>
      </c>
      <c r="G49">
        <f t="shared" si="15"/>
        <v>90</v>
      </c>
      <c r="I49">
        <v>2030</v>
      </c>
      <c r="J49">
        <f t="shared" si="16"/>
        <v>92.5</v>
      </c>
      <c r="K49" cm="1">
        <f t="array" ref="K49">STOWA2019_NDJF_T(A49*60,J49,I49,"","lower")</f>
        <v>490.40635645867621</v>
      </c>
      <c r="L49">
        <f t="shared" si="17"/>
        <v>2.0391252821868031E-3</v>
      </c>
    </row>
    <row r="50" spans="1:12" x14ac:dyDescent="0.3">
      <c r="A50">
        <v>48</v>
      </c>
      <c r="B50">
        <f t="shared" si="14"/>
        <v>7.3049319358506576E-4</v>
      </c>
      <c r="C50">
        <f t="shared" si="10"/>
        <v>7.3049319358506576E-4</v>
      </c>
      <c r="D50" t="s">
        <v>26</v>
      </c>
      <c r="E50" t="s">
        <v>19</v>
      </c>
      <c r="F50">
        <v>1</v>
      </c>
      <c r="G50">
        <f t="shared" si="15"/>
        <v>95</v>
      </c>
      <c r="I50">
        <v>2030</v>
      </c>
      <c r="J50">
        <f t="shared" si="16"/>
        <v>97.5</v>
      </c>
      <c r="K50" cm="1">
        <f t="array" ref="K50">STOWA2019_NDJF_T(A50*60,J50,I50,"","lower")</f>
        <v>764.15671655162589</v>
      </c>
      <c r="L50">
        <f t="shared" si="17"/>
        <v>1.3086320886017374E-3</v>
      </c>
    </row>
    <row r="51" spans="1:12" x14ac:dyDescent="0.3">
      <c r="A51">
        <v>48</v>
      </c>
      <c r="B51">
        <f t="shared" si="14"/>
        <v>4.5971960189434375E-4</v>
      </c>
      <c r="C51">
        <f t="shared" si="10"/>
        <v>4.5971960189434375E-4</v>
      </c>
      <c r="D51" t="s">
        <v>26</v>
      </c>
      <c r="E51" t="s">
        <v>19</v>
      </c>
      <c r="F51">
        <v>1</v>
      </c>
      <c r="G51">
        <f t="shared" si="15"/>
        <v>100</v>
      </c>
      <c r="I51">
        <v>2030</v>
      </c>
      <c r="J51">
        <f t="shared" si="16"/>
        <v>102.5</v>
      </c>
      <c r="K51" cm="1">
        <f t="array" ref="K51">STOWA2019_NDJF_T(A51*60,J51,I51,"","lower")</f>
        <v>1177.9777252171386</v>
      </c>
      <c r="L51">
        <f t="shared" si="17"/>
        <v>8.4891248670739363E-4</v>
      </c>
    </row>
    <row r="52" spans="1:12" x14ac:dyDescent="0.3">
      <c r="A52">
        <v>48</v>
      </c>
      <c r="B52">
        <f t="shared" si="14"/>
        <v>2.9255298128272062E-4</v>
      </c>
      <c r="C52">
        <f t="shared" si="10"/>
        <v>2.9255298128272062E-4</v>
      </c>
      <c r="D52" t="s">
        <v>26</v>
      </c>
      <c r="E52" t="s">
        <v>19</v>
      </c>
      <c r="F52">
        <v>1</v>
      </c>
      <c r="G52">
        <f t="shared" si="15"/>
        <v>105</v>
      </c>
      <c r="I52">
        <v>2030</v>
      </c>
      <c r="J52">
        <f t="shared" si="16"/>
        <v>107.5</v>
      </c>
      <c r="K52" cm="1">
        <f t="array" ref="K52">STOWA2019_NDJF_T(A52*60,J52,I52,"","lower")</f>
        <v>1797.3989664051721</v>
      </c>
      <c r="L52">
        <f t="shared" si="17"/>
        <v>5.5635950542467301E-4</v>
      </c>
    </row>
    <row r="53" spans="1:12" x14ac:dyDescent="0.3">
      <c r="A53">
        <v>48</v>
      </c>
      <c r="B53">
        <f t="shared" si="14"/>
        <v>1.8815442859269573E-4</v>
      </c>
      <c r="C53">
        <f t="shared" si="10"/>
        <v>1.8815442859269573E-4</v>
      </c>
      <c r="D53" t="s">
        <v>26</v>
      </c>
      <c r="E53" t="s">
        <v>19</v>
      </c>
      <c r="F53">
        <v>1</v>
      </c>
      <c r="G53">
        <f t="shared" si="15"/>
        <v>110</v>
      </c>
      <c r="I53">
        <v>2030</v>
      </c>
      <c r="J53">
        <f t="shared" si="16"/>
        <v>112.5</v>
      </c>
      <c r="K53" cm="1">
        <f t="array" ref="K53">STOWA2019_NDJF_T(A53*60,J53,I53,"","lower")</f>
        <v>2715.8778162538188</v>
      </c>
      <c r="L53">
        <f t="shared" si="17"/>
        <v>3.6820507683197728E-4</v>
      </c>
    </row>
    <row r="54" spans="1:12" x14ac:dyDescent="0.3">
      <c r="A54">
        <v>48</v>
      </c>
      <c r="B54">
        <f t="shared" si="14"/>
        <v>1.2223797826625525E-4</v>
      </c>
      <c r="C54">
        <f t="shared" si="10"/>
        <v>1.2223797826625525E-4</v>
      </c>
      <c r="D54" t="s">
        <v>26</v>
      </c>
      <c r="E54" t="s">
        <v>19</v>
      </c>
      <c r="F54">
        <v>1</v>
      </c>
      <c r="G54">
        <f t="shared" si="15"/>
        <v>115</v>
      </c>
      <c r="I54">
        <v>2030</v>
      </c>
      <c r="J54">
        <f t="shared" si="16"/>
        <v>117.5</v>
      </c>
      <c r="K54" cm="1">
        <f t="array" ref="K54">STOWA2019_NDJF_T(A54*60,J54,I54,"","lower")</f>
        <v>4065.5844047076948</v>
      </c>
      <c r="L54">
        <f t="shared" si="17"/>
        <v>2.4596709856572203E-4</v>
      </c>
    </row>
    <row r="55" spans="1:12" x14ac:dyDescent="0.3">
      <c r="A55">
        <v>48</v>
      </c>
      <c r="B55">
        <f t="shared" si="14"/>
        <v>8.0187058264444142E-5</v>
      </c>
      <c r="C55">
        <f t="shared" si="10"/>
        <v>8.0187058264444142E-5</v>
      </c>
      <c r="D55" t="s">
        <v>26</v>
      </c>
      <c r="E55" t="s">
        <v>19</v>
      </c>
      <c r="F55">
        <v>1</v>
      </c>
      <c r="G55">
        <f t="shared" si="15"/>
        <v>120</v>
      </c>
      <c r="I55">
        <v>2030</v>
      </c>
      <c r="J55">
        <f t="shared" si="16"/>
        <v>122.5</v>
      </c>
      <c r="K55" cm="1">
        <f t="array" ref="K55">STOWA2019_NDJF_T(A55*60,J55,I55,"","lower")</f>
        <v>6032.089256237753</v>
      </c>
      <c r="L55">
        <f t="shared" si="17"/>
        <v>1.6578004030127789E-4</v>
      </c>
    </row>
    <row r="56" spans="1:12" x14ac:dyDescent="0.3">
      <c r="A56">
        <v>48</v>
      </c>
      <c r="B56">
        <f t="shared" si="14"/>
        <v>5.308851464177828E-5</v>
      </c>
      <c r="C56">
        <f t="shared" si="10"/>
        <v>5.308851464177828E-5</v>
      </c>
      <c r="D56" t="s">
        <v>26</v>
      </c>
      <c r="E56" t="s">
        <v>19</v>
      </c>
      <c r="F56">
        <v>1</v>
      </c>
      <c r="G56">
        <f t="shared" si="15"/>
        <v>125</v>
      </c>
      <c r="I56">
        <v>2030</v>
      </c>
      <c r="J56">
        <f t="shared" si="16"/>
        <v>127.5</v>
      </c>
      <c r="K56" cm="1">
        <f t="array" ref="K56">STOWA2019_NDJF_T(A56*60,J56,I56,"","lower")</f>
        <v>8873.7817164843982</v>
      </c>
      <c r="L56">
        <f t="shared" si="17"/>
        <v>1.1269152565949961E-4</v>
      </c>
    </row>
    <row r="57" spans="1:12" x14ac:dyDescent="0.3">
      <c r="A57">
        <v>48</v>
      </c>
      <c r="B57">
        <f t="shared" si="14"/>
        <v>3.5459048873867437E-5</v>
      </c>
      <c r="C57">
        <f t="shared" si="10"/>
        <v>3.5459048873867437E-5</v>
      </c>
      <c r="D57" t="s">
        <v>26</v>
      </c>
      <c r="E57" t="s">
        <v>19</v>
      </c>
      <c r="F57">
        <v>1</v>
      </c>
      <c r="G57">
        <f t="shared" si="15"/>
        <v>130</v>
      </c>
      <c r="I57">
        <v>2030</v>
      </c>
      <c r="J57">
        <f t="shared" si="16"/>
        <v>132.5</v>
      </c>
      <c r="K57" cm="1">
        <f t="array" ref="K57">STOWA2019_NDJF_T(A57*60,J57,I57,"","lower")</f>
        <v>12947.920895708392</v>
      </c>
      <c r="L57">
        <f t="shared" si="17"/>
        <v>7.723247678563217E-5</v>
      </c>
    </row>
    <row r="58" spans="1:12" x14ac:dyDescent="0.3">
      <c r="A58">
        <v>48</v>
      </c>
      <c r="B58">
        <f t="shared" si="14"/>
        <v>2.3885969930375985E-5</v>
      </c>
      <c r="C58">
        <f t="shared" si="10"/>
        <v>2.3885969930375985E-5</v>
      </c>
      <c r="D58" t="s">
        <v>26</v>
      </c>
      <c r="E58" t="s">
        <v>19</v>
      </c>
      <c r="F58">
        <v>1</v>
      </c>
      <c r="G58">
        <f t="shared" si="15"/>
        <v>135</v>
      </c>
      <c r="I58">
        <v>2030</v>
      </c>
      <c r="J58">
        <f t="shared" si="16"/>
        <v>137.5</v>
      </c>
      <c r="K58" cm="1">
        <f t="array" ref="K58">STOWA2019_NDJF_T(A58*60,J58,I58,"","lower")</f>
        <v>18745.369827368009</v>
      </c>
      <c r="L58">
        <f t="shared" si="17"/>
        <v>5.3346506855256185E-5</v>
      </c>
    </row>
    <row r="59" spans="1:12" x14ac:dyDescent="0.3">
      <c r="A59">
        <v>48</v>
      </c>
      <c r="B59">
        <f t="shared" si="14"/>
        <v>1.6220647852344061E-5</v>
      </c>
      <c r="C59">
        <f t="shared" si="10"/>
        <v>1.6220647852344061E-5</v>
      </c>
      <c r="D59" t="s">
        <v>26</v>
      </c>
      <c r="E59" t="s">
        <v>19</v>
      </c>
      <c r="F59">
        <v>1</v>
      </c>
      <c r="G59">
        <f t="shared" si="15"/>
        <v>140</v>
      </c>
      <c r="I59">
        <v>2030</v>
      </c>
      <c r="J59">
        <f t="shared" si="16"/>
        <v>142.5</v>
      </c>
      <c r="K59" cm="1">
        <f t="array" ref="K59">STOWA2019_NDJF_T(A59*60,J59,I59,"","lower")</f>
        <v>26935.403701273572</v>
      </c>
      <c r="L59">
        <f t="shared" si="17"/>
        <v>3.7125859002912124E-5</v>
      </c>
    </row>
    <row r="60" spans="1:12" x14ac:dyDescent="0.3">
      <c r="A60">
        <v>48</v>
      </c>
      <c r="B60">
        <f t="shared" si="14"/>
        <v>1.1101553833125029E-5</v>
      </c>
      <c r="C60">
        <f t="shared" si="10"/>
        <v>1.1101553833125029E-5</v>
      </c>
      <c r="D60" t="s">
        <v>26</v>
      </c>
      <c r="E60" t="s">
        <v>19</v>
      </c>
      <c r="F60">
        <v>1</v>
      </c>
      <c r="G60">
        <f t="shared" si="15"/>
        <v>145</v>
      </c>
      <c r="I60">
        <v>2030</v>
      </c>
      <c r="J60">
        <f t="shared" si="16"/>
        <v>147.5</v>
      </c>
      <c r="K60" cm="1">
        <f t="array" ref="K60">STOWA2019_NDJF_T(A60*60,J60,I60,"","lower")</f>
        <v>38425.617647649997</v>
      </c>
      <c r="L60">
        <f t="shared" si="17"/>
        <v>2.6024305169787095E-5</v>
      </c>
    </row>
    <row r="61" spans="1:12" x14ac:dyDescent="0.3">
      <c r="A61">
        <v>48</v>
      </c>
      <c r="B61">
        <f t="shared" si="14"/>
        <v>7.6551431162528511E-6</v>
      </c>
      <c r="C61">
        <f t="shared" si="10"/>
        <v>7.6551431162528511E-6</v>
      </c>
      <c r="D61" t="s">
        <v>26</v>
      </c>
      <c r="E61" t="s">
        <v>19</v>
      </c>
      <c r="F61">
        <v>1</v>
      </c>
      <c r="G61">
        <f t="shared" si="15"/>
        <v>150</v>
      </c>
      <c r="I61">
        <v>2030</v>
      </c>
      <c r="J61">
        <f t="shared" si="16"/>
        <v>152.5</v>
      </c>
      <c r="K61" cm="1">
        <f t="array" ref="K61">STOWA2019_NDJF_T(A61*60,J61,I61,"","lower")</f>
        <v>54439.064617408556</v>
      </c>
      <c r="L61">
        <f t="shared" si="17"/>
        <v>1.8369162053534244E-5</v>
      </c>
    </row>
    <row r="62" spans="1:12" x14ac:dyDescent="0.3">
      <c r="A62">
        <v>48</v>
      </c>
      <c r="B62">
        <f t="shared" si="14"/>
        <v>5.3165736572883331E-6</v>
      </c>
      <c r="C62">
        <f t="shared" si="10"/>
        <v>5.3165736572883331E-6</v>
      </c>
      <c r="D62" t="s">
        <v>26</v>
      </c>
      <c r="E62" t="s">
        <v>19</v>
      </c>
      <c r="F62">
        <v>1</v>
      </c>
      <c r="G62">
        <f t="shared" si="15"/>
        <v>155</v>
      </c>
      <c r="I62">
        <v>2030</v>
      </c>
      <c r="J62">
        <f t="shared" si="16"/>
        <v>157.5</v>
      </c>
      <c r="K62" cm="1">
        <f t="array" ref="K62">STOWA2019_NDJF_T(A62*60,J62,I62,"","lower")</f>
        <v>76613.156689106399</v>
      </c>
      <c r="L62">
        <f t="shared" si="17"/>
        <v>1.3052588396245911E-5</v>
      </c>
    </row>
    <row r="63" spans="1:12" x14ac:dyDescent="0.3">
      <c r="A63">
        <v>48</v>
      </c>
      <c r="B63" s="1">
        <f>L62</f>
        <v>1.3052588396245911E-5</v>
      </c>
      <c r="C63">
        <f t="shared" si="10"/>
        <v>1.3052588396245911E-5</v>
      </c>
      <c r="D63" t="s">
        <v>26</v>
      </c>
      <c r="E63" t="s">
        <v>19</v>
      </c>
      <c r="F63">
        <v>1</v>
      </c>
      <c r="G63">
        <f t="shared" si="15"/>
        <v>160</v>
      </c>
      <c r="I63">
        <v>2030</v>
      </c>
      <c r="J63">
        <f>AVERAGE(G63:G64)</f>
        <v>85</v>
      </c>
      <c r="K63" cm="1">
        <f t="array" ref="K63">STOWA2019_NDJF_T(A63*60,J63,I63,"","lower")</f>
        <v>246.79825957938993</v>
      </c>
      <c r="L63">
        <f>1/K63</f>
        <v>4.0518924311065511E-3</v>
      </c>
    </row>
    <row r="64" spans="1:12" x14ac:dyDescent="0.3">
      <c r="A64">
        <v>96</v>
      </c>
      <c r="B64" s="1">
        <f>365.25*24/A64 - L64</f>
        <v>69.988296188236092</v>
      </c>
      <c r="C64">
        <f>B64</f>
        <v>69.988296188236092</v>
      </c>
      <c r="D64" t="s">
        <v>26</v>
      </c>
      <c r="E64" t="s">
        <v>19</v>
      </c>
      <c r="F64">
        <v>1</v>
      </c>
      <c r="G64">
        <v>10</v>
      </c>
      <c r="I64">
        <v>2030</v>
      </c>
      <c r="J64">
        <f>AVERAGE(G64:G66)</f>
        <v>15</v>
      </c>
      <c r="K64" cm="1">
        <f t="array" ref="K64">STOWA2019_NDJF_T(A64*60,J64,I64,"","lower")</f>
        <v>4.6895068572188899E-2</v>
      </c>
      <c r="L64">
        <f>1/K64</f>
        <v>21.324203811763901</v>
      </c>
    </row>
    <row r="65" spans="1:12" x14ac:dyDescent="0.3">
      <c r="A65">
        <v>96</v>
      </c>
      <c r="B65">
        <f t="shared" ref="B65:B69" si="18">L64-L65</f>
        <v>4.6653577023559194</v>
      </c>
      <c r="C65">
        <f t="shared" ref="C65:C94" si="19">B65</f>
        <v>4.6653577023559194</v>
      </c>
      <c r="D65" t="s">
        <v>26</v>
      </c>
      <c r="E65" t="s">
        <v>19</v>
      </c>
      <c r="F65">
        <v>1</v>
      </c>
      <c r="G65">
        <f t="shared" ref="G65:G69" si="20">G64+5</f>
        <v>15</v>
      </c>
      <c r="I65">
        <v>2030</v>
      </c>
      <c r="J65">
        <f t="shared" ref="J65:J69" si="21">AVERAGE(G65:G66)</f>
        <v>17.5</v>
      </c>
      <c r="K65" cm="1">
        <f t="array" ref="K65">STOWA2019_NDJF_T(A65*60,J65,I65,"","lower")</f>
        <v>6.002816722313415E-2</v>
      </c>
      <c r="L65">
        <f t="shared" ref="L65:L69" si="22">1/K65</f>
        <v>16.658846109407982</v>
      </c>
    </row>
    <row r="66" spans="1:12" x14ac:dyDescent="0.3">
      <c r="A66">
        <v>96</v>
      </c>
      <c r="B66">
        <f t="shared" si="18"/>
        <v>6.4513304892342305</v>
      </c>
      <c r="C66">
        <f t="shared" si="19"/>
        <v>6.4513304892342305</v>
      </c>
      <c r="D66" t="s">
        <v>26</v>
      </c>
      <c r="E66" t="s">
        <v>19</v>
      </c>
      <c r="F66">
        <v>1</v>
      </c>
      <c r="G66">
        <f t="shared" si="20"/>
        <v>20</v>
      </c>
      <c r="I66">
        <v>2030</v>
      </c>
      <c r="J66">
        <f t="shared" si="21"/>
        <v>22.5</v>
      </c>
      <c r="K66" cm="1">
        <f t="array" ref="K66">STOWA2019_NDJF_T(A66*60,J66,I66,"","lower")</f>
        <v>9.7967031078907918E-2</v>
      </c>
      <c r="L66">
        <f t="shared" si="22"/>
        <v>10.207515620173751</v>
      </c>
    </row>
    <row r="67" spans="1:12" x14ac:dyDescent="0.3">
      <c r="A67">
        <v>96</v>
      </c>
      <c r="B67">
        <f t="shared" si="18"/>
        <v>3.920187296970651</v>
      </c>
      <c r="C67">
        <f t="shared" si="19"/>
        <v>3.920187296970651</v>
      </c>
      <c r="D67" t="s">
        <v>26</v>
      </c>
      <c r="E67" t="s">
        <v>19</v>
      </c>
      <c r="F67">
        <v>1</v>
      </c>
      <c r="G67">
        <f t="shared" si="20"/>
        <v>25</v>
      </c>
      <c r="I67">
        <v>2030</v>
      </c>
      <c r="J67">
        <f t="shared" si="21"/>
        <v>27.5</v>
      </c>
      <c r="K67" cm="1">
        <f t="array" ref="K67">STOWA2019_NDJF_T(A67*60,J67,I67,"","lower")</f>
        <v>0.15905006842247213</v>
      </c>
      <c r="L67">
        <f t="shared" si="22"/>
        <v>6.2873283232031003</v>
      </c>
    </row>
    <row r="68" spans="1:12" x14ac:dyDescent="0.3">
      <c r="A68">
        <v>96</v>
      </c>
      <c r="B68">
        <f t="shared" si="18"/>
        <v>2.394761261634736</v>
      </c>
      <c r="C68">
        <f t="shared" si="19"/>
        <v>2.394761261634736</v>
      </c>
      <c r="D68" t="s">
        <v>26</v>
      </c>
      <c r="E68" t="s">
        <v>19</v>
      </c>
      <c r="F68">
        <v>1</v>
      </c>
      <c r="G68">
        <f t="shared" si="20"/>
        <v>30</v>
      </c>
      <c r="I68">
        <v>2030</v>
      </c>
      <c r="J68">
        <f t="shared" si="21"/>
        <v>32.5</v>
      </c>
      <c r="K68" cm="1">
        <f t="array" ref="K68">STOWA2019_NDJF_T(A68*60,J68,I68,"","lower")</f>
        <v>0.25689987717182383</v>
      </c>
      <c r="L68">
        <f t="shared" si="22"/>
        <v>3.8925670615683643</v>
      </c>
    </row>
    <row r="69" spans="1:12" x14ac:dyDescent="0.3">
      <c r="A69">
        <v>96</v>
      </c>
      <c r="B69">
        <f t="shared" si="18"/>
        <v>1.4705435914873783</v>
      </c>
      <c r="C69">
        <f t="shared" si="19"/>
        <v>1.4705435914873783</v>
      </c>
      <c r="D69" t="s">
        <v>26</v>
      </c>
      <c r="E69" t="s">
        <v>19</v>
      </c>
      <c r="F69">
        <v>1</v>
      </c>
      <c r="G69">
        <f t="shared" si="20"/>
        <v>35</v>
      </c>
      <c r="I69">
        <v>2030</v>
      </c>
      <c r="J69">
        <f t="shared" si="21"/>
        <v>37.5</v>
      </c>
      <c r="K69" cm="1">
        <f t="array" ref="K69">STOWA2019_NDJF_T(A69*60,J69,I69,"","lower")</f>
        <v>0.41287791483150355</v>
      </c>
      <c r="L69">
        <f t="shared" si="22"/>
        <v>2.422023470080986</v>
      </c>
    </row>
    <row r="70" spans="1:12" x14ac:dyDescent="0.3">
      <c r="A70">
        <v>96</v>
      </c>
      <c r="B70">
        <f>L69-L70</f>
        <v>0.90759947092272197</v>
      </c>
      <c r="C70">
        <f t="shared" si="19"/>
        <v>0.90759947092272197</v>
      </c>
      <c r="D70" t="s">
        <v>26</v>
      </c>
      <c r="E70" t="s">
        <v>19</v>
      </c>
      <c r="F70">
        <v>1</v>
      </c>
      <c r="G70">
        <f>G69+5</f>
        <v>40</v>
      </c>
      <c r="I70">
        <v>2030</v>
      </c>
      <c r="J70">
        <f>AVERAGE(G70:G71)</f>
        <v>42.5</v>
      </c>
      <c r="K70" cm="1">
        <f t="array" ref="K70">STOWA2019_NDJF_T(A70*60,J70,I70,"","lower")</f>
        <v>0.66031705820550435</v>
      </c>
      <c r="L70">
        <f>1/K70</f>
        <v>1.514423999158264</v>
      </c>
    </row>
    <row r="71" spans="1:12" x14ac:dyDescent="0.3">
      <c r="A71">
        <v>96</v>
      </c>
      <c r="B71">
        <f t="shared" ref="B71:B93" si="23">L70-L71</f>
        <v>0.5628507542796557</v>
      </c>
      <c r="C71">
        <f t="shared" si="19"/>
        <v>0.5628507542796557</v>
      </c>
      <c r="D71" t="s">
        <v>26</v>
      </c>
      <c r="E71" t="s">
        <v>19</v>
      </c>
      <c r="F71">
        <v>1</v>
      </c>
      <c r="G71">
        <f t="shared" ref="G71:G94" si="24">G70+5</f>
        <v>45</v>
      </c>
      <c r="I71">
        <v>2030</v>
      </c>
      <c r="J71">
        <f t="shared" ref="J71:J93" si="25">AVERAGE(G71:G72)</f>
        <v>47.5</v>
      </c>
      <c r="K71" cm="1">
        <f t="array" ref="K71">STOWA2019_NDJF_T(A71*60,J71,I71,"","lower")</f>
        <v>1.0508912533869839</v>
      </c>
      <c r="L71">
        <f t="shared" ref="L71:L93" si="26">1/K71</f>
        <v>0.95157324487860828</v>
      </c>
    </row>
    <row r="72" spans="1:12" x14ac:dyDescent="0.3">
      <c r="A72">
        <v>96</v>
      </c>
      <c r="B72">
        <f t="shared" si="23"/>
        <v>0.35089033272217929</v>
      </c>
      <c r="C72">
        <f t="shared" si="19"/>
        <v>0.35089033272217929</v>
      </c>
      <c r="D72" t="s">
        <v>26</v>
      </c>
      <c r="E72" t="s">
        <v>19</v>
      </c>
      <c r="F72">
        <v>1</v>
      </c>
      <c r="G72">
        <f t="shared" si="24"/>
        <v>50</v>
      </c>
      <c r="I72">
        <v>2030</v>
      </c>
      <c r="J72">
        <f t="shared" si="25"/>
        <v>52.5</v>
      </c>
      <c r="K72" cm="1">
        <f t="array" ref="K72">STOWA2019_NDJF_T(A72*60,J72,I72,"","lower")</f>
        <v>1.6647718451154832</v>
      </c>
      <c r="L72">
        <f t="shared" si="26"/>
        <v>0.60068291215642899</v>
      </c>
    </row>
    <row r="73" spans="1:12" x14ac:dyDescent="0.3">
      <c r="A73">
        <v>96</v>
      </c>
      <c r="B73">
        <f t="shared" si="23"/>
        <v>0.21975335478871</v>
      </c>
      <c r="C73">
        <f t="shared" si="19"/>
        <v>0.21975335478871</v>
      </c>
      <c r="D73" t="s">
        <v>26</v>
      </c>
      <c r="E73" t="s">
        <v>19</v>
      </c>
      <c r="F73">
        <v>1</v>
      </c>
      <c r="G73">
        <f t="shared" si="24"/>
        <v>55</v>
      </c>
      <c r="I73">
        <v>2030</v>
      </c>
      <c r="J73">
        <f t="shared" si="25"/>
        <v>57.5</v>
      </c>
      <c r="K73" cm="1">
        <f t="array" ref="K73">STOWA2019_NDJF_T(A73*60,J73,I73,"","lower")</f>
        <v>2.6251572781858976</v>
      </c>
      <c r="L73">
        <f t="shared" si="26"/>
        <v>0.380929557367719</v>
      </c>
    </row>
    <row r="74" spans="1:12" x14ac:dyDescent="0.3">
      <c r="A74">
        <v>96</v>
      </c>
      <c r="B74">
        <f t="shared" si="23"/>
        <v>0.13826201646223121</v>
      </c>
      <c r="C74">
        <f t="shared" si="19"/>
        <v>0.13826201646223121</v>
      </c>
      <c r="D74" t="s">
        <v>26</v>
      </c>
      <c r="E74" t="s">
        <v>19</v>
      </c>
      <c r="F74">
        <v>1</v>
      </c>
      <c r="G74">
        <f t="shared" si="24"/>
        <v>60</v>
      </c>
      <c r="I74">
        <v>2030</v>
      </c>
      <c r="J74">
        <f t="shared" si="25"/>
        <v>62.5</v>
      </c>
      <c r="K74" cm="1">
        <f t="array" ref="K74">STOWA2019_NDJF_T(A74*60,J74,I74,"","lower")</f>
        <v>4.120864274919537</v>
      </c>
      <c r="L74">
        <f t="shared" si="26"/>
        <v>0.24266754090548778</v>
      </c>
    </row>
    <row r="75" spans="1:12" x14ac:dyDescent="0.3">
      <c r="A75">
        <v>96</v>
      </c>
      <c r="B75">
        <f t="shared" si="23"/>
        <v>8.73928890804897E-2</v>
      </c>
      <c r="C75">
        <f t="shared" si="19"/>
        <v>8.73928890804897E-2</v>
      </c>
      <c r="D75" t="s">
        <v>26</v>
      </c>
      <c r="E75" t="s">
        <v>19</v>
      </c>
      <c r="F75">
        <v>1</v>
      </c>
      <c r="G75">
        <f t="shared" si="24"/>
        <v>65</v>
      </c>
      <c r="I75">
        <v>2030</v>
      </c>
      <c r="J75">
        <f t="shared" si="25"/>
        <v>67.5</v>
      </c>
      <c r="K75" cm="1">
        <f t="array" ref="K75">STOWA2019_NDJF_T(A75*60,J75,I75,"","lower")</f>
        <v>6.4402012063568979</v>
      </c>
      <c r="L75">
        <f t="shared" si="26"/>
        <v>0.15527465182499808</v>
      </c>
    </row>
    <row r="76" spans="1:12" x14ac:dyDescent="0.3">
      <c r="A76">
        <v>96</v>
      </c>
      <c r="B76">
        <f t="shared" si="23"/>
        <v>5.5487493743275079E-2</v>
      </c>
      <c r="C76">
        <f t="shared" si="19"/>
        <v>5.5487493743275079E-2</v>
      </c>
      <c r="D76" t="s">
        <v>26</v>
      </c>
      <c r="E76" t="s">
        <v>19</v>
      </c>
      <c r="F76">
        <v>1</v>
      </c>
      <c r="G76">
        <f t="shared" si="24"/>
        <v>70</v>
      </c>
      <c r="I76">
        <v>2030</v>
      </c>
      <c r="J76">
        <f t="shared" si="25"/>
        <v>72.5</v>
      </c>
      <c r="K76" cm="1">
        <f t="array" ref="K76">STOWA2019_NDJF_T(A76*60,J76,I76,"","lower")</f>
        <v>10.021329590136506</v>
      </c>
      <c r="L76">
        <f t="shared" si="26"/>
        <v>9.9787158081723004E-2</v>
      </c>
    </row>
    <row r="77" spans="1:12" x14ac:dyDescent="0.3">
      <c r="A77">
        <v>96</v>
      </c>
      <c r="B77">
        <f t="shared" si="23"/>
        <v>3.5385350713716901E-2</v>
      </c>
      <c r="C77">
        <f t="shared" si="19"/>
        <v>3.5385350713716901E-2</v>
      </c>
      <c r="D77" t="s">
        <v>26</v>
      </c>
      <c r="E77" t="s">
        <v>19</v>
      </c>
      <c r="F77">
        <v>1</v>
      </c>
      <c r="G77">
        <f t="shared" si="24"/>
        <v>75</v>
      </c>
      <c r="I77">
        <v>2030</v>
      </c>
      <c r="J77">
        <f t="shared" si="25"/>
        <v>77.5</v>
      </c>
      <c r="K77" cm="1">
        <f t="array" ref="K77">STOWA2019_NDJF_T(A77*60,J77,I77,"","lower")</f>
        <v>15.527514535202094</v>
      </c>
      <c r="L77">
        <f t="shared" si="26"/>
        <v>6.4401807368006103E-2</v>
      </c>
    </row>
    <row r="78" spans="1:12" x14ac:dyDescent="0.3">
      <c r="A78">
        <v>96</v>
      </c>
      <c r="B78">
        <f t="shared" si="23"/>
        <v>2.2663043618755187E-2</v>
      </c>
      <c r="C78">
        <f t="shared" si="19"/>
        <v>2.2663043618755187E-2</v>
      </c>
      <c r="D78" t="s">
        <v>26</v>
      </c>
      <c r="E78" t="s">
        <v>19</v>
      </c>
      <c r="F78">
        <v>1</v>
      </c>
      <c r="G78">
        <f t="shared" si="24"/>
        <v>80</v>
      </c>
      <c r="I78">
        <v>2030</v>
      </c>
      <c r="J78">
        <f t="shared" si="25"/>
        <v>82.5</v>
      </c>
      <c r="K78" cm="1">
        <f t="array" ref="K78">STOWA2019_NDJF_T(A78*60,J78,I78,"","lower")</f>
        <v>23.958543813314236</v>
      </c>
      <c r="L78">
        <f t="shared" si="26"/>
        <v>4.1738763749250916E-2</v>
      </c>
    </row>
    <row r="79" spans="1:12" x14ac:dyDescent="0.3">
      <c r="A79">
        <v>96</v>
      </c>
      <c r="B79">
        <f t="shared" si="23"/>
        <v>1.4577061636217421E-2</v>
      </c>
      <c r="C79">
        <f t="shared" si="19"/>
        <v>1.4577061636217421E-2</v>
      </c>
      <c r="D79" t="s">
        <v>26</v>
      </c>
      <c r="E79" t="s">
        <v>19</v>
      </c>
      <c r="F79">
        <v>1</v>
      </c>
      <c r="G79">
        <f t="shared" si="24"/>
        <v>85</v>
      </c>
      <c r="I79">
        <v>2030</v>
      </c>
      <c r="J79">
        <f t="shared" si="25"/>
        <v>87.5</v>
      </c>
      <c r="K79" cm="1">
        <f t="array" ref="K79">STOWA2019_NDJF_T(A79*60,J79,I79,"","lower")</f>
        <v>36.816543964678552</v>
      </c>
      <c r="L79">
        <f t="shared" si="26"/>
        <v>2.7161702113033495E-2</v>
      </c>
    </row>
    <row r="80" spans="1:12" x14ac:dyDescent="0.3">
      <c r="A80">
        <v>96</v>
      </c>
      <c r="B80">
        <f t="shared" si="23"/>
        <v>9.4147060794347939E-3</v>
      </c>
      <c r="C80">
        <f t="shared" si="19"/>
        <v>9.4147060794347939E-3</v>
      </c>
      <c r="D80" t="s">
        <v>26</v>
      </c>
      <c r="E80" t="s">
        <v>19</v>
      </c>
      <c r="F80">
        <v>1</v>
      </c>
      <c r="G80">
        <f t="shared" si="24"/>
        <v>90</v>
      </c>
      <c r="I80">
        <v>2030</v>
      </c>
      <c r="J80">
        <f t="shared" si="25"/>
        <v>92.5</v>
      </c>
      <c r="K80" cm="1">
        <f t="array" ref="K80">STOWA2019_NDJF_T(A80*60,J80,I80,"","lower")</f>
        <v>56.347564292390388</v>
      </c>
      <c r="L80">
        <f t="shared" si="26"/>
        <v>1.7746996033598701E-2</v>
      </c>
    </row>
    <row r="81" spans="1:12" x14ac:dyDescent="0.3">
      <c r="A81">
        <v>96</v>
      </c>
      <c r="B81">
        <f t="shared" si="23"/>
        <v>6.1056463762719469E-3</v>
      </c>
      <c r="C81">
        <f t="shared" si="19"/>
        <v>6.1056463762719469E-3</v>
      </c>
      <c r="D81" t="s">
        <v>26</v>
      </c>
      <c r="E81" t="s">
        <v>19</v>
      </c>
      <c r="F81">
        <v>1</v>
      </c>
      <c r="G81">
        <f t="shared" si="24"/>
        <v>95</v>
      </c>
      <c r="I81">
        <v>2030</v>
      </c>
      <c r="J81">
        <f t="shared" si="25"/>
        <v>97.5</v>
      </c>
      <c r="K81" cm="1">
        <f t="array" ref="K81">STOWA2019_NDJF_T(A81*60,J81,I81,"","lower")</f>
        <v>85.90069274060734</v>
      </c>
      <c r="L81">
        <f t="shared" si="26"/>
        <v>1.1641349657326754E-2</v>
      </c>
    </row>
    <row r="82" spans="1:12" x14ac:dyDescent="0.3">
      <c r="A82">
        <v>96</v>
      </c>
      <c r="B82">
        <f t="shared" si="23"/>
        <v>3.9753618010618837E-3</v>
      </c>
      <c r="C82">
        <f t="shared" si="19"/>
        <v>3.9753618010618837E-3</v>
      </c>
      <c r="D82" t="s">
        <v>26</v>
      </c>
      <c r="E82" t="s">
        <v>19</v>
      </c>
      <c r="F82">
        <v>1</v>
      </c>
      <c r="G82">
        <f t="shared" si="24"/>
        <v>100</v>
      </c>
      <c r="I82">
        <v>2030</v>
      </c>
      <c r="J82">
        <f t="shared" si="25"/>
        <v>102.5</v>
      </c>
      <c r="K82" cm="1">
        <f t="array" ref="K82">STOWA2019_NDJF_T(A82*60,J82,I82,"","lower")</f>
        <v>130.44633239051777</v>
      </c>
      <c r="L82">
        <f t="shared" si="26"/>
        <v>7.6659878562648706E-3</v>
      </c>
    </row>
    <row r="83" spans="1:12" x14ac:dyDescent="0.3">
      <c r="A83">
        <v>96</v>
      </c>
      <c r="B83">
        <f t="shared" si="23"/>
        <v>2.598589646615336E-3</v>
      </c>
      <c r="C83">
        <f t="shared" si="19"/>
        <v>2.598589646615336E-3</v>
      </c>
      <c r="D83" t="s">
        <v>26</v>
      </c>
      <c r="E83" t="s">
        <v>19</v>
      </c>
      <c r="F83">
        <v>1</v>
      </c>
      <c r="G83">
        <f t="shared" si="24"/>
        <v>105</v>
      </c>
      <c r="I83">
        <v>2030</v>
      </c>
      <c r="J83">
        <f t="shared" si="25"/>
        <v>107.5</v>
      </c>
      <c r="K83" cm="1">
        <f t="array" ref="K83">STOWA2019_NDJF_T(A83*60,J83,I83,"","lower")</f>
        <v>197.3399284263395</v>
      </c>
      <c r="L83">
        <f t="shared" si="26"/>
        <v>5.0673982096495346E-3</v>
      </c>
    </row>
    <row r="84" spans="1:12" x14ac:dyDescent="0.3">
      <c r="A84">
        <v>96</v>
      </c>
      <c r="B84">
        <f t="shared" si="23"/>
        <v>1.7052169025772355E-3</v>
      </c>
      <c r="C84">
        <f t="shared" si="19"/>
        <v>1.7052169025772355E-3</v>
      </c>
      <c r="D84" t="s">
        <v>26</v>
      </c>
      <c r="E84" t="s">
        <v>19</v>
      </c>
      <c r="F84">
        <v>1</v>
      </c>
      <c r="G84">
        <f t="shared" si="24"/>
        <v>110</v>
      </c>
      <c r="I84">
        <v>2030</v>
      </c>
      <c r="J84">
        <f t="shared" si="25"/>
        <v>112.5</v>
      </c>
      <c r="K84" cm="1">
        <f t="array" ref="K84">STOWA2019_NDJF_T(A84*60,J84,I84,"","lower")</f>
        <v>297.42595912258349</v>
      </c>
      <c r="L84">
        <f t="shared" si="26"/>
        <v>3.3621813070722991E-3</v>
      </c>
    </row>
    <row r="85" spans="1:12" x14ac:dyDescent="0.3">
      <c r="A85">
        <v>96</v>
      </c>
      <c r="B85">
        <f t="shared" si="23"/>
        <v>1.1231832725091288E-3</v>
      </c>
      <c r="C85">
        <f t="shared" si="19"/>
        <v>1.1231832725091288E-3</v>
      </c>
      <c r="D85" t="s">
        <v>26</v>
      </c>
      <c r="E85" t="s">
        <v>19</v>
      </c>
      <c r="F85">
        <v>1</v>
      </c>
      <c r="G85">
        <f t="shared" si="24"/>
        <v>115</v>
      </c>
      <c r="I85">
        <v>2030</v>
      </c>
      <c r="J85">
        <f t="shared" si="25"/>
        <v>117.5</v>
      </c>
      <c r="K85" cm="1">
        <f t="array" ref="K85">STOWA2019_NDJF_T(A85*60,J85,I85,"","lower")</f>
        <v>446.62835096909788</v>
      </c>
      <c r="L85">
        <f t="shared" si="26"/>
        <v>2.2389980345631703E-3</v>
      </c>
    </row>
    <row r="86" spans="1:12" x14ac:dyDescent="0.3">
      <c r="A86">
        <v>96</v>
      </c>
      <c r="B86">
        <f t="shared" si="23"/>
        <v>7.4258532604772423E-4</v>
      </c>
      <c r="C86">
        <f t="shared" si="19"/>
        <v>7.4258532604772423E-4</v>
      </c>
      <c r="D86" t="s">
        <v>26</v>
      </c>
      <c r="E86" t="s">
        <v>19</v>
      </c>
      <c r="F86">
        <v>1</v>
      </c>
      <c r="G86">
        <f t="shared" si="24"/>
        <v>120</v>
      </c>
      <c r="I86">
        <v>2030</v>
      </c>
      <c r="J86">
        <f t="shared" si="25"/>
        <v>122.5</v>
      </c>
      <c r="K86" cm="1">
        <f t="array" ref="K86">STOWA2019_NDJF_T(A86*60,J86,I86,"","lower")</f>
        <v>668.26484051453633</v>
      </c>
      <c r="L86">
        <f t="shared" si="26"/>
        <v>1.4964127085154461E-3</v>
      </c>
    </row>
    <row r="87" spans="1:12" x14ac:dyDescent="0.3">
      <c r="A87">
        <v>96</v>
      </c>
      <c r="B87">
        <f t="shared" si="23"/>
        <v>4.9275259043169871E-4</v>
      </c>
      <c r="C87">
        <f t="shared" si="19"/>
        <v>4.9275259043169871E-4</v>
      </c>
      <c r="D87" t="s">
        <v>26</v>
      </c>
      <c r="E87" t="s">
        <v>19</v>
      </c>
      <c r="F87">
        <v>1</v>
      </c>
      <c r="G87">
        <f t="shared" si="24"/>
        <v>125</v>
      </c>
      <c r="I87">
        <v>2030</v>
      </c>
      <c r="J87">
        <f t="shared" si="25"/>
        <v>127.5</v>
      </c>
      <c r="K87" cm="1">
        <f t="array" ref="K87">STOWA2019_NDJF_T(A87*60,J87,I87,"","lower")</f>
        <v>996.35322952680883</v>
      </c>
      <c r="L87">
        <f t="shared" si="26"/>
        <v>1.0036601180837474E-3</v>
      </c>
    </row>
    <row r="88" spans="1:12" x14ac:dyDescent="0.3">
      <c r="A88">
        <v>96</v>
      </c>
      <c r="B88">
        <f t="shared" si="23"/>
        <v>3.2814856580689212E-4</v>
      </c>
      <c r="C88">
        <f t="shared" si="19"/>
        <v>3.2814856580689212E-4</v>
      </c>
      <c r="D88" t="s">
        <v>26</v>
      </c>
      <c r="E88" t="s">
        <v>19</v>
      </c>
      <c r="F88">
        <v>1</v>
      </c>
      <c r="G88">
        <f t="shared" si="24"/>
        <v>130</v>
      </c>
      <c r="I88">
        <v>2030</v>
      </c>
      <c r="J88">
        <f t="shared" si="25"/>
        <v>132.5</v>
      </c>
      <c r="K88" cm="1">
        <f t="array" ref="K88">STOWA2019_NDJF_T(A88*60,J88,I88,"","lower")</f>
        <v>1480.3595832364902</v>
      </c>
      <c r="L88">
        <f t="shared" si="26"/>
        <v>6.7551155227685527E-4</v>
      </c>
    </row>
    <row r="89" spans="1:12" x14ac:dyDescent="0.3">
      <c r="A89">
        <v>96</v>
      </c>
      <c r="B89">
        <f t="shared" si="23"/>
        <v>2.1930275922433558E-4</v>
      </c>
      <c r="C89">
        <f t="shared" si="19"/>
        <v>2.1930275922433558E-4</v>
      </c>
      <c r="D89" t="s">
        <v>26</v>
      </c>
      <c r="E89" t="s">
        <v>19</v>
      </c>
      <c r="F89">
        <v>1</v>
      </c>
      <c r="G89">
        <f t="shared" si="24"/>
        <v>135</v>
      </c>
      <c r="I89">
        <v>2030</v>
      </c>
      <c r="J89">
        <f t="shared" si="25"/>
        <v>137.5</v>
      </c>
      <c r="K89" cm="1">
        <f t="array" ref="K89">STOWA2019_NDJF_T(A89*60,J89,I89,"","lower")</f>
        <v>2191.9787939836528</v>
      </c>
      <c r="L89">
        <f t="shared" si="26"/>
        <v>4.562087930525197E-4</v>
      </c>
    </row>
    <row r="90" spans="1:12" x14ac:dyDescent="0.3">
      <c r="A90">
        <v>96</v>
      </c>
      <c r="B90">
        <f t="shared" si="23"/>
        <v>1.470697388982154E-4</v>
      </c>
      <c r="C90">
        <f t="shared" si="19"/>
        <v>1.470697388982154E-4</v>
      </c>
      <c r="D90" t="s">
        <v>26</v>
      </c>
      <c r="E90" t="s">
        <v>19</v>
      </c>
      <c r="F90">
        <v>1</v>
      </c>
      <c r="G90">
        <f t="shared" si="24"/>
        <v>140</v>
      </c>
      <c r="I90">
        <v>2030</v>
      </c>
      <c r="J90">
        <f t="shared" si="25"/>
        <v>142.5</v>
      </c>
      <c r="K90" cm="1">
        <f t="array" ref="K90">STOWA2019_NDJF_T(A90*60,J90,I90,"","lower")</f>
        <v>3234.7902555878882</v>
      </c>
      <c r="L90">
        <f t="shared" si="26"/>
        <v>3.091390541543043E-4</v>
      </c>
    </row>
    <row r="91" spans="1:12" x14ac:dyDescent="0.3">
      <c r="A91">
        <v>96</v>
      </c>
      <c r="B91">
        <f t="shared" si="23"/>
        <v>9.8964020736472567E-5</v>
      </c>
      <c r="C91">
        <f t="shared" si="19"/>
        <v>9.8964020736472567E-5</v>
      </c>
      <c r="D91" t="s">
        <v>26</v>
      </c>
      <c r="E91" t="s">
        <v>19</v>
      </c>
      <c r="F91">
        <v>1</v>
      </c>
      <c r="G91">
        <f t="shared" si="24"/>
        <v>145</v>
      </c>
      <c r="I91">
        <v>2030</v>
      </c>
      <c r="J91">
        <f t="shared" si="25"/>
        <v>147.5</v>
      </c>
      <c r="K91" cm="1">
        <f t="array" ref="K91">STOWA2019_NDJF_T(A91*60,J91,I91,"","lower")</f>
        <v>4757.9390555489153</v>
      </c>
      <c r="L91">
        <f t="shared" si="26"/>
        <v>2.1017503341783173E-4</v>
      </c>
    </row>
    <row r="92" spans="1:12" x14ac:dyDescent="0.3">
      <c r="A92">
        <v>96</v>
      </c>
      <c r="B92">
        <f t="shared" si="23"/>
        <v>6.6818901559394966E-5</v>
      </c>
      <c r="C92">
        <f t="shared" si="19"/>
        <v>6.6818901559394966E-5</v>
      </c>
      <c r="D92" t="s">
        <v>26</v>
      </c>
      <c r="E92" t="s">
        <v>19</v>
      </c>
      <c r="F92">
        <v>1</v>
      </c>
      <c r="G92">
        <f t="shared" si="24"/>
        <v>150</v>
      </c>
      <c r="I92">
        <v>2030</v>
      </c>
      <c r="J92">
        <f t="shared" si="25"/>
        <v>152.5</v>
      </c>
      <c r="K92" cm="1">
        <f t="array" ref="K92">STOWA2019_NDJF_T(A92*60,J92,I92,"","lower")</f>
        <v>6975.6346452448461</v>
      </c>
      <c r="L92">
        <f t="shared" si="26"/>
        <v>1.4335613185843677E-4</v>
      </c>
    </row>
    <row r="93" spans="1:12" x14ac:dyDescent="0.3">
      <c r="A93">
        <v>96</v>
      </c>
      <c r="B93">
        <f t="shared" si="23"/>
        <v>4.5263057752526167E-5</v>
      </c>
      <c r="C93">
        <f t="shared" si="19"/>
        <v>4.5263057752526167E-5</v>
      </c>
      <c r="D93" t="s">
        <v>26</v>
      </c>
      <c r="E93" t="s">
        <v>19</v>
      </c>
      <c r="F93">
        <v>1</v>
      </c>
      <c r="G93">
        <f t="shared" si="24"/>
        <v>155</v>
      </c>
      <c r="I93">
        <v>2030</v>
      </c>
      <c r="J93">
        <f t="shared" si="25"/>
        <v>157.5</v>
      </c>
      <c r="K93" cm="1">
        <f t="array" ref="K93">STOWA2019_NDJF_T(A93*60,J93,I93,"","lower")</f>
        <v>10194.399646608128</v>
      </c>
      <c r="L93">
        <f t="shared" si="26"/>
        <v>9.8093074105910601E-5</v>
      </c>
    </row>
    <row r="94" spans="1:12" x14ac:dyDescent="0.3">
      <c r="A94">
        <v>96</v>
      </c>
      <c r="B94" s="1">
        <f>L93</f>
        <v>9.8093074105910601E-5</v>
      </c>
      <c r="C94">
        <f t="shared" si="19"/>
        <v>9.8093074105910601E-5</v>
      </c>
      <c r="D94" t="s">
        <v>26</v>
      </c>
      <c r="E94" t="s">
        <v>19</v>
      </c>
      <c r="F94">
        <v>1</v>
      </c>
      <c r="G94">
        <f t="shared" si="24"/>
        <v>160</v>
      </c>
      <c r="I94">
        <v>2030</v>
      </c>
      <c r="J94">
        <f>AVERAGE(G94:G95)</f>
        <v>85</v>
      </c>
      <c r="K94" cm="1">
        <f t="array" ref="K94">STOWA2019_NDJF_T(A94*60,J94,I94,"","lower")</f>
        <v>29.714883714524511</v>
      </c>
      <c r="L94">
        <f>1/K94</f>
        <v>3.3653168883551923E-2</v>
      </c>
    </row>
    <row r="95" spans="1:12" x14ac:dyDescent="0.3">
      <c r="A95">
        <v>192</v>
      </c>
      <c r="B95" s="1">
        <f>365.25*24/A95 - L95</f>
        <v>22.967971690892277</v>
      </c>
      <c r="C95">
        <f>B95</f>
        <v>22.967971690892277</v>
      </c>
      <c r="D95" t="s">
        <v>26</v>
      </c>
      <c r="E95" t="s">
        <v>19</v>
      </c>
      <c r="F95">
        <v>1</v>
      </c>
      <c r="G95">
        <v>10</v>
      </c>
      <c r="I95">
        <v>2030</v>
      </c>
      <c r="J95">
        <f>AVERAGE(G95:G97)</f>
        <v>15</v>
      </c>
      <c r="K95" cm="1">
        <f t="array" ref="K95">STOWA2019_NDJF_T(A95*60,J95,I95,"","lower")</f>
        <v>4.407562294396624E-2</v>
      </c>
      <c r="L95">
        <f>1/K95</f>
        <v>22.688278309107723</v>
      </c>
    </row>
    <row r="96" spans="1:12" x14ac:dyDescent="0.3">
      <c r="A96">
        <v>192</v>
      </c>
      <c r="B96">
        <f t="shared" ref="B96:B100" si="27">L95-L96</f>
        <v>3.0329408765942247</v>
      </c>
      <c r="C96">
        <f t="shared" ref="C96:C125" si="28">B96</f>
        <v>3.0329408765942247</v>
      </c>
      <c r="D96" t="s">
        <v>26</v>
      </c>
      <c r="E96" t="s">
        <v>19</v>
      </c>
      <c r="F96">
        <v>1</v>
      </c>
      <c r="G96">
        <f t="shared" ref="G96:G100" si="29">G95+5</f>
        <v>15</v>
      </c>
      <c r="I96">
        <v>2030</v>
      </c>
      <c r="J96">
        <f t="shared" ref="J96:J100" si="30">AVERAGE(G96:G97)</f>
        <v>17.5</v>
      </c>
      <c r="K96" cm="1">
        <f t="array" ref="K96">STOWA2019_NDJF_T(A96*60,J96,I96,"","lower")</f>
        <v>5.0876765836938433E-2</v>
      </c>
      <c r="L96">
        <f t="shared" ref="L96:L100" si="31">1/K96</f>
        <v>19.655337432513498</v>
      </c>
    </row>
    <row r="97" spans="1:12" x14ac:dyDescent="0.3">
      <c r="A97">
        <v>192</v>
      </c>
      <c r="B97">
        <f t="shared" si="27"/>
        <v>4.9461410936700307</v>
      </c>
      <c r="C97">
        <f t="shared" si="28"/>
        <v>4.9461410936700307</v>
      </c>
      <c r="D97" t="s">
        <v>26</v>
      </c>
      <c r="E97" t="s">
        <v>19</v>
      </c>
      <c r="F97">
        <v>1</v>
      </c>
      <c r="G97">
        <f t="shared" si="29"/>
        <v>20</v>
      </c>
      <c r="I97">
        <v>2030</v>
      </c>
      <c r="J97">
        <f t="shared" si="30"/>
        <v>22.5</v>
      </c>
      <c r="K97" cm="1">
        <f t="array" ref="K97">STOWA2019_NDJF_T(A97*60,J97,I97,"","lower")</f>
        <v>6.7984679581660032E-2</v>
      </c>
      <c r="L97">
        <f t="shared" si="31"/>
        <v>14.709196338843467</v>
      </c>
    </row>
    <row r="98" spans="1:12" x14ac:dyDescent="0.3">
      <c r="A98">
        <v>192</v>
      </c>
      <c r="B98">
        <f t="shared" si="27"/>
        <v>3.7445591746715703</v>
      </c>
      <c r="C98">
        <f t="shared" si="28"/>
        <v>3.7445591746715703</v>
      </c>
      <c r="D98" t="s">
        <v>26</v>
      </c>
      <c r="E98" t="s">
        <v>19</v>
      </c>
      <c r="F98">
        <v>1</v>
      </c>
      <c r="G98">
        <f t="shared" si="29"/>
        <v>25</v>
      </c>
      <c r="I98">
        <v>2030</v>
      </c>
      <c r="J98">
        <f t="shared" si="30"/>
        <v>27.5</v>
      </c>
      <c r="K98" cm="1">
        <f t="array" ref="K98">STOWA2019_NDJF_T(A98*60,J98,I98,"","lower")</f>
        <v>9.1202288322645542E-2</v>
      </c>
      <c r="L98">
        <f t="shared" si="31"/>
        <v>10.964637164171897</v>
      </c>
    </row>
    <row r="99" spans="1:12" x14ac:dyDescent="0.3">
      <c r="A99">
        <v>192</v>
      </c>
      <c r="B99">
        <f t="shared" si="27"/>
        <v>2.8241370855497507</v>
      </c>
      <c r="C99">
        <f t="shared" si="28"/>
        <v>2.8241370855497507</v>
      </c>
      <c r="D99" t="s">
        <v>26</v>
      </c>
      <c r="E99" t="s">
        <v>19</v>
      </c>
      <c r="F99">
        <v>1</v>
      </c>
      <c r="G99">
        <f t="shared" si="29"/>
        <v>30</v>
      </c>
      <c r="I99">
        <v>2030</v>
      </c>
      <c r="J99">
        <f t="shared" si="30"/>
        <v>32.5</v>
      </c>
      <c r="K99" cm="1">
        <f t="array" ref="K99">STOWA2019_NDJF_T(A99*60,J99,I99,"","lower")</f>
        <v>0.12284257605083876</v>
      </c>
      <c r="L99">
        <f t="shared" si="31"/>
        <v>8.1405000786221464</v>
      </c>
    </row>
    <row r="100" spans="1:12" x14ac:dyDescent="0.3">
      <c r="A100">
        <v>192</v>
      </c>
      <c r="B100">
        <f t="shared" si="27"/>
        <v>2.1216238857494236</v>
      </c>
      <c r="C100">
        <f t="shared" si="28"/>
        <v>2.1216238857494236</v>
      </c>
      <c r="D100" t="s">
        <v>26</v>
      </c>
      <c r="E100" t="s">
        <v>19</v>
      </c>
      <c r="F100">
        <v>1</v>
      </c>
      <c r="G100">
        <f t="shared" si="29"/>
        <v>35</v>
      </c>
      <c r="I100">
        <v>2030</v>
      </c>
      <c r="J100">
        <f t="shared" si="30"/>
        <v>37.5</v>
      </c>
      <c r="K100" cm="1">
        <f t="array" ref="K100">STOWA2019_NDJF_T(A100*60,J100,I100,"","lower")</f>
        <v>0.16614397238875825</v>
      </c>
      <c r="L100">
        <f t="shared" si="31"/>
        <v>6.0188761928727228</v>
      </c>
    </row>
    <row r="101" spans="1:12" x14ac:dyDescent="0.3">
      <c r="A101">
        <v>192</v>
      </c>
      <c r="B101">
        <f>L100-L101</f>
        <v>1.5876292582784943</v>
      </c>
      <c r="C101">
        <f t="shared" si="28"/>
        <v>1.5876292582784943</v>
      </c>
      <c r="D101" t="s">
        <v>26</v>
      </c>
      <c r="E101" t="s">
        <v>19</v>
      </c>
      <c r="F101">
        <v>1</v>
      </c>
      <c r="G101">
        <f>G100+5</f>
        <v>40</v>
      </c>
      <c r="I101">
        <v>2030</v>
      </c>
      <c r="J101">
        <f>AVERAGE(G101:G102)</f>
        <v>42.5</v>
      </c>
      <c r="K101" cm="1">
        <f t="array" ref="K101">STOWA2019_NDJF_T(A101*60,J101,I101,"","lower")</f>
        <v>0.22567011379869545</v>
      </c>
      <c r="L101">
        <f>1/K101</f>
        <v>4.4312469345942285</v>
      </c>
    </row>
    <row r="102" spans="1:12" x14ac:dyDescent="0.3">
      <c r="A102">
        <v>192</v>
      </c>
      <c r="B102">
        <f t="shared" ref="B102:B124" si="32">L101-L102</f>
        <v>1.1830579749309154</v>
      </c>
      <c r="C102">
        <f t="shared" si="28"/>
        <v>1.1830579749309154</v>
      </c>
      <c r="D102" t="s">
        <v>26</v>
      </c>
      <c r="E102" t="s">
        <v>19</v>
      </c>
      <c r="F102">
        <v>1</v>
      </c>
      <c r="G102">
        <f t="shared" ref="G102:G125" si="33">G101+5</f>
        <v>45</v>
      </c>
      <c r="I102">
        <v>2030</v>
      </c>
      <c r="J102">
        <f t="shared" ref="J102:J124" si="34">AVERAGE(G102:G103)</f>
        <v>47.5</v>
      </c>
      <c r="K102" cm="1">
        <f t="array" ref="K102">STOWA2019_NDJF_T(A102*60,J102,I102,"","lower")</f>
        <v>0.30786386273034244</v>
      </c>
      <c r="L102">
        <f t="shared" ref="L102:L124" si="35">1/K102</f>
        <v>3.2481889596633131</v>
      </c>
    </row>
    <row r="103" spans="1:12" x14ac:dyDescent="0.3">
      <c r="A103">
        <v>192</v>
      </c>
      <c r="B103">
        <f t="shared" si="32"/>
        <v>0.87789126057066325</v>
      </c>
      <c r="C103">
        <f t="shared" si="28"/>
        <v>0.87789126057066325</v>
      </c>
      <c r="D103" t="s">
        <v>26</v>
      </c>
      <c r="E103" t="s">
        <v>19</v>
      </c>
      <c r="F103">
        <v>1</v>
      </c>
      <c r="G103">
        <f t="shared" si="33"/>
        <v>50</v>
      </c>
      <c r="I103">
        <v>2030</v>
      </c>
      <c r="J103">
        <f t="shared" si="34"/>
        <v>52.5</v>
      </c>
      <c r="K103" cm="1">
        <f t="array" ref="K103">STOWA2019_NDJF_T(A103*60,J103,I103,"","lower")</f>
        <v>0.42188793432268029</v>
      </c>
      <c r="L103">
        <f t="shared" si="35"/>
        <v>2.3702976990926499</v>
      </c>
    </row>
    <row r="104" spans="1:12" x14ac:dyDescent="0.3">
      <c r="A104">
        <v>192</v>
      </c>
      <c r="B104">
        <f t="shared" si="32"/>
        <v>0.64862518974584016</v>
      </c>
      <c r="C104">
        <f t="shared" si="28"/>
        <v>0.64862518974584016</v>
      </c>
      <c r="D104" t="s">
        <v>26</v>
      </c>
      <c r="E104" t="s">
        <v>19</v>
      </c>
      <c r="F104">
        <v>1</v>
      </c>
      <c r="G104">
        <f t="shared" si="33"/>
        <v>55</v>
      </c>
      <c r="I104">
        <v>2030</v>
      </c>
      <c r="J104">
        <f t="shared" si="34"/>
        <v>57.5</v>
      </c>
      <c r="K104" cm="1">
        <f t="array" ref="K104">STOWA2019_NDJF_T(A104*60,J104,I104,"","lower")</f>
        <v>0.5808305555040737</v>
      </c>
      <c r="L104">
        <f t="shared" si="35"/>
        <v>1.7216725093468097</v>
      </c>
    </row>
    <row r="105" spans="1:12" x14ac:dyDescent="0.3">
      <c r="A105">
        <v>192</v>
      </c>
      <c r="B105">
        <f t="shared" si="32"/>
        <v>0.4770857086132132</v>
      </c>
      <c r="C105">
        <f t="shared" si="28"/>
        <v>0.4770857086132132</v>
      </c>
      <c r="D105" t="s">
        <v>26</v>
      </c>
      <c r="E105" t="s">
        <v>19</v>
      </c>
      <c r="F105">
        <v>1</v>
      </c>
      <c r="G105">
        <f t="shared" si="33"/>
        <v>60</v>
      </c>
      <c r="I105">
        <v>2030</v>
      </c>
      <c r="J105">
        <f t="shared" si="34"/>
        <v>62.5</v>
      </c>
      <c r="K105" cm="1">
        <f t="array" ref="K105">STOWA2019_NDJF_T(A105*60,J105,I105,"","lower")</f>
        <v>0.80347951578031385</v>
      </c>
      <c r="L105">
        <f t="shared" si="35"/>
        <v>1.2445868007335965</v>
      </c>
    </row>
    <row r="106" spans="1:12" x14ac:dyDescent="0.3">
      <c r="A106">
        <v>192</v>
      </c>
      <c r="B106">
        <f t="shared" si="32"/>
        <v>0.3492370603426066</v>
      </c>
      <c r="C106">
        <f t="shared" si="28"/>
        <v>0.3492370603426066</v>
      </c>
      <c r="D106" t="s">
        <v>26</v>
      </c>
      <c r="E106" t="s">
        <v>19</v>
      </c>
      <c r="F106">
        <v>1</v>
      </c>
      <c r="G106">
        <f t="shared" si="33"/>
        <v>65</v>
      </c>
      <c r="I106">
        <v>2030</v>
      </c>
      <c r="J106">
        <f t="shared" si="34"/>
        <v>67.5</v>
      </c>
      <c r="K106" cm="1">
        <f t="array" ref="K106">STOWA2019_NDJF_T(A106*60,J106,I106,"","lower")</f>
        <v>1.1168819902302205</v>
      </c>
      <c r="L106">
        <f t="shared" si="35"/>
        <v>0.89534974039098991</v>
      </c>
    </row>
    <row r="107" spans="1:12" x14ac:dyDescent="0.3">
      <c r="A107">
        <v>192</v>
      </c>
      <c r="B107">
        <f t="shared" si="32"/>
        <v>0.25453484676107252</v>
      </c>
      <c r="C107">
        <f t="shared" si="28"/>
        <v>0.25453484676107252</v>
      </c>
      <c r="D107" t="s">
        <v>26</v>
      </c>
      <c r="E107" t="s">
        <v>19</v>
      </c>
      <c r="F107">
        <v>1</v>
      </c>
      <c r="G107">
        <f t="shared" si="33"/>
        <v>70</v>
      </c>
      <c r="I107">
        <v>2030</v>
      </c>
      <c r="J107">
        <f t="shared" si="34"/>
        <v>72.5</v>
      </c>
      <c r="K107" cm="1">
        <f t="array" ref="K107">STOWA2019_NDJF_T(A107*60,J107,I107,"","lower")</f>
        <v>1.5605130435334713</v>
      </c>
      <c r="L107">
        <f t="shared" si="35"/>
        <v>0.64081489362991739</v>
      </c>
    </row>
    <row r="108" spans="1:12" x14ac:dyDescent="0.3">
      <c r="A108">
        <v>192</v>
      </c>
      <c r="B108">
        <f t="shared" si="32"/>
        <v>0.1845642176691501</v>
      </c>
      <c r="C108">
        <f t="shared" si="28"/>
        <v>0.1845642176691501</v>
      </c>
      <c r="D108" t="s">
        <v>26</v>
      </c>
      <c r="E108" t="s">
        <v>19</v>
      </c>
      <c r="F108">
        <v>1</v>
      </c>
      <c r="G108">
        <f t="shared" si="33"/>
        <v>75</v>
      </c>
      <c r="I108">
        <v>2030</v>
      </c>
      <c r="J108">
        <f t="shared" si="34"/>
        <v>77.5</v>
      </c>
      <c r="K108" cm="1">
        <f t="array" ref="K108">STOWA2019_NDJF_T(A108*60,J108,I108,"","lower")</f>
        <v>2.1917775746725456</v>
      </c>
      <c r="L108">
        <f t="shared" si="35"/>
        <v>0.45625067596076729</v>
      </c>
    </row>
    <row r="109" spans="1:12" x14ac:dyDescent="0.3">
      <c r="A109">
        <v>192</v>
      </c>
      <c r="B109">
        <f t="shared" si="32"/>
        <v>0.13315265317604186</v>
      </c>
      <c r="C109">
        <f t="shared" si="28"/>
        <v>0.13315265317604186</v>
      </c>
      <c r="D109" t="s">
        <v>26</v>
      </c>
      <c r="E109" t="s">
        <v>19</v>
      </c>
      <c r="F109">
        <v>1</v>
      </c>
      <c r="G109">
        <f t="shared" si="33"/>
        <v>80</v>
      </c>
      <c r="I109">
        <v>2030</v>
      </c>
      <c r="J109">
        <f t="shared" si="34"/>
        <v>82.5</v>
      </c>
      <c r="K109" cm="1">
        <f t="array" ref="K109">STOWA2019_NDJF_T(A109*60,J109,I109,"","lower")</f>
        <v>3.0950359627124135</v>
      </c>
      <c r="L109">
        <f t="shared" si="35"/>
        <v>0.32309802278472544</v>
      </c>
    </row>
    <row r="110" spans="1:12" x14ac:dyDescent="0.3">
      <c r="A110">
        <v>192</v>
      </c>
      <c r="B110">
        <f t="shared" si="32"/>
        <v>9.5565507299977009E-2</v>
      </c>
      <c r="C110">
        <f t="shared" si="28"/>
        <v>9.5565507299977009E-2</v>
      </c>
      <c r="D110" t="s">
        <v>26</v>
      </c>
      <c r="E110" t="s">
        <v>19</v>
      </c>
      <c r="F110">
        <v>1</v>
      </c>
      <c r="G110">
        <f t="shared" si="33"/>
        <v>85</v>
      </c>
      <c r="I110">
        <v>2030</v>
      </c>
      <c r="J110">
        <f t="shared" si="34"/>
        <v>87.5</v>
      </c>
      <c r="K110" cm="1">
        <f t="array" ref="K110">STOWA2019_NDJF_T(A110*60,J110,I110,"","lower")</f>
        <v>4.3949762427121337</v>
      </c>
      <c r="L110">
        <f t="shared" si="35"/>
        <v>0.22753251548474843</v>
      </c>
    </row>
    <row r="111" spans="1:12" x14ac:dyDescent="0.3">
      <c r="A111">
        <v>192</v>
      </c>
      <c r="B111">
        <f t="shared" si="32"/>
        <v>6.821650337248808E-2</v>
      </c>
      <c r="C111">
        <f t="shared" si="28"/>
        <v>6.821650337248808E-2</v>
      </c>
      <c r="D111" t="s">
        <v>26</v>
      </c>
      <c r="E111" t="s">
        <v>19</v>
      </c>
      <c r="F111">
        <v>1</v>
      </c>
      <c r="G111">
        <f t="shared" si="33"/>
        <v>90</v>
      </c>
      <c r="I111">
        <v>2030</v>
      </c>
      <c r="J111">
        <f t="shared" si="34"/>
        <v>92.5</v>
      </c>
      <c r="K111" cm="1">
        <f t="array" ref="K111">STOWA2019_NDJF_T(A111*60,J111,I111,"","lower")</f>
        <v>6.2768329858480296</v>
      </c>
      <c r="L111">
        <f t="shared" si="35"/>
        <v>0.15931601211226035</v>
      </c>
    </row>
    <row r="112" spans="1:12" x14ac:dyDescent="0.3">
      <c r="A112">
        <v>192</v>
      </c>
      <c r="B112">
        <f t="shared" si="32"/>
        <v>4.8426080879563974E-2</v>
      </c>
      <c r="C112">
        <f t="shared" si="28"/>
        <v>4.8426080879563974E-2</v>
      </c>
      <c r="D112" t="s">
        <v>26</v>
      </c>
      <c r="E112" t="s">
        <v>19</v>
      </c>
      <c r="F112">
        <v>1</v>
      </c>
      <c r="G112">
        <f t="shared" si="33"/>
        <v>95</v>
      </c>
      <c r="I112">
        <v>2030</v>
      </c>
      <c r="J112">
        <f t="shared" si="34"/>
        <v>97.5</v>
      </c>
      <c r="K112" cm="1">
        <f t="array" ref="K112">STOWA2019_NDJF_T(A112*60,J112,I112,"","lower")</f>
        <v>9.01795130435743</v>
      </c>
      <c r="L112">
        <f t="shared" si="35"/>
        <v>0.11088993123269637</v>
      </c>
    </row>
    <row r="113" spans="1:12" x14ac:dyDescent="0.3">
      <c r="A113">
        <v>192</v>
      </c>
      <c r="B113">
        <f t="shared" si="32"/>
        <v>3.4178906768233222E-2</v>
      </c>
      <c r="C113">
        <f t="shared" si="28"/>
        <v>3.4178906768233222E-2</v>
      </c>
      <c r="D113" t="s">
        <v>26</v>
      </c>
      <c r="E113" t="s">
        <v>19</v>
      </c>
      <c r="F113">
        <v>1</v>
      </c>
      <c r="G113">
        <f t="shared" si="33"/>
        <v>100</v>
      </c>
      <c r="I113">
        <v>2030</v>
      </c>
      <c r="J113">
        <f t="shared" si="34"/>
        <v>102.5</v>
      </c>
      <c r="K113" cm="1">
        <f t="array" ref="K113">STOWA2019_NDJF_T(A113*60,J113,I113,"","lower")</f>
        <v>13.035935929434187</v>
      </c>
      <c r="L113">
        <f t="shared" si="35"/>
        <v>7.6711024464463151E-2</v>
      </c>
    </row>
    <row r="114" spans="1:12" x14ac:dyDescent="0.3">
      <c r="A114">
        <v>192</v>
      </c>
      <c r="B114">
        <f t="shared" si="32"/>
        <v>2.3980215867781152E-2</v>
      </c>
      <c r="C114">
        <f t="shared" si="28"/>
        <v>2.3980215867781152E-2</v>
      </c>
      <c r="D114" t="s">
        <v>26</v>
      </c>
      <c r="E114" t="s">
        <v>19</v>
      </c>
      <c r="F114">
        <v>1</v>
      </c>
      <c r="G114">
        <f t="shared" si="33"/>
        <v>105</v>
      </c>
      <c r="I114">
        <v>2030</v>
      </c>
      <c r="J114">
        <f t="shared" si="34"/>
        <v>107.5</v>
      </c>
      <c r="K114" cm="1">
        <f t="array" ref="K114">STOWA2019_NDJF_T(A114*60,J114,I114,"","lower")</f>
        <v>18.964245506808393</v>
      </c>
      <c r="L114">
        <f t="shared" si="35"/>
        <v>5.2730808596681999E-2</v>
      </c>
    </row>
    <row r="115" spans="1:12" x14ac:dyDescent="0.3">
      <c r="A115">
        <v>192</v>
      </c>
      <c r="B115">
        <f t="shared" si="32"/>
        <v>1.6721462839027361E-2</v>
      </c>
      <c r="C115">
        <f t="shared" si="28"/>
        <v>1.6721462839027361E-2</v>
      </c>
      <c r="D115" t="s">
        <v>26</v>
      </c>
      <c r="E115" t="s">
        <v>19</v>
      </c>
      <c r="F115">
        <v>1</v>
      </c>
      <c r="G115">
        <f t="shared" si="33"/>
        <v>110</v>
      </c>
      <c r="I115">
        <v>2030</v>
      </c>
      <c r="J115">
        <f t="shared" si="34"/>
        <v>112.5</v>
      </c>
      <c r="K115" cm="1">
        <f t="array" ref="K115">STOWA2019_NDJF_T(A115*60,J115,I115,"","lower")</f>
        <v>27.7705684166013</v>
      </c>
      <c r="L115">
        <f t="shared" si="35"/>
        <v>3.6009345757654639E-2</v>
      </c>
    </row>
    <row r="116" spans="1:12" x14ac:dyDescent="0.3">
      <c r="A116">
        <v>192</v>
      </c>
      <c r="B116">
        <f t="shared" si="32"/>
        <v>1.1585829488775259E-2</v>
      </c>
      <c r="C116">
        <f t="shared" si="28"/>
        <v>1.1585829488775259E-2</v>
      </c>
      <c r="D116" t="s">
        <v>26</v>
      </c>
      <c r="E116" t="s">
        <v>19</v>
      </c>
      <c r="F116">
        <v>1</v>
      </c>
      <c r="G116">
        <f t="shared" si="33"/>
        <v>115</v>
      </c>
      <c r="I116">
        <v>2030</v>
      </c>
      <c r="J116">
        <f t="shared" si="34"/>
        <v>117.5</v>
      </c>
      <c r="K116" cm="1">
        <f t="array" ref="K116">STOWA2019_NDJF_T(A116*60,J116,I116,"","lower")</f>
        <v>40.944145347089403</v>
      </c>
      <c r="L116">
        <f t="shared" si="35"/>
        <v>2.442351626887938E-2</v>
      </c>
    </row>
    <row r="117" spans="1:12" x14ac:dyDescent="0.3">
      <c r="A117">
        <v>192</v>
      </c>
      <c r="B117">
        <f t="shared" si="32"/>
        <v>7.9747682668759798E-3</v>
      </c>
      <c r="C117">
        <f t="shared" si="28"/>
        <v>7.9747682668759798E-3</v>
      </c>
      <c r="D117" t="s">
        <v>26</v>
      </c>
      <c r="E117" t="s">
        <v>19</v>
      </c>
      <c r="F117">
        <v>1</v>
      </c>
      <c r="G117">
        <f t="shared" si="33"/>
        <v>120</v>
      </c>
      <c r="I117">
        <v>2030</v>
      </c>
      <c r="J117">
        <f t="shared" si="34"/>
        <v>122.5</v>
      </c>
      <c r="K117" cm="1">
        <f t="array" ref="K117">STOWA2019_NDJF_T(A117*60,J117,I117,"","lower")</f>
        <v>60.794900613603147</v>
      </c>
      <c r="L117">
        <f t="shared" si="35"/>
        <v>1.64487480020034E-2</v>
      </c>
    </row>
    <row r="118" spans="1:12" x14ac:dyDescent="0.3">
      <c r="A118">
        <v>192</v>
      </c>
      <c r="B118">
        <f t="shared" si="32"/>
        <v>5.4515653293378628E-3</v>
      </c>
      <c r="C118">
        <f t="shared" si="28"/>
        <v>5.4515653293378628E-3</v>
      </c>
      <c r="D118" t="s">
        <v>26</v>
      </c>
      <c r="E118" t="s">
        <v>19</v>
      </c>
      <c r="F118">
        <v>1</v>
      </c>
      <c r="G118">
        <f t="shared" si="33"/>
        <v>125</v>
      </c>
      <c r="I118">
        <v>2030</v>
      </c>
      <c r="J118">
        <f t="shared" si="34"/>
        <v>127.5</v>
      </c>
      <c r="K118" cm="1">
        <f t="array" ref="K118">STOWA2019_NDJF_T(A118*60,J118,I118,"","lower")</f>
        <v>90.93238057103369</v>
      </c>
      <c r="L118">
        <f t="shared" si="35"/>
        <v>1.0997182672665537E-2</v>
      </c>
    </row>
    <row r="119" spans="1:12" x14ac:dyDescent="0.3">
      <c r="A119">
        <v>192</v>
      </c>
      <c r="B119">
        <f t="shared" si="32"/>
        <v>3.7004526953714843E-3</v>
      </c>
      <c r="C119">
        <f t="shared" si="28"/>
        <v>3.7004526953714843E-3</v>
      </c>
      <c r="D119" t="s">
        <v>26</v>
      </c>
      <c r="E119" t="s">
        <v>19</v>
      </c>
      <c r="F119">
        <v>1</v>
      </c>
      <c r="G119">
        <f t="shared" si="33"/>
        <v>130</v>
      </c>
      <c r="I119">
        <v>2030</v>
      </c>
      <c r="J119">
        <f t="shared" si="34"/>
        <v>132.5</v>
      </c>
      <c r="K119" cm="1">
        <f t="array" ref="K119">STOWA2019_NDJF_T(A119*60,J119,I119,"","lower")</f>
        <v>137.04769165253444</v>
      </c>
      <c r="L119">
        <f t="shared" si="35"/>
        <v>7.296729977294053E-3</v>
      </c>
    </row>
    <row r="120" spans="1:12" x14ac:dyDescent="0.3">
      <c r="A120">
        <v>192</v>
      </c>
      <c r="B120">
        <f t="shared" si="32"/>
        <v>2.4933533470092601E-3</v>
      </c>
      <c r="C120">
        <f t="shared" si="28"/>
        <v>2.4933533470092601E-3</v>
      </c>
      <c r="D120" t="s">
        <v>26</v>
      </c>
      <c r="E120" t="s">
        <v>19</v>
      </c>
      <c r="F120">
        <v>1</v>
      </c>
      <c r="G120">
        <f t="shared" si="33"/>
        <v>135</v>
      </c>
      <c r="I120">
        <v>2030</v>
      </c>
      <c r="J120">
        <f t="shared" si="34"/>
        <v>137.5</v>
      </c>
      <c r="K120" cm="1">
        <f t="array" ref="K120">STOWA2019_NDJF_T(A120*60,J120,I120,"","lower")</f>
        <v>208.186881223326</v>
      </c>
      <c r="L120">
        <f t="shared" si="35"/>
        <v>4.8033766302847929E-3</v>
      </c>
    </row>
    <row r="121" spans="1:12" x14ac:dyDescent="0.3">
      <c r="A121">
        <v>192</v>
      </c>
      <c r="B121">
        <f t="shared" si="32"/>
        <v>1.6671493773863242E-3</v>
      </c>
      <c r="C121">
        <f t="shared" si="28"/>
        <v>1.6671493773863242E-3</v>
      </c>
      <c r="D121" t="s">
        <v>26</v>
      </c>
      <c r="E121" t="s">
        <v>19</v>
      </c>
      <c r="F121">
        <v>1</v>
      </c>
      <c r="G121">
        <f t="shared" si="33"/>
        <v>140</v>
      </c>
      <c r="I121">
        <v>2030</v>
      </c>
      <c r="J121">
        <f t="shared" si="34"/>
        <v>142.5</v>
      </c>
      <c r="K121" cm="1">
        <f t="array" ref="K121">STOWA2019_NDJF_T(A121*60,J121,I121,"","lower")</f>
        <v>318.85444496275272</v>
      </c>
      <c r="L121">
        <f t="shared" si="35"/>
        <v>3.1362272528984688E-3</v>
      </c>
    </row>
    <row r="122" spans="1:12" x14ac:dyDescent="0.3">
      <c r="A122">
        <v>192</v>
      </c>
      <c r="B122">
        <f t="shared" si="32"/>
        <v>1.1059132553296988E-3</v>
      </c>
      <c r="C122">
        <f t="shared" si="28"/>
        <v>1.1059132553296988E-3</v>
      </c>
      <c r="D122" t="s">
        <v>26</v>
      </c>
      <c r="E122" t="s">
        <v>19</v>
      </c>
      <c r="F122">
        <v>1</v>
      </c>
      <c r="G122">
        <f t="shared" si="33"/>
        <v>145</v>
      </c>
      <c r="I122">
        <v>2030</v>
      </c>
      <c r="J122">
        <f t="shared" si="34"/>
        <v>147.5</v>
      </c>
      <c r="K122" cm="1">
        <f t="array" ref="K122">STOWA2019_NDJF_T(A122*60,J122,I122,"","lower")</f>
        <v>492.53465286525386</v>
      </c>
      <c r="L122">
        <f t="shared" si="35"/>
        <v>2.0303139975687699E-3</v>
      </c>
    </row>
    <row r="123" spans="1:12" x14ac:dyDescent="0.3">
      <c r="A123">
        <v>192</v>
      </c>
      <c r="B123">
        <f t="shared" si="32"/>
        <v>7.2755176364172765E-4</v>
      </c>
      <c r="C123">
        <f t="shared" si="28"/>
        <v>7.2755176364172765E-4</v>
      </c>
      <c r="D123" t="s">
        <v>26</v>
      </c>
      <c r="E123" t="s">
        <v>19</v>
      </c>
      <c r="F123">
        <v>1</v>
      </c>
      <c r="G123">
        <f t="shared" si="33"/>
        <v>150</v>
      </c>
      <c r="I123">
        <v>2030</v>
      </c>
      <c r="J123">
        <f t="shared" si="34"/>
        <v>152.5</v>
      </c>
      <c r="K123" cm="1">
        <f t="array" ref="K123">STOWA2019_NDJF_T(A123*60,J123,I123,"","lower")</f>
        <v>767.59977681084843</v>
      </c>
      <c r="L123">
        <f t="shared" si="35"/>
        <v>1.3027622339270423E-3</v>
      </c>
    </row>
    <row r="124" spans="1:12" x14ac:dyDescent="0.3">
      <c r="A124">
        <v>192</v>
      </c>
      <c r="B124">
        <f t="shared" si="32"/>
        <v>4.7453343629096686E-4</v>
      </c>
      <c r="C124">
        <f t="shared" si="28"/>
        <v>4.7453343629096686E-4</v>
      </c>
      <c r="D124" t="s">
        <v>26</v>
      </c>
      <c r="E124" t="s">
        <v>19</v>
      </c>
      <c r="F124">
        <v>1</v>
      </c>
      <c r="G124">
        <f t="shared" si="33"/>
        <v>155</v>
      </c>
      <c r="I124">
        <v>2030</v>
      </c>
      <c r="J124">
        <f t="shared" si="34"/>
        <v>157.5</v>
      </c>
      <c r="K124" cm="1">
        <f t="array" ref="K124">STOWA2019_NDJF_T(A124*60,J124,I124,"","lower")</f>
        <v>1207.3958341634493</v>
      </c>
      <c r="L124">
        <f t="shared" si="35"/>
        <v>8.2822879763607543E-4</v>
      </c>
    </row>
    <row r="125" spans="1:12" x14ac:dyDescent="0.3">
      <c r="A125">
        <v>192</v>
      </c>
      <c r="B125" s="1">
        <f>L124</f>
        <v>8.2822879763607543E-4</v>
      </c>
      <c r="C125">
        <f t="shared" si="28"/>
        <v>8.2822879763607543E-4</v>
      </c>
      <c r="D125" t="s">
        <v>26</v>
      </c>
      <c r="E125" t="s">
        <v>19</v>
      </c>
      <c r="F125">
        <v>1</v>
      </c>
      <c r="G125">
        <f t="shared" si="33"/>
        <v>160</v>
      </c>
      <c r="I125">
        <v>2030</v>
      </c>
      <c r="J125">
        <f>AVERAGE(G125:G126)</f>
        <v>85</v>
      </c>
      <c r="K125" cm="1">
        <f t="array" ref="K125">STOWA2019_NDJF_T(A125*60,J125,I125,"","lower")</f>
        <v>3.6855650056243454</v>
      </c>
      <c r="L125">
        <f>1/K125</f>
        <v>0.27132881891214861</v>
      </c>
    </row>
    <row r="126" spans="1:12" x14ac:dyDescent="0.3">
      <c r="A126">
        <v>216</v>
      </c>
      <c r="B126" s="1">
        <f>365.25*24/A126 - L126</f>
        <v>18.547165235269468</v>
      </c>
      <c r="C126">
        <f>B126</f>
        <v>18.547165235269468</v>
      </c>
      <c r="D126" t="s">
        <v>26</v>
      </c>
      <c r="E126" t="s">
        <v>19</v>
      </c>
      <c r="F126">
        <v>1</v>
      </c>
      <c r="G126">
        <v>10</v>
      </c>
      <c r="I126">
        <v>2030</v>
      </c>
      <c r="J126">
        <f>AVERAGE(G126:G128)</f>
        <v>15</v>
      </c>
      <c r="K126" cm="1">
        <f t="array" ref="K126">STOWA2019_NDJF_T(A126*60,J126,I126,"","lower")</f>
        <v>4.5379940629871197E-2</v>
      </c>
      <c r="L126">
        <f>1/K126</f>
        <v>22.036168098063868</v>
      </c>
    </row>
    <row r="127" spans="1:12" x14ac:dyDescent="0.3">
      <c r="A127">
        <v>216</v>
      </c>
      <c r="B127">
        <f t="shared" ref="B127:B131" si="36">L126-L127</f>
        <v>2.6578065734702392</v>
      </c>
      <c r="C127">
        <f t="shared" ref="C127:C156" si="37">B127</f>
        <v>2.6578065734702392</v>
      </c>
      <c r="D127" t="s">
        <v>26</v>
      </c>
      <c r="E127" t="s">
        <v>19</v>
      </c>
      <c r="F127">
        <v>1</v>
      </c>
      <c r="G127">
        <f t="shared" ref="G127:G131" si="38">G126+5</f>
        <v>15</v>
      </c>
      <c r="I127">
        <v>2030</v>
      </c>
      <c r="J127">
        <f t="shared" ref="J127:J131" si="39">AVERAGE(G127:G128)</f>
        <v>17.5</v>
      </c>
      <c r="K127" cm="1">
        <f t="array" ref="K127">STOWA2019_NDJF_T(A127*60,J127,I127,"","lower")</f>
        <v>5.1603950041435219E-2</v>
      </c>
      <c r="L127">
        <f t="shared" ref="L127:L131" si="40">1/K127</f>
        <v>19.378361524593629</v>
      </c>
    </row>
    <row r="128" spans="1:12" x14ac:dyDescent="0.3">
      <c r="A128">
        <v>216</v>
      </c>
      <c r="B128">
        <f t="shared" si="36"/>
        <v>4.4400290745677982</v>
      </c>
      <c r="C128">
        <f t="shared" si="37"/>
        <v>4.4400290745677982</v>
      </c>
      <c r="D128" t="s">
        <v>26</v>
      </c>
      <c r="E128" t="s">
        <v>19</v>
      </c>
      <c r="F128">
        <v>1</v>
      </c>
      <c r="G128">
        <f t="shared" si="38"/>
        <v>20</v>
      </c>
      <c r="I128">
        <v>2030</v>
      </c>
      <c r="J128">
        <f t="shared" si="39"/>
        <v>22.5</v>
      </c>
      <c r="K128" cm="1">
        <f t="array" ref="K128">STOWA2019_NDJF_T(A128*60,J128,I128,"","lower")</f>
        <v>6.6941876099314609E-2</v>
      </c>
      <c r="L128">
        <f t="shared" si="40"/>
        <v>14.938332450025831</v>
      </c>
    </row>
    <row r="129" spans="1:12" x14ac:dyDescent="0.3">
      <c r="A129">
        <v>216</v>
      </c>
      <c r="B129">
        <f t="shared" si="36"/>
        <v>3.4725563492342424</v>
      </c>
      <c r="C129">
        <f t="shared" si="37"/>
        <v>3.4725563492342424</v>
      </c>
      <c r="D129" t="s">
        <v>26</v>
      </c>
      <c r="E129" t="s">
        <v>19</v>
      </c>
      <c r="F129">
        <v>1</v>
      </c>
      <c r="G129">
        <f t="shared" si="38"/>
        <v>25</v>
      </c>
      <c r="I129">
        <v>2030</v>
      </c>
      <c r="J129">
        <f t="shared" si="39"/>
        <v>27.5</v>
      </c>
      <c r="K129" cm="1">
        <f t="array" ref="K129">STOWA2019_NDJF_T(A129*60,J129,I129,"","lower")</f>
        <v>8.7216076016952818E-2</v>
      </c>
      <c r="L129">
        <f t="shared" si="40"/>
        <v>11.465776100791588</v>
      </c>
    </row>
    <row r="130" spans="1:12" x14ac:dyDescent="0.3">
      <c r="A130">
        <v>216</v>
      </c>
      <c r="B130">
        <f t="shared" si="36"/>
        <v>2.7047231177055799</v>
      </c>
      <c r="C130">
        <f t="shared" si="37"/>
        <v>2.7047231177055799</v>
      </c>
      <c r="D130" t="s">
        <v>26</v>
      </c>
      <c r="E130" t="s">
        <v>19</v>
      </c>
      <c r="F130">
        <v>1</v>
      </c>
      <c r="G130">
        <f t="shared" si="38"/>
        <v>30</v>
      </c>
      <c r="I130">
        <v>2030</v>
      </c>
      <c r="J130">
        <f t="shared" si="39"/>
        <v>32.5</v>
      </c>
      <c r="K130" cm="1">
        <f t="array" ref="K130">STOWA2019_NDJF_T(A130*60,J130,I130,"","lower")</f>
        <v>0.11414153092448921</v>
      </c>
      <c r="L130">
        <f t="shared" si="40"/>
        <v>8.7610529830860084</v>
      </c>
    </row>
    <row r="131" spans="1:12" x14ac:dyDescent="0.3">
      <c r="A131">
        <v>216</v>
      </c>
      <c r="B131">
        <f t="shared" si="36"/>
        <v>2.0976766778342411</v>
      </c>
      <c r="C131">
        <f t="shared" si="37"/>
        <v>2.0976766778342411</v>
      </c>
      <c r="D131" t="s">
        <v>26</v>
      </c>
      <c r="E131" t="s">
        <v>19</v>
      </c>
      <c r="F131">
        <v>1</v>
      </c>
      <c r="G131">
        <f t="shared" si="38"/>
        <v>35</v>
      </c>
      <c r="I131">
        <v>2030</v>
      </c>
      <c r="J131">
        <f t="shared" si="39"/>
        <v>37.5</v>
      </c>
      <c r="K131" cm="1">
        <f t="array" ref="K131">STOWA2019_NDJF_T(A131*60,J131,I131,"","lower")</f>
        <v>0.15007406968924236</v>
      </c>
      <c r="L131">
        <f t="shared" si="40"/>
        <v>6.6633763052517674</v>
      </c>
    </row>
    <row r="132" spans="1:12" x14ac:dyDescent="0.3">
      <c r="A132">
        <v>216</v>
      </c>
      <c r="B132">
        <f>L131-L132</f>
        <v>1.6197011803992645</v>
      </c>
      <c r="C132">
        <f t="shared" si="37"/>
        <v>1.6197011803992645</v>
      </c>
      <c r="D132" t="s">
        <v>26</v>
      </c>
      <c r="E132" t="s">
        <v>19</v>
      </c>
      <c r="F132">
        <v>1</v>
      </c>
      <c r="G132">
        <f>G131+5</f>
        <v>40</v>
      </c>
      <c r="I132">
        <v>2030</v>
      </c>
      <c r="J132">
        <f>AVERAGE(G132:G133)</f>
        <v>42.5</v>
      </c>
      <c r="K132" cm="1">
        <f t="array" ref="K132">STOWA2019_NDJF_T(A132*60,J132,I132,"","lower")</f>
        <v>0.19826812299478624</v>
      </c>
      <c r="L132">
        <f>1/K132</f>
        <v>5.0436751248525029</v>
      </c>
    </row>
    <row r="133" spans="1:12" x14ac:dyDescent="0.3">
      <c r="A133">
        <v>216</v>
      </c>
      <c r="B133">
        <f t="shared" ref="B133:B155" si="41">L132-L133</f>
        <v>1.2449585576081859</v>
      </c>
      <c r="C133">
        <f t="shared" si="37"/>
        <v>1.2449585576081859</v>
      </c>
      <c r="D133" t="s">
        <v>26</v>
      </c>
      <c r="E133" t="s">
        <v>19</v>
      </c>
      <c r="F133">
        <v>1</v>
      </c>
      <c r="G133">
        <f t="shared" ref="G133:G156" si="42">G132+5</f>
        <v>45</v>
      </c>
      <c r="I133">
        <v>2030</v>
      </c>
      <c r="J133">
        <f t="shared" ref="J133:J155" si="43">AVERAGE(G133:G134)</f>
        <v>47.5</v>
      </c>
      <c r="K133" cm="1">
        <f t="array" ref="K133">STOWA2019_NDJF_T(A133*60,J133,I133,"","lower")</f>
        <v>0.2632468051506735</v>
      </c>
      <c r="L133">
        <f t="shared" ref="L133:L155" si="44">1/K133</f>
        <v>3.7987165672443171</v>
      </c>
    </row>
    <row r="134" spans="1:12" x14ac:dyDescent="0.3">
      <c r="A134">
        <v>216</v>
      </c>
      <c r="B134">
        <f t="shared" si="41"/>
        <v>0.9523392992058648</v>
      </c>
      <c r="C134">
        <f t="shared" si="37"/>
        <v>0.9523392992058648</v>
      </c>
      <c r="D134" t="s">
        <v>26</v>
      </c>
      <c r="E134" t="s">
        <v>19</v>
      </c>
      <c r="F134">
        <v>1</v>
      </c>
      <c r="G134">
        <f t="shared" si="42"/>
        <v>50</v>
      </c>
      <c r="I134">
        <v>2030</v>
      </c>
      <c r="J134">
        <f t="shared" si="43"/>
        <v>52.5</v>
      </c>
      <c r="K134" cm="1">
        <f t="array" ref="K134">STOWA2019_NDJF_T(A134*60,J134,I134,"","lower")</f>
        <v>0.35132377258238096</v>
      </c>
      <c r="L134">
        <f t="shared" si="44"/>
        <v>2.8463772680384523</v>
      </c>
    </row>
    <row r="135" spans="1:12" x14ac:dyDescent="0.3">
      <c r="A135">
        <v>216</v>
      </c>
      <c r="B135">
        <f t="shared" si="41"/>
        <v>0.72496976378707068</v>
      </c>
      <c r="C135">
        <f t="shared" si="37"/>
        <v>0.72496976378707068</v>
      </c>
      <c r="D135" t="s">
        <v>26</v>
      </c>
      <c r="E135" t="s">
        <v>19</v>
      </c>
      <c r="F135">
        <v>1</v>
      </c>
      <c r="G135">
        <f t="shared" si="42"/>
        <v>55</v>
      </c>
      <c r="I135">
        <v>2030</v>
      </c>
      <c r="J135">
        <f t="shared" si="43"/>
        <v>57.5</v>
      </c>
      <c r="K135" cm="1">
        <f t="array" ref="K135">STOWA2019_NDJF_T(A135*60,J135,I135,"","lower")</f>
        <v>0.47138515254422442</v>
      </c>
      <c r="L135">
        <f t="shared" si="44"/>
        <v>2.1214075042513816</v>
      </c>
    </row>
    <row r="136" spans="1:12" x14ac:dyDescent="0.3">
      <c r="A136">
        <v>216</v>
      </c>
      <c r="B136">
        <f t="shared" si="41"/>
        <v>0.54905611098722895</v>
      </c>
      <c r="C136">
        <f t="shared" si="37"/>
        <v>0.54905611098722895</v>
      </c>
      <c r="D136" t="s">
        <v>26</v>
      </c>
      <c r="E136" t="s">
        <v>19</v>
      </c>
      <c r="F136">
        <v>1</v>
      </c>
      <c r="G136">
        <f t="shared" si="42"/>
        <v>60</v>
      </c>
      <c r="I136">
        <v>2030</v>
      </c>
      <c r="J136">
        <f t="shared" si="43"/>
        <v>62.5</v>
      </c>
      <c r="K136" cm="1">
        <f t="array" ref="K136">STOWA2019_NDJF_T(A136*60,J136,I136,"","lower")</f>
        <v>0.63599015098274636</v>
      </c>
      <c r="L136">
        <f t="shared" si="44"/>
        <v>1.5723513932641526</v>
      </c>
    </row>
    <row r="137" spans="1:12" x14ac:dyDescent="0.3">
      <c r="A137">
        <v>216</v>
      </c>
      <c r="B137">
        <f t="shared" si="41"/>
        <v>0.41364955348623966</v>
      </c>
      <c r="C137">
        <f t="shared" si="37"/>
        <v>0.41364955348623966</v>
      </c>
      <c r="D137" t="s">
        <v>26</v>
      </c>
      <c r="E137" t="s">
        <v>19</v>
      </c>
      <c r="F137">
        <v>1</v>
      </c>
      <c r="G137">
        <f t="shared" si="42"/>
        <v>65</v>
      </c>
      <c r="I137">
        <v>2030</v>
      </c>
      <c r="J137">
        <f t="shared" si="43"/>
        <v>67.5</v>
      </c>
      <c r="K137" cm="1">
        <f t="array" ref="K137">STOWA2019_NDJF_T(A137*60,J137,I137,"","lower")</f>
        <v>0.86303479089294344</v>
      </c>
      <c r="L137">
        <f t="shared" si="44"/>
        <v>1.158701839777913</v>
      </c>
    </row>
    <row r="138" spans="1:12" x14ac:dyDescent="0.3">
      <c r="A138">
        <v>216</v>
      </c>
      <c r="B138">
        <f t="shared" si="41"/>
        <v>0.3098657471109828</v>
      </c>
      <c r="C138">
        <f t="shared" si="37"/>
        <v>0.3098657471109828</v>
      </c>
      <c r="D138" t="s">
        <v>26</v>
      </c>
      <c r="E138" t="s">
        <v>19</v>
      </c>
      <c r="F138">
        <v>1</v>
      </c>
      <c r="G138">
        <f t="shared" si="42"/>
        <v>70</v>
      </c>
      <c r="I138">
        <v>2030</v>
      </c>
      <c r="J138">
        <f t="shared" si="43"/>
        <v>72.5</v>
      </c>
      <c r="K138" cm="1">
        <f t="array" ref="K138">STOWA2019_NDJF_T(A138*60,J138,I138,"","lower")</f>
        <v>1.1780837415361698</v>
      </c>
      <c r="L138">
        <f t="shared" si="44"/>
        <v>0.84883609266693016</v>
      </c>
    </row>
    <row r="139" spans="1:12" x14ac:dyDescent="0.3">
      <c r="A139">
        <v>216</v>
      </c>
      <c r="B139">
        <f t="shared" si="41"/>
        <v>0.2308992660408925</v>
      </c>
      <c r="C139">
        <f t="shared" si="37"/>
        <v>0.2308992660408925</v>
      </c>
      <c r="D139" t="s">
        <v>26</v>
      </c>
      <c r="E139" t="s">
        <v>19</v>
      </c>
      <c r="F139">
        <v>1</v>
      </c>
      <c r="G139">
        <f t="shared" si="42"/>
        <v>75</v>
      </c>
      <c r="I139">
        <v>2030</v>
      </c>
      <c r="J139">
        <f t="shared" si="43"/>
        <v>77.5</v>
      </c>
      <c r="K139" cm="1">
        <f t="array" ref="K139">STOWA2019_NDJF_T(A139*60,J139,I139,"","lower")</f>
        <v>1.618288402489368</v>
      </c>
      <c r="L139">
        <f t="shared" si="44"/>
        <v>0.61793682662603766</v>
      </c>
    </row>
    <row r="140" spans="1:12" x14ac:dyDescent="0.3">
      <c r="A140">
        <v>216</v>
      </c>
      <c r="B140">
        <f t="shared" si="41"/>
        <v>0.17099484313882118</v>
      </c>
      <c r="C140">
        <f t="shared" si="37"/>
        <v>0.17099484313882118</v>
      </c>
      <c r="D140" t="s">
        <v>26</v>
      </c>
      <c r="E140" t="s">
        <v>19</v>
      </c>
      <c r="F140">
        <v>1</v>
      </c>
      <c r="G140">
        <f t="shared" si="42"/>
        <v>80</v>
      </c>
      <c r="I140">
        <v>2030</v>
      </c>
      <c r="J140">
        <f t="shared" si="43"/>
        <v>82.5</v>
      </c>
      <c r="K140" cm="1">
        <f t="array" ref="K140">STOWA2019_NDJF_T(A140*60,J140,I140,"","lower")</f>
        <v>2.2374268628729128</v>
      </c>
      <c r="L140">
        <f t="shared" si="44"/>
        <v>0.44694198348721648</v>
      </c>
    </row>
    <row r="141" spans="1:12" x14ac:dyDescent="0.3">
      <c r="A141">
        <v>216</v>
      </c>
      <c r="B141">
        <f t="shared" si="41"/>
        <v>0.12585276190244077</v>
      </c>
      <c r="C141">
        <f t="shared" si="37"/>
        <v>0.12585276190244077</v>
      </c>
      <c r="D141" t="s">
        <v>26</v>
      </c>
      <c r="E141" t="s">
        <v>19</v>
      </c>
      <c r="F141">
        <v>1</v>
      </c>
      <c r="G141">
        <f t="shared" si="42"/>
        <v>85</v>
      </c>
      <c r="I141">
        <v>2030</v>
      </c>
      <c r="J141">
        <f t="shared" si="43"/>
        <v>87.5</v>
      </c>
      <c r="K141" cm="1">
        <f t="array" ref="K141">STOWA2019_NDJF_T(A141*60,J141,I141,"","lower")</f>
        <v>3.1143991538064588</v>
      </c>
      <c r="L141">
        <f t="shared" si="44"/>
        <v>0.32108922158477571</v>
      </c>
    </row>
    <row r="142" spans="1:12" x14ac:dyDescent="0.3">
      <c r="A142">
        <v>216</v>
      </c>
      <c r="B142">
        <f t="shared" si="41"/>
        <v>9.2030249518007312E-2</v>
      </c>
      <c r="C142">
        <f t="shared" si="37"/>
        <v>9.2030249518007312E-2</v>
      </c>
      <c r="D142" t="s">
        <v>26</v>
      </c>
      <c r="E142" t="s">
        <v>19</v>
      </c>
      <c r="F142">
        <v>1</v>
      </c>
      <c r="G142">
        <f t="shared" si="42"/>
        <v>90</v>
      </c>
      <c r="I142">
        <v>2030</v>
      </c>
      <c r="J142">
        <f t="shared" si="43"/>
        <v>92.5</v>
      </c>
      <c r="K142" cm="1">
        <f t="array" ref="K142">STOWA2019_NDJF_T(A142*60,J142,I142,"","lower")</f>
        <v>4.3656879753590703</v>
      </c>
      <c r="L142">
        <f t="shared" si="44"/>
        <v>0.2290589720667684</v>
      </c>
    </row>
    <row r="143" spans="1:12" x14ac:dyDescent="0.3">
      <c r="A143">
        <v>216</v>
      </c>
      <c r="B143">
        <f t="shared" si="41"/>
        <v>6.6849285342130055E-2</v>
      </c>
      <c r="C143">
        <f t="shared" si="37"/>
        <v>6.6849285342130055E-2</v>
      </c>
      <c r="D143" t="s">
        <v>26</v>
      </c>
      <c r="E143" t="s">
        <v>19</v>
      </c>
      <c r="F143">
        <v>1</v>
      </c>
      <c r="G143">
        <f t="shared" si="42"/>
        <v>95</v>
      </c>
      <c r="I143">
        <v>2030</v>
      </c>
      <c r="J143">
        <f t="shared" si="43"/>
        <v>97.5</v>
      </c>
      <c r="K143" cm="1">
        <f t="array" ref="K143">STOWA2019_NDJF_T(A143*60,J143,I143,"","lower")</f>
        <v>6.1648599426590724</v>
      </c>
      <c r="L143">
        <f t="shared" si="44"/>
        <v>0.16220968672463834</v>
      </c>
    </row>
    <row r="144" spans="1:12" x14ac:dyDescent="0.3">
      <c r="A144">
        <v>216</v>
      </c>
      <c r="B144">
        <f t="shared" si="41"/>
        <v>4.8217263071297797E-2</v>
      </c>
      <c r="C144">
        <f t="shared" si="37"/>
        <v>4.8217263071297797E-2</v>
      </c>
      <c r="D144" t="s">
        <v>26</v>
      </c>
      <c r="E144" t="s">
        <v>19</v>
      </c>
      <c r="F144">
        <v>1</v>
      </c>
      <c r="G144">
        <f t="shared" si="42"/>
        <v>100</v>
      </c>
      <c r="I144">
        <v>2030</v>
      </c>
      <c r="J144">
        <f t="shared" si="43"/>
        <v>102.5</v>
      </c>
      <c r="K144" cm="1">
        <f t="array" ref="K144">STOWA2019_NDJF_T(A144*60,J144,I144,"","lower")</f>
        <v>8.7725128385819264</v>
      </c>
      <c r="L144">
        <f t="shared" si="44"/>
        <v>0.11399242365334054</v>
      </c>
    </row>
    <row r="145" spans="1:12" x14ac:dyDescent="0.3">
      <c r="A145">
        <v>216</v>
      </c>
      <c r="B145">
        <f t="shared" si="41"/>
        <v>3.4524188739211828E-2</v>
      </c>
      <c r="C145">
        <f t="shared" si="37"/>
        <v>3.4524188739211828E-2</v>
      </c>
      <c r="D145" t="s">
        <v>26</v>
      </c>
      <c r="E145" t="s">
        <v>19</v>
      </c>
      <c r="F145">
        <v>1</v>
      </c>
      <c r="G145">
        <f t="shared" si="42"/>
        <v>105</v>
      </c>
      <c r="I145">
        <v>2030</v>
      </c>
      <c r="J145">
        <f t="shared" si="43"/>
        <v>107.5</v>
      </c>
      <c r="K145" cm="1">
        <f t="array" ref="K145">STOWA2019_NDJF_T(A145*60,J145,I145,"","lower")</f>
        <v>12.583644283537613</v>
      </c>
      <c r="L145">
        <f t="shared" si="44"/>
        <v>7.9468234914128716E-2</v>
      </c>
    </row>
    <row r="146" spans="1:12" x14ac:dyDescent="0.3">
      <c r="A146">
        <v>216</v>
      </c>
      <c r="B146">
        <f t="shared" si="41"/>
        <v>2.4530895017225121E-2</v>
      </c>
      <c r="C146">
        <f t="shared" si="37"/>
        <v>2.4530895017225121E-2</v>
      </c>
      <c r="D146" t="s">
        <v>26</v>
      </c>
      <c r="E146" t="s">
        <v>19</v>
      </c>
      <c r="F146">
        <v>1</v>
      </c>
      <c r="G146">
        <f t="shared" si="42"/>
        <v>110</v>
      </c>
      <c r="I146">
        <v>2030</v>
      </c>
      <c r="J146">
        <f t="shared" si="43"/>
        <v>112.5</v>
      </c>
      <c r="K146" cm="1">
        <f t="array" ref="K146">STOWA2019_NDJF_T(A146*60,J146,I146,"","lower")</f>
        <v>18.202555891432276</v>
      </c>
      <c r="L146">
        <f t="shared" si="44"/>
        <v>5.4937339896903595E-2</v>
      </c>
    </row>
    <row r="147" spans="1:12" x14ac:dyDescent="0.3">
      <c r="A147">
        <v>216</v>
      </c>
      <c r="B147">
        <f t="shared" si="41"/>
        <v>1.7291100524430669E-2</v>
      </c>
      <c r="C147">
        <f t="shared" si="37"/>
        <v>1.7291100524430669E-2</v>
      </c>
      <c r="D147" t="s">
        <v>26</v>
      </c>
      <c r="E147" t="s">
        <v>19</v>
      </c>
      <c r="F147">
        <v>1</v>
      </c>
      <c r="G147">
        <f t="shared" si="42"/>
        <v>115</v>
      </c>
      <c r="I147">
        <v>2030</v>
      </c>
      <c r="J147">
        <f t="shared" si="43"/>
        <v>117.5</v>
      </c>
      <c r="K147" cm="1">
        <f t="array" ref="K147">STOWA2019_NDJF_T(A147*60,J147,I147,"","lower")</f>
        <v>26.563078189722287</v>
      </c>
      <c r="L147">
        <f t="shared" si="44"/>
        <v>3.7646239372472926E-2</v>
      </c>
    </row>
    <row r="148" spans="1:12" x14ac:dyDescent="0.3">
      <c r="A148">
        <v>216</v>
      </c>
      <c r="B148">
        <f t="shared" si="41"/>
        <v>1.2085558050111567E-2</v>
      </c>
      <c r="C148">
        <f t="shared" si="37"/>
        <v>1.2085558050111567E-2</v>
      </c>
      <c r="D148" t="s">
        <v>26</v>
      </c>
      <c r="E148" t="s">
        <v>19</v>
      </c>
      <c r="F148">
        <v>1</v>
      </c>
      <c r="G148">
        <f t="shared" si="42"/>
        <v>120</v>
      </c>
      <c r="I148">
        <v>2030</v>
      </c>
      <c r="J148">
        <f t="shared" si="43"/>
        <v>122.5</v>
      </c>
      <c r="K148" cm="1">
        <f t="array" ref="K148">STOWA2019_NDJF_T(A148*60,J148,I148,"","lower")</f>
        <v>39.122587828876291</v>
      </c>
      <c r="L148">
        <f t="shared" si="44"/>
        <v>2.5560681322361358E-2</v>
      </c>
    </row>
    <row r="149" spans="1:12" x14ac:dyDescent="0.3">
      <c r="A149">
        <v>216</v>
      </c>
      <c r="B149">
        <f t="shared" si="41"/>
        <v>8.3728984560055252E-3</v>
      </c>
      <c r="C149">
        <f t="shared" si="37"/>
        <v>8.3728984560055252E-3</v>
      </c>
      <c r="D149" t="s">
        <v>26</v>
      </c>
      <c r="E149" t="s">
        <v>19</v>
      </c>
      <c r="F149">
        <v>1</v>
      </c>
      <c r="G149">
        <f t="shared" si="42"/>
        <v>125</v>
      </c>
      <c r="I149">
        <v>2030</v>
      </c>
      <c r="J149">
        <f t="shared" si="43"/>
        <v>127.5</v>
      </c>
      <c r="K149" cm="1">
        <f t="array" ref="K149">STOWA2019_NDJF_T(A149*60,J149,I149,"","lower")</f>
        <v>58.180860659896197</v>
      </c>
      <c r="L149">
        <f t="shared" si="44"/>
        <v>1.7187782866355833E-2</v>
      </c>
    </row>
    <row r="150" spans="1:12" x14ac:dyDescent="0.3">
      <c r="A150">
        <v>216</v>
      </c>
      <c r="B150">
        <f t="shared" si="41"/>
        <v>5.7472696368911103E-3</v>
      </c>
      <c r="C150">
        <f t="shared" si="37"/>
        <v>5.7472696368911103E-3</v>
      </c>
      <c r="D150" t="s">
        <v>26</v>
      </c>
      <c r="E150" t="s">
        <v>19</v>
      </c>
      <c r="F150">
        <v>1</v>
      </c>
      <c r="G150">
        <f t="shared" si="42"/>
        <v>130</v>
      </c>
      <c r="I150">
        <v>2030</v>
      </c>
      <c r="J150">
        <f t="shared" si="43"/>
        <v>132.5</v>
      </c>
      <c r="K150" cm="1">
        <f t="array" ref="K150">STOWA2019_NDJF_T(A150*60,J150,I150,"","lower")</f>
        <v>87.40866602247597</v>
      </c>
      <c r="L150">
        <f t="shared" si="44"/>
        <v>1.1440513229464723E-2</v>
      </c>
    </row>
    <row r="151" spans="1:12" x14ac:dyDescent="0.3">
      <c r="A151">
        <v>216</v>
      </c>
      <c r="B151">
        <f t="shared" si="41"/>
        <v>3.9066176445164413E-3</v>
      </c>
      <c r="C151">
        <f t="shared" si="37"/>
        <v>3.9066176445164413E-3</v>
      </c>
      <c r="D151" t="s">
        <v>26</v>
      </c>
      <c r="E151" t="s">
        <v>19</v>
      </c>
      <c r="F151">
        <v>1</v>
      </c>
      <c r="G151">
        <f t="shared" si="42"/>
        <v>135</v>
      </c>
      <c r="I151">
        <v>2030</v>
      </c>
      <c r="J151">
        <f t="shared" si="43"/>
        <v>137.5</v>
      </c>
      <c r="K151" cm="1">
        <f t="array" ref="K151">STOWA2019_NDJF_T(A151*60,J151,I151,"","lower")</f>
        <v>132.73345624776996</v>
      </c>
      <c r="L151">
        <f t="shared" si="44"/>
        <v>7.5338955849482813E-3</v>
      </c>
    </row>
    <row r="152" spans="1:12" x14ac:dyDescent="0.3">
      <c r="A152">
        <v>216</v>
      </c>
      <c r="B152">
        <f t="shared" si="41"/>
        <v>2.6283129942009167E-3</v>
      </c>
      <c r="C152">
        <f t="shared" si="37"/>
        <v>2.6283129942009167E-3</v>
      </c>
      <c r="D152" t="s">
        <v>26</v>
      </c>
      <c r="E152" t="s">
        <v>19</v>
      </c>
      <c r="F152">
        <v>1</v>
      </c>
      <c r="G152">
        <f t="shared" si="42"/>
        <v>140</v>
      </c>
      <c r="I152">
        <v>2030</v>
      </c>
      <c r="J152">
        <f t="shared" si="43"/>
        <v>142.5</v>
      </c>
      <c r="K152" cm="1">
        <f t="array" ref="K152">STOWA2019_NDJF_T(A152*60,J152,I152,"","lower")</f>
        <v>203.84938618425141</v>
      </c>
      <c r="L152">
        <f t="shared" si="44"/>
        <v>4.9055825907473646E-3</v>
      </c>
    </row>
    <row r="153" spans="1:12" x14ac:dyDescent="0.3">
      <c r="A153">
        <v>216</v>
      </c>
      <c r="B153">
        <f t="shared" si="41"/>
        <v>1.7492451266217352E-3</v>
      </c>
      <c r="C153">
        <f t="shared" si="37"/>
        <v>1.7492451266217352E-3</v>
      </c>
      <c r="D153" t="s">
        <v>26</v>
      </c>
      <c r="E153" t="s">
        <v>19</v>
      </c>
      <c r="F153">
        <v>1</v>
      </c>
      <c r="G153">
        <f t="shared" si="42"/>
        <v>145</v>
      </c>
      <c r="I153">
        <v>2030</v>
      </c>
      <c r="J153">
        <f t="shared" si="43"/>
        <v>147.5</v>
      </c>
      <c r="K153" cm="1">
        <f t="array" ref="K153">STOWA2019_NDJF_T(A153*60,J153,I153,"","lower")</f>
        <v>316.82290356016182</v>
      </c>
      <c r="L153">
        <f t="shared" si="44"/>
        <v>3.1563374641256294E-3</v>
      </c>
    </row>
    <row r="154" spans="1:12" x14ac:dyDescent="0.3">
      <c r="A154">
        <v>216</v>
      </c>
      <c r="B154">
        <f t="shared" si="41"/>
        <v>1.1509307384693964E-3</v>
      </c>
      <c r="C154">
        <f t="shared" si="37"/>
        <v>1.1509307384693964E-3</v>
      </c>
      <c r="D154" t="s">
        <v>26</v>
      </c>
      <c r="E154" t="s">
        <v>19</v>
      </c>
      <c r="F154">
        <v>1</v>
      </c>
      <c r="G154">
        <f t="shared" si="42"/>
        <v>150</v>
      </c>
      <c r="I154">
        <v>2030</v>
      </c>
      <c r="J154">
        <f t="shared" si="43"/>
        <v>152.5</v>
      </c>
      <c r="K154" cm="1">
        <f t="array" ref="K154">STOWA2019_NDJF_T(A154*60,J154,I154,"","lower")</f>
        <v>498.65196281954627</v>
      </c>
      <c r="L154">
        <f t="shared" si="44"/>
        <v>2.005406725656233E-3</v>
      </c>
    </row>
    <row r="155" spans="1:12" x14ac:dyDescent="0.3">
      <c r="A155">
        <v>216</v>
      </c>
      <c r="B155">
        <f t="shared" si="41"/>
        <v>7.4813748253938373E-4</v>
      </c>
      <c r="C155">
        <f t="shared" si="37"/>
        <v>7.4813748253938373E-4</v>
      </c>
      <c r="D155" t="s">
        <v>26</v>
      </c>
      <c r="E155" t="s">
        <v>19</v>
      </c>
      <c r="F155">
        <v>1</v>
      </c>
      <c r="G155">
        <f t="shared" si="42"/>
        <v>155</v>
      </c>
      <c r="I155">
        <v>2030</v>
      </c>
      <c r="J155">
        <f t="shared" si="43"/>
        <v>157.5</v>
      </c>
      <c r="K155" cm="1">
        <f t="array" ref="K155">STOWA2019_NDJF_T(A155*60,J155,I155,"","lower")</f>
        <v>795.37458302959624</v>
      </c>
      <c r="L155">
        <f t="shared" si="44"/>
        <v>1.2572692431168492E-3</v>
      </c>
    </row>
    <row r="156" spans="1:12" x14ac:dyDescent="0.3">
      <c r="A156">
        <v>216</v>
      </c>
      <c r="B156" s="1">
        <f>L155</f>
        <v>1.2572692431168492E-3</v>
      </c>
      <c r="C156">
        <f t="shared" si="37"/>
        <v>1.2572692431168492E-3</v>
      </c>
      <c r="D156" t="s">
        <v>26</v>
      </c>
      <c r="E156" t="s">
        <v>19</v>
      </c>
      <c r="F156">
        <v>1</v>
      </c>
      <c r="G156">
        <f t="shared" si="42"/>
        <v>160</v>
      </c>
      <c r="I156">
        <v>2030</v>
      </c>
      <c r="J156">
        <f>AVERAGE(G156:G157)</f>
        <v>160</v>
      </c>
      <c r="K156" cm="1">
        <f t="array" ref="K156">STOWA2019_NDJF_T(A156*60,J156,I156,"","lower")</f>
        <v>1009.8102887582813</v>
      </c>
      <c r="L156">
        <f>1/K156</f>
        <v>9.9028501802022185E-4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E4FE2-3F0F-4695-AC67-EE117CC29EB4}">
  <sheetPr codeName="Blad9"/>
  <dimension ref="A1:L156"/>
  <sheetViews>
    <sheetView workbookViewId="0">
      <selection activeCell="K17" sqref="K17"/>
    </sheetView>
  </sheetViews>
  <sheetFormatPr defaultRowHeight="14.4" x14ac:dyDescent="0.3"/>
  <cols>
    <col min="2" max="3" width="12" bestFit="1" customWidth="1"/>
    <col min="4" max="4" width="26.21875" bestFit="1" customWidth="1"/>
    <col min="11" max="11" width="10.5546875" bestFit="1" customWidth="1"/>
  </cols>
  <sheetData>
    <row r="1" spans="1:12" x14ac:dyDescent="0.3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20</v>
      </c>
      <c r="G1" t="s">
        <v>1</v>
      </c>
      <c r="I1" t="s">
        <v>4</v>
      </c>
      <c r="J1" t="s">
        <v>13</v>
      </c>
      <c r="K1" t="s">
        <v>2</v>
      </c>
      <c r="L1" t="s">
        <v>3</v>
      </c>
    </row>
    <row r="2" spans="1:12" x14ac:dyDescent="0.3">
      <c r="A2">
        <v>24</v>
      </c>
      <c r="B2" s="1">
        <f>365.25*24/A2 - L2</f>
        <v>349.91126212636493</v>
      </c>
      <c r="C2">
        <f>B2</f>
        <v>349.91126212636493</v>
      </c>
      <c r="D2" t="s">
        <v>27</v>
      </c>
      <c r="E2" t="s">
        <v>21</v>
      </c>
      <c r="F2">
        <v>1</v>
      </c>
      <c r="G2">
        <v>10</v>
      </c>
      <c r="I2">
        <v>2050</v>
      </c>
      <c r="J2">
        <f>AVERAGE(G2:G4)</f>
        <v>15</v>
      </c>
      <c r="K2" cm="1">
        <f t="array" ref="K2">STOWA2019_JAARROND_T(A2*60,J2,I2,"GL","center")</f>
        <v>6.5194412228586809E-2</v>
      </c>
      <c r="L2">
        <f>1/K2</f>
        <v>15.338737873635042</v>
      </c>
    </row>
    <row r="3" spans="1:12" x14ac:dyDescent="0.3">
      <c r="A3">
        <v>24</v>
      </c>
      <c r="B3">
        <f t="shared" ref="B3:B7" si="0">L2-L3</f>
        <v>4.5408339070330044</v>
      </c>
      <c r="C3">
        <f t="shared" ref="C3:C32" si="1">B3</f>
        <v>4.5408339070330044</v>
      </c>
      <c r="D3" t="s">
        <v>27</v>
      </c>
      <c r="E3" t="s">
        <v>21</v>
      </c>
      <c r="F3">
        <v>1</v>
      </c>
      <c r="G3">
        <f t="shared" ref="G3:G7" si="2">G2+5</f>
        <v>15</v>
      </c>
      <c r="I3">
        <v>2050</v>
      </c>
      <c r="J3">
        <f t="shared" ref="J3:J7" si="3">AVERAGE(G3:G4)</f>
        <v>17.5</v>
      </c>
      <c r="K3" cm="1">
        <f t="array" ref="K3">STOWA2019_JAARROND_T(A3*60,J3,I3,"GL","center")</f>
        <v>9.2610566188864457E-2</v>
      </c>
      <c r="L3">
        <f t="shared" ref="L3:L7" si="4">1/K3</f>
        <v>10.797903966602037</v>
      </c>
    </row>
    <row r="4" spans="1:12" x14ac:dyDescent="0.3">
      <c r="A4">
        <v>24</v>
      </c>
      <c r="B4">
        <f t="shared" si="0"/>
        <v>5.1958497061955518</v>
      </c>
      <c r="C4">
        <f t="shared" si="1"/>
        <v>5.1958497061955518</v>
      </c>
      <c r="D4" t="s">
        <v>27</v>
      </c>
      <c r="E4" t="s">
        <v>21</v>
      </c>
      <c r="F4">
        <v>1</v>
      </c>
      <c r="G4">
        <f t="shared" si="2"/>
        <v>20</v>
      </c>
      <c r="I4">
        <v>2050</v>
      </c>
      <c r="J4">
        <f t="shared" si="3"/>
        <v>22.5</v>
      </c>
      <c r="K4" cm="1">
        <f t="array" ref="K4">STOWA2019_JAARROND_T(A4*60,J4,I4,"GL","center")</f>
        <v>0.17850594683947954</v>
      </c>
      <c r="L4">
        <f t="shared" si="4"/>
        <v>5.6020542604064856</v>
      </c>
    </row>
    <row r="5" spans="1:12" x14ac:dyDescent="0.3">
      <c r="A5">
        <v>24</v>
      </c>
      <c r="B5">
        <f t="shared" si="0"/>
        <v>2.5354422435330863</v>
      </c>
      <c r="C5">
        <f t="shared" si="1"/>
        <v>2.5354422435330863</v>
      </c>
      <c r="D5" t="s">
        <v>27</v>
      </c>
      <c r="E5" t="s">
        <v>21</v>
      </c>
      <c r="F5">
        <v>1</v>
      </c>
      <c r="G5">
        <f t="shared" si="2"/>
        <v>25</v>
      </c>
      <c r="I5">
        <v>2050</v>
      </c>
      <c r="J5">
        <f t="shared" si="3"/>
        <v>27.5</v>
      </c>
      <c r="K5" cm="1">
        <f t="array" ref="K5">STOWA2019_JAARROND_T(A5*60,J5,I5,"GL","center")</f>
        <v>0.32609276768554568</v>
      </c>
      <c r="L5">
        <f t="shared" si="4"/>
        <v>3.0666120168733992</v>
      </c>
    </row>
    <row r="6" spans="1:12" x14ac:dyDescent="0.3">
      <c r="A6">
        <v>24</v>
      </c>
      <c r="B6">
        <f t="shared" si="0"/>
        <v>1.3091704062087985</v>
      </c>
      <c r="C6">
        <f t="shared" si="1"/>
        <v>1.3091704062087985</v>
      </c>
      <c r="D6" t="s">
        <v>27</v>
      </c>
      <c r="E6" t="s">
        <v>21</v>
      </c>
      <c r="F6">
        <v>1</v>
      </c>
      <c r="G6">
        <f t="shared" si="2"/>
        <v>30</v>
      </c>
      <c r="I6">
        <v>2050</v>
      </c>
      <c r="J6">
        <f t="shared" si="3"/>
        <v>32.5</v>
      </c>
      <c r="K6" cm="1">
        <f t="array" ref="K6">STOWA2019_JAARROND_T(A6*60,J6,I6,"GL","center")</f>
        <v>0.56900894683029402</v>
      </c>
      <c r="L6">
        <f t="shared" si="4"/>
        <v>1.7574416106646007</v>
      </c>
    </row>
    <row r="7" spans="1:12" x14ac:dyDescent="0.3">
      <c r="A7">
        <v>24</v>
      </c>
      <c r="B7">
        <f t="shared" si="0"/>
        <v>0.70973983410974895</v>
      </c>
      <c r="C7">
        <f t="shared" si="1"/>
        <v>0.70973983410974895</v>
      </c>
      <c r="D7" t="s">
        <v>27</v>
      </c>
      <c r="E7" t="s">
        <v>21</v>
      </c>
      <c r="F7">
        <v>1</v>
      </c>
      <c r="G7">
        <f t="shared" si="2"/>
        <v>35</v>
      </c>
      <c r="I7">
        <v>2050</v>
      </c>
      <c r="J7">
        <f t="shared" si="3"/>
        <v>37.5</v>
      </c>
      <c r="K7" cm="1">
        <f t="array" ref="K7">STOWA2019_JAARROND_T(A7*60,J7,I7,"GL","center")</f>
        <v>0.95447008144654577</v>
      </c>
      <c r="L7">
        <f t="shared" si="4"/>
        <v>1.0477017765548517</v>
      </c>
    </row>
    <row r="8" spans="1:12" x14ac:dyDescent="0.3">
      <c r="A8">
        <v>24</v>
      </c>
      <c r="B8">
        <f>L7-L8</f>
        <v>0.40124273228856477</v>
      </c>
      <c r="C8">
        <f t="shared" si="1"/>
        <v>0.40124273228856477</v>
      </c>
      <c r="D8" t="s">
        <v>27</v>
      </c>
      <c r="E8" t="s">
        <v>21</v>
      </c>
      <c r="F8">
        <v>1</v>
      </c>
      <c r="G8">
        <f>G7+5</f>
        <v>40</v>
      </c>
      <c r="I8">
        <v>2050</v>
      </c>
      <c r="J8">
        <f>AVERAGE(G8:G9)</f>
        <v>42.5</v>
      </c>
      <c r="K8" cm="1">
        <f t="array" ref="K8">STOWA2019_JAARROND_T(A8*60,J8,I8,"GL","center")</f>
        <v>1.5468884051811391</v>
      </c>
      <c r="L8">
        <f>1/K8</f>
        <v>0.64645904426628698</v>
      </c>
    </row>
    <row r="9" spans="1:12" x14ac:dyDescent="0.3">
      <c r="A9">
        <v>24</v>
      </c>
      <c r="B9">
        <f t="shared" ref="B9:B31" si="5">L8-L9</f>
        <v>0.23545615514580032</v>
      </c>
      <c r="C9">
        <f t="shared" si="1"/>
        <v>0.23545615514580032</v>
      </c>
      <c r="D9" t="s">
        <v>27</v>
      </c>
      <c r="E9" t="s">
        <v>21</v>
      </c>
      <c r="F9">
        <v>1</v>
      </c>
      <c r="G9">
        <f t="shared" ref="G9:G32" si="6">G8+5</f>
        <v>45</v>
      </c>
      <c r="I9">
        <v>2050</v>
      </c>
      <c r="J9">
        <f t="shared" ref="J9:J31" si="7">AVERAGE(G9:G10)</f>
        <v>47.5</v>
      </c>
      <c r="K9" cm="1">
        <f t="array" ref="K9">STOWA2019_JAARROND_T(A9*60,J9,I9,"GL","center")</f>
        <v>2.4330729210685602</v>
      </c>
      <c r="L9">
        <f t="shared" ref="L9:L31" si="8">1/K9</f>
        <v>0.41100288912048666</v>
      </c>
    </row>
    <row r="10" spans="1:12" x14ac:dyDescent="0.3">
      <c r="A10">
        <v>24</v>
      </c>
      <c r="B10">
        <f t="shared" si="5"/>
        <v>0.14266886310532723</v>
      </c>
      <c r="C10">
        <f t="shared" si="1"/>
        <v>0.14266886310532723</v>
      </c>
      <c r="D10" t="s">
        <v>27</v>
      </c>
      <c r="E10" t="s">
        <v>21</v>
      </c>
      <c r="F10">
        <v>1</v>
      </c>
      <c r="G10">
        <f t="shared" si="6"/>
        <v>50</v>
      </c>
      <c r="I10">
        <v>2050</v>
      </c>
      <c r="J10">
        <f t="shared" si="7"/>
        <v>52.5</v>
      </c>
      <c r="K10" cm="1">
        <f t="array" ref="K10">STOWA2019_JAARROND_T(A10*60,J10,I10,"GL","center")</f>
        <v>3.726698454349227</v>
      </c>
      <c r="L10">
        <f t="shared" si="8"/>
        <v>0.26833402601515943</v>
      </c>
    </row>
    <row r="11" spans="1:12" x14ac:dyDescent="0.3">
      <c r="A11">
        <v>24</v>
      </c>
      <c r="B11">
        <f t="shared" si="5"/>
        <v>8.8960509031211443E-2</v>
      </c>
      <c r="C11">
        <f t="shared" si="1"/>
        <v>8.8960509031211443E-2</v>
      </c>
      <c r="D11" t="s">
        <v>27</v>
      </c>
      <c r="E11" t="s">
        <v>21</v>
      </c>
      <c r="F11">
        <v>1</v>
      </c>
      <c r="G11">
        <f t="shared" si="6"/>
        <v>55</v>
      </c>
      <c r="I11">
        <v>2050</v>
      </c>
      <c r="J11">
        <f t="shared" si="7"/>
        <v>57.5</v>
      </c>
      <c r="K11" cm="1">
        <f t="array" ref="K11">STOWA2019_JAARROND_T(A11*60,J11,I11,"GL","center")</f>
        <v>5.574958983992544</v>
      </c>
      <c r="L11">
        <f t="shared" si="8"/>
        <v>0.17937351698394799</v>
      </c>
    </row>
    <row r="12" spans="1:12" x14ac:dyDescent="0.3">
      <c r="A12">
        <v>24</v>
      </c>
      <c r="B12">
        <f t="shared" si="5"/>
        <v>5.690463717914486E-2</v>
      </c>
      <c r="C12">
        <f t="shared" si="1"/>
        <v>5.690463717914486E-2</v>
      </c>
      <c r="D12" t="s">
        <v>27</v>
      </c>
      <c r="E12" t="s">
        <v>21</v>
      </c>
      <c r="F12">
        <v>1</v>
      </c>
      <c r="G12">
        <f t="shared" si="6"/>
        <v>60</v>
      </c>
      <c r="I12">
        <v>2050</v>
      </c>
      <c r="J12">
        <f t="shared" si="7"/>
        <v>62.5</v>
      </c>
      <c r="K12" cm="1">
        <f t="array" ref="K12">STOWA2019_JAARROND_T(A12*60,J12,I12,"GL","center")</f>
        <v>8.1653396486833945</v>
      </c>
      <c r="L12">
        <f t="shared" si="8"/>
        <v>0.12246887980480313</v>
      </c>
    </row>
    <row r="13" spans="1:12" x14ac:dyDescent="0.3">
      <c r="A13">
        <v>24</v>
      </c>
      <c r="B13">
        <f t="shared" si="5"/>
        <v>3.7245625043472952E-2</v>
      </c>
      <c r="C13">
        <f t="shared" si="1"/>
        <v>3.7245625043472952E-2</v>
      </c>
      <c r="D13" t="s">
        <v>27</v>
      </c>
      <c r="E13" t="s">
        <v>21</v>
      </c>
      <c r="F13">
        <v>1</v>
      </c>
      <c r="G13">
        <f t="shared" si="6"/>
        <v>65</v>
      </c>
      <c r="I13">
        <v>2050</v>
      </c>
      <c r="J13">
        <f t="shared" si="7"/>
        <v>67.5</v>
      </c>
      <c r="K13" cm="1">
        <f t="array" ref="K13">STOWA2019_JAARROND_T(A13*60,J13,I13,"GL","center")</f>
        <v>11.733886517248427</v>
      </c>
      <c r="L13">
        <f t="shared" si="8"/>
        <v>8.5223254761330178E-2</v>
      </c>
    </row>
    <row r="14" spans="1:12" x14ac:dyDescent="0.3">
      <c r="A14">
        <v>24</v>
      </c>
      <c r="B14">
        <f t="shared" si="5"/>
        <v>2.488798445021477E-2</v>
      </c>
      <c r="C14">
        <f t="shared" si="1"/>
        <v>2.488798445021477E-2</v>
      </c>
      <c r="D14" t="s">
        <v>27</v>
      </c>
      <c r="E14" t="s">
        <v>21</v>
      </c>
      <c r="F14">
        <v>1</v>
      </c>
      <c r="G14">
        <f t="shared" si="6"/>
        <v>70</v>
      </c>
      <c r="I14">
        <v>2050</v>
      </c>
      <c r="J14">
        <f t="shared" si="7"/>
        <v>72.5</v>
      </c>
      <c r="K14" cm="1">
        <f t="array" ref="K14">STOWA2019_JAARROND_T(A14*60,J14,I14,"GL","center")</f>
        <v>16.574053531931764</v>
      </c>
      <c r="L14">
        <f t="shared" si="8"/>
        <v>6.0335270311115408E-2</v>
      </c>
    </row>
    <row r="15" spans="1:12" x14ac:dyDescent="0.3">
      <c r="A15">
        <v>24</v>
      </c>
      <c r="B15">
        <f t="shared" si="5"/>
        <v>1.6945494141621602E-2</v>
      </c>
      <c r="C15">
        <f t="shared" si="1"/>
        <v>1.6945494141621602E-2</v>
      </c>
      <c r="D15" t="s">
        <v>27</v>
      </c>
      <c r="E15" t="s">
        <v>21</v>
      </c>
      <c r="F15">
        <v>1</v>
      </c>
      <c r="G15">
        <f t="shared" si="6"/>
        <v>75</v>
      </c>
      <c r="I15">
        <v>2050</v>
      </c>
      <c r="J15">
        <f t="shared" si="7"/>
        <v>77.5</v>
      </c>
      <c r="K15" cm="1">
        <f t="array" ref="K15">STOWA2019_JAARROND_T(A15*60,J15,I15,"GL","center")</f>
        <v>23.046903862644797</v>
      </c>
      <c r="L15">
        <f t="shared" si="8"/>
        <v>4.3389776169493806E-2</v>
      </c>
    </row>
    <row r="16" spans="1:12" x14ac:dyDescent="0.3">
      <c r="A16">
        <v>24</v>
      </c>
      <c r="B16">
        <f t="shared" si="5"/>
        <v>1.1736637383091615E-2</v>
      </c>
      <c r="C16">
        <f t="shared" si="1"/>
        <v>1.1736637383091615E-2</v>
      </c>
      <c r="D16" t="s">
        <v>27</v>
      </c>
      <c r="E16" t="s">
        <v>21</v>
      </c>
      <c r="F16">
        <v>1</v>
      </c>
      <c r="G16">
        <f t="shared" si="6"/>
        <v>80</v>
      </c>
      <c r="I16">
        <v>2050</v>
      </c>
      <c r="J16">
        <f t="shared" si="7"/>
        <v>82.5</v>
      </c>
      <c r="K16" cm="1">
        <f t="array" ref="K16">STOWA2019_JAARROND_T(A16*60,J16,I16,"GL","center")</f>
        <v>31.592443540846823</v>
      </c>
      <c r="L16">
        <f t="shared" si="8"/>
        <v>3.1653138786402191E-2</v>
      </c>
    </row>
    <row r="17" spans="1:12" x14ac:dyDescent="0.3">
      <c r="A17">
        <v>24</v>
      </c>
      <c r="B17">
        <f t="shared" si="5"/>
        <v>8.2568534131604587E-3</v>
      </c>
      <c r="C17">
        <f t="shared" si="1"/>
        <v>8.2568534131604587E-3</v>
      </c>
      <c r="D17" t="s">
        <v>27</v>
      </c>
      <c r="E17" t="s">
        <v>21</v>
      </c>
      <c r="F17">
        <v>1</v>
      </c>
      <c r="G17">
        <f t="shared" si="6"/>
        <v>85</v>
      </c>
      <c r="I17">
        <v>2050</v>
      </c>
      <c r="J17">
        <f t="shared" si="7"/>
        <v>87.5</v>
      </c>
      <c r="K17" cm="1">
        <f t="array" ref="K17">STOWA2019_JAARROND_T(A17*60,J17,I17,"GL","center")</f>
        <v>42.741827775091906</v>
      </c>
      <c r="L17">
        <f t="shared" si="8"/>
        <v>2.3396285373241732E-2</v>
      </c>
    </row>
    <row r="18" spans="1:12" x14ac:dyDescent="0.3">
      <c r="A18">
        <v>24</v>
      </c>
      <c r="B18">
        <f t="shared" si="5"/>
        <v>5.8931950891762501E-3</v>
      </c>
      <c r="C18">
        <f t="shared" si="1"/>
        <v>5.8931950891762501E-3</v>
      </c>
      <c r="D18" t="s">
        <v>27</v>
      </c>
      <c r="E18" t="s">
        <v>21</v>
      </c>
      <c r="F18">
        <v>1</v>
      </c>
      <c r="G18">
        <f t="shared" si="6"/>
        <v>90</v>
      </c>
      <c r="I18">
        <v>2050</v>
      </c>
      <c r="J18">
        <f t="shared" si="7"/>
        <v>92.5</v>
      </c>
      <c r="K18" cm="1">
        <f t="array" ref="K18">STOWA2019_JAARROND_T(A18*60,J18,I18,"GL","center")</f>
        <v>57.132768200960669</v>
      </c>
      <c r="L18">
        <f t="shared" si="8"/>
        <v>1.7503090284065482E-2</v>
      </c>
    </row>
    <row r="19" spans="1:12" x14ac:dyDescent="0.3">
      <c r="A19">
        <v>24</v>
      </c>
      <c r="B19">
        <f t="shared" si="5"/>
        <v>4.2619372608171321E-3</v>
      </c>
      <c r="C19">
        <f t="shared" si="1"/>
        <v>4.2619372608171321E-3</v>
      </c>
      <c r="D19" t="s">
        <v>27</v>
      </c>
      <c r="E19" t="s">
        <v>21</v>
      </c>
      <c r="F19">
        <v>1</v>
      </c>
      <c r="G19">
        <f t="shared" si="6"/>
        <v>95</v>
      </c>
      <c r="I19">
        <v>2050</v>
      </c>
      <c r="J19">
        <f t="shared" si="7"/>
        <v>97.5</v>
      </c>
      <c r="K19" cm="1">
        <f t="array" ref="K19">STOWA2019_JAARROND_T(A19*60,J19,I19,"GL","center")</f>
        <v>75.522123960370763</v>
      </c>
      <c r="L19">
        <f t="shared" si="8"/>
        <v>1.324115302324835E-2</v>
      </c>
    </row>
    <row r="20" spans="1:12" x14ac:dyDescent="0.3">
      <c r="A20">
        <v>24</v>
      </c>
      <c r="B20">
        <f t="shared" si="5"/>
        <v>3.1202705089199735E-3</v>
      </c>
      <c r="C20">
        <f t="shared" si="1"/>
        <v>3.1202705089199735E-3</v>
      </c>
      <c r="D20" t="s">
        <v>27</v>
      </c>
      <c r="E20" t="s">
        <v>21</v>
      </c>
      <c r="F20">
        <v>1</v>
      </c>
      <c r="G20">
        <f t="shared" si="6"/>
        <v>100</v>
      </c>
      <c r="I20">
        <v>2050</v>
      </c>
      <c r="J20">
        <f t="shared" si="7"/>
        <v>102.5</v>
      </c>
      <c r="K20" cm="1">
        <f t="array" ref="K20">STOWA2019_JAARROND_T(A20*60,J20,I20,"GL","center")</f>
        <v>98.80561290819017</v>
      </c>
      <c r="L20">
        <f t="shared" si="8"/>
        <v>1.0120882514328376E-2</v>
      </c>
    </row>
    <row r="21" spans="1:12" x14ac:dyDescent="0.3">
      <c r="A21">
        <v>24</v>
      </c>
      <c r="B21">
        <f t="shared" si="5"/>
        <v>2.3105492064450532E-3</v>
      </c>
      <c r="C21">
        <f t="shared" si="1"/>
        <v>2.3105492064450532E-3</v>
      </c>
      <c r="D21" t="s">
        <v>27</v>
      </c>
      <c r="E21" t="s">
        <v>21</v>
      </c>
      <c r="F21">
        <v>1</v>
      </c>
      <c r="G21">
        <f t="shared" si="6"/>
        <v>105</v>
      </c>
      <c r="I21">
        <v>2050</v>
      </c>
      <c r="J21">
        <f t="shared" si="7"/>
        <v>107.5</v>
      </c>
      <c r="K21" cm="1">
        <f t="array" ref="K21">STOWA2019_JAARROND_T(A21*60,J21,I21,"GL","center")</f>
        <v>128.03550893156566</v>
      </c>
      <c r="L21">
        <f t="shared" si="8"/>
        <v>7.810333307883323E-3</v>
      </c>
    </row>
    <row r="22" spans="1:12" x14ac:dyDescent="0.3">
      <c r="A22">
        <v>24</v>
      </c>
      <c r="B22">
        <f t="shared" si="5"/>
        <v>1.7289901981879996E-3</v>
      </c>
      <c r="C22">
        <f t="shared" si="1"/>
        <v>1.7289901981879996E-3</v>
      </c>
      <c r="D22" t="s">
        <v>27</v>
      </c>
      <c r="E22" t="s">
        <v>21</v>
      </c>
      <c r="F22">
        <v>1</v>
      </c>
      <c r="G22">
        <f t="shared" si="6"/>
        <v>110</v>
      </c>
      <c r="I22">
        <v>2050</v>
      </c>
      <c r="J22">
        <f t="shared" si="7"/>
        <v>112.5</v>
      </c>
      <c r="K22" cm="1">
        <f t="array" ref="K22">STOWA2019_JAARROND_T(A22*60,J22,I22,"GL","center")</f>
        <v>164.43735897843464</v>
      </c>
      <c r="L22">
        <f t="shared" si="8"/>
        <v>6.0813431096953235E-3</v>
      </c>
    </row>
    <row r="23" spans="1:12" x14ac:dyDescent="0.3">
      <c r="A23">
        <v>24</v>
      </c>
      <c r="B23">
        <f t="shared" si="5"/>
        <v>1.306634525143696E-3</v>
      </c>
      <c r="C23">
        <f t="shared" si="1"/>
        <v>1.306634525143696E-3</v>
      </c>
      <c r="D23" t="s">
        <v>27</v>
      </c>
      <c r="E23" t="s">
        <v>21</v>
      </c>
      <c r="F23">
        <v>1</v>
      </c>
      <c r="G23">
        <f t="shared" si="6"/>
        <v>115</v>
      </c>
      <c r="I23">
        <v>2050</v>
      </c>
      <c r="J23">
        <f t="shared" si="7"/>
        <v>117.5</v>
      </c>
      <c r="K23" cm="1">
        <f t="array" ref="K23">STOWA2019_JAARROND_T(A23*60,J23,I23,"GL","center")</f>
        <v>209.43686557865726</v>
      </c>
      <c r="L23">
        <f t="shared" si="8"/>
        <v>4.7747085845516275E-3</v>
      </c>
    </row>
    <row r="24" spans="1:12" x14ac:dyDescent="0.3">
      <c r="A24">
        <v>24</v>
      </c>
      <c r="B24">
        <f t="shared" si="5"/>
        <v>9.9656366743539233E-4</v>
      </c>
      <c r="C24">
        <f t="shared" si="1"/>
        <v>9.9656366743539233E-4</v>
      </c>
      <c r="D24" t="s">
        <v>27</v>
      </c>
      <c r="E24" t="s">
        <v>21</v>
      </c>
      <c r="F24">
        <v>1</v>
      </c>
      <c r="G24">
        <f t="shared" si="6"/>
        <v>120</v>
      </c>
      <c r="I24">
        <v>2050</v>
      </c>
      <c r="J24">
        <f t="shared" si="7"/>
        <v>122.5</v>
      </c>
      <c r="K24" cm="1">
        <f t="array" ref="K24">STOWA2019_JAARROND_T(A24*60,J24,I24,"GL","center")</f>
        <v>264.68015969151213</v>
      </c>
      <c r="L24">
        <f t="shared" si="8"/>
        <v>3.7781449171162352E-3</v>
      </c>
    </row>
    <row r="25" spans="1:12" x14ac:dyDescent="0.3">
      <c r="A25">
        <v>24</v>
      </c>
      <c r="B25">
        <f t="shared" si="5"/>
        <v>7.6664052313417949E-4</v>
      </c>
      <c r="C25">
        <f t="shared" si="1"/>
        <v>7.6664052313417949E-4</v>
      </c>
      <c r="D25" t="s">
        <v>27</v>
      </c>
      <c r="E25" t="s">
        <v>21</v>
      </c>
      <c r="F25">
        <v>1</v>
      </c>
      <c r="G25">
        <f t="shared" si="6"/>
        <v>125</v>
      </c>
      <c r="I25">
        <v>2050</v>
      </c>
      <c r="J25">
        <f t="shared" si="7"/>
        <v>127.5</v>
      </c>
      <c r="K25" cm="1">
        <f t="array" ref="K25">STOWA2019_JAARROND_T(A25*60,J25,I25,"GL","center")</f>
        <v>332.05995050125722</v>
      </c>
      <c r="L25">
        <f t="shared" si="8"/>
        <v>3.0115043939820557E-3</v>
      </c>
    </row>
    <row r="26" spans="1:12" x14ac:dyDescent="0.3">
      <c r="A26">
        <v>24</v>
      </c>
      <c r="B26">
        <f t="shared" si="5"/>
        <v>5.9454428774795547E-4</v>
      </c>
      <c r="C26">
        <f t="shared" si="1"/>
        <v>5.9454428774795547E-4</v>
      </c>
      <c r="D26" t="s">
        <v>27</v>
      </c>
      <c r="E26" t="s">
        <v>21</v>
      </c>
      <c r="F26">
        <v>1</v>
      </c>
      <c r="G26">
        <f t="shared" si="6"/>
        <v>130</v>
      </c>
      <c r="I26">
        <v>2050</v>
      </c>
      <c r="J26">
        <f t="shared" si="7"/>
        <v>132.5</v>
      </c>
      <c r="K26" cm="1">
        <f t="array" ref="K26">STOWA2019_JAARROND_T(A26*60,J26,I26,"GL","center")</f>
        <v>413.74286543691204</v>
      </c>
      <c r="L26">
        <f t="shared" si="8"/>
        <v>2.4169601062341002E-3</v>
      </c>
    </row>
    <row r="27" spans="1:12" x14ac:dyDescent="0.3">
      <c r="A27">
        <v>24</v>
      </c>
      <c r="B27">
        <f t="shared" si="5"/>
        <v>4.6458182613366272E-4</v>
      </c>
      <c r="C27">
        <f t="shared" si="1"/>
        <v>4.6458182613366272E-4</v>
      </c>
      <c r="D27" t="s">
        <v>27</v>
      </c>
      <c r="E27" t="s">
        <v>21</v>
      </c>
      <c r="F27">
        <v>1</v>
      </c>
      <c r="G27">
        <f t="shared" si="6"/>
        <v>135</v>
      </c>
      <c r="I27">
        <v>2050</v>
      </c>
      <c r="J27">
        <f t="shared" si="7"/>
        <v>137.5</v>
      </c>
      <c r="K27" cm="1">
        <f t="array" ref="K27">STOWA2019_JAARROND_T(A27*60,J27,I27,"GL","center")</f>
        <v>512.1958230085188</v>
      </c>
      <c r="L27">
        <f t="shared" si="8"/>
        <v>1.9523782801004375E-3</v>
      </c>
    </row>
    <row r="28" spans="1:12" x14ac:dyDescent="0.3">
      <c r="A28">
        <v>24</v>
      </c>
      <c r="B28">
        <f t="shared" si="5"/>
        <v>3.6565368824130321E-4</v>
      </c>
      <c r="C28">
        <f t="shared" si="1"/>
        <v>3.6565368824130321E-4</v>
      </c>
      <c r="D28" t="s">
        <v>27</v>
      </c>
      <c r="E28" t="s">
        <v>21</v>
      </c>
      <c r="F28">
        <v>1</v>
      </c>
      <c r="G28">
        <f t="shared" si="6"/>
        <v>140</v>
      </c>
      <c r="I28">
        <v>2050</v>
      </c>
      <c r="J28">
        <f t="shared" si="7"/>
        <v>142.5</v>
      </c>
      <c r="K28" cm="1">
        <f t="array" ref="K28">STOWA2019_JAARROND_T(A28*60,J28,I28,"GL","center")</f>
        <v>630.22909276796395</v>
      </c>
      <c r="L28">
        <f t="shared" si="8"/>
        <v>1.5867245918591343E-3</v>
      </c>
    </row>
    <row r="29" spans="1:12" x14ac:dyDescent="0.3">
      <c r="A29">
        <v>24</v>
      </c>
      <c r="B29">
        <f t="shared" si="5"/>
        <v>2.8973007933709894E-4</v>
      </c>
      <c r="C29">
        <f t="shared" si="1"/>
        <v>2.8973007933709894E-4</v>
      </c>
      <c r="D29" t="s">
        <v>27</v>
      </c>
      <c r="E29" t="s">
        <v>21</v>
      </c>
      <c r="F29">
        <v>1</v>
      </c>
      <c r="G29">
        <f t="shared" si="6"/>
        <v>145</v>
      </c>
      <c r="I29">
        <v>2050</v>
      </c>
      <c r="J29">
        <f t="shared" si="7"/>
        <v>147.5</v>
      </c>
      <c r="K29" cm="1">
        <f t="array" ref="K29">STOWA2019_JAARROND_T(A29*60,J29,I29,"GL","center")</f>
        <v>771.01328521080416</v>
      </c>
      <c r="L29">
        <f t="shared" si="8"/>
        <v>1.2969945125220353E-3</v>
      </c>
    </row>
    <row r="30" spans="1:12" x14ac:dyDescent="0.3">
      <c r="A30">
        <v>24</v>
      </c>
      <c r="B30">
        <f t="shared" si="5"/>
        <v>2.3103968348841034E-4</v>
      </c>
      <c r="C30">
        <f t="shared" si="1"/>
        <v>2.3103968348841034E-4</v>
      </c>
      <c r="D30" t="s">
        <v>27</v>
      </c>
      <c r="E30" t="s">
        <v>21</v>
      </c>
      <c r="F30">
        <v>1</v>
      </c>
      <c r="G30">
        <f t="shared" si="6"/>
        <v>150</v>
      </c>
      <c r="I30">
        <v>2050</v>
      </c>
      <c r="J30">
        <f t="shared" si="7"/>
        <v>152.5</v>
      </c>
      <c r="K30" cm="1">
        <f t="array" ref="K30">STOWA2019_JAARROND_T(A30*60,J30,I30,"GL","center")</f>
        <v>938.12605634197621</v>
      </c>
      <c r="L30">
        <f t="shared" si="8"/>
        <v>1.065954829033625E-3</v>
      </c>
    </row>
    <row r="31" spans="1:12" x14ac:dyDescent="0.3">
      <c r="A31">
        <v>24</v>
      </c>
      <c r="B31">
        <f t="shared" si="5"/>
        <v>1.8534908652136301E-4</v>
      </c>
      <c r="C31">
        <f t="shared" si="1"/>
        <v>1.8534908652136301E-4</v>
      </c>
      <c r="D31" t="s">
        <v>27</v>
      </c>
      <c r="E31" t="s">
        <v>21</v>
      </c>
      <c r="F31">
        <v>1</v>
      </c>
      <c r="G31">
        <f t="shared" si="6"/>
        <v>155</v>
      </c>
      <c r="I31">
        <v>2050</v>
      </c>
      <c r="J31">
        <f t="shared" si="7"/>
        <v>157.5</v>
      </c>
      <c r="K31" cm="1">
        <f t="array" ref="K31">STOWA2019_JAARROND_T(A31*60,J31,I31,"GL","center")</f>
        <v>1135.5819655991802</v>
      </c>
      <c r="L31">
        <f t="shared" si="8"/>
        <v>8.8060574251226198E-4</v>
      </c>
    </row>
    <row r="32" spans="1:12" x14ac:dyDescent="0.3">
      <c r="A32">
        <v>24</v>
      </c>
      <c r="B32" s="1">
        <f>L31</f>
        <v>8.8060574251226198E-4</v>
      </c>
      <c r="C32">
        <f t="shared" si="1"/>
        <v>8.8060574251226198E-4</v>
      </c>
      <c r="D32" t="s">
        <v>27</v>
      </c>
      <c r="E32" t="s">
        <v>21</v>
      </c>
      <c r="F32">
        <v>1</v>
      </c>
      <c r="G32">
        <f t="shared" si="6"/>
        <v>160</v>
      </c>
      <c r="I32">
        <v>2050</v>
      </c>
      <c r="J32">
        <f>AVERAGE(G32:G33)</f>
        <v>85</v>
      </c>
      <c r="K32" cm="1">
        <f t="array" ref="K32">STOWA2019_JAARROND_T(A32*60,J32,I32,"GL","center")</f>
        <v>36.80463103639687</v>
      </c>
      <c r="L32">
        <f>1/K32</f>
        <v>2.7170493816690598E-2</v>
      </c>
    </row>
    <row r="33" spans="1:12" x14ac:dyDescent="0.3">
      <c r="A33">
        <v>48</v>
      </c>
      <c r="B33" s="1">
        <f>365.25*24/A33 - L33</f>
        <v>155.75561276385417</v>
      </c>
      <c r="C33">
        <f>B33</f>
        <v>155.75561276385417</v>
      </c>
      <c r="D33" t="s">
        <v>27</v>
      </c>
      <c r="E33" t="s">
        <v>21</v>
      </c>
      <c r="F33">
        <v>1</v>
      </c>
      <c r="G33">
        <v>10</v>
      </c>
      <c r="I33">
        <v>2050</v>
      </c>
      <c r="J33">
        <f>AVERAGE(G33:G35)</f>
        <v>15</v>
      </c>
      <c r="K33" cm="1">
        <f t="array" ref="K33">STOWA2019_JAARROND_T(A33*60,J33,I33,"GL","center")</f>
        <v>3.7217075001053895E-2</v>
      </c>
      <c r="L33">
        <f>1/K33</f>
        <v>26.86938723614584</v>
      </c>
    </row>
    <row r="34" spans="1:12" x14ac:dyDescent="0.3">
      <c r="A34">
        <v>48</v>
      </c>
      <c r="B34">
        <f t="shared" ref="B34:B38" si="9">L33-L34</f>
        <v>6.8494210767525132</v>
      </c>
      <c r="C34">
        <f t="shared" ref="C34:C63" si="10">B34</f>
        <v>6.8494210767525132</v>
      </c>
      <c r="D34" t="s">
        <v>27</v>
      </c>
      <c r="E34" t="s">
        <v>21</v>
      </c>
      <c r="F34">
        <v>1</v>
      </c>
      <c r="G34">
        <f t="shared" ref="G34:G38" si="11">G33+5</f>
        <v>15</v>
      </c>
      <c r="I34">
        <v>2050</v>
      </c>
      <c r="J34">
        <f t="shared" ref="J34:J38" si="12">AVERAGE(G34:G35)</f>
        <v>17.5</v>
      </c>
      <c r="K34" cm="1">
        <f t="array" ref="K34">STOWA2019_JAARROND_T(A34*60,J34,I34,"GL","center")</f>
        <v>4.9950134382759782E-2</v>
      </c>
      <c r="L34">
        <f t="shared" ref="L34:L38" si="13">1/K34</f>
        <v>20.019966159393327</v>
      </c>
    </row>
    <row r="35" spans="1:12" x14ac:dyDescent="0.3">
      <c r="A35">
        <v>48</v>
      </c>
      <c r="B35">
        <f t="shared" si="9"/>
        <v>8.6375372611649102</v>
      </c>
      <c r="C35">
        <f t="shared" si="10"/>
        <v>8.6375372611649102</v>
      </c>
      <c r="D35" t="s">
        <v>27</v>
      </c>
      <c r="E35" t="s">
        <v>21</v>
      </c>
      <c r="F35">
        <v>1</v>
      </c>
      <c r="G35">
        <f t="shared" si="11"/>
        <v>20</v>
      </c>
      <c r="I35">
        <v>2050</v>
      </c>
      <c r="J35">
        <f t="shared" si="12"/>
        <v>22.5</v>
      </c>
      <c r="K35" cm="1">
        <f t="array" ref="K35">STOWA2019_JAARROND_T(A35*60,J35,I35,"GL","center")</f>
        <v>8.7854710882985784E-2</v>
      </c>
      <c r="L35">
        <f t="shared" si="13"/>
        <v>11.382428898228417</v>
      </c>
    </row>
    <row r="36" spans="1:12" x14ac:dyDescent="0.3">
      <c r="A36">
        <v>48</v>
      </c>
      <c r="B36">
        <f t="shared" si="9"/>
        <v>4.7155832537096813</v>
      </c>
      <c r="C36">
        <f t="shared" si="10"/>
        <v>4.7155832537096813</v>
      </c>
      <c r="D36" t="s">
        <v>27</v>
      </c>
      <c r="E36" t="s">
        <v>21</v>
      </c>
      <c r="F36">
        <v>1</v>
      </c>
      <c r="G36">
        <f t="shared" si="11"/>
        <v>25</v>
      </c>
      <c r="I36">
        <v>2050</v>
      </c>
      <c r="J36">
        <f t="shared" si="12"/>
        <v>27.5</v>
      </c>
      <c r="K36" cm="1">
        <f t="array" ref="K36">STOWA2019_JAARROND_T(A36*60,J36,I36,"GL","center")</f>
        <v>0.14999597310643717</v>
      </c>
      <c r="L36">
        <f t="shared" si="13"/>
        <v>6.6668456445187356</v>
      </c>
    </row>
    <row r="37" spans="1:12" x14ac:dyDescent="0.3">
      <c r="A37">
        <v>48</v>
      </c>
      <c r="B37">
        <f t="shared" si="9"/>
        <v>2.6547492595096971</v>
      </c>
      <c r="C37">
        <f t="shared" si="10"/>
        <v>2.6547492595096971</v>
      </c>
      <c r="D37" t="s">
        <v>27</v>
      </c>
      <c r="E37" t="s">
        <v>21</v>
      </c>
      <c r="F37">
        <v>1</v>
      </c>
      <c r="G37">
        <f t="shared" si="11"/>
        <v>30</v>
      </c>
      <c r="I37">
        <v>2050</v>
      </c>
      <c r="J37">
        <f t="shared" si="12"/>
        <v>32.5</v>
      </c>
      <c r="K37" cm="1">
        <f t="array" ref="K37">STOWA2019_JAARROND_T(A37*60,J37,I37,"GL","center")</f>
        <v>0.24924625533335668</v>
      </c>
      <c r="L37">
        <f t="shared" si="13"/>
        <v>4.0120963850090385</v>
      </c>
    </row>
    <row r="38" spans="1:12" x14ac:dyDescent="0.3">
      <c r="A38">
        <v>48</v>
      </c>
      <c r="B38">
        <f t="shared" si="9"/>
        <v>1.5375774054759961</v>
      </c>
      <c r="C38">
        <f t="shared" si="10"/>
        <v>1.5375774054759961</v>
      </c>
      <c r="D38" t="s">
        <v>27</v>
      </c>
      <c r="E38" t="s">
        <v>21</v>
      </c>
      <c r="F38">
        <v>1</v>
      </c>
      <c r="G38">
        <f t="shared" si="11"/>
        <v>35</v>
      </c>
      <c r="I38">
        <v>2050</v>
      </c>
      <c r="J38">
        <f t="shared" si="12"/>
        <v>37.5</v>
      </c>
      <c r="K38" cm="1">
        <f t="array" ref="K38">STOWA2019_JAARROND_T(A38*60,J38,I38,"GL","center")</f>
        <v>0.40411894524595904</v>
      </c>
      <c r="L38">
        <f t="shared" si="13"/>
        <v>2.4745189795330425</v>
      </c>
    </row>
    <row r="39" spans="1:12" x14ac:dyDescent="0.3">
      <c r="A39">
        <v>48</v>
      </c>
      <c r="B39">
        <f>L38-L39</f>
        <v>0.91374642825875685</v>
      </c>
      <c r="C39">
        <f t="shared" si="10"/>
        <v>0.91374642825875685</v>
      </c>
      <c r="D39" t="s">
        <v>27</v>
      </c>
      <c r="E39" t="s">
        <v>21</v>
      </c>
      <c r="F39">
        <v>1</v>
      </c>
      <c r="G39">
        <f>G38+5</f>
        <v>40</v>
      </c>
      <c r="I39">
        <v>2050</v>
      </c>
      <c r="J39">
        <f>AVERAGE(G39:G40)</f>
        <v>42.5</v>
      </c>
      <c r="K39" cm="1">
        <f t="array" ref="K39">STOWA2019_JAARROND_T(A39*60,J39,I39,"GL","center")</f>
        <v>0.64070834612228067</v>
      </c>
      <c r="L39">
        <f>1/K39</f>
        <v>1.5607725512742856</v>
      </c>
    </row>
    <row r="40" spans="1:12" x14ac:dyDescent="0.3">
      <c r="A40">
        <v>48</v>
      </c>
      <c r="B40">
        <f t="shared" ref="B40:B62" si="14">L39-L40</f>
        <v>0.55603635125287387</v>
      </c>
      <c r="C40">
        <f t="shared" si="10"/>
        <v>0.55603635125287387</v>
      </c>
      <c r="D40" t="s">
        <v>27</v>
      </c>
      <c r="E40" t="s">
        <v>21</v>
      </c>
      <c r="F40">
        <v>1</v>
      </c>
      <c r="G40">
        <f t="shared" ref="G40:G63" si="15">G39+5</f>
        <v>45</v>
      </c>
      <c r="I40">
        <v>2050</v>
      </c>
      <c r="J40">
        <f t="shared" ref="J40:J62" si="16">AVERAGE(G40:G41)</f>
        <v>47.5</v>
      </c>
      <c r="K40" cm="1">
        <f t="array" ref="K40">STOWA2019_JAARROND_T(A40*60,J40,I40,"GL","center")</f>
        <v>0.99528612582953546</v>
      </c>
      <c r="L40">
        <f t="shared" ref="L40:L62" si="17">1/K40</f>
        <v>1.0047362000214117</v>
      </c>
    </row>
    <row r="41" spans="1:12" x14ac:dyDescent="0.3">
      <c r="A41">
        <v>48</v>
      </c>
      <c r="B41">
        <f t="shared" si="14"/>
        <v>0.34565919373821186</v>
      </c>
      <c r="C41">
        <f t="shared" si="10"/>
        <v>0.34565919373821186</v>
      </c>
      <c r="D41" t="s">
        <v>27</v>
      </c>
      <c r="E41" t="s">
        <v>21</v>
      </c>
      <c r="F41">
        <v>1</v>
      </c>
      <c r="G41">
        <f t="shared" si="15"/>
        <v>50</v>
      </c>
      <c r="I41">
        <v>2050</v>
      </c>
      <c r="J41">
        <f t="shared" si="16"/>
        <v>52.5</v>
      </c>
      <c r="K41" cm="1">
        <f t="array" ref="K41">STOWA2019_JAARROND_T(A41*60,J41,I41,"GL","center")</f>
        <v>1.5172733845463702</v>
      </c>
      <c r="L41">
        <f t="shared" si="17"/>
        <v>0.65907700628319987</v>
      </c>
    </row>
    <row r="42" spans="1:12" x14ac:dyDescent="0.3">
      <c r="A42">
        <v>48</v>
      </c>
      <c r="B42">
        <f t="shared" si="14"/>
        <v>0.21929461171277109</v>
      </c>
      <c r="C42">
        <f t="shared" si="10"/>
        <v>0.21929461171277109</v>
      </c>
      <c r="D42" t="s">
        <v>27</v>
      </c>
      <c r="E42" t="s">
        <v>21</v>
      </c>
      <c r="F42">
        <v>1</v>
      </c>
      <c r="G42">
        <f t="shared" si="15"/>
        <v>55</v>
      </c>
      <c r="I42">
        <v>2050</v>
      </c>
      <c r="J42">
        <f t="shared" si="16"/>
        <v>57.5</v>
      </c>
      <c r="K42" cm="1">
        <f t="array" ref="K42">STOWA2019_JAARROND_T(A42*60,J42,I42,"GL","center")</f>
        <v>2.2738518238702605</v>
      </c>
      <c r="L42">
        <f t="shared" si="17"/>
        <v>0.43978239457042878</v>
      </c>
    </row>
    <row r="43" spans="1:12" x14ac:dyDescent="0.3">
      <c r="A43">
        <v>48</v>
      </c>
      <c r="B43">
        <f t="shared" si="14"/>
        <v>0.14163641772074248</v>
      </c>
      <c r="C43">
        <f t="shared" si="10"/>
        <v>0.14163641772074248</v>
      </c>
      <c r="D43" t="s">
        <v>27</v>
      </c>
      <c r="E43" t="s">
        <v>21</v>
      </c>
      <c r="F43">
        <v>1</v>
      </c>
      <c r="G43">
        <f t="shared" si="15"/>
        <v>60</v>
      </c>
      <c r="I43">
        <v>2050</v>
      </c>
      <c r="J43">
        <f t="shared" si="16"/>
        <v>62.5</v>
      </c>
      <c r="K43" cm="1">
        <f t="array" ref="K43">STOWA2019_JAARROND_T(A43*60,J43,I43,"GL","center")</f>
        <v>3.3540616934239611</v>
      </c>
      <c r="L43">
        <f t="shared" si="17"/>
        <v>0.2981459768496863</v>
      </c>
    </row>
    <row r="44" spans="1:12" x14ac:dyDescent="0.3">
      <c r="A44">
        <v>48</v>
      </c>
      <c r="B44">
        <f t="shared" si="14"/>
        <v>9.3037235744058672E-2</v>
      </c>
      <c r="C44">
        <f t="shared" si="10"/>
        <v>9.3037235744058672E-2</v>
      </c>
      <c r="D44" t="s">
        <v>27</v>
      </c>
      <c r="E44" t="s">
        <v>21</v>
      </c>
      <c r="F44">
        <v>1</v>
      </c>
      <c r="G44">
        <f t="shared" si="15"/>
        <v>65</v>
      </c>
      <c r="I44">
        <v>2050</v>
      </c>
      <c r="J44">
        <f t="shared" si="16"/>
        <v>67.5</v>
      </c>
      <c r="K44" cm="1">
        <f t="array" ref="K44">STOWA2019_JAARROND_T(A44*60,J44,I44,"GL","center")</f>
        <v>4.8754626185581067</v>
      </c>
      <c r="L44">
        <f t="shared" si="17"/>
        <v>0.20510874110562763</v>
      </c>
    </row>
    <row r="45" spans="1:12" x14ac:dyDescent="0.3">
      <c r="A45">
        <v>48</v>
      </c>
      <c r="B45">
        <f t="shared" si="14"/>
        <v>6.2073497094815189E-2</v>
      </c>
      <c r="C45">
        <f t="shared" si="10"/>
        <v>6.2073497094815189E-2</v>
      </c>
      <c r="D45" t="s">
        <v>27</v>
      </c>
      <c r="E45" t="s">
        <v>21</v>
      </c>
      <c r="F45">
        <v>1</v>
      </c>
      <c r="G45">
        <f t="shared" si="15"/>
        <v>70</v>
      </c>
      <c r="I45">
        <v>2050</v>
      </c>
      <c r="J45">
        <f t="shared" si="16"/>
        <v>72.5</v>
      </c>
      <c r="K45" cm="1">
        <f t="array" ref="K45">STOWA2019_JAARROND_T(A45*60,J45,I45,"GL","center")</f>
        <v>6.9912839098901189</v>
      </c>
      <c r="L45">
        <f t="shared" si="17"/>
        <v>0.14303524401081244</v>
      </c>
    </row>
    <row r="46" spans="1:12" x14ac:dyDescent="0.3">
      <c r="A46">
        <v>48</v>
      </c>
      <c r="B46">
        <f t="shared" si="14"/>
        <v>4.2018587507688929E-2</v>
      </c>
      <c r="C46">
        <f t="shared" si="10"/>
        <v>4.2018587507688929E-2</v>
      </c>
      <c r="D46" t="s">
        <v>27</v>
      </c>
      <c r="E46" t="s">
        <v>21</v>
      </c>
      <c r="F46">
        <v>1</v>
      </c>
      <c r="G46">
        <f t="shared" si="15"/>
        <v>75</v>
      </c>
      <c r="I46">
        <v>2050</v>
      </c>
      <c r="J46">
        <f t="shared" si="16"/>
        <v>77.5</v>
      </c>
      <c r="K46" cm="1">
        <f t="array" ref="K46">STOWA2019_JAARROND_T(A46*60,J46,I46,"GL","center")</f>
        <v>9.8993575378242618</v>
      </c>
      <c r="L46">
        <f t="shared" si="17"/>
        <v>0.10101665650312351</v>
      </c>
    </row>
    <row r="47" spans="1:12" x14ac:dyDescent="0.3">
      <c r="A47">
        <v>48</v>
      </c>
      <c r="B47">
        <f t="shared" si="14"/>
        <v>2.8828373359634049E-2</v>
      </c>
      <c r="C47">
        <f t="shared" si="10"/>
        <v>2.8828373359634049E-2</v>
      </c>
      <c r="D47" t="s">
        <v>27</v>
      </c>
      <c r="E47" t="s">
        <v>21</v>
      </c>
      <c r="F47">
        <v>1</v>
      </c>
      <c r="G47">
        <f t="shared" si="15"/>
        <v>80</v>
      </c>
      <c r="I47">
        <v>2050</v>
      </c>
      <c r="J47">
        <f t="shared" si="16"/>
        <v>82.5</v>
      </c>
      <c r="K47" cm="1">
        <f t="array" ref="K47">STOWA2019_JAARROND_T(A47*60,J47,I47,"GL","center")</f>
        <v>13.852663568854918</v>
      </c>
      <c r="L47">
        <f t="shared" si="17"/>
        <v>7.2188283143489462E-2</v>
      </c>
    </row>
    <row r="48" spans="1:12" x14ac:dyDescent="0.3">
      <c r="A48">
        <v>48</v>
      </c>
      <c r="B48">
        <f t="shared" si="14"/>
        <v>2.0029847324389956E-2</v>
      </c>
      <c r="C48">
        <f t="shared" si="10"/>
        <v>2.0029847324389956E-2</v>
      </c>
      <c r="D48" t="s">
        <v>27</v>
      </c>
      <c r="E48" t="s">
        <v>21</v>
      </c>
      <c r="F48">
        <v>1</v>
      </c>
      <c r="G48">
        <f t="shared" si="15"/>
        <v>85</v>
      </c>
      <c r="I48">
        <v>2050</v>
      </c>
      <c r="J48">
        <f t="shared" si="16"/>
        <v>87.5</v>
      </c>
      <c r="K48" cm="1">
        <f t="array" ref="K48">STOWA2019_JAARROND_T(A48*60,J48,I48,"GL","center")</f>
        <v>19.172354084165566</v>
      </c>
      <c r="L48">
        <f t="shared" si="17"/>
        <v>5.2158435819099506E-2</v>
      </c>
    </row>
    <row r="49" spans="1:12" x14ac:dyDescent="0.3">
      <c r="A49">
        <v>48</v>
      </c>
      <c r="B49">
        <f t="shared" si="14"/>
        <v>1.4081400427413876E-2</v>
      </c>
      <c r="C49">
        <f t="shared" si="10"/>
        <v>1.4081400427413876E-2</v>
      </c>
      <c r="D49" t="s">
        <v>27</v>
      </c>
      <c r="E49" t="s">
        <v>21</v>
      </c>
      <c r="F49">
        <v>1</v>
      </c>
      <c r="G49">
        <f t="shared" si="15"/>
        <v>90</v>
      </c>
      <c r="I49">
        <v>2050</v>
      </c>
      <c r="J49">
        <f t="shared" si="16"/>
        <v>92.5</v>
      </c>
      <c r="K49" cm="1">
        <f t="array" ref="K49">STOWA2019_JAARROND_T(A49*60,J49,I49,"GL","center")</f>
        <v>26.262548796494713</v>
      </c>
      <c r="L49">
        <f t="shared" si="17"/>
        <v>3.8077035391685631E-2</v>
      </c>
    </row>
    <row r="50" spans="1:12" x14ac:dyDescent="0.3">
      <c r="A50">
        <v>48</v>
      </c>
      <c r="B50">
        <f t="shared" si="14"/>
        <v>1.0009326594882156E-2</v>
      </c>
      <c r="C50">
        <f t="shared" si="10"/>
        <v>1.0009326594882156E-2</v>
      </c>
      <c r="D50" t="s">
        <v>27</v>
      </c>
      <c r="E50" t="s">
        <v>21</v>
      </c>
      <c r="F50">
        <v>1</v>
      </c>
      <c r="G50">
        <f t="shared" si="15"/>
        <v>95</v>
      </c>
      <c r="I50">
        <v>2050</v>
      </c>
      <c r="J50">
        <f t="shared" si="16"/>
        <v>97.5</v>
      </c>
      <c r="K50" cm="1">
        <f t="array" ref="K50">STOWA2019_JAARROND_T(A50*60,J50,I50,"GL","center")</f>
        <v>35.628130790422276</v>
      </c>
      <c r="L50">
        <f t="shared" si="17"/>
        <v>2.8067708796803474E-2</v>
      </c>
    </row>
    <row r="51" spans="1:12" x14ac:dyDescent="0.3">
      <c r="A51">
        <v>48</v>
      </c>
      <c r="B51">
        <f t="shared" si="14"/>
        <v>7.1889238659473033E-3</v>
      </c>
      <c r="C51">
        <f t="shared" si="10"/>
        <v>7.1889238659473033E-3</v>
      </c>
      <c r="D51" t="s">
        <v>27</v>
      </c>
      <c r="E51" t="s">
        <v>21</v>
      </c>
      <c r="F51">
        <v>1</v>
      </c>
      <c r="G51">
        <f t="shared" si="15"/>
        <v>100</v>
      </c>
      <c r="I51">
        <v>2050</v>
      </c>
      <c r="J51">
        <f t="shared" si="16"/>
        <v>102.5</v>
      </c>
      <c r="K51" cm="1">
        <f t="array" ref="K51">STOWA2019_JAARROND_T(A51*60,J51,I51,"GL","center")</f>
        <v>47.89550748818376</v>
      </c>
      <c r="L51">
        <f t="shared" si="17"/>
        <v>2.0878784930856171E-2</v>
      </c>
    </row>
    <row r="52" spans="1:12" x14ac:dyDescent="0.3">
      <c r="A52">
        <v>48</v>
      </c>
      <c r="B52">
        <f t="shared" si="14"/>
        <v>5.2138414820935737E-3</v>
      </c>
      <c r="C52">
        <f t="shared" si="10"/>
        <v>5.2138414820935737E-3</v>
      </c>
      <c r="D52" t="s">
        <v>27</v>
      </c>
      <c r="E52" t="s">
        <v>21</v>
      </c>
      <c r="F52">
        <v>1</v>
      </c>
      <c r="G52">
        <f t="shared" si="15"/>
        <v>105</v>
      </c>
      <c r="I52">
        <v>2050</v>
      </c>
      <c r="J52">
        <f t="shared" si="16"/>
        <v>107.5</v>
      </c>
      <c r="K52" cm="1">
        <f t="array" ref="K52">STOWA2019_JAARROND_T(A52*60,J52,I52,"GL","center")</f>
        <v>63.836808812673489</v>
      </c>
      <c r="L52">
        <f t="shared" si="17"/>
        <v>1.5664943448762597E-2</v>
      </c>
    </row>
    <row r="53" spans="1:12" x14ac:dyDescent="0.3">
      <c r="A53">
        <v>48</v>
      </c>
      <c r="B53">
        <f t="shared" si="14"/>
        <v>3.8163160154693707E-3</v>
      </c>
      <c r="C53">
        <f t="shared" si="10"/>
        <v>3.8163160154693707E-3</v>
      </c>
      <c r="D53" t="s">
        <v>27</v>
      </c>
      <c r="E53" t="s">
        <v>21</v>
      </c>
      <c r="F53">
        <v>1</v>
      </c>
      <c r="G53">
        <f t="shared" si="15"/>
        <v>110</v>
      </c>
      <c r="I53">
        <v>2050</v>
      </c>
      <c r="J53">
        <f t="shared" si="16"/>
        <v>112.5</v>
      </c>
      <c r="K53" cm="1">
        <f t="array" ref="K53">STOWA2019_JAARROND_T(A53*60,J53,I53,"GL","center")</f>
        <v>84.397961336021041</v>
      </c>
      <c r="L53">
        <f t="shared" si="17"/>
        <v>1.1848627433293226E-2</v>
      </c>
    </row>
    <row r="54" spans="1:12" x14ac:dyDescent="0.3">
      <c r="A54">
        <v>48</v>
      </c>
      <c r="B54">
        <f t="shared" si="14"/>
        <v>2.8176806751664639E-3</v>
      </c>
      <c r="C54">
        <f t="shared" si="10"/>
        <v>2.8176806751664639E-3</v>
      </c>
      <c r="D54" t="s">
        <v>27</v>
      </c>
      <c r="E54" t="s">
        <v>21</v>
      </c>
      <c r="F54">
        <v>1</v>
      </c>
      <c r="G54">
        <f t="shared" si="15"/>
        <v>115</v>
      </c>
      <c r="I54">
        <v>2050</v>
      </c>
      <c r="J54">
        <f t="shared" si="16"/>
        <v>117.5</v>
      </c>
      <c r="K54" cm="1">
        <f t="array" ref="K54">STOWA2019_JAARROND_T(A54*60,J54,I54,"GL","center")</f>
        <v>110.73036158696436</v>
      </c>
      <c r="L54">
        <f t="shared" si="17"/>
        <v>9.0309467581267625E-3</v>
      </c>
    </row>
    <row r="55" spans="1:12" x14ac:dyDescent="0.3">
      <c r="A55">
        <v>48</v>
      </c>
      <c r="B55">
        <f t="shared" si="14"/>
        <v>2.0976287465300537E-3</v>
      </c>
      <c r="C55">
        <f t="shared" si="10"/>
        <v>2.0976287465300537E-3</v>
      </c>
      <c r="D55" t="s">
        <v>27</v>
      </c>
      <c r="E55" t="s">
        <v>21</v>
      </c>
      <c r="F55">
        <v>1</v>
      </c>
      <c r="G55">
        <f t="shared" si="15"/>
        <v>120</v>
      </c>
      <c r="I55">
        <v>2050</v>
      </c>
      <c r="J55">
        <f t="shared" si="16"/>
        <v>122.5</v>
      </c>
      <c r="K55" cm="1">
        <f t="array" ref="K55">STOWA2019_JAARROND_T(A55*60,J55,I55,"GL","center")</f>
        <v>144.23108796212637</v>
      </c>
      <c r="L55">
        <f t="shared" si="17"/>
        <v>6.9333180115967088E-3</v>
      </c>
    </row>
    <row r="56" spans="1:12" x14ac:dyDescent="0.3">
      <c r="A56">
        <v>48</v>
      </c>
      <c r="B56">
        <f t="shared" si="14"/>
        <v>1.5736950118779396E-3</v>
      </c>
      <c r="C56">
        <f t="shared" si="10"/>
        <v>1.5736950118779396E-3</v>
      </c>
      <c r="D56" t="s">
        <v>27</v>
      </c>
      <c r="E56" t="s">
        <v>21</v>
      </c>
      <c r="F56">
        <v>1</v>
      </c>
      <c r="G56">
        <f t="shared" si="15"/>
        <v>125</v>
      </c>
      <c r="I56">
        <v>2050</v>
      </c>
      <c r="J56">
        <f t="shared" si="16"/>
        <v>127.5</v>
      </c>
      <c r="K56" cm="1">
        <f t="array" ref="K56">STOWA2019_JAARROND_T(A56*60,J56,I56,"GL","center")</f>
        <v>186.58028746657592</v>
      </c>
      <c r="L56">
        <f t="shared" si="17"/>
        <v>5.3596229997187692E-3</v>
      </c>
    </row>
    <row r="57" spans="1:12" x14ac:dyDescent="0.3">
      <c r="A57">
        <v>48</v>
      </c>
      <c r="B57">
        <f t="shared" si="14"/>
        <v>1.18943316660908E-3</v>
      </c>
      <c r="C57">
        <f t="shared" si="10"/>
        <v>1.18943316660908E-3</v>
      </c>
      <c r="D57" t="s">
        <v>27</v>
      </c>
      <c r="E57" t="s">
        <v>21</v>
      </c>
      <c r="F57">
        <v>1</v>
      </c>
      <c r="G57">
        <f t="shared" si="15"/>
        <v>130</v>
      </c>
      <c r="I57">
        <v>2050</v>
      </c>
      <c r="J57">
        <f t="shared" si="16"/>
        <v>132.5</v>
      </c>
      <c r="K57" cm="1">
        <f t="array" ref="K57">STOWA2019_JAARROND_T(A57*60,J57,I57,"GL","center")</f>
        <v>239.79723706110161</v>
      </c>
      <c r="L57">
        <f t="shared" si="17"/>
        <v>4.1701898331096892E-3</v>
      </c>
    </row>
    <row r="58" spans="1:12" x14ac:dyDescent="0.3">
      <c r="A58">
        <v>48</v>
      </c>
      <c r="B58">
        <f t="shared" si="14"/>
        <v>9.0527668997282627E-4</v>
      </c>
      <c r="C58">
        <f t="shared" si="10"/>
        <v>9.0527668997282627E-4</v>
      </c>
      <c r="D58" t="s">
        <v>27</v>
      </c>
      <c r="E58" t="s">
        <v>21</v>
      </c>
      <c r="F58">
        <v>1</v>
      </c>
      <c r="G58">
        <f t="shared" si="15"/>
        <v>135</v>
      </c>
      <c r="I58">
        <v>2050</v>
      </c>
      <c r="J58">
        <f t="shared" si="16"/>
        <v>137.5</v>
      </c>
      <c r="K58" cm="1">
        <f t="array" ref="K58">STOWA2019_JAARROND_T(A58*60,J58,I58,"GL","center")</f>
        <v>306.2868615975554</v>
      </c>
      <c r="L58">
        <f t="shared" si="17"/>
        <v>3.264913143136863E-3</v>
      </c>
    </row>
    <row r="59" spans="1:12" x14ac:dyDescent="0.3">
      <c r="A59">
        <v>48</v>
      </c>
      <c r="B59">
        <f t="shared" si="14"/>
        <v>6.9363424062028741E-4</v>
      </c>
      <c r="C59">
        <f t="shared" si="10"/>
        <v>6.9363424062028741E-4</v>
      </c>
      <c r="D59" t="s">
        <v>27</v>
      </c>
      <c r="E59" t="s">
        <v>21</v>
      </c>
      <c r="F59">
        <v>1</v>
      </c>
      <c r="G59">
        <f t="shared" si="15"/>
        <v>140</v>
      </c>
      <c r="I59">
        <v>2050</v>
      </c>
      <c r="J59">
        <f t="shared" si="16"/>
        <v>142.5</v>
      </c>
      <c r="K59" cm="1">
        <f t="array" ref="K59">STOWA2019_JAARROND_T(A59*60,J59,I59,"GL","center")</f>
        <v>388.91152531966674</v>
      </c>
      <c r="L59">
        <f t="shared" si="17"/>
        <v>2.5712789025165756E-3</v>
      </c>
    </row>
    <row r="60" spans="1:12" x14ac:dyDescent="0.3">
      <c r="A60">
        <v>48</v>
      </c>
      <c r="B60">
        <f t="shared" si="14"/>
        <v>5.3485627057828309E-4</v>
      </c>
      <c r="C60">
        <f t="shared" si="10"/>
        <v>5.3485627057828309E-4</v>
      </c>
      <c r="D60" t="s">
        <v>27</v>
      </c>
      <c r="E60" t="s">
        <v>21</v>
      </c>
      <c r="F60">
        <v>1</v>
      </c>
      <c r="G60">
        <f t="shared" si="15"/>
        <v>145</v>
      </c>
      <c r="I60">
        <v>2050</v>
      </c>
      <c r="J60">
        <f t="shared" si="16"/>
        <v>147.5</v>
      </c>
      <c r="K60" cm="1">
        <f t="array" ref="K60">STOWA2019_JAARROND_T(A60*60,J60,I60,"GL","center")</f>
        <v>491.05720213303044</v>
      </c>
      <c r="L60">
        <f t="shared" si="17"/>
        <v>2.0364226319382925E-3</v>
      </c>
    </row>
    <row r="61" spans="1:12" x14ac:dyDescent="0.3">
      <c r="A61">
        <v>48</v>
      </c>
      <c r="B61">
        <f t="shared" si="14"/>
        <v>4.1493715176503889E-4</v>
      </c>
      <c r="C61">
        <f t="shared" si="10"/>
        <v>4.1493715176503889E-4</v>
      </c>
      <c r="D61" t="s">
        <v>27</v>
      </c>
      <c r="E61" t="s">
        <v>21</v>
      </c>
      <c r="F61">
        <v>1</v>
      </c>
      <c r="G61">
        <f t="shared" si="15"/>
        <v>150</v>
      </c>
      <c r="I61">
        <v>2050</v>
      </c>
      <c r="J61">
        <f t="shared" si="16"/>
        <v>152.5</v>
      </c>
      <c r="K61" cm="1">
        <f t="array" ref="K61">STOWA2019_JAARROND_T(A61*60,J61,I61,"GL","center")</f>
        <v>616.71844258090505</v>
      </c>
      <c r="L61">
        <f t="shared" si="17"/>
        <v>1.6214854801732536E-3</v>
      </c>
    </row>
    <row r="62" spans="1:12" x14ac:dyDescent="0.3">
      <c r="A62">
        <v>48</v>
      </c>
      <c r="B62">
        <f t="shared" si="14"/>
        <v>3.2375363675904542E-4</v>
      </c>
      <c r="C62">
        <f t="shared" si="10"/>
        <v>3.2375363675904542E-4</v>
      </c>
      <c r="D62" t="s">
        <v>27</v>
      </c>
      <c r="E62" t="s">
        <v>21</v>
      </c>
      <c r="F62">
        <v>1</v>
      </c>
      <c r="G62">
        <f t="shared" si="15"/>
        <v>155</v>
      </c>
      <c r="I62">
        <v>2050</v>
      </c>
      <c r="J62">
        <f t="shared" si="16"/>
        <v>157.5</v>
      </c>
      <c r="K62" cm="1">
        <f t="array" ref="K62">STOWA2019_JAARROND_T(A62*60,J62,I62,"GL","center")</f>
        <v>770.57521942984442</v>
      </c>
      <c r="L62">
        <f t="shared" si="17"/>
        <v>1.2977318434142081E-3</v>
      </c>
    </row>
    <row r="63" spans="1:12" x14ac:dyDescent="0.3">
      <c r="A63">
        <v>48</v>
      </c>
      <c r="B63" s="1">
        <f>L62</f>
        <v>1.2977318434142081E-3</v>
      </c>
      <c r="C63">
        <f t="shared" si="10"/>
        <v>1.2977318434142081E-3</v>
      </c>
      <c r="D63" t="s">
        <v>27</v>
      </c>
      <c r="E63" t="s">
        <v>21</v>
      </c>
      <c r="F63">
        <v>1</v>
      </c>
      <c r="G63">
        <f t="shared" si="15"/>
        <v>160</v>
      </c>
      <c r="I63">
        <v>2050</v>
      </c>
      <c r="J63">
        <f>AVERAGE(G63:G64)</f>
        <v>85</v>
      </c>
      <c r="K63" cm="1">
        <f t="array" ref="K63">STOWA2019_JAARROND_T(A63*60,J63,I63,"GL","center")</f>
        <v>16.31859331809455</v>
      </c>
      <c r="L63">
        <f>1/K63</f>
        <v>6.1279791738615717E-2</v>
      </c>
    </row>
    <row r="64" spans="1:12" x14ac:dyDescent="0.3">
      <c r="A64">
        <v>96</v>
      </c>
      <c r="B64" s="1">
        <f>365.25*24/A64 - L64</f>
        <v>49.53091036719362</v>
      </c>
      <c r="C64">
        <f>B64</f>
        <v>49.53091036719362</v>
      </c>
      <c r="D64" t="s">
        <v>27</v>
      </c>
      <c r="E64" t="s">
        <v>21</v>
      </c>
      <c r="F64">
        <v>1</v>
      </c>
      <c r="G64">
        <v>10</v>
      </c>
      <c r="I64">
        <v>2050</v>
      </c>
      <c r="J64">
        <f>AVERAGE(G64:G66)</f>
        <v>15</v>
      </c>
      <c r="K64" cm="1">
        <f t="array" ref="K64">STOWA2019_JAARROND_T(A64*60,J64,I64,"GL","center")</f>
        <v>2.3933986446863488E-2</v>
      </c>
      <c r="L64">
        <f>1/K64</f>
        <v>41.78158963280638</v>
      </c>
    </row>
    <row r="65" spans="1:12" x14ac:dyDescent="0.3">
      <c r="A65">
        <v>96</v>
      </c>
      <c r="B65">
        <f t="shared" ref="B65:B69" si="18">L64-L65</f>
        <v>8.2543613447685402</v>
      </c>
      <c r="C65">
        <f t="shared" ref="C65:C94" si="19">B65</f>
        <v>8.2543613447685402</v>
      </c>
      <c r="D65" t="s">
        <v>27</v>
      </c>
      <c r="E65" t="s">
        <v>21</v>
      </c>
      <c r="F65">
        <v>1</v>
      </c>
      <c r="G65">
        <f t="shared" ref="G65:G69" si="20">G64+5</f>
        <v>15</v>
      </c>
      <c r="I65">
        <v>2050</v>
      </c>
      <c r="J65">
        <f t="shared" ref="J65:J69" si="21">AVERAGE(G65:G66)</f>
        <v>17.5</v>
      </c>
      <c r="K65" cm="1">
        <f t="array" ref="K65">STOWA2019_JAARROND_T(A65*60,J65,I65,"GL","center")</f>
        <v>2.9826503742237154E-2</v>
      </c>
      <c r="L65">
        <f t="shared" ref="L65:L69" si="22">1/K65</f>
        <v>33.52722828803784</v>
      </c>
    </row>
    <row r="66" spans="1:12" x14ac:dyDescent="0.3">
      <c r="A66">
        <v>96</v>
      </c>
      <c r="B66">
        <f t="shared" si="18"/>
        <v>11.811525422631163</v>
      </c>
      <c r="C66">
        <f t="shared" si="19"/>
        <v>11.811525422631163</v>
      </c>
      <c r="D66" t="s">
        <v>27</v>
      </c>
      <c r="E66" t="s">
        <v>21</v>
      </c>
      <c r="F66">
        <v>1</v>
      </c>
      <c r="G66">
        <f t="shared" si="20"/>
        <v>20</v>
      </c>
      <c r="I66">
        <v>2050</v>
      </c>
      <c r="J66">
        <f t="shared" si="21"/>
        <v>22.5</v>
      </c>
      <c r="K66" cm="1">
        <f t="array" ref="K66">STOWA2019_JAARROND_T(A66*60,J66,I66,"GL","center")</f>
        <v>4.604962621739541E-2</v>
      </c>
      <c r="L66">
        <f t="shared" si="22"/>
        <v>21.715702865406676</v>
      </c>
    </row>
    <row r="67" spans="1:12" x14ac:dyDescent="0.3">
      <c r="A67">
        <v>96</v>
      </c>
      <c r="B67">
        <f t="shared" si="18"/>
        <v>7.5260009844568572</v>
      </c>
      <c r="C67">
        <f t="shared" si="19"/>
        <v>7.5260009844568572</v>
      </c>
      <c r="D67" t="s">
        <v>27</v>
      </c>
      <c r="E67" t="s">
        <v>21</v>
      </c>
      <c r="F67">
        <v>1</v>
      </c>
      <c r="G67">
        <f t="shared" si="20"/>
        <v>25</v>
      </c>
      <c r="I67">
        <v>2050</v>
      </c>
      <c r="J67">
        <f t="shared" si="21"/>
        <v>27.5</v>
      </c>
      <c r="K67" cm="1">
        <f t="array" ref="K67">STOWA2019_JAARROND_T(A67*60,J67,I67,"GL","center")</f>
        <v>7.0473644082863759E-2</v>
      </c>
      <c r="L67">
        <f t="shared" si="22"/>
        <v>14.189701880949819</v>
      </c>
    </row>
    <row r="68" spans="1:12" x14ac:dyDescent="0.3">
      <c r="A68">
        <v>96</v>
      </c>
      <c r="B68">
        <f t="shared" si="18"/>
        <v>4.8336000394431693</v>
      </c>
      <c r="C68">
        <f t="shared" si="19"/>
        <v>4.8336000394431693</v>
      </c>
      <c r="D68" t="s">
        <v>27</v>
      </c>
      <c r="E68" t="s">
        <v>21</v>
      </c>
      <c r="F68">
        <v>1</v>
      </c>
      <c r="G68">
        <f t="shared" si="20"/>
        <v>30</v>
      </c>
      <c r="I68">
        <v>2050</v>
      </c>
      <c r="J68">
        <f t="shared" si="21"/>
        <v>32.5</v>
      </c>
      <c r="K68" cm="1">
        <f t="array" ref="K68">STOWA2019_JAARROND_T(A68*60,J68,I68,"GL","center")</f>
        <v>0.10688212002606484</v>
      </c>
      <c r="L68">
        <f t="shared" si="22"/>
        <v>9.3561018415066499</v>
      </c>
    </row>
    <row r="69" spans="1:12" x14ac:dyDescent="0.3">
      <c r="A69">
        <v>96</v>
      </c>
      <c r="B69">
        <f t="shared" si="18"/>
        <v>3.1321657724654628</v>
      </c>
      <c r="C69">
        <f t="shared" si="19"/>
        <v>3.1321657724654628</v>
      </c>
      <c r="D69" t="s">
        <v>27</v>
      </c>
      <c r="E69" t="s">
        <v>21</v>
      </c>
      <c r="F69">
        <v>1</v>
      </c>
      <c r="G69">
        <f t="shared" si="20"/>
        <v>35</v>
      </c>
      <c r="I69">
        <v>2050</v>
      </c>
      <c r="J69">
        <f t="shared" si="21"/>
        <v>37.5</v>
      </c>
      <c r="K69" cm="1">
        <f t="array" ref="K69">STOWA2019_JAARROND_T(A69*60,J69,I69,"GL","center")</f>
        <v>0.1606700308144477</v>
      </c>
      <c r="L69">
        <f t="shared" si="22"/>
        <v>6.2239360690411871</v>
      </c>
    </row>
    <row r="70" spans="1:12" x14ac:dyDescent="0.3">
      <c r="A70">
        <v>96</v>
      </c>
      <c r="B70">
        <f>L69-L70</f>
        <v>2.047913849858201</v>
      </c>
      <c r="C70">
        <f t="shared" si="19"/>
        <v>2.047913849858201</v>
      </c>
      <c r="D70" t="s">
        <v>27</v>
      </c>
      <c r="E70" t="s">
        <v>21</v>
      </c>
      <c r="F70">
        <v>1</v>
      </c>
      <c r="G70">
        <f>G69+5</f>
        <v>40</v>
      </c>
      <c r="I70">
        <v>2050</v>
      </c>
      <c r="J70">
        <f>AVERAGE(G70:G71)</f>
        <v>42.5</v>
      </c>
      <c r="K70" cm="1">
        <f t="array" ref="K70">STOWA2019_JAARROND_T(A70*60,J70,I70,"GL","center")</f>
        <v>0.23946232742881429</v>
      </c>
      <c r="L70">
        <f>1/K70</f>
        <v>4.1760222191829861</v>
      </c>
    </row>
    <row r="71" spans="1:12" x14ac:dyDescent="0.3">
      <c r="A71">
        <v>96</v>
      </c>
      <c r="B71">
        <f t="shared" ref="B71:B93" si="23">L70-L71</f>
        <v>1.3508282831711771</v>
      </c>
      <c r="C71">
        <f t="shared" si="19"/>
        <v>1.3508282831711771</v>
      </c>
      <c r="D71" t="s">
        <v>27</v>
      </c>
      <c r="E71" t="s">
        <v>21</v>
      </c>
      <c r="F71">
        <v>1</v>
      </c>
      <c r="G71">
        <f t="shared" ref="G71:G94" si="24">G70+5</f>
        <v>45</v>
      </c>
      <c r="I71">
        <v>2050</v>
      </c>
      <c r="J71">
        <f t="shared" ref="J71:J93" si="25">AVERAGE(G71:G72)</f>
        <v>47.5</v>
      </c>
      <c r="K71" cm="1">
        <f t="array" ref="K71">STOWA2019_JAARROND_T(A71*60,J71,I71,"GL","center")</f>
        <v>0.3539580016979833</v>
      </c>
      <c r="L71">
        <f t="shared" ref="L71:L93" si="26">1/K71</f>
        <v>2.825193936011809</v>
      </c>
    </row>
    <row r="72" spans="1:12" x14ac:dyDescent="0.3">
      <c r="A72">
        <v>96</v>
      </c>
      <c r="B72">
        <f t="shared" si="23"/>
        <v>0.89860158556693848</v>
      </c>
      <c r="C72">
        <f t="shared" si="19"/>
        <v>0.89860158556693848</v>
      </c>
      <c r="D72" t="s">
        <v>27</v>
      </c>
      <c r="E72" t="s">
        <v>21</v>
      </c>
      <c r="F72">
        <v>1</v>
      </c>
      <c r="G72">
        <f t="shared" si="24"/>
        <v>50</v>
      </c>
      <c r="I72">
        <v>2050</v>
      </c>
      <c r="J72">
        <f t="shared" si="25"/>
        <v>52.5</v>
      </c>
      <c r="K72" cm="1">
        <f t="array" ref="K72">STOWA2019_JAARROND_T(A72*60,J72,I72,"GL","center")</f>
        <v>0.51905116293495579</v>
      </c>
      <c r="L72">
        <f t="shared" si="26"/>
        <v>1.9265923504448705</v>
      </c>
    </row>
    <row r="73" spans="1:12" x14ac:dyDescent="0.3">
      <c r="A73">
        <v>96</v>
      </c>
      <c r="B73">
        <f t="shared" si="23"/>
        <v>0.60267021699129586</v>
      </c>
      <c r="C73">
        <f t="shared" si="19"/>
        <v>0.60267021699129586</v>
      </c>
      <c r="D73" t="s">
        <v>27</v>
      </c>
      <c r="E73" t="s">
        <v>21</v>
      </c>
      <c r="F73">
        <v>1</v>
      </c>
      <c r="G73">
        <f t="shared" si="24"/>
        <v>55</v>
      </c>
      <c r="I73">
        <v>2050</v>
      </c>
      <c r="J73">
        <f t="shared" si="25"/>
        <v>57.5</v>
      </c>
      <c r="K73" cm="1">
        <f t="array" ref="K73">STOWA2019_JAARROND_T(A73*60,J73,I73,"GL","center")</f>
        <v>0.75533143130661806</v>
      </c>
      <c r="L73">
        <f t="shared" si="26"/>
        <v>1.3239221334535747</v>
      </c>
    </row>
    <row r="74" spans="1:12" x14ac:dyDescent="0.3">
      <c r="A74">
        <v>96</v>
      </c>
      <c r="B74">
        <f t="shared" si="23"/>
        <v>0.40733664108681777</v>
      </c>
      <c r="C74">
        <f t="shared" si="19"/>
        <v>0.40733664108681777</v>
      </c>
      <c r="D74" t="s">
        <v>27</v>
      </c>
      <c r="E74" t="s">
        <v>21</v>
      </c>
      <c r="F74">
        <v>1</v>
      </c>
      <c r="G74">
        <f t="shared" si="24"/>
        <v>60</v>
      </c>
      <c r="I74">
        <v>2050</v>
      </c>
      <c r="J74">
        <f t="shared" si="25"/>
        <v>62.5</v>
      </c>
      <c r="K74" cm="1">
        <f t="array" ref="K74">STOWA2019_JAARROND_T(A74*60,J74,I74,"GL","center")</f>
        <v>1.0910057035900216</v>
      </c>
      <c r="L74">
        <f t="shared" si="26"/>
        <v>0.9165854923667569</v>
      </c>
    </row>
    <row r="75" spans="1:12" x14ac:dyDescent="0.3">
      <c r="A75">
        <v>96</v>
      </c>
      <c r="B75">
        <f t="shared" si="23"/>
        <v>0.27755463973052397</v>
      </c>
      <c r="C75">
        <f t="shared" si="19"/>
        <v>0.27755463973052397</v>
      </c>
      <c r="D75" t="s">
        <v>27</v>
      </c>
      <c r="E75" t="s">
        <v>21</v>
      </c>
      <c r="F75">
        <v>1</v>
      </c>
      <c r="G75">
        <f t="shared" si="24"/>
        <v>65</v>
      </c>
      <c r="I75">
        <v>2050</v>
      </c>
      <c r="J75">
        <f t="shared" si="25"/>
        <v>67.5</v>
      </c>
      <c r="K75" cm="1">
        <f t="array" ref="K75">STOWA2019_JAARROND_T(A75*60,J75,I75,"GL","center")</f>
        <v>1.564869670806408</v>
      </c>
      <c r="L75">
        <f t="shared" si="26"/>
        <v>0.63903085263623294</v>
      </c>
    </row>
    <row r="76" spans="1:12" x14ac:dyDescent="0.3">
      <c r="A76">
        <v>96</v>
      </c>
      <c r="B76">
        <f t="shared" si="23"/>
        <v>0.19045509552461792</v>
      </c>
      <c r="C76">
        <f t="shared" si="19"/>
        <v>0.19045509552461792</v>
      </c>
      <c r="D76" t="s">
        <v>27</v>
      </c>
      <c r="E76" t="s">
        <v>21</v>
      </c>
      <c r="F76">
        <v>1</v>
      </c>
      <c r="G76">
        <f t="shared" si="24"/>
        <v>70</v>
      </c>
      <c r="I76">
        <v>2050</v>
      </c>
      <c r="J76">
        <f t="shared" si="25"/>
        <v>72.5</v>
      </c>
      <c r="K76" cm="1">
        <f t="array" ref="K76">STOWA2019_JAARROND_T(A76*60,J76,I76,"GL","center")</f>
        <v>2.2292778513912848</v>
      </c>
      <c r="L76">
        <f t="shared" si="26"/>
        <v>0.44857575711161501</v>
      </c>
    </row>
    <row r="77" spans="1:12" x14ac:dyDescent="0.3">
      <c r="A77">
        <v>96</v>
      </c>
      <c r="B77">
        <f t="shared" si="23"/>
        <v>0.13161398205774377</v>
      </c>
      <c r="C77">
        <f t="shared" si="19"/>
        <v>0.13161398205774377</v>
      </c>
      <c r="D77" t="s">
        <v>27</v>
      </c>
      <c r="E77" t="s">
        <v>21</v>
      </c>
      <c r="F77">
        <v>1</v>
      </c>
      <c r="G77">
        <f t="shared" si="24"/>
        <v>75</v>
      </c>
      <c r="I77">
        <v>2050</v>
      </c>
      <c r="J77">
        <f t="shared" si="25"/>
        <v>77.5</v>
      </c>
      <c r="K77" cm="1">
        <f t="array" ref="K77">STOWA2019_JAARROND_T(A77*60,J77,I77,"GL","center")</f>
        <v>3.1549545677236273</v>
      </c>
      <c r="L77">
        <f t="shared" si="26"/>
        <v>0.31696177505387124</v>
      </c>
    </row>
    <row r="78" spans="1:12" x14ac:dyDescent="0.3">
      <c r="A78">
        <v>96</v>
      </c>
      <c r="B78">
        <f t="shared" si="23"/>
        <v>9.1572200646982516E-2</v>
      </c>
      <c r="C78">
        <f t="shared" si="19"/>
        <v>9.1572200646982516E-2</v>
      </c>
      <c r="D78" t="s">
        <v>27</v>
      </c>
      <c r="E78" t="s">
        <v>21</v>
      </c>
      <c r="F78">
        <v>1</v>
      </c>
      <c r="G78">
        <f t="shared" si="24"/>
        <v>80</v>
      </c>
      <c r="I78">
        <v>2050</v>
      </c>
      <c r="J78">
        <f t="shared" si="25"/>
        <v>82.5</v>
      </c>
      <c r="K78" cm="1">
        <f t="array" ref="K78">STOWA2019_JAARROND_T(A78*60,J78,I78,"GL","center")</f>
        <v>4.436762448447289</v>
      </c>
      <c r="L78">
        <f t="shared" si="26"/>
        <v>0.22538957440688873</v>
      </c>
    </row>
    <row r="79" spans="1:12" x14ac:dyDescent="0.3">
      <c r="A79">
        <v>96</v>
      </c>
      <c r="B79">
        <f t="shared" si="23"/>
        <v>6.4135609084764234E-2</v>
      </c>
      <c r="C79">
        <f t="shared" si="19"/>
        <v>6.4135609084764234E-2</v>
      </c>
      <c r="D79" t="s">
        <v>27</v>
      </c>
      <c r="E79" t="s">
        <v>21</v>
      </c>
      <c r="F79">
        <v>1</v>
      </c>
      <c r="G79">
        <f t="shared" si="24"/>
        <v>85</v>
      </c>
      <c r="I79">
        <v>2050</v>
      </c>
      <c r="J79">
        <f t="shared" si="25"/>
        <v>87.5</v>
      </c>
      <c r="K79" cm="1">
        <f t="array" ref="K79">STOWA2019_JAARROND_T(A79*60,J79,I79,"GL","center")</f>
        <v>6.2013978881224894</v>
      </c>
      <c r="L79">
        <f t="shared" si="26"/>
        <v>0.16125396532212449</v>
      </c>
    </row>
    <row r="80" spans="1:12" x14ac:dyDescent="0.3">
      <c r="A80">
        <v>96</v>
      </c>
      <c r="B80">
        <f t="shared" si="23"/>
        <v>4.5201922417839643E-2</v>
      </c>
      <c r="C80">
        <f t="shared" si="19"/>
        <v>4.5201922417839643E-2</v>
      </c>
      <c r="D80" t="s">
        <v>27</v>
      </c>
      <c r="E80" t="s">
        <v>21</v>
      </c>
      <c r="F80">
        <v>1</v>
      </c>
      <c r="G80">
        <f t="shared" si="24"/>
        <v>90</v>
      </c>
      <c r="I80">
        <v>2050</v>
      </c>
      <c r="J80">
        <f t="shared" si="25"/>
        <v>92.5</v>
      </c>
      <c r="K80" cm="1">
        <f t="array" ref="K80">STOWA2019_JAARROND_T(A80*60,J80,I80,"GL","center")</f>
        <v>8.6168237540183643</v>
      </c>
      <c r="L80">
        <f t="shared" si="26"/>
        <v>0.11605204290428485</v>
      </c>
    </row>
    <row r="81" spans="1:12" x14ac:dyDescent="0.3">
      <c r="A81">
        <v>96</v>
      </c>
      <c r="B81">
        <f t="shared" si="23"/>
        <v>3.2054117887406655E-2</v>
      </c>
      <c r="C81">
        <f t="shared" si="19"/>
        <v>3.2054117887406655E-2</v>
      </c>
      <c r="D81" t="s">
        <v>27</v>
      </c>
      <c r="E81" t="s">
        <v>21</v>
      </c>
      <c r="F81">
        <v>1</v>
      </c>
      <c r="G81">
        <f t="shared" si="24"/>
        <v>95</v>
      </c>
      <c r="I81">
        <v>2050</v>
      </c>
      <c r="J81">
        <f t="shared" si="25"/>
        <v>97.5</v>
      </c>
      <c r="K81" cm="1">
        <f t="array" ref="K81">STOWA2019_JAARROND_T(A81*60,J81,I81,"GL","center")</f>
        <v>11.905055985598027</v>
      </c>
      <c r="L81">
        <f t="shared" si="26"/>
        <v>8.3997925016878194E-2</v>
      </c>
    </row>
    <row r="82" spans="1:12" x14ac:dyDescent="0.3">
      <c r="A82">
        <v>96</v>
      </c>
      <c r="B82">
        <f t="shared" si="23"/>
        <v>2.286517009233862E-2</v>
      </c>
      <c r="C82">
        <f t="shared" si="19"/>
        <v>2.286517009233862E-2</v>
      </c>
      <c r="D82" t="s">
        <v>27</v>
      </c>
      <c r="E82" t="s">
        <v>21</v>
      </c>
      <c r="F82">
        <v>1</v>
      </c>
      <c r="G82">
        <f t="shared" si="24"/>
        <v>100</v>
      </c>
      <c r="I82">
        <v>2050</v>
      </c>
      <c r="J82">
        <f t="shared" si="25"/>
        <v>102.5</v>
      </c>
      <c r="K82" cm="1">
        <f t="array" ref="K82">STOWA2019_JAARROND_T(A82*60,J82,I82,"GL","center")</f>
        <v>16.357842882009322</v>
      </c>
      <c r="L82">
        <f t="shared" si="26"/>
        <v>6.1132754924539574E-2</v>
      </c>
    </row>
    <row r="83" spans="1:12" x14ac:dyDescent="0.3">
      <c r="A83">
        <v>96</v>
      </c>
      <c r="B83">
        <f t="shared" si="23"/>
        <v>1.6403734281986451E-2</v>
      </c>
      <c r="C83">
        <f t="shared" si="19"/>
        <v>1.6403734281986451E-2</v>
      </c>
      <c r="D83" t="s">
        <v>27</v>
      </c>
      <c r="E83" t="s">
        <v>21</v>
      </c>
      <c r="F83">
        <v>1</v>
      </c>
      <c r="G83">
        <f t="shared" si="24"/>
        <v>105</v>
      </c>
      <c r="I83">
        <v>2050</v>
      </c>
      <c r="J83">
        <f t="shared" si="25"/>
        <v>107.5</v>
      </c>
      <c r="K83" cm="1">
        <f t="array" ref="K83">STOWA2019_JAARROND_T(A83*60,J83,I83,"GL","center")</f>
        <v>22.35684988480714</v>
      </c>
      <c r="L83">
        <f t="shared" si="26"/>
        <v>4.4729020642553123E-2</v>
      </c>
    </row>
    <row r="84" spans="1:12" x14ac:dyDescent="0.3">
      <c r="A84">
        <v>96</v>
      </c>
      <c r="B84">
        <f t="shared" si="23"/>
        <v>1.1833326786343981E-2</v>
      </c>
      <c r="C84">
        <f t="shared" si="19"/>
        <v>1.1833326786343981E-2</v>
      </c>
      <c r="D84" t="s">
        <v>27</v>
      </c>
      <c r="E84" t="s">
        <v>21</v>
      </c>
      <c r="F84">
        <v>1</v>
      </c>
      <c r="G84">
        <f t="shared" si="24"/>
        <v>110</v>
      </c>
      <c r="I84">
        <v>2050</v>
      </c>
      <c r="J84">
        <f t="shared" si="25"/>
        <v>112.5</v>
      </c>
      <c r="K84" cm="1">
        <f t="array" ref="K84">STOWA2019_JAARROND_T(A84*60,J84,I84,"GL","center")</f>
        <v>30.399115591576056</v>
      </c>
      <c r="L84">
        <f t="shared" si="26"/>
        <v>3.2895693856209142E-2</v>
      </c>
    </row>
    <row r="85" spans="1:12" x14ac:dyDescent="0.3">
      <c r="A85">
        <v>96</v>
      </c>
      <c r="B85">
        <f t="shared" si="23"/>
        <v>8.5818372268190272E-3</v>
      </c>
      <c r="C85">
        <f t="shared" si="19"/>
        <v>8.5818372268190272E-3</v>
      </c>
      <c r="D85" t="s">
        <v>27</v>
      </c>
      <c r="E85" t="s">
        <v>21</v>
      </c>
      <c r="F85">
        <v>1</v>
      </c>
      <c r="G85">
        <f t="shared" si="24"/>
        <v>115</v>
      </c>
      <c r="I85">
        <v>2050</v>
      </c>
      <c r="J85">
        <f t="shared" si="25"/>
        <v>117.5</v>
      </c>
      <c r="K85" cm="1">
        <f t="array" ref="K85">STOWA2019_JAARROND_T(A85*60,J85,I85,"GL","center")</f>
        <v>41.128810424555169</v>
      </c>
      <c r="L85">
        <f t="shared" si="26"/>
        <v>2.4313856629390115E-2</v>
      </c>
    </row>
    <row r="86" spans="1:12" x14ac:dyDescent="0.3">
      <c r="A86">
        <v>96</v>
      </c>
      <c r="B86">
        <f t="shared" si="23"/>
        <v>6.2563137706004093E-3</v>
      </c>
      <c r="C86">
        <f t="shared" si="19"/>
        <v>6.2563137706004093E-3</v>
      </c>
      <c r="D86" t="s">
        <v>27</v>
      </c>
      <c r="E86" t="s">
        <v>21</v>
      </c>
      <c r="F86">
        <v>1</v>
      </c>
      <c r="G86">
        <f t="shared" si="24"/>
        <v>120</v>
      </c>
      <c r="I86">
        <v>2050</v>
      </c>
      <c r="J86">
        <f t="shared" si="25"/>
        <v>122.5</v>
      </c>
      <c r="K86" cm="1">
        <f t="array" ref="K86">STOWA2019_JAARROND_T(A86*60,J86,I86,"GL","center")</f>
        <v>55.378520091023304</v>
      </c>
      <c r="L86">
        <f t="shared" si="26"/>
        <v>1.8057542858789705E-2</v>
      </c>
    </row>
    <row r="87" spans="1:12" x14ac:dyDescent="0.3">
      <c r="A87">
        <v>96</v>
      </c>
      <c r="B87">
        <f t="shared" si="23"/>
        <v>4.5836178967248436E-3</v>
      </c>
      <c r="C87">
        <f t="shared" si="19"/>
        <v>4.5836178967248436E-3</v>
      </c>
      <c r="D87" t="s">
        <v>27</v>
      </c>
      <c r="E87" t="s">
        <v>21</v>
      </c>
      <c r="F87">
        <v>1</v>
      </c>
      <c r="G87">
        <f t="shared" si="24"/>
        <v>125</v>
      </c>
      <c r="I87">
        <v>2050</v>
      </c>
      <c r="J87">
        <f t="shared" si="25"/>
        <v>127.5</v>
      </c>
      <c r="K87" cm="1">
        <f t="array" ref="K87">STOWA2019_JAARROND_T(A87*60,J87,I87,"GL","center")</f>
        <v>74.217423862419324</v>
      </c>
      <c r="L87">
        <f t="shared" si="26"/>
        <v>1.3473924962064862E-2</v>
      </c>
    </row>
    <row r="88" spans="1:12" x14ac:dyDescent="0.3">
      <c r="A88">
        <v>96</v>
      </c>
      <c r="B88">
        <f t="shared" si="23"/>
        <v>3.3746152797741319E-3</v>
      </c>
      <c r="C88">
        <f t="shared" si="19"/>
        <v>3.3746152797741319E-3</v>
      </c>
      <c r="D88" t="s">
        <v>27</v>
      </c>
      <c r="E88" t="s">
        <v>21</v>
      </c>
      <c r="F88">
        <v>1</v>
      </c>
      <c r="G88">
        <f t="shared" si="24"/>
        <v>130</v>
      </c>
      <c r="I88">
        <v>2050</v>
      </c>
      <c r="J88">
        <f t="shared" si="25"/>
        <v>132.5</v>
      </c>
      <c r="K88" cm="1">
        <f t="array" ref="K88">STOWA2019_JAARROND_T(A88*60,J88,I88,"GL","center")</f>
        <v>99.016668609886565</v>
      </c>
      <c r="L88">
        <f t="shared" si="26"/>
        <v>1.009930968229073E-2</v>
      </c>
    </row>
    <row r="89" spans="1:12" x14ac:dyDescent="0.3">
      <c r="A89">
        <v>96</v>
      </c>
      <c r="B89">
        <f t="shared" si="23"/>
        <v>2.4960918819467567E-3</v>
      </c>
      <c r="C89">
        <f t="shared" si="19"/>
        <v>2.4960918819467567E-3</v>
      </c>
      <c r="D89" t="s">
        <v>27</v>
      </c>
      <c r="E89" t="s">
        <v>21</v>
      </c>
      <c r="F89">
        <v>1</v>
      </c>
      <c r="G89">
        <f t="shared" si="24"/>
        <v>135</v>
      </c>
      <c r="I89">
        <v>2050</v>
      </c>
      <c r="J89">
        <f t="shared" si="25"/>
        <v>137.5</v>
      </c>
      <c r="K89" cm="1">
        <f t="array" ref="K89">STOWA2019_JAARROND_T(A89*60,J89,I89,"GL","center")</f>
        <v>131.52326110594379</v>
      </c>
      <c r="L89">
        <f t="shared" si="26"/>
        <v>7.6032178003439732E-3</v>
      </c>
    </row>
    <row r="90" spans="1:12" x14ac:dyDescent="0.3">
      <c r="A90">
        <v>96</v>
      </c>
      <c r="B90">
        <f t="shared" si="23"/>
        <v>1.8547589947543455E-3</v>
      </c>
      <c r="C90">
        <f t="shared" si="19"/>
        <v>1.8547589947543455E-3</v>
      </c>
      <c r="D90" t="s">
        <v>27</v>
      </c>
      <c r="E90" t="s">
        <v>21</v>
      </c>
      <c r="F90">
        <v>1</v>
      </c>
      <c r="G90">
        <f t="shared" si="24"/>
        <v>140</v>
      </c>
      <c r="I90">
        <v>2050</v>
      </c>
      <c r="J90">
        <f t="shared" si="25"/>
        <v>142.5</v>
      </c>
      <c r="K90" cm="1">
        <f t="array" ref="K90">STOWA2019_JAARROND_T(A90*60,J90,I90,"GL","center")</f>
        <v>173.95967055163206</v>
      </c>
      <c r="L90">
        <f t="shared" si="26"/>
        <v>5.7484588055896277E-3</v>
      </c>
    </row>
    <row r="91" spans="1:12" x14ac:dyDescent="0.3">
      <c r="A91">
        <v>96</v>
      </c>
      <c r="B91">
        <f t="shared" si="23"/>
        <v>1.3843405995712169E-3</v>
      </c>
      <c r="C91">
        <f t="shared" si="19"/>
        <v>1.3843405995712169E-3</v>
      </c>
      <c r="D91" t="s">
        <v>27</v>
      </c>
      <c r="E91" t="s">
        <v>21</v>
      </c>
      <c r="F91">
        <v>1</v>
      </c>
      <c r="G91">
        <f t="shared" si="24"/>
        <v>145</v>
      </c>
      <c r="I91">
        <v>2050</v>
      </c>
      <c r="J91">
        <f t="shared" si="25"/>
        <v>147.5</v>
      </c>
      <c r="K91" cm="1">
        <f t="array" ref="K91">STOWA2019_JAARROND_T(A91*60,J91,I91,"GL","center")</f>
        <v>229.14136437022563</v>
      </c>
      <c r="L91">
        <f t="shared" si="26"/>
        <v>4.3641182060184108E-3</v>
      </c>
    </row>
    <row r="92" spans="1:12" x14ac:dyDescent="0.3">
      <c r="A92">
        <v>96</v>
      </c>
      <c r="B92">
        <f t="shared" si="23"/>
        <v>1.037631739790421E-3</v>
      </c>
      <c r="C92">
        <f t="shared" si="19"/>
        <v>1.037631739790421E-3</v>
      </c>
      <c r="D92" t="s">
        <v>27</v>
      </c>
      <c r="E92" t="s">
        <v>21</v>
      </c>
      <c r="F92">
        <v>1</v>
      </c>
      <c r="G92">
        <f t="shared" si="24"/>
        <v>150</v>
      </c>
      <c r="I92">
        <v>2050</v>
      </c>
      <c r="J92">
        <f t="shared" si="25"/>
        <v>152.5</v>
      </c>
      <c r="K92" cm="1">
        <f t="array" ref="K92">STOWA2019_JAARROND_T(A92*60,J92,I92,"GL","center")</f>
        <v>300.61748639366397</v>
      </c>
      <c r="L92">
        <f t="shared" si="26"/>
        <v>3.3264864662279898E-3</v>
      </c>
    </row>
    <row r="93" spans="1:12" x14ac:dyDescent="0.3">
      <c r="A93">
        <v>96</v>
      </c>
      <c r="B93">
        <f t="shared" si="23"/>
        <v>7.810243120549825E-4</v>
      </c>
      <c r="C93">
        <f t="shared" si="19"/>
        <v>7.810243120549825E-4</v>
      </c>
      <c r="D93" t="s">
        <v>27</v>
      </c>
      <c r="E93" t="s">
        <v>21</v>
      </c>
      <c r="F93">
        <v>1</v>
      </c>
      <c r="G93">
        <f t="shared" si="24"/>
        <v>155</v>
      </c>
      <c r="I93">
        <v>2050</v>
      </c>
      <c r="J93">
        <f t="shared" si="25"/>
        <v>157.5</v>
      </c>
      <c r="K93" cm="1">
        <f t="array" ref="K93">STOWA2019_JAARROND_T(A93*60,J93,I93,"GL","center")</f>
        <v>392.8559685558904</v>
      </c>
      <c r="L93">
        <f t="shared" si="26"/>
        <v>2.5454621541730073E-3</v>
      </c>
    </row>
    <row r="94" spans="1:12" x14ac:dyDescent="0.3">
      <c r="A94">
        <v>96</v>
      </c>
      <c r="B94" s="1">
        <f>L93</f>
        <v>2.5454621541730073E-3</v>
      </c>
      <c r="C94">
        <f t="shared" si="19"/>
        <v>2.5454621541730073E-3</v>
      </c>
      <c r="D94" t="s">
        <v>27</v>
      </c>
      <c r="E94" t="s">
        <v>21</v>
      </c>
      <c r="F94">
        <v>1</v>
      </c>
      <c r="G94">
        <f t="shared" si="24"/>
        <v>160</v>
      </c>
      <c r="I94">
        <v>2050</v>
      </c>
      <c r="J94">
        <f>AVERAGE(G94:G95)</f>
        <v>85</v>
      </c>
      <c r="K94" cm="1">
        <f t="array" ref="K94">STOWA2019_JAARROND_T(A94*60,J94,I94,"GL","center")</f>
        <v>5.2493294541215532</v>
      </c>
      <c r="L94">
        <f>1/K94</f>
        <v>0.19050052177899446</v>
      </c>
    </row>
    <row r="95" spans="1:12" x14ac:dyDescent="0.3">
      <c r="A95">
        <v>192</v>
      </c>
      <c r="B95" s="1">
        <f>365.25*24/A95 - L95</f>
        <v>-8.0893592253752047</v>
      </c>
      <c r="C95">
        <f>B95</f>
        <v>-8.0893592253752047</v>
      </c>
      <c r="D95" t="s">
        <v>27</v>
      </c>
      <c r="E95" t="s">
        <v>21</v>
      </c>
      <c r="F95">
        <v>1</v>
      </c>
      <c r="G95">
        <v>10</v>
      </c>
      <c r="I95">
        <v>2050</v>
      </c>
      <c r="J95">
        <f>AVERAGE(G95:G97)</f>
        <v>15</v>
      </c>
      <c r="K95" cm="1">
        <f t="array" ref="K95">STOWA2019_JAARROND_T(A95*60,J95,I95,"GL","center")</f>
        <v>1.8606171079141188E-2</v>
      </c>
      <c r="L95">
        <f>1/K95</f>
        <v>53.745609225375205</v>
      </c>
    </row>
    <row r="96" spans="1:12" x14ac:dyDescent="0.3">
      <c r="A96">
        <v>192</v>
      </c>
      <c r="B96">
        <f t="shared" ref="B96:B100" si="27">L95-L96</f>
        <v>6.4398789780704888</v>
      </c>
      <c r="C96">
        <f t="shared" ref="C96:C125" si="28">B96</f>
        <v>6.4398789780704888</v>
      </c>
      <c r="D96" t="s">
        <v>27</v>
      </c>
      <c r="E96" t="s">
        <v>21</v>
      </c>
      <c r="F96">
        <v>1</v>
      </c>
      <c r="G96">
        <f t="shared" ref="G96:G100" si="29">G95+5</f>
        <v>15</v>
      </c>
      <c r="I96">
        <v>2050</v>
      </c>
      <c r="J96">
        <f t="shared" ref="J96:J100" si="30">AVERAGE(G96:G97)</f>
        <v>17.5</v>
      </c>
      <c r="K96" cm="1">
        <f t="array" ref="K96">STOWA2019_JAARROND_T(A96*60,J96,I96,"GL","center")</f>
        <v>2.1139088114108032E-2</v>
      </c>
      <c r="L96">
        <f t="shared" ref="L96:L100" si="31">1/K96</f>
        <v>47.305730247304716</v>
      </c>
    </row>
    <row r="97" spans="1:12" x14ac:dyDescent="0.3">
      <c r="A97">
        <v>192</v>
      </c>
      <c r="B97">
        <f t="shared" si="27"/>
        <v>11.886566936562495</v>
      </c>
      <c r="C97">
        <f t="shared" si="28"/>
        <v>11.886566936562495</v>
      </c>
      <c r="D97" t="s">
        <v>27</v>
      </c>
      <c r="E97" t="s">
        <v>21</v>
      </c>
      <c r="F97">
        <v>1</v>
      </c>
      <c r="G97">
        <f t="shared" si="29"/>
        <v>20</v>
      </c>
      <c r="I97">
        <v>2050</v>
      </c>
      <c r="J97">
        <f t="shared" si="30"/>
        <v>22.5</v>
      </c>
      <c r="K97" cm="1">
        <f t="array" ref="K97">STOWA2019_JAARROND_T(A97*60,J97,I97,"GL","center")</f>
        <v>2.8233303853812706E-2</v>
      </c>
      <c r="L97">
        <f t="shared" si="31"/>
        <v>35.419163310742221</v>
      </c>
    </row>
    <row r="98" spans="1:12" x14ac:dyDescent="0.3">
      <c r="A98">
        <v>192</v>
      </c>
      <c r="B98">
        <f t="shared" si="27"/>
        <v>9.0666491370693976</v>
      </c>
      <c r="C98">
        <f t="shared" si="28"/>
        <v>9.0666491370693976</v>
      </c>
      <c r="D98" t="s">
        <v>27</v>
      </c>
      <c r="E98" t="s">
        <v>21</v>
      </c>
      <c r="F98">
        <v>1</v>
      </c>
      <c r="G98">
        <f t="shared" si="29"/>
        <v>25</v>
      </c>
      <c r="I98">
        <v>2050</v>
      </c>
      <c r="J98">
        <f t="shared" si="30"/>
        <v>27.5</v>
      </c>
      <c r="K98" cm="1">
        <f t="array" ref="K98">STOWA2019_JAARROND_T(A98*60,J98,I98,"GL","center")</f>
        <v>3.7947043436145404E-2</v>
      </c>
      <c r="L98">
        <f t="shared" si="31"/>
        <v>26.352514173672823</v>
      </c>
    </row>
    <row r="99" spans="1:12" x14ac:dyDescent="0.3">
      <c r="A99">
        <v>192</v>
      </c>
      <c r="B99">
        <f t="shared" si="27"/>
        <v>6.7767182525440326</v>
      </c>
      <c r="C99">
        <f t="shared" si="28"/>
        <v>6.7767182525440326</v>
      </c>
      <c r="D99" t="s">
        <v>27</v>
      </c>
      <c r="E99" t="s">
        <v>21</v>
      </c>
      <c r="F99">
        <v>1</v>
      </c>
      <c r="G99">
        <f t="shared" si="29"/>
        <v>30</v>
      </c>
      <c r="I99">
        <v>2050</v>
      </c>
      <c r="J99">
        <f t="shared" si="30"/>
        <v>32.5</v>
      </c>
      <c r="K99" cm="1">
        <f t="array" ref="K99">STOWA2019_JAARROND_T(A99*60,J99,I99,"GL","center")</f>
        <v>5.1083491267942142E-2</v>
      </c>
      <c r="L99">
        <f t="shared" si="31"/>
        <v>19.57579592112879</v>
      </c>
    </row>
    <row r="100" spans="1:12" x14ac:dyDescent="0.3">
      <c r="A100">
        <v>192</v>
      </c>
      <c r="B100">
        <f t="shared" si="27"/>
        <v>5.0459161304279263</v>
      </c>
      <c r="C100">
        <f t="shared" si="28"/>
        <v>5.0459161304279263</v>
      </c>
      <c r="D100" t="s">
        <v>27</v>
      </c>
      <c r="E100" t="s">
        <v>21</v>
      </c>
      <c r="F100">
        <v>1</v>
      </c>
      <c r="G100">
        <f t="shared" si="29"/>
        <v>35</v>
      </c>
      <c r="I100">
        <v>2050</v>
      </c>
      <c r="J100">
        <f t="shared" si="30"/>
        <v>37.5</v>
      </c>
      <c r="K100" cm="1">
        <f t="array" ref="K100">STOWA2019_JAARROND_T(A100*60,J100,I100,"GL","center")</f>
        <v>6.8823693960634202E-2</v>
      </c>
      <c r="L100">
        <f t="shared" si="31"/>
        <v>14.529879790700864</v>
      </c>
    </row>
    <row r="101" spans="1:12" x14ac:dyDescent="0.3">
      <c r="A101">
        <v>192</v>
      </c>
      <c r="B101">
        <f>L100-L101</f>
        <v>3.7516055051326944</v>
      </c>
      <c r="C101">
        <f t="shared" si="28"/>
        <v>3.7516055051326944</v>
      </c>
      <c r="D101" t="s">
        <v>27</v>
      </c>
      <c r="E101" t="s">
        <v>21</v>
      </c>
      <c r="F101">
        <v>1</v>
      </c>
      <c r="G101">
        <f>G100+5</f>
        <v>40</v>
      </c>
      <c r="I101">
        <v>2050</v>
      </c>
      <c r="J101">
        <f>AVERAGE(G101:G102)</f>
        <v>42.5</v>
      </c>
      <c r="K101" cm="1">
        <f t="array" ref="K101">STOWA2019_JAARROND_T(A101*60,J101,I101,"GL","center")</f>
        <v>9.2779231025784351E-2</v>
      </c>
      <c r="L101">
        <f>1/K101</f>
        <v>10.77827428556817</v>
      </c>
    </row>
    <row r="102" spans="1:12" x14ac:dyDescent="0.3">
      <c r="A102">
        <v>192</v>
      </c>
      <c r="B102">
        <f t="shared" ref="B102:B124" si="32">L101-L102</f>
        <v>2.7869122980144834</v>
      </c>
      <c r="C102">
        <f t="shared" si="28"/>
        <v>2.7869122980144834</v>
      </c>
      <c r="D102" t="s">
        <v>27</v>
      </c>
      <c r="E102" t="s">
        <v>21</v>
      </c>
      <c r="F102">
        <v>1</v>
      </c>
      <c r="G102">
        <f t="shared" ref="G102:G125" si="33">G101+5</f>
        <v>45</v>
      </c>
      <c r="I102">
        <v>2050</v>
      </c>
      <c r="J102">
        <f t="shared" ref="J102:J124" si="34">AVERAGE(G102:G103)</f>
        <v>47.5</v>
      </c>
      <c r="K102" cm="1">
        <f t="array" ref="K102">STOWA2019_JAARROND_T(A102*60,J102,I102,"GL","center")</f>
        <v>0.12513511483492687</v>
      </c>
      <c r="L102">
        <f t="shared" ref="L102:L124" si="35">1/K102</f>
        <v>7.9913619875536863</v>
      </c>
    </row>
    <row r="103" spans="1:12" x14ac:dyDescent="0.3">
      <c r="A103">
        <v>192</v>
      </c>
      <c r="B103">
        <f t="shared" si="32"/>
        <v>2.0690677956788184</v>
      </c>
      <c r="C103">
        <f t="shared" si="28"/>
        <v>2.0690677956788184</v>
      </c>
      <c r="D103" t="s">
        <v>27</v>
      </c>
      <c r="E103" t="s">
        <v>21</v>
      </c>
      <c r="F103">
        <v>1</v>
      </c>
      <c r="G103">
        <f t="shared" si="33"/>
        <v>50</v>
      </c>
      <c r="I103">
        <v>2050</v>
      </c>
      <c r="J103">
        <f t="shared" si="34"/>
        <v>52.5</v>
      </c>
      <c r="K103" cm="1">
        <f t="array" ref="K103">STOWA2019_JAARROND_T(A103*60,J103,I103,"GL","center")</f>
        <v>0.16885348272160422</v>
      </c>
      <c r="L103">
        <f t="shared" si="35"/>
        <v>5.9222941918748679</v>
      </c>
    </row>
    <row r="104" spans="1:12" x14ac:dyDescent="0.3">
      <c r="A104">
        <v>192</v>
      </c>
      <c r="B104">
        <f t="shared" si="32"/>
        <v>1.5351795090218037</v>
      </c>
      <c r="C104">
        <f t="shared" si="28"/>
        <v>1.5351795090218037</v>
      </c>
      <c r="D104" t="s">
        <v>27</v>
      </c>
      <c r="E104" t="s">
        <v>21</v>
      </c>
      <c r="F104">
        <v>1</v>
      </c>
      <c r="G104">
        <f t="shared" si="33"/>
        <v>55</v>
      </c>
      <c r="I104">
        <v>2050</v>
      </c>
      <c r="J104">
        <f t="shared" si="34"/>
        <v>57.5</v>
      </c>
      <c r="K104" cm="1">
        <f t="array" ref="K104">STOWA2019_JAARROND_T(A104*60,J104,I104,"GL","center")</f>
        <v>0.22794024599094176</v>
      </c>
      <c r="L104">
        <f t="shared" si="35"/>
        <v>4.3871146828530643</v>
      </c>
    </row>
    <row r="105" spans="1:12" x14ac:dyDescent="0.3">
      <c r="A105">
        <v>192</v>
      </c>
      <c r="B105">
        <f t="shared" si="32"/>
        <v>1.1386205683590638</v>
      </c>
      <c r="C105">
        <f t="shared" si="28"/>
        <v>1.1386205683590638</v>
      </c>
      <c r="D105" t="s">
        <v>27</v>
      </c>
      <c r="E105" t="s">
        <v>21</v>
      </c>
      <c r="F105">
        <v>1</v>
      </c>
      <c r="G105">
        <f t="shared" si="33"/>
        <v>60</v>
      </c>
      <c r="I105">
        <v>2050</v>
      </c>
      <c r="J105">
        <f t="shared" si="34"/>
        <v>62.5</v>
      </c>
      <c r="K105" cm="1">
        <f t="array" ref="K105">STOWA2019_JAARROND_T(A105*60,J105,I105,"GL","center")</f>
        <v>0.30783494282419666</v>
      </c>
      <c r="L105">
        <f t="shared" si="35"/>
        <v>3.2484941144940005</v>
      </c>
    </row>
    <row r="106" spans="1:12" x14ac:dyDescent="0.3">
      <c r="A106">
        <v>192</v>
      </c>
      <c r="B106">
        <f t="shared" si="32"/>
        <v>0.84408171477636884</v>
      </c>
      <c r="C106">
        <f t="shared" si="28"/>
        <v>0.84408171477636884</v>
      </c>
      <c r="D106" t="s">
        <v>27</v>
      </c>
      <c r="E106" t="s">
        <v>21</v>
      </c>
      <c r="F106">
        <v>1</v>
      </c>
      <c r="G106">
        <f t="shared" si="33"/>
        <v>65</v>
      </c>
      <c r="I106">
        <v>2050</v>
      </c>
      <c r="J106">
        <f t="shared" si="34"/>
        <v>67.5</v>
      </c>
      <c r="K106" cm="1">
        <f t="array" ref="K106">STOWA2019_JAARROND_T(A106*60,J106,I106,"GL","center")</f>
        <v>0.41590203083191452</v>
      </c>
      <c r="L106">
        <f t="shared" si="35"/>
        <v>2.4044123997176317</v>
      </c>
    </row>
    <row r="107" spans="1:12" x14ac:dyDescent="0.3">
      <c r="A107">
        <v>192</v>
      </c>
      <c r="B107">
        <f t="shared" si="32"/>
        <v>0.62548548805144089</v>
      </c>
      <c r="C107">
        <f t="shared" si="28"/>
        <v>0.62548548805144089</v>
      </c>
      <c r="D107" t="s">
        <v>27</v>
      </c>
      <c r="E107" t="s">
        <v>21</v>
      </c>
      <c r="F107">
        <v>1</v>
      </c>
      <c r="G107">
        <f t="shared" si="33"/>
        <v>70</v>
      </c>
      <c r="I107">
        <v>2050</v>
      </c>
      <c r="J107">
        <f t="shared" si="34"/>
        <v>72.5</v>
      </c>
      <c r="K107" cm="1">
        <f t="array" ref="K107">STOWA2019_JAARROND_T(A107*60,J107,I107,"GL","center")</f>
        <v>0.5621366417259791</v>
      </c>
      <c r="L107">
        <f t="shared" si="35"/>
        <v>1.7789269116661908</v>
      </c>
    </row>
    <row r="108" spans="1:12" x14ac:dyDescent="0.3">
      <c r="A108">
        <v>192</v>
      </c>
      <c r="B108">
        <f t="shared" si="32"/>
        <v>0.46329289471297597</v>
      </c>
      <c r="C108">
        <f t="shared" si="28"/>
        <v>0.46329289471297597</v>
      </c>
      <c r="D108" t="s">
        <v>27</v>
      </c>
      <c r="E108" t="s">
        <v>21</v>
      </c>
      <c r="F108">
        <v>1</v>
      </c>
      <c r="G108">
        <f t="shared" si="33"/>
        <v>75</v>
      </c>
      <c r="I108">
        <v>2050</v>
      </c>
      <c r="J108">
        <f t="shared" si="34"/>
        <v>77.5</v>
      </c>
      <c r="K108" cm="1">
        <f t="array" ref="K108">STOWA2019_JAARROND_T(A108*60,J108,I108,"GL","center")</f>
        <v>0.76008980241771973</v>
      </c>
      <c r="L108">
        <f t="shared" si="35"/>
        <v>1.3156340169532148</v>
      </c>
    </row>
    <row r="109" spans="1:12" x14ac:dyDescent="0.3">
      <c r="A109">
        <v>192</v>
      </c>
      <c r="B109">
        <f t="shared" si="32"/>
        <v>0.3429497398800947</v>
      </c>
      <c r="C109">
        <f t="shared" si="28"/>
        <v>0.3429497398800947</v>
      </c>
      <c r="D109" t="s">
        <v>27</v>
      </c>
      <c r="E109" t="s">
        <v>21</v>
      </c>
      <c r="F109">
        <v>1</v>
      </c>
      <c r="G109">
        <f t="shared" si="33"/>
        <v>80</v>
      </c>
      <c r="I109">
        <v>2050</v>
      </c>
      <c r="J109">
        <f t="shared" si="34"/>
        <v>82.5</v>
      </c>
      <c r="K109" cm="1">
        <f t="array" ref="K109">STOWA2019_JAARROND_T(A109*60,J109,I109,"GL","center")</f>
        <v>1.0280828256102534</v>
      </c>
      <c r="L109">
        <f t="shared" si="35"/>
        <v>0.97268427707312011</v>
      </c>
    </row>
    <row r="110" spans="1:12" x14ac:dyDescent="0.3">
      <c r="A110">
        <v>192</v>
      </c>
      <c r="B110">
        <f t="shared" si="32"/>
        <v>0.2538931939428819</v>
      </c>
      <c r="C110">
        <f t="shared" si="28"/>
        <v>0.2538931939428819</v>
      </c>
      <c r="D110" t="s">
        <v>27</v>
      </c>
      <c r="E110" t="s">
        <v>21</v>
      </c>
      <c r="F110">
        <v>1</v>
      </c>
      <c r="G110">
        <f t="shared" si="33"/>
        <v>85</v>
      </c>
      <c r="I110">
        <v>2050</v>
      </c>
      <c r="J110">
        <f t="shared" si="34"/>
        <v>87.5</v>
      </c>
      <c r="K110" cm="1">
        <f t="array" ref="K110">STOWA2019_JAARROND_T(A110*60,J110,I110,"GL","center")</f>
        <v>1.3912248266146192</v>
      </c>
      <c r="L110">
        <f t="shared" si="35"/>
        <v>0.71879108313023821</v>
      </c>
    </row>
    <row r="111" spans="1:12" x14ac:dyDescent="0.3">
      <c r="A111">
        <v>192</v>
      </c>
      <c r="B111">
        <f t="shared" si="32"/>
        <v>0.18783718554695727</v>
      </c>
      <c r="C111">
        <f t="shared" si="28"/>
        <v>0.18783718554695727</v>
      </c>
      <c r="D111" t="s">
        <v>27</v>
      </c>
      <c r="E111" t="s">
        <v>21</v>
      </c>
      <c r="F111">
        <v>1</v>
      </c>
      <c r="G111">
        <f t="shared" si="33"/>
        <v>90</v>
      </c>
      <c r="I111">
        <v>2050</v>
      </c>
      <c r="J111">
        <f t="shared" si="34"/>
        <v>92.5</v>
      </c>
      <c r="K111" cm="1">
        <f t="array" ref="K111">STOWA2019_JAARROND_T(A111*60,J111,I111,"GL","center")</f>
        <v>1.8834026919317388</v>
      </c>
      <c r="L111">
        <f t="shared" si="35"/>
        <v>0.53095389758328093</v>
      </c>
    </row>
    <row r="112" spans="1:12" x14ac:dyDescent="0.3">
      <c r="A112">
        <v>192</v>
      </c>
      <c r="B112">
        <f t="shared" si="32"/>
        <v>0.13890727300417272</v>
      </c>
      <c r="C112">
        <f t="shared" si="28"/>
        <v>0.13890727300417272</v>
      </c>
      <c r="D112" t="s">
        <v>27</v>
      </c>
      <c r="E112" t="s">
        <v>21</v>
      </c>
      <c r="F112">
        <v>1</v>
      </c>
      <c r="G112">
        <f t="shared" si="33"/>
        <v>95</v>
      </c>
      <c r="I112">
        <v>2050</v>
      </c>
      <c r="J112">
        <f t="shared" si="34"/>
        <v>97.5</v>
      </c>
      <c r="K112" cm="1">
        <f t="array" ref="K112">STOWA2019_JAARROND_T(A112*60,J112,I112,"GL","center")</f>
        <v>2.5507170252353935</v>
      </c>
      <c r="L112">
        <f t="shared" si="35"/>
        <v>0.39204662457910822</v>
      </c>
    </row>
    <row r="113" spans="1:12" x14ac:dyDescent="0.3">
      <c r="A113">
        <v>192</v>
      </c>
      <c r="B113">
        <f t="shared" si="32"/>
        <v>0.10268294919017545</v>
      </c>
      <c r="C113">
        <f t="shared" si="28"/>
        <v>0.10268294919017545</v>
      </c>
      <c r="D113" t="s">
        <v>27</v>
      </c>
      <c r="E113" t="s">
        <v>21</v>
      </c>
      <c r="F113">
        <v>1</v>
      </c>
      <c r="G113">
        <f t="shared" si="33"/>
        <v>100</v>
      </c>
      <c r="I113">
        <v>2050</v>
      </c>
      <c r="J113">
        <f t="shared" si="34"/>
        <v>102.5</v>
      </c>
      <c r="K113" cm="1">
        <f t="array" ref="K113">STOWA2019_JAARROND_T(A113*60,J113,I113,"GL","center")</f>
        <v>3.4558587862001104</v>
      </c>
      <c r="L113">
        <f t="shared" si="35"/>
        <v>0.28936367538893276</v>
      </c>
    </row>
    <row r="114" spans="1:12" x14ac:dyDescent="0.3">
      <c r="A114">
        <v>192</v>
      </c>
      <c r="B114">
        <f t="shared" si="32"/>
        <v>7.5872684027571274E-2</v>
      </c>
      <c r="C114">
        <f t="shared" si="28"/>
        <v>7.5872684027571274E-2</v>
      </c>
      <c r="D114" t="s">
        <v>27</v>
      </c>
      <c r="E114" t="s">
        <v>21</v>
      </c>
      <c r="F114">
        <v>1</v>
      </c>
      <c r="G114">
        <f t="shared" si="33"/>
        <v>105</v>
      </c>
      <c r="I114">
        <v>2050</v>
      </c>
      <c r="J114">
        <f t="shared" si="34"/>
        <v>107.5</v>
      </c>
      <c r="K114" cm="1">
        <f t="array" ref="K114">STOWA2019_JAARROND_T(A114*60,J114,I114,"GL","center")</f>
        <v>4.6840383925491684</v>
      </c>
      <c r="L114">
        <f t="shared" si="35"/>
        <v>0.21349099136136149</v>
      </c>
    </row>
    <row r="115" spans="1:12" x14ac:dyDescent="0.3">
      <c r="A115">
        <v>192</v>
      </c>
      <c r="B115">
        <f t="shared" si="32"/>
        <v>5.6041601253428969E-2</v>
      </c>
      <c r="C115">
        <f t="shared" si="28"/>
        <v>5.6041601253428969E-2</v>
      </c>
      <c r="D115" t="s">
        <v>27</v>
      </c>
      <c r="E115" t="s">
        <v>21</v>
      </c>
      <c r="F115">
        <v>1</v>
      </c>
      <c r="G115">
        <f t="shared" si="33"/>
        <v>110</v>
      </c>
      <c r="I115">
        <v>2050</v>
      </c>
      <c r="J115">
        <f t="shared" si="34"/>
        <v>112.5</v>
      </c>
      <c r="K115" cm="1">
        <f t="array" ref="K115">STOWA2019_JAARROND_T(A115*60,J115,I115,"GL","center")</f>
        <v>6.3512472122914794</v>
      </c>
      <c r="L115">
        <f t="shared" si="35"/>
        <v>0.15744939010793252</v>
      </c>
    </row>
    <row r="116" spans="1:12" x14ac:dyDescent="0.3">
      <c r="A116">
        <v>192</v>
      </c>
      <c r="B116">
        <f t="shared" si="32"/>
        <v>4.1377194456140257E-2</v>
      </c>
      <c r="C116">
        <f t="shared" si="28"/>
        <v>4.1377194456140257E-2</v>
      </c>
      <c r="D116" t="s">
        <v>27</v>
      </c>
      <c r="E116" t="s">
        <v>21</v>
      </c>
      <c r="F116">
        <v>1</v>
      </c>
      <c r="G116">
        <f t="shared" si="33"/>
        <v>115</v>
      </c>
      <c r="I116">
        <v>2050</v>
      </c>
      <c r="J116">
        <f t="shared" si="34"/>
        <v>117.5</v>
      </c>
      <c r="K116" cm="1">
        <f t="array" ref="K116">STOWA2019_JAARROND_T(A116*60,J116,I116,"GL","center")</f>
        <v>8.6153276793343672</v>
      </c>
      <c r="L116">
        <f t="shared" si="35"/>
        <v>0.11607219565179226</v>
      </c>
    </row>
    <row r="117" spans="1:12" x14ac:dyDescent="0.3">
      <c r="A117">
        <v>192</v>
      </c>
      <c r="B117">
        <f t="shared" si="32"/>
        <v>3.0537757136119351E-2</v>
      </c>
      <c r="C117">
        <f t="shared" si="28"/>
        <v>3.0537757136119351E-2</v>
      </c>
      <c r="D117" t="s">
        <v>27</v>
      </c>
      <c r="E117" t="s">
        <v>21</v>
      </c>
      <c r="F117">
        <v>1</v>
      </c>
      <c r="G117">
        <f t="shared" si="33"/>
        <v>120</v>
      </c>
      <c r="I117">
        <v>2050</v>
      </c>
      <c r="J117">
        <f t="shared" si="34"/>
        <v>122.5</v>
      </c>
      <c r="K117" cm="1">
        <f t="array" ref="K117">STOWA2019_JAARROND_T(A117*60,J117,I117,"GL","center")</f>
        <v>11.69119733938237</v>
      </c>
      <c r="L117">
        <f t="shared" si="35"/>
        <v>8.5534438515672911E-2</v>
      </c>
    </row>
    <row r="118" spans="1:12" x14ac:dyDescent="0.3">
      <c r="A118">
        <v>192</v>
      </c>
      <c r="B118">
        <f t="shared" si="32"/>
        <v>2.2528839000448858E-2</v>
      </c>
      <c r="C118">
        <f t="shared" si="28"/>
        <v>2.2528839000448858E-2</v>
      </c>
      <c r="D118" t="s">
        <v>27</v>
      </c>
      <c r="E118" t="s">
        <v>21</v>
      </c>
      <c r="F118">
        <v>1</v>
      </c>
      <c r="G118">
        <f t="shared" si="33"/>
        <v>125</v>
      </c>
      <c r="I118">
        <v>2050</v>
      </c>
      <c r="J118">
        <f t="shared" si="34"/>
        <v>127.5</v>
      </c>
      <c r="K118" cm="1">
        <f t="array" ref="K118">STOWA2019_JAARROND_T(A118*60,J118,I118,"GL","center")</f>
        <v>15.871605185795746</v>
      </c>
      <c r="L118">
        <f t="shared" si="35"/>
        <v>6.3005599515224053E-2</v>
      </c>
    </row>
    <row r="119" spans="1:12" x14ac:dyDescent="0.3">
      <c r="A119">
        <v>192</v>
      </c>
      <c r="B119">
        <f t="shared" si="32"/>
        <v>1.661368334115202E-2</v>
      </c>
      <c r="C119">
        <f t="shared" si="28"/>
        <v>1.661368334115202E-2</v>
      </c>
      <c r="D119" t="s">
        <v>27</v>
      </c>
      <c r="E119" t="s">
        <v>21</v>
      </c>
      <c r="F119">
        <v>1</v>
      </c>
      <c r="G119">
        <f t="shared" si="33"/>
        <v>130</v>
      </c>
      <c r="I119">
        <v>2050</v>
      </c>
      <c r="J119">
        <f t="shared" si="34"/>
        <v>132.5</v>
      </c>
      <c r="K119" cm="1">
        <f t="array" ref="K119">STOWA2019_JAARROND_T(A119*60,J119,I119,"GL","center")</f>
        <v>21.555479541905402</v>
      </c>
      <c r="L119">
        <f t="shared" si="35"/>
        <v>4.6391916174072033E-2</v>
      </c>
    </row>
    <row r="120" spans="1:12" x14ac:dyDescent="0.3">
      <c r="A120">
        <v>192</v>
      </c>
      <c r="B120">
        <f t="shared" si="32"/>
        <v>1.2246677208680945E-2</v>
      </c>
      <c r="C120">
        <f t="shared" si="28"/>
        <v>1.2246677208680945E-2</v>
      </c>
      <c r="D120" t="s">
        <v>27</v>
      </c>
      <c r="E120" t="s">
        <v>21</v>
      </c>
      <c r="F120">
        <v>1</v>
      </c>
      <c r="G120">
        <f t="shared" si="33"/>
        <v>135</v>
      </c>
      <c r="I120">
        <v>2050</v>
      </c>
      <c r="J120">
        <f t="shared" si="34"/>
        <v>137.5</v>
      </c>
      <c r="K120" cm="1">
        <f t="array" ref="K120">STOWA2019_JAARROND_T(A120*60,J120,I120,"GL","center")</f>
        <v>29.2866598770499</v>
      </c>
      <c r="L120">
        <f t="shared" si="35"/>
        <v>3.4145238965391088E-2</v>
      </c>
    </row>
    <row r="121" spans="1:12" x14ac:dyDescent="0.3">
      <c r="A121">
        <v>192</v>
      </c>
      <c r="B121">
        <f t="shared" si="32"/>
        <v>9.023926830772723E-3</v>
      </c>
      <c r="C121">
        <f t="shared" si="28"/>
        <v>9.023926830772723E-3</v>
      </c>
      <c r="D121" t="s">
        <v>27</v>
      </c>
      <c r="E121" t="s">
        <v>21</v>
      </c>
      <c r="F121">
        <v>1</v>
      </c>
      <c r="G121">
        <f t="shared" si="33"/>
        <v>140</v>
      </c>
      <c r="I121">
        <v>2050</v>
      </c>
      <c r="J121">
        <f t="shared" si="34"/>
        <v>142.5</v>
      </c>
      <c r="K121" cm="1">
        <f t="array" ref="K121">STOWA2019_JAARROND_T(A121*60,J121,I121,"GL","center")</f>
        <v>39.806837900873511</v>
      </c>
      <c r="L121">
        <f t="shared" si="35"/>
        <v>2.5121312134618365E-2</v>
      </c>
    </row>
    <row r="122" spans="1:12" x14ac:dyDescent="0.3">
      <c r="A122">
        <v>192</v>
      </c>
      <c r="B122">
        <f t="shared" si="32"/>
        <v>6.6465686693077466E-3</v>
      </c>
      <c r="C122">
        <f t="shared" si="28"/>
        <v>6.6465686693077466E-3</v>
      </c>
      <c r="D122" t="s">
        <v>27</v>
      </c>
      <c r="E122" t="s">
        <v>21</v>
      </c>
      <c r="F122">
        <v>1</v>
      </c>
      <c r="G122">
        <f t="shared" si="33"/>
        <v>145</v>
      </c>
      <c r="I122">
        <v>2050</v>
      </c>
      <c r="J122">
        <f t="shared" si="34"/>
        <v>147.5</v>
      </c>
      <c r="K122" cm="1">
        <f t="array" ref="K122">STOWA2019_JAARROND_T(A122*60,J122,I122,"GL","center")</f>
        <v>54.127950511338092</v>
      </c>
      <c r="L122">
        <f t="shared" si="35"/>
        <v>1.8474743465310618E-2</v>
      </c>
    </row>
    <row r="123" spans="1:12" x14ac:dyDescent="0.3">
      <c r="A123">
        <v>192</v>
      </c>
      <c r="B123">
        <f t="shared" si="32"/>
        <v>4.893546485534252E-3</v>
      </c>
      <c r="C123">
        <f t="shared" si="28"/>
        <v>4.893546485534252E-3</v>
      </c>
      <c r="D123" t="s">
        <v>27</v>
      </c>
      <c r="E123" t="s">
        <v>21</v>
      </c>
      <c r="F123">
        <v>1</v>
      </c>
      <c r="G123">
        <f t="shared" si="33"/>
        <v>150</v>
      </c>
      <c r="I123">
        <v>2050</v>
      </c>
      <c r="J123">
        <f t="shared" si="34"/>
        <v>152.5</v>
      </c>
      <c r="K123" cm="1">
        <f t="array" ref="K123">STOWA2019_JAARROND_T(A123*60,J123,I123,"GL","center")</f>
        <v>73.631212439455126</v>
      </c>
      <c r="L123">
        <f t="shared" si="35"/>
        <v>1.3581196979776366E-2</v>
      </c>
    </row>
    <row r="124" spans="1:12" x14ac:dyDescent="0.3">
      <c r="A124">
        <v>192</v>
      </c>
      <c r="B124">
        <f t="shared" si="32"/>
        <v>3.6014207555488554E-3</v>
      </c>
      <c r="C124">
        <f t="shared" si="28"/>
        <v>3.6014207555488554E-3</v>
      </c>
      <c r="D124" t="s">
        <v>27</v>
      </c>
      <c r="E124" t="s">
        <v>21</v>
      </c>
      <c r="F124">
        <v>1</v>
      </c>
      <c r="G124">
        <f t="shared" si="33"/>
        <v>155</v>
      </c>
      <c r="I124">
        <v>2050</v>
      </c>
      <c r="J124">
        <f t="shared" si="34"/>
        <v>157.5</v>
      </c>
      <c r="K124" cm="1">
        <f t="array" ref="K124">STOWA2019_JAARROND_T(A124*60,J124,I124,"GL","center")</f>
        <v>100.20264758766227</v>
      </c>
      <c r="L124">
        <f t="shared" si="35"/>
        <v>9.9797762242275108E-3</v>
      </c>
    </row>
    <row r="125" spans="1:12" x14ac:dyDescent="0.3">
      <c r="A125">
        <v>192</v>
      </c>
      <c r="B125" s="1">
        <f>L124</f>
        <v>9.9797762242275108E-3</v>
      </c>
      <c r="C125">
        <f t="shared" si="28"/>
        <v>9.9797762242275108E-3</v>
      </c>
      <c r="D125" t="s">
        <v>27</v>
      </c>
      <c r="E125" t="s">
        <v>21</v>
      </c>
      <c r="F125">
        <v>1</v>
      </c>
      <c r="G125">
        <f t="shared" si="33"/>
        <v>160</v>
      </c>
      <c r="I125">
        <v>2050</v>
      </c>
      <c r="J125">
        <f>AVERAGE(G125:G126)</f>
        <v>85</v>
      </c>
      <c r="K125" cm="1">
        <f t="array" ref="K125">STOWA2019_JAARROND_T(A125*60,J125,I125,"GL","center")</f>
        <v>1.1958870401298851</v>
      </c>
      <c r="L125">
        <f>1/K125</f>
        <v>0.83619937874014438</v>
      </c>
    </row>
    <row r="126" spans="1:12" x14ac:dyDescent="0.3">
      <c r="A126">
        <v>216</v>
      </c>
      <c r="B126" s="1">
        <f>365.25*24/A126 - L126</f>
        <v>-17.385525154644746</v>
      </c>
      <c r="C126">
        <f>B126</f>
        <v>-17.385525154644746</v>
      </c>
      <c r="D126" t="s">
        <v>27</v>
      </c>
      <c r="E126" t="s">
        <v>21</v>
      </c>
      <c r="F126">
        <v>1</v>
      </c>
      <c r="G126">
        <v>10</v>
      </c>
      <c r="I126">
        <v>2050</v>
      </c>
      <c r="J126">
        <f>AVERAGE(G126:G128)</f>
        <v>15</v>
      </c>
      <c r="K126" cm="1">
        <f t="array" ref="K126">STOWA2019_JAARROND_T(A126*60,J126,I126,"GL","center")</f>
        <v>1.7250641570031706E-2</v>
      </c>
      <c r="L126">
        <f>1/K126</f>
        <v>57.968858487978082</v>
      </c>
    </row>
    <row r="127" spans="1:12" x14ac:dyDescent="0.3">
      <c r="A127">
        <v>216</v>
      </c>
      <c r="B127">
        <f t="shared" ref="B127:B131" si="36">L126-L127</f>
        <v>9.1140138203587355</v>
      </c>
      <c r="C127">
        <f t="shared" ref="C127:C156" si="37">B127</f>
        <v>9.1140138203587355</v>
      </c>
      <c r="D127" t="s">
        <v>27</v>
      </c>
      <c r="E127" t="s">
        <v>21</v>
      </c>
      <c r="F127">
        <v>1</v>
      </c>
      <c r="G127">
        <f t="shared" ref="G127:G131" si="38">G126+5</f>
        <v>15</v>
      </c>
      <c r="I127">
        <v>2050</v>
      </c>
      <c r="J127">
        <f t="shared" ref="J127:J131" si="39">AVERAGE(G127:G128)</f>
        <v>17.5</v>
      </c>
      <c r="K127" cm="1">
        <f t="array" ref="K127">STOWA2019_JAARROND_T(A127*60,J127,I127,"GL","center")</f>
        <v>2.0468799088471837E-2</v>
      </c>
      <c r="L127">
        <f t="shared" ref="L127:L131" si="40">1/K127</f>
        <v>48.854844667619346</v>
      </c>
    </row>
    <row r="128" spans="1:12" x14ac:dyDescent="0.3">
      <c r="A128">
        <v>216</v>
      </c>
      <c r="B128">
        <f t="shared" si="36"/>
        <v>11.056528980843204</v>
      </c>
      <c r="C128">
        <f t="shared" si="37"/>
        <v>11.056528980843204</v>
      </c>
      <c r="D128" t="s">
        <v>27</v>
      </c>
      <c r="E128" t="s">
        <v>21</v>
      </c>
      <c r="F128">
        <v>1</v>
      </c>
      <c r="G128">
        <f t="shared" si="38"/>
        <v>20</v>
      </c>
      <c r="I128">
        <v>2050</v>
      </c>
      <c r="J128">
        <f t="shared" si="39"/>
        <v>22.5</v>
      </c>
      <c r="K128" cm="1">
        <f t="array" ref="K128">STOWA2019_JAARROND_T(A128*60,J128,I128,"GL","center")</f>
        <v>2.6456205305197052E-2</v>
      </c>
      <c r="L128">
        <f t="shared" si="40"/>
        <v>37.798315686776142</v>
      </c>
    </row>
    <row r="129" spans="1:12" x14ac:dyDescent="0.3">
      <c r="A129">
        <v>216</v>
      </c>
      <c r="B129">
        <f t="shared" si="36"/>
        <v>9.0771081039750712</v>
      </c>
      <c r="C129">
        <f t="shared" si="37"/>
        <v>9.0771081039750712</v>
      </c>
      <c r="D129" t="s">
        <v>27</v>
      </c>
      <c r="E129" t="s">
        <v>21</v>
      </c>
      <c r="F129">
        <v>1</v>
      </c>
      <c r="G129">
        <f t="shared" si="38"/>
        <v>25</v>
      </c>
      <c r="I129">
        <v>2050</v>
      </c>
      <c r="J129">
        <f t="shared" si="39"/>
        <v>27.5</v>
      </c>
      <c r="K129" cm="1">
        <f t="array" ref="K129">STOWA2019_JAARROND_T(A129*60,J129,I129,"GL","center")</f>
        <v>3.4817477542233403E-2</v>
      </c>
      <c r="L129">
        <f t="shared" si="40"/>
        <v>28.721207582801071</v>
      </c>
    </row>
    <row r="130" spans="1:12" x14ac:dyDescent="0.3">
      <c r="A130">
        <v>216</v>
      </c>
      <c r="B130">
        <f t="shared" si="36"/>
        <v>6.9490051957472474</v>
      </c>
      <c r="C130">
        <f t="shared" si="37"/>
        <v>6.9490051957472474</v>
      </c>
      <c r="D130" t="s">
        <v>27</v>
      </c>
      <c r="E130" t="s">
        <v>21</v>
      </c>
      <c r="F130">
        <v>1</v>
      </c>
      <c r="G130">
        <f t="shared" si="38"/>
        <v>30</v>
      </c>
      <c r="I130">
        <v>2050</v>
      </c>
      <c r="J130">
        <f t="shared" si="39"/>
        <v>32.5</v>
      </c>
      <c r="K130" cm="1">
        <f t="array" ref="K130">STOWA2019_JAARROND_T(A130*60,J130,I130,"GL","center")</f>
        <v>4.5930126048920966E-2</v>
      </c>
      <c r="L130">
        <f t="shared" si="40"/>
        <v>21.772202387053824</v>
      </c>
    </row>
    <row r="131" spans="1:12" x14ac:dyDescent="0.3">
      <c r="A131">
        <v>216</v>
      </c>
      <c r="B131">
        <f t="shared" si="36"/>
        <v>5.2925927422912196</v>
      </c>
      <c r="C131">
        <f t="shared" si="37"/>
        <v>5.2925927422912196</v>
      </c>
      <c r="D131" t="s">
        <v>27</v>
      </c>
      <c r="E131" t="s">
        <v>21</v>
      </c>
      <c r="F131">
        <v>1</v>
      </c>
      <c r="G131">
        <f t="shared" si="38"/>
        <v>35</v>
      </c>
      <c r="I131">
        <v>2050</v>
      </c>
      <c r="J131">
        <f t="shared" si="39"/>
        <v>37.5</v>
      </c>
      <c r="K131" cm="1">
        <f t="array" ref="K131">STOWA2019_JAARROND_T(A131*60,J131,I131,"GL","center")</f>
        <v>6.0681048978475698E-2</v>
      </c>
      <c r="L131">
        <f t="shared" si="40"/>
        <v>16.479609644762604</v>
      </c>
    </row>
    <row r="132" spans="1:12" x14ac:dyDescent="0.3">
      <c r="A132">
        <v>216</v>
      </c>
      <c r="B132">
        <f>L131-L132</f>
        <v>4.0225143382841235</v>
      </c>
      <c r="C132">
        <f t="shared" si="37"/>
        <v>4.0225143382841235</v>
      </c>
      <c r="D132" t="s">
        <v>27</v>
      </c>
      <c r="E132" t="s">
        <v>21</v>
      </c>
      <c r="F132">
        <v>1</v>
      </c>
      <c r="G132">
        <f>G131+5</f>
        <v>40</v>
      </c>
      <c r="I132">
        <v>2050</v>
      </c>
      <c r="J132">
        <f>AVERAGE(G132:G133)</f>
        <v>42.5</v>
      </c>
      <c r="K132" cm="1">
        <f t="array" ref="K132">STOWA2019_JAARROND_T(A132*60,J132,I132,"GL","center")</f>
        <v>8.0275535780796062E-2</v>
      </c>
      <c r="L132">
        <f>1/K132</f>
        <v>12.457095306478481</v>
      </c>
    </row>
    <row r="133" spans="1:12" x14ac:dyDescent="0.3">
      <c r="A133">
        <v>216</v>
      </c>
      <c r="B133">
        <f t="shared" ref="B133:B155" si="41">L132-L133</f>
        <v>3.0526893673141196</v>
      </c>
      <c r="C133">
        <f t="shared" si="37"/>
        <v>3.0526893673141196</v>
      </c>
      <c r="D133" t="s">
        <v>27</v>
      </c>
      <c r="E133" t="s">
        <v>21</v>
      </c>
      <c r="F133">
        <v>1</v>
      </c>
      <c r="G133">
        <f t="shared" ref="G133:G156" si="42">G132+5</f>
        <v>45</v>
      </c>
      <c r="I133">
        <v>2050</v>
      </c>
      <c r="J133">
        <f t="shared" ref="J133:J155" si="43">AVERAGE(G133:G134)</f>
        <v>47.5</v>
      </c>
      <c r="K133" cm="1">
        <f t="array" ref="K133">STOWA2019_JAARROND_T(A133*60,J133,I133,"GL","center")</f>
        <v>0.10633313858087841</v>
      </c>
      <c r="L133">
        <f t="shared" ref="L133:L155" si="44">1/K133</f>
        <v>9.4044059391643611</v>
      </c>
    </row>
    <row r="134" spans="1:12" x14ac:dyDescent="0.3">
      <c r="A134">
        <v>216</v>
      </c>
      <c r="B134">
        <f t="shared" si="41"/>
        <v>2.3133434150659378</v>
      </c>
      <c r="C134">
        <f t="shared" si="37"/>
        <v>2.3133434150659378</v>
      </c>
      <c r="D134" t="s">
        <v>27</v>
      </c>
      <c r="E134" t="s">
        <v>21</v>
      </c>
      <c r="F134">
        <v>1</v>
      </c>
      <c r="G134">
        <f t="shared" si="42"/>
        <v>50</v>
      </c>
      <c r="I134">
        <v>2050</v>
      </c>
      <c r="J134">
        <f t="shared" si="43"/>
        <v>52.5</v>
      </c>
      <c r="K134" cm="1">
        <f t="array" ref="K134">STOWA2019_JAARROND_T(A134*60,J134,I134,"GL","center")</f>
        <v>0.14102258957689034</v>
      </c>
      <c r="L134">
        <f t="shared" si="44"/>
        <v>7.0910625240984233</v>
      </c>
    </row>
    <row r="135" spans="1:12" x14ac:dyDescent="0.3">
      <c r="A135">
        <v>216</v>
      </c>
      <c r="B135">
        <f t="shared" si="41"/>
        <v>1.7509301905961312</v>
      </c>
      <c r="C135">
        <f t="shared" si="37"/>
        <v>1.7509301905961312</v>
      </c>
      <c r="D135" t="s">
        <v>27</v>
      </c>
      <c r="E135" t="s">
        <v>21</v>
      </c>
      <c r="F135">
        <v>1</v>
      </c>
      <c r="G135">
        <f t="shared" si="42"/>
        <v>55</v>
      </c>
      <c r="I135">
        <v>2050</v>
      </c>
      <c r="J135">
        <f t="shared" si="43"/>
        <v>57.5</v>
      </c>
      <c r="K135" cm="1">
        <f t="array" ref="K135">STOWA2019_JAARROND_T(A135*60,J135,I135,"GL","center")</f>
        <v>0.18726127697741085</v>
      </c>
      <c r="L135">
        <f t="shared" si="44"/>
        <v>5.3401323335022921</v>
      </c>
    </row>
    <row r="136" spans="1:12" x14ac:dyDescent="0.3">
      <c r="A136">
        <v>216</v>
      </c>
      <c r="B136">
        <f t="shared" si="41"/>
        <v>1.3236275568649898</v>
      </c>
      <c r="C136">
        <f t="shared" si="37"/>
        <v>1.3236275568649898</v>
      </c>
      <c r="D136" t="s">
        <v>27</v>
      </c>
      <c r="E136" t="s">
        <v>21</v>
      </c>
      <c r="F136">
        <v>1</v>
      </c>
      <c r="G136">
        <f t="shared" si="42"/>
        <v>60</v>
      </c>
      <c r="I136">
        <v>2050</v>
      </c>
      <c r="J136">
        <f t="shared" si="43"/>
        <v>62.5</v>
      </c>
      <c r="K136" cm="1">
        <f t="array" ref="K136">STOWA2019_JAARROND_T(A136*60,J136,I136,"GL","center")</f>
        <v>0.24897269033929045</v>
      </c>
      <c r="L136">
        <f t="shared" si="44"/>
        <v>4.0165047766373023</v>
      </c>
    </row>
    <row r="137" spans="1:12" x14ac:dyDescent="0.3">
      <c r="A137">
        <v>216</v>
      </c>
      <c r="B137">
        <f t="shared" si="41"/>
        <v>0.99931170745190379</v>
      </c>
      <c r="C137">
        <f t="shared" si="37"/>
        <v>0.99931170745190379</v>
      </c>
      <c r="D137" t="s">
        <v>27</v>
      </c>
      <c r="E137" t="s">
        <v>21</v>
      </c>
      <c r="F137">
        <v>1</v>
      </c>
      <c r="G137">
        <f t="shared" si="42"/>
        <v>65</v>
      </c>
      <c r="I137">
        <v>2050</v>
      </c>
      <c r="J137">
        <f t="shared" si="43"/>
        <v>67.5</v>
      </c>
      <c r="K137" cm="1">
        <f t="array" ref="K137">STOWA2019_JAARROND_T(A137*60,J137,I137,"GL","center")</f>
        <v>0.3314338781342841</v>
      </c>
      <c r="L137">
        <f t="shared" si="44"/>
        <v>3.0171930691853985</v>
      </c>
    </row>
    <row r="138" spans="1:12" x14ac:dyDescent="0.3">
      <c r="A138">
        <v>216</v>
      </c>
      <c r="B138">
        <f t="shared" si="41"/>
        <v>0.75351946443835782</v>
      </c>
      <c r="C138">
        <f t="shared" si="37"/>
        <v>0.75351946443835782</v>
      </c>
      <c r="D138" t="s">
        <v>27</v>
      </c>
      <c r="E138" t="s">
        <v>21</v>
      </c>
      <c r="F138">
        <v>1</v>
      </c>
      <c r="G138">
        <f t="shared" si="42"/>
        <v>70</v>
      </c>
      <c r="I138">
        <v>2050</v>
      </c>
      <c r="J138">
        <f t="shared" si="43"/>
        <v>72.5</v>
      </c>
      <c r="K138" cm="1">
        <f t="array" ref="K138">STOWA2019_JAARROND_T(A138*60,J138,I138,"GL","center")</f>
        <v>0.44175980048667274</v>
      </c>
      <c r="L138">
        <f t="shared" si="44"/>
        <v>2.2636736047470407</v>
      </c>
    </row>
    <row r="139" spans="1:12" x14ac:dyDescent="0.3">
      <c r="A139">
        <v>216</v>
      </c>
      <c r="B139">
        <f t="shared" si="41"/>
        <v>0.56748802963535661</v>
      </c>
      <c r="C139">
        <f t="shared" si="37"/>
        <v>0.56748802963535661</v>
      </c>
      <c r="D139" t="s">
        <v>27</v>
      </c>
      <c r="E139" t="s">
        <v>21</v>
      </c>
      <c r="F139">
        <v>1</v>
      </c>
      <c r="G139">
        <f t="shared" si="42"/>
        <v>75</v>
      </c>
      <c r="I139">
        <v>2050</v>
      </c>
      <c r="J139">
        <f t="shared" si="43"/>
        <v>77.5</v>
      </c>
      <c r="K139" cm="1">
        <f t="array" ref="K139">STOWA2019_JAARROND_T(A139*60,J139,I139,"GL","center")</f>
        <v>0.58955813247860911</v>
      </c>
      <c r="L139">
        <f t="shared" si="44"/>
        <v>1.6961855751116841</v>
      </c>
    </row>
    <row r="140" spans="1:12" x14ac:dyDescent="0.3">
      <c r="A140">
        <v>216</v>
      </c>
      <c r="B140">
        <f t="shared" si="41"/>
        <v>0.42684500334244779</v>
      </c>
      <c r="C140">
        <f t="shared" si="37"/>
        <v>0.42684500334244779</v>
      </c>
      <c r="D140" t="s">
        <v>27</v>
      </c>
      <c r="E140" t="s">
        <v>21</v>
      </c>
      <c r="F140">
        <v>1</v>
      </c>
      <c r="G140">
        <f t="shared" si="42"/>
        <v>80</v>
      </c>
      <c r="I140">
        <v>2050</v>
      </c>
      <c r="J140">
        <f t="shared" si="43"/>
        <v>82.5</v>
      </c>
      <c r="K140" cm="1">
        <f t="array" ref="K140">STOWA2019_JAARROND_T(A140*60,J140,I140,"GL","center")</f>
        <v>0.78781063352144876</v>
      </c>
      <c r="L140">
        <f t="shared" si="44"/>
        <v>1.2693405717692363</v>
      </c>
    </row>
    <row r="141" spans="1:12" x14ac:dyDescent="0.3">
      <c r="A141">
        <v>216</v>
      </c>
      <c r="B141">
        <f t="shared" si="41"/>
        <v>0.32056829897268913</v>
      </c>
      <c r="C141">
        <f t="shared" si="37"/>
        <v>0.32056829897268913</v>
      </c>
      <c r="D141" t="s">
        <v>27</v>
      </c>
      <c r="E141" t="s">
        <v>21</v>
      </c>
      <c r="F141">
        <v>1</v>
      </c>
      <c r="G141">
        <f t="shared" si="42"/>
        <v>85</v>
      </c>
      <c r="I141">
        <v>2050</v>
      </c>
      <c r="J141">
        <f t="shared" si="43"/>
        <v>87.5</v>
      </c>
      <c r="K141" cm="1">
        <f t="array" ref="K141">STOWA2019_JAARROND_T(A141*60,J141,I141,"GL","center")</f>
        <v>1.0539937018315859</v>
      </c>
      <c r="L141">
        <f t="shared" si="44"/>
        <v>0.94877227279654719</v>
      </c>
    </row>
    <row r="142" spans="1:12" x14ac:dyDescent="0.3">
      <c r="A142">
        <v>216</v>
      </c>
      <c r="B142">
        <f t="shared" si="41"/>
        <v>0.24058461175911272</v>
      </c>
      <c r="C142">
        <f t="shared" si="37"/>
        <v>0.24058461175911272</v>
      </c>
      <c r="D142" t="s">
        <v>27</v>
      </c>
      <c r="E142" t="s">
        <v>21</v>
      </c>
      <c r="F142">
        <v>1</v>
      </c>
      <c r="G142">
        <f t="shared" si="42"/>
        <v>90</v>
      </c>
      <c r="I142">
        <v>2050</v>
      </c>
      <c r="J142">
        <f t="shared" si="43"/>
        <v>92.5</v>
      </c>
      <c r="K142" cm="1">
        <f t="array" ref="K142">STOWA2019_JAARROND_T(A142*60,J142,I142,"GL","center")</f>
        <v>1.4120551020828087</v>
      </c>
      <c r="L142">
        <f t="shared" si="44"/>
        <v>0.70818766103743447</v>
      </c>
    </row>
    <row r="143" spans="1:12" x14ac:dyDescent="0.3">
      <c r="A143">
        <v>216</v>
      </c>
      <c r="B143">
        <f t="shared" si="41"/>
        <v>0.18027072539866063</v>
      </c>
      <c r="C143">
        <f t="shared" si="37"/>
        <v>0.18027072539866063</v>
      </c>
      <c r="D143" t="s">
        <v>27</v>
      </c>
      <c r="E143" t="s">
        <v>21</v>
      </c>
      <c r="F143">
        <v>1</v>
      </c>
      <c r="G143">
        <f t="shared" si="42"/>
        <v>95</v>
      </c>
      <c r="I143">
        <v>2050</v>
      </c>
      <c r="J143">
        <f t="shared" si="43"/>
        <v>97.5</v>
      </c>
      <c r="K143" cm="1">
        <f t="array" ref="K143">STOWA2019_JAARROND_T(A143*60,J143,I143,"GL","center")</f>
        <v>1.8942373932179513</v>
      </c>
      <c r="L143">
        <f t="shared" si="44"/>
        <v>0.52791693563877384</v>
      </c>
    </row>
    <row r="144" spans="1:12" x14ac:dyDescent="0.3">
      <c r="A144">
        <v>216</v>
      </c>
      <c r="B144">
        <f t="shared" si="41"/>
        <v>0.13490052294644406</v>
      </c>
      <c r="C144">
        <f t="shared" si="37"/>
        <v>0.13490052294644406</v>
      </c>
      <c r="D144" t="s">
        <v>27</v>
      </c>
      <c r="E144" t="s">
        <v>21</v>
      </c>
      <c r="F144">
        <v>1</v>
      </c>
      <c r="G144">
        <f t="shared" si="42"/>
        <v>100</v>
      </c>
      <c r="I144">
        <v>2050</v>
      </c>
      <c r="J144">
        <f t="shared" si="43"/>
        <v>102.5</v>
      </c>
      <c r="K144" cm="1">
        <f t="array" ref="K144">STOWA2019_JAARROND_T(A144*60,J144,I144,"GL","center")</f>
        <v>2.5444230004278299</v>
      </c>
      <c r="L144">
        <f t="shared" si="44"/>
        <v>0.39301641269232979</v>
      </c>
    </row>
    <row r="145" spans="1:12" x14ac:dyDescent="0.3">
      <c r="A145">
        <v>216</v>
      </c>
      <c r="B145">
        <f t="shared" si="41"/>
        <v>0.1008162756813536</v>
      </c>
      <c r="C145">
        <f t="shared" si="37"/>
        <v>0.1008162756813536</v>
      </c>
      <c r="D145" t="s">
        <v>27</v>
      </c>
      <c r="E145" t="s">
        <v>21</v>
      </c>
      <c r="F145">
        <v>1</v>
      </c>
      <c r="G145">
        <f t="shared" si="42"/>
        <v>105</v>
      </c>
      <c r="I145">
        <v>2050</v>
      </c>
      <c r="J145">
        <f t="shared" si="43"/>
        <v>107.5</v>
      </c>
      <c r="K145" cm="1">
        <f t="array" ref="K145">STOWA2019_JAARROND_T(A145*60,J145,I145,"GL","center")</f>
        <v>3.4223118792118705</v>
      </c>
      <c r="L145">
        <f t="shared" si="44"/>
        <v>0.29220013701097619</v>
      </c>
    </row>
    <row r="146" spans="1:12" x14ac:dyDescent="0.3">
      <c r="A146">
        <v>216</v>
      </c>
      <c r="B146">
        <f t="shared" si="41"/>
        <v>7.5248129256995394E-2</v>
      </c>
      <c r="C146">
        <f t="shared" si="37"/>
        <v>7.5248129256995394E-2</v>
      </c>
      <c r="D146" t="s">
        <v>27</v>
      </c>
      <c r="E146" t="s">
        <v>21</v>
      </c>
      <c r="F146">
        <v>1</v>
      </c>
      <c r="G146">
        <f t="shared" si="42"/>
        <v>110</v>
      </c>
      <c r="I146">
        <v>2050</v>
      </c>
      <c r="J146">
        <f t="shared" si="43"/>
        <v>112.5</v>
      </c>
      <c r="K146" cm="1">
        <f t="array" ref="K146">STOWA2019_JAARROND_T(A146*60,J146,I146,"GL","center")</f>
        <v>4.6093143380077857</v>
      </c>
      <c r="L146">
        <f t="shared" si="44"/>
        <v>0.2169520077539808</v>
      </c>
    </row>
    <row r="147" spans="1:12" x14ac:dyDescent="0.3">
      <c r="A147">
        <v>216</v>
      </c>
      <c r="B147">
        <f t="shared" si="41"/>
        <v>5.6086824934261731E-2</v>
      </c>
      <c r="C147">
        <f t="shared" si="37"/>
        <v>5.6086824934261731E-2</v>
      </c>
      <c r="D147" t="s">
        <v>27</v>
      </c>
      <c r="E147" t="s">
        <v>21</v>
      </c>
      <c r="F147">
        <v>1</v>
      </c>
      <c r="G147">
        <f t="shared" si="42"/>
        <v>115</v>
      </c>
      <c r="I147">
        <v>2050</v>
      </c>
      <c r="J147">
        <f t="shared" si="43"/>
        <v>117.5</v>
      </c>
      <c r="K147" cm="1">
        <f t="array" ref="K147">STOWA2019_JAARROND_T(A147*60,J147,I147,"GL","center")</f>
        <v>6.2163855625657405</v>
      </c>
      <c r="L147">
        <f t="shared" si="44"/>
        <v>0.16086518281971907</v>
      </c>
    </row>
    <row r="148" spans="1:12" x14ac:dyDescent="0.3">
      <c r="A148">
        <v>216</v>
      </c>
      <c r="B148">
        <f t="shared" si="41"/>
        <v>4.1749974063047729E-2</v>
      </c>
      <c r="C148">
        <f t="shared" si="37"/>
        <v>4.1749974063047729E-2</v>
      </c>
      <c r="D148" t="s">
        <v>27</v>
      </c>
      <c r="E148" t="s">
        <v>21</v>
      </c>
      <c r="F148">
        <v>1</v>
      </c>
      <c r="G148">
        <f t="shared" si="42"/>
        <v>120</v>
      </c>
      <c r="I148">
        <v>2050</v>
      </c>
      <c r="J148">
        <f t="shared" si="43"/>
        <v>122.5</v>
      </c>
      <c r="K148" cm="1">
        <f t="array" ref="K148">STOWA2019_JAARROND_T(A148*60,J148,I148,"GL","center")</f>
        <v>8.3952335762832853</v>
      </c>
      <c r="L148">
        <f t="shared" si="44"/>
        <v>0.11911520875667134</v>
      </c>
    </row>
    <row r="149" spans="1:12" x14ac:dyDescent="0.3">
      <c r="A149">
        <v>216</v>
      </c>
      <c r="B149">
        <f t="shared" si="41"/>
        <v>3.1035906898029E-2</v>
      </c>
      <c r="C149">
        <f t="shared" si="37"/>
        <v>3.1035906898029E-2</v>
      </c>
      <c r="D149" t="s">
        <v>27</v>
      </c>
      <c r="E149" t="s">
        <v>21</v>
      </c>
      <c r="F149">
        <v>1</v>
      </c>
      <c r="G149">
        <f t="shared" si="42"/>
        <v>125</v>
      </c>
      <c r="I149">
        <v>2050</v>
      </c>
      <c r="J149">
        <f t="shared" si="43"/>
        <v>127.5</v>
      </c>
      <c r="K149" cm="1">
        <f t="array" ref="K149">STOWA2019_JAARROND_T(A149*60,J149,I149,"GL","center")</f>
        <v>11.353405157603211</v>
      </c>
      <c r="L149">
        <f t="shared" si="44"/>
        <v>8.8079301858642337E-2</v>
      </c>
    </row>
    <row r="150" spans="1:12" x14ac:dyDescent="0.3">
      <c r="A150">
        <v>216</v>
      </c>
      <c r="B150">
        <f t="shared" si="41"/>
        <v>2.304032720523605E-2</v>
      </c>
      <c r="C150">
        <f t="shared" si="37"/>
        <v>2.304032720523605E-2</v>
      </c>
      <c r="D150" t="s">
        <v>27</v>
      </c>
      <c r="E150" t="s">
        <v>21</v>
      </c>
      <c r="F150">
        <v>1</v>
      </c>
      <c r="G150">
        <f t="shared" si="42"/>
        <v>130</v>
      </c>
      <c r="I150">
        <v>2050</v>
      </c>
      <c r="J150">
        <f t="shared" si="43"/>
        <v>132.5</v>
      </c>
      <c r="K150" cm="1">
        <f t="array" ref="K150">STOWA2019_JAARROND_T(A150*60,J150,I150,"GL","center")</f>
        <v>15.375396142528626</v>
      </c>
      <c r="L150">
        <f t="shared" si="44"/>
        <v>6.5038974653406287E-2</v>
      </c>
    </row>
    <row r="151" spans="1:12" x14ac:dyDescent="0.3">
      <c r="A151">
        <v>216</v>
      </c>
      <c r="B151">
        <f t="shared" si="41"/>
        <v>1.7080319220550137E-2</v>
      </c>
      <c r="C151">
        <f t="shared" si="37"/>
        <v>1.7080319220550137E-2</v>
      </c>
      <c r="D151" t="s">
        <v>27</v>
      </c>
      <c r="E151" t="s">
        <v>21</v>
      </c>
      <c r="F151">
        <v>1</v>
      </c>
      <c r="G151">
        <f t="shared" si="42"/>
        <v>135</v>
      </c>
      <c r="I151">
        <v>2050</v>
      </c>
      <c r="J151">
        <f t="shared" si="43"/>
        <v>137.5</v>
      </c>
      <c r="K151" cm="1">
        <f t="array" ref="K151">STOWA2019_JAARROND_T(A151*60,J151,I151,"GL","center")</f>
        <v>20.851293493831079</v>
      </c>
      <c r="L151">
        <f t="shared" si="44"/>
        <v>4.795865543285615E-2</v>
      </c>
    </row>
    <row r="152" spans="1:12" x14ac:dyDescent="0.3">
      <c r="A152">
        <v>216</v>
      </c>
      <c r="B152">
        <f t="shared" si="41"/>
        <v>1.2644786607878149E-2</v>
      </c>
      <c r="C152">
        <f t="shared" si="37"/>
        <v>1.2644786607878149E-2</v>
      </c>
      <c r="D152" t="s">
        <v>27</v>
      </c>
      <c r="E152" t="s">
        <v>21</v>
      </c>
      <c r="F152">
        <v>1</v>
      </c>
      <c r="G152">
        <f t="shared" si="42"/>
        <v>140</v>
      </c>
      <c r="I152">
        <v>2050</v>
      </c>
      <c r="J152">
        <f t="shared" si="43"/>
        <v>142.5</v>
      </c>
      <c r="K152" cm="1">
        <f t="array" ref="K152">STOWA2019_JAARROND_T(A152*60,J152,I152,"GL","center")</f>
        <v>28.317486394826435</v>
      </c>
      <c r="L152">
        <f t="shared" si="44"/>
        <v>3.5313868824978001E-2</v>
      </c>
    </row>
    <row r="153" spans="1:12" x14ac:dyDescent="0.3">
      <c r="A153">
        <v>216</v>
      </c>
      <c r="B153">
        <f t="shared" si="41"/>
        <v>9.3481544386309172E-3</v>
      </c>
      <c r="C153">
        <f t="shared" si="37"/>
        <v>9.3481544386309172E-3</v>
      </c>
      <c r="D153" t="s">
        <v>27</v>
      </c>
      <c r="E153" t="s">
        <v>21</v>
      </c>
      <c r="F153">
        <v>1</v>
      </c>
      <c r="G153">
        <f t="shared" si="42"/>
        <v>145</v>
      </c>
      <c r="I153">
        <v>2050</v>
      </c>
      <c r="J153">
        <f t="shared" si="43"/>
        <v>147.5</v>
      </c>
      <c r="K153" cm="1">
        <f t="array" ref="K153">STOWA2019_JAARROND_T(A153*60,J153,I153,"GL","center")</f>
        <v>38.5123237944035</v>
      </c>
      <c r="L153">
        <f t="shared" si="44"/>
        <v>2.5965714386347084E-2</v>
      </c>
    </row>
    <row r="154" spans="1:12" x14ac:dyDescent="0.3">
      <c r="A154">
        <v>216</v>
      </c>
      <c r="B154">
        <f t="shared" si="41"/>
        <v>6.9009534078300072E-3</v>
      </c>
      <c r="C154">
        <f t="shared" si="37"/>
        <v>6.9009534078300072E-3</v>
      </c>
      <c r="D154" t="s">
        <v>27</v>
      </c>
      <c r="E154" t="s">
        <v>21</v>
      </c>
      <c r="F154">
        <v>1</v>
      </c>
      <c r="G154">
        <f t="shared" si="42"/>
        <v>150</v>
      </c>
      <c r="I154">
        <v>2050</v>
      </c>
      <c r="J154">
        <f t="shared" si="43"/>
        <v>152.5</v>
      </c>
      <c r="K154" cm="1">
        <f t="array" ref="K154">STOWA2019_JAARROND_T(A154*60,J154,I154,"GL","center")</f>
        <v>52.45279503513521</v>
      </c>
      <c r="L154">
        <f t="shared" si="44"/>
        <v>1.9064760978517076E-2</v>
      </c>
    </row>
    <row r="155" spans="1:12" x14ac:dyDescent="0.3">
      <c r="A155">
        <v>216</v>
      </c>
      <c r="B155">
        <f t="shared" si="41"/>
        <v>5.0872416478571231E-3</v>
      </c>
      <c r="C155">
        <f t="shared" si="37"/>
        <v>5.0872416478571231E-3</v>
      </c>
      <c r="D155" t="s">
        <v>27</v>
      </c>
      <c r="E155" t="s">
        <v>21</v>
      </c>
      <c r="F155">
        <v>1</v>
      </c>
      <c r="G155">
        <f t="shared" si="42"/>
        <v>155</v>
      </c>
      <c r="I155">
        <v>2050</v>
      </c>
      <c r="J155">
        <f t="shared" si="43"/>
        <v>157.5</v>
      </c>
      <c r="K155" cm="1">
        <f t="array" ref="K155">STOWA2019_JAARROND_T(A155*60,J155,I155,"GL","center")</f>
        <v>71.543453193906956</v>
      </c>
      <c r="L155">
        <f t="shared" si="44"/>
        <v>1.3977519330659953E-2</v>
      </c>
    </row>
    <row r="156" spans="1:12" x14ac:dyDescent="0.3">
      <c r="A156">
        <v>216</v>
      </c>
      <c r="B156" s="1">
        <f>L155</f>
        <v>1.3977519330659953E-2</v>
      </c>
      <c r="C156">
        <f t="shared" si="37"/>
        <v>1.3977519330659953E-2</v>
      </c>
      <c r="D156" t="s">
        <v>27</v>
      </c>
      <c r="E156" t="s">
        <v>21</v>
      </c>
      <c r="F156">
        <v>1</v>
      </c>
      <c r="G156">
        <f t="shared" si="42"/>
        <v>160</v>
      </c>
      <c r="I156">
        <v>2050</v>
      </c>
      <c r="J156">
        <f>AVERAGE(G156:G157)</f>
        <v>160</v>
      </c>
      <c r="K156" cm="1">
        <f t="array" ref="K156">STOWA2019_JAARROND_T(A156*60,J156,I156,"GL","center")</f>
        <v>83.600624180121756</v>
      </c>
      <c r="L156">
        <f>1/K156</f>
        <v>1.1961633179262509E-2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8516BE-0185-4A38-9AD6-AFDD06665084}">
  <sheetPr codeName="Blad10"/>
  <dimension ref="A1:L156"/>
  <sheetViews>
    <sheetView workbookViewId="0">
      <selection activeCell="K22" sqref="K22"/>
    </sheetView>
  </sheetViews>
  <sheetFormatPr defaultRowHeight="14.4" x14ac:dyDescent="0.3"/>
  <cols>
    <col min="2" max="3" width="12" bestFit="1" customWidth="1"/>
    <col min="4" max="4" width="26.21875" bestFit="1" customWidth="1"/>
    <col min="11" max="11" width="10.5546875" bestFit="1" customWidth="1"/>
  </cols>
  <sheetData>
    <row r="1" spans="1:12" x14ac:dyDescent="0.3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20</v>
      </c>
      <c r="G1" t="s">
        <v>1</v>
      </c>
      <c r="I1" t="s">
        <v>4</v>
      </c>
      <c r="J1" t="s">
        <v>13</v>
      </c>
      <c r="K1" t="s">
        <v>2</v>
      </c>
      <c r="L1" t="s">
        <v>3</v>
      </c>
    </row>
    <row r="2" spans="1:12" x14ac:dyDescent="0.3">
      <c r="A2">
        <v>24</v>
      </c>
      <c r="B2" s="1">
        <f>365.25*24/A2 - L2</f>
        <v>358.62717778621851</v>
      </c>
      <c r="C2">
        <f>B2</f>
        <v>358.62717778621851</v>
      </c>
      <c r="D2" t="s">
        <v>27</v>
      </c>
      <c r="E2" t="s">
        <v>19</v>
      </c>
      <c r="F2">
        <v>1</v>
      </c>
      <c r="G2">
        <v>10</v>
      </c>
      <c r="I2">
        <v>2050</v>
      </c>
      <c r="J2">
        <f>AVERAGE(G2:G4)</f>
        <v>15</v>
      </c>
      <c r="K2" cm="1">
        <f t="array" ref="K2">STOWA2019_NDJF_T(A2*60,J2,I2,"GL","center")</f>
        <v>0.15099303102521566</v>
      </c>
      <c r="L2">
        <f>1/K2</f>
        <v>6.6228222137815163</v>
      </c>
    </row>
    <row r="3" spans="1:12" x14ac:dyDescent="0.3">
      <c r="A3">
        <v>24</v>
      </c>
      <c r="B3">
        <f t="shared" ref="B3:B7" si="0">L2-L3</f>
        <v>2.4623551208464649</v>
      </c>
      <c r="C3">
        <f t="shared" ref="C3:C32" si="1">B3</f>
        <v>2.4623551208464649</v>
      </c>
      <c r="D3" t="s">
        <v>27</v>
      </c>
      <c r="E3" t="s">
        <v>19</v>
      </c>
      <c r="F3">
        <v>1</v>
      </c>
      <c r="G3">
        <f t="shared" ref="G3:G7" si="2">G2+5</f>
        <v>15</v>
      </c>
      <c r="I3">
        <v>2050</v>
      </c>
      <c r="J3">
        <f t="shared" ref="J3:J7" si="3">AVERAGE(G3:G4)</f>
        <v>17.5</v>
      </c>
      <c r="K3" cm="1">
        <f t="array" ref="K3">STOWA2019_NDJF_T(A3*60,J3,I3,"GL","center")</f>
        <v>0.24035762756016371</v>
      </c>
      <c r="L3">
        <f t="shared" ref="L3:L7" si="4">1/K3</f>
        <v>4.1604670929350513</v>
      </c>
    </row>
    <row r="4" spans="1:12" x14ac:dyDescent="0.3">
      <c r="A4">
        <v>24</v>
      </c>
      <c r="B4">
        <f t="shared" si="0"/>
        <v>2.443277114023485</v>
      </c>
      <c r="C4">
        <f t="shared" si="1"/>
        <v>2.443277114023485</v>
      </c>
      <c r="D4" t="s">
        <v>27</v>
      </c>
      <c r="E4" t="s">
        <v>19</v>
      </c>
      <c r="F4">
        <v>1</v>
      </c>
      <c r="G4">
        <f t="shared" si="2"/>
        <v>20</v>
      </c>
      <c r="I4">
        <v>2050</v>
      </c>
      <c r="J4">
        <f t="shared" si="3"/>
        <v>22.5</v>
      </c>
      <c r="K4" cm="1">
        <f t="array" ref="K4">STOWA2019_NDJF_T(A4*60,J4,I4,"GL","center")</f>
        <v>0.58234674804813724</v>
      </c>
      <c r="L4">
        <f t="shared" si="4"/>
        <v>1.7171899789115663</v>
      </c>
    </row>
    <row r="5" spans="1:12" x14ac:dyDescent="0.3">
      <c r="A5">
        <v>24</v>
      </c>
      <c r="B5">
        <f t="shared" si="0"/>
        <v>0.96921436236855008</v>
      </c>
      <c r="C5">
        <f t="shared" si="1"/>
        <v>0.96921436236855008</v>
      </c>
      <c r="D5" t="s">
        <v>27</v>
      </c>
      <c r="E5" t="s">
        <v>19</v>
      </c>
      <c r="F5">
        <v>1</v>
      </c>
      <c r="G5">
        <f t="shared" si="2"/>
        <v>25</v>
      </c>
      <c r="I5">
        <v>2050</v>
      </c>
      <c r="J5">
        <f t="shared" si="3"/>
        <v>27.5</v>
      </c>
      <c r="K5" cm="1">
        <f t="array" ref="K5">STOWA2019_NDJF_T(A5*60,J5,I5,"GL","center")</f>
        <v>1.3369419776299483</v>
      </c>
      <c r="L5">
        <f t="shared" si="4"/>
        <v>0.74797561654301625</v>
      </c>
    </row>
    <row r="6" spans="1:12" x14ac:dyDescent="0.3">
      <c r="A6">
        <v>24</v>
      </c>
      <c r="B6">
        <f t="shared" si="0"/>
        <v>0.40634628999554212</v>
      </c>
      <c r="C6">
        <f t="shared" si="1"/>
        <v>0.40634628999554212</v>
      </c>
      <c r="D6" t="s">
        <v>27</v>
      </c>
      <c r="E6" t="s">
        <v>19</v>
      </c>
      <c r="F6">
        <v>1</v>
      </c>
      <c r="G6">
        <f t="shared" si="2"/>
        <v>30</v>
      </c>
      <c r="I6">
        <v>2050</v>
      </c>
      <c r="J6">
        <f t="shared" si="3"/>
        <v>32.5</v>
      </c>
      <c r="K6" cm="1">
        <f t="array" ref="K6">STOWA2019_NDJF_T(A6*60,J6,I6,"GL","center")</f>
        <v>2.9271491710212887</v>
      </c>
      <c r="L6">
        <f t="shared" si="4"/>
        <v>0.34162932654747413</v>
      </c>
    </row>
    <row r="7" spans="1:12" x14ac:dyDescent="0.3">
      <c r="A7">
        <v>24</v>
      </c>
      <c r="B7">
        <f t="shared" si="0"/>
        <v>0.17883686254719461</v>
      </c>
      <c r="C7">
        <f t="shared" si="1"/>
        <v>0.17883686254719461</v>
      </c>
      <c r="D7" t="s">
        <v>27</v>
      </c>
      <c r="E7" t="s">
        <v>19</v>
      </c>
      <c r="F7">
        <v>1</v>
      </c>
      <c r="G7">
        <f t="shared" si="2"/>
        <v>35</v>
      </c>
      <c r="I7">
        <v>2050</v>
      </c>
      <c r="J7">
        <f t="shared" si="3"/>
        <v>37.5</v>
      </c>
      <c r="K7" cm="1">
        <f t="array" ref="K7">STOWA2019_NDJF_T(A7*60,J7,I7,"GL","center")</f>
        <v>6.1427904918146758</v>
      </c>
      <c r="L7">
        <f t="shared" si="4"/>
        <v>0.16279246400027952</v>
      </c>
    </row>
    <row r="8" spans="1:12" x14ac:dyDescent="0.3">
      <c r="A8">
        <v>24</v>
      </c>
      <c r="B8">
        <f>L7-L8</f>
        <v>8.2209610298376604E-2</v>
      </c>
      <c r="C8">
        <f t="shared" si="1"/>
        <v>8.2209610298376604E-2</v>
      </c>
      <c r="D8" t="s">
        <v>27</v>
      </c>
      <c r="E8" t="s">
        <v>19</v>
      </c>
      <c r="F8">
        <v>1</v>
      </c>
      <c r="G8">
        <f>G7+5</f>
        <v>40</v>
      </c>
      <c r="I8">
        <v>2050</v>
      </c>
      <c r="J8">
        <f>AVERAGE(G8:G9)</f>
        <v>42.5</v>
      </c>
      <c r="K8" cm="1">
        <f t="array" ref="K8">STOWA2019_NDJF_T(A8*60,J8,I8,"GL","center")</f>
        <v>12.40958782248221</v>
      </c>
      <c r="L8">
        <f>1/K8</f>
        <v>8.0582853701902921E-2</v>
      </c>
    </row>
    <row r="9" spans="1:12" x14ac:dyDescent="0.3">
      <c r="A9">
        <v>24</v>
      </c>
      <c r="B9">
        <f t="shared" ref="B9:B31" si="5">L8-L9</f>
        <v>3.9300206311395788E-2</v>
      </c>
      <c r="C9">
        <f t="shared" si="1"/>
        <v>3.9300206311395788E-2</v>
      </c>
      <c r="D9" t="s">
        <v>27</v>
      </c>
      <c r="E9" t="s">
        <v>19</v>
      </c>
      <c r="F9">
        <v>1</v>
      </c>
      <c r="G9">
        <f t="shared" ref="G9:G32" si="6">G8+5</f>
        <v>45</v>
      </c>
      <c r="I9">
        <v>2050</v>
      </c>
      <c r="J9">
        <f t="shared" ref="J9:J31" si="7">AVERAGE(G9:G10)</f>
        <v>47.5</v>
      </c>
      <c r="K9" cm="1">
        <f t="array" ref="K9">STOWA2019_NDJF_T(A9*60,J9,I9,"GL","center")</f>
        <v>24.223252703264087</v>
      </c>
      <c r="L9">
        <f t="shared" ref="L9:L31" si="8">1/K9</f>
        <v>4.1282647390507132E-2</v>
      </c>
    </row>
    <row r="10" spans="1:12" x14ac:dyDescent="0.3">
      <c r="A10">
        <v>24</v>
      </c>
      <c r="B10">
        <f t="shared" si="5"/>
        <v>1.9464673212273596E-2</v>
      </c>
      <c r="C10">
        <f t="shared" si="1"/>
        <v>1.9464673212273596E-2</v>
      </c>
      <c r="D10" t="s">
        <v>27</v>
      </c>
      <c r="E10" t="s">
        <v>19</v>
      </c>
      <c r="F10">
        <v>1</v>
      </c>
      <c r="G10">
        <f t="shared" si="6"/>
        <v>50</v>
      </c>
      <c r="I10">
        <v>2050</v>
      </c>
      <c r="J10">
        <f t="shared" si="7"/>
        <v>52.5</v>
      </c>
      <c r="K10" cm="1">
        <f t="array" ref="K10">STOWA2019_NDJF_T(A10*60,J10,I10,"GL","center")</f>
        <v>45.833769525570304</v>
      </c>
      <c r="L10">
        <f t="shared" si="8"/>
        <v>2.1817974178233536E-2</v>
      </c>
    </row>
    <row r="11" spans="1:12" x14ac:dyDescent="0.3">
      <c r="A11">
        <v>24</v>
      </c>
      <c r="B11">
        <f t="shared" si="5"/>
        <v>9.9552062676497716E-3</v>
      </c>
      <c r="C11">
        <f t="shared" si="1"/>
        <v>9.9552062676497716E-3</v>
      </c>
      <c r="D11" t="s">
        <v>27</v>
      </c>
      <c r="E11" t="s">
        <v>19</v>
      </c>
      <c r="F11">
        <v>1</v>
      </c>
      <c r="G11">
        <f t="shared" si="6"/>
        <v>55</v>
      </c>
      <c r="I11">
        <v>2050</v>
      </c>
      <c r="J11">
        <f t="shared" si="7"/>
        <v>57.5</v>
      </c>
      <c r="K11" cm="1">
        <f t="array" ref="K11">STOWA2019_NDJF_T(A11*60,J11,I11,"GL","center")</f>
        <v>84.297358553884933</v>
      </c>
      <c r="L11">
        <f t="shared" si="8"/>
        <v>1.1862767910583764E-2</v>
      </c>
    </row>
    <row r="12" spans="1:12" x14ac:dyDescent="0.3">
      <c r="A12">
        <v>24</v>
      </c>
      <c r="B12">
        <f t="shared" si="5"/>
        <v>5.2432362413767563E-3</v>
      </c>
      <c r="C12">
        <f t="shared" si="1"/>
        <v>5.2432362413767563E-3</v>
      </c>
      <c r="D12" t="s">
        <v>27</v>
      </c>
      <c r="E12" t="s">
        <v>19</v>
      </c>
      <c r="F12">
        <v>1</v>
      </c>
      <c r="G12">
        <f t="shared" si="6"/>
        <v>60</v>
      </c>
      <c r="I12">
        <v>2050</v>
      </c>
      <c r="J12">
        <f t="shared" si="7"/>
        <v>62.5</v>
      </c>
      <c r="K12" cm="1">
        <f t="array" ref="K12">STOWA2019_NDJF_T(A12*60,J12,I12,"GL","center")</f>
        <v>151.06808909939028</v>
      </c>
      <c r="L12">
        <f t="shared" si="8"/>
        <v>6.6195316692070081E-3</v>
      </c>
    </row>
    <row r="13" spans="1:12" x14ac:dyDescent="0.3">
      <c r="A13">
        <v>24</v>
      </c>
      <c r="B13">
        <f t="shared" si="5"/>
        <v>2.8366950338184521E-3</v>
      </c>
      <c r="C13">
        <f t="shared" si="1"/>
        <v>2.8366950338184521E-3</v>
      </c>
      <c r="D13" t="s">
        <v>27</v>
      </c>
      <c r="E13" t="s">
        <v>19</v>
      </c>
      <c r="F13">
        <v>1</v>
      </c>
      <c r="G13">
        <f t="shared" si="6"/>
        <v>65</v>
      </c>
      <c r="I13">
        <v>2050</v>
      </c>
      <c r="J13">
        <f t="shared" si="7"/>
        <v>67.5</v>
      </c>
      <c r="K13" cm="1">
        <f t="array" ref="K13">STOWA2019_NDJF_T(A13*60,J13,I13,"GL","center")</f>
        <v>264.3518862657109</v>
      </c>
      <c r="L13">
        <f t="shared" si="8"/>
        <v>3.7828366353885559E-3</v>
      </c>
    </row>
    <row r="14" spans="1:12" x14ac:dyDescent="0.3">
      <c r="A14">
        <v>24</v>
      </c>
      <c r="B14">
        <f t="shared" si="5"/>
        <v>1.5730560066190484E-3</v>
      </c>
      <c r="C14">
        <f t="shared" si="1"/>
        <v>1.5730560066190484E-3</v>
      </c>
      <c r="D14" t="s">
        <v>27</v>
      </c>
      <c r="E14" t="s">
        <v>19</v>
      </c>
      <c r="F14">
        <v>1</v>
      </c>
      <c r="G14">
        <f t="shared" si="6"/>
        <v>70</v>
      </c>
      <c r="I14">
        <v>2050</v>
      </c>
      <c r="J14">
        <f t="shared" si="7"/>
        <v>72.5</v>
      </c>
      <c r="K14" cm="1">
        <f t="array" ref="K14">STOWA2019_NDJF_T(A14*60,J14,I14,"GL","center")</f>
        <v>452.53360762640011</v>
      </c>
      <c r="L14">
        <f t="shared" si="8"/>
        <v>2.2097806287695075E-3</v>
      </c>
    </row>
    <row r="15" spans="1:12" x14ac:dyDescent="0.3">
      <c r="A15">
        <v>24</v>
      </c>
      <c r="B15">
        <f t="shared" si="5"/>
        <v>8.9244349672916575E-4</v>
      </c>
      <c r="C15">
        <f t="shared" si="1"/>
        <v>8.9244349672916575E-4</v>
      </c>
      <c r="D15" t="s">
        <v>27</v>
      </c>
      <c r="E15" t="s">
        <v>19</v>
      </c>
      <c r="F15">
        <v>1</v>
      </c>
      <c r="G15">
        <f t="shared" si="6"/>
        <v>75</v>
      </c>
      <c r="I15">
        <v>2050</v>
      </c>
      <c r="J15">
        <f t="shared" si="7"/>
        <v>77.5</v>
      </c>
      <c r="K15" cm="1">
        <f t="array" ref="K15">STOWA2019_NDJF_T(A15*60,J15,I15,"GL","center")</f>
        <v>759.10712275388607</v>
      </c>
      <c r="L15">
        <f t="shared" si="8"/>
        <v>1.3173371320403418E-3</v>
      </c>
    </row>
    <row r="16" spans="1:12" x14ac:dyDescent="0.3">
      <c r="A16">
        <v>24</v>
      </c>
      <c r="B16">
        <f t="shared" si="5"/>
        <v>5.1709897291961414E-4</v>
      </c>
      <c r="C16">
        <f t="shared" si="1"/>
        <v>5.1709897291961414E-4</v>
      </c>
      <c r="D16" t="s">
        <v>27</v>
      </c>
      <c r="E16" t="s">
        <v>19</v>
      </c>
      <c r="F16">
        <v>1</v>
      </c>
      <c r="G16">
        <f t="shared" si="6"/>
        <v>80</v>
      </c>
      <c r="I16">
        <v>2050</v>
      </c>
      <c r="J16">
        <f t="shared" si="7"/>
        <v>82.5</v>
      </c>
      <c r="K16" cm="1">
        <f t="array" ref="K16">STOWA2019_NDJF_T(A16*60,J16,I16,"GL","center")</f>
        <v>1249.627987121688</v>
      </c>
      <c r="L16">
        <f t="shared" si="8"/>
        <v>8.0023815912072765E-4</v>
      </c>
    </row>
    <row r="17" spans="1:12" x14ac:dyDescent="0.3">
      <c r="A17">
        <v>24</v>
      </c>
      <c r="B17">
        <f t="shared" si="5"/>
        <v>3.0553790441750165E-4</v>
      </c>
      <c r="C17">
        <f t="shared" si="1"/>
        <v>3.0553790441750165E-4</v>
      </c>
      <c r="D17" t="s">
        <v>27</v>
      </c>
      <c r="E17" t="s">
        <v>19</v>
      </c>
      <c r="F17">
        <v>1</v>
      </c>
      <c r="G17">
        <f t="shared" si="6"/>
        <v>85</v>
      </c>
      <c r="I17">
        <v>2050</v>
      </c>
      <c r="J17">
        <f t="shared" si="7"/>
        <v>87.5</v>
      </c>
      <c r="K17" cm="1">
        <f t="array" ref="K17">STOWA2019_NDJF_T(A17*60,J17,I17,"GL","center")</f>
        <v>2021.4260867925098</v>
      </c>
      <c r="L17">
        <f t="shared" si="8"/>
        <v>4.94700254703226E-4</v>
      </c>
    </row>
    <row r="18" spans="1:12" x14ac:dyDescent="0.3">
      <c r="A18">
        <v>24</v>
      </c>
      <c r="B18">
        <f t="shared" si="5"/>
        <v>1.8385087272971049E-4</v>
      </c>
      <c r="C18">
        <f t="shared" si="1"/>
        <v>1.8385087272971049E-4</v>
      </c>
      <c r="D18" t="s">
        <v>27</v>
      </c>
      <c r="E18" t="s">
        <v>19</v>
      </c>
      <c r="F18">
        <v>1</v>
      </c>
      <c r="G18">
        <f t="shared" si="6"/>
        <v>90</v>
      </c>
      <c r="I18">
        <v>2050</v>
      </c>
      <c r="J18">
        <f t="shared" si="7"/>
        <v>92.5</v>
      </c>
      <c r="K18" cm="1">
        <f t="array" ref="K18">STOWA2019_NDJF_T(A18*60,J18,I18,"GL","center")</f>
        <v>3216.992080380589</v>
      </c>
      <c r="L18">
        <f t="shared" si="8"/>
        <v>3.1084938197351551E-4</v>
      </c>
    </row>
    <row r="19" spans="1:12" x14ac:dyDescent="0.3">
      <c r="A19">
        <v>24</v>
      </c>
      <c r="B19">
        <f t="shared" si="5"/>
        <v>1.1252410217792611E-4</v>
      </c>
      <c r="C19">
        <f t="shared" si="1"/>
        <v>1.1252410217792611E-4</v>
      </c>
      <c r="D19" t="s">
        <v>27</v>
      </c>
      <c r="E19" t="s">
        <v>19</v>
      </c>
      <c r="F19">
        <v>1</v>
      </c>
      <c r="G19">
        <f t="shared" si="6"/>
        <v>95</v>
      </c>
      <c r="I19">
        <v>2050</v>
      </c>
      <c r="J19">
        <f t="shared" si="7"/>
        <v>97.5</v>
      </c>
      <c r="K19" cm="1">
        <f t="array" ref="K19">STOWA2019_NDJF_T(A19*60,J19,I19,"GL","center")</f>
        <v>5042.2215515373709</v>
      </c>
      <c r="L19">
        <f t="shared" si="8"/>
        <v>1.983252797955894E-4</v>
      </c>
    </row>
    <row r="20" spans="1:12" x14ac:dyDescent="0.3">
      <c r="A20">
        <v>24</v>
      </c>
      <c r="B20">
        <f t="shared" si="5"/>
        <v>6.9971412633810202E-5</v>
      </c>
      <c r="C20">
        <f t="shared" si="1"/>
        <v>6.9971412633810202E-5</v>
      </c>
      <c r="D20" t="s">
        <v>27</v>
      </c>
      <c r="E20" t="s">
        <v>19</v>
      </c>
      <c r="F20">
        <v>1</v>
      </c>
      <c r="G20">
        <f t="shared" si="6"/>
        <v>100</v>
      </c>
      <c r="I20">
        <v>2050</v>
      </c>
      <c r="J20">
        <f t="shared" si="7"/>
        <v>102.5</v>
      </c>
      <c r="K20" cm="1">
        <f t="array" ref="K20">STOWA2019_NDJF_T(A20*60,J20,I20,"GL","center")</f>
        <v>7790.9612083567727</v>
      </c>
      <c r="L20">
        <f t="shared" si="8"/>
        <v>1.283538671617792E-4</v>
      </c>
    </row>
    <row r="21" spans="1:12" x14ac:dyDescent="0.3">
      <c r="A21">
        <v>24</v>
      </c>
      <c r="B21">
        <f t="shared" si="5"/>
        <v>4.4164456303163947E-5</v>
      </c>
      <c r="C21">
        <f t="shared" si="1"/>
        <v>4.4164456303163947E-5</v>
      </c>
      <c r="D21" t="s">
        <v>27</v>
      </c>
      <c r="E21" t="s">
        <v>19</v>
      </c>
      <c r="F21">
        <v>1</v>
      </c>
      <c r="G21">
        <f t="shared" si="6"/>
        <v>105</v>
      </c>
      <c r="I21">
        <v>2050</v>
      </c>
      <c r="J21">
        <f t="shared" si="7"/>
        <v>107.5</v>
      </c>
      <c r="K21" cm="1">
        <f t="array" ref="K21">STOWA2019_NDJF_T(A21*60,J21,I21,"GL","center")</f>
        <v>11877.978356201647</v>
      </c>
      <c r="L21">
        <f t="shared" si="8"/>
        <v>8.4189410858615253E-5</v>
      </c>
    </row>
    <row r="22" spans="1:12" x14ac:dyDescent="0.3">
      <c r="A22">
        <v>24</v>
      </c>
      <c r="B22">
        <f t="shared" si="5"/>
        <v>2.826865916337908E-5</v>
      </c>
      <c r="C22">
        <f t="shared" si="1"/>
        <v>2.826865916337908E-5</v>
      </c>
      <c r="D22" t="s">
        <v>27</v>
      </c>
      <c r="E22" t="s">
        <v>19</v>
      </c>
      <c r="F22">
        <v>1</v>
      </c>
      <c r="G22">
        <f t="shared" si="6"/>
        <v>110</v>
      </c>
      <c r="I22">
        <v>2050</v>
      </c>
      <c r="J22">
        <f t="shared" si="7"/>
        <v>112.5</v>
      </c>
      <c r="K22" cm="1">
        <f t="array" ref="K22">STOWA2019_NDJF_T(A22*60,J22,I22,"GL","center")</f>
        <v>17882.449174680693</v>
      </c>
      <c r="L22">
        <f t="shared" si="8"/>
        <v>5.5920751695236174E-5</v>
      </c>
    </row>
    <row r="23" spans="1:12" x14ac:dyDescent="0.3">
      <c r="A23">
        <v>24</v>
      </c>
      <c r="B23">
        <f t="shared" si="5"/>
        <v>1.8333160825125239E-5</v>
      </c>
      <c r="C23">
        <f t="shared" si="1"/>
        <v>1.8333160825125239E-5</v>
      </c>
      <c r="D23" t="s">
        <v>27</v>
      </c>
      <c r="E23" t="s">
        <v>19</v>
      </c>
      <c r="F23">
        <v>1</v>
      </c>
      <c r="G23">
        <f t="shared" si="6"/>
        <v>115</v>
      </c>
      <c r="I23">
        <v>2050</v>
      </c>
      <c r="J23">
        <f t="shared" si="7"/>
        <v>117.5</v>
      </c>
      <c r="K23" cm="1">
        <f t="array" ref="K23">STOWA2019_NDJF_T(A23*60,J23,I23,"GL","center")</f>
        <v>26604.52497356473</v>
      </c>
      <c r="L23">
        <f t="shared" si="8"/>
        <v>3.7587590870110934E-5</v>
      </c>
    </row>
    <row r="24" spans="1:12" x14ac:dyDescent="0.3">
      <c r="A24">
        <v>24</v>
      </c>
      <c r="B24">
        <f t="shared" si="5"/>
        <v>1.203832853495351E-5</v>
      </c>
      <c r="C24">
        <f t="shared" si="1"/>
        <v>1.203832853495351E-5</v>
      </c>
      <c r="D24" t="s">
        <v>27</v>
      </c>
      <c r="E24" t="s">
        <v>19</v>
      </c>
      <c r="F24">
        <v>1</v>
      </c>
      <c r="G24">
        <f t="shared" si="6"/>
        <v>120</v>
      </c>
      <c r="I24">
        <v>2050</v>
      </c>
      <c r="J24">
        <f t="shared" si="7"/>
        <v>122.5</v>
      </c>
      <c r="K24" cm="1">
        <f t="array" ref="K24">STOWA2019_NDJF_T(A24*60,J24,I24,"GL","center")</f>
        <v>39140.073278121061</v>
      </c>
      <c r="L24">
        <f t="shared" si="8"/>
        <v>2.5549262335157424E-5</v>
      </c>
    </row>
    <row r="25" spans="1:12" x14ac:dyDescent="0.3">
      <c r="A25">
        <v>24</v>
      </c>
      <c r="B25">
        <f t="shared" si="5"/>
        <v>7.9980118716148941E-6</v>
      </c>
      <c r="C25">
        <f t="shared" si="1"/>
        <v>7.9980118716148941E-6</v>
      </c>
      <c r="D25" t="s">
        <v>27</v>
      </c>
      <c r="E25" t="s">
        <v>19</v>
      </c>
      <c r="F25">
        <v>1</v>
      </c>
      <c r="G25">
        <f t="shared" si="6"/>
        <v>125</v>
      </c>
      <c r="I25">
        <v>2050</v>
      </c>
      <c r="J25">
        <f t="shared" si="7"/>
        <v>127.5</v>
      </c>
      <c r="K25" cm="1">
        <f t="array" ref="K25">STOWA2019_NDJF_T(A25*60,J25,I25,"GL","center")</f>
        <v>56975.997355698433</v>
      </c>
      <c r="L25">
        <f t="shared" si="8"/>
        <v>1.755125046354253E-5</v>
      </c>
    </row>
    <row r="26" spans="1:12" x14ac:dyDescent="0.3">
      <c r="A26">
        <v>24</v>
      </c>
      <c r="B26">
        <f t="shared" si="5"/>
        <v>5.3728295683653873E-6</v>
      </c>
      <c r="C26">
        <f t="shared" si="1"/>
        <v>5.3728295683653873E-6</v>
      </c>
      <c r="D26" t="s">
        <v>27</v>
      </c>
      <c r="E26" t="s">
        <v>19</v>
      </c>
      <c r="F26">
        <v>1</v>
      </c>
      <c r="G26">
        <f t="shared" si="6"/>
        <v>130</v>
      </c>
      <c r="I26">
        <v>2050</v>
      </c>
      <c r="J26">
        <f t="shared" si="7"/>
        <v>132.5</v>
      </c>
      <c r="K26" cm="1">
        <f t="array" ref="K26">STOWA2019_NDJF_T(A26*60,J26,I26,"GL","center")</f>
        <v>82112.451902201588</v>
      </c>
      <c r="L26">
        <f t="shared" si="8"/>
        <v>1.2178420895177143E-5</v>
      </c>
    </row>
    <row r="27" spans="1:12" x14ac:dyDescent="0.3">
      <c r="A27">
        <v>24</v>
      </c>
      <c r="B27">
        <f t="shared" si="5"/>
        <v>3.6475055127134769E-6</v>
      </c>
      <c r="C27">
        <f t="shared" si="1"/>
        <v>3.6475055127134769E-6</v>
      </c>
      <c r="D27" t="s">
        <v>27</v>
      </c>
      <c r="E27" t="s">
        <v>19</v>
      </c>
      <c r="F27">
        <v>1</v>
      </c>
      <c r="G27">
        <f t="shared" si="6"/>
        <v>135</v>
      </c>
      <c r="I27">
        <v>2050</v>
      </c>
      <c r="J27">
        <f t="shared" si="7"/>
        <v>137.5</v>
      </c>
      <c r="K27" cm="1">
        <f t="array" ref="K27">STOWA2019_NDJF_T(A27*60,J27,I27,"GL","center")</f>
        <v>117220.7149136213</v>
      </c>
      <c r="L27">
        <f t="shared" si="8"/>
        <v>8.5309153824636659E-6</v>
      </c>
    </row>
    <row r="28" spans="1:12" x14ac:dyDescent="0.3">
      <c r="A28">
        <v>24</v>
      </c>
      <c r="B28">
        <f t="shared" si="5"/>
        <v>2.5009354158482775E-6</v>
      </c>
      <c r="C28">
        <f t="shared" si="1"/>
        <v>2.5009354158482775E-6</v>
      </c>
      <c r="D28" t="s">
        <v>27</v>
      </c>
      <c r="E28" t="s">
        <v>19</v>
      </c>
      <c r="F28">
        <v>1</v>
      </c>
      <c r="G28">
        <f t="shared" si="6"/>
        <v>140</v>
      </c>
      <c r="I28">
        <v>2050</v>
      </c>
      <c r="J28">
        <f t="shared" si="7"/>
        <v>142.5</v>
      </c>
      <c r="K28" cm="1">
        <f t="array" ref="K28">STOWA2019_NDJF_T(A28*60,J28,I28,"GL","center")</f>
        <v>165838.03023168206</v>
      </c>
      <c r="L28">
        <f t="shared" si="8"/>
        <v>6.0299799666153883E-6</v>
      </c>
    </row>
    <row r="29" spans="1:12" x14ac:dyDescent="0.3">
      <c r="A29">
        <v>24</v>
      </c>
      <c r="B29">
        <f t="shared" si="5"/>
        <v>1.7310709625073826E-6</v>
      </c>
      <c r="C29">
        <f t="shared" si="1"/>
        <v>1.7310709625073826E-6</v>
      </c>
      <c r="D29" t="s">
        <v>27</v>
      </c>
      <c r="E29" t="s">
        <v>19</v>
      </c>
      <c r="F29">
        <v>1</v>
      </c>
      <c r="G29">
        <f t="shared" si="6"/>
        <v>145</v>
      </c>
      <c r="I29">
        <v>2050</v>
      </c>
      <c r="J29">
        <f t="shared" si="7"/>
        <v>147.5</v>
      </c>
      <c r="K29" cm="1">
        <f t="array" ref="K29">STOWA2019_NDJF_T(A29*60,J29,I29,"GL","center")</f>
        <v>232617.15915466167</v>
      </c>
      <c r="L29">
        <f t="shared" si="8"/>
        <v>4.2989090041080057E-6</v>
      </c>
    </row>
    <row r="30" spans="1:12" x14ac:dyDescent="0.3">
      <c r="A30">
        <v>24</v>
      </c>
      <c r="B30">
        <f t="shared" si="5"/>
        <v>1.2090009713466178E-6</v>
      </c>
      <c r="C30">
        <f t="shared" si="1"/>
        <v>1.2090009713466178E-6</v>
      </c>
      <c r="D30" t="s">
        <v>27</v>
      </c>
      <c r="E30" t="s">
        <v>19</v>
      </c>
      <c r="F30">
        <v>1</v>
      </c>
      <c r="G30">
        <f t="shared" si="6"/>
        <v>150</v>
      </c>
      <c r="I30">
        <v>2050</v>
      </c>
      <c r="J30">
        <f t="shared" si="7"/>
        <v>152.5</v>
      </c>
      <c r="K30" cm="1">
        <f t="array" ref="K30">STOWA2019_NDJF_T(A30*60,J30,I30,"GL","center")</f>
        <v>323634.22774959431</v>
      </c>
      <c r="L30">
        <f t="shared" si="8"/>
        <v>3.0899080327613879E-6</v>
      </c>
    </row>
    <row r="31" spans="1:12" x14ac:dyDescent="0.3">
      <c r="A31">
        <v>24</v>
      </c>
      <c r="B31">
        <f t="shared" si="5"/>
        <v>8.5166934353326876E-7</v>
      </c>
      <c r="C31">
        <f t="shared" si="1"/>
        <v>8.5166934353326876E-7</v>
      </c>
      <c r="D31" t="s">
        <v>27</v>
      </c>
      <c r="E31" t="s">
        <v>19</v>
      </c>
      <c r="F31">
        <v>1</v>
      </c>
      <c r="G31">
        <f t="shared" si="6"/>
        <v>155</v>
      </c>
      <c r="I31">
        <v>2050</v>
      </c>
      <c r="J31">
        <f t="shared" si="7"/>
        <v>157.5</v>
      </c>
      <c r="K31" cm="1">
        <f t="array" ref="K31">STOWA2019_NDJF_T(A31*60,J31,I31,"GL","center")</f>
        <v>446779.87419869896</v>
      </c>
      <c r="L31">
        <f t="shared" si="8"/>
        <v>2.2382386892281192E-6</v>
      </c>
    </row>
    <row r="32" spans="1:12" x14ac:dyDescent="0.3">
      <c r="A32">
        <v>24</v>
      </c>
      <c r="B32" s="1">
        <f>L31</f>
        <v>2.2382386892281192E-6</v>
      </c>
      <c r="C32">
        <f t="shared" si="1"/>
        <v>2.2382386892281192E-6</v>
      </c>
      <c r="D32" t="s">
        <v>27</v>
      </c>
      <c r="E32" t="s">
        <v>19</v>
      </c>
      <c r="F32">
        <v>1</v>
      </c>
      <c r="G32">
        <f t="shared" si="6"/>
        <v>160</v>
      </c>
      <c r="I32">
        <v>2050</v>
      </c>
      <c r="J32">
        <f>AVERAGE(G32:G33)</f>
        <v>85</v>
      </c>
      <c r="K32" cm="1">
        <f t="array" ref="K32">STOWA2019_NDJF_T(A32*60,J32,I32,"GL","center")</f>
        <v>1592.7142496716731</v>
      </c>
      <c r="L32">
        <f>1/K32</f>
        <v>6.2785901501549507E-4</v>
      </c>
    </row>
    <row r="33" spans="1:12" x14ac:dyDescent="0.3">
      <c r="A33">
        <v>48</v>
      </c>
      <c r="B33" s="1">
        <f>365.25*24/A33 - L33</f>
        <v>169.53236122368847</v>
      </c>
      <c r="C33">
        <f>B33</f>
        <v>169.53236122368847</v>
      </c>
      <c r="D33" t="s">
        <v>27</v>
      </c>
      <c r="E33" t="s">
        <v>19</v>
      </c>
      <c r="F33">
        <v>1</v>
      </c>
      <c r="G33">
        <v>10</v>
      </c>
      <c r="I33">
        <v>2050</v>
      </c>
      <c r="J33">
        <f>AVERAGE(G33:G35)</f>
        <v>15</v>
      </c>
      <c r="K33" cm="1">
        <f t="array" ref="K33">STOWA2019_NDJF_T(A33*60,J33,I33,"GL","center")</f>
        <v>7.6378797054211606E-2</v>
      </c>
      <c r="L33">
        <f>1/K33</f>
        <v>13.092638776311533</v>
      </c>
    </row>
    <row r="34" spans="1:12" x14ac:dyDescent="0.3">
      <c r="A34">
        <v>48</v>
      </c>
      <c r="B34">
        <f t="shared" ref="B34:B38" si="9">L33-L34</f>
        <v>3.8762108273135816</v>
      </c>
      <c r="C34">
        <f t="shared" ref="C34:C63" si="10">B34</f>
        <v>3.8762108273135816</v>
      </c>
      <c r="D34" t="s">
        <v>27</v>
      </c>
      <c r="E34" t="s">
        <v>19</v>
      </c>
      <c r="F34">
        <v>1</v>
      </c>
      <c r="G34">
        <f t="shared" ref="G34:G38" si="11">G33+5</f>
        <v>15</v>
      </c>
      <c r="I34">
        <v>2050</v>
      </c>
      <c r="J34">
        <f t="shared" ref="J34:J38" si="12">AVERAGE(G34:G35)</f>
        <v>17.5</v>
      </c>
      <c r="K34" cm="1">
        <f t="array" ref="K34">STOWA2019_NDJF_T(A34*60,J34,I34,"GL","center")</f>
        <v>0.10850190611089452</v>
      </c>
      <c r="L34">
        <f t="shared" ref="L34:L38" si="13">1/K34</f>
        <v>9.2164279489979517</v>
      </c>
    </row>
    <row r="35" spans="1:12" x14ac:dyDescent="0.3">
      <c r="A35">
        <v>48</v>
      </c>
      <c r="B35">
        <f t="shared" si="9"/>
        <v>4.5570025641475356</v>
      </c>
      <c r="C35">
        <f t="shared" si="10"/>
        <v>4.5570025641475356</v>
      </c>
      <c r="D35" t="s">
        <v>27</v>
      </c>
      <c r="E35" t="s">
        <v>19</v>
      </c>
      <c r="F35">
        <v>1</v>
      </c>
      <c r="G35">
        <f t="shared" si="11"/>
        <v>20</v>
      </c>
      <c r="I35">
        <v>2050</v>
      </c>
      <c r="J35">
        <f t="shared" si="12"/>
        <v>22.5</v>
      </c>
      <c r="K35" cm="1">
        <f t="array" ref="K35">STOWA2019_NDJF_T(A35*60,J35,I35,"GL","center")</f>
        <v>0.21461873887955896</v>
      </c>
      <c r="L35">
        <f t="shared" si="13"/>
        <v>4.6594253848504161</v>
      </c>
    </row>
    <row r="36" spans="1:12" x14ac:dyDescent="0.3">
      <c r="A36">
        <v>48</v>
      </c>
      <c r="B36">
        <f t="shared" si="9"/>
        <v>2.2438817399419246</v>
      </c>
      <c r="C36">
        <f t="shared" si="10"/>
        <v>2.2438817399419246</v>
      </c>
      <c r="D36" t="s">
        <v>27</v>
      </c>
      <c r="E36" t="s">
        <v>19</v>
      </c>
      <c r="F36">
        <v>1</v>
      </c>
      <c r="G36">
        <f t="shared" si="11"/>
        <v>25</v>
      </c>
      <c r="I36">
        <v>2050</v>
      </c>
      <c r="J36">
        <f t="shared" si="12"/>
        <v>27.5</v>
      </c>
      <c r="K36" cm="1">
        <f t="array" ref="K36">STOWA2019_NDJF_T(A36*60,J36,I36,"GL","center")</f>
        <v>0.41398548194639773</v>
      </c>
      <c r="L36">
        <f t="shared" si="13"/>
        <v>2.4155436449084915</v>
      </c>
    </row>
    <row r="37" spans="1:12" x14ac:dyDescent="0.3">
      <c r="A37">
        <v>48</v>
      </c>
      <c r="B37">
        <f t="shared" si="9"/>
        <v>1.1337705875192783</v>
      </c>
      <c r="C37">
        <f t="shared" si="10"/>
        <v>1.1337705875192783</v>
      </c>
      <c r="D37" t="s">
        <v>27</v>
      </c>
      <c r="E37" t="s">
        <v>19</v>
      </c>
      <c r="F37">
        <v>1</v>
      </c>
      <c r="G37">
        <f t="shared" si="11"/>
        <v>30</v>
      </c>
      <c r="I37">
        <v>2050</v>
      </c>
      <c r="J37">
        <f t="shared" si="12"/>
        <v>32.5</v>
      </c>
      <c r="K37" cm="1">
        <f t="array" ref="K37">STOWA2019_NDJF_T(A37*60,J37,I37,"GL","center")</f>
        <v>0.78016930862695433</v>
      </c>
      <c r="L37">
        <f t="shared" si="13"/>
        <v>1.2817730573892132</v>
      </c>
    </row>
    <row r="38" spans="1:12" x14ac:dyDescent="0.3">
      <c r="A38">
        <v>48</v>
      </c>
      <c r="B38">
        <f t="shared" si="9"/>
        <v>0.58657709352498622</v>
      </c>
      <c r="C38">
        <f t="shared" si="10"/>
        <v>0.58657709352498622</v>
      </c>
      <c r="D38" t="s">
        <v>27</v>
      </c>
      <c r="E38" t="s">
        <v>19</v>
      </c>
      <c r="F38">
        <v>1</v>
      </c>
      <c r="G38">
        <f t="shared" si="11"/>
        <v>35</v>
      </c>
      <c r="I38">
        <v>2050</v>
      </c>
      <c r="J38">
        <f t="shared" si="12"/>
        <v>37.5</v>
      </c>
      <c r="K38" cm="1">
        <f t="array" ref="K38">STOWA2019_NDJF_T(A38*60,J38,I38,"GL","center")</f>
        <v>1.4384433339364175</v>
      </c>
      <c r="L38">
        <f t="shared" si="13"/>
        <v>0.695195963864227</v>
      </c>
    </row>
    <row r="39" spans="1:12" x14ac:dyDescent="0.3">
      <c r="A39">
        <v>48</v>
      </c>
      <c r="B39">
        <f>L38-L39</f>
        <v>0.31047275168473903</v>
      </c>
      <c r="C39">
        <f t="shared" si="10"/>
        <v>0.31047275168473903</v>
      </c>
      <c r="D39" t="s">
        <v>27</v>
      </c>
      <c r="E39" t="s">
        <v>19</v>
      </c>
      <c r="F39">
        <v>1</v>
      </c>
      <c r="G39">
        <f>G38+5</f>
        <v>40</v>
      </c>
      <c r="I39">
        <v>2050</v>
      </c>
      <c r="J39">
        <f>AVERAGE(G39:G40)</f>
        <v>42.5</v>
      </c>
      <c r="K39" cm="1">
        <f t="array" ref="K39">STOWA2019_NDJF_T(A39*60,J39,I39,"GL","center")</f>
        <v>2.599271289961735</v>
      </c>
      <c r="L39">
        <f>1/K39</f>
        <v>0.38472321217948796</v>
      </c>
    </row>
    <row r="40" spans="1:12" x14ac:dyDescent="0.3">
      <c r="A40">
        <v>48</v>
      </c>
      <c r="B40">
        <f t="shared" ref="B40:B62" si="14">L39-L40</f>
        <v>0.16773689140632106</v>
      </c>
      <c r="C40">
        <f t="shared" si="10"/>
        <v>0.16773689140632106</v>
      </c>
      <c r="D40" t="s">
        <v>27</v>
      </c>
      <c r="E40" t="s">
        <v>19</v>
      </c>
      <c r="F40">
        <v>1</v>
      </c>
      <c r="G40">
        <f t="shared" ref="G40:G63" si="15">G39+5</f>
        <v>45</v>
      </c>
      <c r="I40">
        <v>2050</v>
      </c>
      <c r="J40">
        <f t="shared" ref="J40:J62" si="16">AVERAGE(G40:G41)</f>
        <v>47.5</v>
      </c>
      <c r="K40" cm="1">
        <f t="array" ref="K40">STOWA2019_NDJF_T(A40*60,J40,I40,"GL","center")</f>
        <v>4.6085854464778899</v>
      </c>
      <c r="L40">
        <f t="shared" ref="L40:L62" si="17">1/K40</f>
        <v>0.2169863207731669</v>
      </c>
    </row>
    <row r="41" spans="1:12" x14ac:dyDescent="0.3">
      <c r="A41">
        <v>48</v>
      </c>
      <c r="B41">
        <f t="shared" si="14"/>
        <v>9.2406622347609477E-2</v>
      </c>
      <c r="C41">
        <f t="shared" si="10"/>
        <v>9.2406622347609477E-2</v>
      </c>
      <c r="D41" t="s">
        <v>27</v>
      </c>
      <c r="E41" t="s">
        <v>19</v>
      </c>
      <c r="F41">
        <v>1</v>
      </c>
      <c r="G41">
        <f t="shared" si="15"/>
        <v>50</v>
      </c>
      <c r="I41">
        <v>2050</v>
      </c>
      <c r="J41">
        <f t="shared" si="16"/>
        <v>52.5</v>
      </c>
      <c r="K41" cm="1">
        <f t="array" ref="K41">STOWA2019_NDJF_T(A41*60,J41,I41,"GL","center")</f>
        <v>8.0269900524566591</v>
      </c>
      <c r="L41">
        <f t="shared" si="17"/>
        <v>0.12457969842555743</v>
      </c>
    </row>
    <row r="42" spans="1:12" x14ac:dyDescent="0.3">
      <c r="A42">
        <v>48</v>
      </c>
      <c r="B42">
        <f t="shared" si="14"/>
        <v>5.1848127974420247E-2</v>
      </c>
      <c r="C42">
        <f t="shared" si="10"/>
        <v>5.1848127974420247E-2</v>
      </c>
      <c r="D42" t="s">
        <v>27</v>
      </c>
      <c r="E42" t="s">
        <v>19</v>
      </c>
      <c r="F42">
        <v>1</v>
      </c>
      <c r="G42">
        <f t="shared" si="15"/>
        <v>55</v>
      </c>
      <c r="I42">
        <v>2050</v>
      </c>
      <c r="J42">
        <f t="shared" si="16"/>
        <v>57.5</v>
      </c>
      <c r="K42" cm="1">
        <f t="array" ref="K42">STOWA2019_NDJF_T(A42*60,J42,I42,"GL","center")</f>
        <v>13.749187509594945</v>
      </c>
      <c r="L42">
        <f t="shared" si="17"/>
        <v>7.2731570451137179E-2</v>
      </c>
    </row>
    <row r="43" spans="1:12" x14ac:dyDescent="0.3">
      <c r="A43">
        <v>48</v>
      </c>
      <c r="B43">
        <f t="shared" si="14"/>
        <v>2.9595516031890222E-2</v>
      </c>
      <c r="C43">
        <f t="shared" si="10"/>
        <v>2.9595516031890222E-2</v>
      </c>
      <c r="D43" t="s">
        <v>27</v>
      </c>
      <c r="E43" t="s">
        <v>19</v>
      </c>
      <c r="F43">
        <v>1</v>
      </c>
      <c r="G43">
        <f t="shared" si="15"/>
        <v>60</v>
      </c>
      <c r="I43">
        <v>2050</v>
      </c>
      <c r="J43">
        <f t="shared" si="16"/>
        <v>62.5</v>
      </c>
      <c r="K43" cm="1">
        <f t="array" ref="K43">STOWA2019_NDJF_T(A43*60,J43,I43,"GL","center")</f>
        <v>23.182463335214269</v>
      </c>
      <c r="L43">
        <f t="shared" si="17"/>
        <v>4.3136054419246957E-2</v>
      </c>
    </row>
    <row r="44" spans="1:12" x14ac:dyDescent="0.3">
      <c r="A44">
        <v>48</v>
      </c>
      <c r="B44">
        <f t="shared" si="14"/>
        <v>1.7170301031352357E-2</v>
      </c>
      <c r="C44">
        <f t="shared" si="10"/>
        <v>1.7170301031352357E-2</v>
      </c>
      <c r="D44" t="s">
        <v>27</v>
      </c>
      <c r="E44" t="s">
        <v>19</v>
      </c>
      <c r="F44">
        <v>1</v>
      </c>
      <c r="G44">
        <f t="shared" si="15"/>
        <v>65</v>
      </c>
      <c r="I44">
        <v>2050</v>
      </c>
      <c r="J44">
        <f t="shared" si="16"/>
        <v>67.5</v>
      </c>
      <c r="K44" cm="1">
        <f t="array" ref="K44">STOWA2019_NDJF_T(A44*60,J44,I44,"GL","center")</f>
        <v>38.512265947430834</v>
      </c>
      <c r="L44">
        <f t="shared" si="17"/>
        <v>2.59657533878946E-2</v>
      </c>
    </row>
    <row r="45" spans="1:12" x14ac:dyDescent="0.3">
      <c r="A45">
        <v>48</v>
      </c>
      <c r="B45">
        <f t="shared" si="14"/>
        <v>1.0114699038953092E-2</v>
      </c>
      <c r="C45">
        <f t="shared" si="10"/>
        <v>1.0114699038953092E-2</v>
      </c>
      <c r="D45" t="s">
        <v>27</v>
      </c>
      <c r="E45" t="s">
        <v>19</v>
      </c>
      <c r="F45">
        <v>1</v>
      </c>
      <c r="G45">
        <f t="shared" si="15"/>
        <v>70</v>
      </c>
      <c r="I45">
        <v>2050</v>
      </c>
      <c r="J45">
        <f t="shared" si="16"/>
        <v>72.5</v>
      </c>
      <c r="K45" cm="1">
        <f t="array" ref="K45">STOWA2019_NDJF_T(A45*60,J45,I45,"GL","center")</f>
        <v>63.087286055944752</v>
      </c>
      <c r="L45">
        <f t="shared" si="17"/>
        <v>1.5851054348941507E-2</v>
      </c>
    </row>
    <row r="46" spans="1:12" x14ac:dyDescent="0.3">
      <c r="A46">
        <v>48</v>
      </c>
      <c r="B46">
        <f t="shared" si="14"/>
        <v>6.0453308735276476E-3</v>
      </c>
      <c r="C46">
        <f t="shared" si="10"/>
        <v>6.0453308735276476E-3</v>
      </c>
      <c r="D46" t="s">
        <v>27</v>
      </c>
      <c r="E46" t="s">
        <v>19</v>
      </c>
      <c r="F46">
        <v>1</v>
      </c>
      <c r="G46">
        <f t="shared" si="15"/>
        <v>75</v>
      </c>
      <c r="I46">
        <v>2050</v>
      </c>
      <c r="J46">
        <f t="shared" si="16"/>
        <v>77.5</v>
      </c>
      <c r="K46" cm="1">
        <f t="array" ref="K46">STOWA2019_NDJF_T(A46*60,J46,I46,"GL","center")</f>
        <v>101.98125640676341</v>
      </c>
      <c r="L46">
        <f t="shared" si="17"/>
        <v>9.8057234754138599E-3</v>
      </c>
    </row>
    <row r="47" spans="1:12" x14ac:dyDescent="0.3">
      <c r="A47">
        <v>48</v>
      </c>
      <c r="B47">
        <f t="shared" si="14"/>
        <v>3.6629078481182588E-3</v>
      </c>
      <c r="C47">
        <f t="shared" si="10"/>
        <v>3.6629078481182588E-3</v>
      </c>
      <c r="D47" t="s">
        <v>27</v>
      </c>
      <c r="E47" t="s">
        <v>19</v>
      </c>
      <c r="F47">
        <v>1</v>
      </c>
      <c r="G47">
        <f t="shared" si="15"/>
        <v>80</v>
      </c>
      <c r="I47">
        <v>2050</v>
      </c>
      <c r="J47">
        <f t="shared" si="16"/>
        <v>82.5</v>
      </c>
      <c r="K47" cm="1">
        <f t="array" ref="K47">STOWA2019_NDJF_T(A47*60,J47,I47,"GL","center")</f>
        <v>162.79179787791449</v>
      </c>
      <c r="L47">
        <f t="shared" si="17"/>
        <v>6.1428156272956011E-3</v>
      </c>
    </row>
    <row r="48" spans="1:12" x14ac:dyDescent="0.3">
      <c r="A48">
        <v>48</v>
      </c>
      <c r="B48">
        <f t="shared" si="14"/>
        <v>2.2484669329153025E-3</v>
      </c>
      <c r="C48">
        <f t="shared" si="10"/>
        <v>2.2484669329153025E-3</v>
      </c>
      <c r="D48" t="s">
        <v>27</v>
      </c>
      <c r="E48" t="s">
        <v>19</v>
      </c>
      <c r="F48">
        <v>1</v>
      </c>
      <c r="G48">
        <f t="shared" si="15"/>
        <v>85</v>
      </c>
      <c r="I48">
        <v>2050</v>
      </c>
      <c r="J48">
        <f t="shared" si="16"/>
        <v>87.5</v>
      </c>
      <c r="K48" cm="1">
        <f t="array" ref="K48">STOWA2019_NDJF_T(A48*60,J48,I48,"GL","center")</f>
        <v>256.78234757022148</v>
      </c>
      <c r="L48">
        <f t="shared" si="17"/>
        <v>3.8943486943802987E-3</v>
      </c>
    </row>
    <row r="49" spans="1:12" x14ac:dyDescent="0.3">
      <c r="A49">
        <v>48</v>
      </c>
      <c r="B49">
        <f t="shared" si="14"/>
        <v>1.3972737295824319E-3</v>
      </c>
      <c r="C49">
        <f t="shared" si="10"/>
        <v>1.3972737295824319E-3</v>
      </c>
      <c r="D49" t="s">
        <v>27</v>
      </c>
      <c r="E49" t="s">
        <v>19</v>
      </c>
      <c r="F49">
        <v>1</v>
      </c>
      <c r="G49">
        <f t="shared" si="15"/>
        <v>90</v>
      </c>
      <c r="I49">
        <v>2050</v>
      </c>
      <c r="J49">
        <f t="shared" si="16"/>
        <v>92.5</v>
      </c>
      <c r="K49" cm="1">
        <f t="array" ref="K49">STOWA2019_NDJF_T(A49*60,J49,I49,"GL","center")</f>
        <v>400.46855384693987</v>
      </c>
      <c r="L49">
        <f t="shared" si="17"/>
        <v>2.4970749647978668E-3</v>
      </c>
    </row>
    <row r="50" spans="1:12" x14ac:dyDescent="0.3">
      <c r="A50">
        <v>48</v>
      </c>
      <c r="B50">
        <f t="shared" si="14"/>
        <v>8.7856780080037135E-4</v>
      </c>
      <c r="C50">
        <f t="shared" si="10"/>
        <v>8.7856780080037135E-4</v>
      </c>
      <c r="D50" t="s">
        <v>27</v>
      </c>
      <c r="E50" t="s">
        <v>19</v>
      </c>
      <c r="F50">
        <v>1</v>
      </c>
      <c r="G50">
        <f t="shared" si="15"/>
        <v>95</v>
      </c>
      <c r="I50">
        <v>2050</v>
      </c>
      <c r="J50">
        <f t="shared" si="16"/>
        <v>97.5</v>
      </c>
      <c r="K50" cm="1">
        <f t="array" ref="K50">STOWA2019_NDJF_T(A50*60,J50,I50,"GL","center")</f>
        <v>617.85330472689054</v>
      </c>
      <c r="L50">
        <f t="shared" si="17"/>
        <v>1.6185071639974954E-3</v>
      </c>
    </row>
    <row r="51" spans="1:12" x14ac:dyDescent="0.3">
      <c r="A51">
        <v>48</v>
      </c>
      <c r="B51">
        <f t="shared" si="14"/>
        <v>5.5862286886346289E-4</v>
      </c>
      <c r="C51">
        <f t="shared" si="10"/>
        <v>5.5862286886346289E-4</v>
      </c>
      <c r="D51" t="s">
        <v>27</v>
      </c>
      <c r="E51" t="s">
        <v>19</v>
      </c>
      <c r="F51">
        <v>1</v>
      </c>
      <c r="G51">
        <f t="shared" si="15"/>
        <v>100</v>
      </c>
      <c r="I51">
        <v>2050</v>
      </c>
      <c r="J51">
        <f t="shared" si="16"/>
        <v>102.5</v>
      </c>
      <c r="K51" cm="1">
        <f t="array" ref="K51">STOWA2019_NDJF_T(A51*60,J51,I51,"GL","center")</f>
        <v>943.49921457562539</v>
      </c>
      <c r="L51">
        <f t="shared" si="17"/>
        <v>1.0598842951340325E-3</v>
      </c>
    </row>
    <row r="52" spans="1:12" x14ac:dyDescent="0.3">
      <c r="A52">
        <v>48</v>
      </c>
      <c r="B52">
        <f t="shared" si="14"/>
        <v>3.5897284200463446E-4</v>
      </c>
      <c r="C52">
        <f t="shared" si="10"/>
        <v>3.5897284200463446E-4</v>
      </c>
      <c r="D52" t="s">
        <v>27</v>
      </c>
      <c r="E52" t="s">
        <v>19</v>
      </c>
      <c r="F52">
        <v>1</v>
      </c>
      <c r="G52">
        <f t="shared" si="15"/>
        <v>105</v>
      </c>
      <c r="I52">
        <v>2050</v>
      </c>
      <c r="J52">
        <f t="shared" si="16"/>
        <v>107.5</v>
      </c>
      <c r="K52" cm="1">
        <f t="array" ref="K52">STOWA2019_NDJF_T(A52*60,J52,I52,"GL","center")</f>
        <v>1426.7137389969087</v>
      </c>
      <c r="L52">
        <f t="shared" si="17"/>
        <v>7.0091145312939807E-4</v>
      </c>
    </row>
    <row r="53" spans="1:12" x14ac:dyDescent="0.3">
      <c r="A53">
        <v>48</v>
      </c>
      <c r="B53">
        <f t="shared" si="14"/>
        <v>2.3303021136403208E-4</v>
      </c>
      <c r="C53">
        <f t="shared" si="10"/>
        <v>2.3303021136403208E-4</v>
      </c>
      <c r="D53" t="s">
        <v>27</v>
      </c>
      <c r="E53" t="s">
        <v>19</v>
      </c>
      <c r="F53">
        <v>1</v>
      </c>
      <c r="G53">
        <f t="shared" si="15"/>
        <v>110</v>
      </c>
      <c r="I53">
        <v>2050</v>
      </c>
      <c r="J53">
        <f t="shared" si="16"/>
        <v>112.5</v>
      </c>
      <c r="K53" cm="1">
        <f t="array" ref="K53">STOWA2019_NDJF_T(A53*60,J53,I53,"GL","center")</f>
        <v>2137.294490001123</v>
      </c>
      <c r="L53">
        <f t="shared" si="17"/>
        <v>4.6788124176536599E-4</v>
      </c>
    </row>
    <row r="54" spans="1:12" x14ac:dyDescent="0.3">
      <c r="A54">
        <v>48</v>
      </c>
      <c r="B54">
        <f t="shared" si="14"/>
        <v>1.527512413838128E-4</v>
      </c>
      <c r="C54">
        <f t="shared" si="10"/>
        <v>1.527512413838128E-4</v>
      </c>
      <c r="D54" t="s">
        <v>27</v>
      </c>
      <c r="E54" t="s">
        <v>19</v>
      </c>
      <c r="F54">
        <v>1</v>
      </c>
      <c r="G54">
        <f t="shared" si="15"/>
        <v>115</v>
      </c>
      <c r="I54">
        <v>2050</v>
      </c>
      <c r="J54">
        <f t="shared" si="16"/>
        <v>117.5</v>
      </c>
      <c r="K54" cm="1">
        <f t="array" ref="K54">STOWA2019_NDJF_T(A54*60,J54,I54,"GL","center")</f>
        <v>3173.2935575452025</v>
      </c>
      <c r="L54">
        <f t="shared" si="17"/>
        <v>3.1513000038155319E-4</v>
      </c>
    </row>
    <row r="55" spans="1:12" x14ac:dyDescent="0.3">
      <c r="A55">
        <v>48</v>
      </c>
      <c r="B55">
        <f t="shared" si="14"/>
        <v>1.0105768376223327E-4</v>
      </c>
      <c r="C55">
        <f t="shared" si="10"/>
        <v>1.0105768376223327E-4</v>
      </c>
      <c r="D55" t="s">
        <v>27</v>
      </c>
      <c r="E55" t="s">
        <v>19</v>
      </c>
      <c r="F55">
        <v>1</v>
      </c>
      <c r="G55">
        <f t="shared" si="15"/>
        <v>120</v>
      </c>
      <c r="I55">
        <v>2050</v>
      </c>
      <c r="J55">
        <f t="shared" si="16"/>
        <v>122.5</v>
      </c>
      <c r="K55" cm="1">
        <f t="array" ref="K55">STOWA2019_NDJF_T(A55*60,J55,I55,"GL","center")</f>
        <v>4671.3186263045773</v>
      </c>
      <c r="L55">
        <f t="shared" si="17"/>
        <v>2.1407231661931992E-4</v>
      </c>
    </row>
    <row r="56" spans="1:12" x14ac:dyDescent="0.3">
      <c r="A56">
        <v>48</v>
      </c>
      <c r="B56">
        <f t="shared" si="14"/>
        <v>6.745234241729755E-5</v>
      </c>
      <c r="C56">
        <f t="shared" si="10"/>
        <v>6.745234241729755E-5</v>
      </c>
      <c r="D56" t="s">
        <v>27</v>
      </c>
      <c r="E56" t="s">
        <v>19</v>
      </c>
      <c r="F56">
        <v>1</v>
      </c>
      <c r="G56">
        <f t="shared" si="15"/>
        <v>125</v>
      </c>
      <c r="I56">
        <v>2050</v>
      </c>
      <c r="J56">
        <f t="shared" si="16"/>
        <v>127.5</v>
      </c>
      <c r="K56" cm="1">
        <f t="array" ref="K56">STOWA2019_NDJF_T(A56*60,J56,I56,"GL","center")</f>
        <v>6820.3531302095043</v>
      </c>
      <c r="L56">
        <f t="shared" si="17"/>
        <v>1.4661997420202237E-4</v>
      </c>
    </row>
    <row r="57" spans="1:12" x14ac:dyDescent="0.3">
      <c r="A57">
        <v>48</v>
      </c>
      <c r="B57">
        <f t="shared" si="14"/>
        <v>4.5407451508009617E-5</v>
      </c>
      <c r="C57">
        <f t="shared" si="10"/>
        <v>4.5407451508009617E-5</v>
      </c>
      <c r="D57" t="s">
        <v>27</v>
      </c>
      <c r="E57" t="s">
        <v>19</v>
      </c>
      <c r="F57">
        <v>1</v>
      </c>
      <c r="G57">
        <f t="shared" si="15"/>
        <v>130</v>
      </c>
      <c r="I57">
        <v>2050</v>
      </c>
      <c r="J57">
        <f t="shared" si="16"/>
        <v>132.5</v>
      </c>
      <c r="K57" cm="1">
        <f t="array" ref="K57">STOWA2019_NDJF_T(A57*60,J57,I57,"GL","center")</f>
        <v>9880.2003287993848</v>
      </c>
      <c r="L57">
        <f t="shared" si="17"/>
        <v>1.0121252269401275E-4</v>
      </c>
    </row>
    <row r="58" spans="1:12" x14ac:dyDescent="0.3">
      <c r="A58">
        <v>48</v>
      </c>
      <c r="B58">
        <f t="shared" si="14"/>
        <v>3.0816091138597318E-5</v>
      </c>
      <c r="C58">
        <f t="shared" si="10"/>
        <v>3.0816091138597318E-5</v>
      </c>
      <c r="D58" t="s">
        <v>27</v>
      </c>
      <c r="E58" t="s">
        <v>19</v>
      </c>
      <c r="F58">
        <v>1</v>
      </c>
      <c r="G58">
        <f t="shared" si="15"/>
        <v>135</v>
      </c>
      <c r="I58">
        <v>2050</v>
      </c>
      <c r="J58">
        <f t="shared" si="16"/>
        <v>137.5</v>
      </c>
      <c r="K58" cm="1">
        <f t="array" ref="K58">STOWA2019_NDJF_T(A58*60,J58,I58,"GL","center")</f>
        <v>14205.265492936373</v>
      </c>
      <c r="L58">
        <f t="shared" si="17"/>
        <v>7.0396431555415435E-5</v>
      </c>
    </row>
    <row r="59" spans="1:12" x14ac:dyDescent="0.3">
      <c r="A59">
        <v>48</v>
      </c>
      <c r="B59">
        <f t="shared" si="14"/>
        <v>2.1078299724318312E-5</v>
      </c>
      <c r="C59">
        <f t="shared" si="10"/>
        <v>2.1078299724318312E-5</v>
      </c>
      <c r="D59" t="s">
        <v>27</v>
      </c>
      <c r="E59" t="s">
        <v>19</v>
      </c>
      <c r="F59">
        <v>1</v>
      </c>
      <c r="G59">
        <f t="shared" si="15"/>
        <v>140</v>
      </c>
      <c r="I59">
        <v>2050</v>
      </c>
      <c r="J59">
        <f t="shared" si="16"/>
        <v>142.5</v>
      </c>
      <c r="K59" cm="1">
        <f t="array" ref="K59">STOWA2019_NDJF_T(A59*60,J59,I59,"GL","center")</f>
        <v>20276.518247381355</v>
      </c>
      <c r="L59">
        <f t="shared" si="17"/>
        <v>4.9318131831097123E-5</v>
      </c>
    </row>
    <row r="60" spans="1:12" x14ac:dyDescent="0.3">
      <c r="A60">
        <v>48</v>
      </c>
      <c r="B60">
        <f t="shared" si="14"/>
        <v>1.4525725404435909E-5</v>
      </c>
      <c r="C60">
        <f t="shared" si="10"/>
        <v>1.4525725404435909E-5</v>
      </c>
      <c r="D60" t="s">
        <v>27</v>
      </c>
      <c r="E60" t="s">
        <v>19</v>
      </c>
      <c r="F60">
        <v>1</v>
      </c>
      <c r="G60">
        <f t="shared" si="15"/>
        <v>145</v>
      </c>
      <c r="I60">
        <v>2050</v>
      </c>
      <c r="J60">
        <f t="shared" si="16"/>
        <v>147.5</v>
      </c>
      <c r="K60" cm="1">
        <f t="array" ref="K60">STOWA2019_NDJF_T(A60*60,J60,I60,"GL","center")</f>
        <v>28741.903843526787</v>
      </c>
      <c r="L60">
        <f t="shared" si="17"/>
        <v>3.4792406426661214E-5</v>
      </c>
    </row>
    <row r="61" spans="1:12" x14ac:dyDescent="0.3">
      <c r="A61">
        <v>48</v>
      </c>
      <c r="B61">
        <f t="shared" si="14"/>
        <v>1.008279351794176E-5</v>
      </c>
      <c r="C61">
        <f t="shared" si="10"/>
        <v>1.008279351794176E-5</v>
      </c>
      <c r="D61" t="s">
        <v>27</v>
      </c>
      <c r="E61" t="s">
        <v>19</v>
      </c>
      <c r="F61">
        <v>1</v>
      </c>
      <c r="G61">
        <f t="shared" si="15"/>
        <v>150</v>
      </c>
      <c r="I61">
        <v>2050</v>
      </c>
      <c r="J61">
        <f t="shared" si="16"/>
        <v>152.5</v>
      </c>
      <c r="K61" cm="1">
        <f t="array" ref="K61">STOWA2019_NDJF_T(A61*60,J61,I61,"GL","center")</f>
        <v>40470.079547345842</v>
      </c>
      <c r="L61">
        <f t="shared" si="17"/>
        <v>2.4709612908719454E-5</v>
      </c>
    </row>
    <row r="62" spans="1:12" x14ac:dyDescent="0.3">
      <c r="A62">
        <v>48</v>
      </c>
      <c r="B62">
        <f t="shared" si="14"/>
        <v>7.0475329802209135E-6</v>
      </c>
      <c r="C62">
        <f t="shared" si="10"/>
        <v>7.0475329802209135E-6</v>
      </c>
      <c r="D62" t="s">
        <v>27</v>
      </c>
      <c r="E62" t="s">
        <v>19</v>
      </c>
      <c r="F62">
        <v>1</v>
      </c>
      <c r="G62">
        <f t="shared" si="15"/>
        <v>155</v>
      </c>
      <c r="I62">
        <v>2050</v>
      </c>
      <c r="J62">
        <f t="shared" si="16"/>
        <v>157.5</v>
      </c>
      <c r="K62" cm="1">
        <f t="array" ref="K62">STOWA2019_NDJF_T(A62*60,J62,I62,"GL","center")</f>
        <v>56618.473251638738</v>
      </c>
      <c r="L62">
        <f t="shared" si="17"/>
        <v>1.7662079928498541E-5</v>
      </c>
    </row>
    <row r="63" spans="1:12" x14ac:dyDescent="0.3">
      <c r="A63">
        <v>48</v>
      </c>
      <c r="B63" s="1">
        <f>L62</f>
        <v>1.7662079928498541E-5</v>
      </c>
      <c r="C63">
        <f t="shared" si="10"/>
        <v>1.7662079928498541E-5</v>
      </c>
      <c r="D63" t="s">
        <v>27</v>
      </c>
      <c r="E63" t="s">
        <v>19</v>
      </c>
      <c r="F63">
        <v>1</v>
      </c>
      <c r="G63">
        <f t="shared" si="15"/>
        <v>160</v>
      </c>
      <c r="I63">
        <v>2050</v>
      </c>
      <c r="J63">
        <f>AVERAGE(G63:G64)</f>
        <v>85</v>
      </c>
      <c r="K63" cm="1">
        <f t="array" ref="K63">STOWA2019_NDJF_T(A63*60,J63,I63,"GL","center")</f>
        <v>204.75298229349028</v>
      </c>
      <c r="L63">
        <f>1/K63</f>
        <v>4.8839337468922087E-3</v>
      </c>
    </row>
    <row r="64" spans="1:12" x14ac:dyDescent="0.3">
      <c r="A64">
        <v>96</v>
      </c>
      <c r="B64" s="1">
        <f>365.25*24/A64 - L64</f>
        <v>71.532508772640597</v>
      </c>
      <c r="C64">
        <f>B64</f>
        <v>71.532508772640597</v>
      </c>
      <c r="D64" t="s">
        <v>27</v>
      </c>
      <c r="E64" t="s">
        <v>19</v>
      </c>
      <c r="F64">
        <v>1</v>
      </c>
      <c r="G64">
        <v>10</v>
      </c>
      <c r="I64">
        <v>2050</v>
      </c>
      <c r="J64">
        <f>AVERAGE(G64:G66)</f>
        <v>15</v>
      </c>
      <c r="K64" cm="1">
        <f t="array" ref="K64">STOWA2019_NDJF_T(A64*60,J64,I64,"GL","center")</f>
        <v>5.055613971237833E-2</v>
      </c>
      <c r="L64">
        <f>1/K64</f>
        <v>19.77999122735941</v>
      </c>
    </row>
    <row r="65" spans="1:12" x14ac:dyDescent="0.3">
      <c r="A65">
        <v>96</v>
      </c>
      <c r="B65">
        <f t="shared" ref="B65:B69" si="18">L64-L65</f>
        <v>4.2108304990618155</v>
      </c>
      <c r="C65">
        <f t="shared" ref="C65:C94" si="19">B65</f>
        <v>4.2108304990618155</v>
      </c>
      <c r="D65" t="s">
        <v>27</v>
      </c>
      <c r="E65" t="s">
        <v>19</v>
      </c>
      <c r="F65">
        <v>1</v>
      </c>
      <c r="G65">
        <f t="shared" ref="G65:G69" si="20">G64+5</f>
        <v>15</v>
      </c>
      <c r="I65">
        <v>2050</v>
      </c>
      <c r="J65">
        <f t="shared" ref="J65:J69" si="21">AVERAGE(G65:G66)</f>
        <v>17.5</v>
      </c>
      <c r="K65" cm="1">
        <f t="array" ref="K65">STOWA2019_NDJF_T(A65*60,J65,I65,"GL","center")</f>
        <v>6.4229537959773167E-2</v>
      </c>
      <c r="L65">
        <f t="shared" ref="L65:L69" si="22">1/K65</f>
        <v>15.569160728297595</v>
      </c>
    </row>
    <row r="66" spans="1:12" x14ac:dyDescent="0.3">
      <c r="A66">
        <v>96</v>
      </c>
      <c r="B66">
        <f t="shared" si="18"/>
        <v>5.886872884092714</v>
      </c>
      <c r="C66">
        <f t="shared" si="19"/>
        <v>5.886872884092714</v>
      </c>
      <c r="D66" t="s">
        <v>27</v>
      </c>
      <c r="E66" t="s">
        <v>19</v>
      </c>
      <c r="F66">
        <v>1</v>
      </c>
      <c r="G66">
        <f t="shared" si="20"/>
        <v>20</v>
      </c>
      <c r="I66">
        <v>2050</v>
      </c>
      <c r="J66">
        <f t="shared" si="21"/>
        <v>22.5</v>
      </c>
      <c r="K66" cm="1">
        <f t="array" ref="K66">STOWA2019_NDJF_T(A66*60,J66,I66,"GL","center")</f>
        <v>0.10328137482491061</v>
      </c>
      <c r="L66">
        <f t="shared" si="22"/>
        <v>9.6822878442048808</v>
      </c>
    </row>
    <row r="67" spans="1:12" x14ac:dyDescent="0.3">
      <c r="A67">
        <v>96</v>
      </c>
      <c r="B67">
        <f t="shared" si="18"/>
        <v>3.6313558870179659</v>
      </c>
      <c r="C67">
        <f t="shared" si="19"/>
        <v>3.6313558870179659</v>
      </c>
      <c r="D67" t="s">
        <v>27</v>
      </c>
      <c r="E67" t="s">
        <v>19</v>
      </c>
      <c r="F67">
        <v>1</v>
      </c>
      <c r="G67">
        <f t="shared" si="20"/>
        <v>25</v>
      </c>
      <c r="I67">
        <v>2050</v>
      </c>
      <c r="J67">
        <f t="shared" si="21"/>
        <v>27.5</v>
      </c>
      <c r="K67" cm="1">
        <f t="array" ref="K67">STOWA2019_NDJF_T(A67*60,J67,I67,"GL","center")</f>
        <v>0.16526379854796799</v>
      </c>
      <c r="L67">
        <f t="shared" si="22"/>
        <v>6.0509319571869149</v>
      </c>
    </row>
    <row r="68" spans="1:12" x14ac:dyDescent="0.3">
      <c r="A68">
        <v>96</v>
      </c>
      <c r="B68">
        <f t="shared" si="18"/>
        <v>2.2511897182389737</v>
      </c>
      <c r="C68">
        <f t="shared" si="19"/>
        <v>2.2511897182389737</v>
      </c>
      <c r="D68" t="s">
        <v>27</v>
      </c>
      <c r="E68" t="s">
        <v>19</v>
      </c>
      <c r="F68">
        <v>1</v>
      </c>
      <c r="G68">
        <f t="shared" si="20"/>
        <v>30</v>
      </c>
      <c r="I68">
        <v>2050</v>
      </c>
      <c r="J68">
        <f t="shared" si="21"/>
        <v>32.5</v>
      </c>
      <c r="K68" cm="1">
        <f t="array" ref="K68">STOWA2019_NDJF_T(A68*60,J68,I68,"GL","center")</f>
        <v>0.26317574643612573</v>
      </c>
      <c r="L68">
        <f t="shared" si="22"/>
        <v>3.7997422389479412</v>
      </c>
    </row>
    <row r="69" spans="1:12" x14ac:dyDescent="0.3">
      <c r="A69">
        <v>96</v>
      </c>
      <c r="B69">
        <f t="shared" si="18"/>
        <v>1.4023581651255532</v>
      </c>
      <c r="C69">
        <f t="shared" si="19"/>
        <v>1.4023581651255532</v>
      </c>
      <c r="D69" t="s">
        <v>27</v>
      </c>
      <c r="E69" t="s">
        <v>19</v>
      </c>
      <c r="F69">
        <v>1</v>
      </c>
      <c r="G69">
        <f t="shared" si="20"/>
        <v>35</v>
      </c>
      <c r="I69">
        <v>2050</v>
      </c>
      <c r="J69">
        <f t="shared" si="21"/>
        <v>37.5</v>
      </c>
      <c r="K69" cm="1">
        <f t="array" ref="K69">STOWA2019_NDJF_T(A69*60,J69,I69,"GL","center")</f>
        <v>0.41712131607081238</v>
      </c>
      <c r="L69">
        <f t="shared" si="22"/>
        <v>2.3973840738223879</v>
      </c>
    </row>
    <row r="70" spans="1:12" x14ac:dyDescent="0.3">
      <c r="A70">
        <v>96</v>
      </c>
      <c r="B70">
        <f>L69-L70</f>
        <v>0.87779891352240691</v>
      </c>
      <c r="C70">
        <f t="shared" si="19"/>
        <v>0.87779891352240691</v>
      </c>
      <c r="D70" t="s">
        <v>27</v>
      </c>
      <c r="E70" t="s">
        <v>19</v>
      </c>
      <c r="F70">
        <v>1</v>
      </c>
      <c r="G70">
        <f>G69+5</f>
        <v>40</v>
      </c>
      <c r="I70">
        <v>2050</v>
      </c>
      <c r="J70">
        <f>AVERAGE(G70:G71)</f>
        <v>42.5</v>
      </c>
      <c r="K70" cm="1">
        <f t="array" ref="K70">STOWA2019_NDJF_T(A70*60,J70,I70,"GL","center")</f>
        <v>0.65807433905355472</v>
      </c>
      <c r="L70">
        <f>1/K70</f>
        <v>1.519585160299981</v>
      </c>
    </row>
    <row r="71" spans="1:12" x14ac:dyDescent="0.3">
      <c r="A71">
        <v>96</v>
      </c>
      <c r="B71">
        <f t="shared" ref="B71:B93" si="23">L70-L71</f>
        <v>0.5519371884797003</v>
      </c>
      <c r="C71">
        <f t="shared" si="19"/>
        <v>0.5519371884797003</v>
      </c>
      <c r="D71" t="s">
        <v>27</v>
      </c>
      <c r="E71" t="s">
        <v>19</v>
      </c>
      <c r="F71">
        <v>1</v>
      </c>
      <c r="G71">
        <f t="shared" ref="G71:G94" si="24">G70+5</f>
        <v>45</v>
      </c>
      <c r="I71">
        <v>2050</v>
      </c>
      <c r="J71">
        <f t="shared" ref="J71:J93" si="25">AVERAGE(G71:G72)</f>
        <v>47.5</v>
      </c>
      <c r="K71" cm="1">
        <f t="array" ref="K71">STOWA2019_NDJF_T(A71*60,J71,I71,"GL","center")</f>
        <v>1.0334336753880242</v>
      </c>
      <c r="L71">
        <f t="shared" ref="L71:L93" si="26">1/K71</f>
        <v>0.96764797182028073</v>
      </c>
    </row>
    <row r="72" spans="1:12" x14ac:dyDescent="0.3">
      <c r="A72">
        <v>96</v>
      </c>
      <c r="B72">
        <f t="shared" si="23"/>
        <v>0.34877048752328033</v>
      </c>
      <c r="C72">
        <f t="shared" si="19"/>
        <v>0.34877048752328033</v>
      </c>
      <c r="D72" t="s">
        <v>27</v>
      </c>
      <c r="E72" t="s">
        <v>19</v>
      </c>
      <c r="F72">
        <v>1</v>
      </c>
      <c r="G72">
        <f t="shared" si="24"/>
        <v>50</v>
      </c>
      <c r="I72">
        <v>2050</v>
      </c>
      <c r="J72">
        <f t="shared" si="25"/>
        <v>52.5</v>
      </c>
      <c r="K72" cm="1">
        <f t="array" ref="K72">STOWA2019_NDJF_T(A72*60,J72,I72,"GL","center")</f>
        <v>1.6158286985281536</v>
      </c>
      <c r="L72">
        <f t="shared" si="26"/>
        <v>0.6188774842970004</v>
      </c>
    </row>
    <row r="73" spans="1:12" x14ac:dyDescent="0.3">
      <c r="A73">
        <v>96</v>
      </c>
      <c r="B73">
        <f t="shared" si="23"/>
        <v>0.2213370012368423</v>
      </c>
      <c r="C73">
        <f t="shared" si="19"/>
        <v>0.2213370012368423</v>
      </c>
      <c r="D73" t="s">
        <v>27</v>
      </c>
      <c r="E73" t="s">
        <v>19</v>
      </c>
      <c r="F73">
        <v>1</v>
      </c>
      <c r="G73">
        <f t="shared" si="24"/>
        <v>55</v>
      </c>
      <c r="I73">
        <v>2050</v>
      </c>
      <c r="J73">
        <f t="shared" si="25"/>
        <v>57.5</v>
      </c>
      <c r="K73" cm="1">
        <f t="array" ref="K73">STOWA2019_NDJF_T(A73*60,J73,I73,"GL","center")</f>
        <v>2.5154670847664948</v>
      </c>
      <c r="L73">
        <f t="shared" si="26"/>
        <v>0.3975404830601581</v>
      </c>
    </row>
    <row r="74" spans="1:12" x14ac:dyDescent="0.3">
      <c r="A74">
        <v>96</v>
      </c>
      <c r="B74">
        <f t="shared" si="23"/>
        <v>0.14108480805760548</v>
      </c>
      <c r="C74">
        <f t="shared" si="19"/>
        <v>0.14108480805760548</v>
      </c>
      <c r="D74" t="s">
        <v>27</v>
      </c>
      <c r="E74" t="s">
        <v>19</v>
      </c>
      <c r="F74">
        <v>1</v>
      </c>
      <c r="G74">
        <f t="shared" si="24"/>
        <v>60</v>
      </c>
      <c r="I74">
        <v>2050</v>
      </c>
      <c r="J74">
        <f t="shared" si="25"/>
        <v>62.5</v>
      </c>
      <c r="K74" cm="1">
        <f t="array" ref="K74">STOWA2019_NDJF_T(A74*60,J74,I74,"GL","center")</f>
        <v>3.8993093055556152</v>
      </c>
      <c r="L74">
        <f t="shared" si="26"/>
        <v>0.25645567500255262</v>
      </c>
    </row>
    <row r="75" spans="1:12" x14ac:dyDescent="0.3">
      <c r="A75">
        <v>96</v>
      </c>
      <c r="B75">
        <f t="shared" si="23"/>
        <v>9.0321244973043668E-2</v>
      </c>
      <c r="C75">
        <f t="shared" si="19"/>
        <v>9.0321244973043668E-2</v>
      </c>
      <c r="D75" t="s">
        <v>27</v>
      </c>
      <c r="E75" t="s">
        <v>19</v>
      </c>
      <c r="F75">
        <v>1</v>
      </c>
      <c r="G75">
        <f t="shared" si="24"/>
        <v>65</v>
      </c>
      <c r="I75">
        <v>2050</v>
      </c>
      <c r="J75">
        <f t="shared" si="25"/>
        <v>67.5</v>
      </c>
      <c r="K75" cm="1">
        <f t="array" ref="K75">STOWA2019_NDJF_T(A75*60,J75,I75,"GL","center")</f>
        <v>6.0192219025422906</v>
      </c>
      <c r="L75">
        <f t="shared" si="26"/>
        <v>0.16613443002950895</v>
      </c>
    </row>
    <row r="76" spans="1:12" x14ac:dyDescent="0.3">
      <c r="A76">
        <v>96</v>
      </c>
      <c r="B76">
        <f t="shared" si="23"/>
        <v>5.8068225124470491E-2</v>
      </c>
      <c r="C76">
        <f t="shared" si="19"/>
        <v>5.8068225124470491E-2</v>
      </c>
      <c r="D76" t="s">
        <v>27</v>
      </c>
      <c r="E76" t="s">
        <v>19</v>
      </c>
      <c r="F76">
        <v>1</v>
      </c>
      <c r="G76">
        <f t="shared" si="24"/>
        <v>70</v>
      </c>
      <c r="I76">
        <v>2050</v>
      </c>
      <c r="J76">
        <f t="shared" si="25"/>
        <v>72.5</v>
      </c>
      <c r="K76" cm="1">
        <f t="array" ref="K76">STOWA2019_NDJF_T(A76*60,J76,I76,"GL","center")</f>
        <v>9.2535867330469763</v>
      </c>
      <c r="L76">
        <f t="shared" si="26"/>
        <v>0.10806620490503846</v>
      </c>
    </row>
    <row r="77" spans="1:12" x14ac:dyDescent="0.3">
      <c r="A77">
        <v>96</v>
      </c>
      <c r="B77">
        <f t="shared" si="23"/>
        <v>3.7488078050614201E-2</v>
      </c>
      <c r="C77">
        <f t="shared" si="19"/>
        <v>3.7488078050614201E-2</v>
      </c>
      <c r="D77" t="s">
        <v>27</v>
      </c>
      <c r="E77" t="s">
        <v>19</v>
      </c>
      <c r="F77">
        <v>1</v>
      </c>
      <c r="G77">
        <f t="shared" si="24"/>
        <v>75</v>
      </c>
      <c r="I77">
        <v>2050</v>
      </c>
      <c r="J77">
        <f t="shared" si="25"/>
        <v>77.5</v>
      </c>
      <c r="K77" cm="1">
        <f t="array" ref="K77">STOWA2019_NDJF_T(A77*60,J77,I77,"GL","center")</f>
        <v>14.168695664913555</v>
      </c>
      <c r="L77">
        <f t="shared" si="26"/>
        <v>7.0578126854424258E-2</v>
      </c>
    </row>
    <row r="78" spans="1:12" x14ac:dyDescent="0.3">
      <c r="A78">
        <v>96</v>
      </c>
      <c r="B78">
        <f t="shared" si="23"/>
        <v>2.4300411914120357E-2</v>
      </c>
      <c r="C78">
        <f t="shared" si="19"/>
        <v>2.4300411914120357E-2</v>
      </c>
      <c r="D78" t="s">
        <v>27</v>
      </c>
      <c r="E78" t="s">
        <v>19</v>
      </c>
      <c r="F78">
        <v>1</v>
      </c>
      <c r="G78">
        <f t="shared" si="24"/>
        <v>80</v>
      </c>
      <c r="I78">
        <v>2050</v>
      </c>
      <c r="J78">
        <f t="shared" si="25"/>
        <v>82.5</v>
      </c>
      <c r="K78" cm="1">
        <f t="array" ref="K78">STOWA2019_NDJF_T(A78*60,J78,I78,"GL","center")</f>
        <v>21.608672798342646</v>
      </c>
      <c r="L78">
        <f t="shared" si="26"/>
        <v>4.6277714940303902E-2</v>
      </c>
    </row>
    <row r="79" spans="1:12" x14ac:dyDescent="0.3">
      <c r="A79">
        <v>96</v>
      </c>
      <c r="B79">
        <f t="shared" si="23"/>
        <v>1.5815905864105331E-2</v>
      </c>
      <c r="C79">
        <f t="shared" si="19"/>
        <v>1.5815905864105331E-2</v>
      </c>
      <c r="D79" t="s">
        <v>27</v>
      </c>
      <c r="E79" t="s">
        <v>19</v>
      </c>
      <c r="F79">
        <v>1</v>
      </c>
      <c r="G79">
        <f t="shared" si="24"/>
        <v>85</v>
      </c>
      <c r="I79">
        <v>2050</v>
      </c>
      <c r="J79">
        <f t="shared" si="25"/>
        <v>87.5</v>
      </c>
      <c r="K79" cm="1">
        <f t="array" ref="K79">STOWA2019_NDJF_T(A79*60,J79,I79,"GL","center")</f>
        <v>32.827991190495418</v>
      </c>
      <c r="L79">
        <f t="shared" si="26"/>
        <v>3.0461809076198571E-2</v>
      </c>
    </row>
    <row r="80" spans="1:12" x14ac:dyDescent="0.3">
      <c r="A80">
        <v>96</v>
      </c>
      <c r="B80">
        <f t="shared" si="23"/>
        <v>1.0333904789799963E-2</v>
      </c>
      <c r="C80">
        <f t="shared" si="19"/>
        <v>1.0333904789799963E-2</v>
      </c>
      <c r="D80" t="s">
        <v>27</v>
      </c>
      <c r="E80" t="s">
        <v>19</v>
      </c>
      <c r="F80">
        <v>1</v>
      </c>
      <c r="G80">
        <f t="shared" si="24"/>
        <v>90</v>
      </c>
      <c r="I80">
        <v>2050</v>
      </c>
      <c r="J80">
        <f t="shared" si="25"/>
        <v>92.5</v>
      </c>
      <c r="K80" cm="1">
        <f t="array" ref="K80">STOWA2019_NDJF_T(A80*60,J80,I80,"GL","center")</f>
        <v>49.682271227598598</v>
      </c>
      <c r="L80">
        <f t="shared" si="26"/>
        <v>2.0127904286398608E-2</v>
      </c>
    </row>
    <row r="81" spans="1:12" x14ac:dyDescent="0.3">
      <c r="A81">
        <v>96</v>
      </c>
      <c r="B81">
        <f t="shared" si="23"/>
        <v>6.7784545981642019E-3</v>
      </c>
      <c r="C81">
        <f t="shared" si="19"/>
        <v>6.7784545981642019E-3</v>
      </c>
      <c r="D81" t="s">
        <v>27</v>
      </c>
      <c r="E81" t="s">
        <v>19</v>
      </c>
      <c r="F81">
        <v>1</v>
      </c>
      <c r="G81">
        <f t="shared" si="24"/>
        <v>95</v>
      </c>
      <c r="I81">
        <v>2050</v>
      </c>
      <c r="J81">
        <f t="shared" si="25"/>
        <v>97.5</v>
      </c>
      <c r="K81" cm="1">
        <f t="array" ref="K81">STOWA2019_NDJF_T(A81*60,J81,I81,"GL","center")</f>
        <v>74.909454947896037</v>
      </c>
      <c r="L81">
        <f t="shared" si="26"/>
        <v>1.3349449688234406E-2</v>
      </c>
    </row>
    <row r="82" spans="1:12" x14ac:dyDescent="0.3">
      <c r="A82">
        <v>96</v>
      </c>
      <c r="B82">
        <f t="shared" si="23"/>
        <v>4.4630075232789251E-3</v>
      </c>
      <c r="C82">
        <f t="shared" si="19"/>
        <v>4.4630075232789251E-3</v>
      </c>
      <c r="D82" t="s">
        <v>27</v>
      </c>
      <c r="E82" t="s">
        <v>19</v>
      </c>
      <c r="F82">
        <v>1</v>
      </c>
      <c r="G82">
        <f t="shared" si="24"/>
        <v>100</v>
      </c>
      <c r="I82">
        <v>2050</v>
      </c>
      <c r="J82">
        <f t="shared" si="25"/>
        <v>102.5</v>
      </c>
      <c r="K82" cm="1">
        <f t="array" ref="K82">STOWA2019_NDJF_T(A82*60,J82,I82,"GL","center")</f>
        <v>112.53097487581633</v>
      </c>
      <c r="L82">
        <f t="shared" si="26"/>
        <v>8.8864421649554812E-3</v>
      </c>
    </row>
    <row r="83" spans="1:12" x14ac:dyDescent="0.3">
      <c r="A83">
        <v>96</v>
      </c>
      <c r="B83">
        <f t="shared" si="23"/>
        <v>2.9495318859426006E-3</v>
      </c>
      <c r="C83">
        <f t="shared" si="19"/>
        <v>2.9495318859426006E-3</v>
      </c>
      <c r="D83" t="s">
        <v>27</v>
      </c>
      <c r="E83" t="s">
        <v>19</v>
      </c>
      <c r="F83">
        <v>1</v>
      </c>
      <c r="G83">
        <f t="shared" si="24"/>
        <v>105</v>
      </c>
      <c r="I83">
        <v>2050</v>
      </c>
      <c r="J83">
        <f t="shared" si="25"/>
        <v>107.5</v>
      </c>
      <c r="K83" cm="1">
        <f t="array" ref="K83">STOWA2019_NDJF_T(A83*60,J83,I83,"GL","center")</f>
        <v>168.43778211286497</v>
      </c>
      <c r="L83">
        <f t="shared" si="26"/>
        <v>5.9369102790128806E-3</v>
      </c>
    </row>
    <row r="84" spans="1:12" x14ac:dyDescent="0.3">
      <c r="A84">
        <v>96</v>
      </c>
      <c r="B84">
        <f t="shared" si="23"/>
        <v>1.9564481120736667E-3</v>
      </c>
      <c r="C84">
        <f t="shared" si="19"/>
        <v>1.9564481120736667E-3</v>
      </c>
      <c r="D84" t="s">
        <v>27</v>
      </c>
      <c r="E84" t="s">
        <v>19</v>
      </c>
      <c r="F84">
        <v>1</v>
      </c>
      <c r="G84">
        <f t="shared" si="24"/>
        <v>110</v>
      </c>
      <c r="I84">
        <v>2050</v>
      </c>
      <c r="J84">
        <f t="shared" si="25"/>
        <v>112.5</v>
      </c>
      <c r="K84" cm="1">
        <f t="array" ref="K84">STOWA2019_NDJF_T(A84*60,J84,I84,"GL","center")</f>
        <v>251.22710832570289</v>
      </c>
      <c r="L84">
        <f t="shared" si="26"/>
        <v>3.9804621669392139E-3</v>
      </c>
    </row>
    <row r="85" spans="1:12" x14ac:dyDescent="0.3">
      <c r="A85">
        <v>96</v>
      </c>
      <c r="B85">
        <f t="shared" si="23"/>
        <v>1.3024032839267135E-3</v>
      </c>
      <c r="C85">
        <f t="shared" si="19"/>
        <v>1.3024032839267135E-3</v>
      </c>
      <c r="D85" t="s">
        <v>27</v>
      </c>
      <c r="E85" t="s">
        <v>19</v>
      </c>
      <c r="F85">
        <v>1</v>
      </c>
      <c r="G85">
        <f t="shared" si="24"/>
        <v>115</v>
      </c>
      <c r="I85">
        <v>2050</v>
      </c>
      <c r="J85">
        <f t="shared" si="25"/>
        <v>117.5</v>
      </c>
      <c r="K85" cm="1">
        <f t="array" ref="K85">STOWA2019_NDJF_T(A85*60,J85,I85,"GL","center")</f>
        <v>373.40478446654538</v>
      </c>
      <c r="L85">
        <f t="shared" si="26"/>
        <v>2.6780588830125004E-3</v>
      </c>
    </row>
    <row r="86" spans="1:12" x14ac:dyDescent="0.3">
      <c r="A86">
        <v>96</v>
      </c>
      <c r="B86">
        <f t="shared" si="23"/>
        <v>8.7007645651755966E-4</v>
      </c>
      <c r="C86">
        <f t="shared" si="19"/>
        <v>8.7007645651755966E-4</v>
      </c>
      <c r="D86" t="s">
        <v>27</v>
      </c>
      <c r="E86" t="s">
        <v>19</v>
      </c>
      <c r="F86">
        <v>1</v>
      </c>
      <c r="G86">
        <f t="shared" si="24"/>
        <v>120</v>
      </c>
      <c r="I86">
        <v>2050</v>
      </c>
      <c r="J86">
        <f t="shared" si="25"/>
        <v>122.5</v>
      </c>
      <c r="K86" cm="1">
        <f t="array" ref="K86">STOWA2019_NDJF_T(A86*60,J86,I86,"GL","center")</f>
        <v>553.10272121320213</v>
      </c>
      <c r="L86">
        <f t="shared" si="26"/>
        <v>1.8079824264949408E-3</v>
      </c>
    </row>
    <row r="87" spans="1:12" x14ac:dyDescent="0.3">
      <c r="A87">
        <v>96</v>
      </c>
      <c r="B87">
        <f t="shared" si="23"/>
        <v>5.8328084937508463E-4</v>
      </c>
      <c r="C87">
        <f t="shared" si="19"/>
        <v>5.8328084937508463E-4</v>
      </c>
      <c r="D87" t="s">
        <v>27</v>
      </c>
      <c r="E87" t="s">
        <v>19</v>
      </c>
      <c r="F87">
        <v>1</v>
      </c>
      <c r="G87">
        <f t="shared" si="24"/>
        <v>125</v>
      </c>
      <c r="I87">
        <v>2050</v>
      </c>
      <c r="J87">
        <f t="shared" si="25"/>
        <v>127.5</v>
      </c>
      <c r="K87" cm="1">
        <f t="array" ref="K87">STOWA2019_NDJF_T(A87*60,J87,I87,"GL","center")</f>
        <v>816.52544479587482</v>
      </c>
      <c r="L87">
        <f t="shared" si="26"/>
        <v>1.2247015771198562E-3</v>
      </c>
    </row>
    <row r="88" spans="1:12" x14ac:dyDescent="0.3">
      <c r="A88">
        <v>96</v>
      </c>
      <c r="B88">
        <f t="shared" si="23"/>
        <v>3.9235630993181714E-4</v>
      </c>
      <c r="C88">
        <f t="shared" si="19"/>
        <v>3.9235630993181714E-4</v>
      </c>
      <c r="D88" t="s">
        <v>27</v>
      </c>
      <c r="E88" t="s">
        <v>19</v>
      </c>
      <c r="F88">
        <v>1</v>
      </c>
      <c r="G88">
        <f t="shared" si="24"/>
        <v>130</v>
      </c>
      <c r="I88">
        <v>2050</v>
      </c>
      <c r="J88">
        <f t="shared" si="25"/>
        <v>132.5</v>
      </c>
      <c r="K88" cm="1">
        <f t="array" ref="K88">STOWA2019_NDJF_T(A88*60,J88,I88,"GL","center")</f>
        <v>1201.4245042545372</v>
      </c>
      <c r="L88">
        <f t="shared" si="26"/>
        <v>8.3234526718803901E-4</v>
      </c>
    </row>
    <row r="89" spans="1:12" x14ac:dyDescent="0.3">
      <c r="A89">
        <v>96</v>
      </c>
      <c r="B89">
        <f t="shared" si="23"/>
        <v>2.6481409677100618E-4</v>
      </c>
      <c r="C89">
        <f t="shared" si="19"/>
        <v>2.6481409677100618E-4</v>
      </c>
      <c r="D89" t="s">
        <v>27</v>
      </c>
      <c r="E89" t="s">
        <v>19</v>
      </c>
      <c r="F89">
        <v>1</v>
      </c>
      <c r="G89">
        <f t="shared" si="24"/>
        <v>135</v>
      </c>
      <c r="I89">
        <v>2050</v>
      </c>
      <c r="J89">
        <f t="shared" si="25"/>
        <v>137.5</v>
      </c>
      <c r="K89" cm="1">
        <f t="array" ref="K89">STOWA2019_NDJF_T(A89*60,J89,I89,"GL","center")</f>
        <v>1762.0177571307329</v>
      </c>
      <c r="L89">
        <f t="shared" si="26"/>
        <v>5.6753117041703283E-4</v>
      </c>
    </row>
    <row r="90" spans="1:12" x14ac:dyDescent="0.3">
      <c r="A90">
        <v>96</v>
      </c>
      <c r="B90">
        <f t="shared" si="23"/>
        <v>1.7932243892286999E-4</v>
      </c>
      <c r="C90">
        <f t="shared" si="19"/>
        <v>1.7932243892286999E-4</v>
      </c>
      <c r="D90" t="s">
        <v>27</v>
      </c>
      <c r="E90" t="s">
        <v>19</v>
      </c>
      <c r="F90">
        <v>1</v>
      </c>
      <c r="G90">
        <f t="shared" si="24"/>
        <v>140</v>
      </c>
      <c r="I90">
        <v>2050</v>
      </c>
      <c r="J90">
        <f t="shared" si="25"/>
        <v>142.5</v>
      </c>
      <c r="K90" cm="1">
        <f t="array" ref="K90">STOWA2019_NDJF_T(A90*60,J90,I90,"GL","center")</f>
        <v>2575.9338182609531</v>
      </c>
      <c r="L90">
        <f t="shared" si="26"/>
        <v>3.8820873149416284E-4</v>
      </c>
    </row>
    <row r="91" spans="1:12" x14ac:dyDescent="0.3">
      <c r="A91">
        <v>96</v>
      </c>
      <c r="B91">
        <f t="shared" si="23"/>
        <v>1.2182380415811717E-4</v>
      </c>
      <c r="C91">
        <f t="shared" si="19"/>
        <v>1.2182380415811717E-4</v>
      </c>
      <c r="D91" t="s">
        <v>27</v>
      </c>
      <c r="E91" t="s">
        <v>19</v>
      </c>
      <c r="F91">
        <v>1</v>
      </c>
      <c r="G91">
        <f t="shared" si="24"/>
        <v>145</v>
      </c>
      <c r="I91">
        <v>2050</v>
      </c>
      <c r="J91">
        <f t="shared" si="25"/>
        <v>147.5</v>
      </c>
      <c r="K91" cm="1">
        <f t="array" ref="K91">STOWA2019_NDJF_T(A91*60,J91,I91,"GL","center")</f>
        <v>3753.9661496631747</v>
      </c>
      <c r="L91">
        <f t="shared" si="26"/>
        <v>2.6638492733604567E-4</v>
      </c>
    </row>
    <row r="92" spans="1:12" x14ac:dyDescent="0.3">
      <c r="A92">
        <v>96</v>
      </c>
      <c r="B92">
        <f t="shared" si="23"/>
        <v>8.3028814803591072E-5</v>
      </c>
      <c r="C92">
        <f t="shared" si="19"/>
        <v>8.3028814803591072E-5</v>
      </c>
      <c r="D92" t="s">
        <v>27</v>
      </c>
      <c r="E92" t="s">
        <v>19</v>
      </c>
      <c r="F92">
        <v>1</v>
      </c>
      <c r="G92">
        <f t="shared" si="24"/>
        <v>150</v>
      </c>
      <c r="I92">
        <v>2050</v>
      </c>
      <c r="J92">
        <f t="shared" si="25"/>
        <v>152.5</v>
      </c>
      <c r="K92" cm="1">
        <f t="array" ref="K92">STOWA2019_NDJF_T(A92*60,J92,I92,"GL","center")</f>
        <v>5453.8678105045283</v>
      </c>
      <c r="L92">
        <f t="shared" si="26"/>
        <v>1.833561125324546E-4</v>
      </c>
    </row>
    <row r="93" spans="1:12" x14ac:dyDescent="0.3">
      <c r="A93">
        <v>96</v>
      </c>
      <c r="B93">
        <f t="shared" si="23"/>
        <v>5.6765012591886724E-5</v>
      </c>
      <c r="C93">
        <f t="shared" si="19"/>
        <v>5.6765012591886724E-5</v>
      </c>
      <c r="D93" t="s">
        <v>27</v>
      </c>
      <c r="E93" t="s">
        <v>19</v>
      </c>
      <c r="F93">
        <v>1</v>
      </c>
      <c r="G93">
        <f t="shared" si="24"/>
        <v>155</v>
      </c>
      <c r="I93">
        <v>2050</v>
      </c>
      <c r="J93">
        <f t="shared" si="25"/>
        <v>157.5</v>
      </c>
      <c r="K93" cm="1">
        <f t="array" ref="K93">STOWA2019_NDJF_T(A93*60,J93,I93,"GL","center")</f>
        <v>7899.4494910738667</v>
      </c>
      <c r="L93">
        <f t="shared" si="26"/>
        <v>1.2659109994056787E-4</v>
      </c>
    </row>
    <row r="94" spans="1:12" x14ac:dyDescent="0.3">
      <c r="A94">
        <v>96</v>
      </c>
      <c r="B94" s="1">
        <f>L93</f>
        <v>1.2659109994056787E-4</v>
      </c>
      <c r="C94">
        <f t="shared" si="19"/>
        <v>1.2659109994056787E-4</v>
      </c>
      <c r="D94" t="s">
        <v>27</v>
      </c>
      <c r="E94" t="s">
        <v>19</v>
      </c>
      <c r="F94">
        <v>1</v>
      </c>
      <c r="G94">
        <f t="shared" si="24"/>
        <v>160</v>
      </c>
      <c r="I94">
        <v>2050</v>
      </c>
      <c r="J94">
        <f>AVERAGE(G94:G95)</f>
        <v>85</v>
      </c>
      <c r="K94" cm="1">
        <f t="array" ref="K94">STOWA2019_NDJF_T(A94*60,J94,I94,"GL","center")</f>
        <v>26.646913916220491</v>
      </c>
      <c r="L94">
        <f>1/K94</f>
        <v>3.7527797895998784E-2</v>
      </c>
    </row>
    <row r="95" spans="1:12" x14ac:dyDescent="0.3">
      <c r="A95">
        <v>192</v>
      </c>
      <c r="B95" s="1">
        <f>365.25*24/A95 - L95</f>
        <v>24.626869124508485</v>
      </c>
      <c r="C95">
        <f>B95</f>
        <v>24.626869124508485</v>
      </c>
      <c r="D95" t="s">
        <v>27</v>
      </c>
      <c r="E95" t="s">
        <v>19</v>
      </c>
      <c r="F95">
        <v>1</v>
      </c>
      <c r="G95">
        <v>10</v>
      </c>
      <c r="I95">
        <v>2050</v>
      </c>
      <c r="J95">
        <f>AVERAGE(G95:G97)</f>
        <v>15</v>
      </c>
      <c r="K95" cm="1">
        <f t="array" ref="K95">STOWA2019_NDJF_T(A95*60,J95,I95,"GL","center")</f>
        <v>4.7552517400331083E-2</v>
      </c>
      <c r="L95">
        <f>1/K95</f>
        <v>21.029380875491515</v>
      </c>
    </row>
    <row r="96" spans="1:12" x14ac:dyDescent="0.3">
      <c r="A96">
        <v>192</v>
      </c>
      <c r="B96">
        <f t="shared" ref="B96:B100" si="27">L95-L96</f>
        <v>2.7590636113811158</v>
      </c>
      <c r="C96">
        <f t="shared" ref="C96:C125" si="28">B96</f>
        <v>2.7590636113811158</v>
      </c>
      <c r="D96" t="s">
        <v>27</v>
      </c>
      <c r="E96" t="s">
        <v>19</v>
      </c>
      <c r="F96">
        <v>1</v>
      </c>
      <c r="G96">
        <f t="shared" ref="G96:G100" si="29">G95+5</f>
        <v>15</v>
      </c>
      <c r="I96">
        <v>2050</v>
      </c>
      <c r="J96">
        <f t="shared" ref="J96:J100" si="30">AVERAGE(G96:G97)</f>
        <v>17.5</v>
      </c>
      <c r="K96" cm="1">
        <f t="array" ref="K96">STOWA2019_NDJF_T(A96*60,J96,I96,"GL","center")</f>
        <v>5.4733587027761502E-2</v>
      </c>
      <c r="L96">
        <f t="shared" ref="L96:L100" si="31">1/K96</f>
        <v>18.2703172641104</v>
      </c>
    </row>
    <row r="97" spans="1:12" x14ac:dyDescent="0.3">
      <c r="A97">
        <v>192</v>
      </c>
      <c r="B97">
        <f t="shared" si="27"/>
        <v>4.5177137847095494</v>
      </c>
      <c r="C97">
        <f t="shared" si="28"/>
        <v>4.5177137847095494</v>
      </c>
      <c r="D97" t="s">
        <v>27</v>
      </c>
      <c r="E97" t="s">
        <v>19</v>
      </c>
      <c r="F97">
        <v>1</v>
      </c>
      <c r="G97">
        <f t="shared" si="29"/>
        <v>20</v>
      </c>
      <c r="I97">
        <v>2050</v>
      </c>
      <c r="J97">
        <f t="shared" si="30"/>
        <v>22.5</v>
      </c>
      <c r="K97" cm="1">
        <f t="array" ref="K97">STOWA2019_NDJF_T(A97*60,J97,I97,"GL","center")</f>
        <v>7.2713504864576103E-2</v>
      </c>
      <c r="L97">
        <f t="shared" si="31"/>
        <v>13.75260347940085</v>
      </c>
    </row>
    <row r="98" spans="1:12" x14ac:dyDescent="0.3">
      <c r="A98">
        <v>192</v>
      </c>
      <c r="B98">
        <f t="shared" si="27"/>
        <v>3.4395014619959703</v>
      </c>
      <c r="C98">
        <f t="shared" si="28"/>
        <v>3.4395014619959703</v>
      </c>
      <c r="D98" t="s">
        <v>27</v>
      </c>
      <c r="E98" t="s">
        <v>19</v>
      </c>
      <c r="F98">
        <v>1</v>
      </c>
      <c r="G98">
        <f t="shared" si="29"/>
        <v>25</v>
      </c>
      <c r="I98">
        <v>2050</v>
      </c>
      <c r="J98">
        <f t="shared" si="30"/>
        <v>27.5</v>
      </c>
      <c r="K98" cm="1">
        <f t="array" ref="K98">STOWA2019_NDJF_T(A98*60,J98,I98,"GL","center")</f>
        <v>9.6964036456960528E-2</v>
      </c>
      <c r="L98">
        <f t="shared" si="31"/>
        <v>10.31310201740488</v>
      </c>
    </row>
    <row r="99" spans="1:12" x14ac:dyDescent="0.3">
      <c r="A99">
        <v>192</v>
      </c>
      <c r="B99">
        <f t="shared" si="27"/>
        <v>2.609104899963671</v>
      </c>
      <c r="C99">
        <f t="shared" si="28"/>
        <v>2.609104899963671</v>
      </c>
      <c r="D99" t="s">
        <v>27</v>
      </c>
      <c r="E99" t="s">
        <v>19</v>
      </c>
      <c r="F99">
        <v>1</v>
      </c>
      <c r="G99">
        <f t="shared" si="29"/>
        <v>30</v>
      </c>
      <c r="I99">
        <v>2050</v>
      </c>
      <c r="J99">
        <f t="shared" si="30"/>
        <v>32.5</v>
      </c>
      <c r="K99" cm="1">
        <f t="array" ref="K99">STOWA2019_NDJF_T(A99*60,J99,I99,"GL","center")</f>
        <v>0.12980274846366222</v>
      </c>
      <c r="L99">
        <f t="shared" si="31"/>
        <v>7.703997117441209</v>
      </c>
    </row>
    <row r="100" spans="1:12" x14ac:dyDescent="0.3">
      <c r="A100">
        <v>192</v>
      </c>
      <c r="B100">
        <f t="shared" si="27"/>
        <v>1.9718096228335291</v>
      </c>
      <c r="C100">
        <f t="shared" si="28"/>
        <v>1.9718096228335291</v>
      </c>
      <c r="D100" t="s">
        <v>27</v>
      </c>
      <c r="E100" t="s">
        <v>19</v>
      </c>
      <c r="F100">
        <v>1</v>
      </c>
      <c r="G100">
        <f t="shared" si="29"/>
        <v>35</v>
      </c>
      <c r="I100">
        <v>2050</v>
      </c>
      <c r="J100">
        <f t="shared" si="30"/>
        <v>37.5</v>
      </c>
      <c r="K100" cm="1">
        <f t="array" ref="K100">STOWA2019_NDJF_T(A100*60,J100,I100,"GL","center")</f>
        <v>0.17445347015266144</v>
      </c>
      <c r="L100">
        <f t="shared" si="31"/>
        <v>5.7321874946076798</v>
      </c>
    </row>
    <row r="101" spans="1:12" x14ac:dyDescent="0.3">
      <c r="A101">
        <v>192</v>
      </c>
      <c r="B101">
        <f>L100-L101</f>
        <v>1.4844760693830859</v>
      </c>
      <c r="C101">
        <f t="shared" si="28"/>
        <v>1.4844760693830859</v>
      </c>
      <c r="D101" t="s">
        <v>27</v>
      </c>
      <c r="E101" t="s">
        <v>19</v>
      </c>
      <c r="F101">
        <v>1</v>
      </c>
      <c r="G101">
        <f>G100+5</f>
        <v>40</v>
      </c>
      <c r="I101">
        <v>2050</v>
      </c>
      <c r="J101">
        <f>AVERAGE(G101:G102)</f>
        <v>42.5</v>
      </c>
      <c r="K101" cm="1">
        <f t="array" ref="K101">STOWA2019_NDJF_T(A101*60,J101,I101,"GL","center")</f>
        <v>0.23542088901369423</v>
      </c>
      <c r="L101">
        <f>1/K101</f>
        <v>4.247711425224594</v>
      </c>
    </row>
    <row r="102" spans="1:12" x14ac:dyDescent="0.3">
      <c r="A102">
        <v>192</v>
      </c>
      <c r="B102">
        <f t="shared" ref="B102:B124" si="32">L101-L102</f>
        <v>1.1131938560142336</v>
      </c>
      <c r="C102">
        <f t="shared" si="28"/>
        <v>1.1131938560142336</v>
      </c>
      <c r="D102" t="s">
        <v>27</v>
      </c>
      <c r="E102" t="s">
        <v>19</v>
      </c>
      <c r="F102">
        <v>1</v>
      </c>
      <c r="G102">
        <f t="shared" ref="G102:G125" si="33">G101+5</f>
        <v>45</v>
      </c>
      <c r="I102">
        <v>2050</v>
      </c>
      <c r="J102">
        <f t="shared" ref="J102:J124" si="34">AVERAGE(G102:G103)</f>
        <v>47.5</v>
      </c>
      <c r="K102" cm="1">
        <f t="array" ref="K102">STOWA2019_NDJF_T(A102*60,J102,I102,"GL","center")</f>
        <v>0.31902836016067299</v>
      </c>
      <c r="L102">
        <f t="shared" ref="L102:L124" si="35">1/K102</f>
        <v>3.1345175692103604</v>
      </c>
    </row>
    <row r="103" spans="1:12" x14ac:dyDescent="0.3">
      <c r="A103">
        <v>192</v>
      </c>
      <c r="B103">
        <f t="shared" si="32"/>
        <v>0.83141749707848689</v>
      </c>
      <c r="C103">
        <f t="shared" si="28"/>
        <v>0.83141749707848689</v>
      </c>
      <c r="D103" t="s">
        <v>27</v>
      </c>
      <c r="E103" t="s">
        <v>19</v>
      </c>
      <c r="F103">
        <v>1</v>
      </c>
      <c r="G103">
        <f t="shared" si="33"/>
        <v>50</v>
      </c>
      <c r="I103">
        <v>2050</v>
      </c>
      <c r="J103">
        <f t="shared" si="34"/>
        <v>52.5</v>
      </c>
      <c r="K103" cm="1">
        <f t="array" ref="K103">STOWA2019_NDJF_T(A103*60,J103,I103,"GL","center")</f>
        <v>0.43419737253290352</v>
      </c>
      <c r="L103">
        <f t="shared" si="35"/>
        <v>2.3031000721318735</v>
      </c>
    </row>
    <row r="104" spans="1:12" x14ac:dyDescent="0.3">
      <c r="A104">
        <v>192</v>
      </c>
      <c r="B104">
        <f t="shared" si="32"/>
        <v>0.61836251325403335</v>
      </c>
      <c r="C104">
        <f t="shared" si="28"/>
        <v>0.61836251325403335</v>
      </c>
      <c r="D104" t="s">
        <v>27</v>
      </c>
      <c r="E104" t="s">
        <v>19</v>
      </c>
      <c r="F104">
        <v>1</v>
      </c>
      <c r="G104">
        <f t="shared" si="33"/>
        <v>55</v>
      </c>
      <c r="I104">
        <v>2050</v>
      </c>
      <c r="J104">
        <f t="shared" si="34"/>
        <v>57.5</v>
      </c>
      <c r="K104" cm="1">
        <f t="array" ref="K104">STOWA2019_NDJF_T(A104*60,J104,I104,"GL","center")</f>
        <v>0.59356425855791684</v>
      </c>
      <c r="L104">
        <f t="shared" si="35"/>
        <v>1.6847375588778402</v>
      </c>
    </row>
    <row r="105" spans="1:12" x14ac:dyDescent="0.3">
      <c r="A105">
        <v>192</v>
      </c>
      <c r="B105">
        <f t="shared" si="32"/>
        <v>0.45794790202081992</v>
      </c>
      <c r="C105">
        <f t="shared" si="28"/>
        <v>0.45794790202081992</v>
      </c>
      <c r="D105" t="s">
        <v>27</v>
      </c>
      <c r="E105" t="s">
        <v>19</v>
      </c>
      <c r="F105">
        <v>1</v>
      </c>
      <c r="G105">
        <f t="shared" si="33"/>
        <v>60</v>
      </c>
      <c r="I105">
        <v>2050</v>
      </c>
      <c r="J105">
        <f t="shared" si="34"/>
        <v>62.5</v>
      </c>
      <c r="K105" cm="1">
        <f t="array" ref="K105">STOWA2019_NDJF_T(A105*60,J105,I105,"GL","center")</f>
        <v>0.81513566275245175</v>
      </c>
      <c r="L105">
        <f t="shared" si="35"/>
        <v>1.2267896568570202</v>
      </c>
    </row>
    <row r="106" spans="1:12" x14ac:dyDescent="0.3">
      <c r="A106">
        <v>192</v>
      </c>
      <c r="B106">
        <f t="shared" si="32"/>
        <v>0.33759428550030512</v>
      </c>
      <c r="C106">
        <f t="shared" si="28"/>
        <v>0.33759428550030512</v>
      </c>
      <c r="D106" t="s">
        <v>27</v>
      </c>
      <c r="E106" t="s">
        <v>19</v>
      </c>
      <c r="F106">
        <v>1</v>
      </c>
      <c r="G106">
        <f t="shared" si="33"/>
        <v>65</v>
      </c>
      <c r="I106">
        <v>2050</v>
      </c>
      <c r="J106">
        <f t="shared" si="34"/>
        <v>67.5</v>
      </c>
      <c r="K106" cm="1">
        <f t="array" ref="K106">STOWA2019_NDJF_T(A106*60,J106,I106,"GL","center")</f>
        <v>1.1246122418228759</v>
      </c>
      <c r="L106">
        <f t="shared" si="35"/>
        <v>0.88919537135671511</v>
      </c>
    </row>
    <row r="107" spans="1:12" x14ac:dyDescent="0.3">
      <c r="A107">
        <v>192</v>
      </c>
      <c r="B107">
        <f t="shared" si="32"/>
        <v>0.24784794375773922</v>
      </c>
      <c r="C107">
        <f t="shared" si="28"/>
        <v>0.24784794375773922</v>
      </c>
      <c r="D107" t="s">
        <v>27</v>
      </c>
      <c r="E107" t="s">
        <v>19</v>
      </c>
      <c r="F107">
        <v>1</v>
      </c>
      <c r="G107">
        <f t="shared" si="33"/>
        <v>70</v>
      </c>
      <c r="I107">
        <v>2050</v>
      </c>
      <c r="J107">
        <f t="shared" si="34"/>
        <v>72.5</v>
      </c>
      <c r="K107" cm="1">
        <f t="array" ref="K107">STOWA2019_NDJF_T(A107*60,J107,I107,"GL","center")</f>
        <v>1.5592172931038615</v>
      </c>
      <c r="L107">
        <f t="shared" si="35"/>
        <v>0.64134742759897589</v>
      </c>
    </row>
    <row r="108" spans="1:12" x14ac:dyDescent="0.3">
      <c r="A108">
        <v>192</v>
      </c>
      <c r="B108">
        <f t="shared" si="32"/>
        <v>0.18106304556469383</v>
      </c>
      <c r="C108">
        <f t="shared" si="28"/>
        <v>0.18106304556469383</v>
      </c>
      <c r="D108" t="s">
        <v>27</v>
      </c>
      <c r="E108" t="s">
        <v>19</v>
      </c>
      <c r="F108">
        <v>1</v>
      </c>
      <c r="G108">
        <f t="shared" si="33"/>
        <v>75</v>
      </c>
      <c r="I108">
        <v>2050</v>
      </c>
      <c r="J108">
        <f t="shared" si="34"/>
        <v>77.5</v>
      </c>
      <c r="K108" cm="1">
        <f t="array" ref="K108">STOWA2019_NDJF_T(A108*60,J108,I108,"GL","center")</f>
        <v>2.1725699133661238</v>
      </c>
      <c r="L108">
        <f t="shared" si="35"/>
        <v>0.46028438203428207</v>
      </c>
    </row>
    <row r="109" spans="1:12" x14ac:dyDescent="0.3">
      <c r="A109">
        <v>192</v>
      </c>
      <c r="B109">
        <f t="shared" si="32"/>
        <v>0.13163829939992322</v>
      </c>
      <c r="C109">
        <f t="shared" si="28"/>
        <v>0.13163829939992322</v>
      </c>
      <c r="D109" t="s">
        <v>27</v>
      </c>
      <c r="E109" t="s">
        <v>19</v>
      </c>
      <c r="F109">
        <v>1</v>
      </c>
      <c r="G109">
        <f t="shared" si="33"/>
        <v>80</v>
      </c>
      <c r="I109">
        <v>2050</v>
      </c>
      <c r="J109">
        <f t="shared" si="34"/>
        <v>82.5</v>
      </c>
      <c r="K109" cm="1">
        <f t="array" ref="K109">STOWA2019_NDJF_T(A109*60,J109,I109,"GL","center")</f>
        <v>3.0427869152865217</v>
      </c>
      <c r="L109">
        <f t="shared" si="35"/>
        <v>0.32864608263435885</v>
      </c>
    </row>
    <row r="110" spans="1:12" x14ac:dyDescent="0.3">
      <c r="A110">
        <v>192</v>
      </c>
      <c r="B110">
        <f t="shared" si="32"/>
        <v>9.5231746225738573E-2</v>
      </c>
      <c r="C110">
        <f t="shared" si="28"/>
        <v>9.5231746225738573E-2</v>
      </c>
      <c r="D110" t="s">
        <v>27</v>
      </c>
      <c r="E110" t="s">
        <v>19</v>
      </c>
      <c r="F110">
        <v>1</v>
      </c>
      <c r="G110">
        <f t="shared" si="33"/>
        <v>85</v>
      </c>
      <c r="I110">
        <v>2050</v>
      </c>
      <c r="J110">
        <f t="shared" si="34"/>
        <v>87.5</v>
      </c>
      <c r="K110" cm="1">
        <f t="array" ref="K110">STOWA2019_NDJF_T(A110*60,J110,I110,"GL","center")</f>
        <v>4.2842269904509118</v>
      </c>
      <c r="L110">
        <f t="shared" si="35"/>
        <v>0.23341433640862028</v>
      </c>
    </row>
    <row r="111" spans="1:12" x14ac:dyDescent="0.3">
      <c r="A111">
        <v>192</v>
      </c>
      <c r="B111">
        <f t="shared" si="32"/>
        <v>6.8542423565204097E-2</v>
      </c>
      <c r="C111">
        <f t="shared" si="28"/>
        <v>6.8542423565204097E-2</v>
      </c>
      <c r="D111" t="s">
        <v>27</v>
      </c>
      <c r="E111" t="s">
        <v>19</v>
      </c>
      <c r="F111">
        <v>1</v>
      </c>
      <c r="G111">
        <f t="shared" si="33"/>
        <v>90</v>
      </c>
      <c r="I111">
        <v>2050</v>
      </c>
      <c r="J111">
        <f t="shared" si="34"/>
        <v>92.5</v>
      </c>
      <c r="K111" cm="1">
        <f t="array" ref="K111">STOWA2019_NDJF_T(A111*60,J111,I111,"GL","center")</f>
        <v>6.06531447809264</v>
      </c>
      <c r="L111">
        <f t="shared" si="35"/>
        <v>0.16487191284341618</v>
      </c>
    </row>
    <row r="112" spans="1:12" x14ac:dyDescent="0.3">
      <c r="A112">
        <v>192</v>
      </c>
      <c r="B112">
        <f t="shared" si="32"/>
        <v>4.9069976910428817E-2</v>
      </c>
      <c r="C112">
        <f t="shared" si="28"/>
        <v>4.9069976910428817E-2</v>
      </c>
      <c r="D112" t="s">
        <v>27</v>
      </c>
      <c r="E112" t="s">
        <v>19</v>
      </c>
      <c r="F112">
        <v>1</v>
      </c>
      <c r="G112">
        <f t="shared" si="33"/>
        <v>95</v>
      </c>
      <c r="I112">
        <v>2050</v>
      </c>
      <c r="J112">
        <f t="shared" si="34"/>
        <v>97.5</v>
      </c>
      <c r="K112" cm="1">
        <f t="array" ref="K112">STOWA2019_NDJF_T(A112*60,J112,I112,"GL","center")</f>
        <v>8.6354342174269281</v>
      </c>
      <c r="L112">
        <f t="shared" si="35"/>
        <v>0.11580193593298736</v>
      </c>
    </row>
    <row r="113" spans="1:12" x14ac:dyDescent="0.3">
      <c r="A113">
        <v>192</v>
      </c>
      <c r="B113">
        <f t="shared" si="32"/>
        <v>3.4939413408885345E-2</v>
      </c>
      <c r="C113">
        <f t="shared" si="28"/>
        <v>3.4939413408885345E-2</v>
      </c>
      <c r="D113" t="s">
        <v>27</v>
      </c>
      <c r="E113" t="s">
        <v>19</v>
      </c>
      <c r="F113">
        <v>1</v>
      </c>
      <c r="G113">
        <f t="shared" si="33"/>
        <v>100</v>
      </c>
      <c r="I113">
        <v>2050</v>
      </c>
      <c r="J113">
        <f t="shared" si="34"/>
        <v>102.5</v>
      </c>
      <c r="K113" cm="1">
        <f t="array" ref="K113">STOWA2019_NDJF_T(A113*60,J113,I113,"GL","center")</f>
        <v>12.366668374733651</v>
      </c>
      <c r="L113">
        <f t="shared" si="35"/>
        <v>8.0862522524102018E-2</v>
      </c>
    </row>
    <row r="114" spans="1:12" x14ac:dyDescent="0.3">
      <c r="A114">
        <v>192</v>
      </c>
      <c r="B114">
        <f t="shared" si="32"/>
        <v>2.473713164871913E-2</v>
      </c>
      <c r="C114">
        <f t="shared" si="28"/>
        <v>2.473713164871913E-2</v>
      </c>
      <c r="D114" t="s">
        <v>27</v>
      </c>
      <c r="E114" t="s">
        <v>19</v>
      </c>
      <c r="F114">
        <v>1</v>
      </c>
      <c r="G114">
        <f t="shared" si="33"/>
        <v>105</v>
      </c>
      <c r="I114">
        <v>2050</v>
      </c>
      <c r="J114">
        <f t="shared" si="34"/>
        <v>107.5</v>
      </c>
      <c r="K114" cm="1">
        <f t="array" ref="K114">STOWA2019_NDJF_T(A114*60,J114,I114,"GL","center")</f>
        <v>17.81724785169575</v>
      </c>
      <c r="L114">
        <f t="shared" si="35"/>
        <v>5.6125390875382888E-2</v>
      </c>
    </row>
    <row r="115" spans="1:12" x14ac:dyDescent="0.3">
      <c r="A115">
        <v>192</v>
      </c>
      <c r="B115">
        <f t="shared" si="32"/>
        <v>1.7411881686334688E-2</v>
      </c>
      <c r="C115">
        <f t="shared" si="28"/>
        <v>1.7411881686334688E-2</v>
      </c>
      <c r="D115" t="s">
        <v>27</v>
      </c>
      <c r="E115" t="s">
        <v>19</v>
      </c>
      <c r="F115">
        <v>1</v>
      </c>
      <c r="G115">
        <f t="shared" si="33"/>
        <v>110</v>
      </c>
      <c r="I115">
        <v>2050</v>
      </c>
      <c r="J115">
        <f t="shared" si="34"/>
        <v>112.5</v>
      </c>
      <c r="K115" cm="1">
        <f t="array" ref="K115">STOWA2019_NDJF_T(A115*60,J115,I115,"GL","center")</f>
        <v>25.830776412356169</v>
      </c>
      <c r="L115">
        <f t="shared" si="35"/>
        <v>3.8713509189048201E-2</v>
      </c>
    </row>
    <row r="116" spans="1:12" x14ac:dyDescent="0.3">
      <c r="A116">
        <v>192</v>
      </c>
      <c r="B116">
        <f t="shared" si="32"/>
        <v>1.2181962295867928E-2</v>
      </c>
      <c r="C116">
        <f t="shared" si="28"/>
        <v>1.2181962295867928E-2</v>
      </c>
      <c r="D116" t="s">
        <v>27</v>
      </c>
      <c r="E116" t="s">
        <v>19</v>
      </c>
      <c r="F116">
        <v>1</v>
      </c>
      <c r="G116">
        <f t="shared" si="33"/>
        <v>115</v>
      </c>
      <c r="I116">
        <v>2050</v>
      </c>
      <c r="J116">
        <f t="shared" si="34"/>
        <v>117.5</v>
      </c>
      <c r="K116" cm="1">
        <f t="array" ref="K116">STOWA2019_NDJF_T(A116*60,J116,I116,"GL","center")</f>
        <v>37.690979874868972</v>
      </c>
      <c r="L116">
        <f t="shared" si="35"/>
        <v>2.6531546893180272E-2</v>
      </c>
    </row>
    <row r="117" spans="1:12" x14ac:dyDescent="0.3">
      <c r="A117">
        <v>192</v>
      </c>
      <c r="B117">
        <f t="shared" si="32"/>
        <v>8.4697768267437863E-3</v>
      </c>
      <c r="C117">
        <f t="shared" si="28"/>
        <v>8.4697768267437863E-3</v>
      </c>
      <c r="D117" t="s">
        <v>27</v>
      </c>
      <c r="E117" t="s">
        <v>19</v>
      </c>
      <c r="F117">
        <v>1</v>
      </c>
      <c r="G117">
        <f t="shared" si="33"/>
        <v>120</v>
      </c>
      <c r="I117">
        <v>2050</v>
      </c>
      <c r="J117">
        <f t="shared" si="34"/>
        <v>122.5</v>
      </c>
      <c r="K117" cm="1">
        <f t="array" ref="K117">STOWA2019_NDJF_T(A117*60,J117,I117,"GL","center")</f>
        <v>55.36555920719325</v>
      </c>
      <c r="L117">
        <f t="shared" si="35"/>
        <v>1.8061770066436486E-2</v>
      </c>
    </row>
    <row r="118" spans="1:12" x14ac:dyDescent="0.3">
      <c r="A118">
        <v>192</v>
      </c>
      <c r="B118">
        <f t="shared" si="32"/>
        <v>5.8507693397338387E-3</v>
      </c>
      <c r="C118">
        <f t="shared" si="28"/>
        <v>5.8507693397338387E-3</v>
      </c>
      <c r="D118" t="s">
        <v>27</v>
      </c>
      <c r="E118" t="s">
        <v>19</v>
      </c>
      <c r="F118">
        <v>1</v>
      </c>
      <c r="G118">
        <f t="shared" si="33"/>
        <v>125</v>
      </c>
      <c r="I118">
        <v>2050</v>
      </c>
      <c r="J118">
        <f t="shared" si="34"/>
        <v>127.5</v>
      </c>
      <c r="K118" cm="1">
        <f t="array" ref="K118">STOWA2019_NDJF_T(A118*60,J118,I118,"GL","center")</f>
        <v>81.893369952327518</v>
      </c>
      <c r="L118">
        <f t="shared" si="35"/>
        <v>1.2211000726702647E-2</v>
      </c>
    </row>
    <row r="119" spans="1:12" x14ac:dyDescent="0.3">
      <c r="A119">
        <v>192</v>
      </c>
      <c r="B119">
        <f t="shared" si="32"/>
        <v>4.0146165471624147E-3</v>
      </c>
      <c r="C119">
        <f t="shared" si="28"/>
        <v>4.0146165471624147E-3</v>
      </c>
      <c r="D119" t="s">
        <v>27</v>
      </c>
      <c r="E119" t="s">
        <v>19</v>
      </c>
      <c r="F119">
        <v>1</v>
      </c>
      <c r="G119">
        <f t="shared" si="33"/>
        <v>130</v>
      </c>
      <c r="I119">
        <v>2050</v>
      </c>
      <c r="J119">
        <f t="shared" si="34"/>
        <v>132.5</v>
      </c>
      <c r="K119" cm="1">
        <f t="array" ref="K119">STOWA2019_NDJF_T(A119*60,J119,I119,"GL","center")</f>
        <v>122.0050180781172</v>
      </c>
      <c r="L119">
        <f t="shared" si="35"/>
        <v>8.1963841795402326E-3</v>
      </c>
    </row>
    <row r="120" spans="1:12" x14ac:dyDescent="0.3">
      <c r="A120">
        <v>192</v>
      </c>
      <c r="B120">
        <f t="shared" si="32"/>
        <v>2.7355387483094067E-3</v>
      </c>
      <c r="C120">
        <f t="shared" si="28"/>
        <v>2.7355387483094067E-3</v>
      </c>
      <c r="D120" t="s">
        <v>27</v>
      </c>
      <c r="E120" t="s">
        <v>19</v>
      </c>
      <c r="F120">
        <v>1</v>
      </c>
      <c r="G120">
        <f t="shared" si="33"/>
        <v>135</v>
      </c>
      <c r="I120">
        <v>2050</v>
      </c>
      <c r="J120">
        <f t="shared" si="34"/>
        <v>137.5</v>
      </c>
      <c r="K120" cm="1">
        <f t="array" ref="K120">STOWA2019_NDJF_T(A120*60,J120,I120,"GL","center")</f>
        <v>183.12182840425294</v>
      </c>
      <c r="L120">
        <f t="shared" si="35"/>
        <v>5.460845431230826E-3</v>
      </c>
    </row>
    <row r="121" spans="1:12" x14ac:dyDescent="0.3">
      <c r="A121">
        <v>192</v>
      </c>
      <c r="B121">
        <f t="shared" si="32"/>
        <v>1.8505658205743873E-3</v>
      </c>
      <c r="C121">
        <f t="shared" si="28"/>
        <v>1.8505658205743873E-3</v>
      </c>
      <c r="D121" t="s">
        <v>27</v>
      </c>
      <c r="E121" t="s">
        <v>19</v>
      </c>
      <c r="F121">
        <v>1</v>
      </c>
      <c r="G121">
        <f t="shared" si="33"/>
        <v>140</v>
      </c>
      <c r="I121">
        <v>2050</v>
      </c>
      <c r="J121">
        <f t="shared" si="34"/>
        <v>142.5</v>
      </c>
      <c r="K121" cm="1">
        <f t="array" ref="K121">STOWA2019_NDJF_T(A121*60,J121,I121,"GL","center")</f>
        <v>276.98685637763526</v>
      </c>
      <c r="L121">
        <f t="shared" si="35"/>
        <v>3.6102796106564387E-3</v>
      </c>
    </row>
    <row r="122" spans="1:12" x14ac:dyDescent="0.3">
      <c r="A122">
        <v>192</v>
      </c>
      <c r="B122">
        <f t="shared" si="32"/>
        <v>1.2425489650970578E-3</v>
      </c>
      <c r="C122">
        <f t="shared" si="28"/>
        <v>1.2425489650970578E-3</v>
      </c>
      <c r="D122" t="s">
        <v>27</v>
      </c>
      <c r="E122" t="s">
        <v>19</v>
      </c>
      <c r="F122">
        <v>1</v>
      </c>
      <c r="G122">
        <f t="shared" si="33"/>
        <v>145</v>
      </c>
      <c r="I122">
        <v>2050</v>
      </c>
      <c r="J122">
        <f t="shared" si="34"/>
        <v>147.5</v>
      </c>
      <c r="K122" cm="1">
        <f t="array" ref="K122">STOWA2019_NDJF_T(A122*60,J122,I122,"GL","center")</f>
        <v>422.34533808795976</v>
      </c>
      <c r="L122">
        <f t="shared" si="35"/>
        <v>2.3677306455593809E-3</v>
      </c>
    </row>
    <row r="123" spans="1:12" x14ac:dyDescent="0.3">
      <c r="A123">
        <v>192</v>
      </c>
      <c r="B123">
        <f t="shared" si="32"/>
        <v>8.2780803533800051E-4</v>
      </c>
      <c r="C123">
        <f t="shared" si="28"/>
        <v>8.2780803533800051E-4</v>
      </c>
      <c r="D123" t="s">
        <v>27</v>
      </c>
      <c r="E123" t="s">
        <v>19</v>
      </c>
      <c r="F123">
        <v>1</v>
      </c>
      <c r="G123">
        <f t="shared" si="33"/>
        <v>150</v>
      </c>
      <c r="I123">
        <v>2050</v>
      </c>
      <c r="J123">
        <f t="shared" si="34"/>
        <v>152.5</v>
      </c>
      <c r="K123" cm="1">
        <f t="array" ref="K123">STOWA2019_NDJF_T(A123*60,J123,I123,"GL","center")</f>
        <v>649.38328287565002</v>
      </c>
      <c r="L123">
        <f t="shared" si="35"/>
        <v>1.5399226102213804E-3</v>
      </c>
    </row>
    <row r="124" spans="1:12" x14ac:dyDescent="0.3">
      <c r="A124">
        <v>192</v>
      </c>
      <c r="B124">
        <f t="shared" si="32"/>
        <v>5.4704848775891384E-4</v>
      </c>
      <c r="C124">
        <f t="shared" si="28"/>
        <v>5.4704848775891384E-4</v>
      </c>
      <c r="D124" t="s">
        <v>27</v>
      </c>
      <c r="E124" t="s">
        <v>19</v>
      </c>
      <c r="F124">
        <v>1</v>
      </c>
      <c r="G124">
        <f t="shared" si="33"/>
        <v>155</v>
      </c>
      <c r="I124">
        <v>2050</v>
      </c>
      <c r="J124">
        <f t="shared" si="34"/>
        <v>157.5</v>
      </c>
      <c r="K124" cm="1">
        <f t="array" ref="K124">STOWA2019_NDJF_T(A124*60,J124,I124,"GL","center")</f>
        <v>1007.177020103878</v>
      </c>
      <c r="L124">
        <f t="shared" si="35"/>
        <v>9.9287412246246653E-4</v>
      </c>
    </row>
    <row r="125" spans="1:12" x14ac:dyDescent="0.3">
      <c r="A125">
        <v>192</v>
      </c>
      <c r="B125" s="1">
        <f>L124</f>
        <v>9.9287412246246653E-4</v>
      </c>
      <c r="C125">
        <f t="shared" si="28"/>
        <v>9.9287412246246653E-4</v>
      </c>
      <c r="D125" t="s">
        <v>27</v>
      </c>
      <c r="E125" t="s">
        <v>19</v>
      </c>
      <c r="F125">
        <v>1</v>
      </c>
      <c r="G125">
        <f t="shared" si="33"/>
        <v>160</v>
      </c>
      <c r="I125">
        <v>2050</v>
      </c>
      <c r="J125">
        <f>AVERAGE(G125:G126)</f>
        <v>85</v>
      </c>
      <c r="K125" cm="1">
        <f t="array" ref="K125">STOWA2019_NDJF_T(A125*60,J125,I125,"GL","center")</f>
        <v>3.6081232926449234</v>
      </c>
      <c r="L125">
        <f>1/K125</f>
        <v>0.27715239167089356</v>
      </c>
    </row>
    <row r="126" spans="1:12" x14ac:dyDescent="0.3">
      <c r="A126">
        <v>216</v>
      </c>
      <c r="B126" s="1">
        <f>365.25*24/A126 - L126</f>
        <v>20.121184225871129</v>
      </c>
      <c r="C126">
        <f>B126</f>
        <v>20.121184225871129</v>
      </c>
      <c r="D126" t="s">
        <v>27</v>
      </c>
      <c r="E126" t="s">
        <v>19</v>
      </c>
      <c r="F126">
        <v>1</v>
      </c>
      <c r="G126">
        <v>10</v>
      </c>
      <c r="I126">
        <v>2050</v>
      </c>
      <c r="J126">
        <f>AVERAGE(G126:G128)</f>
        <v>15</v>
      </c>
      <c r="K126" cm="1">
        <f t="array" ref="K126">STOWA2019_NDJF_T(A126*60,J126,I126,"GL","center")</f>
        <v>4.8870721972958185E-2</v>
      </c>
      <c r="L126">
        <f>1/K126</f>
        <v>20.462149107462206</v>
      </c>
    </row>
    <row r="127" spans="1:12" x14ac:dyDescent="0.3">
      <c r="A127">
        <v>216</v>
      </c>
      <c r="B127">
        <f t="shared" ref="B127:B131" si="36">L126-L127</f>
        <v>2.42714228451214</v>
      </c>
      <c r="C127">
        <f t="shared" ref="C127:C156" si="37">B127</f>
        <v>2.42714228451214</v>
      </c>
      <c r="D127" t="s">
        <v>27</v>
      </c>
      <c r="E127" t="s">
        <v>19</v>
      </c>
      <c r="F127">
        <v>1</v>
      </c>
      <c r="G127">
        <f t="shared" ref="G127:G131" si="38">G126+5</f>
        <v>15</v>
      </c>
      <c r="I127">
        <v>2050</v>
      </c>
      <c r="J127">
        <f t="shared" ref="J127:J131" si="39">AVERAGE(G127:G128)</f>
        <v>17.5</v>
      </c>
      <c r="K127" cm="1">
        <f t="array" ref="K127">STOWA2019_NDJF_T(A127*60,J127,I127,"GL","center")</f>
        <v>5.5447719527750398E-2</v>
      </c>
      <c r="L127">
        <f t="shared" ref="L127:L131" si="40">1/K127</f>
        <v>18.035006822950066</v>
      </c>
    </row>
    <row r="128" spans="1:12" x14ac:dyDescent="0.3">
      <c r="A128">
        <v>216</v>
      </c>
      <c r="B128">
        <f t="shared" si="36"/>
        <v>4.0673906344339876</v>
      </c>
      <c r="C128">
        <f t="shared" si="37"/>
        <v>4.0673906344339876</v>
      </c>
      <c r="D128" t="s">
        <v>27</v>
      </c>
      <c r="E128" t="s">
        <v>19</v>
      </c>
      <c r="F128">
        <v>1</v>
      </c>
      <c r="G128">
        <f t="shared" si="38"/>
        <v>20</v>
      </c>
      <c r="I128">
        <v>2050</v>
      </c>
      <c r="J128">
        <f t="shared" si="39"/>
        <v>22.5</v>
      </c>
      <c r="K128" cm="1">
        <f t="array" ref="K128">STOWA2019_NDJF_T(A128*60,J128,I128,"GL","center")</f>
        <v>7.159417802603868E-2</v>
      </c>
      <c r="L128">
        <f t="shared" si="40"/>
        <v>13.967616188516079</v>
      </c>
    </row>
    <row r="129" spans="1:12" x14ac:dyDescent="0.3">
      <c r="A129">
        <v>216</v>
      </c>
      <c r="B129">
        <f t="shared" si="36"/>
        <v>3.1952645766882348</v>
      </c>
      <c r="C129">
        <f t="shared" si="37"/>
        <v>3.1952645766882348</v>
      </c>
      <c r="D129" t="s">
        <v>27</v>
      </c>
      <c r="E129" t="s">
        <v>19</v>
      </c>
      <c r="F129">
        <v>1</v>
      </c>
      <c r="G129">
        <f t="shared" si="38"/>
        <v>25</v>
      </c>
      <c r="I129">
        <v>2050</v>
      </c>
      <c r="J129">
        <f t="shared" si="39"/>
        <v>27.5</v>
      </c>
      <c r="K129" cm="1">
        <f t="array" ref="K129">STOWA2019_NDJF_T(A129*60,J129,I129,"GL","center")</f>
        <v>9.2830241346932865E-2</v>
      </c>
      <c r="L129">
        <f t="shared" si="40"/>
        <v>10.772351611827844</v>
      </c>
    </row>
    <row r="130" spans="1:12" x14ac:dyDescent="0.3">
      <c r="A130">
        <v>216</v>
      </c>
      <c r="B130">
        <f t="shared" si="36"/>
        <v>2.5001408366268425</v>
      </c>
      <c r="C130">
        <f t="shared" si="37"/>
        <v>2.5001408366268425</v>
      </c>
      <c r="D130" t="s">
        <v>27</v>
      </c>
      <c r="E130" t="s">
        <v>19</v>
      </c>
      <c r="F130">
        <v>1</v>
      </c>
      <c r="G130">
        <f t="shared" si="38"/>
        <v>30</v>
      </c>
      <c r="I130">
        <v>2050</v>
      </c>
      <c r="J130">
        <f t="shared" si="39"/>
        <v>32.5</v>
      </c>
      <c r="K130" cm="1">
        <f t="array" ref="K130">STOWA2019_NDJF_T(A130*60,J130,I130,"GL","center")</f>
        <v>0.1208866682891916</v>
      </c>
      <c r="L130">
        <f t="shared" si="40"/>
        <v>8.2722107752010015</v>
      </c>
    </row>
    <row r="131" spans="1:12" x14ac:dyDescent="0.3">
      <c r="A131">
        <v>216</v>
      </c>
      <c r="B131">
        <f t="shared" si="36"/>
        <v>1.9482007647825412</v>
      </c>
      <c r="C131">
        <f t="shared" si="37"/>
        <v>1.9482007647825412</v>
      </c>
      <c r="D131" t="s">
        <v>27</v>
      </c>
      <c r="E131" t="s">
        <v>19</v>
      </c>
      <c r="F131">
        <v>1</v>
      </c>
      <c r="G131">
        <f t="shared" si="38"/>
        <v>35</v>
      </c>
      <c r="I131">
        <v>2050</v>
      </c>
      <c r="J131">
        <f t="shared" si="39"/>
        <v>37.5</v>
      </c>
      <c r="K131" cm="1">
        <f t="array" ref="K131">STOWA2019_NDJF_T(A131*60,J131,I131,"GL","center")</f>
        <v>0.15812751693190788</v>
      </c>
      <c r="L131">
        <f t="shared" si="40"/>
        <v>6.3240100104184602</v>
      </c>
    </row>
    <row r="132" spans="1:12" x14ac:dyDescent="0.3">
      <c r="A132">
        <v>216</v>
      </c>
      <c r="B132">
        <f>L131-L132</f>
        <v>1.5116652921200657</v>
      </c>
      <c r="C132">
        <f t="shared" si="37"/>
        <v>1.5116652921200657</v>
      </c>
      <c r="D132" t="s">
        <v>27</v>
      </c>
      <c r="E132" t="s">
        <v>19</v>
      </c>
      <c r="F132">
        <v>1</v>
      </c>
      <c r="G132">
        <f>G131+5</f>
        <v>40</v>
      </c>
      <c r="I132">
        <v>2050</v>
      </c>
      <c r="J132">
        <f>AVERAGE(G132:G133)</f>
        <v>42.5</v>
      </c>
      <c r="K132" cm="1">
        <f t="array" ref="K132">STOWA2019_NDJF_T(A132*60,J132,I132,"GL","center")</f>
        <v>0.2077989127000012</v>
      </c>
      <c r="L132">
        <f>1/K132</f>
        <v>4.8123447182983945</v>
      </c>
    </row>
    <row r="133" spans="1:12" x14ac:dyDescent="0.3">
      <c r="A133">
        <v>216</v>
      </c>
      <c r="B133">
        <f t="shared" ref="B133:B155" si="41">L132-L133</f>
        <v>1.1677947254619547</v>
      </c>
      <c r="C133">
        <f t="shared" si="37"/>
        <v>1.1677947254619547</v>
      </c>
      <c r="D133" t="s">
        <v>27</v>
      </c>
      <c r="E133" t="s">
        <v>19</v>
      </c>
      <c r="F133">
        <v>1</v>
      </c>
      <c r="G133">
        <f t="shared" ref="G133:G156" si="42">G132+5</f>
        <v>45</v>
      </c>
      <c r="I133">
        <v>2050</v>
      </c>
      <c r="J133">
        <f t="shared" ref="J133:J155" si="43">AVERAGE(G133:G134)</f>
        <v>47.5</v>
      </c>
      <c r="K133" cm="1">
        <f t="array" ref="K133">STOWA2019_NDJF_T(A133*60,J133,I133,"GL","center")</f>
        <v>0.27438229739352021</v>
      </c>
      <c r="L133">
        <f t="shared" ref="L133:L155" si="44">1/K133</f>
        <v>3.6445499928364398</v>
      </c>
    </row>
    <row r="134" spans="1:12" x14ac:dyDescent="0.3">
      <c r="A134">
        <v>216</v>
      </c>
      <c r="B134">
        <f t="shared" si="41"/>
        <v>0.89806796017200741</v>
      </c>
      <c r="C134">
        <f t="shared" si="37"/>
        <v>0.89806796017200741</v>
      </c>
      <c r="D134" t="s">
        <v>27</v>
      </c>
      <c r="E134" t="s">
        <v>19</v>
      </c>
      <c r="F134">
        <v>1</v>
      </c>
      <c r="G134">
        <f t="shared" si="42"/>
        <v>50</v>
      </c>
      <c r="I134">
        <v>2050</v>
      </c>
      <c r="J134">
        <f t="shared" si="43"/>
        <v>52.5</v>
      </c>
      <c r="K134" cm="1">
        <f t="array" ref="K134">STOWA2019_NDJF_T(A134*60,J134,I134,"GL","center")</f>
        <v>0.36410214525593471</v>
      </c>
      <c r="L134">
        <f t="shared" si="44"/>
        <v>2.7464820326644324</v>
      </c>
    </row>
    <row r="135" spans="1:12" x14ac:dyDescent="0.3">
      <c r="A135">
        <v>216</v>
      </c>
      <c r="B135">
        <f t="shared" si="41"/>
        <v>0.68734667352327516</v>
      </c>
      <c r="C135">
        <f t="shared" si="37"/>
        <v>0.68734667352327516</v>
      </c>
      <c r="D135" t="s">
        <v>27</v>
      </c>
      <c r="E135" t="s">
        <v>19</v>
      </c>
      <c r="F135">
        <v>1</v>
      </c>
      <c r="G135">
        <f t="shared" si="42"/>
        <v>55</v>
      </c>
      <c r="I135">
        <v>2050</v>
      </c>
      <c r="J135">
        <f t="shared" si="43"/>
        <v>57.5</v>
      </c>
      <c r="K135" cm="1">
        <f t="array" ref="K135">STOWA2019_NDJF_T(A135*60,J135,I135,"GL","center")</f>
        <v>0.48564073049432216</v>
      </c>
      <c r="L135">
        <f t="shared" si="44"/>
        <v>2.0591353591411572</v>
      </c>
    </row>
    <row r="136" spans="1:12" x14ac:dyDescent="0.3">
      <c r="A136">
        <v>216</v>
      </c>
      <c r="B136">
        <f t="shared" si="41"/>
        <v>0.5235405193342797</v>
      </c>
      <c r="C136">
        <f t="shared" si="37"/>
        <v>0.5235405193342797</v>
      </c>
      <c r="D136" t="s">
        <v>27</v>
      </c>
      <c r="E136" t="s">
        <v>19</v>
      </c>
      <c r="F136">
        <v>1</v>
      </c>
      <c r="G136">
        <f t="shared" si="42"/>
        <v>60</v>
      </c>
      <c r="I136">
        <v>2050</v>
      </c>
      <c r="J136">
        <f t="shared" si="43"/>
        <v>62.5</v>
      </c>
      <c r="K136" cm="1">
        <f t="array" ref="K136">STOWA2019_NDJF_T(A136*60,J136,I136,"GL","center")</f>
        <v>0.65121344125235792</v>
      </c>
      <c r="L136">
        <f t="shared" si="44"/>
        <v>1.5355948398068775</v>
      </c>
    </row>
    <row r="137" spans="1:12" x14ac:dyDescent="0.3">
      <c r="A137">
        <v>216</v>
      </c>
      <c r="B137">
        <f t="shared" si="41"/>
        <v>0.39673122526980986</v>
      </c>
      <c r="C137">
        <f t="shared" si="37"/>
        <v>0.39673122526980986</v>
      </c>
      <c r="D137" t="s">
        <v>27</v>
      </c>
      <c r="E137" t="s">
        <v>19</v>
      </c>
      <c r="F137">
        <v>1</v>
      </c>
      <c r="G137">
        <f t="shared" si="42"/>
        <v>65</v>
      </c>
      <c r="I137">
        <v>2050</v>
      </c>
      <c r="J137">
        <f t="shared" si="43"/>
        <v>67.5</v>
      </c>
      <c r="K137" cm="1">
        <f t="array" ref="K137">STOWA2019_NDJF_T(A137*60,J137,I137,"GL","center")</f>
        <v>0.87806826667869808</v>
      </c>
      <c r="L137">
        <f t="shared" si="44"/>
        <v>1.1388636145370676</v>
      </c>
    </row>
    <row r="138" spans="1:12" x14ac:dyDescent="0.3">
      <c r="A138">
        <v>216</v>
      </c>
      <c r="B138">
        <f t="shared" si="41"/>
        <v>0.29901369436705449</v>
      </c>
      <c r="C138">
        <f t="shared" si="37"/>
        <v>0.29901369436705449</v>
      </c>
      <c r="D138" t="s">
        <v>27</v>
      </c>
      <c r="E138" t="s">
        <v>19</v>
      </c>
      <c r="F138">
        <v>1</v>
      </c>
      <c r="G138">
        <f t="shared" si="42"/>
        <v>70</v>
      </c>
      <c r="I138">
        <v>2050</v>
      </c>
      <c r="J138">
        <f t="shared" si="43"/>
        <v>72.5</v>
      </c>
      <c r="K138" cm="1">
        <f t="array" ref="K138">STOWA2019_NDJF_T(A138*60,J138,I138,"GL","center")</f>
        <v>1.1906889266567617</v>
      </c>
      <c r="L138">
        <f t="shared" si="44"/>
        <v>0.83984992017001314</v>
      </c>
    </row>
    <row r="139" spans="1:12" x14ac:dyDescent="0.3">
      <c r="A139">
        <v>216</v>
      </c>
      <c r="B139">
        <f t="shared" si="41"/>
        <v>0.22421985276001088</v>
      </c>
      <c r="C139">
        <f t="shared" si="37"/>
        <v>0.22421985276001088</v>
      </c>
      <c r="D139" t="s">
        <v>27</v>
      </c>
      <c r="E139" t="s">
        <v>19</v>
      </c>
      <c r="F139">
        <v>1</v>
      </c>
      <c r="G139">
        <f t="shared" si="42"/>
        <v>75</v>
      </c>
      <c r="I139">
        <v>2050</v>
      </c>
      <c r="J139">
        <f t="shared" si="43"/>
        <v>77.5</v>
      </c>
      <c r="K139" cm="1">
        <f t="array" ref="K139">STOWA2019_NDJF_T(A139*60,J139,I139,"GL","center")</f>
        <v>1.624352111661908</v>
      </c>
      <c r="L139">
        <f t="shared" si="44"/>
        <v>0.61563006741000226</v>
      </c>
    </row>
    <row r="140" spans="1:12" x14ac:dyDescent="0.3">
      <c r="A140">
        <v>216</v>
      </c>
      <c r="B140">
        <f t="shared" si="41"/>
        <v>0.16714897385377775</v>
      </c>
      <c r="C140">
        <f t="shared" si="37"/>
        <v>0.16714897385377775</v>
      </c>
      <c r="D140" t="s">
        <v>27</v>
      </c>
      <c r="E140" t="s">
        <v>19</v>
      </c>
      <c r="F140">
        <v>1</v>
      </c>
      <c r="G140">
        <f t="shared" si="42"/>
        <v>80</v>
      </c>
      <c r="I140">
        <v>2050</v>
      </c>
      <c r="J140">
        <f t="shared" si="43"/>
        <v>82.5</v>
      </c>
      <c r="K140" cm="1">
        <f t="array" ref="K140">STOWA2019_NDJF_T(A140*60,J140,I140,"GL","center")</f>
        <v>2.2297483982446487</v>
      </c>
      <c r="L140">
        <f t="shared" si="44"/>
        <v>0.44848109355622451</v>
      </c>
    </row>
    <row r="141" spans="1:12" x14ac:dyDescent="0.3">
      <c r="A141">
        <v>216</v>
      </c>
      <c r="B141">
        <f t="shared" si="41"/>
        <v>0.12386561962118997</v>
      </c>
      <c r="C141">
        <f t="shared" si="37"/>
        <v>0.12386561962118997</v>
      </c>
      <c r="D141" t="s">
        <v>27</v>
      </c>
      <c r="E141" t="s">
        <v>19</v>
      </c>
      <c r="F141">
        <v>1</v>
      </c>
      <c r="G141">
        <f t="shared" si="42"/>
        <v>85</v>
      </c>
      <c r="I141">
        <v>2050</v>
      </c>
      <c r="J141">
        <f t="shared" si="43"/>
        <v>87.5</v>
      </c>
      <c r="K141" cm="1">
        <f t="array" ref="K141">STOWA2019_NDJF_T(A141*60,J141,I141,"GL","center")</f>
        <v>3.0805678727445089</v>
      </c>
      <c r="L141">
        <f t="shared" si="44"/>
        <v>0.32461547393503454</v>
      </c>
    </row>
    <row r="142" spans="1:12" x14ac:dyDescent="0.3">
      <c r="A142">
        <v>216</v>
      </c>
      <c r="B142">
        <f t="shared" si="41"/>
        <v>9.1230624783489311E-2</v>
      </c>
      <c r="C142">
        <f t="shared" si="37"/>
        <v>9.1230624783489311E-2</v>
      </c>
      <c r="D142" t="s">
        <v>27</v>
      </c>
      <c r="E142" t="s">
        <v>19</v>
      </c>
      <c r="F142">
        <v>1</v>
      </c>
      <c r="G142">
        <f t="shared" si="42"/>
        <v>90</v>
      </c>
      <c r="I142">
        <v>2050</v>
      </c>
      <c r="J142">
        <f t="shared" si="43"/>
        <v>92.5</v>
      </c>
      <c r="K142" cm="1">
        <f t="array" ref="K142">STOWA2019_NDJF_T(A142*60,J142,I142,"GL","center")</f>
        <v>4.2847682856682088</v>
      </c>
      <c r="L142">
        <f t="shared" si="44"/>
        <v>0.23338484915154523</v>
      </c>
    </row>
    <row r="143" spans="1:12" x14ac:dyDescent="0.3">
      <c r="A143">
        <v>216</v>
      </c>
      <c r="B143">
        <f t="shared" si="41"/>
        <v>6.676078046991693E-2</v>
      </c>
      <c r="C143">
        <f t="shared" si="37"/>
        <v>6.676078046991693E-2</v>
      </c>
      <c r="D143" t="s">
        <v>27</v>
      </c>
      <c r="E143" t="s">
        <v>19</v>
      </c>
      <c r="F143">
        <v>1</v>
      </c>
      <c r="G143">
        <f t="shared" si="42"/>
        <v>95</v>
      </c>
      <c r="I143">
        <v>2050</v>
      </c>
      <c r="J143">
        <f t="shared" si="43"/>
        <v>97.5</v>
      </c>
      <c r="K143" cm="1">
        <f t="array" ref="K143">STOWA2019_NDJF_T(A143*60,J143,I143,"GL","center")</f>
        <v>6.0015339195126636</v>
      </c>
      <c r="L143">
        <f t="shared" si="44"/>
        <v>0.1666240686816283</v>
      </c>
    </row>
    <row r="144" spans="1:12" x14ac:dyDescent="0.3">
      <c r="A144">
        <v>216</v>
      </c>
      <c r="B144">
        <f t="shared" si="41"/>
        <v>4.8530571172468284E-2</v>
      </c>
      <c r="C144">
        <f t="shared" si="37"/>
        <v>4.8530571172468284E-2</v>
      </c>
      <c r="D144" t="s">
        <v>27</v>
      </c>
      <c r="E144" t="s">
        <v>19</v>
      </c>
      <c r="F144">
        <v>1</v>
      </c>
      <c r="G144">
        <f t="shared" si="42"/>
        <v>100</v>
      </c>
      <c r="I144">
        <v>2050</v>
      </c>
      <c r="J144">
        <f t="shared" si="43"/>
        <v>102.5</v>
      </c>
      <c r="K144" cm="1">
        <f t="array" ref="K144">STOWA2019_NDJF_T(A144*60,J144,I144,"GL","center")</f>
        <v>8.4678667419637925</v>
      </c>
      <c r="L144">
        <f t="shared" si="44"/>
        <v>0.11809349750916001</v>
      </c>
    </row>
    <row r="145" spans="1:12" x14ac:dyDescent="0.3">
      <c r="A145">
        <v>216</v>
      </c>
      <c r="B145">
        <f t="shared" si="41"/>
        <v>3.5031919682773055E-2</v>
      </c>
      <c r="C145">
        <f t="shared" si="37"/>
        <v>3.5031919682773055E-2</v>
      </c>
      <c r="D145" t="s">
        <v>27</v>
      </c>
      <c r="E145" t="s">
        <v>19</v>
      </c>
      <c r="F145">
        <v>1</v>
      </c>
      <c r="G145">
        <f t="shared" si="42"/>
        <v>105</v>
      </c>
      <c r="I145">
        <v>2050</v>
      </c>
      <c r="J145">
        <f t="shared" si="43"/>
        <v>107.5</v>
      </c>
      <c r="K145" cm="1">
        <f t="array" ref="K145">STOWA2019_NDJF_T(A145*60,J145,I145,"GL","center")</f>
        <v>12.039260825145565</v>
      </c>
      <c r="L145">
        <f t="shared" si="44"/>
        <v>8.3061577826386956E-2</v>
      </c>
    </row>
    <row r="146" spans="1:12" x14ac:dyDescent="0.3">
      <c r="A146">
        <v>216</v>
      </c>
      <c r="B146">
        <f t="shared" si="41"/>
        <v>2.5104026819663401E-2</v>
      </c>
      <c r="C146">
        <f t="shared" si="37"/>
        <v>2.5104026819663401E-2</v>
      </c>
      <c r="D146" t="s">
        <v>27</v>
      </c>
      <c r="E146" t="s">
        <v>19</v>
      </c>
      <c r="F146">
        <v>1</v>
      </c>
      <c r="G146">
        <f t="shared" si="42"/>
        <v>110</v>
      </c>
      <c r="I146">
        <v>2050</v>
      </c>
      <c r="J146">
        <f t="shared" si="43"/>
        <v>112.5</v>
      </c>
      <c r="K146" cm="1">
        <f t="array" ref="K146">STOWA2019_NDJF_T(A146*60,J146,I146,"GL","center")</f>
        <v>17.254007159205049</v>
      </c>
      <c r="L146">
        <f t="shared" si="44"/>
        <v>5.7957551006723555E-2</v>
      </c>
    </row>
    <row r="147" spans="1:12" x14ac:dyDescent="0.3">
      <c r="A147">
        <v>216</v>
      </c>
      <c r="B147">
        <f t="shared" si="41"/>
        <v>1.7853167470669673E-2</v>
      </c>
      <c r="C147">
        <f t="shared" si="37"/>
        <v>1.7853167470669673E-2</v>
      </c>
      <c r="D147" t="s">
        <v>27</v>
      </c>
      <c r="E147" t="s">
        <v>19</v>
      </c>
      <c r="F147">
        <v>1</v>
      </c>
      <c r="G147">
        <f t="shared" si="42"/>
        <v>115</v>
      </c>
      <c r="I147">
        <v>2050</v>
      </c>
      <c r="J147">
        <f t="shared" si="43"/>
        <v>117.5</v>
      </c>
      <c r="K147" cm="1">
        <f t="array" ref="K147">STOWA2019_NDJF_T(A147*60,J147,I147,"GL","center")</f>
        <v>24.934930095634034</v>
      </c>
      <c r="L147">
        <f t="shared" si="44"/>
        <v>4.0104383536053882E-2</v>
      </c>
    </row>
    <row r="148" spans="1:12" x14ac:dyDescent="0.3">
      <c r="A148">
        <v>216</v>
      </c>
      <c r="B148">
        <f t="shared" si="41"/>
        <v>1.2595095890841103E-2</v>
      </c>
      <c r="C148">
        <f t="shared" si="37"/>
        <v>1.2595095890841103E-2</v>
      </c>
      <c r="D148" t="s">
        <v>27</v>
      </c>
      <c r="E148" t="s">
        <v>19</v>
      </c>
      <c r="F148">
        <v>1</v>
      </c>
      <c r="G148">
        <f t="shared" si="42"/>
        <v>120</v>
      </c>
      <c r="I148">
        <v>2050</v>
      </c>
      <c r="J148">
        <f t="shared" si="43"/>
        <v>122.5</v>
      </c>
      <c r="K148" cm="1">
        <f t="array" ref="K148">STOWA2019_NDJF_T(A148*60,J148,I148,"GL","center")</f>
        <v>36.351359326239113</v>
      </c>
      <c r="L148">
        <f t="shared" si="44"/>
        <v>2.7509287645212779E-2</v>
      </c>
    </row>
    <row r="149" spans="1:12" x14ac:dyDescent="0.3">
      <c r="A149">
        <v>216</v>
      </c>
      <c r="B149">
        <f t="shared" si="41"/>
        <v>8.8118560385697826E-3</v>
      </c>
      <c r="C149">
        <f t="shared" si="37"/>
        <v>8.8118560385697826E-3</v>
      </c>
      <c r="D149" t="s">
        <v>27</v>
      </c>
      <c r="E149" t="s">
        <v>19</v>
      </c>
      <c r="F149">
        <v>1</v>
      </c>
      <c r="G149">
        <f t="shared" si="42"/>
        <v>125</v>
      </c>
      <c r="I149">
        <v>2050</v>
      </c>
      <c r="J149">
        <f t="shared" si="43"/>
        <v>127.5</v>
      </c>
      <c r="K149" cm="1">
        <f t="array" ref="K149">STOWA2019_NDJF_T(A149*60,J149,I149,"GL","center")</f>
        <v>53.483281609903614</v>
      </c>
      <c r="L149">
        <f t="shared" si="44"/>
        <v>1.8697431606642997E-2</v>
      </c>
    </row>
    <row r="150" spans="1:12" x14ac:dyDescent="0.3">
      <c r="A150">
        <v>216</v>
      </c>
      <c r="B150">
        <f t="shared" si="41"/>
        <v>6.1110395719799638E-3</v>
      </c>
      <c r="C150">
        <f t="shared" si="37"/>
        <v>6.1110395719799638E-3</v>
      </c>
      <c r="D150" t="s">
        <v>27</v>
      </c>
      <c r="E150" t="s">
        <v>19</v>
      </c>
      <c r="F150">
        <v>1</v>
      </c>
      <c r="G150">
        <f t="shared" si="42"/>
        <v>130</v>
      </c>
      <c r="I150">
        <v>2050</v>
      </c>
      <c r="J150">
        <f t="shared" si="43"/>
        <v>132.5</v>
      </c>
      <c r="K150" cm="1">
        <f t="array" ref="K150">STOWA2019_NDJF_T(A150*60,J150,I150,"GL","center")</f>
        <v>79.45088610349903</v>
      </c>
      <c r="L150">
        <f t="shared" si="44"/>
        <v>1.2586392034663033E-2</v>
      </c>
    </row>
    <row r="151" spans="1:12" x14ac:dyDescent="0.3">
      <c r="A151">
        <v>216</v>
      </c>
      <c r="B151">
        <f t="shared" si="41"/>
        <v>4.1990126709379721E-3</v>
      </c>
      <c r="C151">
        <f t="shared" si="37"/>
        <v>4.1990126709379721E-3</v>
      </c>
      <c r="D151" t="s">
        <v>27</v>
      </c>
      <c r="E151" t="s">
        <v>19</v>
      </c>
      <c r="F151">
        <v>1</v>
      </c>
      <c r="G151">
        <f t="shared" si="42"/>
        <v>135</v>
      </c>
      <c r="I151">
        <v>2050</v>
      </c>
      <c r="J151">
        <f t="shared" si="43"/>
        <v>137.5</v>
      </c>
      <c r="K151" cm="1">
        <f t="array" ref="K151">STOWA2019_NDJF_T(A151*60,J151,I151,"GL","center")</f>
        <v>119.2267520800291</v>
      </c>
      <c r="L151">
        <f t="shared" si="44"/>
        <v>8.3873793637250608E-3</v>
      </c>
    </row>
    <row r="152" spans="1:12" x14ac:dyDescent="0.3">
      <c r="A152">
        <v>216</v>
      </c>
      <c r="B152">
        <f t="shared" si="41"/>
        <v>2.8573649853746563E-3</v>
      </c>
      <c r="C152">
        <f t="shared" si="37"/>
        <v>2.8573649853746563E-3</v>
      </c>
      <c r="D152" t="s">
        <v>27</v>
      </c>
      <c r="E152" t="s">
        <v>19</v>
      </c>
      <c r="F152">
        <v>1</v>
      </c>
      <c r="G152">
        <f t="shared" si="42"/>
        <v>140</v>
      </c>
      <c r="I152">
        <v>2050</v>
      </c>
      <c r="J152">
        <f t="shared" si="43"/>
        <v>142.5</v>
      </c>
      <c r="K152" cm="1">
        <f t="array" ref="K152">STOWA2019_NDJF_T(A152*60,J152,I152,"GL","center")</f>
        <v>180.8313562284622</v>
      </c>
      <c r="L152">
        <f t="shared" si="44"/>
        <v>5.5300143783504046E-3</v>
      </c>
    </row>
    <row r="153" spans="1:12" x14ac:dyDescent="0.3">
      <c r="A153">
        <v>216</v>
      </c>
      <c r="B153">
        <f t="shared" si="41"/>
        <v>1.924627671995428E-3</v>
      </c>
      <c r="C153">
        <f t="shared" si="37"/>
        <v>1.924627671995428E-3</v>
      </c>
      <c r="D153" t="s">
        <v>27</v>
      </c>
      <c r="E153" t="s">
        <v>19</v>
      </c>
      <c r="F153">
        <v>1</v>
      </c>
      <c r="G153">
        <f t="shared" si="42"/>
        <v>145</v>
      </c>
      <c r="I153">
        <v>2050</v>
      </c>
      <c r="J153">
        <f t="shared" si="43"/>
        <v>147.5</v>
      </c>
      <c r="K153" cm="1">
        <f t="array" ref="K153">STOWA2019_NDJF_T(A153*60,J153,I153,"GL","center")</f>
        <v>277.3627578526781</v>
      </c>
      <c r="L153">
        <f t="shared" si="44"/>
        <v>3.6053867063549766E-3</v>
      </c>
    </row>
    <row r="154" spans="1:12" x14ac:dyDescent="0.3">
      <c r="A154">
        <v>216</v>
      </c>
      <c r="B154">
        <f t="shared" si="41"/>
        <v>1.2824864523695951E-3</v>
      </c>
      <c r="C154">
        <f t="shared" si="37"/>
        <v>1.2824864523695951E-3</v>
      </c>
      <c r="D154" t="s">
        <v>27</v>
      </c>
      <c r="E154" t="s">
        <v>19</v>
      </c>
      <c r="F154">
        <v>1</v>
      </c>
      <c r="G154">
        <f t="shared" si="42"/>
        <v>150</v>
      </c>
      <c r="I154">
        <v>2050</v>
      </c>
      <c r="J154">
        <f t="shared" si="43"/>
        <v>152.5</v>
      </c>
      <c r="K154" cm="1">
        <f t="array" ref="K154">STOWA2019_NDJF_T(A154*60,J154,I154,"GL","center")</f>
        <v>430.49631523536488</v>
      </c>
      <c r="L154">
        <f t="shared" si="44"/>
        <v>2.3229002539853815E-3</v>
      </c>
    </row>
    <row r="155" spans="1:12" x14ac:dyDescent="0.3">
      <c r="A155">
        <v>216</v>
      </c>
      <c r="B155">
        <f t="shared" si="41"/>
        <v>8.4491738081163368E-4</v>
      </c>
      <c r="C155">
        <f t="shared" si="37"/>
        <v>8.4491738081163368E-4</v>
      </c>
      <c r="D155" t="s">
        <v>27</v>
      </c>
      <c r="E155" t="s">
        <v>19</v>
      </c>
      <c r="F155">
        <v>1</v>
      </c>
      <c r="G155">
        <f t="shared" si="42"/>
        <v>155</v>
      </c>
      <c r="I155">
        <v>2050</v>
      </c>
      <c r="J155">
        <f t="shared" si="43"/>
        <v>157.5</v>
      </c>
      <c r="K155" cm="1">
        <f t="array" ref="K155">STOWA2019_NDJF_T(A155*60,J155,I155,"GL","center")</f>
        <v>676.59782677498094</v>
      </c>
      <c r="L155">
        <f t="shared" si="44"/>
        <v>1.4779828731737478E-3</v>
      </c>
    </row>
    <row r="156" spans="1:12" x14ac:dyDescent="0.3">
      <c r="A156">
        <v>216</v>
      </c>
      <c r="B156" s="1">
        <f>L155</f>
        <v>1.4779828731737478E-3</v>
      </c>
      <c r="C156">
        <f t="shared" si="37"/>
        <v>1.4779828731737478E-3</v>
      </c>
      <c r="D156" t="s">
        <v>27</v>
      </c>
      <c r="E156" t="s">
        <v>19</v>
      </c>
      <c r="F156">
        <v>1</v>
      </c>
      <c r="G156">
        <f t="shared" si="42"/>
        <v>160</v>
      </c>
      <c r="I156">
        <v>2050</v>
      </c>
      <c r="J156">
        <f>AVERAGE(G156:G157)</f>
        <v>160</v>
      </c>
      <c r="K156" cm="1">
        <f t="array" ref="K156">STOWA2019_NDJF_T(A156*60,J156,I156,"GL","center")</f>
        <v>852.41047837270139</v>
      </c>
      <c r="L156">
        <f>1/K156</f>
        <v>1.1731437205101645E-3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C25C10-F062-4A97-B5F7-3120B55A8B19}">
  <sheetPr codeName="Blad11"/>
  <dimension ref="A1:L156"/>
  <sheetViews>
    <sheetView workbookViewId="0">
      <selection activeCell="C24" sqref="C24"/>
    </sheetView>
  </sheetViews>
  <sheetFormatPr defaultRowHeight="14.4" x14ac:dyDescent="0.3"/>
  <cols>
    <col min="2" max="3" width="12" bestFit="1" customWidth="1"/>
    <col min="4" max="4" width="26.5546875" bestFit="1" customWidth="1"/>
    <col min="11" max="11" width="10.5546875" bestFit="1" customWidth="1"/>
  </cols>
  <sheetData>
    <row r="1" spans="1:12" x14ac:dyDescent="0.3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20</v>
      </c>
      <c r="G1" t="s">
        <v>1</v>
      </c>
      <c r="I1" t="s">
        <v>4</v>
      </c>
      <c r="J1" t="s">
        <v>13</v>
      </c>
      <c r="K1" t="s">
        <v>2</v>
      </c>
      <c r="L1" t="s">
        <v>3</v>
      </c>
    </row>
    <row r="2" spans="1:12" x14ac:dyDescent="0.3">
      <c r="A2">
        <v>24</v>
      </c>
      <c r="B2" s="1">
        <f>365.25*24/A2 - L2</f>
        <v>349.68830409136103</v>
      </c>
      <c r="C2">
        <f>B2</f>
        <v>349.68830409136103</v>
      </c>
      <c r="D2" t="s">
        <v>28</v>
      </c>
      <c r="E2" t="s">
        <v>21</v>
      </c>
      <c r="F2">
        <v>1</v>
      </c>
      <c r="G2">
        <v>10</v>
      </c>
      <c r="I2">
        <v>2050</v>
      </c>
      <c r="J2">
        <f>AVERAGE(G2:G4)</f>
        <v>15</v>
      </c>
      <c r="K2" cm="1">
        <f t="array" ref="K2">STOWA2019_JAARROND_T(A2*60,J2,I2,"GH","center")</f>
        <v>6.4260348349620119E-2</v>
      </c>
      <c r="L2">
        <f>1/K2</f>
        <v>15.561695908638995</v>
      </c>
    </row>
    <row r="3" spans="1:12" x14ac:dyDescent="0.3">
      <c r="A3">
        <v>24</v>
      </c>
      <c r="B3">
        <f t="shared" ref="B3:B7" si="0">L2-L3</f>
        <v>4.6007352045611896</v>
      </c>
      <c r="C3">
        <f t="shared" ref="C3:C32" si="1">B3</f>
        <v>4.6007352045611896</v>
      </c>
      <c r="D3" t="s">
        <v>28</v>
      </c>
      <c r="E3" t="s">
        <v>21</v>
      </c>
      <c r="F3">
        <v>1</v>
      </c>
      <c r="G3">
        <f t="shared" ref="G3:G7" si="2">G2+5</f>
        <v>15</v>
      </c>
      <c r="I3">
        <v>2050</v>
      </c>
      <c r="J3">
        <f t="shared" ref="J3:J7" si="3">AVERAGE(G3:G4)</f>
        <v>17.5</v>
      </c>
      <c r="K3" cm="1">
        <f t="array" ref="K3">STOWA2019_JAARROND_T(A3*60,J3,I3,"GH","center")</f>
        <v>9.1232878850479773E-2</v>
      </c>
      <c r="L3">
        <f t="shared" ref="L3:L7" si="4">1/K3</f>
        <v>10.960960704077806</v>
      </c>
    </row>
    <row r="4" spans="1:12" x14ac:dyDescent="0.3">
      <c r="A4">
        <v>24</v>
      </c>
      <c r="B4">
        <f t="shared" si="0"/>
        <v>5.2681887158910419</v>
      </c>
      <c r="C4">
        <f t="shared" si="1"/>
        <v>5.2681887158910419</v>
      </c>
      <c r="D4" t="s">
        <v>28</v>
      </c>
      <c r="E4" t="s">
        <v>21</v>
      </c>
      <c r="F4">
        <v>1</v>
      </c>
      <c r="G4">
        <f t="shared" si="2"/>
        <v>20</v>
      </c>
      <c r="I4">
        <v>2050</v>
      </c>
      <c r="J4">
        <f t="shared" si="3"/>
        <v>22.5</v>
      </c>
      <c r="K4" cm="1">
        <f t="array" ref="K4">STOWA2019_JAARROND_T(A4*60,J4,I4,"GH","center")</f>
        <v>0.17566134777137202</v>
      </c>
      <c r="L4">
        <f t="shared" si="4"/>
        <v>5.692771988186764</v>
      </c>
    </row>
    <row r="5" spans="1:12" x14ac:dyDescent="0.3">
      <c r="A5">
        <v>24</v>
      </c>
      <c r="B5">
        <f t="shared" si="0"/>
        <v>2.57347873561304</v>
      </c>
      <c r="C5">
        <f t="shared" si="1"/>
        <v>2.57347873561304</v>
      </c>
      <c r="D5" t="s">
        <v>28</v>
      </c>
      <c r="E5" t="s">
        <v>21</v>
      </c>
      <c r="F5">
        <v>1</v>
      </c>
      <c r="G5">
        <f t="shared" si="2"/>
        <v>25</v>
      </c>
      <c r="I5">
        <v>2050</v>
      </c>
      <c r="J5">
        <f t="shared" si="3"/>
        <v>27.5</v>
      </c>
      <c r="K5" cm="1">
        <f t="array" ref="K5">STOWA2019_JAARROND_T(A5*60,J5,I5,"GH","center")</f>
        <v>0.3205854400431577</v>
      </c>
      <c r="L5">
        <f t="shared" si="4"/>
        <v>3.119293252573724</v>
      </c>
    </row>
    <row r="6" spans="1:12" x14ac:dyDescent="0.3">
      <c r="A6">
        <v>24</v>
      </c>
      <c r="B6">
        <f t="shared" si="0"/>
        <v>1.330132427827371</v>
      </c>
      <c r="C6">
        <f t="shared" si="1"/>
        <v>1.330132427827371</v>
      </c>
      <c r="D6" t="s">
        <v>28</v>
      </c>
      <c r="E6" t="s">
        <v>21</v>
      </c>
      <c r="F6">
        <v>1</v>
      </c>
      <c r="G6">
        <f t="shared" si="2"/>
        <v>30</v>
      </c>
      <c r="I6">
        <v>2050</v>
      </c>
      <c r="J6">
        <f t="shared" si="3"/>
        <v>32.5</v>
      </c>
      <c r="K6" cm="1">
        <f t="array" ref="K6">STOWA2019_JAARROND_T(A6*60,J6,I6,"GH","center")</f>
        <v>0.55892124741875493</v>
      </c>
      <c r="L6">
        <f t="shared" si="4"/>
        <v>1.7891608247463531</v>
      </c>
    </row>
    <row r="7" spans="1:12" x14ac:dyDescent="0.3">
      <c r="A7">
        <v>24</v>
      </c>
      <c r="B7">
        <f t="shared" si="0"/>
        <v>0.7217463537700215</v>
      </c>
      <c r="C7">
        <f t="shared" si="1"/>
        <v>0.7217463537700215</v>
      </c>
      <c r="D7" t="s">
        <v>28</v>
      </c>
      <c r="E7" t="s">
        <v>21</v>
      </c>
      <c r="F7">
        <v>1</v>
      </c>
      <c r="G7">
        <f t="shared" si="2"/>
        <v>35</v>
      </c>
      <c r="I7">
        <v>2050</v>
      </c>
      <c r="J7">
        <f t="shared" si="3"/>
        <v>37.5</v>
      </c>
      <c r="K7" cm="1">
        <f t="array" ref="K7">STOWA2019_JAARROND_T(A7*60,J7,I7,"GH","center")</f>
        <v>0.93684321057155096</v>
      </c>
      <c r="L7">
        <f t="shared" si="4"/>
        <v>1.0674144709763316</v>
      </c>
    </row>
    <row r="8" spans="1:12" x14ac:dyDescent="0.3">
      <c r="A8">
        <v>24</v>
      </c>
      <c r="B8">
        <f>L7-L8</f>
        <v>0.40834497305065542</v>
      </c>
      <c r="C8">
        <f t="shared" si="1"/>
        <v>0.40834497305065542</v>
      </c>
      <c r="D8" t="s">
        <v>28</v>
      </c>
      <c r="E8" t="s">
        <v>21</v>
      </c>
      <c r="F8">
        <v>1</v>
      </c>
      <c r="G8">
        <f>G7+5</f>
        <v>40</v>
      </c>
      <c r="I8">
        <v>2050</v>
      </c>
      <c r="J8">
        <f>AVERAGE(G8:G9)</f>
        <v>42.5</v>
      </c>
      <c r="K8" cm="1">
        <f t="array" ref="K8">STOWA2019_JAARROND_T(A8*60,J8,I8,"GH","center")</f>
        <v>1.5172906698722248</v>
      </c>
      <c r="L8">
        <f>1/K8</f>
        <v>0.65906949792567615</v>
      </c>
    </row>
    <row r="9" spans="1:12" x14ac:dyDescent="0.3">
      <c r="A9">
        <v>24</v>
      </c>
      <c r="B9">
        <f t="shared" ref="B9:B31" si="5">L8-L9</f>
        <v>0.23980924347682114</v>
      </c>
      <c r="C9">
        <f t="shared" si="1"/>
        <v>0.23980924347682114</v>
      </c>
      <c r="D9" t="s">
        <v>28</v>
      </c>
      <c r="E9" t="s">
        <v>21</v>
      </c>
      <c r="F9">
        <v>1</v>
      </c>
      <c r="G9">
        <f t="shared" ref="G9:G32" si="6">G8+5</f>
        <v>45</v>
      </c>
      <c r="I9">
        <v>2050</v>
      </c>
      <c r="J9">
        <f t="shared" ref="J9:J31" si="7">AVERAGE(G9:G10)</f>
        <v>47.5</v>
      </c>
      <c r="K9" cm="1">
        <f t="array" ref="K9">STOWA2019_JAARROND_T(A9*60,J9,I9,"GH","center")</f>
        <v>2.3851533489969503</v>
      </c>
      <c r="L9">
        <f t="shared" ref="L9:L31" si="8">1/K9</f>
        <v>0.41926025444885501</v>
      </c>
    </row>
    <row r="10" spans="1:12" x14ac:dyDescent="0.3">
      <c r="A10">
        <v>24</v>
      </c>
      <c r="B10">
        <f t="shared" si="5"/>
        <v>0.14539168159760574</v>
      </c>
      <c r="C10">
        <f t="shared" si="1"/>
        <v>0.14539168159760574</v>
      </c>
      <c r="D10" t="s">
        <v>28</v>
      </c>
      <c r="E10" t="s">
        <v>21</v>
      </c>
      <c r="F10">
        <v>1</v>
      </c>
      <c r="G10">
        <f t="shared" si="6"/>
        <v>50</v>
      </c>
      <c r="I10">
        <v>2050</v>
      </c>
      <c r="J10">
        <f t="shared" si="7"/>
        <v>52.5</v>
      </c>
      <c r="K10" cm="1">
        <f t="array" ref="K10">STOWA2019_JAARROND_T(A10*60,J10,I10,"GH","center")</f>
        <v>3.6513864646424636</v>
      </c>
      <c r="L10">
        <f t="shared" si="8"/>
        <v>0.27386857285124927</v>
      </c>
    </row>
    <row r="11" spans="1:12" x14ac:dyDescent="0.3">
      <c r="A11">
        <v>24</v>
      </c>
      <c r="B11">
        <f t="shared" si="5"/>
        <v>9.0709454681439511E-2</v>
      </c>
      <c r="C11">
        <f t="shared" si="1"/>
        <v>9.0709454681439511E-2</v>
      </c>
      <c r="D11" t="s">
        <v>28</v>
      </c>
      <c r="E11" t="s">
        <v>21</v>
      </c>
      <c r="F11">
        <v>1</v>
      </c>
      <c r="G11">
        <f t="shared" si="6"/>
        <v>55</v>
      </c>
      <c r="I11">
        <v>2050</v>
      </c>
      <c r="J11">
        <f t="shared" si="7"/>
        <v>57.5</v>
      </c>
      <c r="K11" cm="1">
        <f t="array" ref="K11">STOWA2019_JAARROND_T(A11*60,J11,I11,"GH","center")</f>
        <v>5.4597336457630457</v>
      </c>
      <c r="L11">
        <f t="shared" si="8"/>
        <v>0.18315911816980976</v>
      </c>
    </row>
    <row r="12" spans="1:12" x14ac:dyDescent="0.3">
      <c r="A12">
        <v>24</v>
      </c>
      <c r="B12">
        <f t="shared" si="5"/>
        <v>5.805282656066843E-2</v>
      </c>
      <c r="C12">
        <f t="shared" si="1"/>
        <v>5.805282656066843E-2</v>
      </c>
      <c r="D12" t="s">
        <v>28</v>
      </c>
      <c r="E12" t="s">
        <v>21</v>
      </c>
      <c r="F12">
        <v>1</v>
      </c>
      <c r="G12">
        <f t="shared" si="6"/>
        <v>60</v>
      </c>
      <c r="I12">
        <v>2050</v>
      </c>
      <c r="J12">
        <f t="shared" si="7"/>
        <v>62.5</v>
      </c>
      <c r="K12" cm="1">
        <f t="array" ref="K12">STOWA2019_JAARROND_T(A12*60,J12,I12,"GH","center")</f>
        <v>7.9932031166283206</v>
      </c>
      <c r="L12">
        <f t="shared" si="8"/>
        <v>0.12510629160914133</v>
      </c>
    </row>
    <row r="13" spans="1:12" x14ac:dyDescent="0.3">
      <c r="A13">
        <v>24</v>
      </c>
      <c r="B13">
        <f t="shared" si="5"/>
        <v>3.8014525818525047E-2</v>
      </c>
      <c r="C13">
        <f t="shared" si="1"/>
        <v>3.8014525818525047E-2</v>
      </c>
      <c r="D13" t="s">
        <v>28</v>
      </c>
      <c r="E13" t="s">
        <v>21</v>
      </c>
      <c r="F13">
        <v>1</v>
      </c>
      <c r="G13">
        <f t="shared" si="6"/>
        <v>65</v>
      </c>
      <c r="I13">
        <v>2050</v>
      </c>
      <c r="J13">
        <f t="shared" si="7"/>
        <v>67.5</v>
      </c>
      <c r="K13" cm="1">
        <f t="array" ref="K13">STOWA2019_JAARROND_T(A13*60,J13,I13,"GH","center")</f>
        <v>11.482141749246118</v>
      </c>
      <c r="L13">
        <f t="shared" si="8"/>
        <v>8.7091765790616282E-2</v>
      </c>
    </row>
    <row r="14" spans="1:12" x14ac:dyDescent="0.3">
      <c r="A14">
        <v>24</v>
      </c>
      <c r="B14">
        <f t="shared" si="5"/>
        <v>2.5412307808840198E-2</v>
      </c>
      <c r="C14">
        <f t="shared" si="1"/>
        <v>2.5412307808840198E-2</v>
      </c>
      <c r="D14" t="s">
        <v>28</v>
      </c>
      <c r="E14" t="s">
        <v>21</v>
      </c>
      <c r="F14">
        <v>1</v>
      </c>
      <c r="G14">
        <f t="shared" si="6"/>
        <v>70</v>
      </c>
      <c r="I14">
        <v>2050</v>
      </c>
      <c r="J14">
        <f t="shared" si="7"/>
        <v>72.5</v>
      </c>
      <c r="K14" cm="1">
        <f t="array" ref="K14">STOWA2019_JAARROND_T(A14*60,J14,I14,"GH","center")</f>
        <v>16.212853237060898</v>
      </c>
      <c r="L14">
        <f t="shared" si="8"/>
        <v>6.1679457981776084E-2</v>
      </c>
    </row>
    <row r="15" spans="1:12" x14ac:dyDescent="0.3">
      <c r="A15">
        <v>24</v>
      </c>
      <c r="B15">
        <f t="shared" si="5"/>
        <v>1.7309022358566808E-2</v>
      </c>
      <c r="C15">
        <f t="shared" si="1"/>
        <v>1.7309022358566808E-2</v>
      </c>
      <c r="D15" t="s">
        <v>28</v>
      </c>
      <c r="E15" t="s">
        <v>21</v>
      </c>
      <c r="F15">
        <v>1</v>
      </c>
      <c r="G15">
        <f t="shared" si="6"/>
        <v>75</v>
      </c>
      <c r="I15">
        <v>2050</v>
      </c>
      <c r="J15">
        <f t="shared" si="7"/>
        <v>77.5</v>
      </c>
      <c r="K15" cm="1">
        <f t="array" ref="K15">STOWA2019_JAARROND_T(A15*60,J15,I15,"GH","center")</f>
        <v>22.537529459749553</v>
      </c>
      <c r="L15">
        <f t="shared" si="8"/>
        <v>4.4370435623209276E-2</v>
      </c>
    </row>
    <row r="16" spans="1:12" x14ac:dyDescent="0.3">
      <c r="A16">
        <v>24</v>
      </c>
      <c r="B16">
        <f t="shared" si="5"/>
        <v>1.1992556356871534E-2</v>
      </c>
      <c r="C16">
        <f t="shared" si="1"/>
        <v>1.1992556356871534E-2</v>
      </c>
      <c r="D16" t="s">
        <v>28</v>
      </c>
      <c r="E16" t="s">
        <v>21</v>
      </c>
      <c r="F16">
        <v>1</v>
      </c>
      <c r="G16">
        <f t="shared" si="6"/>
        <v>80</v>
      </c>
      <c r="I16">
        <v>2050</v>
      </c>
      <c r="J16">
        <f t="shared" si="7"/>
        <v>82.5</v>
      </c>
      <c r="K16" cm="1">
        <f t="array" ref="K16">STOWA2019_JAARROND_T(A16*60,J16,I16,"GH","center")</f>
        <v>30.885284109378603</v>
      </c>
      <c r="L16">
        <f t="shared" si="8"/>
        <v>3.2377879266337742E-2</v>
      </c>
    </row>
    <row r="17" spans="1:12" x14ac:dyDescent="0.3">
      <c r="A17">
        <v>24</v>
      </c>
      <c r="B17">
        <f t="shared" si="5"/>
        <v>8.4395667531458954E-3</v>
      </c>
      <c r="C17">
        <f t="shared" si="1"/>
        <v>8.4395667531458954E-3</v>
      </c>
      <c r="D17" t="s">
        <v>28</v>
      </c>
      <c r="E17" t="s">
        <v>21</v>
      </c>
      <c r="F17">
        <v>1</v>
      </c>
      <c r="G17">
        <f t="shared" si="6"/>
        <v>85</v>
      </c>
      <c r="I17">
        <v>2050</v>
      </c>
      <c r="J17">
        <f t="shared" si="7"/>
        <v>87.5</v>
      </c>
      <c r="K17" cm="1">
        <f t="array" ref="K17">STOWA2019_JAARROND_T(A17*60,J17,I17,"GH","center")</f>
        <v>41.774038978266461</v>
      </c>
      <c r="L17">
        <f t="shared" si="8"/>
        <v>2.3938312513191846E-2</v>
      </c>
    </row>
    <row r="18" spans="1:12" x14ac:dyDescent="0.3">
      <c r="A18">
        <v>24</v>
      </c>
      <c r="B18">
        <f t="shared" si="5"/>
        <v>6.0253529664765597E-3</v>
      </c>
      <c r="C18">
        <f t="shared" si="1"/>
        <v>6.0253529664765597E-3</v>
      </c>
      <c r="D18" t="s">
        <v>28</v>
      </c>
      <c r="E18" t="s">
        <v>21</v>
      </c>
      <c r="F18">
        <v>1</v>
      </c>
      <c r="G18">
        <f t="shared" si="6"/>
        <v>90</v>
      </c>
      <c r="I18">
        <v>2050</v>
      </c>
      <c r="J18">
        <f t="shared" si="7"/>
        <v>92.5</v>
      </c>
      <c r="K18" cm="1">
        <f t="array" ref="K18">STOWA2019_JAARROND_T(A18*60,J18,I18,"GH","center")</f>
        <v>55.825504288785758</v>
      </c>
      <c r="L18">
        <f t="shared" si="8"/>
        <v>1.7912959546715287E-2</v>
      </c>
    </row>
    <row r="19" spans="1:12" x14ac:dyDescent="0.3">
      <c r="A19">
        <v>24</v>
      </c>
      <c r="B19">
        <f t="shared" si="5"/>
        <v>4.3586848247960785E-3</v>
      </c>
      <c r="C19">
        <f t="shared" si="1"/>
        <v>4.3586848247960785E-3</v>
      </c>
      <c r="D19" t="s">
        <v>28</v>
      </c>
      <c r="E19" t="s">
        <v>21</v>
      </c>
      <c r="F19">
        <v>1</v>
      </c>
      <c r="G19">
        <f t="shared" si="6"/>
        <v>95</v>
      </c>
      <c r="I19">
        <v>2050</v>
      </c>
      <c r="J19">
        <f t="shared" si="7"/>
        <v>97.5</v>
      </c>
      <c r="K19" cm="1">
        <f t="array" ref="K19">STOWA2019_JAARROND_T(A19*60,J19,I19,"GH","center")</f>
        <v>73.777462868068952</v>
      </c>
      <c r="L19">
        <f t="shared" si="8"/>
        <v>1.3554274721919208E-2</v>
      </c>
    </row>
    <row r="20" spans="1:12" x14ac:dyDescent="0.3">
      <c r="A20">
        <v>24</v>
      </c>
      <c r="B20">
        <f t="shared" si="5"/>
        <v>3.191894217017854E-3</v>
      </c>
      <c r="C20">
        <f t="shared" si="1"/>
        <v>3.191894217017854E-3</v>
      </c>
      <c r="D20" t="s">
        <v>28</v>
      </c>
      <c r="E20" t="s">
        <v>21</v>
      </c>
      <c r="F20">
        <v>1</v>
      </c>
      <c r="G20">
        <f t="shared" si="6"/>
        <v>100</v>
      </c>
      <c r="I20">
        <v>2050</v>
      </c>
      <c r="J20">
        <f t="shared" si="7"/>
        <v>102.5</v>
      </c>
      <c r="K20" cm="1">
        <f t="array" ref="K20">STOWA2019_JAARROND_T(A20*60,J20,I20,"GH","center")</f>
        <v>96.502922231721271</v>
      </c>
      <c r="L20">
        <f t="shared" si="8"/>
        <v>1.0362380504901354E-2</v>
      </c>
    </row>
    <row r="21" spans="1:12" x14ac:dyDescent="0.3">
      <c r="A21">
        <v>24</v>
      </c>
      <c r="B21">
        <f t="shared" si="5"/>
        <v>2.3640697474931905E-3</v>
      </c>
      <c r="C21">
        <f t="shared" si="1"/>
        <v>2.3640697474931905E-3</v>
      </c>
      <c r="D21" t="s">
        <v>28</v>
      </c>
      <c r="E21" t="s">
        <v>21</v>
      </c>
      <c r="F21">
        <v>1</v>
      </c>
      <c r="G21">
        <f t="shared" si="6"/>
        <v>105</v>
      </c>
      <c r="I21">
        <v>2050</v>
      </c>
      <c r="J21">
        <f t="shared" si="7"/>
        <v>107.5</v>
      </c>
      <c r="K21" cm="1">
        <f t="array" ref="K21">STOWA2019_JAARROND_T(A21*60,J21,I21,"GH","center")</f>
        <v>125.02639998999589</v>
      </c>
      <c r="L21">
        <f t="shared" si="8"/>
        <v>7.9983107574081638E-3</v>
      </c>
    </row>
    <row r="22" spans="1:12" x14ac:dyDescent="0.3">
      <c r="A22">
        <v>24</v>
      </c>
      <c r="B22">
        <f t="shared" si="5"/>
        <v>1.7695254365542095E-3</v>
      </c>
      <c r="C22">
        <f t="shared" si="1"/>
        <v>1.7695254365542095E-3</v>
      </c>
      <c r="D22" t="s">
        <v>28</v>
      </c>
      <c r="E22" t="s">
        <v>21</v>
      </c>
      <c r="F22">
        <v>1</v>
      </c>
      <c r="G22">
        <f t="shared" si="6"/>
        <v>110</v>
      </c>
      <c r="I22">
        <v>2050</v>
      </c>
      <c r="J22">
        <f t="shared" si="7"/>
        <v>112.5</v>
      </c>
      <c r="K22" cm="1">
        <f t="array" ref="K22">STOWA2019_JAARROND_T(A22*60,J22,I22,"GH","center")</f>
        <v>160.54494552124041</v>
      </c>
      <c r="L22">
        <f t="shared" si="8"/>
        <v>6.2287853208539542E-3</v>
      </c>
    </row>
    <row r="23" spans="1:12" x14ac:dyDescent="0.3">
      <c r="A23">
        <v>24</v>
      </c>
      <c r="B23">
        <f t="shared" si="5"/>
        <v>1.3374894819435899E-3</v>
      </c>
      <c r="C23">
        <f t="shared" si="1"/>
        <v>1.3374894819435899E-3</v>
      </c>
      <c r="D23" t="s">
        <v>28</v>
      </c>
      <c r="E23" t="s">
        <v>21</v>
      </c>
      <c r="F23">
        <v>1</v>
      </c>
      <c r="G23">
        <f t="shared" si="6"/>
        <v>115</v>
      </c>
      <c r="I23">
        <v>2050</v>
      </c>
      <c r="J23">
        <f t="shared" si="7"/>
        <v>117.5</v>
      </c>
      <c r="K23" cm="1">
        <f t="array" ref="K23">STOWA2019_JAARROND_T(A23*60,J23,I23,"GH","center")</f>
        <v>204.44480009673069</v>
      </c>
      <c r="L23">
        <f t="shared" si="8"/>
        <v>4.8912958389103643E-3</v>
      </c>
    </row>
    <row r="24" spans="1:12" x14ac:dyDescent="0.3">
      <c r="A24">
        <v>24</v>
      </c>
      <c r="B24">
        <f t="shared" si="5"/>
        <v>1.0202871530987198E-3</v>
      </c>
      <c r="C24">
        <f t="shared" si="1"/>
        <v>1.0202871530987198E-3</v>
      </c>
      <c r="D24" t="s">
        <v>28</v>
      </c>
      <c r="E24" t="s">
        <v>21</v>
      </c>
      <c r="F24">
        <v>1</v>
      </c>
      <c r="G24">
        <f t="shared" si="6"/>
        <v>120</v>
      </c>
      <c r="I24">
        <v>2050</v>
      </c>
      <c r="J24">
        <f t="shared" si="7"/>
        <v>122.5</v>
      </c>
      <c r="K24" cm="1">
        <f t="array" ref="K24">STOWA2019_JAARROND_T(A24*60,J24,I24,"GH","center")</f>
        <v>258.33060092716568</v>
      </c>
      <c r="L24">
        <f t="shared" si="8"/>
        <v>3.8710086858116445E-3</v>
      </c>
    </row>
    <row r="25" spans="1:12" x14ac:dyDescent="0.3">
      <c r="A25">
        <v>24</v>
      </c>
      <c r="B25">
        <f t="shared" si="5"/>
        <v>7.8502793678499831E-4</v>
      </c>
      <c r="C25">
        <f t="shared" si="1"/>
        <v>7.8502793678499831E-4</v>
      </c>
      <c r="D25" t="s">
        <v>28</v>
      </c>
      <c r="E25" t="s">
        <v>21</v>
      </c>
      <c r="F25">
        <v>1</v>
      </c>
      <c r="G25">
        <f t="shared" si="6"/>
        <v>125</v>
      </c>
      <c r="I25">
        <v>2050</v>
      </c>
      <c r="J25">
        <f t="shared" si="7"/>
        <v>127.5</v>
      </c>
      <c r="K25" cm="1">
        <f t="array" ref="K25">STOWA2019_JAARROND_T(A25*60,J25,I25,"GH","center")</f>
        <v>324.04609144610237</v>
      </c>
      <c r="L25">
        <f t="shared" si="8"/>
        <v>3.0859807490266461E-3</v>
      </c>
    </row>
    <row r="26" spans="1:12" x14ac:dyDescent="0.3">
      <c r="A26">
        <v>24</v>
      </c>
      <c r="B26">
        <f t="shared" si="5"/>
        <v>6.0888871871895732E-4</v>
      </c>
      <c r="C26">
        <f t="shared" si="1"/>
        <v>6.0888871871895732E-4</v>
      </c>
      <c r="D26" t="s">
        <v>28</v>
      </c>
      <c r="E26" t="s">
        <v>21</v>
      </c>
      <c r="F26">
        <v>1</v>
      </c>
      <c r="G26">
        <f t="shared" si="6"/>
        <v>130</v>
      </c>
      <c r="I26">
        <v>2050</v>
      </c>
      <c r="J26">
        <f t="shared" si="7"/>
        <v>132.5</v>
      </c>
      <c r="K26" cm="1">
        <f t="array" ref="K26">STOWA2019_JAARROND_T(A26*60,J26,I26,"GH","center")</f>
        <v>403.69917135286505</v>
      </c>
      <c r="L26">
        <f t="shared" si="8"/>
        <v>2.4770920303076888E-3</v>
      </c>
    </row>
    <row r="27" spans="1:12" x14ac:dyDescent="0.3">
      <c r="A27">
        <v>24</v>
      </c>
      <c r="B27">
        <f t="shared" si="5"/>
        <v>4.7589148546678915E-4</v>
      </c>
      <c r="C27">
        <f t="shared" si="1"/>
        <v>4.7589148546678915E-4</v>
      </c>
      <c r="D27" t="s">
        <v>28</v>
      </c>
      <c r="E27" t="s">
        <v>21</v>
      </c>
      <c r="F27">
        <v>1</v>
      </c>
      <c r="G27">
        <f t="shared" si="6"/>
        <v>135</v>
      </c>
      <c r="I27">
        <v>2050</v>
      </c>
      <c r="J27">
        <f t="shared" si="7"/>
        <v>137.5</v>
      </c>
      <c r="K27" cm="1">
        <f t="array" ref="K27">STOWA2019_JAARROND_T(A27*60,J27,I27,"GH","center")</f>
        <v>499.70004384518211</v>
      </c>
      <c r="L27">
        <f t="shared" si="8"/>
        <v>2.0012005448408997E-3</v>
      </c>
    </row>
    <row r="28" spans="1:12" x14ac:dyDescent="0.3">
      <c r="A28">
        <v>24</v>
      </c>
      <c r="B28">
        <f t="shared" si="5"/>
        <v>3.7459732930230846E-4</v>
      </c>
      <c r="C28">
        <f t="shared" si="1"/>
        <v>3.7459732930230846E-4</v>
      </c>
      <c r="D28" t="s">
        <v>28</v>
      </c>
      <c r="E28" t="s">
        <v>21</v>
      </c>
      <c r="F28">
        <v>1</v>
      </c>
      <c r="G28">
        <f t="shared" si="6"/>
        <v>140</v>
      </c>
      <c r="I28">
        <v>2050</v>
      </c>
      <c r="J28">
        <f t="shared" si="7"/>
        <v>142.5</v>
      </c>
      <c r="K28" cm="1">
        <f t="array" ref="K28">STOWA2019_JAARROND_T(A28*60,J28,I28,"GH","center")</f>
        <v>614.77807891144857</v>
      </c>
      <c r="L28">
        <f t="shared" si="8"/>
        <v>1.6266032155385912E-3</v>
      </c>
    </row>
    <row r="29" spans="1:12" x14ac:dyDescent="0.3">
      <c r="A29">
        <v>24</v>
      </c>
      <c r="B29">
        <f t="shared" si="5"/>
        <v>2.9685737098847256E-4</v>
      </c>
      <c r="C29">
        <f t="shared" si="1"/>
        <v>2.9685737098847256E-4</v>
      </c>
      <c r="D29" t="s">
        <v>28</v>
      </c>
      <c r="E29" t="s">
        <v>21</v>
      </c>
      <c r="F29">
        <v>1</v>
      </c>
      <c r="G29">
        <f t="shared" si="6"/>
        <v>145</v>
      </c>
      <c r="I29">
        <v>2050</v>
      </c>
      <c r="J29">
        <f t="shared" si="7"/>
        <v>147.5</v>
      </c>
      <c r="K29" cm="1">
        <f t="array" ref="K29">STOWA2019_JAARROND_T(A29*60,J29,I29,"GH","center")</f>
        <v>752.02340665205941</v>
      </c>
      <c r="L29">
        <f t="shared" si="8"/>
        <v>1.3297458445501187E-3</v>
      </c>
    </row>
    <row r="30" spans="1:12" x14ac:dyDescent="0.3">
      <c r="A30">
        <v>24</v>
      </c>
      <c r="B30">
        <f t="shared" si="5"/>
        <v>2.3675386425345778E-4</v>
      </c>
      <c r="C30">
        <f t="shared" si="1"/>
        <v>2.3675386425345778E-4</v>
      </c>
      <c r="D30" t="s">
        <v>28</v>
      </c>
      <c r="E30" t="s">
        <v>21</v>
      </c>
      <c r="F30">
        <v>1</v>
      </c>
      <c r="G30">
        <f t="shared" si="6"/>
        <v>150</v>
      </c>
      <c r="I30">
        <v>2050</v>
      </c>
      <c r="J30">
        <f t="shared" si="7"/>
        <v>152.5</v>
      </c>
      <c r="K30" cm="1">
        <f t="array" ref="K30">STOWA2019_JAARROND_T(A30*60,J30,I30,"GH","center")</f>
        <v>914.91979632694029</v>
      </c>
      <c r="L30">
        <f t="shared" si="8"/>
        <v>1.0929919802966609E-3</v>
      </c>
    </row>
    <row r="31" spans="1:12" x14ac:dyDescent="0.3">
      <c r="A31">
        <v>24</v>
      </c>
      <c r="B31">
        <f t="shared" si="5"/>
        <v>1.8995654414647324E-4</v>
      </c>
      <c r="C31">
        <f t="shared" si="1"/>
        <v>1.8995654414647324E-4</v>
      </c>
      <c r="D31" t="s">
        <v>28</v>
      </c>
      <c r="E31" t="s">
        <v>21</v>
      </c>
      <c r="F31">
        <v>1</v>
      </c>
      <c r="G31">
        <f t="shared" si="6"/>
        <v>155</v>
      </c>
      <c r="I31">
        <v>2050</v>
      </c>
      <c r="J31">
        <f t="shared" si="7"/>
        <v>157.5</v>
      </c>
      <c r="K31" cm="1">
        <f t="array" ref="K31">STOWA2019_JAARROND_T(A31*60,J31,I31,"GH","center")</f>
        <v>1107.3762556463905</v>
      </c>
      <c r="L31">
        <f t="shared" si="8"/>
        <v>9.0303543615018764E-4</v>
      </c>
    </row>
    <row r="32" spans="1:12" x14ac:dyDescent="0.3">
      <c r="A32">
        <v>24</v>
      </c>
      <c r="B32" s="1">
        <f>L31</f>
        <v>9.0303543615018764E-4</v>
      </c>
      <c r="C32">
        <f t="shared" si="1"/>
        <v>9.0303543615018764E-4</v>
      </c>
      <c r="D32" t="s">
        <v>28</v>
      </c>
      <c r="E32" t="s">
        <v>21</v>
      </c>
      <c r="F32">
        <v>1</v>
      </c>
      <c r="G32">
        <f t="shared" si="6"/>
        <v>160</v>
      </c>
      <c r="I32">
        <v>2050</v>
      </c>
      <c r="J32">
        <f>AVERAGE(G32:G33)</f>
        <v>85</v>
      </c>
      <c r="K32" cm="1">
        <f t="array" ref="K32">STOWA2019_JAARROND_T(A32*60,J32,I32,"GH","center")</f>
        <v>35.975936946640246</v>
      </c>
      <c r="L32">
        <f>1/K32</f>
        <v>2.7796357367515036E-2</v>
      </c>
    </row>
    <row r="33" spans="1:12" x14ac:dyDescent="0.3">
      <c r="A33">
        <v>48</v>
      </c>
      <c r="B33" s="1">
        <f>365.25*24/A33 - L33</f>
        <v>155.03436936313926</v>
      </c>
      <c r="C33">
        <f>B33</f>
        <v>155.03436936313926</v>
      </c>
      <c r="D33" t="s">
        <v>28</v>
      </c>
      <c r="E33" t="s">
        <v>21</v>
      </c>
      <c r="F33">
        <v>1</v>
      </c>
      <c r="G33">
        <v>10</v>
      </c>
      <c r="I33">
        <v>2050</v>
      </c>
      <c r="J33">
        <f>AVERAGE(G33:G35)</f>
        <v>15</v>
      </c>
      <c r="K33" cm="1">
        <f t="array" ref="K33">STOWA2019_JAARROND_T(A33*60,J33,I33,"GH","center")</f>
        <v>3.624418786078825E-2</v>
      </c>
      <c r="L33">
        <f>1/K33</f>
        <v>27.590630636860727</v>
      </c>
    </row>
    <row r="34" spans="1:12" x14ac:dyDescent="0.3">
      <c r="A34">
        <v>48</v>
      </c>
      <c r="B34">
        <f t="shared" ref="B34:B38" si="9">L33-L34</f>
        <v>7.0318936126573135</v>
      </c>
      <c r="C34">
        <f t="shared" ref="C34:C63" si="10">B34</f>
        <v>7.0318936126573135</v>
      </c>
      <c r="D34" t="s">
        <v>28</v>
      </c>
      <c r="E34" t="s">
        <v>21</v>
      </c>
      <c r="F34">
        <v>1</v>
      </c>
      <c r="G34">
        <f t="shared" ref="G34:G38" si="11">G33+5</f>
        <v>15</v>
      </c>
      <c r="I34">
        <v>2050</v>
      </c>
      <c r="J34">
        <f t="shared" ref="J34:J38" si="12">AVERAGE(G34:G35)</f>
        <v>17.5</v>
      </c>
      <c r="K34" cm="1">
        <f t="array" ref="K34">STOWA2019_JAARROND_T(A34*60,J34,I34,"GH","center")</f>
        <v>4.8641120260584043E-2</v>
      </c>
      <c r="L34">
        <f t="shared" ref="L34:L38" si="13">1/K34</f>
        <v>20.558737024203413</v>
      </c>
    </row>
    <row r="35" spans="1:12" x14ac:dyDescent="0.3">
      <c r="A35">
        <v>48</v>
      </c>
      <c r="B35">
        <f t="shared" si="9"/>
        <v>8.8636520020350602</v>
      </c>
      <c r="C35">
        <f t="shared" si="10"/>
        <v>8.8636520020350602</v>
      </c>
      <c r="D35" t="s">
        <v>28</v>
      </c>
      <c r="E35" t="s">
        <v>21</v>
      </c>
      <c r="F35">
        <v>1</v>
      </c>
      <c r="G35">
        <f t="shared" si="11"/>
        <v>20</v>
      </c>
      <c r="I35">
        <v>2050</v>
      </c>
      <c r="J35">
        <f t="shared" si="12"/>
        <v>22.5</v>
      </c>
      <c r="K35" cm="1">
        <f t="array" ref="K35">STOWA2019_JAARROND_T(A35*60,J35,I35,"GH","center")</f>
        <v>8.5506005138438299E-2</v>
      </c>
      <c r="L35">
        <f t="shared" si="13"/>
        <v>11.695085022168353</v>
      </c>
    </row>
    <row r="36" spans="1:12" x14ac:dyDescent="0.3">
      <c r="A36">
        <v>48</v>
      </c>
      <c r="B36">
        <f t="shared" si="9"/>
        <v>4.839986530932018</v>
      </c>
      <c r="C36">
        <f t="shared" si="10"/>
        <v>4.839986530932018</v>
      </c>
      <c r="D36" t="s">
        <v>28</v>
      </c>
      <c r="E36" t="s">
        <v>21</v>
      </c>
      <c r="F36">
        <v>1</v>
      </c>
      <c r="G36">
        <f t="shared" si="11"/>
        <v>25</v>
      </c>
      <c r="I36">
        <v>2050</v>
      </c>
      <c r="J36">
        <f t="shared" si="12"/>
        <v>27.5</v>
      </c>
      <c r="K36" cm="1">
        <f t="array" ref="K36">STOWA2019_JAARROND_T(A36*60,J36,I36,"GH","center")</f>
        <v>0.14587682456764342</v>
      </c>
      <c r="L36">
        <f t="shared" si="13"/>
        <v>6.8550984912363351</v>
      </c>
    </row>
    <row r="37" spans="1:12" x14ac:dyDescent="0.3">
      <c r="A37">
        <v>48</v>
      </c>
      <c r="B37">
        <f t="shared" si="9"/>
        <v>2.7264253474464875</v>
      </c>
      <c r="C37">
        <f t="shared" si="10"/>
        <v>2.7264253474464875</v>
      </c>
      <c r="D37" t="s">
        <v>28</v>
      </c>
      <c r="E37" t="s">
        <v>21</v>
      </c>
      <c r="F37">
        <v>1</v>
      </c>
      <c r="G37">
        <f t="shared" si="11"/>
        <v>30</v>
      </c>
      <c r="I37">
        <v>2050</v>
      </c>
      <c r="J37">
        <f t="shared" si="12"/>
        <v>32.5</v>
      </c>
      <c r="K37" cm="1">
        <f t="array" ref="K37">STOWA2019_JAARROND_T(A37*60,J37,I37,"GH","center")</f>
        <v>0.24220856560276566</v>
      </c>
      <c r="L37">
        <f t="shared" si="13"/>
        <v>4.1286731437898476</v>
      </c>
    </row>
    <row r="38" spans="1:12" x14ac:dyDescent="0.3">
      <c r="A38">
        <v>48</v>
      </c>
      <c r="B38">
        <f t="shared" si="9"/>
        <v>1.5802527998073335</v>
      </c>
      <c r="C38">
        <f t="shared" si="10"/>
        <v>1.5802527998073335</v>
      </c>
      <c r="D38" t="s">
        <v>28</v>
      </c>
      <c r="E38" t="s">
        <v>21</v>
      </c>
      <c r="F38">
        <v>1</v>
      </c>
      <c r="G38">
        <f t="shared" si="11"/>
        <v>35</v>
      </c>
      <c r="I38">
        <v>2050</v>
      </c>
      <c r="J38">
        <f t="shared" si="12"/>
        <v>37.5</v>
      </c>
      <c r="K38" cm="1">
        <f t="array" ref="K38">STOWA2019_JAARROND_T(A38*60,J38,I38,"GH","center")</f>
        <v>0.39239994389515098</v>
      </c>
      <c r="L38">
        <f t="shared" si="13"/>
        <v>2.5484203439825142</v>
      </c>
    </row>
    <row r="39" spans="1:12" x14ac:dyDescent="0.3">
      <c r="A39">
        <v>48</v>
      </c>
      <c r="B39">
        <f>L38-L39</f>
        <v>0.93982736034072301</v>
      </c>
      <c r="C39">
        <f t="shared" si="10"/>
        <v>0.93982736034072301</v>
      </c>
      <c r="D39" t="s">
        <v>28</v>
      </c>
      <c r="E39" t="s">
        <v>21</v>
      </c>
      <c r="F39">
        <v>1</v>
      </c>
      <c r="G39">
        <f>G38+5</f>
        <v>40</v>
      </c>
      <c r="I39">
        <v>2050</v>
      </c>
      <c r="J39">
        <f>AVERAGE(G39:G40)</f>
        <v>42.5</v>
      </c>
      <c r="K39" cm="1">
        <f t="array" ref="K39">STOWA2019_JAARROND_T(A39*60,J39,I39,"GH","center")</f>
        <v>0.62166129665444603</v>
      </c>
      <c r="L39">
        <f>1/K39</f>
        <v>1.6085929836417912</v>
      </c>
    </row>
    <row r="40" spans="1:12" x14ac:dyDescent="0.3">
      <c r="A40">
        <v>48</v>
      </c>
      <c r="B40">
        <f t="shared" ref="B40:B62" si="14">L39-L40</f>
        <v>0.57233570649186816</v>
      </c>
      <c r="C40">
        <f t="shared" si="10"/>
        <v>0.57233570649186816</v>
      </c>
      <c r="D40" t="s">
        <v>28</v>
      </c>
      <c r="E40" t="s">
        <v>21</v>
      </c>
      <c r="F40">
        <v>1</v>
      </c>
      <c r="G40">
        <f t="shared" ref="G40:G63" si="15">G39+5</f>
        <v>45</v>
      </c>
      <c r="I40">
        <v>2050</v>
      </c>
      <c r="J40">
        <f t="shared" ref="J40:J62" si="16">AVERAGE(G40:G41)</f>
        <v>47.5</v>
      </c>
      <c r="K40" cm="1">
        <f t="array" ref="K40">STOWA2019_JAARROND_T(A40*60,J40,I40,"GH","center")</f>
        <v>0.9650113172187863</v>
      </c>
      <c r="L40">
        <f t="shared" ref="L40:L62" si="17">1/K40</f>
        <v>1.036257277149923</v>
      </c>
    </row>
    <row r="41" spans="1:12" x14ac:dyDescent="0.3">
      <c r="A41">
        <v>48</v>
      </c>
      <c r="B41">
        <f t="shared" si="14"/>
        <v>0.35605178405570004</v>
      </c>
      <c r="C41">
        <f t="shared" si="10"/>
        <v>0.35605178405570004</v>
      </c>
      <c r="D41" t="s">
        <v>28</v>
      </c>
      <c r="E41" t="s">
        <v>21</v>
      </c>
      <c r="F41">
        <v>1</v>
      </c>
      <c r="G41">
        <f t="shared" si="15"/>
        <v>50</v>
      </c>
      <c r="I41">
        <v>2050</v>
      </c>
      <c r="J41">
        <f t="shared" si="16"/>
        <v>52.5</v>
      </c>
      <c r="K41" cm="1">
        <f t="array" ref="K41">STOWA2019_JAARROND_T(A41*60,J41,I41,"GH","center")</f>
        <v>1.470143964070397</v>
      </c>
      <c r="L41">
        <f t="shared" si="17"/>
        <v>0.68020549309422296</v>
      </c>
    </row>
    <row r="42" spans="1:12" x14ac:dyDescent="0.3">
      <c r="A42">
        <v>48</v>
      </c>
      <c r="B42">
        <f t="shared" si="14"/>
        <v>0.22603475941449919</v>
      </c>
      <c r="C42">
        <f t="shared" si="10"/>
        <v>0.22603475941449919</v>
      </c>
      <c r="D42" t="s">
        <v>28</v>
      </c>
      <c r="E42" t="s">
        <v>21</v>
      </c>
      <c r="F42">
        <v>1</v>
      </c>
      <c r="G42">
        <f t="shared" si="15"/>
        <v>55</v>
      </c>
      <c r="I42">
        <v>2050</v>
      </c>
      <c r="J42">
        <f t="shared" si="16"/>
        <v>57.5</v>
      </c>
      <c r="K42" cm="1">
        <f t="array" ref="K42">STOWA2019_JAARROND_T(A42*60,J42,I42,"GH","center")</f>
        <v>2.2018151453703951</v>
      </c>
      <c r="L42">
        <f t="shared" si="17"/>
        <v>0.45417073367972377</v>
      </c>
    </row>
    <row r="43" spans="1:12" x14ac:dyDescent="0.3">
      <c r="A43">
        <v>48</v>
      </c>
      <c r="B43">
        <f t="shared" si="14"/>
        <v>0.1460950020166375</v>
      </c>
      <c r="C43">
        <f t="shared" si="10"/>
        <v>0.1460950020166375</v>
      </c>
      <c r="D43" t="s">
        <v>28</v>
      </c>
      <c r="E43" t="s">
        <v>21</v>
      </c>
      <c r="F43">
        <v>1</v>
      </c>
      <c r="G43">
        <f t="shared" si="15"/>
        <v>60</v>
      </c>
      <c r="I43">
        <v>2050</v>
      </c>
      <c r="J43">
        <f t="shared" si="16"/>
        <v>62.5</v>
      </c>
      <c r="K43" cm="1">
        <f t="array" ref="K43">STOWA2019_JAARROND_T(A43*60,J43,I43,"GH","center")</f>
        <v>3.2459551247405845</v>
      </c>
      <c r="L43">
        <f t="shared" si="17"/>
        <v>0.30807573166308627</v>
      </c>
    </row>
    <row r="44" spans="1:12" x14ac:dyDescent="0.3">
      <c r="A44">
        <v>48</v>
      </c>
      <c r="B44">
        <f t="shared" si="14"/>
        <v>9.6020527871638672E-2</v>
      </c>
      <c r="C44">
        <f t="shared" si="10"/>
        <v>9.6020527871638672E-2</v>
      </c>
      <c r="D44" t="s">
        <v>28</v>
      </c>
      <c r="E44" t="s">
        <v>21</v>
      </c>
      <c r="F44">
        <v>1</v>
      </c>
      <c r="G44">
        <f t="shared" si="15"/>
        <v>65</v>
      </c>
      <c r="I44">
        <v>2050</v>
      </c>
      <c r="J44">
        <f t="shared" si="16"/>
        <v>67.5</v>
      </c>
      <c r="K44" cm="1">
        <f t="array" ref="K44">STOWA2019_JAARROND_T(A44*60,J44,I44,"GH","center")</f>
        <v>4.7157531723837423</v>
      </c>
      <c r="L44">
        <f t="shared" si="17"/>
        <v>0.2120552037914476</v>
      </c>
    </row>
    <row r="45" spans="1:12" x14ac:dyDescent="0.3">
      <c r="A45">
        <v>48</v>
      </c>
      <c r="B45">
        <f t="shared" si="14"/>
        <v>6.4100565314240326E-2</v>
      </c>
      <c r="C45">
        <f t="shared" si="10"/>
        <v>6.4100565314240326E-2</v>
      </c>
      <c r="D45" t="s">
        <v>28</v>
      </c>
      <c r="E45" t="s">
        <v>21</v>
      </c>
      <c r="F45">
        <v>1</v>
      </c>
      <c r="G45">
        <f t="shared" si="15"/>
        <v>70</v>
      </c>
      <c r="I45">
        <v>2050</v>
      </c>
      <c r="J45">
        <f t="shared" si="16"/>
        <v>72.5</v>
      </c>
      <c r="K45" cm="1">
        <f t="array" ref="K45">STOWA2019_JAARROND_T(A45*60,J45,I45,"GH","center")</f>
        <v>6.7588283158425755</v>
      </c>
      <c r="L45">
        <f t="shared" si="17"/>
        <v>0.14795463847720727</v>
      </c>
    </row>
    <row r="46" spans="1:12" x14ac:dyDescent="0.3">
      <c r="A46">
        <v>48</v>
      </c>
      <c r="B46">
        <f t="shared" si="14"/>
        <v>4.341403202781613E-2</v>
      </c>
      <c r="C46">
        <f t="shared" si="10"/>
        <v>4.341403202781613E-2</v>
      </c>
      <c r="D46" t="s">
        <v>28</v>
      </c>
      <c r="E46" t="s">
        <v>21</v>
      </c>
      <c r="F46">
        <v>1</v>
      </c>
      <c r="G46">
        <f t="shared" si="15"/>
        <v>75</v>
      </c>
      <c r="I46">
        <v>2050</v>
      </c>
      <c r="J46">
        <f t="shared" si="16"/>
        <v>77.5</v>
      </c>
      <c r="K46" cm="1">
        <f t="array" ref="K46">STOWA2019_JAARROND_T(A46*60,J46,I46,"GH","center")</f>
        <v>9.5656609805885058</v>
      </c>
      <c r="L46">
        <f t="shared" si="17"/>
        <v>0.10454060644939114</v>
      </c>
    </row>
    <row r="47" spans="1:12" x14ac:dyDescent="0.3">
      <c r="A47">
        <v>48</v>
      </c>
      <c r="B47">
        <f t="shared" si="14"/>
        <v>2.9800788548065033E-2</v>
      </c>
      <c r="C47">
        <f t="shared" si="10"/>
        <v>2.9800788548065033E-2</v>
      </c>
      <c r="D47" t="s">
        <v>28</v>
      </c>
      <c r="E47" t="s">
        <v>21</v>
      </c>
      <c r="F47">
        <v>1</v>
      </c>
      <c r="G47">
        <f t="shared" si="15"/>
        <v>80</v>
      </c>
      <c r="I47">
        <v>2050</v>
      </c>
      <c r="J47">
        <f t="shared" si="16"/>
        <v>82.5</v>
      </c>
      <c r="K47" cm="1">
        <f t="array" ref="K47">STOWA2019_JAARROND_T(A47*60,J47,I47,"GH","center")</f>
        <v>13.379748948816438</v>
      </c>
      <c r="L47">
        <f t="shared" si="17"/>
        <v>7.4739817901326111E-2</v>
      </c>
    </row>
    <row r="48" spans="1:12" x14ac:dyDescent="0.3">
      <c r="A48">
        <v>48</v>
      </c>
      <c r="B48">
        <f t="shared" si="14"/>
        <v>2.0715265616199692E-2</v>
      </c>
      <c r="C48">
        <f t="shared" si="10"/>
        <v>2.0715265616199692E-2</v>
      </c>
      <c r="D48" t="s">
        <v>28</v>
      </c>
      <c r="E48" t="s">
        <v>21</v>
      </c>
      <c r="F48">
        <v>1</v>
      </c>
      <c r="G48">
        <f t="shared" si="15"/>
        <v>85</v>
      </c>
      <c r="I48">
        <v>2050</v>
      </c>
      <c r="J48">
        <f t="shared" si="16"/>
        <v>87.5</v>
      </c>
      <c r="K48" cm="1">
        <f t="array" ref="K48">STOWA2019_JAARROND_T(A48*60,J48,I48,"GH","center")</f>
        <v>18.510102494182288</v>
      </c>
      <c r="L48">
        <f t="shared" si="17"/>
        <v>5.4024552285126419E-2</v>
      </c>
    </row>
    <row r="49" spans="1:12" x14ac:dyDescent="0.3">
      <c r="A49">
        <v>48</v>
      </c>
      <c r="B49">
        <f t="shared" si="14"/>
        <v>1.4569736451191632E-2</v>
      </c>
      <c r="C49">
        <f t="shared" si="10"/>
        <v>1.4569736451191632E-2</v>
      </c>
      <c r="D49" t="s">
        <v>28</v>
      </c>
      <c r="E49" t="s">
        <v>21</v>
      </c>
      <c r="F49">
        <v>1</v>
      </c>
      <c r="G49">
        <f t="shared" si="15"/>
        <v>90</v>
      </c>
      <c r="I49">
        <v>2050</v>
      </c>
      <c r="J49">
        <f t="shared" si="16"/>
        <v>92.5</v>
      </c>
      <c r="K49" cm="1">
        <f t="array" ref="K49">STOWA2019_JAARROND_T(A49*60,J49,I49,"GH","center")</f>
        <v>25.345448429134667</v>
      </c>
      <c r="L49">
        <f t="shared" si="17"/>
        <v>3.9454815833934787E-2</v>
      </c>
    </row>
    <row r="50" spans="1:12" x14ac:dyDescent="0.3">
      <c r="A50">
        <v>48</v>
      </c>
      <c r="B50">
        <f t="shared" si="14"/>
        <v>1.0360777600261609E-2</v>
      </c>
      <c r="C50">
        <f t="shared" si="10"/>
        <v>1.0360777600261609E-2</v>
      </c>
      <c r="D50" t="s">
        <v>28</v>
      </c>
      <c r="E50" t="s">
        <v>21</v>
      </c>
      <c r="F50">
        <v>1</v>
      </c>
      <c r="G50">
        <f t="shared" si="15"/>
        <v>95</v>
      </c>
      <c r="I50">
        <v>2050</v>
      </c>
      <c r="J50">
        <f t="shared" si="16"/>
        <v>97.5</v>
      </c>
      <c r="K50" cm="1">
        <f t="array" ref="K50">STOWA2019_JAARROND_T(A50*60,J50,I50,"GH","center")</f>
        <v>34.37130287546708</v>
      </c>
      <c r="L50">
        <f t="shared" si="17"/>
        <v>2.9094038233673177E-2</v>
      </c>
    </row>
    <row r="51" spans="1:12" x14ac:dyDescent="0.3">
      <c r="A51">
        <v>48</v>
      </c>
      <c r="B51">
        <f t="shared" si="14"/>
        <v>7.4442774329814797E-3</v>
      </c>
      <c r="C51">
        <f t="shared" si="10"/>
        <v>7.4442774329814797E-3</v>
      </c>
      <c r="D51" t="s">
        <v>28</v>
      </c>
      <c r="E51" t="s">
        <v>21</v>
      </c>
      <c r="F51">
        <v>1</v>
      </c>
      <c r="G51">
        <f t="shared" si="15"/>
        <v>100</v>
      </c>
      <c r="I51">
        <v>2050</v>
      </c>
      <c r="J51">
        <f t="shared" si="16"/>
        <v>102.5</v>
      </c>
      <c r="K51" cm="1">
        <f t="array" ref="K51">STOWA2019_JAARROND_T(A51*60,J51,I51,"GH","center")</f>
        <v>46.189886770852944</v>
      </c>
      <c r="L51">
        <f t="shared" si="17"/>
        <v>2.1649760800691698E-2</v>
      </c>
    </row>
    <row r="52" spans="1:12" x14ac:dyDescent="0.3">
      <c r="A52">
        <v>48</v>
      </c>
      <c r="B52">
        <f t="shared" si="14"/>
        <v>5.4010474466312693E-3</v>
      </c>
      <c r="C52">
        <f t="shared" si="10"/>
        <v>5.4010474466312693E-3</v>
      </c>
      <c r="D52" t="s">
        <v>28</v>
      </c>
      <c r="E52" t="s">
        <v>21</v>
      </c>
      <c r="F52">
        <v>1</v>
      </c>
      <c r="G52">
        <f t="shared" si="15"/>
        <v>105</v>
      </c>
      <c r="I52">
        <v>2050</v>
      </c>
      <c r="J52">
        <f t="shared" si="16"/>
        <v>107.5</v>
      </c>
      <c r="K52" cm="1">
        <f t="array" ref="K52">STOWA2019_JAARROND_T(A52*60,J52,I52,"GH","center")</f>
        <v>61.543334429621638</v>
      </c>
      <c r="L52">
        <f t="shared" si="17"/>
        <v>1.6248713354060428E-2</v>
      </c>
    </row>
    <row r="53" spans="1:12" x14ac:dyDescent="0.3">
      <c r="A53">
        <v>48</v>
      </c>
      <c r="B53">
        <f t="shared" si="14"/>
        <v>3.9547320581575368E-3</v>
      </c>
      <c r="C53">
        <f t="shared" si="10"/>
        <v>3.9547320581575368E-3</v>
      </c>
      <c r="D53" t="s">
        <v>28</v>
      </c>
      <c r="E53" t="s">
        <v>21</v>
      </c>
      <c r="F53">
        <v>1</v>
      </c>
      <c r="G53">
        <f t="shared" si="15"/>
        <v>110</v>
      </c>
      <c r="I53">
        <v>2050</v>
      </c>
      <c r="J53">
        <f t="shared" si="16"/>
        <v>112.5</v>
      </c>
      <c r="K53" cm="1">
        <f t="array" ref="K53">STOWA2019_JAARROND_T(A53*60,J53,I53,"GH","center")</f>
        <v>81.340615048215611</v>
      </c>
      <c r="L53">
        <f t="shared" si="17"/>
        <v>1.2293981295902891E-2</v>
      </c>
    </row>
    <row r="54" spans="1:12" x14ac:dyDescent="0.3">
      <c r="A54">
        <v>48</v>
      </c>
      <c r="B54">
        <f t="shared" si="14"/>
        <v>2.9208480986976891E-3</v>
      </c>
      <c r="C54">
        <f t="shared" si="10"/>
        <v>2.9208480986976891E-3</v>
      </c>
      <c r="D54" t="s">
        <v>28</v>
      </c>
      <c r="E54" t="s">
        <v>21</v>
      </c>
      <c r="F54">
        <v>1</v>
      </c>
      <c r="G54">
        <f t="shared" si="15"/>
        <v>115</v>
      </c>
      <c r="I54">
        <v>2050</v>
      </c>
      <c r="J54">
        <f t="shared" si="16"/>
        <v>117.5</v>
      </c>
      <c r="K54" cm="1">
        <f t="array" ref="K54">STOWA2019_JAARROND_T(A54*60,J54,I54,"GH","center")</f>
        <v>106.68791096430499</v>
      </c>
      <c r="L54">
        <f t="shared" si="17"/>
        <v>9.3731331972052023E-3</v>
      </c>
    </row>
    <row r="55" spans="1:12" x14ac:dyDescent="0.3">
      <c r="A55">
        <v>48</v>
      </c>
      <c r="B55">
        <f t="shared" si="14"/>
        <v>2.175114965082308E-3</v>
      </c>
      <c r="C55">
        <f t="shared" si="10"/>
        <v>2.175114965082308E-3</v>
      </c>
      <c r="D55" t="s">
        <v>28</v>
      </c>
      <c r="E55" t="s">
        <v>21</v>
      </c>
      <c r="F55">
        <v>1</v>
      </c>
      <c r="G55">
        <f t="shared" si="15"/>
        <v>120</v>
      </c>
      <c r="I55">
        <v>2050</v>
      </c>
      <c r="J55">
        <f t="shared" si="16"/>
        <v>122.5</v>
      </c>
      <c r="K55" cm="1">
        <f t="array" ref="K55">STOWA2019_JAARROND_T(A55*60,J55,I55,"GH","center")</f>
        <v>138.92712796103496</v>
      </c>
      <c r="L55">
        <f t="shared" si="17"/>
        <v>7.1980182321228943E-3</v>
      </c>
    </row>
    <row r="56" spans="1:12" x14ac:dyDescent="0.3">
      <c r="A56">
        <v>48</v>
      </c>
      <c r="B56">
        <f t="shared" si="14"/>
        <v>1.6323145904583412E-3</v>
      </c>
      <c r="C56">
        <f t="shared" si="10"/>
        <v>1.6323145904583412E-3</v>
      </c>
      <c r="D56" t="s">
        <v>28</v>
      </c>
      <c r="E56" t="s">
        <v>21</v>
      </c>
      <c r="F56">
        <v>1</v>
      </c>
      <c r="G56">
        <f t="shared" si="15"/>
        <v>125</v>
      </c>
      <c r="I56">
        <v>2050</v>
      </c>
      <c r="J56">
        <f t="shared" si="16"/>
        <v>127.5</v>
      </c>
      <c r="K56" cm="1">
        <f t="array" ref="K56">STOWA2019_JAARROND_T(A56*60,J56,I56,"GH","center")</f>
        <v>179.67180151563491</v>
      </c>
      <c r="L56">
        <f t="shared" si="17"/>
        <v>5.5657036416645531E-3</v>
      </c>
    </row>
    <row r="57" spans="1:12" x14ac:dyDescent="0.3">
      <c r="A57">
        <v>48</v>
      </c>
      <c r="B57">
        <f t="shared" si="14"/>
        <v>1.2340878287732263E-3</v>
      </c>
      <c r="C57">
        <f t="shared" si="10"/>
        <v>1.2340878287732263E-3</v>
      </c>
      <c r="D57" t="s">
        <v>28</v>
      </c>
      <c r="E57" t="s">
        <v>21</v>
      </c>
      <c r="F57">
        <v>1</v>
      </c>
      <c r="G57">
        <f t="shared" si="15"/>
        <v>130</v>
      </c>
      <c r="I57">
        <v>2050</v>
      </c>
      <c r="J57">
        <f t="shared" si="16"/>
        <v>132.5</v>
      </c>
      <c r="K57" cm="1">
        <f t="array" ref="K57">STOWA2019_JAARROND_T(A57*60,J57,I57,"GH","center")</f>
        <v>230.86073262173872</v>
      </c>
      <c r="L57">
        <f t="shared" si="17"/>
        <v>4.3316158128913268E-3</v>
      </c>
    </row>
    <row r="58" spans="1:12" x14ac:dyDescent="0.3">
      <c r="A58">
        <v>48</v>
      </c>
      <c r="B58">
        <f t="shared" si="14"/>
        <v>9.3951635166408028E-4</v>
      </c>
      <c r="C58">
        <f t="shared" si="10"/>
        <v>9.3951635166408028E-4</v>
      </c>
      <c r="D58" t="s">
        <v>28</v>
      </c>
      <c r="E58" t="s">
        <v>21</v>
      </c>
      <c r="F58">
        <v>1</v>
      </c>
      <c r="G58">
        <f t="shared" si="15"/>
        <v>135</v>
      </c>
      <c r="I58">
        <v>2050</v>
      </c>
      <c r="J58">
        <f t="shared" si="16"/>
        <v>137.5</v>
      </c>
      <c r="K58" cm="1">
        <f t="array" ref="K58">STOWA2019_JAARROND_T(A58*60,J58,I58,"GH","center")</f>
        <v>294.80267646344441</v>
      </c>
      <c r="L58">
        <f t="shared" si="17"/>
        <v>3.3920994612272465E-3</v>
      </c>
    </row>
    <row r="59" spans="1:12" x14ac:dyDescent="0.3">
      <c r="A59">
        <v>48</v>
      </c>
      <c r="B59">
        <f t="shared" si="14"/>
        <v>7.2005323433921775E-4</v>
      </c>
      <c r="C59">
        <f t="shared" si="10"/>
        <v>7.2005323433921775E-4</v>
      </c>
      <c r="D59" t="s">
        <v>28</v>
      </c>
      <c r="E59" t="s">
        <v>21</v>
      </c>
      <c r="F59">
        <v>1</v>
      </c>
      <c r="G59">
        <f t="shared" si="15"/>
        <v>140</v>
      </c>
      <c r="I59">
        <v>2050</v>
      </c>
      <c r="J59">
        <f t="shared" si="16"/>
        <v>142.5</v>
      </c>
      <c r="K59" cm="1">
        <f t="array" ref="K59">STOWA2019_JAARROND_T(A59*60,J59,I59,"GH","center")</f>
        <v>374.24502238669714</v>
      </c>
      <c r="L59">
        <f t="shared" si="17"/>
        <v>2.6720462268880287E-3</v>
      </c>
    </row>
    <row r="60" spans="1:12" x14ac:dyDescent="0.3">
      <c r="A60">
        <v>48</v>
      </c>
      <c r="B60">
        <f t="shared" si="14"/>
        <v>5.5536300192297623E-4</v>
      </c>
      <c r="C60">
        <f t="shared" si="10"/>
        <v>5.5536300192297623E-4</v>
      </c>
      <c r="D60" t="s">
        <v>28</v>
      </c>
      <c r="E60" t="s">
        <v>21</v>
      </c>
      <c r="F60">
        <v>1</v>
      </c>
      <c r="G60">
        <f t="shared" si="15"/>
        <v>145</v>
      </c>
      <c r="I60">
        <v>2050</v>
      </c>
      <c r="J60">
        <f t="shared" si="16"/>
        <v>147.5</v>
      </c>
      <c r="K60" cm="1">
        <f t="array" ref="K60">STOWA2019_JAARROND_T(A60*60,J60,I60,"GH","center")</f>
        <v>472.43724909120988</v>
      </c>
      <c r="L60">
        <f t="shared" si="17"/>
        <v>2.1166832249650525E-3</v>
      </c>
    </row>
    <row r="61" spans="1:12" x14ac:dyDescent="0.3">
      <c r="A61">
        <v>48</v>
      </c>
      <c r="B61">
        <f t="shared" si="14"/>
        <v>4.3094599630953516E-4</v>
      </c>
      <c r="C61">
        <f t="shared" si="10"/>
        <v>4.3094599630953516E-4</v>
      </c>
      <c r="D61" t="s">
        <v>28</v>
      </c>
      <c r="E61" t="s">
        <v>21</v>
      </c>
      <c r="F61">
        <v>1</v>
      </c>
      <c r="G61">
        <f t="shared" si="15"/>
        <v>150</v>
      </c>
      <c r="I61">
        <v>2050</v>
      </c>
      <c r="J61">
        <f t="shared" si="16"/>
        <v>152.5</v>
      </c>
      <c r="K61" cm="1">
        <f t="array" ref="K61">STOWA2019_JAARROND_T(A61*60,J61,I61,"GH","center")</f>
        <v>593.21226523398525</v>
      </c>
      <c r="L61">
        <f t="shared" si="17"/>
        <v>1.6857372286555173E-3</v>
      </c>
    </row>
    <row r="62" spans="1:12" x14ac:dyDescent="0.3">
      <c r="A62">
        <v>48</v>
      </c>
      <c r="B62">
        <f t="shared" si="14"/>
        <v>3.3631912442423379E-4</v>
      </c>
      <c r="C62">
        <f t="shared" si="10"/>
        <v>3.3631912442423379E-4</v>
      </c>
      <c r="D62" t="s">
        <v>28</v>
      </c>
      <c r="E62" t="s">
        <v>21</v>
      </c>
      <c r="F62">
        <v>1</v>
      </c>
      <c r="G62">
        <f t="shared" si="15"/>
        <v>155</v>
      </c>
      <c r="I62">
        <v>2050</v>
      </c>
      <c r="J62">
        <f t="shared" si="16"/>
        <v>157.5</v>
      </c>
      <c r="K62" cm="1">
        <f t="array" ref="K62">STOWA2019_JAARROND_T(A62*60,J62,I62,"GH","center")</f>
        <v>741.06016279488495</v>
      </c>
      <c r="L62">
        <f t="shared" si="17"/>
        <v>1.3494181042312836E-3</v>
      </c>
    </row>
    <row r="63" spans="1:12" x14ac:dyDescent="0.3">
      <c r="A63">
        <v>48</v>
      </c>
      <c r="B63" s="1">
        <f>L62</f>
        <v>1.3494181042312836E-3</v>
      </c>
      <c r="C63">
        <f t="shared" si="10"/>
        <v>1.3494181042312836E-3</v>
      </c>
      <c r="D63" t="s">
        <v>28</v>
      </c>
      <c r="E63" t="s">
        <v>21</v>
      </c>
      <c r="F63">
        <v>1</v>
      </c>
      <c r="G63">
        <f t="shared" si="15"/>
        <v>160</v>
      </c>
      <c r="I63">
        <v>2050</v>
      </c>
      <c r="J63">
        <f>AVERAGE(G63:G64)</f>
        <v>85</v>
      </c>
      <c r="K63" cm="1">
        <f t="array" ref="K63">STOWA2019_JAARROND_T(A63*60,J63,I63,"GH","center")</f>
        <v>15.758152990920179</v>
      </c>
      <c r="L63">
        <f>1/K63</f>
        <v>6.3459213816251081E-2</v>
      </c>
    </row>
    <row r="64" spans="1:12" x14ac:dyDescent="0.3">
      <c r="A64">
        <v>96</v>
      </c>
      <c r="B64" s="1">
        <f>365.25*24/A64 - L64</f>
        <v>47.410373544717693</v>
      </c>
      <c r="C64">
        <f>B64</f>
        <v>47.410373544717693</v>
      </c>
      <c r="D64" t="s">
        <v>28</v>
      </c>
      <c r="E64" t="s">
        <v>21</v>
      </c>
      <c r="F64">
        <v>1</v>
      </c>
      <c r="G64">
        <v>10</v>
      </c>
      <c r="I64">
        <v>2050</v>
      </c>
      <c r="J64">
        <f>AVERAGE(G64:G66)</f>
        <v>15</v>
      </c>
      <c r="K64" cm="1">
        <f t="array" ref="K64">STOWA2019_JAARROND_T(A64*60,J64,I64,"GH","center")</f>
        <v>2.2777939948275101E-2</v>
      </c>
      <c r="L64">
        <f>1/K64</f>
        <v>43.902126455282307</v>
      </c>
    </row>
    <row r="65" spans="1:12" x14ac:dyDescent="0.3">
      <c r="A65">
        <v>96</v>
      </c>
      <c r="B65">
        <f t="shared" ref="B65:B69" si="18">L64-L65</f>
        <v>8.7804482775346102</v>
      </c>
      <c r="C65">
        <f t="shared" ref="C65:C94" si="19">B65</f>
        <v>8.7804482775346102</v>
      </c>
      <c r="D65" t="s">
        <v>28</v>
      </c>
      <c r="E65" t="s">
        <v>21</v>
      </c>
      <c r="F65">
        <v>1</v>
      </c>
      <c r="G65">
        <f t="shared" ref="G65:G69" si="20">G64+5</f>
        <v>15</v>
      </c>
      <c r="I65">
        <v>2050</v>
      </c>
      <c r="J65">
        <f t="shared" ref="J65:J69" si="21">AVERAGE(G65:G66)</f>
        <v>17.5</v>
      </c>
      <c r="K65" cm="1">
        <f t="array" ref="K65">STOWA2019_JAARROND_T(A65*60,J65,I65,"GH","center")</f>
        <v>2.8472443570010771E-2</v>
      </c>
      <c r="L65">
        <f t="shared" ref="L65:L69" si="22">1/K65</f>
        <v>35.121678177747697</v>
      </c>
    </row>
    <row r="66" spans="1:12" x14ac:dyDescent="0.3">
      <c r="A66">
        <v>96</v>
      </c>
      <c r="B66">
        <f t="shared" si="18"/>
        <v>12.445567288985284</v>
      </c>
      <c r="C66">
        <f t="shared" si="19"/>
        <v>12.445567288985284</v>
      </c>
      <c r="D66" t="s">
        <v>28</v>
      </c>
      <c r="E66" t="s">
        <v>21</v>
      </c>
      <c r="F66">
        <v>1</v>
      </c>
      <c r="G66">
        <f t="shared" si="20"/>
        <v>20</v>
      </c>
      <c r="I66">
        <v>2050</v>
      </c>
      <c r="J66">
        <f t="shared" si="21"/>
        <v>22.5</v>
      </c>
      <c r="K66" cm="1">
        <f t="array" ref="K66">STOWA2019_JAARROND_T(A66*60,J66,I66,"GH","center")</f>
        <v>4.4099272794417735E-2</v>
      </c>
      <c r="L66">
        <f t="shared" si="22"/>
        <v>22.676110888762413</v>
      </c>
    </row>
    <row r="67" spans="1:12" x14ac:dyDescent="0.3">
      <c r="A67">
        <v>96</v>
      </c>
      <c r="B67">
        <f t="shared" si="18"/>
        <v>7.8804060271323042</v>
      </c>
      <c r="C67">
        <f t="shared" si="19"/>
        <v>7.8804060271323042</v>
      </c>
      <c r="D67" t="s">
        <v>28</v>
      </c>
      <c r="E67" t="s">
        <v>21</v>
      </c>
      <c r="F67">
        <v>1</v>
      </c>
      <c r="G67">
        <f t="shared" si="20"/>
        <v>25</v>
      </c>
      <c r="I67">
        <v>2050</v>
      </c>
      <c r="J67">
        <f t="shared" si="21"/>
        <v>27.5</v>
      </c>
      <c r="K67" cm="1">
        <f t="array" ref="K67">STOWA2019_JAARROND_T(A67*60,J67,I67,"GH","center")</f>
        <v>6.7587182182398953E-2</v>
      </c>
      <c r="L67">
        <f t="shared" si="22"/>
        <v>14.795704861630108</v>
      </c>
    </row>
    <row r="68" spans="1:12" x14ac:dyDescent="0.3">
      <c r="A68">
        <v>96</v>
      </c>
      <c r="B68">
        <f t="shared" si="18"/>
        <v>5.0466839124909697</v>
      </c>
      <c r="C68">
        <f t="shared" si="19"/>
        <v>5.0466839124909697</v>
      </c>
      <c r="D68" t="s">
        <v>28</v>
      </c>
      <c r="E68" t="s">
        <v>21</v>
      </c>
      <c r="F68">
        <v>1</v>
      </c>
      <c r="G68">
        <f t="shared" si="20"/>
        <v>30</v>
      </c>
      <c r="I68">
        <v>2050</v>
      </c>
      <c r="J68">
        <f t="shared" si="21"/>
        <v>32.5</v>
      </c>
      <c r="K68" cm="1">
        <f t="array" ref="K68">STOWA2019_JAARROND_T(A68*60,J68,I68,"GH","center")</f>
        <v>0.10257440262125012</v>
      </c>
      <c r="L68">
        <f t="shared" si="22"/>
        <v>9.7490209491391386</v>
      </c>
    </row>
    <row r="69" spans="1:12" x14ac:dyDescent="0.3">
      <c r="A69">
        <v>96</v>
      </c>
      <c r="B69">
        <f t="shared" si="18"/>
        <v>3.2658455213634872</v>
      </c>
      <c r="C69">
        <f t="shared" si="19"/>
        <v>3.2658455213634872</v>
      </c>
      <c r="D69" t="s">
        <v>28</v>
      </c>
      <c r="E69" t="s">
        <v>21</v>
      </c>
      <c r="F69">
        <v>1</v>
      </c>
      <c r="G69">
        <f t="shared" si="20"/>
        <v>35</v>
      </c>
      <c r="I69">
        <v>2050</v>
      </c>
      <c r="J69">
        <f t="shared" si="21"/>
        <v>37.5</v>
      </c>
      <c r="K69" cm="1">
        <f t="array" ref="K69">STOWA2019_JAARROND_T(A69*60,J69,I69,"GH","center")</f>
        <v>0.15424540198553527</v>
      </c>
      <c r="L69">
        <f t="shared" si="22"/>
        <v>6.4831754277756515</v>
      </c>
    </row>
    <row r="70" spans="1:12" x14ac:dyDescent="0.3">
      <c r="A70">
        <v>96</v>
      </c>
      <c r="B70">
        <f>L69-L70</f>
        <v>2.1335948710810326</v>
      </c>
      <c r="C70">
        <f t="shared" si="19"/>
        <v>2.1335948710810326</v>
      </c>
      <c r="D70" t="s">
        <v>28</v>
      </c>
      <c r="E70" t="s">
        <v>21</v>
      </c>
      <c r="F70">
        <v>1</v>
      </c>
      <c r="G70">
        <f>G69+5</f>
        <v>40</v>
      </c>
      <c r="I70">
        <v>2050</v>
      </c>
      <c r="J70">
        <f>AVERAGE(G70:G71)</f>
        <v>42.5</v>
      </c>
      <c r="K70" cm="1">
        <f t="array" ref="K70">STOWA2019_JAARROND_T(A70*60,J70,I70,"GH","center")</f>
        <v>0.22990722598776994</v>
      </c>
      <c r="L70">
        <f>1/K70</f>
        <v>4.3495805566946188</v>
      </c>
    </row>
    <row r="71" spans="1:12" x14ac:dyDescent="0.3">
      <c r="A71">
        <v>96</v>
      </c>
      <c r="B71">
        <f t="shared" ref="B71:B93" si="23">L70-L71</f>
        <v>1.4068297499635607</v>
      </c>
      <c r="C71">
        <f t="shared" si="19"/>
        <v>1.4068297499635607</v>
      </c>
      <c r="D71" t="s">
        <v>28</v>
      </c>
      <c r="E71" t="s">
        <v>21</v>
      </c>
      <c r="F71">
        <v>1</v>
      </c>
      <c r="G71">
        <f t="shared" ref="G71:G94" si="24">G70+5</f>
        <v>45</v>
      </c>
      <c r="I71">
        <v>2050</v>
      </c>
      <c r="J71">
        <f t="shared" ref="J71:J93" si="25">AVERAGE(G71:G72)</f>
        <v>47.5</v>
      </c>
      <c r="K71" cm="1">
        <f t="array" ref="K71">STOWA2019_JAARROND_T(A71*60,J71,I71,"GH","center")</f>
        <v>0.33981810410608487</v>
      </c>
      <c r="L71">
        <f t="shared" ref="L71:L93" si="26">1/K71</f>
        <v>2.9427508067310582</v>
      </c>
    </row>
    <row r="72" spans="1:12" x14ac:dyDescent="0.3">
      <c r="A72">
        <v>96</v>
      </c>
      <c r="B72">
        <f t="shared" si="23"/>
        <v>0.93572637077709864</v>
      </c>
      <c r="C72">
        <f t="shared" si="19"/>
        <v>0.93572637077709864</v>
      </c>
      <c r="D72" t="s">
        <v>28</v>
      </c>
      <c r="E72" t="s">
        <v>21</v>
      </c>
      <c r="F72">
        <v>1</v>
      </c>
      <c r="G72">
        <f t="shared" si="24"/>
        <v>50</v>
      </c>
      <c r="I72">
        <v>2050</v>
      </c>
      <c r="J72">
        <f t="shared" si="25"/>
        <v>52.5</v>
      </c>
      <c r="K72" cm="1">
        <f t="array" ref="K72">STOWA2019_JAARROND_T(A72*60,J72,I72,"GH","center")</f>
        <v>0.49825003726209727</v>
      </c>
      <c r="L72">
        <f t="shared" si="26"/>
        <v>2.0070244359539595</v>
      </c>
    </row>
    <row r="73" spans="1:12" x14ac:dyDescent="0.3">
      <c r="A73">
        <v>96</v>
      </c>
      <c r="B73">
        <f t="shared" si="23"/>
        <v>0.62757360669094231</v>
      </c>
      <c r="C73">
        <f t="shared" si="19"/>
        <v>0.62757360669094231</v>
      </c>
      <c r="D73" t="s">
        <v>28</v>
      </c>
      <c r="E73" t="s">
        <v>21</v>
      </c>
      <c r="F73">
        <v>1</v>
      </c>
      <c r="G73">
        <f t="shared" si="24"/>
        <v>55</v>
      </c>
      <c r="I73">
        <v>2050</v>
      </c>
      <c r="J73">
        <f t="shared" si="25"/>
        <v>57.5</v>
      </c>
      <c r="K73" cm="1">
        <f t="array" ref="K73">STOWA2019_JAARROND_T(A73*60,J73,I73,"GH","center")</f>
        <v>0.72492616538877153</v>
      </c>
      <c r="L73">
        <f t="shared" si="26"/>
        <v>1.3794508292630172</v>
      </c>
    </row>
    <row r="74" spans="1:12" x14ac:dyDescent="0.3">
      <c r="A74">
        <v>96</v>
      </c>
      <c r="B74">
        <f t="shared" si="23"/>
        <v>0.42419436530118726</v>
      </c>
      <c r="C74">
        <f t="shared" si="19"/>
        <v>0.42419436530118726</v>
      </c>
      <c r="D74" t="s">
        <v>28</v>
      </c>
      <c r="E74" t="s">
        <v>21</v>
      </c>
      <c r="F74">
        <v>1</v>
      </c>
      <c r="G74">
        <f t="shared" si="24"/>
        <v>60</v>
      </c>
      <c r="I74">
        <v>2050</v>
      </c>
      <c r="J74">
        <f t="shared" si="25"/>
        <v>62.5</v>
      </c>
      <c r="K74" cm="1">
        <f t="array" ref="K74">STOWA2019_JAARROND_T(A74*60,J74,I74,"GH","center")</f>
        <v>1.0468392915684661</v>
      </c>
      <c r="L74">
        <f t="shared" si="26"/>
        <v>0.95525646396182995</v>
      </c>
    </row>
    <row r="75" spans="1:12" x14ac:dyDescent="0.3">
      <c r="A75">
        <v>96</v>
      </c>
      <c r="B75">
        <f t="shared" si="23"/>
        <v>0.28910522107705805</v>
      </c>
      <c r="C75">
        <f t="shared" si="19"/>
        <v>0.28910522107705805</v>
      </c>
      <c r="D75" t="s">
        <v>28</v>
      </c>
      <c r="E75" t="s">
        <v>21</v>
      </c>
      <c r="F75">
        <v>1</v>
      </c>
      <c r="G75">
        <f t="shared" si="24"/>
        <v>65</v>
      </c>
      <c r="I75">
        <v>2050</v>
      </c>
      <c r="J75">
        <f t="shared" si="25"/>
        <v>67.5</v>
      </c>
      <c r="K75" cm="1">
        <f t="array" ref="K75">STOWA2019_JAARROND_T(A75*60,J75,I75,"GH","center")</f>
        <v>1.5011606008111522</v>
      </c>
      <c r="L75">
        <f t="shared" si="26"/>
        <v>0.6661512428847719</v>
      </c>
    </row>
    <row r="76" spans="1:12" x14ac:dyDescent="0.3">
      <c r="A76">
        <v>96</v>
      </c>
      <c r="B76">
        <f t="shared" si="23"/>
        <v>0.19841328743016662</v>
      </c>
      <c r="C76">
        <f t="shared" si="19"/>
        <v>0.19841328743016662</v>
      </c>
      <c r="D76" t="s">
        <v>28</v>
      </c>
      <c r="E76" t="s">
        <v>21</v>
      </c>
      <c r="F76">
        <v>1</v>
      </c>
      <c r="G76">
        <f t="shared" si="24"/>
        <v>70</v>
      </c>
      <c r="I76">
        <v>2050</v>
      </c>
      <c r="J76">
        <f t="shared" si="25"/>
        <v>72.5</v>
      </c>
      <c r="K76" cm="1">
        <f t="array" ref="K76">STOWA2019_JAARROND_T(A76*60,J76,I76,"GH","center")</f>
        <v>2.1379492263527706</v>
      </c>
      <c r="L76">
        <f t="shared" si="26"/>
        <v>0.46773795545460528</v>
      </c>
    </row>
    <row r="77" spans="1:12" x14ac:dyDescent="0.3">
      <c r="A77">
        <v>96</v>
      </c>
      <c r="B77">
        <f t="shared" si="23"/>
        <v>0.13714559128849041</v>
      </c>
      <c r="C77">
        <f t="shared" si="19"/>
        <v>0.13714559128849041</v>
      </c>
      <c r="D77" t="s">
        <v>28</v>
      </c>
      <c r="E77" t="s">
        <v>21</v>
      </c>
      <c r="F77">
        <v>1</v>
      </c>
      <c r="G77">
        <f t="shared" si="24"/>
        <v>75</v>
      </c>
      <c r="I77">
        <v>2050</v>
      </c>
      <c r="J77">
        <f t="shared" si="25"/>
        <v>77.5</v>
      </c>
      <c r="K77" cm="1">
        <f t="array" ref="K77">STOWA2019_JAARROND_T(A77*60,J77,I77,"GH","center")</f>
        <v>3.0248732529633489</v>
      </c>
      <c r="L77">
        <f t="shared" si="26"/>
        <v>0.33059236416611487</v>
      </c>
    </row>
    <row r="78" spans="1:12" x14ac:dyDescent="0.3">
      <c r="A78">
        <v>96</v>
      </c>
      <c r="B78">
        <f t="shared" si="23"/>
        <v>9.5444698200323558E-2</v>
      </c>
      <c r="C78">
        <f t="shared" si="19"/>
        <v>9.5444698200323558E-2</v>
      </c>
      <c r="D78" t="s">
        <v>28</v>
      </c>
      <c r="E78" t="s">
        <v>21</v>
      </c>
      <c r="F78">
        <v>1</v>
      </c>
      <c r="G78">
        <f t="shared" si="24"/>
        <v>80</v>
      </c>
      <c r="I78">
        <v>2050</v>
      </c>
      <c r="J78">
        <f t="shared" si="25"/>
        <v>82.5</v>
      </c>
      <c r="K78" cm="1">
        <f t="array" ref="K78">STOWA2019_JAARROND_T(A78*60,J78,I78,"GH","center")</f>
        <v>4.2526469309947457</v>
      </c>
      <c r="L78">
        <f t="shared" si="26"/>
        <v>0.23514766596579131</v>
      </c>
    </row>
    <row r="79" spans="1:12" x14ac:dyDescent="0.3">
      <c r="A79">
        <v>96</v>
      </c>
      <c r="B79">
        <f t="shared" si="23"/>
        <v>6.6865143662547671E-2</v>
      </c>
      <c r="C79">
        <f t="shared" si="19"/>
        <v>6.6865143662547671E-2</v>
      </c>
      <c r="D79" t="s">
        <v>28</v>
      </c>
      <c r="E79" t="s">
        <v>21</v>
      </c>
      <c r="F79">
        <v>1</v>
      </c>
      <c r="G79">
        <f t="shared" si="24"/>
        <v>85</v>
      </c>
      <c r="I79">
        <v>2050</v>
      </c>
      <c r="J79">
        <f t="shared" si="25"/>
        <v>87.5</v>
      </c>
      <c r="K79" cm="1">
        <f t="array" ref="K79">STOWA2019_JAARROND_T(A79*60,J79,I79,"GH","center")</f>
        <v>5.9423877555032645</v>
      </c>
      <c r="L79">
        <f t="shared" si="26"/>
        <v>0.16828252230324364</v>
      </c>
    </row>
    <row r="80" spans="1:12" x14ac:dyDescent="0.3">
      <c r="A80">
        <v>96</v>
      </c>
      <c r="B80">
        <f t="shared" si="23"/>
        <v>4.713827987212367E-2</v>
      </c>
      <c r="C80">
        <f t="shared" si="19"/>
        <v>4.713827987212367E-2</v>
      </c>
      <c r="D80" t="s">
        <v>28</v>
      </c>
      <c r="E80" t="s">
        <v>21</v>
      </c>
      <c r="F80">
        <v>1</v>
      </c>
      <c r="G80">
        <f t="shared" si="24"/>
        <v>90</v>
      </c>
      <c r="I80">
        <v>2050</v>
      </c>
      <c r="J80">
        <f t="shared" si="25"/>
        <v>92.5</v>
      </c>
      <c r="K80" cm="1">
        <f t="array" ref="K80">STOWA2019_JAARROND_T(A80*60,J80,I80,"GH","center")</f>
        <v>8.2546225881810162</v>
      </c>
      <c r="L80">
        <f t="shared" si="26"/>
        <v>0.12114424243111997</v>
      </c>
    </row>
    <row r="81" spans="1:12" x14ac:dyDescent="0.3">
      <c r="A81">
        <v>96</v>
      </c>
      <c r="B81">
        <f t="shared" si="23"/>
        <v>3.343628574276955E-2</v>
      </c>
      <c r="C81">
        <f t="shared" si="19"/>
        <v>3.343628574276955E-2</v>
      </c>
      <c r="D81" t="s">
        <v>28</v>
      </c>
      <c r="E81" t="s">
        <v>21</v>
      </c>
      <c r="F81">
        <v>1</v>
      </c>
      <c r="G81">
        <f t="shared" si="24"/>
        <v>95</v>
      </c>
      <c r="I81">
        <v>2050</v>
      </c>
      <c r="J81">
        <f t="shared" si="25"/>
        <v>97.5</v>
      </c>
      <c r="K81" cm="1">
        <f t="array" ref="K81">STOWA2019_JAARROND_T(A81*60,J81,I81,"GH","center")</f>
        <v>11.401474139378992</v>
      </c>
      <c r="L81">
        <f t="shared" si="26"/>
        <v>8.7707956688350422E-2</v>
      </c>
    </row>
    <row r="82" spans="1:12" x14ac:dyDescent="0.3">
      <c r="A82">
        <v>96</v>
      </c>
      <c r="B82">
        <f t="shared" si="23"/>
        <v>2.3857586875092887E-2</v>
      </c>
      <c r="C82">
        <f t="shared" si="19"/>
        <v>2.3857586875092887E-2</v>
      </c>
      <c r="D82" t="s">
        <v>28</v>
      </c>
      <c r="E82" t="s">
        <v>21</v>
      </c>
      <c r="F82">
        <v>1</v>
      </c>
      <c r="G82">
        <f t="shared" si="24"/>
        <v>100</v>
      </c>
      <c r="I82">
        <v>2050</v>
      </c>
      <c r="J82">
        <f t="shared" si="25"/>
        <v>102.5</v>
      </c>
      <c r="K82" cm="1">
        <f t="array" ref="K82">STOWA2019_JAARROND_T(A82*60,J82,I82,"GH","center")</f>
        <v>15.661616415452078</v>
      </c>
      <c r="L82">
        <f t="shared" si="26"/>
        <v>6.3850369813257535E-2</v>
      </c>
    </row>
    <row r="83" spans="1:12" x14ac:dyDescent="0.3">
      <c r="A83">
        <v>96</v>
      </c>
      <c r="B83">
        <f t="shared" si="23"/>
        <v>1.7120339960655255E-2</v>
      </c>
      <c r="C83">
        <f t="shared" si="19"/>
        <v>1.7120339960655255E-2</v>
      </c>
      <c r="D83" t="s">
        <v>28</v>
      </c>
      <c r="E83" t="s">
        <v>21</v>
      </c>
      <c r="F83">
        <v>1</v>
      </c>
      <c r="G83">
        <f t="shared" si="24"/>
        <v>105</v>
      </c>
      <c r="I83">
        <v>2050</v>
      </c>
      <c r="J83">
        <f t="shared" si="25"/>
        <v>107.5</v>
      </c>
      <c r="K83" cm="1">
        <f t="array" ref="K83">STOWA2019_JAARROND_T(A83*60,J83,I83,"GH","center")</f>
        <v>21.399515539669881</v>
      </c>
      <c r="L83">
        <f t="shared" si="26"/>
        <v>4.673002985260228E-2</v>
      </c>
    </row>
    <row r="84" spans="1:12" x14ac:dyDescent="0.3">
      <c r="A84">
        <v>96</v>
      </c>
      <c r="B84">
        <f t="shared" si="23"/>
        <v>1.2353330830887417E-2</v>
      </c>
      <c r="C84">
        <f t="shared" si="19"/>
        <v>1.2353330830887417E-2</v>
      </c>
      <c r="D84" t="s">
        <v>28</v>
      </c>
      <c r="E84" t="s">
        <v>21</v>
      </c>
      <c r="F84">
        <v>1</v>
      </c>
      <c r="G84">
        <f t="shared" si="24"/>
        <v>110</v>
      </c>
      <c r="I84">
        <v>2050</v>
      </c>
      <c r="J84">
        <f t="shared" si="25"/>
        <v>112.5</v>
      </c>
      <c r="K84" cm="1">
        <f t="array" ref="K84">STOWA2019_JAARROND_T(A84*60,J84,I84,"GH","center")</f>
        <v>29.089471312191034</v>
      </c>
      <c r="L84">
        <f t="shared" si="26"/>
        <v>3.4376699021714863E-2</v>
      </c>
    </row>
    <row r="85" spans="1:12" x14ac:dyDescent="0.3">
      <c r="A85">
        <v>96</v>
      </c>
      <c r="B85">
        <f t="shared" si="23"/>
        <v>8.9617891990678815E-3</v>
      </c>
      <c r="C85">
        <f t="shared" si="19"/>
        <v>8.9617891990678815E-3</v>
      </c>
      <c r="D85" t="s">
        <v>28</v>
      </c>
      <c r="E85" t="s">
        <v>21</v>
      </c>
      <c r="F85">
        <v>1</v>
      </c>
      <c r="G85">
        <f t="shared" si="24"/>
        <v>115</v>
      </c>
      <c r="I85">
        <v>2050</v>
      </c>
      <c r="J85">
        <f t="shared" si="25"/>
        <v>117.5</v>
      </c>
      <c r="K85" cm="1">
        <f t="array" ref="K85">STOWA2019_JAARROND_T(A85*60,J85,I85,"GH","center")</f>
        <v>39.346982026625554</v>
      </c>
      <c r="L85">
        <f t="shared" si="26"/>
        <v>2.5414909822646981E-2</v>
      </c>
    </row>
    <row r="86" spans="1:12" x14ac:dyDescent="0.3">
      <c r="A86">
        <v>96</v>
      </c>
      <c r="B86">
        <f t="shared" si="23"/>
        <v>6.5348235207512949E-3</v>
      </c>
      <c r="C86">
        <f t="shared" si="19"/>
        <v>6.5348235207512949E-3</v>
      </c>
      <c r="D86" t="s">
        <v>28</v>
      </c>
      <c r="E86" t="s">
        <v>21</v>
      </c>
      <c r="F86">
        <v>1</v>
      </c>
      <c r="G86">
        <f t="shared" si="24"/>
        <v>120</v>
      </c>
      <c r="I86">
        <v>2050</v>
      </c>
      <c r="J86">
        <f t="shared" si="25"/>
        <v>122.5</v>
      </c>
      <c r="K86" cm="1">
        <f t="array" ref="K86">STOWA2019_JAARROND_T(A86*60,J86,I86,"GH","center")</f>
        <v>52.965859583999539</v>
      </c>
      <c r="L86">
        <f t="shared" si="26"/>
        <v>1.8880086301895686E-2</v>
      </c>
    </row>
    <row r="87" spans="1:12" x14ac:dyDescent="0.3">
      <c r="A87">
        <v>96</v>
      </c>
      <c r="B87">
        <f t="shared" si="23"/>
        <v>4.7888995273637058E-3</v>
      </c>
      <c r="C87">
        <f t="shared" si="19"/>
        <v>4.7888995273637058E-3</v>
      </c>
      <c r="D87" t="s">
        <v>28</v>
      </c>
      <c r="E87" t="s">
        <v>21</v>
      </c>
      <c r="F87">
        <v>1</v>
      </c>
      <c r="G87">
        <f t="shared" si="24"/>
        <v>125</v>
      </c>
      <c r="I87">
        <v>2050</v>
      </c>
      <c r="J87">
        <f t="shared" si="25"/>
        <v>127.5</v>
      </c>
      <c r="K87" cm="1">
        <f t="array" ref="K87">STOWA2019_JAARROND_T(A87*60,J87,I87,"GH","center")</f>
        <v>70.966343431581805</v>
      </c>
      <c r="L87">
        <f t="shared" si="26"/>
        <v>1.4091186774531981E-2</v>
      </c>
    </row>
    <row r="88" spans="1:12" x14ac:dyDescent="0.3">
      <c r="A88">
        <v>96</v>
      </c>
      <c r="B88">
        <f t="shared" si="23"/>
        <v>3.5266403713095223E-3</v>
      </c>
      <c r="C88">
        <f t="shared" si="19"/>
        <v>3.5266403713095223E-3</v>
      </c>
      <c r="D88" t="s">
        <v>28</v>
      </c>
      <c r="E88" t="s">
        <v>21</v>
      </c>
      <c r="F88">
        <v>1</v>
      </c>
      <c r="G88">
        <f t="shared" si="24"/>
        <v>130</v>
      </c>
      <c r="I88">
        <v>2050</v>
      </c>
      <c r="J88">
        <f t="shared" si="25"/>
        <v>132.5</v>
      </c>
      <c r="K88" cm="1">
        <f t="array" ref="K88">STOWA2019_JAARROND_T(A88*60,J88,I88,"GH","center")</f>
        <v>94.656217298167604</v>
      </c>
      <c r="L88">
        <f t="shared" si="26"/>
        <v>1.0564546403222458E-2</v>
      </c>
    </row>
    <row r="89" spans="1:12" x14ac:dyDescent="0.3">
      <c r="A89">
        <v>96</v>
      </c>
      <c r="B89">
        <f t="shared" si="23"/>
        <v>2.6091871936430849E-3</v>
      </c>
      <c r="C89">
        <f t="shared" si="19"/>
        <v>2.6091871936430849E-3</v>
      </c>
      <c r="D89" t="s">
        <v>28</v>
      </c>
      <c r="E89" t="s">
        <v>21</v>
      </c>
      <c r="F89">
        <v>1</v>
      </c>
      <c r="G89">
        <f t="shared" si="24"/>
        <v>135</v>
      </c>
      <c r="I89">
        <v>2050</v>
      </c>
      <c r="J89">
        <f t="shared" si="25"/>
        <v>137.5</v>
      </c>
      <c r="K89" cm="1">
        <f t="array" ref="K89">STOWA2019_JAARROND_T(A89*60,J89,I89,"GH","center")</f>
        <v>125.70142637881882</v>
      </c>
      <c r="L89">
        <f t="shared" si="26"/>
        <v>7.9553592095793733E-3</v>
      </c>
    </row>
    <row r="90" spans="1:12" x14ac:dyDescent="0.3">
      <c r="A90">
        <v>96</v>
      </c>
      <c r="B90">
        <f t="shared" si="23"/>
        <v>1.9392665459469017E-3</v>
      </c>
      <c r="C90">
        <f t="shared" si="19"/>
        <v>1.9392665459469017E-3</v>
      </c>
      <c r="D90" t="s">
        <v>28</v>
      </c>
      <c r="E90" t="s">
        <v>21</v>
      </c>
      <c r="F90">
        <v>1</v>
      </c>
      <c r="G90">
        <f t="shared" si="24"/>
        <v>140</v>
      </c>
      <c r="I90">
        <v>2050</v>
      </c>
      <c r="J90">
        <f t="shared" si="25"/>
        <v>142.5</v>
      </c>
      <c r="K90" cm="1">
        <f t="array" ref="K90">STOWA2019_JAARROND_T(A90*60,J90,I90,"GH","center")</f>
        <v>166.22084397819222</v>
      </c>
      <c r="L90">
        <f t="shared" si="26"/>
        <v>6.0160926636324717E-3</v>
      </c>
    </row>
    <row r="91" spans="1:12" x14ac:dyDescent="0.3">
      <c r="A91">
        <v>96</v>
      </c>
      <c r="B91">
        <f t="shared" si="23"/>
        <v>1.4477307838628804E-3</v>
      </c>
      <c r="C91">
        <f t="shared" si="19"/>
        <v>1.4477307838628804E-3</v>
      </c>
      <c r="D91" t="s">
        <v>28</v>
      </c>
      <c r="E91" t="s">
        <v>21</v>
      </c>
      <c r="F91">
        <v>1</v>
      </c>
      <c r="G91">
        <f t="shared" si="24"/>
        <v>145</v>
      </c>
      <c r="I91">
        <v>2050</v>
      </c>
      <c r="J91">
        <f t="shared" si="25"/>
        <v>147.5</v>
      </c>
      <c r="K91" cm="1">
        <f t="array" ref="K91">STOWA2019_JAARROND_T(A91*60,J91,I91,"GH","center")</f>
        <v>218.89684449657383</v>
      </c>
      <c r="L91">
        <f t="shared" si="26"/>
        <v>4.5683618797695913E-3</v>
      </c>
    </row>
    <row r="92" spans="1:12" x14ac:dyDescent="0.3">
      <c r="A92">
        <v>96</v>
      </c>
      <c r="B92">
        <f t="shared" si="23"/>
        <v>1.0854455125098019E-3</v>
      </c>
      <c r="C92">
        <f t="shared" si="19"/>
        <v>1.0854455125098019E-3</v>
      </c>
      <c r="D92" t="s">
        <v>28</v>
      </c>
      <c r="E92" t="s">
        <v>21</v>
      </c>
      <c r="F92">
        <v>1</v>
      </c>
      <c r="G92">
        <f t="shared" si="24"/>
        <v>150</v>
      </c>
      <c r="I92">
        <v>2050</v>
      </c>
      <c r="J92">
        <f t="shared" si="25"/>
        <v>152.5</v>
      </c>
      <c r="K92" cm="1">
        <f t="array" ref="K92">STOWA2019_JAARROND_T(A92*60,J92,I92,"GH","center")</f>
        <v>287.11570837595434</v>
      </c>
      <c r="L92">
        <f t="shared" si="26"/>
        <v>3.4829163672597894E-3</v>
      </c>
    </row>
    <row r="93" spans="1:12" x14ac:dyDescent="0.3">
      <c r="A93">
        <v>96</v>
      </c>
      <c r="B93">
        <f t="shared" si="23"/>
        <v>8.1717862100294004E-4</v>
      </c>
      <c r="C93">
        <f t="shared" si="19"/>
        <v>8.1717862100294004E-4</v>
      </c>
      <c r="D93" t="s">
        <v>28</v>
      </c>
      <c r="E93" t="s">
        <v>21</v>
      </c>
      <c r="F93">
        <v>1</v>
      </c>
      <c r="G93">
        <f t="shared" si="24"/>
        <v>155</v>
      </c>
      <c r="I93">
        <v>2050</v>
      </c>
      <c r="J93">
        <f t="shared" si="25"/>
        <v>157.5</v>
      </c>
      <c r="K93" cm="1">
        <f t="array" ref="K93">STOWA2019_JAARROND_T(A93*60,J93,I93,"GH","center")</f>
        <v>375.13067495261703</v>
      </c>
      <c r="L93">
        <f t="shared" si="26"/>
        <v>2.6657377462568493E-3</v>
      </c>
    </row>
    <row r="94" spans="1:12" x14ac:dyDescent="0.3">
      <c r="A94">
        <v>96</v>
      </c>
      <c r="B94" s="1">
        <f>L93</f>
        <v>2.6657377462568493E-3</v>
      </c>
      <c r="C94">
        <f t="shared" si="19"/>
        <v>2.6657377462568493E-3</v>
      </c>
      <c r="D94" t="s">
        <v>28</v>
      </c>
      <c r="E94" t="s">
        <v>21</v>
      </c>
      <c r="F94">
        <v>1</v>
      </c>
      <c r="G94">
        <f t="shared" si="24"/>
        <v>160</v>
      </c>
      <c r="I94">
        <v>2050</v>
      </c>
      <c r="J94">
        <f>AVERAGE(G94:G95)</f>
        <v>85</v>
      </c>
      <c r="K94" cm="1">
        <f t="array" ref="K94">STOWA2019_JAARROND_T(A94*60,J94,I94,"GH","center")</f>
        <v>5.0307891562432072</v>
      </c>
      <c r="L94">
        <f>1/K94</f>
        <v>0.19877597111359763</v>
      </c>
    </row>
    <row r="95" spans="1:12" x14ac:dyDescent="0.3">
      <c r="A95">
        <v>192</v>
      </c>
      <c r="B95" s="1">
        <f>365.25*24/A95 - L95</f>
        <v>-954.34375</v>
      </c>
      <c r="C95">
        <f>B95</f>
        <v>-954.34375</v>
      </c>
      <c r="D95" t="s">
        <v>28</v>
      </c>
      <c r="E95" t="s">
        <v>21</v>
      </c>
      <c r="F95">
        <v>1</v>
      </c>
      <c r="G95">
        <v>10</v>
      </c>
      <c r="I95">
        <v>2050</v>
      </c>
      <c r="J95">
        <f>AVERAGE(G95:G97)</f>
        <v>15</v>
      </c>
      <c r="K95" s="1">
        <v>1E-3</v>
      </c>
      <c r="L95">
        <f>1/K95</f>
        <v>1000</v>
      </c>
    </row>
    <row r="96" spans="1:12" x14ac:dyDescent="0.3">
      <c r="A96">
        <v>192</v>
      </c>
      <c r="B96">
        <f t="shared" ref="B96:B100" si="27">L95-L96</f>
        <v>0</v>
      </c>
      <c r="C96">
        <f t="shared" ref="C96:C125" si="28">B96</f>
        <v>0</v>
      </c>
      <c r="D96" t="s">
        <v>28</v>
      </c>
      <c r="E96" t="s">
        <v>21</v>
      </c>
      <c r="F96">
        <v>1</v>
      </c>
      <c r="G96">
        <f t="shared" ref="G96:G100" si="29">G95+5</f>
        <v>15</v>
      </c>
      <c r="I96">
        <v>2050</v>
      </c>
      <c r="J96">
        <f t="shared" ref="J96:J100" si="30">AVERAGE(G96:G97)</f>
        <v>17.5</v>
      </c>
      <c r="K96" s="1">
        <v>1E-3</v>
      </c>
      <c r="L96">
        <f t="shared" ref="L96:L100" si="31">1/K96</f>
        <v>1000</v>
      </c>
    </row>
    <row r="97" spans="1:12" x14ac:dyDescent="0.3">
      <c r="A97">
        <v>192</v>
      </c>
      <c r="B97">
        <f t="shared" si="27"/>
        <v>959.73907092865579</v>
      </c>
      <c r="C97">
        <f t="shared" si="28"/>
        <v>959.73907092865579</v>
      </c>
      <c r="D97" t="s">
        <v>28</v>
      </c>
      <c r="E97" t="s">
        <v>21</v>
      </c>
      <c r="F97">
        <v>1</v>
      </c>
      <c r="G97">
        <f t="shared" si="29"/>
        <v>20</v>
      </c>
      <c r="I97">
        <v>2050</v>
      </c>
      <c r="J97">
        <f t="shared" si="30"/>
        <v>22.5</v>
      </c>
      <c r="K97" cm="1">
        <f t="array" ref="K97">STOWA2019_JAARROND_T(A97*60,J97,I97,"GH","center")</f>
        <v>2.4837976248087937E-2</v>
      </c>
      <c r="L97">
        <f t="shared" si="31"/>
        <v>40.260929071344187</v>
      </c>
    </row>
    <row r="98" spans="1:12" x14ac:dyDescent="0.3">
      <c r="A98">
        <v>192</v>
      </c>
      <c r="B98">
        <f t="shared" si="27"/>
        <v>11.523484643904293</v>
      </c>
      <c r="C98">
        <f t="shared" si="28"/>
        <v>11.523484643904293</v>
      </c>
      <c r="D98" t="s">
        <v>28</v>
      </c>
      <c r="E98" t="s">
        <v>21</v>
      </c>
      <c r="F98">
        <v>1</v>
      </c>
      <c r="G98">
        <f t="shared" si="29"/>
        <v>25</v>
      </c>
      <c r="I98">
        <v>2050</v>
      </c>
      <c r="J98">
        <f t="shared" si="30"/>
        <v>27.5</v>
      </c>
      <c r="K98" cm="1">
        <f t="array" ref="K98">STOWA2019_JAARROND_T(A98*60,J98,I98,"GH","center")</f>
        <v>3.4797805438995542E-2</v>
      </c>
      <c r="L98">
        <f t="shared" si="31"/>
        <v>28.737444427439893</v>
      </c>
    </row>
    <row r="99" spans="1:12" x14ac:dyDescent="0.3">
      <c r="A99">
        <v>192</v>
      </c>
      <c r="B99">
        <f t="shared" si="27"/>
        <v>7.6961427523394015</v>
      </c>
      <c r="C99">
        <f t="shared" si="28"/>
        <v>7.6961427523394015</v>
      </c>
      <c r="D99" t="s">
        <v>28</v>
      </c>
      <c r="E99" t="s">
        <v>21</v>
      </c>
      <c r="F99">
        <v>1</v>
      </c>
      <c r="G99">
        <f t="shared" si="29"/>
        <v>30</v>
      </c>
      <c r="I99">
        <v>2050</v>
      </c>
      <c r="J99">
        <f t="shared" si="30"/>
        <v>32.5</v>
      </c>
      <c r="K99" cm="1">
        <f t="array" ref="K99">STOWA2019_JAARROND_T(A99*60,J99,I99,"GH","center")</f>
        <v>4.7525576860264471E-2</v>
      </c>
      <c r="L99">
        <f t="shared" si="31"/>
        <v>21.041301675100492</v>
      </c>
    </row>
    <row r="100" spans="1:12" x14ac:dyDescent="0.3">
      <c r="A100">
        <v>192</v>
      </c>
      <c r="B100">
        <f t="shared" si="27"/>
        <v>5.54391621924802</v>
      </c>
      <c r="C100">
        <f t="shared" si="28"/>
        <v>5.54391621924802</v>
      </c>
      <c r="D100" t="s">
        <v>28</v>
      </c>
      <c r="E100" t="s">
        <v>21</v>
      </c>
      <c r="F100">
        <v>1</v>
      </c>
      <c r="G100">
        <f t="shared" si="29"/>
        <v>35</v>
      </c>
      <c r="I100">
        <v>2050</v>
      </c>
      <c r="J100">
        <f t="shared" si="30"/>
        <v>37.5</v>
      </c>
      <c r="K100" cm="1">
        <f t="array" ref="K100">STOWA2019_JAARROND_T(A100*60,J100,I100,"GH","center")</f>
        <v>6.452701346615583E-2</v>
      </c>
      <c r="L100">
        <f t="shared" si="31"/>
        <v>15.497385455852472</v>
      </c>
    </row>
    <row r="101" spans="1:12" x14ac:dyDescent="0.3">
      <c r="A101">
        <v>192</v>
      </c>
      <c r="B101">
        <f>L100-L101</f>
        <v>4.057714492755462</v>
      </c>
      <c r="C101">
        <f t="shared" si="28"/>
        <v>4.057714492755462</v>
      </c>
      <c r="D101" t="s">
        <v>28</v>
      </c>
      <c r="E101" t="s">
        <v>21</v>
      </c>
      <c r="F101">
        <v>1</v>
      </c>
      <c r="G101">
        <f>G100+5</f>
        <v>40</v>
      </c>
      <c r="I101">
        <v>2050</v>
      </c>
      <c r="J101">
        <f>AVERAGE(G101:G102)</f>
        <v>42.5</v>
      </c>
      <c r="K101" cm="1">
        <f t="array" ref="K101">STOWA2019_JAARROND_T(A101*60,J101,I101,"GH","center")</f>
        <v>8.7415101642860066E-2</v>
      </c>
      <c r="L101">
        <f>1/K101</f>
        <v>11.43967096309701</v>
      </c>
    </row>
    <row r="102" spans="1:12" x14ac:dyDescent="0.3">
      <c r="A102">
        <v>192</v>
      </c>
      <c r="B102">
        <f t="shared" ref="B102:B124" si="32">L101-L102</f>
        <v>2.9868333813046384</v>
      </c>
      <c r="C102">
        <f t="shared" si="28"/>
        <v>2.9868333813046384</v>
      </c>
      <c r="D102" t="s">
        <v>28</v>
      </c>
      <c r="E102" t="s">
        <v>21</v>
      </c>
      <c r="F102">
        <v>1</v>
      </c>
      <c r="G102">
        <f t="shared" ref="G102:G125" si="33">G101+5</f>
        <v>45</v>
      </c>
      <c r="I102">
        <v>2050</v>
      </c>
      <c r="J102">
        <f t="shared" ref="J102:J124" si="34">AVERAGE(G102:G103)</f>
        <v>47.5</v>
      </c>
      <c r="K102" cm="1">
        <f t="array" ref="K102">STOWA2019_JAARROND_T(A102*60,J102,I102,"GH","center")</f>
        <v>0.1183034679566097</v>
      </c>
      <c r="L102">
        <f t="shared" ref="L102:L124" si="35">1/K102</f>
        <v>8.4528375817923713</v>
      </c>
    </row>
    <row r="103" spans="1:12" x14ac:dyDescent="0.3">
      <c r="A103">
        <v>192</v>
      </c>
      <c r="B103">
        <f t="shared" si="32"/>
        <v>2.2043584903629538</v>
      </c>
      <c r="C103">
        <f t="shared" si="28"/>
        <v>2.2043584903629538</v>
      </c>
      <c r="D103" t="s">
        <v>28</v>
      </c>
      <c r="E103" t="s">
        <v>21</v>
      </c>
      <c r="F103">
        <v>1</v>
      </c>
      <c r="G103">
        <f t="shared" si="33"/>
        <v>50</v>
      </c>
      <c r="I103">
        <v>2050</v>
      </c>
      <c r="J103">
        <f t="shared" si="34"/>
        <v>52.5</v>
      </c>
      <c r="K103" cm="1">
        <f t="array" ref="K103">STOWA2019_JAARROND_T(A103*60,J103,I103,"GH","center")</f>
        <v>0.16003894473642827</v>
      </c>
      <c r="L103">
        <f t="shared" si="35"/>
        <v>6.2484790914294175</v>
      </c>
    </row>
    <row r="104" spans="1:12" x14ac:dyDescent="0.3">
      <c r="A104">
        <v>192</v>
      </c>
      <c r="B104">
        <f t="shared" si="32"/>
        <v>1.6289481594434436</v>
      </c>
      <c r="C104">
        <f t="shared" si="28"/>
        <v>1.6289481594434436</v>
      </c>
      <c r="D104" t="s">
        <v>28</v>
      </c>
      <c r="E104" t="s">
        <v>21</v>
      </c>
      <c r="F104">
        <v>1</v>
      </c>
      <c r="G104">
        <f t="shared" si="33"/>
        <v>55</v>
      </c>
      <c r="I104">
        <v>2050</v>
      </c>
      <c r="J104">
        <f t="shared" si="34"/>
        <v>57.5</v>
      </c>
      <c r="K104" cm="1">
        <f t="array" ref="K104">STOWA2019_JAARROND_T(A104*60,J104,I104,"GH","center")</f>
        <v>0.21647219484470295</v>
      </c>
      <c r="L104">
        <f t="shared" si="35"/>
        <v>4.6195309319859739</v>
      </c>
    </row>
    <row r="105" spans="1:12" x14ac:dyDescent="0.3">
      <c r="A105">
        <v>192</v>
      </c>
      <c r="B105">
        <f t="shared" si="32"/>
        <v>1.2044019644988544</v>
      </c>
      <c r="C105">
        <f t="shared" si="28"/>
        <v>1.2044019644988544</v>
      </c>
      <c r="D105" t="s">
        <v>28</v>
      </c>
      <c r="E105" t="s">
        <v>21</v>
      </c>
      <c r="F105">
        <v>1</v>
      </c>
      <c r="G105">
        <f t="shared" si="33"/>
        <v>60</v>
      </c>
      <c r="I105">
        <v>2050</v>
      </c>
      <c r="J105">
        <f t="shared" si="34"/>
        <v>62.5</v>
      </c>
      <c r="K105" cm="1">
        <f t="array" ref="K105">STOWA2019_JAARROND_T(A105*60,J105,I105,"GH","center")</f>
        <v>0.29281471051906083</v>
      </c>
      <c r="L105">
        <f t="shared" si="35"/>
        <v>3.4151289674871195</v>
      </c>
    </row>
    <row r="106" spans="1:12" x14ac:dyDescent="0.3">
      <c r="A106">
        <v>192</v>
      </c>
      <c r="B106">
        <f t="shared" si="32"/>
        <v>0.89072774529440446</v>
      </c>
      <c r="C106">
        <f t="shared" si="28"/>
        <v>0.89072774529440446</v>
      </c>
      <c r="D106" t="s">
        <v>28</v>
      </c>
      <c r="E106" t="s">
        <v>21</v>
      </c>
      <c r="F106">
        <v>1</v>
      </c>
      <c r="G106">
        <f t="shared" si="33"/>
        <v>65</v>
      </c>
      <c r="I106">
        <v>2050</v>
      </c>
      <c r="J106">
        <f t="shared" si="34"/>
        <v>67.5</v>
      </c>
      <c r="K106" cm="1">
        <f t="array" ref="K106">STOWA2019_JAARROND_T(A106*60,J106,I106,"GH","center")</f>
        <v>0.39613354296009728</v>
      </c>
      <c r="L106">
        <f t="shared" si="35"/>
        <v>2.524401222192715</v>
      </c>
    </row>
    <row r="107" spans="1:12" x14ac:dyDescent="0.3">
      <c r="A107">
        <v>192</v>
      </c>
      <c r="B107">
        <f t="shared" si="32"/>
        <v>0.65878028922327214</v>
      </c>
      <c r="C107">
        <f t="shared" si="28"/>
        <v>0.65878028922327214</v>
      </c>
      <c r="D107" t="s">
        <v>28</v>
      </c>
      <c r="E107" t="s">
        <v>21</v>
      </c>
      <c r="F107">
        <v>1</v>
      </c>
      <c r="G107">
        <f t="shared" si="33"/>
        <v>70</v>
      </c>
      <c r="I107">
        <v>2050</v>
      </c>
      <c r="J107">
        <f t="shared" si="34"/>
        <v>72.5</v>
      </c>
      <c r="K107" cm="1">
        <f t="array" ref="K107">STOWA2019_JAARROND_T(A107*60,J107,I107,"GH","center")</f>
        <v>0.53601456883759091</v>
      </c>
      <c r="L107">
        <f t="shared" si="35"/>
        <v>1.8656209329694429</v>
      </c>
    </row>
    <row r="108" spans="1:12" x14ac:dyDescent="0.3">
      <c r="A108">
        <v>192</v>
      </c>
      <c r="B108">
        <f t="shared" si="32"/>
        <v>0.4872299846462429</v>
      </c>
      <c r="C108">
        <f t="shared" si="28"/>
        <v>0.4872299846462429</v>
      </c>
      <c r="D108" t="s">
        <v>28</v>
      </c>
      <c r="E108" t="s">
        <v>21</v>
      </c>
      <c r="F108">
        <v>1</v>
      </c>
      <c r="G108">
        <f t="shared" si="33"/>
        <v>75</v>
      </c>
      <c r="I108">
        <v>2050</v>
      </c>
      <c r="J108">
        <f t="shared" si="34"/>
        <v>77.5</v>
      </c>
      <c r="K108" cm="1">
        <f t="array" ref="K108">STOWA2019_JAARROND_T(A108*60,J108,I108,"GH","center")</f>
        <v>0.72548358012397784</v>
      </c>
      <c r="L108">
        <f t="shared" si="35"/>
        <v>1.3783909483232</v>
      </c>
    </row>
    <row r="109" spans="1:12" x14ac:dyDescent="0.3">
      <c r="A109">
        <v>192</v>
      </c>
      <c r="B109">
        <f t="shared" si="32"/>
        <v>0.36025656409996687</v>
      </c>
      <c r="C109">
        <f t="shared" si="28"/>
        <v>0.36025656409996687</v>
      </c>
      <c r="D109" t="s">
        <v>28</v>
      </c>
      <c r="E109" t="s">
        <v>21</v>
      </c>
      <c r="F109">
        <v>1</v>
      </c>
      <c r="G109">
        <f t="shared" si="33"/>
        <v>80</v>
      </c>
      <c r="I109">
        <v>2050</v>
      </c>
      <c r="J109">
        <f t="shared" si="34"/>
        <v>82.5</v>
      </c>
      <c r="K109" cm="1">
        <f t="array" ref="K109">STOWA2019_JAARROND_T(A109*60,J109,I109,"GH","center")</f>
        <v>0.98218861428880189</v>
      </c>
      <c r="L109">
        <f t="shared" si="35"/>
        <v>1.0181343842232331</v>
      </c>
    </row>
    <row r="110" spans="1:12" x14ac:dyDescent="0.3">
      <c r="A110">
        <v>192</v>
      </c>
      <c r="B110">
        <f t="shared" si="32"/>
        <v>0.2662669686400817</v>
      </c>
      <c r="C110">
        <f t="shared" si="28"/>
        <v>0.2662669686400817</v>
      </c>
      <c r="D110" t="s">
        <v>28</v>
      </c>
      <c r="E110" t="s">
        <v>21</v>
      </c>
      <c r="F110">
        <v>1</v>
      </c>
      <c r="G110">
        <f t="shared" si="33"/>
        <v>85</v>
      </c>
      <c r="I110">
        <v>2050</v>
      </c>
      <c r="J110">
        <f t="shared" si="34"/>
        <v>87.5</v>
      </c>
      <c r="K110" cm="1">
        <f t="array" ref="K110">STOWA2019_JAARROND_T(A110*60,J110,I110,"GH","center")</f>
        <v>1.330021728929955</v>
      </c>
      <c r="L110">
        <f t="shared" si="35"/>
        <v>0.7518674155831514</v>
      </c>
    </row>
    <row r="111" spans="1:12" x14ac:dyDescent="0.3">
      <c r="A111">
        <v>192</v>
      </c>
      <c r="B111">
        <f t="shared" si="32"/>
        <v>0.1968579658060492</v>
      </c>
      <c r="C111">
        <f t="shared" si="28"/>
        <v>0.1968579658060492</v>
      </c>
      <c r="D111" t="s">
        <v>28</v>
      </c>
      <c r="E111" t="s">
        <v>21</v>
      </c>
      <c r="F111">
        <v>1</v>
      </c>
      <c r="G111">
        <f t="shared" si="33"/>
        <v>90</v>
      </c>
      <c r="I111">
        <v>2050</v>
      </c>
      <c r="J111">
        <f t="shared" si="34"/>
        <v>92.5</v>
      </c>
      <c r="K111" cm="1">
        <f t="array" ref="K111">STOWA2019_JAARROND_T(A111*60,J111,I111,"GH","center")</f>
        <v>1.8017711237198046</v>
      </c>
      <c r="L111">
        <f t="shared" si="35"/>
        <v>0.5550094497771022</v>
      </c>
    </row>
    <row r="112" spans="1:12" x14ac:dyDescent="0.3">
      <c r="A112">
        <v>192</v>
      </c>
      <c r="B112">
        <f t="shared" si="32"/>
        <v>0.14545427245083625</v>
      </c>
      <c r="C112">
        <f t="shared" si="28"/>
        <v>0.14545427245083625</v>
      </c>
      <c r="D112" t="s">
        <v>28</v>
      </c>
      <c r="E112" t="s">
        <v>21</v>
      </c>
      <c r="F112">
        <v>1</v>
      </c>
      <c r="G112">
        <f t="shared" si="33"/>
        <v>95</v>
      </c>
      <c r="I112">
        <v>2050</v>
      </c>
      <c r="J112">
        <f t="shared" si="34"/>
        <v>97.5</v>
      </c>
      <c r="K112" cm="1">
        <f t="array" ref="K112">STOWA2019_JAARROND_T(A112*60,J112,I112,"GH","center")</f>
        <v>2.4416734431936264</v>
      </c>
      <c r="L112">
        <f t="shared" si="35"/>
        <v>0.40955517732626595</v>
      </c>
    </row>
    <row r="113" spans="1:12" x14ac:dyDescent="0.3">
      <c r="A113">
        <v>192</v>
      </c>
      <c r="B113">
        <f t="shared" si="32"/>
        <v>0.10743783514530808</v>
      </c>
      <c r="C113">
        <f t="shared" si="28"/>
        <v>0.10743783514530808</v>
      </c>
      <c r="D113" t="s">
        <v>28</v>
      </c>
      <c r="E113" t="s">
        <v>21</v>
      </c>
      <c r="F113">
        <v>1</v>
      </c>
      <c r="G113">
        <f t="shared" si="33"/>
        <v>100</v>
      </c>
      <c r="I113">
        <v>2050</v>
      </c>
      <c r="J113">
        <f t="shared" si="34"/>
        <v>102.5</v>
      </c>
      <c r="K113" cm="1">
        <f t="array" ref="K113">STOWA2019_JAARROND_T(A113*60,J113,I113,"GH","center")</f>
        <v>3.3099721875649046</v>
      </c>
      <c r="L113">
        <f t="shared" si="35"/>
        <v>0.30211734218095787</v>
      </c>
    </row>
    <row r="114" spans="1:12" x14ac:dyDescent="0.3">
      <c r="A114">
        <v>192</v>
      </c>
      <c r="B114">
        <f t="shared" si="32"/>
        <v>7.9335437890479255E-2</v>
      </c>
      <c r="C114">
        <f t="shared" si="28"/>
        <v>7.9335437890479255E-2</v>
      </c>
      <c r="D114" t="s">
        <v>28</v>
      </c>
      <c r="E114" t="s">
        <v>21</v>
      </c>
      <c r="F114">
        <v>1</v>
      </c>
      <c r="G114">
        <f t="shared" si="33"/>
        <v>105</v>
      </c>
      <c r="I114">
        <v>2050</v>
      </c>
      <c r="J114">
        <f t="shared" si="34"/>
        <v>107.5</v>
      </c>
      <c r="K114" cm="1">
        <f t="array" ref="K114">STOWA2019_JAARROND_T(A114*60,J114,I114,"GH","center")</f>
        <v>4.4886949107685608</v>
      </c>
      <c r="L114">
        <f t="shared" si="35"/>
        <v>0.22278190429047862</v>
      </c>
    </row>
    <row r="115" spans="1:12" x14ac:dyDescent="0.3">
      <c r="A115">
        <v>192</v>
      </c>
      <c r="B115">
        <f t="shared" si="32"/>
        <v>5.8560556840420719E-2</v>
      </c>
      <c r="C115">
        <f t="shared" si="28"/>
        <v>5.8560556840420719E-2</v>
      </c>
      <c r="D115" t="s">
        <v>28</v>
      </c>
      <c r="E115" t="s">
        <v>21</v>
      </c>
      <c r="F115">
        <v>1</v>
      </c>
      <c r="G115">
        <f t="shared" si="33"/>
        <v>110</v>
      </c>
      <c r="I115">
        <v>2050</v>
      </c>
      <c r="J115">
        <f t="shared" si="34"/>
        <v>112.5</v>
      </c>
      <c r="K115" cm="1">
        <f t="array" ref="K115">STOWA2019_JAARROND_T(A115*60,J115,I115,"GH","center")</f>
        <v>6.08934231467145</v>
      </c>
      <c r="L115">
        <f t="shared" si="35"/>
        <v>0.1642213474500579</v>
      </c>
    </row>
    <row r="116" spans="1:12" x14ac:dyDescent="0.3">
      <c r="A116">
        <v>192</v>
      </c>
      <c r="B116">
        <f t="shared" si="32"/>
        <v>4.3212017513116749E-2</v>
      </c>
      <c r="C116">
        <f t="shared" si="28"/>
        <v>4.3212017513116749E-2</v>
      </c>
      <c r="D116" t="s">
        <v>28</v>
      </c>
      <c r="E116" t="s">
        <v>21</v>
      </c>
      <c r="F116">
        <v>1</v>
      </c>
      <c r="G116">
        <f t="shared" si="33"/>
        <v>115</v>
      </c>
      <c r="I116">
        <v>2050</v>
      </c>
      <c r="J116">
        <f t="shared" si="34"/>
        <v>117.5</v>
      </c>
      <c r="K116" cm="1">
        <f t="array" ref="K116">STOWA2019_JAARROND_T(A116*60,J116,I116,"GH","center")</f>
        <v>8.2638256118028863</v>
      </c>
      <c r="L116">
        <f t="shared" si="35"/>
        <v>0.12100932993694115</v>
      </c>
    </row>
    <row r="117" spans="1:12" x14ac:dyDescent="0.3">
      <c r="A117">
        <v>192</v>
      </c>
      <c r="B117">
        <f t="shared" si="32"/>
        <v>3.1874879957966062E-2</v>
      </c>
      <c r="C117">
        <f t="shared" si="28"/>
        <v>3.1874879957966062E-2</v>
      </c>
      <c r="D117" t="s">
        <v>28</v>
      </c>
      <c r="E117" t="s">
        <v>21</v>
      </c>
      <c r="F117">
        <v>1</v>
      </c>
      <c r="G117">
        <f t="shared" si="33"/>
        <v>120</v>
      </c>
      <c r="I117">
        <v>2050</v>
      </c>
      <c r="J117">
        <f t="shared" si="34"/>
        <v>122.5</v>
      </c>
      <c r="K117" cm="1">
        <f t="array" ref="K117">STOWA2019_JAARROND_T(A117*60,J117,I117,"GH","center")</f>
        <v>11.219006795193987</v>
      </c>
      <c r="L117">
        <f t="shared" si="35"/>
        <v>8.9134449978975086E-2</v>
      </c>
    </row>
    <row r="118" spans="1:12" x14ac:dyDescent="0.3">
      <c r="A118">
        <v>192</v>
      </c>
      <c r="B118">
        <f t="shared" si="32"/>
        <v>2.3503601803409366E-2</v>
      </c>
      <c r="C118">
        <f t="shared" si="28"/>
        <v>2.3503601803409366E-2</v>
      </c>
      <c r="D118" t="s">
        <v>28</v>
      </c>
      <c r="E118" t="s">
        <v>21</v>
      </c>
      <c r="F118">
        <v>1</v>
      </c>
      <c r="G118">
        <f t="shared" si="33"/>
        <v>125</v>
      </c>
      <c r="I118">
        <v>2050</v>
      </c>
      <c r="J118">
        <f t="shared" si="34"/>
        <v>127.5</v>
      </c>
      <c r="K118" cm="1">
        <f t="array" ref="K118">STOWA2019_JAARROND_T(A118*60,J118,I118,"GH","center")</f>
        <v>15.23673741538356</v>
      </c>
      <c r="L118">
        <f t="shared" si="35"/>
        <v>6.563084817556572E-2</v>
      </c>
    </row>
    <row r="119" spans="1:12" x14ac:dyDescent="0.3">
      <c r="A119">
        <v>192</v>
      </c>
      <c r="B119">
        <f t="shared" si="32"/>
        <v>1.732446055535692E-2</v>
      </c>
      <c r="C119">
        <f t="shared" si="28"/>
        <v>1.732446055535692E-2</v>
      </c>
      <c r="D119" t="s">
        <v>28</v>
      </c>
      <c r="E119" t="s">
        <v>21</v>
      </c>
      <c r="F119">
        <v>1</v>
      </c>
      <c r="G119">
        <f t="shared" si="33"/>
        <v>130</v>
      </c>
      <c r="I119">
        <v>2050</v>
      </c>
      <c r="J119">
        <f t="shared" si="34"/>
        <v>132.5</v>
      </c>
      <c r="K119" cm="1">
        <f t="array" ref="K119">STOWA2019_JAARROND_T(A119*60,J119,I119,"GH","center")</f>
        <v>20.70119603771932</v>
      </c>
      <c r="L119">
        <f t="shared" si="35"/>
        <v>4.83063876202088E-2</v>
      </c>
    </row>
    <row r="120" spans="1:12" x14ac:dyDescent="0.3">
      <c r="A120">
        <v>192</v>
      </c>
      <c r="B120">
        <f t="shared" si="32"/>
        <v>1.2765045768718362E-2</v>
      </c>
      <c r="C120">
        <f t="shared" si="28"/>
        <v>1.2765045768718362E-2</v>
      </c>
      <c r="D120" t="s">
        <v>28</v>
      </c>
      <c r="E120" t="s">
        <v>21</v>
      </c>
      <c r="F120">
        <v>1</v>
      </c>
      <c r="G120">
        <f t="shared" si="33"/>
        <v>135</v>
      </c>
      <c r="I120">
        <v>2050</v>
      </c>
      <c r="J120">
        <f t="shared" si="34"/>
        <v>137.5</v>
      </c>
      <c r="K120" cm="1">
        <f t="array" ref="K120">STOWA2019_JAARROND_T(A120*60,J120,I120,"GH","center")</f>
        <v>28.136247758413337</v>
      </c>
      <c r="L120">
        <f t="shared" si="35"/>
        <v>3.5541341851490438E-2</v>
      </c>
    </row>
    <row r="121" spans="1:12" x14ac:dyDescent="0.3">
      <c r="A121">
        <v>192</v>
      </c>
      <c r="B121">
        <f t="shared" si="32"/>
        <v>9.4020070745917984E-3</v>
      </c>
      <c r="C121">
        <f t="shared" si="28"/>
        <v>9.4020070745917984E-3</v>
      </c>
      <c r="D121" t="s">
        <v>28</v>
      </c>
      <c r="E121" t="s">
        <v>21</v>
      </c>
      <c r="F121">
        <v>1</v>
      </c>
      <c r="G121">
        <f t="shared" si="33"/>
        <v>140</v>
      </c>
      <c r="I121">
        <v>2050</v>
      </c>
      <c r="J121">
        <f t="shared" si="34"/>
        <v>142.5</v>
      </c>
      <c r="K121" cm="1">
        <f t="array" ref="K121">STOWA2019_JAARROND_T(A121*60,J121,I121,"GH","center")</f>
        <v>38.256520624380144</v>
      </c>
      <c r="L121">
        <f t="shared" si="35"/>
        <v>2.6139334776898639E-2</v>
      </c>
    </row>
    <row r="122" spans="1:12" x14ac:dyDescent="0.3">
      <c r="A122">
        <v>192</v>
      </c>
      <c r="B122">
        <f t="shared" si="32"/>
        <v>6.9223366159151291E-3</v>
      </c>
      <c r="C122">
        <f t="shared" si="28"/>
        <v>6.9223366159151291E-3</v>
      </c>
      <c r="D122" t="s">
        <v>28</v>
      </c>
      <c r="E122" t="s">
        <v>21</v>
      </c>
      <c r="F122">
        <v>1</v>
      </c>
      <c r="G122">
        <f t="shared" si="33"/>
        <v>145</v>
      </c>
      <c r="I122">
        <v>2050</v>
      </c>
      <c r="J122">
        <f t="shared" si="34"/>
        <v>147.5</v>
      </c>
      <c r="K122" cm="1">
        <f t="array" ref="K122">STOWA2019_JAARROND_T(A122*60,J122,I122,"GH","center")</f>
        <v>52.037263657042509</v>
      </c>
      <c r="L122">
        <f t="shared" si="35"/>
        <v>1.921699816098351E-2</v>
      </c>
    </row>
    <row r="123" spans="1:12" x14ac:dyDescent="0.3">
      <c r="A123">
        <v>192</v>
      </c>
      <c r="B123">
        <f t="shared" si="32"/>
        <v>5.0946854411441835E-3</v>
      </c>
      <c r="C123">
        <f t="shared" si="28"/>
        <v>5.0946854411441835E-3</v>
      </c>
      <c r="D123" t="s">
        <v>28</v>
      </c>
      <c r="E123" t="s">
        <v>21</v>
      </c>
      <c r="F123">
        <v>1</v>
      </c>
      <c r="G123">
        <f t="shared" si="33"/>
        <v>150</v>
      </c>
      <c r="I123">
        <v>2050</v>
      </c>
      <c r="J123">
        <f t="shared" si="34"/>
        <v>152.5</v>
      </c>
      <c r="K123" cm="1">
        <f t="array" ref="K123">STOWA2019_JAARROND_T(A123*60,J123,I123,"GH","center")</f>
        <v>70.809931761047793</v>
      </c>
      <c r="L123">
        <f t="shared" si="35"/>
        <v>1.4122312719839327E-2</v>
      </c>
    </row>
    <row r="124" spans="1:12" x14ac:dyDescent="0.3">
      <c r="A124">
        <v>192</v>
      </c>
      <c r="B124">
        <f t="shared" si="32"/>
        <v>3.7481181773431852E-3</v>
      </c>
      <c r="C124">
        <f t="shared" si="28"/>
        <v>3.7481181773431852E-3</v>
      </c>
      <c r="D124" t="s">
        <v>28</v>
      </c>
      <c r="E124" t="s">
        <v>21</v>
      </c>
      <c r="F124">
        <v>1</v>
      </c>
      <c r="G124">
        <f t="shared" si="33"/>
        <v>155</v>
      </c>
      <c r="I124">
        <v>2050</v>
      </c>
      <c r="J124">
        <f t="shared" si="34"/>
        <v>157.5</v>
      </c>
      <c r="K124" cm="1">
        <f t="array" ref="K124">STOWA2019_JAARROND_T(A124*60,J124,I124,"GH","center")</f>
        <v>96.393025588990866</v>
      </c>
      <c r="L124">
        <f t="shared" si="35"/>
        <v>1.0374194542496142E-2</v>
      </c>
    </row>
    <row r="125" spans="1:12" x14ac:dyDescent="0.3">
      <c r="A125">
        <v>192</v>
      </c>
      <c r="B125" s="1">
        <f>L124</f>
        <v>1.0374194542496142E-2</v>
      </c>
      <c r="C125">
        <f t="shared" si="28"/>
        <v>1.0374194542496142E-2</v>
      </c>
      <c r="D125" t="s">
        <v>28</v>
      </c>
      <c r="E125" t="s">
        <v>21</v>
      </c>
      <c r="F125">
        <v>1</v>
      </c>
      <c r="G125">
        <f t="shared" si="33"/>
        <v>160</v>
      </c>
      <c r="I125">
        <v>2050</v>
      </c>
      <c r="J125">
        <f>AVERAGE(G125:G126)</f>
        <v>85</v>
      </c>
      <c r="K125" cm="1">
        <f t="array" ref="K125">STOWA2019_JAARROND_T(A125*60,J125,I125,"GH","center")</f>
        <v>1.1428520504578781</v>
      </c>
      <c r="L125">
        <f>1/K125</f>
        <v>0.87500389888555996</v>
      </c>
    </row>
    <row r="126" spans="1:12" x14ac:dyDescent="0.3">
      <c r="A126">
        <v>216</v>
      </c>
      <c r="B126" s="1">
        <f>365.25*24/A126 - L126</f>
        <v>-4.4823318354572166</v>
      </c>
      <c r="C126">
        <f>B126</f>
        <v>-4.4823318354572166</v>
      </c>
      <c r="D126" t="s">
        <v>28</v>
      </c>
      <c r="E126" t="s">
        <v>21</v>
      </c>
      <c r="F126">
        <v>1</v>
      </c>
      <c r="G126">
        <v>10</v>
      </c>
      <c r="I126">
        <v>2050</v>
      </c>
      <c r="J126">
        <f>AVERAGE(G126:G128)</f>
        <v>15</v>
      </c>
      <c r="K126" cm="1">
        <f t="array" ref="K126">STOWA2019_JAARROND_T(A126*60,J126,I126,"GH","center")</f>
        <v>2.2189842228103464E-2</v>
      </c>
      <c r="L126">
        <f>1/K126</f>
        <v>45.065665168790552</v>
      </c>
    </row>
    <row r="127" spans="1:12" x14ac:dyDescent="0.3">
      <c r="A127">
        <v>216</v>
      </c>
      <c r="B127">
        <f t="shared" ref="B127:B131" si="36">L126-L127</f>
        <v>-954.93433483120941</v>
      </c>
      <c r="C127">
        <f t="shared" ref="C127:C156" si="37">B127</f>
        <v>-954.93433483120941</v>
      </c>
      <c r="D127" t="s">
        <v>28</v>
      </c>
      <c r="E127" t="s">
        <v>21</v>
      </c>
      <c r="F127">
        <v>1</v>
      </c>
      <c r="G127">
        <f t="shared" ref="G127:G131" si="38">G126+5</f>
        <v>15</v>
      </c>
      <c r="I127">
        <v>2050</v>
      </c>
      <c r="J127">
        <f t="shared" ref="J127:J131" si="39">AVERAGE(G127:G128)</f>
        <v>17.5</v>
      </c>
      <c r="K127" s="1">
        <v>1E-3</v>
      </c>
      <c r="L127">
        <f t="shared" ref="L127:L131" si="40">1/K127</f>
        <v>1000</v>
      </c>
    </row>
    <row r="128" spans="1:12" x14ac:dyDescent="0.3">
      <c r="A128">
        <v>216</v>
      </c>
      <c r="B128">
        <f t="shared" si="36"/>
        <v>0</v>
      </c>
      <c r="C128">
        <f t="shared" si="37"/>
        <v>0</v>
      </c>
      <c r="D128" t="s">
        <v>28</v>
      </c>
      <c r="E128" t="s">
        <v>21</v>
      </c>
      <c r="F128">
        <v>1</v>
      </c>
      <c r="G128">
        <f t="shared" si="38"/>
        <v>20</v>
      </c>
      <c r="I128">
        <v>2050</v>
      </c>
      <c r="J128">
        <f t="shared" si="39"/>
        <v>22.5</v>
      </c>
      <c r="K128" s="1">
        <v>1E-3</v>
      </c>
      <c r="L128">
        <f t="shared" si="40"/>
        <v>1000</v>
      </c>
    </row>
    <row r="129" spans="1:12" x14ac:dyDescent="0.3">
      <c r="A129">
        <v>216</v>
      </c>
      <c r="B129">
        <f t="shared" si="36"/>
        <v>967.57271351464033</v>
      </c>
      <c r="C129">
        <f t="shared" si="37"/>
        <v>967.57271351464033</v>
      </c>
      <c r="D129" t="s">
        <v>28</v>
      </c>
      <c r="E129" t="s">
        <v>21</v>
      </c>
      <c r="F129">
        <v>1</v>
      </c>
      <c r="G129">
        <f t="shared" si="38"/>
        <v>25</v>
      </c>
      <c r="I129">
        <v>2050</v>
      </c>
      <c r="J129">
        <f t="shared" si="39"/>
        <v>27.5</v>
      </c>
      <c r="K129" cm="1">
        <f t="array" ref="K129">STOWA2019_JAARROND_T(A129*60,J129,I129,"GH","center")</f>
        <v>3.0838226332982877E-2</v>
      </c>
      <c r="L129">
        <f t="shared" si="40"/>
        <v>32.427286485359723</v>
      </c>
    </row>
    <row r="130" spans="1:12" x14ac:dyDescent="0.3">
      <c r="A130">
        <v>216</v>
      </c>
      <c r="B130">
        <f t="shared" si="36"/>
        <v>8.6399813932344038</v>
      </c>
      <c r="C130">
        <f t="shared" si="37"/>
        <v>8.6399813932344038</v>
      </c>
      <c r="D130" t="s">
        <v>28</v>
      </c>
      <c r="E130" t="s">
        <v>21</v>
      </c>
      <c r="F130">
        <v>1</v>
      </c>
      <c r="G130">
        <f t="shared" si="38"/>
        <v>30</v>
      </c>
      <c r="I130">
        <v>2050</v>
      </c>
      <c r="J130">
        <f t="shared" si="39"/>
        <v>32.5</v>
      </c>
      <c r="K130" cm="1">
        <f t="array" ref="K130">STOWA2019_JAARROND_T(A130*60,J130,I130,"GH","center")</f>
        <v>4.2039230426781114E-2</v>
      </c>
      <c r="L130">
        <f t="shared" si="40"/>
        <v>23.787305092125319</v>
      </c>
    </row>
    <row r="131" spans="1:12" x14ac:dyDescent="0.3">
      <c r="A131">
        <v>216</v>
      </c>
      <c r="B131">
        <f t="shared" si="36"/>
        <v>6.0285400341516535</v>
      </c>
      <c r="C131">
        <f t="shared" si="37"/>
        <v>6.0285400341516535</v>
      </c>
      <c r="D131" t="s">
        <v>28</v>
      </c>
      <c r="E131" t="s">
        <v>21</v>
      </c>
      <c r="F131">
        <v>1</v>
      </c>
      <c r="G131">
        <f t="shared" si="38"/>
        <v>35</v>
      </c>
      <c r="I131">
        <v>2050</v>
      </c>
      <c r="J131">
        <f t="shared" si="39"/>
        <v>37.5</v>
      </c>
      <c r="K131" cm="1">
        <f t="array" ref="K131">STOWA2019_JAARROND_T(A131*60,J131,I131,"GH","center")</f>
        <v>5.6310221838933625E-2</v>
      </c>
      <c r="L131">
        <f t="shared" si="40"/>
        <v>17.758765057973665</v>
      </c>
    </row>
    <row r="132" spans="1:12" x14ac:dyDescent="0.3">
      <c r="A132">
        <v>216</v>
      </c>
      <c r="B132">
        <f>L131-L132</f>
        <v>4.4407066962632911</v>
      </c>
      <c r="C132">
        <f t="shared" si="37"/>
        <v>4.4407066962632911</v>
      </c>
      <c r="D132" t="s">
        <v>28</v>
      </c>
      <c r="E132" t="s">
        <v>21</v>
      </c>
      <c r="F132">
        <v>1</v>
      </c>
      <c r="G132">
        <f>G131+5</f>
        <v>40</v>
      </c>
      <c r="I132">
        <v>2050</v>
      </c>
      <c r="J132">
        <f>AVERAGE(G132:G133)</f>
        <v>42.5</v>
      </c>
      <c r="K132" cm="1">
        <f t="array" ref="K132">STOWA2019_JAARROND_T(A132*60,J132,I132,"GH","center")</f>
        <v>7.5086020262158909E-2</v>
      </c>
      <c r="L132">
        <f>1/K132</f>
        <v>13.318058361710374</v>
      </c>
    </row>
    <row r="133" spans="1:12" x14ac:dyDescent="0.3">
      <c r="A133">
        <v>216</v>
      </c>
      <c r="B133">
        <f t="shared" ref="B133:B155" si="41">L132-L133</f>
        <v>3.3161109576032999</v>
      </c>
      <c r="C133">
        <f t="shared" si="37"/>
        <v>3.3161109576032999</v>
      </c>
      <c r="D133" t="s">
        <v>28</v>
      </c>
      <c r="E133" t="s">
        <v>21</v>
      </c>
      <c r="F133">
        <v>1</v>
      </c>
      <c r="G133">
        <f t="shared" ref="G133:G156" si="42">G132+5</f>
        <v>45</v>
      </c>
      <c r="I133">
        <v>2050</v>
      </c>
      <c r="J133">
        <f t="shared" ref="J133:J155" si="43">AVERAGE(G133:G134)</f>
        <v>47.5</v>
      </c>
      <c r="K133" cm="1">
        <f t="array" ref="K133">STOWA2019_JAARROND_T(A133*60,J133,I133,"GH","center")</f>
        <v>9.998052975057363E-2</v>
      </c>
      <c r="L133">
        <f t="shared" ref="L133:L155" si="44">1/K133</f>
        <v>10.001947404107074</v>
      </c>
    </row>
    <row r="134" spans="1:12" x14ac:dyDescent="0.3">
      <c r="A134">
        <v>216</v>
      </c>
      <c r="B134">
        <f t="shared" si="41"/>
        <v>2.4888337277342627</v>
      </c>
      <c r="C134">
        <f t="shared" si="37"/>
        <v>2.4888337277342627</v>
      </c>
      <c r="D134" t="s">
        <v>28</v>
      </c>
      <c r="E134" t="s">
        <v>21</v>
      </c>
      <c r="F134">
        <v>1</v>
      </c>
      <c r="G134">
        <f t="shared" si="42"/>
        <v>50</v>
      </c>
      <c r="I134">
        <v>2050</v>
      </c>
      <c r="J134">
        <f t="shared" si="43"/>
        <v>52.5</v>
      </c>
      <c r="K134" cm="1">
        <f t="array" ref="K134">STOWA2019_JAARROND_T(A134*60,J134,I134,"GH","center")</f>
        <v>0.13310060822649245</v>
      </c>
      <c r="L134">
        <f t="shared" si="44"/>
        <v>7.5131136763728117</v>
      </c>
    </row>
    <row r="135" spans="1:12" x14ac:dyDescent="0.3">
      <c r="A135">
        <v>216</v>
      </c>
      <c r="B135">
        <f t="shared" si="41"/>
        <v>1.8715805556207039</v>
      </c>
      <c r="C135">
        <f t="shared" si="37"/>
        <v>1.8715805556207039</v>
      </c>
      <c r="D135" t="s">
        <v>28</v>
      </c>
      <c r="E135" t="s">
        <v>21</v>
      </c>
      <c r="F135">
        <v>1</v>
      </c>
      <c r="G135">
        <f t="shared" si="42"/>
        <v>55</v>
      </c>
      <c r="I135">
        <v>2050</v>
      </c>
      <c r="J135">
        <f t="shared" si="43"/>
        <v>57.5</v>
      </c>
      <c r="K135" cm="1">
        <f t="array" ref="K135">STOWA2019_JAARROND_T(A135*60,J135,I135,"GH","center")</f>
        <v>0.17725678084234731</v>
      </c>
      <c r="L135">
        <f t="shared" si="44"/>
        <v>5.6415331207521078</v>
      </c>
    </row>
    <row r="136" spans="1:12" x14ac:dyDescent="0.3">
      <c r="A136">
        <v>216</v>
      </c>
      <c r="B136">
        <f t="shared" si="41"/>
        <v>1.4081503954629992</v>
      </c>
      <c r="C136">
        <f t="shared" si="37"/>
        <v>1.4081503954629992</v>
      </c>
      <c r="D136" t="s">
        <v>28</v>
      </c>
      <c r="E136" t="s">
        <v>21</v>
      </c>
      <c r="F136">
        <v>1</v>
      </c>
      <c r="G136">
        <f t="shared" si="42"/>
        <v>60</v>
      </c>
      <c r="I136">
        <v>2050</v>
      </c>
      <c r="J136">
        <f t="shared" si="43"/>
        <v>62.5</v>
      </c>
      <c r="K136" cm="1">
        <f t="array" ref="K136">STOWA2019_JAARROND_T(A136*60,J136,I136,"GH","center")</f>
        <v>0.23621771639645633</v>
      </c>
      <c r="L136">
        <f t="shared" si="44"/>
        <v>4.2333827252891085</v>
      </c>
    </row>
    <row r="137" spans="1:12" x14ac:dyDescent="0.3">
      <c r="A137">
        <v>216</v>
      </c>
      <c r="B137">
        <f t="shared" si="41"/>
        <v>1.0593138601892642</v>
      </c>
      <c r="C137">
        <f t="shared" si="37"/>
        <v>1.0593138601892642</v>
      </c>
      <c r="D137" t="s">
        <v>28</v>
      </c>
      <c r="E137" t="s">
        <v>21</v>
      </c>
      <c r="F137">
        <v>1</v>
      </c>
      <c r="G137">
        <f t="shared" si="42"/>
        <v>65</v>
      </c>
      <c r="I137">
        <v>2050</v>
      </c>
      <c r="J137">
        <f t="shared" si="43"/>
        <v>67.5</v>
      </c>
      <c r="K137" cm="1">
        <f t="array" ref="K137">STOWA2019_JAARROND_T(A137*60,J137,I137,"GH","center")</f>
        <v>0.31505302578510491</v>
      </c>
      <c r="L137">
        <f t="shared" si="44"/>
        <v>3.1740688650998443</v>
      </c>
    </row>
    <row r="138" spans="1:12" x14ac:dyDescent="0.3">
      <c r="A138">
        <v>216</v>
      </c>
      <c r="B138">
        <f t="shared" si="41"/>
        <v>0.79658517191308986</v>
      </c>
      <c r="C138">
        <f t="shared" si="37"/>
        <v>0.79658517191308986</v>
      </c>
      <c r="D138" t="s">
        <v>28</v>
      </c>
      <c r="E138" t="s">
        <v>21</v>
      </c>
      <c r="F138">
        <v>1</v>
      </c>
      <c r="G138">
        <f t="shared" si="42"/>
        <v>70</v>
      </c>
      <c r="I138">
        <v>2050</v>
      </c>
      <c r="J138">
        <f t="shared" si="43"/>
        <v>72.5</v>
      </c>
      <c r="K138" cm="1">
        <f t="array" ref="K138">STOWA2019_JAARROND_T(A138*60,J138,I138,"GH","center")</f>
        <v>0.42061276923401747</v>
      </c>
      <c r="L138">
        <f t="shared" si="44"/>
        <v>2.3774836931867545</v>
      </c>
    </row>
    <row r="139" spans="1:12" x14ac:dyDescent="0.3">
      <c r="A139">
        <v>216</v>
      </c>
      <c r="B139">
        <f t="shared" si="41"/>
        <v>0.59852468727258268</v>
      </c>
      <c r="C139">
        <f t="shared" si="37"/>
        <v>0.59852468727258268</v>
      </c>
      <c r="D139" t="s">
        <v>28</v>
      </c>
      <c r="E139" t="s">
        <v>21</v>
      </c>
      <c r="F139">
        <v>1</v>
      </c>
      <c r="G139">
        <f t="shared" si="42"/>
        <v>75</v>
      </c>
      <c r="I139">
        <v>2050</v>
      </c>
      <c r="J139">
        <f t="shared" si="43"/>
        <v>77.5</v>
      </c>
      <c r="K139" cm="1">
        <f t="array" ref="K139">STOWA2019_JAARROND_T(A139*60,J139,I139,"GH","center")</f>
        <v>0.56212650020348265</v>
      </c>
      <c r="L139">
        <f t="shared" si="44"/>
        <v>1.7789590059141718</v>
      </c>
    </row>
    <row r="140" spans="1:12" x14ac:dyDescent="0.3">
      <c r="A140">
        <v>216</v>
      </c>
      <c r="B140">
        <f t="shared" si="41"/>
        <v>0.44931712518925782</v>
      </c>
      <c r="C140">
        <f t="shared" si="37"/>
        <v>0.44931712518925782</v>
      </c>
      <c r="D140" t="s">
        <v>28</v>
      </c>
      <c r="E140" t="s">
        <v>21</v>
      </c>
      <c r="F140">
        <v>1</v>
      </c>
      <c r="G140">
        <f t="shared" si="42"/>
        <v>80</v>
      </c>
      <c r="I140">
        <v>2050</v>
      </c>
      <c r="J140">
        <f t="shared" si="43"/>
        <v>82.5</v>
      </c>
      <c r="K140" cm="1">
        <f t="array" ref="K140">STOWA2019_JAARROND_T(A140*60,J140,I140,"GH","center")</f>
        <v>0.75208220686821714</v>
      </c>
      <c r="L140">
        <f t="shared" si="44"/>
        <v>1.329641880724914</v>
      </c>
    </row>
    <row r="141" spans="1:12" x14ac:dyDescent="0.3">
      <c r="A141">
        <v>216</v>
      </c>
      <c r="B141">
        <f t="shared" si="41"/>
        <v>0.33690075041531298</v>
      </c>
      <c r="C141">
        <f t="shared" si="37"/>
        <v>0.33690075041531298</v>
      </c>
      <c r="D141" t="s">
        <v>28</v>
      </c>
      <c r="E141" t="s">
        <v>21</v>
      </c>
      <c r="F141">
        <v>1</v>
      </c>
      <c r="G141">
        <f t="shared" si="42"/>
        <v>85</v>
      </c>
      <c r="I141">
        <v>2050</v>
      </c>
      <c r="J141">
        <f t="shared" si="43"/>
        <v>87.5</v>
      </c>
      <c r="K141" cm="1">
        <f t="array" ref="K141">STOWA2019_JAARROND_T(A141*60,J141,I141,"GH","center")</f>
        <v>1.0073119461547193</v>
      </c>
      <c r="L141">
        <f t="shared" si="44"/>
        <v>0.99274113030960098</v>
      </c>
    </row>
    <row r="142" spans="1:12" x14ac:dyDescent="0.3">
      <c r="A142">
        <v>216</v>
      </c>
      <c r="B142">
        <f t="shared" si="41"/>
        <v>0.25247767405220523</v>
      </c>
      <c r="C142">
        <f t="shared" si="37"/>
        <v>0.25247767405220523</v>
      </c>
      <c r="D142" t="s">
        <v>28</v>
      </c>
      <c r="E142" t="s">
        <v>21</v>
      </c>
      <c r="F142">
        <v>1</v>
      </c>
      <c r="G142">
        <f t="shared" si="42"/>
        <v>90</v>
      </c>
      <c r="I142">
        <v>2050</v>
      </c>
      <c r="J142">
        <f t="shared" si="43"/>
        <v>92.5</v>
      </c>
      <c r="K142" cm="1">
        <f t="array" ref="K142">STOWA2019_JAARROND_T(A142*60,J142,I142,"GH","center")</f>
        <v>1.3508704118068631</v>
      </c>
      <c r="L142">
        <f t="shared" si="44"/>
        <v>0.74026345625739576</v>
      </c>
    </row>
    <row r="143" spans="1:12" x14ac:dyDescent="0.3">
      <c r="A143">
        <v>216</v>
      </c>
      <c r="B143">
        <f t="shared" si="41"/>
        <v>0.18894430672190277</v>
      </c>
      <c r="C143">
        <f t="shared" si="37"/>
        <v>0.18894430672190277</v>
      </c>
      <c r="D143" t="s">
        <v>28</v>
      </c>
      <c r="E143" t="s">
        <v>21</v>
      </c>
      <c r="F143">
        <v>1</v>
      </c>
      <c r="G143">
        <f t="shared" si="42"/>
        <v>95</v>
      </c>
      <c r="I143">
        <v>2050</v>
      </c>
      <c r="J143">
        <f t="shared" si="43"/>
        <v>97.5</v>
      </c>
      <c r="K143" cm="1">
        <f t="array" ref="K143">STOWA2019_JAARROND_T(A143*60,J143,I143,"GH","center")</f>
        <v>1.8138314274817724</v>
      </c>
      <c r="L143">
        <f t="shared" si="44"/>
        <v>0.55131914953549299</v>
      </c>
    </row>
    <row r="144" spans="1:12" x14ac:dyDescent="0.3">
      <c r="A144">
        <v>216</v>
      </c>
      <c r="B144">
        <f t="shared" si="41"/>
        <v>0.1412315585333036</v>
      </c>
      <c r="C144">
        <f t="shared" si="37"/>
        <v>0.1412315585333036</v>
      </c>
      <c r="D144" t="s">
        <v>28</v>
      </c>
      <c r="E144" t="s">
        <v>21</v>
      </c>
      <c r="F144">
        <v>1</v>
      </c>
      <c r="G144">
        <f t="shared" si="42"/>
        <v>100</v>
      </c>
      <c r="I144">
        <v>2050</v>
      </c>
      <c r="J144">
        <f t="shared" si="43"/>
        <v>102.5</v>
      </c>
      <c r="K144" cm="1">
        <f t="array" ref="K144">STOWA2019_JAARROND_T(A144*60,J144,I144,"GH","center")</f>
        <v>2.438503436683265</v>
      </c>
      <c r="L144">
        <f t="shared" si="44"/>
        <v>0.41008759100218939</v>
      </c>
    </row>
    <row r="145" spans="1:12" x14ac:dyDescent="0.3">
      <c r="A145">
        <v>216</v>
      </c>
      <c r="B145">
        <f t="shared" si="41"/>
        <v>0.10544129031946037</v>
      </c>
      <c r="C145">
        <f t="shared" si="37"/>
        <v>0.10544129031946037</v>
      </c>
      <c r="D145" t="s">
        <v>28</v>
      </c>
      <c r="E145" t="s">
        <v>21</v>
      </c>
      <c r="F145">
        <v>1</v>
      </c>
      <c r="G145">
        <f t="shared" si="42"/>
        <v>105</v>
      </c>
      <c r="I145">
        <v>2050</v>
      </c>
      <c r="J145">
        <f t="shared" si="43"/>
        <v>107.5</v>
      </c>
      <c r="K145" cm="1">
        <f t="array" ref="K145">STOWA2019_JAARROND_T(A145*60,J145,I145,"GH","center")</f>
        <v>3.2824951353715615</v>
      </c>
      <c r="L145">
        <f t="shared" si="44"/>
        <v>0.30464630068272902</v>
      </c>
    </row>
    <row r="146" spans="1:12" x14ac:dyDescent="0.3">
      <c r="A146">
        <v>216</v>
      </c>
      <c r="B146">
        <f t="shared" si="41"/>
        <v>7.8623161124303398E-2</v>
      </c>
      <c r="C146">
        <f t="shared" si="37"/>
        <v>7.8623161124303398E-2</v>
      </c>
      <c r="D146" t="s">
        <v>28</v>
      </c>
      <c r="E146" t="s">
        <v>21</v>
      </c>
      <c r="F146">
        <v>1</v>
      </c>
      <c r="G146">
        <f t="shared" si="42"/>
        <v>110</v>
      </c>
      <c r="I146">
        <v>2050</v>
      </c>
      <c r="J146">
        <f t="shared" si="43"/>
        <v>112.5</v>
      </c>
      <c r="K146" cm="1">
        <f t="array" ref="K146">STOWA2019_JAARROND_T(A146*60,J146,I146,"GH","center")</f>
        <v>4.4243257657320791</v>
      </c>
      <c r="L146">
        <f t="shared" si="44"/>
        <v>0.22602313955842562</v>
      </c>
    </row>
    <row r="147" spans="1:12" x14ac:dyDescent="0.3">
      <c r="A147">
        <v>216</v>
      </c>
      <c r="B147">
        <f t="shared" si="41"/>
        <v>5.8551015286341018E-2</v>
      </c>
      <c r="C147">
        <f t="shared" si="37"/>
        <v>5.8551015286341018E-2</v>
      </c>
      <c r="D147" t="s">
        <v>28</v>
      </c>
      <c r="E147" t="s">
        <v>21</v>
      </c>
      <c r="F147">
        <v>1</v>
      </c>
      <c r="G147">
        <f t="shared" si="42"/>
        <v>115</v>
      </c>
      <c r="I147">
        <v>2050</v>
      </c>
      <c r="J147">
        <f t="shared" si="43"/>
        <v>117.5</v>
      </c>
      <c r="K147" cm="1">
        <f t="array" ref="K147">STOWA2019_JAARROND_T(A147*60,J147,I147,"GH","center")</f>
        <v>5.9711429848190374</v>
      </c>
      <c r="L147">
        <f t="shared" si="44"/>
        <v>0.1674721242720846</v>
      </c>
    </row>
    <row r="148" spans="1:12" x14ac:dyDescent="0.3">
      <c r="A148">
        <v>216</v>
      </c>
      <c r="B148">
        <f t="shared" si="41"/>
        <v>4.3548560694070579E-2</v>
      </c>
      <c r="C148">
        <f t="shared" si="37"/>
        <v>4.3548560694070579E-2</v>
      </c>
      <c r="D148" t="s">
        <v>28</v>
      </c>
      <c r="E148" t="s">
        <v>21</v>
      </c>
      <c r="F148">
        <v>1</v>
      </c>
      <c r="G148">
        <f t="shared" si="42"/>
        <v>120</v>
      </c>
      <c r="I148">
        <v>2050</v>
      </c>
      <c r="J148">
        <f t="shared" si="43"/>
        <v>122.5</v>
      </c>
      <c r="K148" cm="1">
        <f t="array" ref="K148">STOWA2019_JAARROND_T(A148*60,J148,I148,"GH","center")</f>
        <v>8.0694903465269263</v>
      </c>
      <c r="L148">
        <f t="shared" si="44"/>
        <v>0.12392356357801403</v>
      </c>
    </row>
    <row r="149" spans="1:12" x14ac:dyDescent="0.3">
      <c r="A149">
        <v>216</v>
      </c>
      <c r="B149">
        <f t="shared" si="41"/>
        <v>3.2347995873065749E-2</v>
      </c>
      <c r="C149">
        <f t="shared" si="37"/>
        <v>3.2347995873065749E-2</v>
      </c>
      <c r="D149" t="s">
        <v>28</v>
      </c>
      <c r="E149" t="s">
        <v>21</v>
      </c>
      <c r="F149">
        <v>1</v>
      </c>
      <c r="G149">
        <f t="shared" si="42"/>
        <v>125</v>
      </c>
      <c r="I149">
        <v>2050</v>
      </c>
      <c r="J149">
        <f t="shared" si="43"/>
        <v>127.5</v>
      </c>
      <c r="K149" cm="1">
        <f t="array" ref="K149">STOWA2019_JAARROND_T(A149*60,J149,I149,"GH","center")</f>
        <v>10.919943223523855</v>
      </c>
      <c r="L149">
        <f t="shared" si="44"/>
        <v>9.1575567704948277E-2</v>
      </c>
    </row>
    <row r="150" spans="1:12" x14ac:dyDescent="0.3">
      <c r="A150">
        <v>216</v>
      </c>
      <c r="B150">
        <f t="shared" si="41"/>
        <v>2.3996898178864523E-2</v>
      </c>
      <c r="C150">
        <f t="shared" si="37"/>
        <v>2.3996898178864523E-2</v>
      </c>
      <c r="D150" t="s">
        <v>28</v>
      </c>
      <c r="E150" t="s">
        <v>21</v>
      </c>
      <c r="F150">
        <v>1</v>
      </c>
      <c r="G150">
        <f t="shared" si="42"/>
        <v>130</v>
      </c>
      <c r="I150">
        <v>2050</v>
      </c>
      <c r="J150">
        <f t="shared" si="43"/>
        <v>132.5</v>
      </c>
      <c r="K150" cm="1">
        <f t="array" ref="K150">STOWA2019_JAARROND_T(A150*60,J150,I150,"GH","center")</f>
        <v>14.797568626503129</v>
      </c>
      <c r="L150">
        <f t="shared" si="44"/>
        <v>6.7578669526083754E-2</v>
      </c>
    </row>
    <row r="151" spans="1:12" x14ac:dyDescent="0.3">
      <c r="A151">
        <v>216</v>
      </c>
      <c r="B151">
        <f t="shared" si="41"/>
        <v>1.7777116281150529E-2</v>
      </c>
      <c r="C151">
        <f t="shared" si="37"/>
        <v>1.7777116281150529E-2</v>
      </c>
      <c r="D151" t="s">
        <v>28</v>
      </c>
      <c r="E151" t="s">
        <v>21</v>
      </c>
      <c r="F151">
        <v>1</v>
      </c>
      <c r="G151">
        <f t="shared" si="42"/>
        <v>135</v>
      </c>
      <c r="I151">
        <v>2050</v>
      </c>
      <c r="J151">
        <f t="shared" si="43"/>
        <v>137.5</v>
      </c>
      <c r="K151" cm="1">
        <f t="array" ref="K151">STOWA2019_JAARROND_T(A151*60,J151,I151,"GH","center")</f>
        <v>20.079695006334752</v>
      </c>
      <c r="L151">
        <f t="shared" si="44"/>
        <v>4.9801553244933225E-2</v>
      </c>
    </row>
    <row r="152" spans="1:12" x14ac:dyDescent="0.3">
      <c r="A152">
        <v>216</v>
      </c>
      <c r="B152">
        <f t="shared" si="41"/>
        <v>1.3151919855634762E-2</v>
      </c>
      <c r="C152">
        <f t="shared" si="37"/>
        <v>1.3151919855634762E-2</v>
      </c>
      <c r="D152" t="s">
        <v>28</v>
      </c>
      <c r="E152" t="s">
        <v>21</v>
      </c>
      <c r="F152">
        <v>1</v>
      </c>
      <c r="G152">
        <f t="shared" si="42"/>
        <v>140</v>
      </c>
      <c r="I152">
        <v>2050</v>
      </c>
      <c r="J152">
        <f t="shared" si="43"/>
        <v>142.5</v>
      </c>
      <c r="K152" cm="1">
        <f t="array" ref="K152">STOWA2019_JAARROND_T(A152*60,J152,I152,"GH","center")</f>
        <v>27.285402540806743</v>
      </c>
      <c r="L152">
        <f t="shared" si="44"/>
        <v>3.6649633389298462E-2</v>
      </c>
    </row>
    <row r="153" spans="1:12" x14ac:dyDescent="0.3">
      <c r="A153">
        <v>216</v>
      </c>
      <c r="B153">
        <f t="shared" si="41"/>
        <v>9.7168950533377679E-3</v>
      </c>
      <c r="C153">
        <f t="shared" si="37"/>
        <v>9.7168950533377679E-3</v>
      </c>
      <c r="D153" t="s">
        <v>28</v>
      </c>
      <c r="E153" t="s">
        <v>21</v>
      </c>
      <c r="F153">
        <v>1</v>
      </c>
      <c r="G153">
        <f t="shared" si="42"/>
        <v>145</v>
      </c>
      <c r="I153">
        <v>2050</v>
      </c>
      <c r="J153">
        <f t="shared" si="43"/>
        <v>147.5</v>
      </c>
      <c r="K153" cm="1">
        <f t="array" ref="K153">STOWA2019_JAARROND_T(A153*60,J153,I153,"GH","center")</f>
        <v>37.129533117870757</v>
      </c>
      <c r="L153">
        <f t="shared" si="44"/>
        <v>2.6932738335960694E-2</v>
      </c>
    </row>
    <row r="154" spans="1:12" x14ac:dyDescent="0.3">
      <c r="A154">
        <v>216</v>
      </c>
      <c r="B154">
        <f t="shared" si="41"/>
        <v>7.168769743297141E-3</v>
      </c>
      <c r="C154">
        <f t="shared" si="37"/>
        <v>7.168769743297141E-3</v>
      </c>
      <c r="D154" t="s">
        <v>28</v>
      </c>
      <c r="E154" t="s">
        <v>21</v>
      </c>
      <c r="F154">
        <v>1</v>
      </c>
      <c r="G154">
        <f t="shared" si="42"/>
        <v>150</v>
      </c>
      <c r="I154">
        <v>2050</v>
      </c>
      <c r="J154">
        <f t="shared" si="43"/>
        <v>152.5</v>
      </c>
      <c r="K154" cm="1">
        <f t="array" ref="K154">STOWA2019_JAARROND_T(A154*60,J154,I154,"GH","center")</f>
        <v>50.597125537388436</v>
      </c>
      <c r="L154">
        <f t="shared" si="44"/>
        <v>1.9763968592663553E-2</v>
      </c>
    </row>
    <row r="155" spans="1:12" x14ac:dyDescent="0.3">
      <c r="A155">
        <v>216</v>
      </c>
      <c r="B155">
        <f t="shared" si="41"/>
        <v>5.281542395217791E-3</v>
      </c>
      <c r="C155">
        <f t="shared" si="37"/>
        <v>5.281542395217791E-3</v>
      </c>
      <c r="D155" t="s">
        <v>28</v>
      </c>
      <c r="E155" t="s">
        <v>21</v>
      </c>
      <c r="F155">
        <v>1</v>
      </c>
      <c r="G155">
        <f t="shared" si="42"/>
        <v>155</v>
      </c>
      <c r="I155">
        <v>2050</v>
      </c>
      <c r="J155">
        <f t="shared" si="43"/>
        <v>157.5</v>
      </c>
      <c r="K155" cm="1">
        <f t="array" ref="K155">STOWA2019_JAARROND_T(A155*60,J155,I155,"GH","center")</f>
        <v>69.049203936310619</v>
      </c>
      <c r="L155">
        <f t="shared" si="44"/>
        <v>1.4482426197445762E-2</v>
      </c>
    </row>
    <row r="156" spans="1:12" x14ac:dyDescent="0.3">
      <c r="A156">
        <v>216</v>
      </c>
      <c r="B156" s="1">
        <f>L155</f>
        <v>1.4482426197445762E-2</v>
      </c>
      <c r="C156">
        <f t="shared" si="37"/>
        <v>1.4482426197445762E-2</v>
      </c>
      <c r="D156" t="s">
        <v>28</v>
      </c>
      <c r="E156" t="s">
        <v>21</v>
      </c>
      <c r="F156">
        <v>1</v>
      </c>
      <c r="G156">
        <f t="shared" si="42"/>
        <v>160</v>
      </c>
      <c r="I156">
        <v>2050</v>
      </c>
      <c r="J156">
        <f>AVERAGE(G156:G157)</f>
        <v>160</v>
      </c>
      <c r="K156" cm="1">
        <f t="array" ref="K156">STOWA2019_JAARROND_T(A156*60,J156,I156,"GH","center")</f>
        <v>80.707620862860693</v>
      </c>
      <c r="L156">
        <f>1/K156</f>
        <v>1.2390403648488306E-2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037B5A-0097-4965-8AFD-F3F022E81C6A}">
  <sheetPr codeName="Blad12"/>
  <dimension ref="A1:L156"/>
  <sheetViews>
    <sheetView workbookViewId="0">
      <selection activeCell="D2" sqref="D2:D156"/>
    </sheetView>
  </sheetViews>
  <sheetFormatPr defaultRowHeight="14.4" x14ac:dyDescent="0.3"/>
  <cols>
    <col min="2" max="3" width="12" bestFit="1" customWidth="1"/>
    <col min="4" max="4" width="26.5546875" bestFit="1" customWidth="1"/>
    <col min="11" max="11" width="10.5546875" bestFit="1" customWidth="1"/>
  </cols>
  <sheetData>
    <row r="1" spans="1:12" x14ac:dyDescent="0.3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20</v>
      </c>
      <c r="G1" t="s">
        <v>1</v>
      </c>
      <c r="I1" t="s">
        <v>4</v>
      </c>
      <c r="J1" t="s">
        <v>13</v>
      </c>
      <c r="K1" t="s">
        <v>2</v>
      </c>
      <c r="L1" t="s">
        <v>3</v>
      </c>
    </row>
    <row r="2" spans="1:12" x14ac:dyDescent="0.3">
      <c r="A2">
        <v>24</v>
      </c>
      <c r="B2" s="1">
        <f>365.25*24/A2 - L2</f>
        <v>358.1896077538828</v>
      </c>
      <c r="C2">
        <f>B2</f>
        <v>358.1896077538828</v>
      </c>
      <c r="D2" t="s">
        <v>28</v>
      </c>
      <c r="E2" t="s">
        <v>19</v>
      </c>
      <c r="F2">
        <v>1</v>
      </c>
      <c r="G2">
        <v>10</v>
      </c>
      <c r="I2">
        <v>2050</v>
      </c>
      <c r="J2">
        <f>AVERAGE(G2:G4)</f>
        <v>15</v>
      </c>
      <c r="K2" cm="1">
        <f t="array" ref="K2">STOWA2019_NDJF_T(A2*60,J2,I2,"GH","center")</f>
        <v>0.14163519038902472</v>
      </c>
      <c r="L2">
        <f>1/K2</f>
        <v>7.0603922461171749</v>
      </c>
    </row>
    <row r="3" spans="1:12" x14ac:dyDescent="0.3">
      <c r="A3">
        <v>24</v>
      </c>
      <c r="B3">
        <f t="shared" ref="B3:B7" si="0">L2-L3</f>
        <v>2.6033849422012967</v>
      </c>
      <c r="C3">
        <f t="shared" ref="C3:C32" si="1">B3</f>
        <v>2.6033849422012967</v>
      </c>
      <c r="D3" t="s">
        <v>28</v>
      </c>
      <c r="E3" t="s">
        <v>19</v>
      </c>
      <c r="F3">
        <v>1</v>
      </c>
      <c r="G3">
        <f t="shared" ref="G3:G7" si="2">G2+5</f>
        <v>15</v>
      </c>
      <c r="I3">
        <v>2050</v>
      </c>
      <c r="J3">
        <f t="shared" ref="J3:J7" si="3">AVERAGE(G3:G4)</f>
        <v>17.5</v>
      </c>
      <c r="K3" cm="1">
        <f t="array" ref="K3">STOWA2019_NDJF_T(A3*60,J3,I3,"GH","center")</f>
        <v>0.22436579790242003</v>
      </c>
      <c r="L3">
        <f t="shared" ref="L3:L7" si="4">1/K3</f>
        <v>4.4570073039158782</v>
      </c>
    </row>
    <row r="4" spans="1:12" x14ac:dyDescent="0.3">
      <c r="A4">
        <v>24</v>
      </c>
      <c r="B4">
        <f t="shared" si="0"/>
        <v>2.601205698487898</v>
      </c>
      <c r="C4">
        <f t="shared" si="1"/>
        <v>2.601205698487898</v>
      </c>
      <c r="D4" t="s">
        <v>28</v>
      </c>
      <c r="E4" t="s">
        <v>19</v>
      </c>
      <c r="F4">
        <v>1</v>
      </c>
      <c r="G4">
        <f t="shared" si="2"/>
        <v>20</v>
      </c>
      <c r="I4">
        <v>2050</v>
      </c>
      <c r="J4">
        <f t="shared" si="3"/>
        <v>22.5</v>
      </c>
      <c r="K4" cm="1">
        <f t="array" ref="K4">STOWA2019_NDJF_T(A4*60,J4,I4,"GH","center")</f>
        <v>0.53885070315443684</v>
      </c>
      <c r="L4">
        <f t="shared" si="4"/>
        <v>1.8558016054279804</v>
      </c>
    </row>
    <row r="5" spans="1:12" x14ac:dyDescent="0.3">
      <c r="A5">
        <v>24</v>
      </c>
      <c r="B5">
        <f t="shared" si="0"/>
        <v>1.0411473210882587</v>
      </c>
      <c r="C5">
        <f t="shared" si="1"/>
        <v>1.0411473210882587</v>
      </c>
      <c r="D5" t="s">
        <v>28</v>
      </c>
      <c r="E5" t="s">
        <v>19</v>
      </c>
      <c r="F5">
        <v>1</v>
      </c>
      <c r="G5">
        <f t="shared" si="2"/>
        <v>25</v>
      </c>
      <c r="I5">
        <v>2050</v>
      </c>
      <c r="J5">
        <f t="shared" si="3"/>
        <v>27.5</v>
      </c>
      <c r="K5" cm="1">
        <f t="array" ref="K5">STOWA2019_NDJF_T(A5*60,J5,I5,"GH","center")</f>
        <v>1.2275145656546826</v>
      </c>
      <c r="L5">
        <f t="shared" si="4"/>
        <v>0.81465428433972187</v>
      </c>
    </row>
    <row r="6" spans="1:12" x14ac:dyDescent="0.3">
      <c r="A6">
        <v>24</v>
      </c>
      <c r="B6">
        <f t="shared" si="0"/>
        <v>0.44000372504595442</v>
      </c>
      <c r="C6">
        <f t="shared" si="1"/>
        <v>0.44000372504595442</v>
      </c>
      <c r="D6" t="s">
        <v>28</v>
      </c>
      <c r="E6" t="s">
        <v>19</v>
      </c>
      <c r="F6">
        <v>1</v>
      </c>
      <c r="G6">
        <f t="shared" si="2"/>
        <v>30</v>
      </c>
      <c r="I6">
        <v>2050</v>
      </c>
      <c r="J6">
        <f t="shared" si="3"/>
        <v>32.5</v>
      </c>
      <c r="K6" cm="1">
        <f t="array" ref="K6">STOWA2019_NDJF_T(A6*60,J6,I6,"GH","center")</f>
        <v>2.6691538960599535</v>
      </c>
      <c r="L6">
        <f t="shared" si="4"/>
        <v>0.37465055929376745</v>
      </c>
    </row>
    <row r="7" spans="1:12" x14ac:dyDescent="0.3">
      <c r="A7">
        <v>24</v>
      </c>
      <c r="B7">
        <f t="shared" si="0"/>
        <v>0.19501365774139881</v>
      </c>
      <c r="C7">
        <f t="shared" si="1"/>
        <v>0.19501365774139881</v>
      </c>
      <c r="D7" t="s">
        <v>28</v>
      </c>
      <c r="E7" t="s">
        <v>19</v>
      </c>
      <c r="F7">
        <v>1</v>
      </c>
      <c r="G7">
        <f t="shared" si="2"/>
        <v>35</v>
      </c>
      <c r="I7">
        <v>2050</v>
      </c>
      <c r="J7">
        <f t="shared" si="3"/>
        <v>37.5</v>
      </c>
      <c r="K7" cm="1">
        <f t="array" ref="K7">STOWA2019_NDJF_T(A7*60,J7,I7,"GH","center")</f>
        <v>5.5667849498532744</v>
      </c>
      <c r="L7">
        <f t="shared" si="4"/>
        <v>0.17963690155236864</v>
      </c>
    </row>
    <row r="8" spans="1:12" x14ac:dyDescent="0.3">
      <c r="A8">
        <v>24</v>
      </c>
      <c r="B8">
        <f>L7-L8</f>
        <v>9.0220474205519929E-2</v>
      </c>
      <c r="C8">
        <f t="shared" si="1"/>
        <v>9.0220474205519929E-2</v>
      </c>
      <c r="D8" t="s">
        <v>28</v>
      </c>
      <c r="E8" t="s">
        <v>19</v>
      </c>
      <c r="F8">
        <v>1</v>
      </c>
      <c r="G8">
        <f>G7+5</f>
        <v>40</v>
      </c>
      <c r="I8">
        <v>2050</v>
      </c>
      <c r="J8">
        <f>AVERAGE(G8:G9)</f>
        <v>42.5</v>
      </c>
      <c r="K8" cm="1">
        <f t="array" ref="K8">STOWA2019_NDJF_T(A8*60,J8,I8,"GH","center")</f>
        <v>11.18362732298589</v>
      </c>
      <c r="L8">
        <f>1/K8</f>
        <v>8.9416427346848709E-2</v>
      </c>
    </row>
    <row r="9" spans="1:12" x14ac:dyDescent="0.3">
      <c r="A9">
        <v>24</v>
      </c>
      <c r="B9">
        <f t="shared" ref="B9:B31" si="5">L8-L9</f>
        <v>4.3377355817463055E-2</v>
      </c>
      <c r="C9">
        <f t="shared" si="1"/>
        <v>4.3377355817463055E-2</v>
      </c>
      <c r="D9" t="s">
        <v>28</v>
      </c>
      <c r="E9" t="s">
        <v>19</v>
      </c>
      <c r="F9">
        <v>1</v>
      </c>
      <c r="G9">
        <f t="shared" ref="G9:G32" si="6">G8+5</f>
        <v>45</v>
      </c>
      <c r="I9">
        <v>2050</v>
      </c>
      <c r="J9">
        <f t="shared" ref="J9:J31" si="7">AVERAGE(G9:G10)</f>
        <v>47.5</v>
      </c>
      <c r="K9" cm="1">
        <f t="array" ref="K9">STOWA2019_NDJF_T(A9*60,J9,I9,"GH","center")</f>
        <v>21.720681299181361</v>
      </c>
      <c r="L9">
        <f t="shared" ref="L9:L31" si="8">1/K9</f>
        <v>4.6039071529385654E-2</v>
      </c>
    </row>
    <row r="10" spans="1:12" x14ac:dyDescent="0.3">
      <c r="A10">
        <v>24</v>
      </c>
      <c r="B10">
        <f t="shared" si="5"/>
        <v>2.1595787130747855E-2</v>
      </c>
      <c r="C10">
        <f t="shared" si="1"/>
        <v>2.1595787130747855E-2</v>
      </c>
      <c r="D10" t="s">
        <v>28</v>
      </c>
      <c r="E10" t="s">
        <v>19</v>
      </c>
      <c r="F10">
        <v>1</v>
      </c>
      <c r="G10">
        <f t="shared" si="6"/>
        <v>50</v>
      </c>
      <c r="I10">
        <v>2050</v>
      </c>
      <c r="J10">
        <f t="shared" si="7"/>
        <v>52.5</v>
      </c>
      <c r="K10" cm="1">
        <f t="array" ref="K10">STOWA2019_NDJF_T(A10*60,J10,I10,"GH","center")</f>
        <v>40.911032400201059</v>
      </c>
      <c r="L10">
        <f t="shared" si="8"/>
        <v>2.4443284398637799E-2</v>
      </c>
    </row>
    <row r="11" spans="1:12" x14ac:dyDescent="0.3">
      <c r="A11">
        <v>24</v>
      </c>
      <c r="B11">
        <f t="shared" si="5"/>
        <v>1.1097463514900629E-2</v>
      </c>
      <c r="C11">
        <f t="shared" si="1"/>
        <v>1.1097463514900629E-2</v>
      </c>
      <c r="D11" t="s">
        <v>28</v>
      </c>
      <c r="E11" t="s">
        <v>19</v>
      </c>
      <c r="F11">
        <v>1</v>
      </c>
      <c r="G11">
        <f t="shared" si="6"/>
        <v>55</v>
      </c>
      <c r="I11">
        <v>2050</v>
      </c>
      <c r="J11">
        <f t="shared" si="7"/>
        <v>57.5</v>
      </c>
      <c r="K11" cm="1">
        <f t="array" ref="K11">STOWA2019_NDJF_T(A11*60,J11,I11,"GH","center")</f>
        <v>74.92982325415224</v>
      </c>
      <c r="L11">
        <f t="shared" si="8"/>
        <v>1.334582088373717E-2</v>
      </c>
    </row>
    <row r="12" spans="1:12" x14ac:dyDescent="0.3">
      <c r="A12">
        <v>24</v>
      </c>
      <c r="B12">
        <f t="shared" si="5"/>
        <v>5.8701572418675381E-3</v>
      </c>
      <c r="C12">
        <f t="shared" si="1"/>
        <v>5.8701572418675381E-3</v>
      </c>
      <c r="D12" t="s">
        <v>28</v>
      </c>
      <c r="E12" t="s">
        <v>19</v>
      </c>
      <c r="F12">
        <v>1</v>
      </c>
      <c r="G12">
        <f t="shared" si="6"/>
        <v>60</v>
      </c>
      <c r="I12">
        <v>2050</v>
      </c>
      <c r="J12">
        <f t="shared" si="7"/>
        <v>62.5</v>
      </c>
      <c r="K12" cm="1">
        <f t="array" ref="K12">STOWA2019_NDJF_T(A12*60,J12,I12,"GH","center")</f>
        <v>133.76738814186459</v>
      </c>
      <c r="L12">
        <f t="shared" si="8"/>
        <v>7.4756636418696317E-3</v>
      </c>
    </row>
    <row r="13" spans="1:12" x14ac:dyDescent="0.3">
      <c r="A13">
        <v>24</v>
      </c>
      <c r="B13">
        <f t="shared" si="5"/>
        <v>3.1884955711863174E-3</v>
      </c>
      <c r="C13">
        <f t="shared" si="1"/>
        <v>3.1884955711863174E-3</v>
      </c>
      <c r="D13" t="s">
        <v>28</v>
      </c>
      <c r="E13" t="s">
        <v>19</v>
      </c>
      <c r="F13">
        <v>1</v>
      </c>
      <c r="G13">
        <f t="shared" si="6"/>
        <v>65</v>
      </c>
      <c r="I13">
        <v>2050</v>
      </c>
      <c r="J13">
        <f t="shared" si="7"/>
        <v>67.5</v>
      </c>
      <c r="K13" cm="1">
        <f t="array" ref="K13">STOWA2019_NDJF_T(A13*60,J13,I13,"GH","center")</f>
        <v>233.2542096584084</v>
      </c>
      <c r="L13">
        <f t="shared" si="8"/>
        <v>4.2871680706833143E-3</v>
      </c>
    </row>
    <row r="14" spans="1:12" x14ac:dyDescent="0.3">
      <c r="A14">
        <v>24</v>
      </c>
      <c r="B14">
        <f t="shared" si="5"/>
        <v>1.774614745738274E-3</v>
      </c>
      <c r="C14">
        <f t="shared" si="1"/>
        <v>1.774614745738274E-3</v>
      </c>
      <c r="D14" t="s">
        <v>28</v>
      </c>
      <c r="E14" t="s">
        <v>19</v>
      </c>
      <c r="F14">
        <v>1</v>
      </c>
      <c r="G14">
        <f t="shared" si="6"/>
        <v>70</v>
      </c>
      <c r="I14">
        <v>2050</v>
      </c>
      <c r="J14">
        <f t="shared" si="7"/>
        <v>72.5</v>
      </c>
      <c r="K14" cm="1">
        <f t="array" ref="K14">STOWA2019_NDJF_T(A14*60,J14,I14,"GH","center")</f>
        <v>398.00150312108264</v>
      </c>
      <c r="L14">
        <f t="shared" si="8"/>
        <v>2.5125533249450403E-3</v>
      </c>
    </row>
    <row r="15" spans="1:12" x14ac:dyDescent="0.3">
      <c r="A15">
        <v>24</v>
      </c>
      <c r="B15">
        <f t="shared" si="5"/>
        <v>1.0102162991187369E-3</v>
      </c>
      <c r="C15">
        <f t="shared" si="1"/>
        <v>1.0102162991187369E-3</v>
      </c>
      <c r="D15" t="s">
        <v>28</v>
      </c>
      <c r="E15" t="s">
        <v>19</v>
      </c>
      <c r="F15">
        <v>1</v>
      </c>
      <c r="G15">
        <f t="shared" si="6"/>
        <v>75</v>
      </c>
      <c r="I15">
        <v>2050</v>
      </c>
      <c r="J15">
        <f t="shared" si="7"/>
        <v>77.5</v>
      </c>
      <c r="K15" cm="1">
        <f t="array" ref="K15">STOWA2019_NDJF_T(A15*60,J15,I15,"GH","center")</f>
        <v>665.62960428269287</v>
      </c>
      <c r="L15">
        <f t="shared" si="8"/>
        <v>1.5023370258263034E-3</v>
      </c>
    </row>
    <row r="16" spans="1:12" x14ac:dyDescent="0.3">
      <c r="A16">
        <v>24</v>
      </c>
      <c r="B16">
        <f t="shared" si="5"/>
        <v>5.871596149951959E-4</v>
      </c>
      <c r="C16">
        <f t="shared" si="1"/>
        <v>5.871596149951959E-4</v>
      </c>
      <c r="D16" t="s">
        <v>28</v>
      </c>
      <c r="E16" t="s">
        <v>19</v>
      </c>
      <c r="F16">
        <v>1</v>
      </c>
      <c r="G16">
        <f t="shared" si="6"/>
        <v>80</v>
      </c>
      <c r="I16">
        <v>2050</v>
      </c>
      <c r="J16">
        <f t="shared" si="7"/>
        <v>82.5</v>
      </c>
      <c r="K16" cm="1">
        <f t="array" ref="K16">STOWA2019_NDJF_T(A16*60,J16,I16,"GH","center")</f>
        <v>1092.6843125333064</v>
      </c>
      <c r="L16">
        <f t="shared" si="8"/>
        <v>9.1517741083110751E-4</v>
      </c>
    </row>
    <row r="17" spans="1:12" x14ac:dyDescent="0.3">
      <c r="A17">
        <v>24</v>
      </c>
      <c r="B17">
        <f t="shared" si="5"/>
        <v>3.4794614336165644E-4</v>
      </c>
      <c r="C17">
        <f t="shared" si="1"/>
        <v>3.4794614336165644E-4</v>
      </c>
      <c r="D17" t="s">
        <v>28</v>
      </c>
      <c r="E17" t="s">
        <v>19</v>
      </c>
      <c r="F17">
        <v>1</v>
      </c>
      <c r="G17">
        <f t="shared" si="6"/>
        <v>85</v>
      </c>
      <c r="I17">
        <v>2050</v>
      </c>
      <c r="J17">
        <f t="shared" si="7"/>
        <v>87.5</v>
      </c>
      <c r="K17" cm="1">
        <f t="array" ref="K17">STOWA2019_NDJF_T(A17*60,J17,I17,"GH","center")</f>
        <v>1762.9493600753526</v>
      </c>
      <c r="L17">
        <f t="shared" si="8"/>
        <v>5.6723126746945106E-4</v>
      </c>
    </row>
    <row r="18" spans="1:12" x14ac:dyDescent="0.3">
      <c r="A18">
        <v>24</v>
      </c>
      <c r="B18">
        <f t="shared" si="5"/>
        <v>2.0993510073759786E-4</v>
      </c>
      <c r="C18">
        <f t="shared" si="1"/>
        <v>2.0993510073759786E-4</v>
      </c>
      <c r="D18" t="s">
        <v>28</v>
      </c>
      <c r="E18" t="s">
        <v>19</v>
      </c>
      <c r="F18">
        <v>1</v>
      </c>
      <c r="G18">
        <f t="shared" si="6"/>
        <v>90</v>
      </c>
      <c r="I18">
        <v>2050</v>
      </c>
      <c r="J18">
        <f t="shared" si="7"/>
        <v>92.5</v>
      </c>
      <c r="K18" cm="1">
        <f t="array" ref="K18">STOWA2019_NDJF_T(A18*60,J18,I18,"GH","center")</f>
        <v>2798.7985685569611</v>
      </c>
      <c r="L18">
        <f t="shared" si="8"/>
        <v>3.5729616673185321E-4</v>
      </c>
    </row>
    <row r="19" spans="1:12" x14ac:dyDescent="0.3">
      <c r="A19">
        <v>24</v>
      </c>
      <c r="B19">
        <f t="shared" si="5"/>
        <v>1.2881795530072973E-4</v>
      </c>
      <c r="C19">
        <f t="shared" si="1"/>
        <v>1.2881795530072973E-4</v>
      </c>
      <c r="D19" t="s">
        <v>28</v>
      </c>
      <c r="E19" t="s">
        <v>19</v>
      </c>
      <c r="F19">
        <v>1</v>
      </c>
      <c r="G19">
        <f t="shared" si="6"/>
        <v>95</v>
      </c>
      <c r="I19">
        <v>2050</v>
      </c>
      <c r="J19">
        <f t="shared" si="7"/>
        <v>97.5</v>
      </c>
      <c r="K19" cm="1">
        <f t="array" ref="K19">STOWA2019_NDJF_T(A19*60,J19,I19,"GH","center")</f>
        <v>4376.7849622783733</v>
      </c>
      <c r="L19">
        <f t="shared" si="8"/>
        <v>2.2847821143112348E-4</v>
      </c>
    </row>
    <row r="20" spans="1:12" x14ac:dyDescent="0.3">
      <c r="A20">
        <v>24</v>
      </c>
      <c r="B20">
        <f t="shared" si="5"/>
        <v>8.0293792659756326E-5</v>
      </c>
      <c r="C20">
        <f t="shared" si="1"/>
        <v>8.0293792659756326E-5</v>
      </c>
      <c r="D20" t="s">
        <v>28</v>
      </c>
      <c r="E20" t="s">
        <v>19</v>
      </c>
      <c r="F20">
        <v>1</v>
      </c>
      <c r="G20">
        <f t="shared" si="6"/>
        <v>100</v>
      </c>
      <c r="I20">
        <v>2050</v>
      </c>
      <c r="J20">
        <f t="shared" si="7"/>
        <v>102.5</v>
      </c>
      <c r="K20" cm="1">
        <f t="array" ref="K20">STOWA2019_NDJF_T(A20*60,J20,I20,"GH","center")</f>
        <v>6748.3478242263382</v>
      </c>
      <c r="L20">
        <f t="shared" si="8"/>
        <v>1.4818441877136715E-4</v>
      </c>
    </row>
    <row r="21" spans="1:12" x14ac:dyDescent="0.3">
      <c r="A21">
        <v>24</v>
      </c>
      <c r="B21">
        <f t="shared" si="5"/>
        <v>5.0793480839346299E-5</v>
      </c>
      <c r="C21">
        <f t="shared" si="1"/>
        <v>5.0793480839346299E-5</v>
      </c>
      <c r="D21" t="s">
        <v>28</v>
      </c>
      <c r="E21" t="s">
        <v>19</v>
      </c>
      <c r="F21">
        <v>1</v>
      </c>
      <c r="G21">
        <f t="shared" si="6"/>
        <v>105</v>
      </c>
      <c r="I21">
        <v>2050</v>
      </c>
      <c r="J21">
        <f t="shared" si="7"/>
        <v>107.5</v>
      </c>
      <c r="K21" cm="1">
        <f t="array" ref="K21">STOWA2019_NDJF_T(A21*60,J21,I21,"GH","center")</f>
        <v>10267.89577381422</v>
      </c>
      <c r="L21">
        <f t="shared" si="8"/>
        <v>9.7390937932020856E-5</v>
      </c>
    </row>
    <row r="22" spans="1:12" x14ac:dyDescent="0.3">
      <c r="A22">
        <v>24</v>
      </c>
      <c r="B22">
        <f t="shared" si="5"/>
        <v>3.2578726410027818E-5</v>
      </c>
      <c r="C22">
        <f t="shared" si="1"/>
        <v>3.2578726410027818E-5</v>
      </c>
      <c r="D22" t="s">
        <v>28</v>
      </c>
      <c r="E22" t="s">
        <v>19</v>
      </c>
      <c r="F22">
        <v>1</v>
      </c>
      <c r="G22">
        <f t="shared" si="6"/>
        <v>110</v>
      </c>
      <c r="I22">
        <v>2050</v>
      </c>
      <c r="J22">
        <f t="shared" si="7"/>
        <v>112.5</v>
      </c>
      <c r="K22" cm="1">
        <f t="array" ref="K22">STOWA2019_NDJF_T(A22*60,J22,I22,"GH","center")</f>
        <v>15429.191143410762</v>
      </c>
      <c r="L22">
        <f t="shared" si="8"/>
        <v>6.4812211521993038E-5</v>
      </c>
    </row>
    <row r="23" spans="1:12" x14ac:dyDescent="0.3">
      <c r="A23">
        <v>24</v>
      </c>
      <c r="B23">
        <f t="shared" si="5"/>
        <v>2.1170557382847182E-5</v>
      </c>
      <c r="C23">
        <f t="shared" si="1"/>
        <v>2.1170557382847182E-5</v>
      </c>
      <c r="D23" t="s">
        <v>28</v>
      </c>
      <c r="E23" t="s">
        <v>19</v>
      </c>
      <c r="F23">
        <v>1</v>
      </c>
      <c r="G23">
        <f t="shared" si="6"/>
        <v>115</v>
      </c>
      <c r="I23">
        <v>2050</v>
      </c>
      <c r="J23">
        <f t="shared" si="7"/>
        <v>117.5</v>
      </c>
      <c r="K23" cm="1">
        <f t="array" ref="K23">STOWA2019_NDJF_T(A23*60,J23,I23,"GH","center")</f>
        <v>22913.888571034164</v>
      </c>
      <c r="L23">
        <f t="shared" si="8"/>
        <v>4.3641654139145856E-5</v>
      </c>
    </row>
    <row r="24" spans="1:12" x14ac:dyDescent="0.3">
      <c r="A24">
        <v>24</v>
      </c>
      <c r="B24">
        <f t="shared" si="5"/>
        <v>1.3927383542013823E-5</v>
      </c>
      <c r="C24">
        <f t="shared" si="1"/>
        <v>1.3927383542013823E-5</v>
      </c>
      <c r="D24" t="s">
        <v>28</v>
      </c>
      <c r="E24" t="s">
        <v>19</v>
      </c>
      <c r="F24">
        <v>1</v>
      </c>
      <c r="G24">
        <f t="shared" si="6"/>
        <v>120</v>
      </c>
      <c r="I24">
        <v>2050</v>
      </c>
      <c r="J24">
        <f t="shared" si="7"/>
        <v>122.5</v>
      </c>
      <c r="K24" cm="1">
        <f t="array" ref="K24">STOWA2019_NDJF_T(A24*60,J24,I24,"GH","center")</f>
        <v>33653.863275261356</v>
      </c>
      <c r="L24">
        <f t="shared" si="8"/>
        <v>2.9714270597132033E-5</v>
      </c>
    </row>
    <row r="25" spans="1:12" x14ac:dyDescent="0.3">
      <c r="A25">
        <v>24</v>
      </c>
      <c r="B25">
        <f t="shared" si="5"/>
        <v>9.2693529998937663E-6</v>
      </c>
      <c r="C25">
        <f t="shared" si="1"/>
        <v>9.2693529998937663E-6</v>
      </c>
      <c r="D25" t="s">
        <v>28</v>
      </c>
      <c r="E25" t="s">
        <v>19</v>
      </c>
      <c r="F25">
        <v>1</v>
      </c>
      <c r="G25">
        <f t="shared" si="6"/>
        <v>125</v>
      </c>
      <c r="I25">
        <v>2050</v>
      </c>
      <c r="J25">
        <f t="shared" si="7"/>
        <v>127.5</v>
      </c>
      <c r="K25" cm="1">
        <f t="array" ref="K25">STOWA2019_NDJF_T(A25*60,J25,I25,"GH","center")</f>
        <v>48911.911493107786</v>
      </c>
      <c r="L25">
        <f t="shared" si="8"/>
        <v>2.0444917597238267E-5</v>
      </c>
    </row>
    <row r="26" spans="1:12" x14ac:dyDescent="0.3">
      <c r="A26">
        <v>24</v>
      </c>
      <c r="B26">
        <f t="shared" si="5"/>
        <v>6.2373424532244673E-6</v>
      </c>
      <c r="C26">
        <f t="shared" si="1"/>
        <v>6.2373424532244673E-6</v>
      </c>
      <c r="D26" t="s">
        <v>28</v>
      </c>
      <c r="E26" t="s">
        <v>19</v>
      </c>
      <c r="F26">
        <v>1</v>
      </c>
      <c r="G26">
        <f t="shared" si="6"/>
        <v>130</v>
      </c>
      <c r="I26">
        <v>2050</v>
      </c>
      <c r="J26">
        <f t="shared" si="7"/>
        <v>132.5</v>
      </c>
      <c r="K26" cm="1">
        <f t="array" ref="K26">STOWA2019_NDJF_T(A26*60,J26,I26,"GH","center")</f>
        <v>70384.987576246509</v>
      </c>
      <c r="L26">
        <f t="shared" si="8"/>
        <v>1.42075751440138E-5</v>
      </c>
    </row>
    <row r="27" spans="1:12" x14ac:dyDescent="0.3">
      <c r="A27">
        <v>24</v>
      </c>
      <c r="B27">
        <f t="shared" si="5"/>
        <v>4.2410089659110525E-6</v>
      </c>
      <c r="C27">
        <f t="shared" si="1"/>
        <v>4.2410089659110525E-6</v>
      </c>
      <c r="D27" t="s">
        <v>28</v>
      </c>
      <c r="E27" t="s">
        <v>19</v>
      </c>
      <c r="F27">
        <v>1</v>
      </c>
      <c r="G27">
        <f t="shared" si="6"/>
        <v>135</v>
      </c>
      <c r="I27">
        <v>2050</v>
      </c>
      <c r="J27">
        <f t="shared" si="7"/>
        <v>137.5</v>
      </c>
      <c r="K27" cm="1">
        <f t="array" ref="K27">STOWA2019_NDJF_T(A27*60,J27,I27,"GH","center")</f>
        <v>100335.45978925731</v>
      </c>
      <c r="L27">
        <f t="shared" si="8"/>
        <v>9.9665661781027471E-6</v>
      </c>
    </row>
    <row r="28" spans="1:12" x14ac:dyDescent="0.3">
      <c r="A28">
        <v>24</v>
      </c>
      <c r="B28">
        <f t="shared" si="5"/>
        <v>2.9121973724918475E-6</v>
      </c>
      <c r="C28">
        <f t="shared" si="1"/>
        <v>2.9121973724918475E-6</v>
      </c>
      <c r="D28" t="s">
        <v>28</v>
      </c>
      <c r="E28" t="s">
        <v>19</v>
      </c>
      <c r="F28">
        <v>1</v>
      </c>
      <c r="G28">
        <f t="shared" si="6"/>
        <v>140</v>
      </c>
      <c r="I28">
        <v>2050</v>
      </c>
      <c r="J28">
        <f t="shared" si="7"/>
        <v>142.5</v>
      </c>
      <c r="K28" cm="1">
        <f t="array" ref="K28">STOWA2019_NDJF_T(A28*60,J28,I28,"GH","center")</f>
        <v>141756.12695562793</v>
      </c>
      <c r="L28">
        <f t="shared" si="8"/>
        <v>7.0543688056108996E-6</v>
      </c>
    </row>
    <row r="29" spans="1:12" x14ac:dyDescent="0.3">
      <c r="A29">
        <v>24</v>
      </c>
      <c r="B29">
        <f t="shared" si="5"/>
        <v>2.0186485764950269E-6</v>
      </c>
      <c r="C29">
        <f t="shared" si="1"/>
        <v>2.0186485764950269E-6</v>
      </c>
      <c r="D29" t="s">
        <v>28</v>
      </c>
      <c r="E29" t="s">
        <v>19</v>
      </c>
      <c r="F29">
        <v>1</v>
      </c>
      <c r="G29">
        <f t="shared" si="6"/>
        <v>145</v>
      </c>
      <c r="I29">
        <v>2050</v>
      </c>
      <c r="J29">
        <f t="shared" si="7"/>
        <v>147.5</v>
      </c>
      <c r="K29" cm="1">
        <f t="array" ref="K29">STOWA2019_NDJF_T(A29*60,J29,I29,"GH","center")</f>
        <v>198581.32590808588</v>
      </c>
      <c r="L29">
        <f t="shared" si="8"/>
        <v>5.0357202291158728E-6</v>
      </c>
    </row>
    <row r="30" spans="1:12" x14ac:dyDescent="0.3">
      <c r="A30">
        <v>24</v>
      </c>
      <c r="B30">
        <f t="shared" si="5"/>
        <v>1.4117798033445758E-6</v>
      </c>
      <c r="C30">
        <f t="shared" si="1"/>
        <v>1.4117798033445758E-6</v>
      </c>
      <c r="D30" t="s">
        <v>28</v>
      </c>
      <c r="E30" t="s">
        <v>19</v>
      </c>
      <c r="F30">
        <v>1</v>
      </c>
      <c r="G30">
        <f t="shared" si="6"/>
        <v>150</v>
      </c>
      <c r="I30">
        <v>2050</v>
      </c>
      <c r="J30">
        <f t="shared" si="7"/>
        <v>152.5</v>
      </c>
      <c r="K30" cm="1">
        <f t="array" ref="K30">STOWA2019_NDJF_T(A30*60,J30,I30,"GH","center")</f>
        <v>275942.72601409175</v>
      </c>
      <c r="L30">
        <f t="shared" si="8"/>
        <v>3.6239404257712969E-6</v>
      </c>
    </row>
    <row r="31" spans="1:12" x14ac:dyDescent="0.3">
      <c r="A31">
        <v>24</v>
      </c>
      <c r="B31">
        <f t="shared" si="5"/>
        <v>9.9576856658307076E-7</v>
      </c>
      <c r="C31">
        <f t="shared" si="1"/>
        <v>9.9576856658307076E-7</v>
      </c>
      <c r="D31" t="s">
        <v>28</v>
      </c>
      <c r="E31" t="s">
        <v>19</v>
      </c>
      <c r="F31">
        <v>1</v>
      </c>
      <c r="G31">
        <f t="shared" si="6"/>
        <v>155</v>
      </c>
      <c r="I31">
        <v>2050</v>
      </c>
      <c r="J31">
        <f t="shared" si="7"/>
        <v>157.5</v>
      </c>
      <c r="K31" cm="1">
        <f t="array" ref="K31">STOWA2019_NDJF_T(A31*60,J31,I31,"GH","center")</f>
        <v>380492.62132685416</v>
      </c>
      <c r="L31">
        <f t="shared" si="8"/>
        <v>2.6281718591882262E-6</v>
      </c>
    </row>
    <row r="32" spans="1:12" x14ac:dyDescent="0.3">
      <c r="A32">
        <v>24</v>
      </c>
      <c r="B32" s="1">
        <f>L31</f>
        <v>2.6281718591882262E-6</v>
      </c>
      <c r="C32">
        <f t="shared" si="1"/>
        <v>2.6281718591882262E-6</v>
      </c>
      <c r="D32" t="s">
        <v>28</v>
      </c>
      <c r="E32" t="s">
        <v>19</v>
      </c>
      <c r="F32">
        <v>1</v>
      </c>
      <c r="G32">
        <f t="shared" si="6"/>
        <v>160</v>
      </c>
      <c r="I32">
        <v>2050</v>
      </c>
      <c r="J32">
        <f>AVERAGE(G32:G33)</f>
        <v>85</v>
      </c>
      <c r="K32" cm="1">
        <f t="array" ref="K32">STOWA2019_NDJF_T(A32*60,J32,I32,"GH","center")</f>
        <v>1390.823369684563</v>
      </c>
      <c r="L32">
        <f>1/K32</f>
        <v>7.1899855998738273E-4</v>
      </c>
    </row>
    <row r="33" spans="1:12" x14ac:dyDescent="0.3">
      <c r="A33">
        <v>48</v>
      </c>
      <c r="B33" s="1">
        <f>365.25*24/A33 - L33</f>
        <v>168.71848816621269</v>
      </c>
      <c r="C33">
        <f>B33</f>
        <v>168.71848816621269</v>
      </c>
      <c r="D33" t="s">
        <v>28</v>
      </c>
      <c r="E33" t="s">
        <v>19</v>
      </c>
      <c r="F33">
        <v>1</v>
      </c>
      <c r="G33">
        <v>10</v>
      </c>
      <c r="I33">
        <v>2050</v>
      </c>
      <c r="J33">
        <f>AVERAGE(G33:G35)</f>
        <v>15</v>
      </c>
      <c r="K33" cm="1">
        <f t="array" ref="K33">STOWA2019_NDJF_T(A33*60,J33,I33,"GH","center")</f>
        <v>7.1908758425703601E-2</v>
      </c>
      <c r="L33">
        <f>1/K33</f>
        <v>13.906511833787309</v>
      </c>
    </row>
    <row r="34" spans="1:12" x14ac:dyDescent="0.3">
      <c r="A34">
        <v>48</v>
      </c>
      <c r="B34">
        <f t="shared" ref="B34:B38" si="9">L33-L34</f>
        <v>4.0653340586754716</v>
      </c>
      <c r="C34">
        <f t="shared" ref="C34:C63" si="10">B34</f>
        <v>4.0653340586754716</v>
      </c>
      <c r="D34" t="s">
        <v>28</v>
      </c>
      <c r="E34" t="s">
        <v>19</v>
      </c>
      <c r="F34">
        <v>1</v>
      </c>
      <c r="G34">
        <f t="shared" ref="G34:G38" si="11">G33+5</f>
        <v>15</v>
      </c>
      <c r="I34">
        <v>2050</v>
      </c>
      <c r="J34">
        <f t="shared" ref="J34:J38" si="12">AVERAGE(G34:G35)</f>
        <v>17.5</v>
      </c>
      <c r="K34" cm="1">
        <f t="array" ref="K34">STOWA2019_NDJF_T(A34*60,J34,I34,"GH","center")</f>
        <v>0.10161385383454631</v>
      </c>
      <c r="L34">
        <f t="shared" ref="L34:L38" si="13">1/K34</f>
        <v>9.8411777751118379</v>
      </c>
    </row>
    <row r="35" spans="1:12" x14ac:dyDescent="0.3">
      <c r="A35">
        <v>48</v>
      </c>
      <c r="B35">
        <f t="shared" si="9"/>
        <v>4.8160337519325633</v>
      </c>
      <c r="C35">
        <f t="shared" si="10"/>
        <v>4.8160337519325633</v>
      </c>
      <c r="D35" t="s">
        <v>28</v>
      </c>
      <c r="E35" t="s">
        <v>19</v>
      </c>
      <c r="F35">
        <v>1</v>
      </c>
      <c r="G35">
        <f t="shared" si="11"/>
        <v>20</v>
      </c>
      <c r="I35">
        <v>2050</v>
      </c>
      <c r="J35">
        <f t="shared" si="12"/>
        <v>22.5</v>
      </c>
      <c r="K35" cm="1">
        <f t="array" ref="K35">STOWA2019_NDJF_T(A35*60,J35,I35,"GH","center")</f>
        <v>0.19899927154074415</v>
      </c>
      <c r="L35">
        <f t="shared" si="13"/>
        <v>5.0251440231792746</v>
      </c>
    </row>
    <row r="36" spans="1:12" x14ac:dyDescent="0.3">
      <c r="A36">
        <v>48</v>
      </c>
      <c r="B36">
        <f t="shared" si="9"/>
        <v>2.3958330214994223</v>
      </c>
      <c r="C36">
        <f t="shared" si="10"/>
        <v>2.3958330214994223</v>
      </c>
      <c r="D36" t="s">
        <v>28</v>
      </c>
      <c r="E36" t="s">
        <v>19</v>
      </c>
      <c r="F36">
        <v>1</v>
      </c>
      <c r="G36">
        <f t="shared" si="11"/>
        <v>25</v>
      </c>
      <c r="I36">
        <v>2050</v>
      </c>
      <c r="J36">
        <f t="shared" si="12"/>
        <v>27.5</v>
      </c>
      <c r="K36" cm="1">
        <f t="array" ref="K36">STOWA2019_NDJF_T(A36*60,J36,I36,"GH","center")</f>
        <v>0.38032777383927024</v>
      </c>
      <c r="L36">
        <f t="shared" si="13"/>
        <v>2.6293110016798522</v>
      </c>
    </row>
    <row r="37" spans="1:12" x14ac:dyDescent="0.3">
      <c r="A37">
        <v>48</v>
      </c>
      <c r="B37">
        <f t="shared" si="9"/>
        <v>1.2220017115562412</v>
      </c>
      <c r="C37">
        <f t="shared" si="10"/>
        <v>1.2220017115562412</v>
      </c>
      <c r="D37" t="s">
        <v>28</v>
      </c>
      <c r="E37" t="s">
        <v>19</v>
      </c>
      <c r="F37">
        <v>1</v>
      </c>
      <c r="G37">
        <f t="shared" si="11"/>
        <v>30</v>
      </c>
      <c r="I37">
        <v>2050</v>
      </c>
      <c r="J37">
        <f t="shared" si="12"/>
        <v>32.5</v>
      </c>
      <c r="K37" cm="1">
        <f t="array" ref="K37">STOWA2019_NDJF_T(A37*60,J37,I37,"GH","center")</f>
        <v>0.71057585352269292</v>
      </c>
      <c r="L37">
        <f t="shared" si="13"/>
        <v>1.4073092901236111</v>
      </c>
    </row>
    <row r="38" spans="1:12" x14ac:dyDescent="0.3">
      <c r="A38">
        <v>48</v>
      </c>
      <c r="B38">
        <f t="shared" si="9"/>
        <v>0.63787844143327166</v>
      </c>
      <c r="C38">
        <f t="shared" si="10"/>
        <v>0.63787844143327166</v>
      </c>
      <c r="D38" t="s">
        <v>28</v>
      </c>
      <c r="E38" t="s">
        <v>19</v>
      </c>
      <c r="F38">
        <v>1</v>
      </c>
      <c r="G38">
        <f t="shared" si="11"/>
        <v>35</v>
      </c>
      <c r="I38">
        <v>2050</v>
      </c>
      <c r="J38">
        <f t="shared" si="12"/>
        <v>37.5</v>
      </c>
      <c r="K38" cm="1">
        <f t="array" ref="K38">STOWA2019_NDJF_T(A38*60,J38,I38,"GH","center")</f>
        <v>1.2996619536402993</v>
      </c>
      <c r="L38">
        <f t="shared" si="13"/>
        <v>0.7694308486903394</v>
      </c>
    </row>
    <row r="39" spans="1:12" x14ac:dyDescent="0.3">
      <c r="A39">
        <v>48</v>
      </c>
      <c r="B39">
        <f>L38-L39</f>
        <v>0.34040754212750157</v>
      </c>
      <c r="C39">
        <f t="shared" si="10"/>
        <v>0.34040754212750157</v>
      </c>
      <c r="D39" t="s">
        <v>28</v>
      </c>
      <c r="E39" t="s">
        <v>19</v>
      </c>
      <c r="F39">
        <v>1</v>
      </c>
      <c r="G39">
        <f>G38+5</f>
        <v>40</v>
      </c>
      <c r="I39">
        <v>2050</v>
      </c>
      <c r="J39">
        <f>AVERAGE(G39:G40)</f>
        <v>42.5</v>
      </c>
      <c r="K39" cm="1">
        <f t="array" ref="K39">STOWA2019_NDJF_T(A39*60,J39,I39,"GH","center")</f>
        <v>2.3308756999977409</v>
      </c>
      <c r="L39">
        <f>1/K39</f>
        <v>0.42902330656283783</v>
      </c>
    </row>
    <row r="40" spans="1:12" x14ac:dyDescent="0.3">
      <c r="A40">
        <v>48</v>
      </c>
      <c r="B40">
        <f t="shared" ref="B40:B62" si="14">L39-L40</f>
        <v>0.18533987187658127</v>
      </c>
      <c r="C40">
        <f t="shared" si="10"/>
        <v>0.18533987187658127</v>
      </c>
      <c r="D40" t="s">
        <v>28</v>
      </c>
      <c r="E40" t="s">
        <v>19</v>
      </c>
      <c r="F40">
        <v>1</v>
      </c>
      <c r="G40">
        <f t="shared" ref="G40:G63" si="15">G39+5</f>
        <v>45</v>
      </c>
      <c r="I40">
        <v>2050</v>
      </c>
      <c r="J40">
        <f t="shared" ref="J40:J62" si="16">AVERAGE(G40:G41)</f>
        <v>47.5</v>
      </c>
      <c r="K40" cm="1">
        <f t="array" ref="K40">STOWA2019_NDJF_T(A40*60,J40,I40,"GH","center")</f>
        <v>4.1036847715459368</v>
      </c>
      <c r="L40">
        <f t="shared" ref="L40:L62" si="17">1/K40</f>
        <v>0.24368343468625656</v>
      </c>
    </row>
    <row r="41" spans="1:12" x14ac:dyDescent="0.3">
      <c r="A41">
        <v>48</v>
      </c>
      <c r="B41">
        <f t="shared" si="14"/>
        <v>0.10284686948119012</v>
      </c>
      <c r="C41">
        <f t="shared" si="10"/>
        <v>0.10284686948119012</v>
      </c>
      <c r="D41" t="s">
        <v>28</v>
      </c>
      <c r="E41" t="s">
        <v>19</v>
      </c>
      <c r="F41">
        <v>1</v>
      </c>
      <c r="G41">
        <f t="shared" si="15"/>
        <v>50</v>
      </c>
      <c r="I41">
        <v>2050</v>
      </c>
      <c r="J41">
        <f t="shared" si="16"/>
        <v>52.5</v>
      </c>
      <c r="K41" cm="1">
        <f t="array" ref="K41">STOWA2019_NDJF_T(A41*60,J41,I41,"GH","center")</f>
        <v>7.1004287739049898</v>
      </c>
      <c r="L41">
        <f t="shared" si="17"/>
        <v>0.14083656520506643</v>
      </c>
    </row>
    <row r="42" spans="1:12" x14ac:dyDescent="0.3">
      <c r="A42">
        <v>48</v>
      </c>
      <c r="B42">
        <f t="shared" si="14"/>
        <v>5.8100332026483778E-2</v>
      </c>
      <c r="C42">
        <f t="shared" si="10"/>
        <v>5.8100332026483778E-2</v>
      </c>
      <c r="D42" t="s">
        <v>28</v>
      </c>
      <c r="E42" t="s">
        <v>19</v>
      </c>
      <c r="F42">
        <v>1</v>
      </c>
      <c r="G42">
        <f t="shared" si="15"/>
        <v>55</v>
      </c>
      <c r="I42">
        <v>2050</v>
      </c>
      <c r="J42">
        <f t="shared" si="16"/>
        <v>57.5</v>
      </c>
      <c r="K42" cm="1">
        <f t="array" ref="K42">STOWA2019_NDJF_T(A42*60,J42,I42,"GH","center")</f>
        <v>12.086602949901554</v>
      </c>
      <c r="L42">
        <f t="shared" si="17"/>
        <v>8.2736233178582655E-2</v>
      </c>
    </row>
    <row r="43" spans="1:12" x14ac:dyDescent="0.3">
      <c r="A43">
        <v>48</v>
      </c>
      <c r="B43">
        <f t="shared" si="14"/>
        <v>3.3378210477152559E-2</v>
      </c>
      <c r="C43">
        <f t="shared" si="10"/>
        <v>3.3378210477152559E-2</v>
      </c>
      <c r="D43" t="s">
        <v>28</v>
      </c>
      <c r="E43" t="s">
        <v>19</v>
      </c>
      <c r="F43">
        <v>1</v>
      </c>
      <c r="G43">
        <f t="shared" si="15"/>
        <v>60</v>
      </c>
      <c r="I43">
        <v>2050</v>
      </c>
      <c r="J43">
        <f t="shared" si="16"/>
        <v>62.5</v>
      </c>
      <c r="K43" cm="1">
        <f t="array" ref="K43">STOWA2019_NDJF_T(A43*60,J43,I43,"GH","center")</f>
        <v>20.260130881843978</v>
      </c>
      <c r="L43">
        <f t="shared" si="17"/>
        <v>4.9358022701430096E-2</v>
      </c>
    </row>
    <row r="44" spans="1:12" x14ac:dyDescent="0.3">
      <c r="A44">
        <v>48</v>
      </c>
      <c r="B44">
        <f t="shared" si="14"/>
        <v>1.9481462350825644E-2</v>
      </c>
      <c r="C44">
        <f t="shared" si="10"/>
        <v>1.9481462350825644E-2</v>
      </c>
      <c r="D44" t="s">
        <v>28</v>
      </c>
      <c r="E44" t="s">
        <v>19</v>
      </c>
      <c r="F44">
        <v>1</v>
      </c>
      <c r="G44">
        <f t="shared" si="15"/>
        <v>65</v>
      </c>
      <c r="I44">
        <v>2050</v>
      </c>
      <c r="J44">
        <f t="shared" si="16"/>
        <v>67.5</v>
      </c>
      <c r="K44" cm="1">
        <f t="array" ref="K44">STOWA2019_NDJF_T(A44*60,J44,I44,"GH","center")</f>
        <v>33.471055177199084</v>
      </c>
      <c r="L44">
        <f t="shared" si="17"/>
        <v>2.9876560350604452E-2</v>
      </c>
    </row>
    <row r="45" spans="1:12" x14ac:dyDescent="0.3">
      <c r="A45">
        <v>48</v>
      </c>
      <c r="B45">
        <f t="shared" si="14"/>
        <v>1.1542246894368793E-2</v>
      </c>
      <c r="C45">
        <f t="shared" si="10"/>
        <v>1.1542246894368793E-2</v>
      </c>
      <c r="D45" t="s">
        <v>28</v>
      </c>
      <c r="E45" t="s">
        <v>19</v>
      </c>
      <c r="F45">
        <v>1</v>
      </c>
      <c r="G45">
        <f t="shared" si="15"/>
        <v>70</v>
      </c>
      <c r="I45">
        <v>2050</v>
      </c>
      <c r="J45">
        <f t="shared" si="16"/>
        <v>72.5</v>
      </c>
      <c r="K45" cm="1">
        <f t="array" ref="K45">STOWA2019_NDJF_T(A45*60,J45,I45,"GH","center")</f>
        <v>54.542538633203705</v>
      </c>
      <c r="L45">
        <f t="shared" si="17"/>
        <v>1.8334313456235658E-2</v>
      </c>
    </row>
    <row r="46" spans="1:12" x14ac:dyDescent="0.3">
      <c r="A46">
        <v>48</v>
      </c>
      <c r="B46">
        <f t="shared" si="14"/>
        <v>6.9359436328078564E-3</v>
      </c>
      <c r="C46">
        <f t="shared" si="10"/>
        <v>6.9359436328078564E-3</v>
      </c>
      <c r="D46" t="s">
        <v>28</v>
      </c>
      <c r="E46" t="s">
        <v>19</v>
      </c>
      <c r="F46">
        <v>1</v>
      </c>
      <c r="G46">
        <f t="shared" si="15"/>
        <v>75</v>
      </c>
      <c r="I46">
        <v>2050</v>
      </c>
      <c r="J46">
        <f t="shared" si="16"/>
        <v>77.5</v>
      </c>
      <c r="K46" cm="1">
        <f t="array" ref="K46">STOWA2019_NDJF_T(A46*60,J46,I46,"GH","center")</f>
        <v>87.731843718970737</v>
      </c>
      <c r="L46">
        <f t="shared" si="17"/>
        <v>1.1398369823427802E-2</v>
      </c>
    </row>
    <row r="47" spans="1:12" x14ac:dyDescent="0.3">
      <c r="A47">
        <v>48</v>
      </c>
      <c r="B47">
        <f t="shared" si="14"/>
        <v>4.2241236867727391E-3</v>
      </c>
      <c r="C47">
        <f t="shared" si="10"/>
        <v>4.2241236867727391E-3</v>
      </c>
      <c r="D47" t="s">
        <v>28</v>
      </c>
      <c r="E47" t="s">
        <v>19</v>
      </c>
      <c r="F47">
        <v>1</v>
      </c>
      <c r="G47">
        <f t="shared" si="15"/>
        <v>80</v>
      </c>
      <c r="I47">
        <v>2050</v>
      </c>
      <c r="J47">
        <f t="shared" si="16"/>
        <v>82.5</v>
      </c>
      <c r="K47" cm="1">
        <f t="array" ref="K47">STOWA2019_NDJF_T(A47*60,J47,I47,"GH","center")</f>
        <v>139.3874674707275</v>
      </c>
      <c r="L47">
        <f t="shared" si="17"/>
        <v>7.1742461366550627E-3</v>
      </c>
    </row>
    <row r="48" spans="1:12" x14ac:dyDescent="0.3">
      <c r="A48">
        <v>48</v>
      </c>
      <c r="B48">
        <f t="shared" si="14"/>
        <v>2.6056087243947583E-3</v>
      </c>
      <c r="C48">
        <f t="shared" si="10"/>
        <v>2.6056087243947583E-3</v>
      </c>
      <c r="D48" t="s">
        <v>28</v>
      </c>
      <c r="E48" t="s">
        <v>19</v>
      </c>
      <c r="F48">
        <v>1</v>
      </c>
      <c r="G48">
        <f t="shared" si="15"/>
        <v>85</v>
      </c>
      <c r="I48">
        <v>2050</v>
      </c>
      <c r="J48">
        <f t="shared" si="16"/>
        <v>87.5</v>
      </c>
      <c r="K48" cm="1">
        <f t="array" ref="K48">STOWA2019_NDJF_T(A48*60,J48,I48,"GH","center")</f>
        <v>218.88364292522314</v>
      </c>
      <c r="L48">
        <f t="shared" si="17"/>
        <v>4.5686374122603044E-3</v>
      </c>
    </row>
    <row r="49" spans="1:12" x14ac:dyDescent="0.3">
      <c r="A49">
        <v>48</v>
      </c>
      <c r="B49">
        <f t="shared" si="14"/>
        <v>1.6267133575906651E-3</v>
      </c>
      <c r="C49">
        <f t="shared" si="10"/>
        <v>1.6267133575906651E-3</v>
      </c>
      <c r="D49" t="s">
        <v>28</v>
      </c>
      <c r="E49" t="s">
        <v>19</v>
      </c>
      <c r="F49">
        <v>1</v>
      </c>
      <c r="G49">
        <f t="shared" si="15"/>
        <v>90</v>
      </c>
      <c r="I49">
        <v>2050</v>
      </c>
      <c r="J49">
        <f t="shared" si="16"/>
        <v>92.5</v>
      </c>
      <c r="K49" cm="1">
        <f t="array" ref="K49">STOWA2019_NDJF_T(A49*60,J49,I49,"GH","center")</f>
        <v>339.91360124090426</v>
      </c>
      <c r="L49">
        <f t="shared" si="17"/>
        <v>2.9419240546696393E-3</v>
      </c>
    </row>
    <row r="50" spans="1:12" x14ac:dyDescent="0.3">
      <c r="A50">
        <v>48</v>
      </c>
      <c r="B50">
        <f t="shared" si="14"/>
        <v>1.0273407613477961E-3</v>
      </c>
      <c r="C50">
        <f t="shared" si="10"/>
        <v>1.0273407613477961E-3</v>
      </c>
      <c r="D50" t="s">
        <v>28</v>
      </c>
      <c r="E50" t="s">
        <v>19</v>
      </c>
      <c r="F50">
        <v>1</v>
      </c>
      <c r="G50">
        <f t="shared" si="15"/>
        <v>95</v>
      </c>
      <c r="I50">
        <v>2050</v>
      </c>
      <c r="J50">
        <f t="shared" si="16"/>
        <v>97.5</v>
      </c>
      <c r="K50" cm="1">
        <f t="array" ref="K50">STOWA2019_NDJF_T(A50*60,J50,I50,"GH","center")</f>
        <v>522.30686619278833</v>
      </c>
      <c r="L50">
        <f t="shared" si="17"/>
        <v>1.9145832933218432E-3</v>
      </c>
    </row>
    <row r="51" spans="1:12" x14ac:dyDescent="0.3">
      <c r="A51">
        <v>48</v>
      </c>
      <c r="B51">
        <f t="shared" si="14"/>
        <v>6.5595998651933759E-4</v>
      </c>
      <c r="C51">
        <f t="shared" si="10"/>
        <v>6.5595998651933759E-4</v>
      </c>
      <c r="D51" t="s">
        <v>28</v>
      </c>
      <c r="E51" t="s">
        <v>19</v>
      </c>
      <c r="F51">
        <v>1</v>
      </c>
      <c r="G51">
        <f t="shared" si="15"/>
        <v>100</v>
      </c>
      <c r="I51">
        <v>2050</v>
      </c>
      <c r="J51">
        <f t="shared" si="16"/>
        <v>102.5</v>
      </c>
      <c r="K51" cm="1">
        <f t="array" ref="K51">STOWA2019_NDJF_T(A51*60,J51,I51,"GH","center")</f>
        <v>794.51889584062258</v>
      </c>
      <c r="L51">
        <f t="shared" si="17"/>
        <v>1.2586233068025057E-3</v>
      </c>
    </row>
    <row r="52" spans="1:12" x14ac:dyDescent="0.3">
      <c r="A52">
        <v>48</v>
      </c>
      <c r="B52">
        <f t="shared" si="14"/>
        <v>4.2320943248676701E-4</v>
      </c>
      <c r="C52">
        <f t="shared" si="10"/>
        <v>4.2320943248676701E-4</v>
      </c>
      <c r="D52" t="s">
        <v>28</v>
      </c>
      <c r="E52" t="s">
        <v>19</v>
      </c>
      <c r="F52">
        <v>1</v>
      </c>
      <c r="G52">
        <f t="shared" si="15"/>
        <v>105</v>
      </c>
      <c r="I52">
        <v>2050</v>
      </c>
      <c r="J52">
        <f t="shared" si="16"/>
        <v>107.5</v>
      </c>
      <c r="K52" cm="1">
        <f t="array" ref="K52">STOWA2019_NDJF_T(A52*60,J52,I52,"GH","center")</f>
        <v>1197.0114822656838</v>
      </c>
      <c r="L52">
        <f t="shared" si="17"/>
        <v>8.3541387431573864E-4</v>
      </c>
    </row>
    <row r="53" spans="1:12" x14ac:dyDescent="0.3">
      <c r="A53">
        <v>48</v>
      </c>
      <c r="B53">
        <f t="shared" si="14"/>
        <v>2.7577996576154298E-4</v>
      </c>
      <c r="C53">
        <f t="shared" si="10"/>
        <v>2.7577996576154298E-4</v>
      </c>
      <c r="D53" t="s">
        <v>28</v>
      </c>
      <c r="E53" t="s">
        <v>19</v>
      </c>
      <c r="F53">
        <v>1</v>
      </c>
      <c r="G53">
        <f t="shared" si="15"/>
        <v>110</v>
      </c>
      <c r="I53">
        <v>2050</v>
      </c>
      <c r="J53">
        <f t="shared" si="16"/>
        <v>112.5</v>
      </c>
      <c r="K53" cm="1">
        <f t="array" ref="K53">STOWA2019_NDJF_T(A53*60,J53,I53,"GH","center")</f>
        <v>1786.8824328094815</v>
      </c>
      <c r="L53">
        <f t="shared" si="17"/>
        <v>5.5963390855419566E-4</v>
      </c>
    </row>
    <row r="54" spans="1:12" x14ac:dyDescent="0.3">
      <c r="A54">
        <v>48</v>
      </c>
      <c r="B54">
        <f t="shared" si="14"/>
        <v>1.8143410194070296E-4</v>
      </c>
      <c r="C54">
        <f t="shared" si="10"/>
        <v>1.8143410194070296E-4</v>
      </c>
      <c r="D54" t="s">
        <v>28</v>
      </c>
      <c r="E54" t="s">
        <v>19</v>
      </c>
      <c r="F54">
        <v>1</v>
      </c>
      <c r="G54">
        <f t="shared" si="15"/>
        <v>115</v>
      </c>
      <c r="I54">
        <v>2050</v>
      </c>
      <c r="J54">
        <f t="shared" si="16"/>
        <v>117.5</v>
      </c>
      <c r="K54" cm="1">
        <f t="array" ref="K54">STOWA2019_NDJF_T(A54*60,J54,I54,"GH","center")</f>
        <v>2644.1050008837415</v>
      </c>
      <c r="L54">
        <f t="shared" si="17"/>
        <v>3.781998066134927E-4</v>
      </c>
    </row>
    <row r="55" spans="1:12" x14ac:dyDescent="0.3">
      <c r="A55">
        <v>48</v>
      </c>
      <c r="B55">
        <f t="shared" si="14"/>
        <v>1.2045328989948194E-4</v>
      </c>
      <c r="C55">
        <f t="shared" si="10"/>
        <v>1.2045328989948194E-4</v>
      </c>
      <c r="D55" t="s">
        <v>28</v>
      </c>
      <c r="E55" t="s">
        <v>19</v>
      </c>
      <c r="F55">
        <v>1</v>
      </c>
      <c r="G55">
        <f t="shared" si="15"/>
        <v>120</v>
      </c>
      <c r="I55">
        <v>2050</v>
      </c>
      <c r="J55">
        <f t="shared" si="16"/>
        <v>122.5</v>
      </c>
      <c r="K55" cm="1">
        <f t="array" ref="K55">STOWA2019_NDJF_T(A55*60,J55,I55,"GH","center")</f>
        <v>3879.7808511591861</v>
      </c>
      <c r="L55">
        <f t="shared" si="17"/>
        <v>2.5774651671401077E-4</v>
      </c>
    </row>
    <row r="56" spans="1:12" x14ac:dyDescent="0.3">
      <c r="A56">
        <v>48</v>
      </c>
      <c r="B56">
        <f t="shared" si="14"/>
        <v>8.0668382570113386E-5</v>
      </c>
      <c r="C56">
        <f t="shared" si="10"/>
        <v>8.0668382570113386E-5</v>
      </c>
      <c r="D56" t="s">
        <v>28</v>
      </c>
      <c r="E56" t="s">
        <v>19</v>
      </c>
      <c r="F56">
        <v>1</v>
      </c>
      <c r="G56">
        <f t="shared" si="15"/>
        <v>125</v>
      </c>
      <c r="I56">
        <v>2050</v>
      </c>
      <c r="J56">
        <f t="shared" si="16"/>
        <v>127.5</v>
      </c>
      <c r="K56" cm="1">
        <f t="array" ref="K56">STOWA2019_NDJF_T(A56*60,J56,I56,"GH","center")</f>
        <v>5647.2246267705714</v>
      </c>
      <c r="L56">
        <f t="shared" si="17"/>
        <v>1.7707813414389738E-4</v>
      </c>
    </row>
    <row r="57" spans="1:12" x14ac:dyDescent="0.3">
      <c r="A57">
        <v>48</v>
      </c>
      <c r="B57">
        <f t="shared" si="14"/>
        <v>5.4476548070059793E-5</v>
      </c>
      <c r="C57">
        <f t="shared" si="10"/>
        <v>5.4476548070059793E-5</v>
      </c>
      <c r="D57" t="s">
        <v>28</v>
      </c>
      <c r="E57" t="s">
        <v>19</v>
      </c>
      <c r="F57">
        <v>1</v>
      </c>
      <c r="G57">
        <f t="shared" si="15"/>
        <v>130</v>
      </c>
      <c r="I57">
        <v>2050</v>
      </c>
      <c r="J57">
        <f t="shared" si="16"/>
        <v>132.5</v>
      </c>
      <c r="K57" cm="1">
        <f t="array" ref="K57">STOWA2019_NDJF_T(A57*60,J57,I57,"GH","center")</f>
        <v>8156.5013310492059</v>
      </c>
      <c r="L57">
        <f t="shared" si="17"/>
        <v>1.2260158607383759E-4</v>
      </c>
    </row>
    <row r="58" spans="1:12" x14ac:dyDescent="0.3">
      <c r="A58">
        <v>48</v>
      </c>
      <c r="B58">
        <f t="shared" si="14"/>
        <v>3.7085428819921265E-5</v>
      </c>
      <c r="C58">
        <f t="shared" si="10"/>
        <v>3.7085428819921265E-5</v>
      </c>
      <c r="D58" t="s">
        <v>28</v>
      </c>
      <c r="E58" t="s">
        <v>19</v>
      </c>
      <c r="F58">
        <v>1</v>
      </c>
      <c r="G58">
        <f t="shared" si="15"/>
        <v>135</v>
      </c>
      <c r="I58">
        <v>2050</v>
      </c>
      <c r="J58">
        <f t="shared" si="16"/>
        <v>137.5</v>
      </c>
      <c r="K58" cm="1">
        <f t="array" ref="K58">STOWA2019_NDJF_T(A58*60,J58,I58,"GH","center")</f>
        <v>11693.696631278455</v>
      </c>
      <c r="L58">
        <f t="shared" si="17"/>
        <v>8.5516157253916322E-5</v>
      </c>
    </row>
    <row r="59" spans="1:12" x14ac:dyDescent="0.3">
      <c r="A59">
        <v>48</v>
      </c>
      <c r="B59">
        <f t="shared" si="14"/>
        <v>2.5441504430756215E-5</v>
      </c>
      <c r="C59">
        <f t="shared" si="10"/>
        <v>2.5441504430756215E-5</v>
      </c>
      <c r="D59" t="s">
        <v>28</v>
      </c>
      <c r="E59" t="s">
        <v>19</v>
      </c>
      <c r="F59">
        <v>1</v>
      </c>
      <c r="G59">
        <f t="shared" si="15"/>
        <v>140</v>
      </c>
      <c r="I59">
        <v>2050</v>
      </c>
      <c r="J59">
        <f t="shared" si="16"/>
        <v>142.5</v>
      </c>
      <c r="K59" cm="1">
        <f t="array" ref="K59">STOWA2019_NDJF_T(A59*60,J59,I59,"GH","center")</f>
        <v>16645.955540411844</v>
      </c>
      <c r="L59">
        <f t="shared" si="17"/>
        <v>6.0074652823160108E-5</v>
      </c>
    </row>
    <row r="60" spans="1:12" x14ac:dyDescent="0.3">
      <c r="A60">
        <v>48</v>
      </c>
      <c r="B60">
        <f t="shared" si="14"/>
        <v>1.7582329806707988E-5</v>
      </c>
      <c r="C60">
        <f t="shared" si="10"/>
        <v>1.7582329806707988E-5</v>
      </c>
      <c r="D60" t="s">
        <v>28</v>
      </c>
      <c r="E60" t="s">
        <v>19</v>
      </c>
      <c r="F60">
        <v>1</v>
      </c>
      <c r="G60">
        <f t="shared" si="15"/>
        <v>145</v>
      </c>
      <c r="I60">
        <v>2050</v>
      </c>
      <c r="J60">
        <f t="shared" si="16"/>
        <v>147.5</v>
      </c>
      <c r="K60" cm="1">
        <f t="array" ref="K60">STOWA2019_NDJF_T(A60*60,J60,I60,"GH","center")</f>
        <v>23533.662765691144</v>
      </c>
      <c r="L60">
        <f t="shared" si="17"/>
        <v>4.249232301645212E-5</v>
      </c>
    </row>
    <row r="61" spans="1:12" x14ac:dyDescent="0.3">
      <c r="A61">
        <v>48</v>
      </c>
      <c r="B61">
        <f t="shared" si="14"/>
        <v>1.223781232158525E-5</v>
      </c>
      <c r="C61">
        <f t="shared" si="10"/>
        <v>1.223781232158525E-5</v>
      </c>
      <c r="D61" t="s">
        <v>28</v>
      </c>
      <c r="E61" t="s">
        <v>19</v>
      </c>
      <c r="F61">
        <v>1</v>
      </c>
      <c r="G61">
        <f t="shared" si="15"/>
        <v>150</v>
      </c>
      <c r="I61">
        <v>2050</v>
      </c>
      <c r="J61">
        <f t="shared" si="16"/>
        <v>152.5</v>
      </c>
      <c r="K61" cm="1">
        <f t="array" ref="K61">STOWA2019_NDJF_T(A61*60,J61,I61,"GH","center")</f>
        <v>33052.922590140086</v>
      </c>
      <c r="L61">
        <f t="shared" si="17"/>
        <v>3.025451069486687E-5</v>
      </c>
    </row>
    <row r="62" spans="1:12" x14ac:dyDescent="0.3">
      <c r="A62">
        <v>48</v>
      </c>
      <c r="B62">
        <f t="shared" si="14"/>
        <v>8.5762987797479964E-6</v>
      </c>
      <c r="C62">
        <f t="shared" si="10"/>
        <v>8.5762987797479964E-6</v>
      </c>
      <c r="D62" t="s">
        <v>28</v>
      </c>
      <c r="E62" t="s">
        <v>19</v>
      </c>
      <c r="F62">
        <v>1</v>
      </c>
      <c r="G62">
        <f t="shared" si="15"/>
        <v>155</v>
      </c>
      <c r="I62">
        <v>2050</v>
      </c>
      <c r="J62">
        <f t="shared" si="16"/>
        <v>157.5</v>
      </c>
      <c r="K62" cm="1">
        <f t="array" ref="K62">STOWA2019_NDJF_T(A62*60,J62,I62,"GH","center")</f>
        <v>46129.265823007176</v>
      </c>
      <c r="L62">
        <f t="shared" si="17"/>
        <v>2.1678211915118874E-5</v>
      </c>
    </row>
    <row r="63" spans="1:12" x14ac:dyDescent="0.3">
      <c r="A63">
        <v>48</v>
      </c>
      <c r="B63" s="1">
        <f>L62</f>
        <v>2.1678211915118874E-5</v>
      </c>
      <c r="C63">
        <f t="shared" si="10"/>
        <v>2.1678211915118874E-5</v>
      </c>
      <c r="D63" t="s">
        <v>28</v>
      </c>
      <c r="E63" t="s">
        <v>19</v>
      </c>
      <c r="F63">
        <v>1</v>
      </c>
      <c r="G63">
        <f t="shared" si="15"/>
        <v>160</v>
      </c>
      <c r="I63">
        <v>2050</v>
      </c>
      <c r="J63">
        <f>AVERAGE(G63:G64)</f>
        <v>85</v>
      </c>
      <c r="K63" cm="1">
        <f t="array" ref="K63">STOWA2019_NDJF_T(A63*60,J63,I63,"GH","center")</f>
        <v>174.91923803396827</v>
      </c>
      <c r="L63">
        <f>1/K63</f>
        <v>5.716924057294407E-3</v>
      </c>
    </row>
    <row r="64" spans="1:12" x14ac:dyDescent="0.3">
      <c r="A64">
        <v>96</v>
      </c>
      <c r="B64" s="1">
        <f>365.25*24/A64 - L64</f>
        <v>70.480225212274007</v>
      </c>
      <c r="C64">
        <f>B64</f>
        <v>70.480225212274007</v>
      </c>
      <c r="D64" t="s">
        <v>28</v>
      </c>
      <c r="E64" t="s">
        <v>19</v>
      </c>
      <c r="F64">
        <v>1</v>
      </c>
      <c r="G64">
        <v>10</v>
      </c>
      <c r="I64">
        <v>2050</v>
      </c>
      <c r="J64">
        <f>AVERAGE(G64:G66)</f>
        <v>15</v>
      </c>
      <c r="K64" cm="1">
        <f t="array" ref="K64">STOWA2019_NDJF_T(A64*60,J64,I64,"GH","center")</f>
        <v>4.8002439013006042E-2</v>
      </c>
      <c r="L64">
        <f>1/K64</f>
        <v>20.832274787725986</v>
      </c>
    </row>
    <row r="65" spans="1:12" x14ac:dyDescent="0.3">
      <c r="A65">
        <v>96</v>
      </c>
      <c r="B65">
        <f t="shared" ref="B65:B69" si="18">L64-L65</f>
        <v>4.3504725037318082</v>
      </c>
      <c r="C65">
        <f t="shared" ref="C65:C94" si="19">B65</f>
        <v>4.3504725037318082</v>
      </c>
      <c r="D65" t="s">
        <v>28</v>
      </c>
      <c r="E65" t="s">
        <v>19</v>
      </c>
      <c r="F65">
        <v>1</v>
      </c>
      <c r="G65">
        <f t="shared" ref="G65:G69" si="20">G64+5</f>
        <v>15</v>
      </c>
      <c r="I65">
        <v>2050</v>
      </c>
      <c r="J65">
        <f t="shared" ref="J65:J69" si="21">AVERAGE(G65:G66)</f>
        <v>17.5</v>
      </c>
      <c r="K65" cm="1">
        <f t="array" ref="K65">STOWA2019_NDJF_T(A65*60,J65,I65,"GH","center")</f>
        <v>6.067297633894813E-2</v>
      </c>
      <c r="L65">
        <f t="shared" ref="L65:L69" si="22">1/K65</f>
        <v>16.481802283994178</v>
      </c>
    </row>
    <row r="66" spans="1:12" x14ac:dyDescent="0.3">
      <c r="A66">
        <v>96</v>
      </c>
      <c r="B66">
        <f t="shared" si="18"/>
        <v>6.1279999161166856</v>
      </c>
      <c r="C66">
        <f t="shared" si="19"/>
        <v>6.1279999161166856</v>
      </c>
      <c r="D66" t="s">
        <v>28</v>
      </c>
      <c r="E66" t="s">
        <v>19</v>
      </c>
      <c r="F66">
        <v>1</v>
      </c>
      <c r="G66">
        <f t="shared" si="20"/>
        <v>20</v>
      </c>
      <c r="I66">
        <v>2050</v>
      </c>
      <c r="J66">
        <f t="shared" si="21"/>
        <v>22.5</v>
      </c>
      <c r="K66" cm="1">
        <f t="array" ref="K66">STOWA2019_NDJF_T(A66*60,J66,I66,"GH","center")</f>
        <v>9.6582875012419023E-2</v>
      </c>
      <c r="L66">
        <f t="shared" si="22"/>
        <v>10.353802367877492</v>
      </c>
    </row>
    <row r="67" spans="1:12" x14ac:dyDescent="0.3">
      <c r="A67">
        <v>96</v>
      </c>
      <c r="B67">
        <f t="shared" si="18"/>
        <v>3.8188570759850871</v>
      </c>
      <c r="C67">
        <f t="shared" si="19"/>
        <v>3.8188570759850871</v>
      </c>
      <c r="D67" t="s">
        <v>28</v>
      </c>
      <c r="E67" t="s">
        <v>19</v>
      </c>
      <c r="F67">
        <v>1</v>
      </c>
      <c r="G67">
        <f t="shared" si="20"/>
        <v>25</v>
      </c>
      <c r="I67">
        <v>2050</v>
      </c>
      <c r="J67">
        <f t="shared" si="21"/>
        <v>27.5</v>
      </c>
      <c r="K67" cm="1">
        <f t="array" ref="K67">STOWA2019_NDJF_T(A67*60,J67,I67,"GH","center")</f>
        <v>0.15302346926157934</v>
      </c>
      <c r="L67">
        <f t="shared" si="22"/>
        <v>6.5349452918924049</v>
      </c>
    </row>
    <row r="68" spans="1:12" x14ac:dyDescent="0.3">
      <c r="A68">
        <v>96</v>
      </c>
      <c r="B68">
        <f t="shared" si="18"/>
        <v>2.3912273193573848</v>
      </c>
      <c r="C68">
        <f t="shared" si="19"/>
        <v>2.3912273193573848</v>
      </c>
      <c r="D68" t="s">
        <v>28</v>
      </c>
      <c r="E68" t="s">
        <v>19</v>
      </c>
      <c r="F68">
        <v>1</v>
      </c>
      <c r="G68">
        <f t="shared" si="20"/>
        <v>30</v>
      </c>
      <c r="I68">
        <v>2050</v>
      </c>
      <c r="J68">
        <f t="shared" si="21"/>
        <v>32.5</v>
      </c>
      <c r="K68" cm="1">
        <f t="array" ref="K68">STOWA2019_NDJF_T(A68*60,J68,I68,"GH","center")</f>
        <v>0.24132916540848115</v>
      </c>
      <c r="L68">
        <f t="shared" si="22"/>
        <v>4.1437179725350202</v>
      </c>
    </row>
    <row r="69" spans="1:12" x14ac:dyDescent="0.3">
      <c r="A69">
        <v>96</v>
      </c>
      <c r="B69">
        <f t="shared" si="18"/>
        <v>1.5043824888661437</v>
      </c>
      <c r="C69">
        <f t="shared" si="19"/>
        <v>1.5043824888661437</v>
      </c>
      <c r="D69" t="s">
        <v>28</v>
      </c>
      <c r="E69" t="s">
        <v>19</v>
      </c>
      <c r="F69">
        <v>1</v>
      </c>
      <c r="G69">
        <f t="shared" si="20"/>
        <v>35</v>
      </c>
      <c r="I69">
        <v>2050</v>
      </c>
      <c r="J69">
        <f t="shared" si="21"/>
        <v>37.5</v>
      </c>
      <c r="K69" cm="1">
        <f t="array" ref="K69">STOWA2019_NDJF_T(A69*60,J69,I69,"GH","center")</f>
        <v>0.37888324776732213</v>
      </c>
      <c r="L69">
        <f t="shared" si="22"/>
        <v>2.6393354836688765</v>
      </c>
    </row>
    <row r="70" spans="1:12" x14ac:dyDescent="0.3">
      <c r="A70">
        <v>96</v>
      </c>
      <c r="B70">
        <f>L69-L70</f>
        <v>0.95071956033729887</v>
      </c>
      <c r="C70">
        <f t="shared" si="19"/>
        <v>0.95071956033729887</v>
      </c>
      <c r="D70" t="s">
        <v>28</v>
      </c>
      <c r="E70" t="s">
        <v>19</v>
      </c>
      <c r="F70">
        <v>1</v>
      </c>
      <c r="G70">
        <f>G69+5</f>
        <v>40</v>
      </c>
      <c r="I70">
        <v>2050</v>
      </c>
      <c r="J70">
        <f>AVERAGE(G70:G71)</f>
        <v>42.5</v>
      </c>
      <c r="K70" cm="1">
        <f t="array" ref="K70">STOWA2019_NDJF_T(A70*60,J70,I70,"GH","center")</f>
        <v>0.59220097725185283</v>
      </c>
      <c r="L70">
        <f>1/K70</f>
        <v>1.6886159233315776</v>
      </c>
    </row>
    <row r="71" spans="1:12" x14ac:dyDescent="0.3">
      <c r="A71">
        <v>96</v>
      </c>
      <c r="B71">
        <f t="shared" ref="B71:B93" si="23">L70-L71</f>
        <v>0.60355293619396932</v>
      </c>
      <c r="C71">
        <f t="shared" si="19"/>
        <v>0.60355293619396932</v>
      </c>
      <c r="D71" t="s">
        <v>28</v>
      </c>
      <c r="E71" t="s">
        <v>19</v>
      </c>
      <c r="F71">
        <v>1</v>
      </c>
      <c r="G71">
        <f t="shared" ref="G71:G94" si="24">G70+5</f>
        <v>45</v>
      </c>
      <c r="I71">
        <v>2050</v>
      </c>
      <c r="J71">
        <f t="shared" ref="J71:J93" si="25">AVERAGE(G71:G72)</f>
        <v>47.5</v>
      </c>
      <c r="K71" cm="1">
        <f t="array" ref="K71">STOWA2019_NDJF_T(A71*60,J71,I71,"GH","center")</f>
        <v>0.92160548452398683</v>
      </c>
      <c r="L71">
        <f t="shared" ref="L71:L93" si="26">1/K71</f>
        <v>1.0850629871376083</v>
      </c>
    </row>
    <row r="72" spans="1:12" x14ac:dyDescent="0.3">
      <c r="A72">
        <v>96</v>
      </c>
      <c r="B72">
        <f t="shared" si="23"/>
        <v>0.38479104799719399</v>
      </c>
      <c r="C72">
        <f t="shared" si="19"/>
        <v>0.38479104799719399</v>
      </c>
      <c r="D72" t="s">
        <v>28</v>
      </c>
      <c r="E72" t="s">
        <v>19</v>
      </c>
      <c r="F72">
        <v>1</v>
      </c>
      <c r="G72">
        <f t="shared" si="24"/>
        <v>50</v>
      </c>
      <c r="I72">
        <v>2050</v>
      </c>
      <c r="J72">
        <f t="shared" si="25"/>
        <v>52.5</v>
      </c>
      <c r="K72" cm="1">
        <f t="array" ref="K72">STOWA2019_NDJF_T(A72*60,J72,I72,"GH","center")</f>
        <v>1.4280166662504037</v>
      </c>
      <c r="L72">
        <f t="shared" si="26"/>
        <v>0.7002719391404143</v>
      </c>
    </row>
    <row r="73" spans="1:12" x14ac:dyDescent="0.3">
      <c r="A73">
        <v>96</v>
      </c>
      <c r="B73">
        <f t="shared" si="23"/>
        <v>0.24648137620605143</v>
      </c>
      <c r="C73">
        <f t="shared" si="19"/>
        <v>0.24648137620605143</v>
      </c>
      <c r="D73" t="s">
        <v>28</v>
      </c>
      <c r="E73" t="s">
        <v>19</v>
      </c>
      <c r="F73">
        <v>1</v>
      </c>
      <c r="G73">
        <f t="shared" si="24"/>
        <v>55</v>
      </c>
      <c r="I73">
        <v>2050</v>
      </c>
      <c r="J73">
        <f t="shared" si="25"/>
        <v>57.5</v>
      </c>
      <c r="K73" cm="1">
        <f t="array" ref="K73">STOWA2019_NDJF_T(A73*60,J73,I73,"GH","center")</f>
        <v>2.2036597533753515</v>
      </c>
      <c r="L73">
        <f t="shared" si="26"/>
        <v>0.45379056293436287</v>
      </c>
    </row>
    <row r="74" spans="1:12" x14ac:dyDescent="0.3">
      <c r="A74">
        <v>96</v>
      </c>
      <c r="B74">
        <f t="shared" si="23"/>
        <v>0.15851395061423135</v>
      </c>
      <c r="C74">
        <f t="shared" si="19"/>
        <v>0.15851395061423135</v>
      </c>
      <c r="D74" t="s">
        <v>28</v>
      </c>
      <c r="E74" t="s">
        <v>19</v>
      </c>
      <c r="F74">
        <v>1</v>
      </c>
      <c r="G74">
        <f t="shared" si="24"/>
        <v>60</v>
      </c>
      <c r="I74">
        <v>2050</v>
      </c>
      <c r="J74">
        <f t="shared" si="25"/>
        <v>62.5</v>
      </c>
      <c r="K74" cm="1">
        <f t="array" ref="K74">STOWA2019_NDJF_T(A74*60,J74,I74,"GH","center")</f>
        <v>3.3866549475168894</v>
      </c>
      <c r="L74">
        <f t="shared" si="26"/>
        <v>0.29527661232013153</v>
      </c>
    </row>
    <row r="75" spans="1:12" x14ac:dyDescent="0.3">
      <c r="A75">
        <v>96</v>
      </c>
      <c r="B75">
        <f t="shared" si="23"/>
        <v>0.10236943571301296</v>
      </c>
      <c r="C75">
        <f t="shared" si="19"/>
        <v>0.10236943571301296</v>
      </c>
      <c r="D75" t="s">
        <v>28</v>
      </c>
      <c r="E75" t="s">
        <v>19</v>
      </c>
      <c r="F75">
        <v>1</v>
      </c>
      <c r="G75">
        <f t="shared" si="24"/>
        <v>65</v>
      </c>
      <c r="I75">
        <v>2050</v>
      </c>
      <c r="J75">
        <f t="shared" si="25"/>
        <v>67.5</v>
      </c>
      <c r="K75" cm="1">
        <f t="array" ref="K75">STOWA2019_NDJF_T(A75*60,J75,I75,"GH","center")</f>
        <v>5.1838403194124529</v>
      </c>
      <c r="L75">
        <f t="shared" si="26"/>
        <v>0.19290717660711856</v>
      </c>
    </row>
    <row r="76" spans="1:12" x14ac:dyDescent="0.3">
      <c r="A76">
        <v>96</v>
      </c>
      <c r="B76">
        <f t="shared" si="23"/>
        <v>6.6380497597996191E-2</v>
      </c>
      <c r="C76">
        <f t="shared" si="19"/>
        <v>6.6380497597996191E-2</v>
      </c>
      <c r="D76" t="s">
        <v>28</v>
      </c>
      <c r="E76" t="s">
        <v>19</v>
      </c>
      <c r="F76">
        <v>1</v>
      </c>
      <c r="G76">
        <f t="shared" si="24"/>
        <v>70</v>
      </c>
      <c r="I76">
        <v>2050</v>
      </c>
      <c r="J76">
        <f t="shared" si="25"/>
        <v>72.5</v>
      </c>
      <c r="K76" cm="1">
        <f t="array" ref="K76">STOWA2019_NDJF_T(A76*60,J76,I76,"GH","center")</f>
        <v>7.9034714878425092</v>
      </c>
      <c r="L76">
        <f t="shared" si="26"/>
        <v>0.12652667900912237</v>
      </c>
    </row>
    <row r="77" spans="1:12" x14ac:dyDescent="0.3">
      <c r="A77">
        <v>96</v>
      </c>
      <c r="B77">
        <f t="shared" si="23"/>
        <v>4.3215522882887117E-2</v>
      </c>
      <c r="C77">
        <f t="shared" si="19"/>
        <v>4.3215522882887117E-2</v>
      </c>
      <c r="D77" t="s">
        <v>28</v>
      </c>
      <c r="E77" t="s">
        <v>19</v>
      </c>
      <c r="F77">
        <v>1</v>
      </c>
      <c r="G77">
        <f t="shared" si="24"/>
        <v>75</v>
      </c>
      <c r="I77">
        <v>2050</v>
      </c>
      <c r="J77">
        <f t="shared" si="25"/>
        <v>77.5</v>
      </c>
      <c r="K77" cm="1">
        <f t="array" ref="K77">STOWA2019_NDJF_T(A77*60,J77,I77,"GH","center")</f>
        <v>12.003194367928032</v>
      </c>
      <c r="L77">
        <f t="shared" si="26"/>
        <v>8.3311156126235256E-2</v>
      </c>
    </row>
    <row r="78" spans="1:12" x14ac:dyDescent="0.3">
      <c r="A78">
        <v>96</v>
      </c>
      <c r="B78">
        <f t="shared" si="23"/>
        <v>2.8246517144195932E-2</v>
      </c>
      <c r="C78">
        <f t="shared" si="19"/>
        <v>2.8246517144195932E-2</v>
      </c>
      <c r="D78" t="s">
        <v>28</v>
      </c>
      <c r="E78" t="s">
        <v>19</v>
      </c>
      <c r="F78">
        <v>1</v>
      </c>
      <c r="G78">
        <f t="shared" si="24"/>
        <v>80</v>
      </c>
      <c r="I78">
        <v>2050</v>
      </c>
      <c r="J78">
        <f t="shared" si="25"/>
        <v>82.5</v>
      </c>
      <c r="K78" cm="1">
        <f t="array" ref="K78">STOWA2019_NDJF_T(A78*60,J78,I78,"GH","center")</f>
        <v>18.160475006949095</v>
      </c>
      <c r="L78">
        <f t="shared" si="26"/>
        <v>5.5064638982039324E-2</v>
      </c>
    </row>
    <row r="79" spans="1:12" x14ac:dyDescent="0.3">
      <c r="A79">
        <v>96</v>
      </c>
      <c r="B79">
        <f t="shared" si="23"/>
        <v>1.8532986290585245E-2</v>
      </c>
      <c r="C79">
        <f t="shared" si="19"/>
        <v>1.8532986290585245E-2</v>
      </c>
      <c r="D79" t="s">
        <v>28</v>
      </c>
      <c r="E79" t="s">
        <v>19</v>
      </c>
      <c r="F79">
        <v>1</v>
      </c>
      <c r="G79">
        <f t="shared" si="24"/>
        <v>85</v>
      </c>
      <c r="I79">
        <v>2050</v>
      </c>
      <c r="J79">
        <f t="shared" si="25"/>
        <v>87.5</v>
      </c>
      <c r="K79" cm="1">
        <f t="array" ref="K79">STOWA2019_NDJF_T(A79*60,J79,I79,"GH","center")</f>
        <v>27.373522037067101</v>
      </c>
      <c r="L79">
        <f t="shared" si="26"/>
        <v>3.6531652691454079E-2</v>
      </c>
    </row>
    <row r="80" spans="1:12" x14ac:dyDescent="0.3">
      <c r="A80">
        <v>96</v>
      </c>
      <c r="B80">
        <f t="shared" si="23"/>
        <v>1.220646509980414E-2</v>
      </c>
      <c r="C80">
        <f t="shared" si="19"/>
        <v>1.220646509980414E-2</v>
      </c>
      <c r="D80" t="s">
        <v>28</v>
      </c>
      <c r="E80" t="s">
        <v>19</v>
      </c>
      <c r="F80">
        <v>1</v>
      </c>
      <c r="G80">
        <f t="shared" si="24"/>
        <v>90</v>
      </c>
      <c r="I80">
        <v>2050</v>
      </c>
      <c r="J80">
        <f t="shared" si="25"/>
        <v>92.5</v>
      </c>
      <c r="K80" cm="1">
        <f t="array" ref="K80">STOWA2019_NDJF_T(A80*60,J80,I80,"GH","center")</f>
        <v>41.109652134533512</v>
      </c>
      <c r="L80">
        <f t="shared" si="26"/>
        <v>2.4325187591649939E-2</v>
      </c>
    </row>
    <row r="81" spans="1:12" x14ac:dyDescent="0.3">
      <c r="A81">
        <v>96</v>
      </c>
      <c r="B81">
        <f t="shared" si="23"/>
        <v>8.0692368199564331E-3</v>
      </c>
      <c r="C81">
        <f t="shared" si="19"/>
        <v>8.0692368199564331E-3</v>
      </c>
      <c r="D81" t="s">
        <v>28</v>
      </c>
      <c r="E81" t="s">
        <v>19</v>
      </c>
      <c r="F81">
        <v>1</v>
      </c>
      <c r="G81">
        <f t="shared" si="24"/>
        <v>95</v>
      </c>
      <c r="I81">
        <v>2050</v>
      </c>
      <c r="J81">
        <f t="shared" si="25"/>
        <v>97.5</v>
      </c>
      <c r="K81" cm="1">
        <f t="array" ref="K81">STOWA2019_NDJF_T(A81*60,J81,I81,"GH","center")</f>
        <v>61.515934321190272</v>
      </c>
      <c r="L81">
        <f t="shared" si="26"/>
        <v>1.6255950771693506E-2</v>
      </c>
    </row>
    <row r="82" spans="1:12" x14ac:dyDescent="0.3">
      <c r="A82">
        <v>96</v>
      </c>
      <c r="B82">
        <f t="shared" si="23"/>
        <v>5.3539353483468E-3</v>
      </c>
      <c r="C82">
        <f t="shared" si="19"/>
        <v>5.3539353483468E-3</v>
      </c>
      <c r="D82" t="s">
        <v>28</v>
      </c>
      <c r="E82" t="s">
        <v>19</v>
      </c>
      <c r="F82">
        <v>1</v>
      </c>
      <c r="G82">
        <f t="shared" si="24"/>
        <v>100</v>
      </c>
      <c r="I82">
        <v>2050</v>
      </c>
      <c r="J82">
        <f t="shared" si="25"/>
        <v>102.5</v>
      </c>
      <c r="K82" cm="1">
        <f t="array" ref="K82">STOWA2019_NDJF_T(A82*60,J82,I82,"GH","center")</f>
        <v>91.726158986942579</v>
      </c>
      <c r="L82">
        <f t="shared" si="26"/>
        <v>1.0902015423346706E-2</v>
      </c>
    </row>
    <row r="83" spans="1:12" x14ac:dyDescent="0.3">
      <c r="A83">
        <v>96</v>
      </c>
      <c r="B83">
        <f t="shared" si="23"/>
        <v>3.5651142729628965E-3</v>
      </c>
      <c r="C83">
        <f t="shared" si="19"/>
        <v>3.5651142729628965E-3</v>
      </c>
      <c r="D83" t="s">
        <v>28</v>
      </c>
      <c r="E83" t="s">
        <v>19</v>
      </c>
      <c r="F83">
        <v>1</v>
      </c>
      <c r="G83">
        <f t="shared" si="24"/>
        <v>105</v>
      </c>
      <c r="I83">
        <v>2050</v>
      </c>
      <c r="J83">
        <f t="shared" si="25"/>
        <v>107.5</v>
      </c>
      <c r="K83" cm="1">
        <f t="array" ref="K83">STOWA2019_NDJF_T(A83*60,J83,I83,"GH","center")</f>
        <v>136.29732492002947</v>
      </c>
      <c r="L83">
        <f t="shared" si="26"/>
        <v>7.3369011503838094E-3</v>
      </c>
    </row>
    <row r="84" spans="1:12" x14ac:dyDescent="0.3">
      <c r="A84">
        <v>96</v>
      </c>
      <c r="B84">
        <f t="shared" si="23"/>
        <v>2.3823545547420203E-3</v>
      </c>
      <c r="C84">
        <f t="shared" si="19"/>
        <v>2.3823545547420203E-3</v>
      </c>
      <c r="D84" t="s">
        <v>28</v>
      </c>
      <c r="E84" t="s">
        <v>19</v>
      </c>
      <c r="F84">
        <v>1</v>
      </c>
      <c r="G84">
        <f t="shared" si="24"/>
        <v>110</v>
      </c>
      <c r="I84">
        <v>2050</v>
      </c>
      <c r="J84">
        <f t="shared" si="25"/>
        <v>112.5</v>
      </c>
      <c r="K84" cm="1">
        <f t="array" ref="K84">STOWA2019_NDJF_T(A84*60,J84,I84,"GH","center")</f>
        <v>201.83481590013477</v>
      </c>
      <c r="L84">
        <f t="shared" si="26"/>
        <v>4.9545465956417891E-3</v>
      </c>
    </row>
    <row r="85" spans="1:12" x14ac:dyDescent="0.3">
      <c r="A85">
        <v>96</v>
      </c>
      <c r="B85">
        <f t="shared" si="23"/>
        <v>1.597517354412954E-3</v>
      </c>
      <c r="C85">
        <f t="shared" si="19"/>
        <v>1.597517354412954E-3</v>
      </c>
      <c r="D85" t="s">
        <v>28</v>
      </c>
      <c r="E85" t="s">
        <v>19</v>
      </c>
      <c r="F85">
        <v>1</v>
      </c>
      <c r="G85">
        <f t="shared" si="24"/>
        <v>115</v>
      </c>
      <c r="I85">
        <v>2050</v>
      </c>
      <c r="J85">
        <f t="shared" si="25"/>
        <v>117.5</v>
      </c>
      <c r="K85" cm="1">
        <f t="array" ref="K85">STOWA2019_NDJF_T(A85*60,J85,I85,"GH","center")</f>
        <v>297.88242167171342</v>
      </c>
      <c r="L85">
        <f t="shared" si="26"/>
        <v>3.3570292412288352E-3</v>
      </c>
    </row>
    <row r="86" spans="1:12" x14ac:dyDescent="0.3">
      <c r="A86">
        <v>96</v>
      </c>
      <c r="B86">
        <f t="shared" si="23"/>
        <v>1.0748932517386498E-3</v>
      </c>
      <c r="C86">
        <f t="shared" si="19"/>
        <v>1.0748932517386498E-3</v>
      </c>
      <c r="D86" t="s">
        <v>28</v>
      </c>
      <c r="E86" t="s">
        <v>19</v>
      </c>
      <c r="F86">
        <v>1</v>
      </c>
      <c r="G86">
        <f t="shared" si="24"/>
        <v>120</v>
      </c>
      <c r="I86">
        <v>2050</v>
      </c>
      <c r="J86">
        <f t="shared" si="25"/>
        <v>122.5</v>
      </c>
      <c r="K86" cm="1">
        <f t="array" ref="K86">STOWA2019_NDJF_T(A86*60,J86,I86,"GH","center")</f>
        <v>438.18598216988534</v>
      </c>
      <c r="L86">
        <f t="shared" si="26"/>
        <v>2.2821359894901853E-3</v>
      </c>
    </row>
    <row r="87" spans="1:12" x14ac:dyDescent="0.3">
      <c r="A87">
        <v>96</v>
      </c>
      <c r="B87">
        <f t="shared" si="23"/>
        <v>7.2567242122668256E-4</v>
      </c>
      <c r="C87">
        <f t="shared" si="19"/>
        <v>7.2567242122668256E-4</v>
      </c>
      <c r="D87" t="s">
        <v>28</v>
      </c>
      <c r="E87" t="s">
        <v>19</v>
      </c>
      <c r="F87">
        <v>1</v>
      </c>
      <c r="G87">
        <f t="shared" si="24"/>
        <v>125</v>
      </c>
      <c r="I87">
        <v>2050</v>
      </c>
      <c r="J87">
        <f t="shared" si="25"/>
        <v>127.5</v>
      </c>
      <c r="K87" cm="1">
        <f t="array" ref="K87">STOWA2019_NDJF_T(A87*60,J87,I87,"GH","center")</f>
        <v>642.4821116215835</v>
      </c>
      <c r="L87">
        <f t="shared" si="26"/>
        <v>1.5564635682635028E-3</v>
      </c>
    </row>
    <row r="88" spans="1:12" x14ac:dyDescent="0.3">
      <c r="A88">
        <v>96</v>
      </c>
      <c r="B88">
        <f t="shared" si="23"/>
        <v>4.9152660245268816E-4</v>
      </c>
      <c r="C88">
        <f t="shared" si="19"/>
        <v>4.9152660245268816E-4</v>
      </c>
      <c r="D88" t="s">
        <v>28</v>
      </c>
      <c r="E88" t="s">
        <v>19</v>
      </c>
      <c r="F88">
        <v>1</v>
      </c>
      <c r="G88">
        <f t="shared" si="24"/>
        <v>130</v>
      </c>
      <c r="I88">
        <v>2050</v>
      </c>
      <c r="J88">
        <f t="shared" si="25"/>
        <v>132.5</v>
      </c>
      <c r="K88" cm="1">
        <f t="array" ref="K88">STOWA2019_NDJF_T(A88*60,J88,I88,"GH","center")</f>
        <v>939.02271411775689</v>
      </c>
      <c r="L88">
        <f t="shared" si="26"/>
        <v>1.0649369658108146E-3</v>
      </c>
    </row>
    <row r="89" spans="1:12" x14ac:dyDescent="0.3">
      <c r="A89">
        <v>96</v>
      </c>
      <c r="B89">
        <f t="shared" si="23"/>
        <v>3.3401100047039222E-4</v>
      </c>
      <c r="C89">
        <f t="shared" si="19"/>
        <v>3.3401100047039222E-4</v>
      </c>
      <c r="D89" t="s">
        <v>28</v>
      </c>
      <c r="E89" t="s">
        <v>19</v>
      </c>
      <c r="F89">
        <v>1</v>
      </c>
      <c r="G89">
        <f t="shared" si="24"/>
        <v>135</v>
      </c>
      <c r="I89">
        <v>2050</v>
      </c>
      <c r="J89">
        <f t="shared" si="25"/>
        <v>137.5</v>
      </c>
      <c r="K89" cm="1">
        <f t="array" ref="K89">STOWA2019_NDJF_T(A89*60,J89,I89,"GH","center")</f>
        <v>1368.1276181429109</v>
      </c>
      <c r="L89">
        <f t="shared" si="26"/>
        <v>7.309259653404224E-4</v>
      </c>
    </row>
    <row r="90" spans="1:12" x14ac:dyDescent="0.3">
      <c r="A90">
        <v>96</v>
      </c>
      <c r="B90">
        <f t="shared" si="23"/>
        <v>2.2769482518879844E-4</v>
      </c>
      <c r="C90">
        <f t="shared" si="19"/>
        <v>2.2769482518879844E-4</v>
      </c>
      <c r="D90" t="s">
        <v>28</v>
      </c>
      <c r="E90" t="s">
        <v>19</v>
      </c>
      <c r="F90">
        <v>1</v>
      </c>
      <c r="G90">
        <f t="shared" si="24"/>
        <v>140</v>
      </c>
      <c r="I90">
        <v>2050</v>
      </c>
      <c r="J90">
        <f t="shared" si="25"/>
        <v>142.5</v>
      </c>
      <c r="K90" cm="1">
        <f t="array" ref="K90">STOWA2019_NDJF_T(A90*60,J90,I90,"GH","center")</f>
        <v>1987.1584252490795</v>
      </c>
      <c r="L90">
        <f t="shared" si="26"/>
        <v>5.0323114015162396E-4</v>
      </c>
    </row>
    <row r="91" spans="1:12" x14ac:dyDescent="0.3">
      <c r="A91">
        <v>96</v>
      </c>
      <c r="B91">
        <f t="shared" si="23"/>
        <v>1.557115355333309E-4</v>
      </c>
      <c r="C91">
        <f t="shared" si="19"/>
        <v>1.557115355333309E-4</v>
      </c>
      <c r="D91" t="s">
        <v>28</v>
      </c>
      <c r="E91" t="s">
        <v>19</v>
      </c>
      <c r="F91">
        <v>1</v>
      </c>
      <c r="G91">
        <f t="shared" si="24"/>
        <v>145</v>
      </c>
      <c r="I91">
        <v>2050</v>
      </c>
      <c r="J91">
        <f t="shared" si="25"/>
        <v>147.5</v>
      </c>
      <c r="K91" cm="1">
        <f t="array" ref="K91">STOWA2019_NDJF_T(A91*60,J91,I91,"GH","center")</f>
        <v>2877.5355022010203</v>
      </c>
      <c r="L91">
        <f t="shared" si="26"/>
        <v>3.4751960461829306E-4</v>
      </c>
    </row>
    <row r="92" spans="1:12" x14ac:dyDescent="0.3">
      <c r="A92">
        <v>96</v>
      </c>
      <c r="B92">
        <f t="shared" si="23"/>
        <v>1.0681184142186489E-4</v>
      </c>
      <c r="C92">
        <f t="shared" si="19"/>
        <v>1.0681184142186489E-4</v>
      </c>
      <c r="D92" t="s">
        <v>28</v>
      </c>
      <c r="E92" t="s">
        <v>19</v>
      </c>
      <c r="F92">
        <v>1</v>
      </c>
      <c r="G92">
        <f t="shared" si="24"/>
        <v>150</v>
      </c>
      <c r="I92">
        <v>2050</v>
      </c>
      <c r="J92">
        <f t="shared" si="25"/>
        <v>152.5</v>
      </c>
      <c r="K92" cm="1">
        <f t="array" ref="K92">STOWA2019_NDJF_T(A92*60,J92,I92,"GH","center")</f>
        <v>4154.4152407911988</v>
      </c>
      <c r="L92">
        <f t="shared" si="26"/>
        <v>2.4070776319642817E-4</v>
      </c>
    </row>
    <row r="93" spans="1:12" x14ac:dyDescent="0.3">
      <c r="A93">
        <v>96</v>
      </c>
      <c r="B93">
        <f t="shared" si="23"/>
        <v>7.3490414582303386E-5</v>
      </c>
      <c r="C93">
        <f t="shared" si="19"/>
        <v>7.3490414582303386E-5</v>
      </c>
      <c r="D93" t="s">
        <v>28</v>
      </c>
      <c r="E93" t="s">
        <v>19</v>
      </c>
      <c r="F93">
        <v>1</v>
      </c>
      <c r="G93">
        <f t="shared" si="24"/>
        <v>155</v>
      </c>
      <c r="I93">
        <v>2050</v>
      </c>
      <c r="J93">
        <f t="shared" si="25"/>
        <v>157.5</v>
      </c>
      <c r="K93" cm="1">
        <f t="array" ref="K93">STOWA2019_NDJF_T(A93*60,J93,I93,"GH","center")</f>
        <v>5980.2407363103612</v>
      </c>
      <c r="L93">
        <f t="shared" si="26"/>
        <v>1.6721734861412479E-4</v>
      </c>
    </row>
    <row r="94" spans="1:12" x14ac:dyDescent="0.3">
      <c r="A94">
        <v>96</v>
      </c>
      <c r="B94" s="1">
        <f>L93</f>
        <v>1.6721734861412479E-4</v>
      </c>
      <c r="C94">
        <f t="shared" si="19"/>
        <v>1.6721734861412479E-4</v>
      </c>
      <c r="D94" t="s">
        <v>28</v>
      </c>
      <c r="E94" t="s">
        <v>19</v>
      </c>
      <c r="F94">
        <v>1</v>
      </c>
      <c r="G94">
        <f t="shared" si="24"/>
        <v>160</v>
      </c>
      <c r="I94">
        <v>2050</v>
      </c>
      <c r="J94">
        <f>AVERAGE(G94:G95)</f>
        <v>85</v>
      </c>
      <c r="K94" cm="1">
        <f t="array" ref="K94">STOWA2019_NDJF_T(A94*60,J94,I94,"GH","center")</f>
        <v>22.306425295026102</v>
      </c>
      <c r="L94">
        <f>1/K94</f>
        <v>4.4830132429286212E-2</v>
      </c>
    </row>
    <row r="95" spans="1:12" x14ac:dyDescent="0.3">
      <c r="A95">
        <v>192</v>
      </c>
      <c r="B95" s="1">
        <f>365.25*24/A95 - L95</f>
        <v>23.79250242922582</v>
      </c>
      <c r="C95">
        <f>B95</f>
        <v>23.79250242922582</v>
      </c>
      <c r="D95" t="s">
        <v>28</v>
      </c>
      <c r="E95" t="s">
        <v>19</v>
      </c>
      <c r="F95">
        <v>1</v>
      </c>
      <c r="G95">
        <v>10</v>
      </c>
      <c r="I95">
        <v>2050</v>
      </c>
      <c r="J95">
        <f>AVERAGE(G95:G97)</f>
        <v>15</v>
      </c>
      <c r="K95" cm="1">
        <f t="array" ref="K95">STOWA2019_NDJF_T(A95*60,J95,I95,"GH","center")</f>
        <v>4.5737813097363286E-2</v>
      </c>
      <c r="L95">
        <f>1/K95</f>
        <v>21.86374757077418</v>
      </c>
    </row>
    <row r="96" spans="1:12" x14ac:dyDescent="0.3">
      <c r="A96">
        <v>192</v>
      </c>
      <c r="B96">
        <f t="shared" ref="B96:B100" si="27">L95-L96</f>
        <v>2.7896279203914034</v>
      </c>
      <c r="C96">
        <f t="shared" ref="C96:C125" si="28">B96</f>
        <v>2.7896279203914034</v>
      </c>
      <c r="D96" t="s">
        <v>28</v>
      </c>
      <c r="E96" t="s">
        <v>19</v>
      </c>
      <c r="F96">
        <v>1</v>
      </c>
      <c r="G96">
        <f t="shared" ref="G96:G100" si="29">G95+5</f>
        <v>15</v>
      </c>
      <c r="I96">
        <v>2050</v>
      </c>
      <c r="J96">
        <f t="shared" ref="J96:J100" si="30">AVERAGE(G96:G97)</f>
        <v>17.5</v>
      </c>
      <c r="K96" cm="1">
        <f t="array" ref="K96">STOWA2019_NDJF_T(A96*60,J96,I96,"GH","center")</f>
        <v>5.2427059194835875E-2</v>
      </c>
      <c r="L96">
        <f t="shared" ref="L96:L100" si="31">1/K96</f>
        <v>19.074119650382777</v>
      </c>
    </row>
    <row r="97" spans="1:12" x14ac:dyDescent="0.3">
      <c r="A97">
        <v>192</v>
      </c>
      <c r="B97">
        <f t="shared" si="27"/>
        <v>4.5945357744643154</v>
      </c>
      <c r="C97">
        <f t="shared" si="28"/>
        <v>4.5945357744643154</v>
      </c>
      <c r="D97" t="s">
        <v>28</v>
      </c>
      <c r="E97" t="s">
        <v>19</v>
      </c>
      <c r="F97">
        <v>1</v>
      </c>
      <c r="G97">
        <f t="shared" si="29"/>
        <v>20</v>
      </c>
      <c r="I97">
        <v>2050</v>
      </c>
      <c r="J97">
        <f t="shared" si="30"/>
        <v>22.5</v>
      </c>
      <c r="K97" cm="1">
        <f t="array" ref="K97">STOWA2019_NDJF_T(A97*60,J97,I97,"GH","center")</f>
        <v>6.9062758195913176E-2</v>
      </c>
      <c r="L97">
        <f t="shared" si="31"/>
        <v>14.479583875918461</v>
      </c>
    </row>
    <row r="98" spans="1:12" x14ac:dyDescent="0.3">
      <c r="A98">
        <v>192</v>
      </c>
      <c r="B98">
        <f t="shared" si="27"/>
        <v>3.5266809765149691</v>
      </c>
      <c r="C98">
        <f t="shared" si="28"/>
        <v>3.5266809765149691</v>
      </c>
      <c r="D98" t="s">
        <v>28</v>
      </c>
      <c r="E98" t="s">
        <v>19</v>
      </c>
      <c r="F98">
        <v>1</v>
      </c>
      <c r="G98">
        <f t="shared" si="29"/>
        <v>25</v>
      </c>
      <c r="I98">
        <v>2050</v>
      </c>
      <c r="J98">
        <f t="shared" si="30"/>
        <v>27.5</v>
      </c>
      <c r="K98" cm="1">
        <f t="array" ref="K98">STOWA2019_NDJF_T(A98*60,J98,I98,"GH","center")</f>
        <v>9.1299996830471408E-2</v>
      </c>
      <c r="L98">
        <f t="shared" si="31"/>
        <v>10.952902899403492</v>
      </c>
    </row>
    <row r="99" spans="1:12" x14ac:dyDescent="0.3">
      <c r="A99">
        <v>192</v>
      </c>
      <c r="B99">
        <f t="shared" si="27"/>
        <v>2.69774418460071</v>
      </c>
      <c r="C99">
        <f t="shared" si="28"/>
        <v>2.69774418460071</v>
      </c>
      <c r="D99" t="s">
        <v>28</v>
      </c>
      <c r="E99" t="s">
        <v>19</v>
      </c>
      <c r="F99">
        <v>1</v>
      </c>
      <c r="G99">
        <f t="shared" si="29"/>
        <v>30</v>
      </c>
      <c r="I99">
        <v>2050</v>
      </c>
      <c r="J99">
        <f t="shared" si="30"/>
        <v>32.5</v>
      </c>
      <c r="K99" cm="1">
        <f t="array" ref="K99">STOWA2019_NDJF_T(A99*60,J99,I99,"GH","center")</f>
        <v>0.12113637478669485</v>
      </c>
      <c r="L99">
        <f t="shared" si="31"/>
        <v>8.2551587148027821</v>
      </c>
    </row>
    <row r="100" spans="1:12" x14ac:dyDescent="0.3">
      <c r="A100">
        <v>192</v>
      </c>
      <c r="B100">
        <f t="shared" si="27"/>
        <v>2.0564142665911804</v>
      </c>
      <c r="C100">
        <f t="shared" si="28"/>
        <v>2.0564142665911804</v>
      </c>
      <c r="D100" t="s">
        <v>28</v>
      </c>
      <c r="E100" t="s">
        <v>19</v>
      </c>
      <c r="F100">
        <v>1</v>
      </c>
      <c r="G100">
        <f t="shared" si="29"/>
        <v>35</v>
      </c>
      <c r="I100">
        <v>2050</v>
      </c>
      <c r="J100">
        <f t="shared" si="30"/>
        <v>37.5</v>
      </c>
      <c r="K100" cm="1">
        <f t="array" ref="K100">STOWA2019_NDJF_T(A100*60,J100,I100,"GH","center")</f>
        <v>0.16132299183401724</v>
      </c>
      <c r="L100">
        <f t="shared" si="31"/>
        <v>6.1987444482116016</v>
      </c>
    </row>
    <row r="101" spans="1:12" x14ac:dyDescent="0.3">
      <c r="A101">
        <v>192</v>
      </c>
      <c r="B101">
        <f>L100-L101</f>
        <v>1.5619151934431024</v>
      </c>
      <c r="C101">
        <f t="shared" si="28"/>
        <v>1.5619151934431024</v>
      </c>
      <c r="D101" t="s">
        <v>28</v>
      </c>
      <c r="E101" t="s">
        <v>19</v>
      </c>
      <c r="F101">
        <v>1</v>
      </c>
      <c r="G101">
        <f>G100+5</f>
        <v>40</v>
      </c>
      <c r="I101">
        <v>2050</v>
      </c>
      <c r="J101">
        <f>AVERAGE(G101:G102)</f>
        <v>42.5</v>
      </c>
      <c r="K101" cm="1">
        <f t="array" ref="K101">STOWA2019_NDJF_T(A101*60,J101,I101,"GH","center")</f>
        <v>0.21566461585179214</v>
      </c>
      <c r="L101">
        <f>1/K101</f>
        <v>4.6368292547684993</v>
      </c>
    </row>
    <row r="102" spans="1:12" x14ac:dyDescent="0.3">
      <c r="A102">
        <v>192</v>
      </c>
      <c r="B102">
        <f t="shared" ref="B102:B124" si="32">L101-L102</f>
        <v>1.1819517631078935</v>
      </c>
      <c r="C102">
        <f t="shared" si="28"/>
        <v>1.1819517631078935</v>
      </c>
      <c r="D102" t="s">
        <v>28</v>
      </c>
      <c r="E102" t="s">
        <v>19</v>
      </c>
      <c r="F102">
        <v>1</v>
      </c>
      <c r="G102">
        <f t="shared" ref="G102:G125" si="33">G101+5</f>
        <v>45</v>
      </c>
      <c r="I102">
        <v>2050</v>
      </c>
      <c r="J102">
        <f t="shared" ref="J102:J124" si="34">AVERAGE(G102:G103)</f>
        <v>47.5</v>
      </c>
      <c r="K102" cm="1">
        <f t="array" ref="K102">STOWA2019_NDJF_T(A102*60,J102,I102,"GH","center")</f>
        <v>0.28944586382984727</v>
      </c>
      <c r="L102">
        <f t="shared" ref="L102:L124" si="35">1/K102</f>
        <v>3.4548774916606058</v>
      </c>
    </row>
    <row r="103" spans="1:12" x14ac:dyDescent="0.3">
      <c r="A103">
        <v>192</v>
      </c>
      <c r="B103">
        <f t="shared" si="32"/>
        <v>0.8910555742823143</v>
      </c>
      <c r="C103">
        <f t="shared" si="28"/>
        <v>0.8910555742823143</v>
      </c>
      <c r="D103" t="s">
        <v>28</v>
      </c>
      <c r="E103" t="s">
        <v>19</v>
      </c>
      <c r="F103">
        <v>1</v>
      </c>
      <c r="G103">
        <f t="shared" si="33"/>
        <v>50</v>
      </c>
      <c r="I103">
        <v>2050</v>
      </c>
      <c r="J103">
        <f t="shared" si="34"/>
        <v>52.5</v>
      </c>
      <c r="K103" cm="1">
        <f t="array" ref="K103">STOWA2019_NDJF_T(A103*60,J103,I103,"GH","center")</f>
        <v>0.39004269103939104</v>
      </c>
      <c r="L103">
        <f t="shared" si="35"/>
        <v>2.5638219173782915</v>
      </c>
    </row>
    <row r="104" spans="1:12" x14ac:dyDescent="0.3">
      <c r="A104">
        <v>192</v>
      </c>
      <c r="B104">
        <f t="shared" si="32"/>
        <v>0.66911118990295315</v>
      </c>
      <c r="C104">
        <f t="shared" si="28"/>
        <v>0.66911118990295315</v>
      </c>
      <c r="D104" t="s">
        <v>28</v>
      </c>
      <c r="E104" t="s">
        <v>19</v>
      </c>
      <c r="F104">
        <v>1</v>
      </c>
      <c r="G104">
        <f t="shared" si="33"/>
        <v>55</v>
      </c>
      <c r="I104">
        <v>2050</v>
      </c>
      <c r="J104">
        <f t="shared" si="34"/>
        <v>57.5</v>
      </c>
      <c r="K104" cm="1">
        <f t="array" ref="K104">STOWA2019_NDJF_T(A104*60,J104,I104,"GH","center")</f>
        <v>0.52778505209208304</v>
      </c>
      <c r="L104">
        <f t="shared" si="35"/>
        <v>1.8947107274753383</v>
      </c>
    </row>
    <row r="105" spans="1:12" x14ac:dyDescent="0.3">
      <c r="A105">
        <v>192</v>
      </c>
      <c r="B105">
        <f t="shared" si="32"/>
        <v>0.50044526918690635</v>
      </c>
      <c r="C105">
        <f t="shared" si="28"/>
        <v>0.50044526918690635</v>
      </c>
      <c r="D105" t="s">
        <v>28</v>
      </c>
      <c r="E105" t="s">
        <v>19</v>
      </c>
      <c r="F105">
        <v>1</v>
      </c>
      <c r="G105">
        <f t="shared" si="33"/>
        <v>60</v>
      </c>
      <c r="I105">
        <v>2050</v>
      </c>
      <c r="J105">
        <f t="shared" si="34"/>
        <v>62.5</v>
      </c>
      <c r="K105" cm="1">
        <f t="array" ref="K105">STOWA2019_NDJF_T(A105*60,J105,I105,"GH","center")</f>
        <v>0.71722353448214726</v>
      </c>
      <c r="L105">
        <f t="shared" si="35"/>
        <v>1.394265458288432</v>
      </c>
    </row>
    <row r="106" spans="1:12" x14ac:dyDescent="0.3">
      <c r="A106">
        <v>192</v>
      </c>
      <c r="B106">
        <f t="shared" si="32"/>
        <v>0.37275526904418688</v>
      </c>
      <c r="C106">
        <f t="shared" si="28"/>
        <v>0.37275526904418688</v>
      </c>
      <c r="D106" t="s">
        <v>28</v>
      </c>
      <c r="E106" t="s">
        <v>19</v>
      </c>
      <c r="F106">
        <v>1</v>
      </c>
      <c r="G106">
        <f t="shared" si="33"/>
        <v>65</v>
      </c>
      <c r="I106">
        <v>2050</v>
      </c>
      <c r="J106">
        <f t="shared" si="34"/>
        <v>67.5</v>
      </c>
      <c r="K106" cm="1">
        <f t="array" ref="K106">STOWA2019_NDJF_T(A106*60,J106,I106,"GH","center")</f>
        <v>0.97894275605791148</v>
      </c>
      <c r="L106">
        <f t="shared" si="35"/>
        <v>1.0215101892442451</v>
      </c>
    </row>
    <row r="107" spans="1:12" x14ac:dyDescent="0.3">
      <c r="A107">
        <v>192</v>
      </c>
      <c r="B107">
        <f t="shared" si="32"/>
        <v>0.27642265418651468</v>
      </c>
      <c r="C107">
        <f t="shared" si="28"/>
        <v>0.27642265418651468</v>
      </c>
      <c r="D107" t="s">
        <v>28</v>
      </c>
      <c r="E107" t="s">
        <v>19</v>
      </c>
      <c r="F107">
        <v>1</v>
      </c>
      <c r="G107">
        <f t="shared" si="33"/>
        <v>70</v>
      </c>
      <c r="I107">
        <v>2050</v>
      </c>
      <c r="J107">
        <f t="shared" si="34"/>
        <v>72.5</v>
      </c>
      <c r="K107" cm="1">
        <f t="array" ref="K107">STOWA2019_NDJF_T(A107*60,J107,I107,"GH","center")</f>
        <v>1.3421241840027811</v>
      </c>
      <c r="L107">
        <f t="shared" si="35"/>
        <v>0.7450875350577304</v>
      </c>
    </row>
    <row r="108" spans="1:12" x14ac:dyDescent="0.3">
      <c r="A108">
        <v>192</v>
      </c>
      <c r="B108">
        <f t="shared" si="32"/>
        <v>0.2041759699836756</v>
      </c>
      <c r="C108">
        <f t="shared" si="28"/>
        <v>0.2041759699836756</v>
      </c>
      <c r="D108" t="s">
        <v>28</v>
      </c>
      <c r="E108" t="s">
        <v>19</v>
      </c>
      <c r="F108">
        <v>1</v>
      </c>
      <c r="G108">
        <f t="shared" si="33"/>
        <v>75</v>
      </c>
      <c r="I108">
        <v>2050</v>
      </c>
      <c r="J108">
        <f t="shared" si="34"/>
        <v>77.5</v>
      </c>
      <c r="K108" cm="1">
        <f t="array" ref="K108">STOWA2019_NDJF_T(A108*60,J108,I108,"GH","center")</f>
        <v>1.8487310395426517</v>
      </c>
      <c r="L108">
        <f t="shared" si="35"/>
        <v>0.5409115650740548</v>
      </c>
    </row>
    <row r="109" spans="1:12" x14ac:dyDescent="0.3">
      <c r="A109">
        <v>192</v>
      </c>
      <c r="B109">
        <f t="shared" si="32"/>
        <v>0.15010430050684809</v>
      </c>
      <c r="C109">
        <f t="shared" si="28"/>
        <v>0.15010430050684809</v>
      </c>
      <c r="D109" t="s">
        <v>28</v>
      </c>
      <c r="E109" t="s">
        <v>19</v>
      </c>
      <c r="F109">
        <v>1</v>
      </c>
      <c r="G109">
        <f t="shared" si="33"/>
        <v>80</v>
      </c>
      <c r="I109">
        <v>2050</v>
      </c>
      <c r="J109">
        <f t="shared" si="34"/>
        <v>82.5</v>
      </c>
      <c r="K109" cm="1">
        <f t="array" ref="K109">STOWA2019_NDJF_T(A109*60,J109,I109,"GH","center")</f>
        <v>2.558806068017784</v>
      </c>
      <c r="L109">
        <f t="shared" si="35"/>
        <v>0.39080726456720671</v>
      </c>
    </row>
    <row r="110" spans="1:12" x14ac:dyDescent="0.3">
      <c r="A110">
        <v>192</v>
      </c>
      <c r="B110">
        <f t="shared" si="32"/>
        <v>0.10983794231994282</v>
      </c>
      <c r="C110">
        <f t="shared" si="28"/>
        <v>0.10983794231994282</v>
      </c>
      <c r="D110" t="s">
        <v>28</v>
      </c>
      <c r="E110" t="s">
        <v>19</v>
      </c>
      <c r="F110">
        <v>1</v>
      </c>
      <c r="G110">
        <f t="shared" si="33"/>
        <v>85</v>
      </c>
      <c r="I110">
        <v>2050</v>
      </c>
      <c r="J110">
        <f t="shared" si="34"/>
        <v>87.5</v>
      </c>
      <c r="K110" cm="1">
        <f t="array" ref="K110">STOWA2019_NDJF_T(A110*60,J110,I110,"GH","center")</f>
        <v>3.5591074214143608</v>
      </c>
      <c r="L110">
        <f t="shared" si="35"/>
        <v>0.2809693222472639</v>
      </c>
    </row>
    <row r="111" spans="1:12" x14ac:dyDescent="0.3">
      <c r="A111">
        <v>192</v>
      </c>
      <c r="B111">
        <f t="shared" si="32"/>
        <v>7.999235664553625E-2</v>
      </c>
      <c r="C111">
        <f t="shared" si="28"/>
        <v>7.999235664553625E-2</v>
      </c>
      <c r="D111" t="s">
        <v>28</v>
      </c>
      <c r="E111" t="s">
        <v>19</v>
      </c>
      <c r="F111">
        <v>1</v>
      </c>
      <c r="G111">
        <f t="shared" si="33"/>
        <v>90</v>
      </c>
      <c r="I111">
        <v>2050</v>
      </c>
      <c r="J111">
        <f t="shared" si="34"/>
        <v>92.5</v>
      </c>
      <c r="K111" cm="1">
        <f t="array" ref="K111">STOWA2019_NDJF_T(A111*60,J111,I111,"GH","center")</f>
        <v>4.9756945877154974</v>
      </c>
      <c r="L111">
        <f t="shared" si="35"/>
        <v>0.20097696560172765</v>
      </c>
    </row>
    <row r="112" spans="1:12" x14ac:dyDescent="0.3">
      <c r="A112">
        <v>192</v>
      </c>
      <c r="B112">
        <f t="shared" si="32"/>
        <v>5.7970429570350229E-2</v>
      </c>
      <c r="C112">
        <f t="shared" si="28"/>
        <v>5.7970429570350229E-2</v>
      </c>
      <c r="D112" t="s">
        <v>28</v>
      </c>
      <c r="E112" t="s">
        <v>19</v>
      </c>
      <c r="F112">
        <v>1</v>
      </c>
      <c r="G112">
        <f t="shared" si="33"/>
        <v>95</v>
      </c>
      <c r="I112">
        <v>2050</v>
      </c>
      <c r="J112">
        <f t="shared" si="34"/>
        <v>97.5</v>
      </c>
      <c r="K112" cm="1">
        <f t="array" ref="K112">STOWA2019_NDJF_T(A112*60,J112,I112,"GH","center")</f>
        <v>6.992687381649378</v>
      </c>
      <c r="L112">
        <f t="shared" si="35"/>
        <v>0.14300653603137742</v>
      </c>
    </row>
    <row r="113" spans="1:12" x14ac:dyDescent="0.3">
      <c r="A113">
        <v>192</v>
      </c>
      <c r="B113">
        <f t="shared" si="32"/>
        <v>4.1799161864216547E-2</v>
      </c>
      <c r="C113">
        <f t="shared" si="28"/>
        <v>4.1799161864216547E-2</v>
      </c>
      <c r="D113" t="s">
        <v>28</v>
      </c>
      <c r="E113" t="s">
        <v>19</v>
      </c>
      <c r="F113">
        <v>1</v>
      </c>
      <c r="G113">
        <f t="shared" si="33"/>
        <v>100</v>
      </c>
      <c r="I113">
        <v>2050</v>
      </c>
      <c r="J113">
        <f t="shared" si="34"/>
        <v>102.5</v>
      </c>
      <c r="K113" cm="1">
        <f t="array" ref="K113">STOWA2019_NDJF_T(A113*60,J113,I113,"GH","center")</f>
        <v>9.8807029451068757</v>
      </c>
      <c r="L113">
        <f t="shared" si="35"/>
        <v>0.10120737416716087</v>
      </c>
    </row>
    <row r="114" spans="1:12" x14ac:dyDescent="0.3">
      <c r="A114">
        <v>192</v>
      </c>
      <c r="B114">
        <f t="shared" si="32"/>
        <v>2.9980213258511412E-2</v>
      </c>
      <c r="C114">
        <f t="shared" si="28"/>
        <v>2.9980213258511412E-2</v>
      </c>
      <c r="D114" t="s">
        <v>28</v>
      </c>
      <c r="E114" t="s">
        <v>19</v>
      </c>
      <c r="F114">
        <v>1</v>
      </c>
      <c r="G114">
        <f t="shared" si="33"/>
        <v>105</v>
      </c>
      <c r="I114">
        <v>2050</v>
      </c>
      <c r="J114">
        <f t="shared" si="34"/>
        <v>107.5</v>
      </c>
      <c r="K114" cm="1">
        <f t="array" ref="K114">STOWA2019_NDJF_T(A114*60,J114,I114,"GH","center")</f>
        <v>14.039588090314647</v>
      </c>
      <c r="L114">
        <f t="shared" si="35"/>
        <v>7.1227160908649459E-2</v>
      </c>
    </row>
    <row r="115" spans="1:12" x14ac:dyDescent="0.3">
      <c r="A115">
        <v>192</v>
      </c>
      <c r="B115">
        <f t="shared" si="32"/>
        <v>2.1388035533745832E-2</v>
      </c>
      <c r="C115">
        <f t="shared" si="28"/>
        <v>2.1388035533745832E-2</v>
      </c>
      <c r="D115" t="s">
        <v>28</v>
      </c>
      <c r="E115" t="s">
        <v>19</v>
      </c>
      <c r="F115">
        <v>1</v>
      </c>
      <c r="G115">
        <f t="shared" si="33"/>
        <v>110</v>
      </c>
      <c r="I115">
        <v>2050</v>
      </c>
      <c r="J115">
        <f t="shared" si="34"/>
        <v>112.5</v>
      </c>
      <c r="K115" cm="1">
        <f t="array" ref="K115">STOWA2019_NDJF_T(A115*60,J115,I115,"GH","center")</f>
        <v>20.064557563515102</v>
      </c>
      <c r="L115">
        <f t="shared" si="35"/>
        <v>4.9839125374903627E-2</v>
      </c>
    </row>
    <row r="116" spans="1:12" x14ac:dyDescent="0.3">
      <c r="A116">
        <v>192</v>
      </c>
      <c r="B116">
        <f t="shared" si="32"/>
        <v>1.5172946260037318E-2</v>
      </c>
      <c r="C116">
        <f t="shared" si="28"/>
        <v>1.5172946260037318E-2</v>
      </c>
      <c r="D116" t="s">
        <v>28</v>
      </c>
      <c r="E116" t="s">
        <v>19</v>
      </c>
      <c r="F116">
        <v>1</v>
      </c>
      <c r="G116">
        <f t="shared" si="33"/>
        <v>115</v>
      </c>
      <c r="I116">
        <v>2050</v>
      </c>
      <c r="J116">
        <f t="shared" si="34"/>
        <v>117.5</v>
      </c>
      <c r="K116" cm="1">
        <f t="array" ref="K116">STOWA2019_NDJF_T(A116*60,J116,I116,"GH","center")</f>
        <v>28.846559544001146</v>
      </c>
      <c r="L116">
        <f t="shared" si="35"/>
        <v>3.4666179114866309E-2</v>
      </c>
    </row>
    <row r="117" spans="1:12" x14ac:dyDescent="0.3">
      <c r="A117">
        <v>192</v>
      </c>
      <c r="B117">
        <f t="shared" si="32"/>
        <v>1.0701902372181646E-2</v>
      </c>
      <c r="C117">
        <f t="shared" si="28"/>
        <v>1.0701902372181646E-2</v>
      </c>
      <c r="D117" t="s">
        <v>28</v>
      </c>
      <c r="E117" t="s">
        <v>19</v>
      </c>
      <c r="F117">
        <v>1</v>
      </c>
      <c r="G117">
        <f t="shared" si="33"/>
        <v>120</v>
      </c>
      <c r="I117">
        <v>2050</v>
      </c>
      <c r="J117">
        <f t="shared" si="34"/>
        <v>122.5</v>
      </c>
      <c r="K117" cm="1">
        <f t="array" ref="K117">STOWA2019_NDJF_T(A117*60,J117,I117,"GH","center")</f>
        <v>41.728778662400487</v>
      </c>
      <c r="L117">
        <f t="shared" si="35"/>
        <v>2.3964276742684663E-2</v>
      </c>
    </row>
    <row r="118" spans="1:12" x14ac:dyDescent="0.3">
      <c r="A118">
        <v>192</v>
      </c>
      <c r="B118">
        <f t="shared" si="32"/>
        <v>7.503401056734655E-3</v>
      </c>
      <c r="C118">
        <f t="shared" si="28"/>
        <v>7.503401056734655E-3</v>
      </c>
      <c r="D118" t="s">
        <v>28</v>
      </c>
      <c r="E118" t="s">
        <v>19</v>
      </c>
      <c r="F118">
        <v>1</v>
      </c>
      <c r="G118">
        <f t="shared" si="33"/>
        <v>125</v>
      </c>
      <c r="I118">
        <v>2050</v>
      </c>
      <c r="J118">
        <f t="shared" si="34"/>
        <v>127.5</v>
      </c>
      <c r="K118" cm="1">
        <f t="array" ref="K118">STOWA2019_NDJF_T(A118*60,J118,I118,"GH","center")</f>
        <v>60.75010947646841</v>
      </c>
      <c r="L118">
        <f t="shared" si="35"/>
        <v>1.6460875685950008E-2</v>
      </c>
    </row>
    <row r="119" spans="1:12" x14ac:dyDescent="0.3">
      <c r="A119">
        <v>192</v>
      </c>
      <c r="B119">
        <f t="shared" si="32"/>
        <v>5.228427426016773E-3</v>
      </c>
      <c r="C119">
        <f t="shared" si="28"/>
        <v>5.228427426016773E-3</v>
      </c>
      <c r="D119" t="s">
        <v>28</v>
      </c>
      <c r="E119" t="s">
        <v>19</v>
      </c>
      <c r="F119">
        <v>1</v>
      </c>
      <c r="G119">
        <f t="shared" si="33"/>
        <v>130</v>
      </c>
      <c r="I119">
        <v>2050</v>
      </c>
      <c r="J119">
        <f t="shared" si="34"/>
        <v>132.5</v>
      </c>
      <c r="K119" cm="1">
        <f t="array" ref="K119">STOWA2019_NDJF_T(A119*60,J119,I119,"GH","center")</f>
        <v>89.027786005216271</v>
      </c>
      <c r="L119">
        <f t="shared" si="35"/>
        <v>1.1232448259933235E-2</v>
      </c>
    </row>
    <row r="120" spans="1:12" x14ac:dyDescent="0.3">
      <c r="A120">
        <v>192</v>
      </c>
      <c r="B120">
        <f t="shared" si="32"/>
        <v>3.6200152144273568E-3</v>
      </c>
      <c r="C120">
        <f t="shared" si="28"/>
        <v>3.6200152144273568E-3</v>
      </c>
      <c r="D120" t="s">
        <v>28</v>
      </c>
      <c r="E120" t="s">
        <v>19</v>
      </c>
      <c r="F120">
        <v>1</v>
      </c>
      <c r="G120">
        <f t="shared" si="33"/>
        <v>135</v>
      </c>
      <c r="I120">
        <v>2050</v>
      </c>
      <c r="J120">
        <f t="shared" si="34"/>
        <v>137.5</v>
      </c>
      <c r="K120" cm="1">
        <f t="array" ref="K120">STOWA2019_NDJF_T(A120*60,J120,I120,"GH","center")</f>
        <v>131.36404537447669</v>
      </c>
      <c r="L120">
        <f t="shared" si="35"/>
        <v>7.6124330455058786E-3</v>
      </c>
    </row>
    <row r="121" spans="1:12" x14ac:dyDescent="0.3">
      <c r="A121">
        <v>192</v>
      </c>
      <c r="B121">
        <f t="shared" si="32"/>
        <v>2.4897834039824592E-3</v>
      </c>
      <c r="C121">
        <f t="shared" si="28"/>
        <v>2.4897834039824592E-3</v>
      </c>
      <c r="D121" t="s">
        <v>28</v>
      </c>
      <c r="E121" t="s">
        <v>19</v>
      </c>
      <c r="F121">
        <v>1</v>
      </c>
      <c r="G121">
        <f t="shared" si="33"/>
        <v>140</v>
      </c>
      <c r="I121">
        <v>2050</v>
      </c>
      <c r="J121">
        <f t="shared" si="34"/>
        <v>142.5</v>
      </c>
      <c r="K121" cm="1">
        <f t="array" ref="K121">STOWA2019_NDJF_T(A121*60,J121,I121,"GH","center")</f>
        <v>195.21147647774933</v>
      </c>
      <c r="L121">
        <f t="shared" si="35"/>
        <v>5.1226496415234194E-3</v>
      </c>
    </row>
    <row r="122" spans="1:12" x14ac:dyDescent="0.3">
      <c r="A122">
        <v>192</v>
      </c>
      <c r="B122">
        <f t="shared" si="32"/>
        <v>1.7006999718181936E-3</v>
      </c>
      <c r="C122">
        <f t="shared" si="28"/>
        <v>1.7006999718181936E-3</v>
      </c>
      <c r="D122" t="s">
        <v>28</v>
      </c>
      <c r="E122" t="s">
        <v>19</v>
      </c>
      <c r="F122">
        <v>1</v>
      </c>
      <c r="G122">
        <f t="shared" si="33"/>
        <v>145</v>
      </c>
      <c r="I122">
        <v>2050</v>
      </c>
      <c r="J122">
        <f t="shared" si="34"/>
        <v>147.5</v>
      </c>
      <c r="K122" cm="1">
        <f t="array" ref="K122">STOWA2019_NDJF_T(A122*60,J122,I122,"GH","center")</f>
        <v>292.23106606537033</v>
      </c>
      <c r="L122">
        <f t="shared" si="35"/>
        <v>3.4219496697052258E-3</v>
      </c>
    </row>
    <row r="123" spans="1:12" x14ac:dyDescent="0.3">
      <c r="A123">
        <v>192</v>
      </c>
      <c r="B123">
        <f t="shared" si="32"/>
        <v>1.1534452634485333E-3</v>
      </c>
      <c r="C123">
        <f t="shared" si="28"/>
        <v>1.1534452634485333E-3</v>
      </c>
      <c r="D123" t="s">
        <v>28</v>
      </c>
      <c r="E123" t="s">
        <v>19</v>
      </c>
      <c r="F123">
        <v>1</v>
      </c>
      <c r="G123">
        <f t="shared" si="33"/>
        <v>150</v>
      </c>
      <c r="I123">
        <v>2050</v>
      </c>
      <c r="J123">
        <f t="shared" si="34"/>
        <v>152.5</v>
      </c>
      <c r="K123" cm="1">
        <f t="array" ref="K123">STOWA2019_NDJF_T(A123*60,J123,I123,"GH","center")</f>
        <v>440.8190688287537</v>
      </c>
      <c r="L123">
        <f t="shared" si="35"/>
        <v>2.2685044062566925E-3</v>
      </c>
    </row>
    <row r="124" spans="1:12" x14ac:dyDescent="0.3">
      <c r="A124">
        <v>192</v>
      </c>
      <c r="B124">
        <f t="shared" si="32"/>
        <v>7.7652603888229022E-4</v>
      </c>
      <c r="C124">
        <f t="shared" si="28"/>
        <v>7.7652603888229022E-4</v>
      </c>
      <c r="D124" t="s">
        <v>28</v>
      </c>
      <c r="E124" t="s">
        <v>19</v>
      </c>
      <c r="F124">
        <v>1</v>
      </c>
      <c r="G124">
        <f t="shared" si="33"/>
        <v>155</v>
      </c>
      <c r="I124">
        <v>2050</v>
      </c>
      <c r="J124">
        <f t="shared" si="34"/>
        <v>157.5</v>
      </c>
      <c r="K124" cm="1">
        <f t="array" ref="K124">STOWA2019_NDJF_T(A124*60,J124,I124,"GH","center")</f>
        <v>670.25100488541898</v>
      </c>
      <c r="L124">
        <f t="shared" si="35"/>
        <v>1.4919783673744023E-3</v>
      </c>
    </row>
    <row r="125" spans="1:12" x14ac:dyDescent="0.3">
      <c r="A125">
        <v>192</v>
      </c>
      <c r="B125" s="1">
        <f>L124</f>
        <v>1.4919783673744023E-3</v>
      </c>
      <c r="C125">
        <f t="shared" si="28"/>
        <v>1.4919783673744023E-3</v>
      </c>
      <c r="D125" t="s">
        <v>28</v>
      </c>
      <c r="E125" t="s">
        <v>19</v>
      </c>
      <c r="F125">
        <v>1</v>
      </c>
      <c r="G125">
        <f t="shared" si="33"/>
        <v>160</v>
      </c>
      <c r="I125">
        <v>2050</v>
      </c>
      <c r="J125">
        <f>AVERAGE(G125:G126)</f>
        <v>85</v>
      </c>
      <c r="K125" cm="1">
        <f t="array" ref="K125">STOWA2019_NDJF_T(A125*60,J125,I125,"GH","center")</f>
        <v>3.0158905430314689</v>
      </c>
      <c r="L125">
        <f>1/K125</f>
        <v>0.33157702036322401</v>
      </c>
    </row>
    <row r="126" spans="1:12" x14ac:dyDescent="0.3">
      <c r="A126">
        <v>216</v>
      </c>
      <c r="B126" s="1">
        <f>365.25*24/A126 - L126</f>
        <v>19.361236006040876</v>
      </c>
      <c r="C126">
        <f>B126</f>
        <v>19.361236006040876</v>
      </c>
      <c r="D126" t="s">
        <v>28</v>
      </c>
      <c r="E126" t="s">
        <v>19</v>
      </c>
      <c r="F126">
        <v>1</v>
      </c>
      <c r="G126">
        <v>10</v>
      </c>
      <c r="I126">
        <v>2050</v>
      </c>
      <c r="J126">
        <f>AVERAGE(G126:G128)</f>
        <v>15</v>
      </c>
      <c r="K126" cm="1">
        <f t="array" ref="K126">STOWA2019_NDJF_T(A126*60,J126,I126,"GH","center")</f>
        <v>4.7120696158242582E-2</v>
      </c>
      <c r="L126">
        <f>1/K126</f>
        <v>21.22209732729246</v>
      </c>
    </row>
    <row r="127" spans="1:12" x14ac:dyDescent="0.3">
      <c r="A127">
        <v>216</v>
      </c>
      <c r="B127">
        <f t="shared" ref="B127:B131" si="36">L126-L127</f>
        <v>2.4438668355864976</v>
      </c>
      <c r="C127">
        <f t="shared" ref="C127:C156" si="37">B127</f>
        <v>2.4438668355864976</v>
      </c>
      <c r="D127" t="s">
        <v>28</v>
      </c>
      <c r="E127" t="s">
        <v>19</v>
      </c>
      <c r="F127">
        <v>1</v>
      </c>
      <c r="G127">
        <f t="shared" ref="G127:G131" si="38">G126+5</f>
        <v>15</v>
      </c>
      <c r="I127">
        <v>2050</v>
      </c>
      <c r="J127">
        <f t="shared" ref="J127:J131" si="39">AVERAGE(G127:G128)</f>
        <v>17.5</v>
      </c>
      <c r="K127" cm="1">
        <f t="array" ref="K127">STOWA2019_NDJF_T(A127*60,J127,I127,"GH","center")</f>
        <v>5.325315398816112E-2</v>
      </c>
      <c r="L127">
        <f t="shared" ref="L127:L131" si="40">1/K127</f>
        <v>18.778230491705962</v>
      </c>
    </row>
    <row r="128" spans="1:12" x14ac:dyDescent="0.3">
      <c r="A128">
        <v>216</v>
      </c>
      <c r="B128">
        <f t="shared" si="36"/>
        <v>4.1180173339982922</v>
      </c>
      <c r="C128">
        <f t="shared" si="37"/>
        <v>4.1180173339982922</v>
      </c>
      <c r="D128" t="s">
        <v>28</v>
      </c>
      <c r="E128" t="s">
        <v>19</v>
      </c>
      <c r="F128">
        <v>1</v>
      </c>
      <c r="G128">
        <f t="shared" si="38"/>
        <v>20</v>
      </c>
      <c r="I128">
        <v>2050</v>
      </c>
      <c r="J128">
        <f t="shared" si="39"/>
        <v>22.5</v>
      </c>
      <c r="K128" cm="1">
        <f t="array" ref="K128">STOWA2019_NDJF_T(A128*60,J128,I128,"GH","center")</f>
        <v>6.8211832204789311E-2</v>
      </c>
      <c r="L128">
        <f t="shared" si="40"/>
        <v>14.66021315770767</v>
      </c>
    </row>
    <row r="129" spans="1:12" x14ac:dyDescent="0.3">
      <c r="A129">
        <v>216</v>
      </c>
      <c r="B129">
        <f t="shared" si="36"/>
        <v>3.2597777169330922</v>
      </c>
      <c r="C129">
        <f t="shared" si="37"/>
        <v>3.2597777169330922</v>
      </c>
      <c r="D129" t="s">
        <v>28</v>
      </c>
      <c r="E129" t="s">
        <v>19</v>
      </c>
      <c r="F129">
        <v>1</v>
      </c>
      <c r="G129">
        <f t="shared" si="38"/>
        <v>25</v>
      </c>
      <c r="I129">
        <v>2050</v>
      </c>
      <c r="J129">
        <f t="shared" si="39"/>
        <v>27.5</v>
      </c>
      <c r="K129" cm="1">
        <f t="array" ref="K129">STOWA2019_NDJF_T(A129*60,J129,I129,"GH","center")</f>
        <v>8.7715947798223504E-2</v>
      </c>
      <c r="L129">
        <f t="shared" si="40"/>
        <v>11.400435440774578</v>
      </c>
    </row>
    <row r="130" spans="1:12" x14ac:dyDescent="0.3">
      <c r="A130">
        <v>216</v>
      </c>
      <c r="B130">
        <f t="shared" si="36"/>
        <v>2.570776958290633</v>
      </c>
      <c r="C130">
        <f t="shared" si="37"/>
        <v>2.570776958290633</v>
      </c>
      <c r="D130" t="s">
        <v>28</v>
      </c>
      <c r="E130" t="s">
        <v>19</v>
      </c>
      <c r="F130">
        <v>1</v>
      </c>
      <c r="G130">
        <f t="shared" si="38"/>
        <v>30</v>
      </c>
      <c r="I130">
        <v>2050</v>
      </c>
      <c r="J130">
        <f t="shared" si="39"/>
        <v>32.5</v>
      </c>
      <c r="K130" cm="1">
        <f t="array" ref="K130">STOWA2019_NDJF_T(A130*60,J130,I130,"GH","center")</f>
        <v>0.11325466347127411</v>
      </c>
      <c r="L130">
        <f t="shared" si="40"/>
        <v>8.8296584824839446</v>
      </c>
    </row>
    <row r="131" spans="1:12" x14ac:dyDescent="0.3">
      <c r="A131">
        <v>216</v>
      </c>
      <c r="B131">
        <f t="shared" si="36"/>
        <v>2.0196041063287096</v>
      </c>
      <c r="C131">
        <f t="shared" si="37"/>
        <v>2.0196041063287096</v>
      </c>
      <c r="D131" t="s">
        <v>28</v>
      </c>
      <c r="E131" t="s">
        <v>19</v>
      </c>
      <c r="F131">
        <v>1</v>
      </c>
      <c r="G131">
        <f t="shared" si="38"/>
        <v>35</v>
      </c>
      <c r="I131">
        <v>2050</v>
      </c>
      <c r="J131">
        <f t="shared" si="39"/>
        <v>37.5</v>
      </c>
      <c r="K131" cm="1">
        <f t="array" ref="K131">STOWA2019_NDJF_T(A131*60,J131,I131,"GH","center")</f>
        <v>0.14684170562593538</v>
      </c>
      <c r="L131">
        <f t="shared" si="40"/>
        <v>6.810054376155235</v>
      </c>
    </row>
    <row r="132" spans="1:12" x14ac:dyDescent="0.3">
      <c r="A132">
        <v>216</v>
      </c>
      <c r="B132">
        <f>L131-L132</f>
        <v>1.5803370008507693</v>
      </c>
      <c r="C132">
        <f t="shared" si="37"/>
        <v>1.5803370008507693</v>
      </c>
      <c r="D132" t="s">
        <v>28</v>
      </c>
      <c r="E132" t="s">
        <v>19</v>
      </c>
      <c r="F132">
        <v>1</v>
      </c>
      <c r="G132">
        <f>G131+5</f>
        <v>40</v>
      </c>
      <c r="I132">
        <v>2050</v>
      </c>
      <c r="J132">
        <f>AVERAGE(G132:G133)</f>
        <v>42.5</v>
      </c>
      <c r="K132" cm="1">
        <f t="array" ref="K132">STOWA2019_NDJF_T(A132*60,J132,I132,"GH","center")</f>
        <v>0.19121492199983017</v>
      </c>
      <c r="L132">
        <f>1/K132</f>
        <v>5.2297173753044657</v>
      </c>
    </row>
    <row r="133" spans="1:12" x14ac:dyDescent="0.3">
      <c r="A133">
        <v>216</v>
      </c>
      <c r="B133">
        <f t="shared" ref="B133:B155" si="41">L132-L133</f>
        <v>1.2314710720132633</v>
      </c>
      <c r="C133">
        <f t="shared" si="37"/>
        <v>1.2314710720132633</v>
      </c>
      <c r="D133" t="s">
        <v>28</v>
      </c>
      <c r="E133" t="s">
        <v>19</v>
      </c>
      <c r="F133">
        <v>1</v>
      </c>
      <c r="G133">
        <f t="shared" ref="G133:G156" si="42">G132+5</f>
        <v>45</v>
      </c>
      <c r="I133">
        <v>2050</v>
      </c>
      <c r="J133">
        <f t="shared" ref="J133:J155" si="43">AVERAGE(G133:G134)</f>
        <v>47.5</v>
      </c>
      <c r="K133" cm="1">
        <f t="array" ref="K133">STOWA2019_NDJF_T(A133*60,J133,I133,"GH","center")</f>
        <v>0.2501096541193169</v>
      </c>
      <c r="L133">
        <f t="shared" ref="L133:L155" si="44">1/K133</f>
        <v>3.9982463032912023</v>
      </c>
    </row>
    <row r="134" spans="1:12" x14ac:dyDescent="0.3">
      <c r="A134">
        <v>216</v>
      </c>
      <c r="B134">
        <f t="shared" si="41"/>
        <v>0.95557635415894637</v>
      </c>
      <c r="C134">
        <f t="shared" si="37"/>
        <v>0.95557635415894637</v>
      </c>
      <c r="D134" t="s">
        <v>28</v>
      </c>
      <c r="E134" t="s">
        <v>19</v>
      </c>
      <c r="F134">
        <v>1</v>
      </c>
      <c r="G134">
        <f t="shared" si="42"/>
        <v>50</v>
      </c>
      <c r="I134">
        <v>2050</v>
      </c>
      <c r="J134">
        <f t="shared" si="43"/>
        <v>52.5</v>
      </c>
      <c r="K134" cm="1">
        <f t="array" ref="K134">STOWA2019_NDJF_T(A134*60,J134,I134,"GH","center")</f>
        <v>0.32865871642936217</v>
      </c>
      <c r="L134">
        <f t="shared" si="44"/>
        <v>3.042669949132256</v>
      </c>
    </row>
    <row r="135" spans="1:12" x14ac:dyDescent="0.3">
      <c r="A135">
        <v>216</v>
      </c>
      <c r="B135">
        <f t="shared" si="41"/>
        <v>0.73825325908273332</v>
      </c>
      <c r="C135">
        <f t="shared" si="37"/>
        <v>0.73825325908273332</v>
      </c>
      <c r="D135" t="s">
        <v>28</v>
      </c>
      <c r="E135" t="s">
        <v>19</v>
      </c>
      <c r="F135">
        <v>1</v>
      </c>
      <c r="G135">
        <f t="shared" si="42"/>
        <v>55</v>
      </c>
      <c r="I135">
        <v>2050</v>
      </c>
      <c r="J135">
        <f t="shared" si="43"/>
        <v>57.5</v>
      </c>
      <c r="K135" cm="1">
        <f t="array" ref="K135">STOWA2019_NDJF_T(A135*60,J135,I135,"GH","center")</f>
        <v>0.43394929585348108</v>
      </c>
      <c r="L135">
        <f t="shared" si="44"/>
        <v>2.3044166900495227</v>
      </c>
    </row>
    <row r="136" spans="1:12" x14ac:dyDescent="0.3">
      <c r="A136">
        <v>216</v>
      </c>
      <c r="B136">
        <f t="shared" si="41"/>
        <v>0.56774341667501971</v>
      </c>
      <c r="C136">
        <f t="shared" si="37"/>
        <v>0.56774341667501971</v>
      </c>
      <c r="D136" t="s">
        <v>28</v>
      </c>
      <c r="E136" t="s">
        <v>19</v>
      </c>
      <c r="F136">
        <v>1</v>
      </c>
      <c r="G136">
        <f t="shared" si="42"/>
        <v>60</v>
      </c>
      <c r="I136">
        <v>2050</v>
      </c>
      <c r="J136">
        <f t="shared" si="43"/>
        <v>62.5</v>
      </c>
      <c r="K136" cm="1">
        <f t="array" ref="K136">STOWA2019_NDJF_T(A136*60,J136,I136,"GH","center")</f>
        <v>0.57581354842693899</v>
      </c>
      <c r="L136">
        <f t="shared" si="44"/>
        <v>1.7366732733745029</v>
      </c>
    </row>
    <row r="137" spans="1:12" x14ac:dyDescent="0.3">
      <c r="A137">
        <v>216</v>
      </c>
      <c r="B137">
        <f t="shared" si="41"/>
        <v>0.43457429764418642</v>
      </c>
      <c r="C137">
        <f t="shared" si="37"/>
        <v>0.43457429764418642</v>
      </c>
      <c r="D137" t="s">
        <v>28</v>
      </c>
      <c r="E137" t="s">
        <v>19</v>
      </c>
      <c r="F137">
        <v>1</v>
      </c>
      <c r="G137">
        <f t="shared" si="42"/>
        <v>65</v>
      </c>
      <c r="I137">
        <v>2050</v>
      </c>
      <c r="J137">
        <f t="shared" si="43"/>
        <v>67.5</v>
      </c>
      <c r="K137" cm="1">
        <f t="array" ref="K137">STOWA2019_NDJF_T(A137*60,J137,I137,"GH","center")</f>
        <v>0.76799077384967884</v>
      </c>
      <c r="L137">
        <f t="shared" si="44"/>
        <v>1.3020989757303165</v>
      </c>
    </row>
    <row r="138" spans="1:12" x14ac:dyDescent="0.3">
      <c r="A138">
        <v>216</v>
      </c>
      <c r="B138">
        <f t="shared" si="41"/>
        <v>0.3309455341637304</v>
      </c>
      <c r="C138">
        <f t="shared" si="37"/>
        <v>0.3309455341637304</v>
      </c>
      <c r="D138" t="s">
        <v>28</v>
      </c>
      <c r="E138" t="s">
        <v>19</v>
      </c>
      <c r="F138">
        <v>1</v>
      </c>
      <c r="G138">
        <f t="shared" si="42"/>
        <v>70</v>
      </c>
      <c r="I138">
        <v>2050</v>
      </c>
      <c r="J138">
        <f t="shared" si="43"/>
        <v>72.5</v>
      </c>
      <c r="K138" cm="1">
        <f t="array" ref="K138">STOWA2019_NDJF_T(A138*60,J138,I138,"GH","center")</f>
        <v>1.0297033992763089</v>
      </c>
      <c r="L138">
        <f t="shared" si="44"/>
        <v>0.97115344156658612</v>
      </c>
    </row>
    <row r="139" spans="1:12" x14ac:dyDescent="0.3">
      <c r="A139">
        <v>216</v>
      </c>
      <c r="B139">
        <f t="shared" si="41"/>
        <v>0.2508607696741163</v>
      </c>
      <c r="C139">
        <f t="shared" si="37"/>
        <v>0.2508607696741163</v>
      </c>
      <c r="D139" t="s">
        <v>28</v>
      </c>
      <c r="E139" t="s">
        <v>19</v>
      </c>
      <c r="F139">
        <v>1</v>
      </c>
      <c r="G139">
        <f t="shared" si="42"/>
        <v>75</v>
      </c>
      <c r="I139">
        <v>2050</v>
      </c>
      <c r="J139">
        <f t="shared" si="43"/>
        <v>77.5</v>
      </c>
      <c r="K139" cm="1">
        <f t="array" ref="K139">STOWA2019_NDJF_T(A139*60,J139,I139,"GH","center")</f>
        <v>1.3883245505922444</v>
      </c>
      <c r="L139">
        <f t="shared" si="44"/>
        <v>0.72029267189246982</v>
      </c>
    </row>
    <row r="140" spans="1:12" x14ac:dyDescent="0.3">
      <c r="A140">
        <v>216</v>
      </c>
      <c r="B140">
        <f t="shared" si="41"/>
        <v>0.18911502787973233</v>
      </c>
      <c r="C140">
        <f t="shared" si="37"/>
        <v>0.18911502787973233</v>
      </c>
      <c r="D140" t="s">
        <v>28</v>
      </c>
      <c r="E140" t="s">
        <v>19</v>
      </c>
      <c r="F140">
        <v>1</v>
      </c>
      <c r="G140">
        <f t="shared" si="42"/>
        <v>80</v>
      </c>
      <c r="I140">
        <v>2050</v>
      </c>
      <c r="J140">
        <f t="shared" si="43"/>
        <v>82.5</v>
      </c>
      <c r="K140" cm="1">
        <f t="array" ref="K140">STOWA2019_NDJF_T(A140*60,J140,I140,"GH","center")</f>
        <v>1.8826093516390916</v>
      </c>
      <c r="L140">
        <f t="shared" si="44"/>
        <v>0.53117764401273748</v>
      </c>
    </row>
    <row r="141" spans="1:12" x14ac:dyDescent="0.3">
      <c r="A141">
        <v>216</v>
      </c>
      <c r="B141">
        <f t="shared" si="41"/>
        <v>0.14179121717491122</v>
      </c>
      <c r="C141">
        <f t="shared" si="37"/>
        <v>0.14179121717491122</v>
      </c>
      <c r="D141" t="s">
        <v>28</v>
      </c>
      <c r="E141" t="s">
        <v>19</v>
      </c>
      <c r="F141">
        <v>1</v>
      </c>
      <c r="G141">
        <f t="shared" si="42"/>
        <v>85</v>
      </c>
      <c r="I141">
        <v>2050</v>
      </c>
      <c r="J141">
        <f t="shared" si="43"/>
        <v>87.5</v>
      </c>
      <c r="K141" cm="1">
        <f t="array" ref="K141">STOWA2019_NDJF_T(A141*60,J141,I141,"GH","center")</f>
        <v>2.5681429322560474</v>
      </c>
      <c r="L141">
        <f t="shared" si="44"/>
        <v>0.38938642683782626</v>
      </c>
    </row>
    <row r="142" spans="1:12" x14ac:dyDescent="0.3">
      <c r="A142">
        <v>216</v>
      </c>
      <c r="B142">
        <f t="shared" si="41"/>
        <v>0.10570320264922217</v>
      </c>
      <c r="C142">
        <f t="shared" si="37"/>
        <v>0.10570320264922217</v>
      </c>
      <c r="D142" t="s">
        <v>28</v>
      </c>
      <c r="E142" t="s">
        <v>19</v>
      </c>
      <c r="F142">
        <v>1</v>
      </c>
      <c r="G142">
        <f t="shared" si="42"/>
        <v>90</v>
      </c>
      <c r="I142">
        <v>2050</v>
      </c>
      <c r="J142">
        <f t="shared" si="43"/>
        <v>92.5</v>
      </c>
      <c r="K142" cm="1">
        <f t="array" ref="K142">STOWA2019_NDJF_T(A142*60,J142,I142,"GH","center")</f>
        <v>3.5250586384169109</v>
      </c>
      <c r="L142">
        <f t="shared" si="44"/>
        <v>0.28368322418860409</v>
      </c>
    </row>
    <row r="143" spans="1:12" x14ac:dyDescent="0.3">
      <c r="A143">
        <v>216</v>
      </c>
      <c r="B143">
        <f t="shared" si="41"/>
        <v>7.8337296846218041E-2</v>
      </c>
      <c r="C143">
        <f t="shared" si="37"/>
        <v>7.8337296846218041E-2</v>
      </c>
      <c r="D143" t="s">
        <v>28</v>
      </c>
      <c r="E143" t="s">
        <v>19</v>
      </c>
      <c r="F143">
        <v>1</v>
      </c>
      <c r="G143">
        <f t="shared" si="42"/>
        <v>95</v>
      </c>
      <c r="I143">
        <v>2050</v>
      </c>
      <c r="J143">
        <f t="shared" si="43"/>
        <v>97.5</v>
      </c>
      <c r="K143" cm="1">
        <f t="array" ref="K143">STOWA2019_NDJF_T(A143*60,J143,I143,"GH","center")</f>
        <v>4.8698311816656474</v>
      </c>
      <c r="L143">
        <f t="shared" si="44"/>
        <v>0.20534592734238605</v>
      </c>
    </row>
    <row r="144" spans="1:12" x14ac:dyDescent="0.3">
      <c r="A144">
        <v>216</v>
      </c>
      <c r="B144">
        <f t="shared" si="41"/>
        <v>5.7700933052094339E-2</v>
      </c>
      <c r="C144">
        <f t="shared" si="37"/>
        <v>5.7700933052094339E-2</v>
      </c>
      <c r="D144" t="s">
        <v>28</v>
      </c>
      <c r="E144" t="s">
        <v>19</v>
      </c>
      <c r="F144">
        <v>1</v>
      </c>
      <c r="G144">
        <f t="shared" si="42"/>
        <v>100</v>
      </c>
      <c r="I144">
        <v>2050</v>
      </c>
      <c r="J144">
        <f t="shared" si="43"/>
        <v>102.5</v>
      </c>
      <c r="K144" cm="1">
        <f t="array" ref="K144">STOWA2019_NDJF_T(A144*60,J144,I144,"GH","center")</f>
        <v>6.7730030727208632</v>
      </c>
      <c r="L144">
        <f t="shared" si="44"/>
        <v>0.14764499429029171</v>
      </c>
    </row>
    <row r="145" spans="1:12" x14ac:dyDescent="0.3">
      <c r="A145">
        <v>216</v>
      </c>
      <c r="B145">
        <f t="shared" si="41"/>
        <v>4.2227857939266172E-2</v>
      </c>
      <c r="C145">
        <f t="shared" si="37"/>
        <v>4.2227857939266172E-2</v>
      </c>
      <c r="D145" t="s">
        <v>28</v>
      </c>
      <c r="E145" t="s">
        <v>19</v>
      </c>
      <c r="F145">
        <v>1</v>
      </c>
      <c r="G145">
        <f t="shared" si="42"/>
        <v>105</v>
      </c>
      <c r="I145">
        <v>2050</v>
      </c>
      <c r="J145">
        <f t="shared" si="43"/>
        <v>107.5</v>
      </c>
      <c r="K145" cm="1">
        <f t="array" ref="K145">STOWA2019_NDJF_T(A145*60,J145,I145,"GH","center")</f>
        <v>9.4861237424447609</v>
      </c>
      <c r="L145">
        <f t="shared" si="44"/>
        <v>0.10541713635102554</v>
      </c>
    </row>
    <row r="146" spans="1:12" x14ac:dyDescent="0.3">
      <c r="A146">
        <v>216</v>
      </c>
      <c r="B146">
        <f t="shared" si="41"/>
        <v>3.0697536806609166E-2</v>
      </c>
      <c r="C146">
        <f t="shared" si="37"/>
        <v>3.0697536806609166E-2</v>
      </c>
      <c r="D146" t="s">
        <v>28</v>
      </c>
      <c r="E146" t="s">
        <v>19</v>
      </c>
      <c r="F146">
        <v>1</v>
      </c>
      <c r="G146">
        <f t="shared" si="42"/>
        <v>110</v>
      </c>
      <c r="I146">
        <v>2050</v>
      </c>
      <c r="J146">
        <f t="shared" si="43"/>
        <v>112.5</v>
      </c>
      <c r="K146" cm="1">
        <f t="array" ref="K146">STOWA2019_NDJF_T(A146*60,J146,I146,"GH","center")</f>
        <v>13.383369371587159</v>
      </c>
      <c r="L146">
        <f t="shared" si="44"/>
        <v>7.4719599544416371E-2</v>
      </c>
    </row>
    <row r="147" spans="1:12" x14ac:dyDescent="0.3">
      <c r="A147">
        <v>216</v>
      </c>
      <c r="B147">
        <f t="shared" si="41"/>
        <v>2.2161187821768097E-2</v>
      </c>
      <c r="C147">
        <f t="shared" si="37"/>
        <v>2.2161187821768097E-2</v>
      </c>
      <c r="D147" t="s">
        <v>28</v>
      </c>
      <c r="E147" t="s">
        <v>19</v>
      </c>
      <c r="F147">
        <v>1</v>
      </c>
      <c r="G147">
        <f t="shared" si="42"/>
        <v>115</v>
      </c>
      <c r="I147">
        <v>2050</v>
      </c>
      <c r="J147">
        <f t="shared" si="43"/>
        <v>117.5</v>
      </c>
      <c r="K147" cm="1">
        <f t="array" ref="K147">STOWA2019_NDJF_T(A147*60,J147,I147,"GH","center")</f>
        <v>19.026450138505304</v>
      </c>
      <c r="L147">
        <f t="shared" si="44"/>
        <v>5.2558411722648274E-2</v>
      </c>
    </row>
    <row r="148" spans="1:12" x14ac:dyDescent="0.3">
      <c r="A148">
        <v>216</v>
      </c>
      <c r="B148">
        <f t="shared" si="41"/>
        <v>1.5882218706061262E-2</v>
      </c>
      <c r="C148">
        <f t="shared" si="37"/>
        <v>1.5882218706061262E-2</v>
      </c>
      <c r="D148" t="s">
        <v>28</v>
      </c>
      <c r="E148" t="s">
        <v>19</v>
      </c>
      <c r="F148">
        <v>1</v>
      </c>
      <c r="G148">
        <f t="shared" si="42"/>
        <v>120</v>
      </c>
      <c r="I148">
        <v>2050</v>
      </c>
      <c r="J148">
        <f t="shared" si="43"/>
        <v>122.5</v>
      </c>
      <c r="K148" cm="1">
        <f t="array" ref="K148">STOWA2019_NDJF_T(A148*60,J148,I148,"GH","center")</f>
        <v>27.265643398368649</v>
      </c>
      <c r="L148">
        <f t="shared" si="44"/>
        <v>3.6676193016587012E-2</v>
      </c>
    </row>
    <row r="149" spans="1:12" x14ac:dyDescent="0.3">
      <c r="A149">
        <v>216</v>
      </c>
      <c r="B149">
        <f t="shared" si="41"/>
        <v>1.12953707901167E-2</v>
      </c>
      <c r="C149">
        <f t="shared" si="37"/>
        <v>1.12953707901167E-2</v>
      </c>
      <c r="D149" t="s">
        <v>28</v>
      </c>
      <c r="E149" t="s">
        <v>19</v>
      </c>
      <c r="F149">
        <v>1</v>
      </c>
      <c r="G149">
        <f t="shared" si="42"/>
        <v>125</v>
      </c>
      <c r="I149">
        <v>2050</v>
      </c>
      <c r="J149">
        <f t="shared" si="43"/>
        <v>127.5</v>
      </c>
      <c r="K149" cm="1">
        <f t="array" ref="K149">STOWA2019_NDJF_T(A149*60,J149,I149,"GH","center")</f>
        <v>39.399826809277847</v>
      </c>
      <c r="L149">
        <f t="shared" si="44"/>
        <v>2.5380822226470312E-2</v>
      </c>
    </row>
    <row r="150" spans="1:12" x14ac:dyDescent="0.3">
      <c r="A150">
        <v>216</v>
      </c>
      <c r="B150">
        <f t="shared" si="41"/>
        <v>7.9696170469552782E-3</v>
      </c>
      <c r="C150">
        <f t="shared" si="37"/>
        <v>7.9696170469552782E-3</v>
      </c>
      <c r="D150" t="s">
        <v>28</v>
      </c>
      <c r="E150" t="s">
        <v>19</v>
      </c>
      <c r="F150">
        <v>1</v>
      </c>
      <c r="G150">
        <f t="shared" si="42"/>
        <v>130</v>
      </c>
      <c r="I150">
        <v>2050</v>
      </c>
      <c r="J150">
        <f t="shared" si="43"/>
        <v>132.5</v>
      </c>
      <c r="K150" cm="1">
        <f t="array" ref="K150">STOWA2019_NDJF_T(A150*60,J150,I150,"GH","center")</f>
        <v>57.434278080677565</v>
      </c>
      <c r="L150">
        <f t="shared" si="44"/>
        <v>1.7411205179515034E-2</v>
      </c>
    </row>
    <row r="151" spans="1:12" x14ac:dyDescent="0.3">
      <c r="A151">
        <v>216</v>
      </c>
      <c r="B151">
        <f t="shared" si="41"/>
        <v>5.5761776480148448E-3</v>
      </c>
      <c r="C151">
        <f t="shared" si="37"/>
        <v>5.5761776480148448E-3</v>
      </c>
      <c r="D151" t="s">
        <v>28</v>
      </c>
      <c r="E151" t="s">
        <v>19</v>
      </c>
      <c r="F151">
        <v>1</v>
      </c>
      <c r="G151">
        <f t="shared" si="42"/>
        <v>135</v>
      </c>
      <c r="I151">
        <v>2050</v>
      </c>
      <c r="J151">
        <f t="shared" si="43"/>
        <v>137.5</v>
      </c>
      <c r="K151" cm="1">
        <f t="array" ref="K151">STOWA2019_NDJF_T(A151*60,J151,I151,"GH","center")</f>
        <v>84.494944970630044</v>
      </c>
      <c r="L151">
        <f t="shared" si="44"/>
        <v>1.1835027531500189E-2</v>
      </c>
    </row>
    <row r="152" spans="1:12" x14ac:dyDescent="0.3">
      <c r="A152">
        <v>216</v>
      </c>
      <c r="B152">
        <f t="shared" si="41"/>
        <v>3.8673139250316613E-3</v>
      </c>
      <c r="C152">
        <f t="shared" si="37"/>
        <v>3.8673139250316613E-3</v>
      </c>
      <c r="D152" t="s">
        <v>28</v>
      </c>
      <c r="E152" t="s">
        <v>19</v>
      </c>
      <c r="F152">
        <v>1</v>
      </c>
      <c r="G152">
        <f t="shared" si="42"/>
        <v>140</v>
      </c>
      <c r="I152">
        <v>2050</v>
      </c>
      <c r="J152">
        <f t="shared" si="43"/>
        <v>142.5</v>
      </c>
      <c r="K152" cm="1">
        <f t="array" ref="K152">STOWA2019_NDJF_T(A152*60,J152,I152,"GH","center")</f>
        <v>125.50651910833713</v>
      </c>
      <c r="L152">
        <f t="shared" si="44"/>
        <v>7.9677136064685277E-3</v>
      </c>
    </row>
    <row r="153" spans="1:12" x14ac:dyDescent="0.3">
      <c r="A153">
        <v>216</v>
      </c>
      <c r="B153">
        <f t="shared" si="41"/>
        <v>2.657605231999401E-3</v>
      </c>
      <c r="C153">
        <f t="shared" si="37"/>
        <v>2.657605231999401E-3</v>
      </c>
      <c r="D153" t="s">
        <v>28</v>
      </c>
      <c r="E153" t="s">
        <v>19</v>
      </c>
      <c r="F153">
        <v>1</v>
      </c>
      <c r="G153">
        <f t="shared" si="42"/>
        <v>145</v>
      </c>
      <c r="I153">
        <v>2050</v>
      </c>
      <c r="J153">
        <f t="shared" si="43"/>
        <v>147.5</v>
      </c>
      <c r="K153" cm="1">
        <f t="array" ref="K153">STOWA2019_NDJF_T(A153*60,J153,I153,"GH","center")</f>
        <v>188.32007361807828</v>
      </c>
      <c r="L153">
        <f t="shared" si="44"/>
        <v>5.3101083744691267E-3</v>
      </c>
    </row>
    <row r="154" spans="1:12" x14ac:dyDescent="0.3">
      <c r="A154">
        <v>216</v>
      </c>
      <c r="B154">
        <f t="shared" si="41"/>
        <v>1.808638932572586E-3</v>
      </c>
      <c r="C154">
        <f t="shared" si="37"/>
        <v>1.808638932572586E-3</v>
      </c>
      <c r="D154" t="s">
        <v>28</v>
      </c>
      <c r="E154" t="s">
        <v>19</v>
      </c>
      <c r="F154">
        <v>1</v>
      </c>
      <c r="G154">
        <f t="shared" si="42"/>
        <v>150</v>
      </c>
      <c r="I154">
        <v>2050</v>
      </c>
      <c r="J154">
        <f t="shared" si="43"/>
        <v>152.5</v>
      </c>
      <c r="K154" cm="1">
        <f t="array" ref="K154">STOWA2019_NDJF_T(A154*60,J154,I154,"GH","center")</f>
        <v>285.59438161435406</v>
      </c>
      <c r="L154">
        <f t="shared" si="44"/>
        <v>3.5014694418965407E-3</v>
      </c>
    </row>
    <row r="155" spans="1:12" x14ac:dyDescent="0.3">
      <c r="A155">
        <v>216</v>
      </c>
      <c r="B155">
        <f t="shared" si="41"/>
        <v>1.2183795424424949E-3</v>
      </c>
      <c r="C155">
        <f t="shared" si="37"/>
        <v>1.2183795424424949E-3</v>
      </c>
      <c r="D155" t="s">
        <v>28</v>
      </c>
      <c r="E155" t="s">
        <v>19</v>
      </c>
      <c r="F155">
        <v>1</v>
      </c>
      <c r="G155">
        <f t="shared" si="42"/>
        <v>155</v>
      </c>
      <c r="I155">
        <v>2050</v>
      </c>
      <c r="J155">
        <f t="shared" si="43"/>
        <v>157.5</v>
      </c>
      <c r="K155" cm="1">
        <f t="array" ref="K155">STOWA2019_NDJF_T(A155*60,J155,I155,"GH","center")</f>
        <v>438.00290134835672</v>
      </c>
      <c r="L155">
        <f t="shared" si="44"/>
        <v>2.2830898994540458E-3</v>
      </c>
    </row>
    <row r="156" spans="1:12" x14ac:dyDescent="0.3">
      <c r="A156">
        <v>216</v>
      </c>
      <c r="B156" s="1">
        <f>L155</f>
        <v>2.2830898994540458E-3</v>
      </c>
      <c r="C156">
        <f t="shared" si="37"/>
        <v>2.2830898994540458E-3</v>
      </c>
      <c r="D156" t="s">
        <v>28</v>
      </c>
      <c r="E156" t="s">
        <v>19</v>
      </c>
      <c r="F156">
        <v>1</v>
      </c>
      <c r="G156">
        <f t="shared" si="42"/>
        <v>160</v>
      </c>
      <c r="I156">
        <v>2050</v>
      </c>
      <c r="J156">
        <f>AVERAGE(G156:G157)</f>
        <v>160</v>
      </c>
      <c r="K156" cm="1">
        <f t="array" ref="K156">STOWA2019_NDJF_T(A156*60,J156,I156,"GH","center")</f>
        <v>544.81893144649894</v>
      </c>
      <c r="L156">
        <f>1/K156</f>
        <v>1.8354721950373336E-3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0CD737-AB9D-44D4-8F47-559D2345A945}">
  <sheetPr codeName="Blad13"/>
  <dimension ref="A1:L156"/>
  <sheetViews>
    <sheetView workbookViewId="0">
      <selection activeCell="A2" sqref="A2"/>
    </sheetView>
  </sheetViews>
  <sheetFormatPr defaultRowHeight="14.4" x14ac:dyDescent="0.3"/>
  <cols>
    <col min="2" max="3" width="12" bestFit="1" customWidth="1"/>
    <col min="4" max="4" width="26.77734375" bestFit="1" customWidth="1"/>
    <col min="11" max="11" width="10.5546875" bestFit="1" customWidth="1"/>
  </cols>
  <sheetData>
    <row r="1" spans="1:12" x14ac:dyDescent="0.3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20</v>
      </c>
      <c r="G1" t="s">
        <v>1</v>
      </c>
      <c r="I1" t="s">
        <v>4</v>
      </c>
      <c r="J1" t="s">
        <v>13</v>
      </c>
      <c r="K1" t="s">
        <v>2</v>
      </c>
      <c r="L1" t="s">
        <v>3</v>
      </c>
    </row>
    <row r="2" spans="1:12" x14ac:dyDescent="0.3">
      <c r="A2">
        <v>24</v>
      </c>
      <c r="B2" s="1">
        <f>365.25*24/A2 - L2</f>
        <v>349.02299681199008</v>
      </c>
      <c r="C2">
        <f>B2</f>
        <v>349.02299681199008</v>
      </c>
      <c r="D2" t="s">
        <v>29</v>
      </c>
      <c r="E2" t="s">
        <v>21</v>
      </c>
      <c r="F2">
        <v>1</v>
      </c>
      <c r="G2">
        <v>10</v>
      </c>
      <c r="I2">
        <v>2050</v>
      </c>
      <c r="J2">
        <f>AVERAGE(G2:G4)</f>
        <v>15</v>
      </c>
      <c r="K2" cm="1">
        <f t="array" ref="K2">STOWA2019_JAARROND_T(A2*60,J2,I2,"WL","center")</f>
        <v>6.1625673478569259E-2</v>
      </c>
      <c r="L2">
        <f>1/K2</f>
        <v>16.227003188009892</v>
      </c>
    </row>
    <row r="3" spans="1:12" x14ac:dyDescent="0.3">
      <c r="A3">
        <v>24</v>
      </c>
      <c r="B3">
        <f t="shared" ref="B3:B7" si="0">L2-L3</f>
        <v>4.5700566748672262</v>
      </c>
      <c r="C3">
        <f t="shared" ref="C3:C32" si="1">B3</f>
        <v>4.5700566748672262</v>
      </c>
      <c r="D3" t="s">
        <v>29</v>
      </c>
      <c r="E3" t="s">
        <v>21</v>
      </c>
      <c r="F3">
        <v>1</v>
      </c>
      <c r="G3">
        <f t="shared" ref="G3:G7" si="2">G2+5</f>
        <v>15</v>
      </c>
      <c r="I3">
        <v>2050</v>
      </c>
      <c r="J3">
        <f t="shared" ref="J3:J7" si="3">AVERAGE(G3:G4)</f>
        <v>17.5</v>
      </c>
      <c r="K3" cm="1">
        <f t="array" ref="K3">STOWA2019_JAARROND_T(A3*60,J3,I3,"WL","center")</f>
        <v>8.5785758635209181E-2</v>
      </c>
      <c r="L3">
        <f t="shared" ref="L3:L7" si="4">1/K3</f>
        <v>11.656946513142666</v>
      </c>
    </row>
    <row r="4" spans="1:12" x14ac:dyDescent="0.3">
      <c r="A4">
        <v>24</v>
      </c>
      <c r="B4">
        <f t="shared" si="0"/>
        <v>5.4004173839796872</v>
      </c>
      <c r="C4">
        <f t="shared" si="1"/>
        <v>5.4004173839796872</v>
      </c>
      <c r="D4" t="s">
        <v>29</v>
      </c>
      <c r="E4" t="s">
        <v>21</v>
      </c>
      <c r="F4">
        <v>1</v>
      </c>
      <c r="G4">
        <f t="shared" si="2"/>
        <v>20</v>
      </c>
      <c r="I4">
        <v>2050</v>
      </c>
      <c r="J4">
        <f t="shared" si="3"/>
        <v>22.5</v>
      </c>
      <c r="K4" cm="1">
        <f t="array" ref="K4">STOWA2019_JAARROND_T(A4*60,J4,I4,"WL","center")</f>
        <v>0.15983302872175451</v>
      </c>
      <c r="L4">
        <f t="shared" si="4"/>
        <v>6.2565291291629785</v>
      </c>
    </row>
    <row r="5" spans="1:12" x14ac:dyDescent="0.3">
      <c r="A5">
        <v>24</v>
      </c>
      <c r="B5">
        <f t="shared" si="0"/>
        <v>2.7355910855460985</v>
      </c>
      <c r="C5">
        <f t="shared" si="1"/>
        <v>2.7355910855460985</v>
      </c>
      <c r="D5" t="s">
        <v>29</v>
      </c>
      <c r="E5" t="s">
        <v>21</v>
      </c>
      <c r="F5">
        <v>1</v>
      </c>
      <c r="G5">
        <f t="shared" si="2"/>
        <v>25</v>
      </c>
      <c r="I5">
        <v>2050</v>
      </c>
      <c r="J5">
        <f t="shared" si="3"/>
        <v>27.5</v>
      </c>
      <c r="K5" cm="1">
        <f t="array" ref="K5">STOWA2019_JAARROND_T(A5*60,J5,I5,"WL","center")</f>
        <v>0.28401522196986773</v>
      </c>
      <c r="L5">
        <f t="shared" si="4"/>
        <v>3.52093804361688</v>
      </c>
    </row>
    <row r="6" spans="1:12" x14ac:dyDescent="0.3">
      <c r="A6">
        <v>24</v>
      </c>
      <c r="B6">
        <f t="shared" si="0"/>
        <v>1.4557009382937665</v>
      </c>
      <c r="C6">
        <f t="shared" si="1"/>
        <v>1.4557009382937665</v>
      </c>
      <c r="D6" t="s">
        <v>29</v>
      </c>
      <c r="E6" t="s">
        <v>21</v>
      </c>
      <c r="F6">
        <v>1</v>
      </c>
      <c r="G6">
        <f t="shared" si="2"/>
        <v>30</v>
      </c>
      <c r="I6">
        <v>2050</v>
      </c>
      <c r="J6">
        <f t="shared" si="3"/>
        <v>32.5</v>
      </c>
      <c r="K6" cm="1">
        <f t="array" ref="K6">STOWA2019_JAARROND_T(A6*60,J6,I6,"WL","center")</f>
        <v>0.48420590421434756</v>
      </c>
      <c r="L6">
        <f t="shared" si="4"/>
        <v>2.0652371053231136</v>
      </c>
    </row>
    <row r="7" spans="1:12" x14ac:dyDescent="0.3">
      <c r="A7">
        <v>24</v>
      </c>
      <c r="B7">
        <f t="shared" si="0"/>
        <v>0.80936375035309371</v>
      </c>
      <c r="C7">
        <f t="shared" si="1"/>
        <v>0.80936375035309371</v>
      </c>
      <c r="D7" t="s">
        <v>29</v>
      </c>
      <c r="E7" t="s">
        <v>21</v>
      </c>
      <c r="F7">
        <v>1</v>
      </c>
      <c r="G7">
        <f t="shared" si="2"/>
        <v>35</v>
      </c>
      <c r="I7">
        <v>2050</v>
      </c>
      <c r="J7">
        <f t="shared" si="3"/>
        <v>37.5</v>
      </c>
      <c r="K7" cm="1">
        <f t="array" ref="K7">STOWA2019_JAARROND_T(A7*60,J7,I7,"WL","center")</f>
        <v>0.79625863232353711</v>
      </c>
      <c r="L7">
        <f t="shared" si="4"/>
        <v>1.2558733549700198</v>
      </c>
    </row>
    <row r="8" spans="1:12" x14ac:dyDescent="0.3">
      <c r="A8">
        <v>24</v>
      </c>
      <c r="B8">
        <f>L7-L8</f>
        <v>0.4675108572958484</v>
      </c>
      <c r="C8">
        <f t="shared" si="1"/>
        <v>0.4675108572958484</v>
      </c>
      <c r="D8" t="s">
        <v>29</v>
      </c>
      <c r="E8" t="s">
        <v>21</v>
      </c>
      <c r="F8">
        <v>1</v>
      </c>
      <c r="G8">
        <f>G7+5</f>
        <v>40</v>
      </c>
      <c r="I8">
        <v>2050</v>
      </c>
      <c r="J8">
        <f>AVERAGE(G8:G9)</f>
        <v>42.5</v>
      </c>
      <c r="K8" cm="1">
        <f t="array" ref="K8">STOWA2019_JAARROND_T(A8*60,J8,I8,"WL","center")</f>
        <v>1.2684520166169775</v>
      </c>
      <c r="L8">
        <f>1/K8</f>
        <v>0.78836249767417144</v>
      </c>
    </row>
    <row r="9" spans="1:12" x14ac:dyDescent="0.3">
      <c r="A9">
        <v>24</v>
      </c>
      <c r="B9">
        <f t="shared" ref="B9:B31" si="5">L8-L9</f>
        <v>0.27951774473567559</v>
      </c>
      <c r="C9">
        <f t="shared" si="1"/>
        <v>0.27951774473567559</v>
      </c>
      <c r="D9" t="s">
        <v>29</v>
      </c>
      <c r="E9" t="s">
        <v>21</v>
      </c>
      <c r="F9">
        <v>1</v>
      </c>
      <c r="G9">
        <f t="shared" ref="G9:G32" si="6">G8+5</f>
        <v>45</v>
      </c>
      <c r="I9">
        <v>2050</v>
      </c>
      <c r="J9">
        <f t="shared" ref="J9:J31" si="7">AVERAGE(G9:G10)</f>
        <v>47.5</v>
      </c>
      <c r="K9" cm="1">
        <f t="array" ref="K9">STOWA2019_JAARROND_T(A9*60,J9,I9,"WL","center")</f>
        <v>1.9652359471629852</v>
      </c>
      <c r="L9">
        <f t="shared" ref="L9:L31" si="8">1/K9</f>
        <v>0.50884475293849585</v>
      </c>
    </row>
    <row r="10" spans="1:12" x14ac:dyDescent="0.3">
      <c r="A10">
        <v>24</v>
      </c>
      <c r="B10">
        <f t="shared" si="5"/>
        <v>0.1721645086127136</v>
      </c>
      <c r="C10">
        <f t="shared" si="1"/>
        <v>0.1721645086127136</v>
      </c>
      <c r="D10" t="s">
        <v>29</v>
      </c>
      <c r="E10" t="s">
        <v>21</v>
      </c>
      <c r="F10">
        <v>1</v>
      </c>
      <c r="G10">
        <f t="shared" si="6"/>
        <v>50</v>
      </c>
      <c r="I10">
        <v>2050</v>
      </c>
      <c r="J10">
        <f t="shared" si="7"/>
        <v>52.5</v>
      </c>
      <c r="K10" cm="1">
        <f t="array" ref="K10">STOWA2019_JAARROND_T(A10*60,J10,I10,"WL","center")</f>
        <v>2.9701772434035925</v>
      </c>
      <c r="L10">
        <f t="shared" si="8"/>
        <v>0.33668024432578225</v>
      </c>
    </row>
    <row r="11" spans="1:12" x14ac:dyDescent="0.3">
      <c r="A11">
        <v>24</v>
      </c>
      <c r="B11">
        <f t="shared" si="5"/>
        <v>0.10892320453553195</v>
      </c>
      <c r="C11">
        <f t="shared" si="1"/>
        <v>0.10892320453553195</v>
      </c>
      <c r="D11" t="s">
        <v>29</v>
      </c>
      <c r="E11" t="s">
        <v>21</v>
      </c>
      <c r="F11">
        <v>1</v>
      </c>
      <c r="G11">
        <f t="shared" si="6"/>
        <v>55</v>
      </c>
      <c r="I11">
        <v>2050</v>
      </c>
      <c r="J11">
        <f t="shared" si="7"/>
        <v>57.5</v>
      </c>
      <c r="K11" cm="1">
        <f t="array" ref="K11">STOWA2019_JAARROND_T(A11*60,J11,I11,"WL","center")</f>
        <v>4.3906436478140751</v>
      </c>
      <c r="L11">
        <f t="shared" si="8"/>
        <v>0.2277570397902503</v>
      </c>
    </row>
    <row r="12" spans="1:12" x14ac:dyDescent="0.3">
      <c r="A12">
        <v>24</v>
      </c>
      <c r="B12">
        <f t="shared" si="5"/>
        <v>7.0584901276459E-2</v>
      </c>
      <c r="C12">
        <f t="shared" si="1"/>
        <v>7.0584901276459E-2</v>
      </c>
      <c r="D12" t="s">
        <v>29</v>
      </c>
      <c r="E12" t="s">
        <v>21</v>
      </c>
      <c r="F12">
        <v>1</v>
      </c>
      <c r="G12">
        <f t="shared" si="6"/>
        <v>60</v>
      </c>
      <c r="I12">
        <v>2050</v>
      </c>
      <c r="J12">
        <f t="shared" si="7"/>
        <v>62.5</v>
      </c>
      <c r="K12" cm="1">
        <f t="array" ref="K12">STOWA2019_JAARROND_T(A12*60,J12,I12,"WL","center")</f>
        <v>6.3624508100222457</v>
      </c>
      <c r="L12">
        <f t="shared" si="8"/>
        <v>0.1571721385137913</v>
      </c>
    </row>
    <row r="13" spans="1:12" x14ac:dyDescent="0.3">
      <c r="A13">
        <v>24</v>
      </c>
      <c r="B13">
        <f t="shared" si="5"/>
        <v>4.6739063140063916E-2</v>
      </c>
      <c r="C13">
        <f t="shared" si="1"/>
        <v>4.6739063140063916E-2</v>
      </c>
      <c r="D13" t="s">
        <v>29</v>
      </c>
      <c r="E13" t="s">
        <v>21</v>
      </c>
      <c r="F13">
        <v>1</v>
      </c>
      <c r="G13">
        <f t="shared" si="6"/>
        <v>65</v>
      </c>
      <c r="I13">
        <v>2050</v>
      </c>
      <c r="J13">
        <f t="shared" si="7"/>
        <v>67.5</v>
      </c>
      <c r="K13" cm="1">
        <f t="array" ref="K13">STOWA2019_JAARROND_T(A13*60,J13,I13,"WL","center")</f>
        <v>9.0552580974115049</v>
      </c>
      <c r="L13">
        <f t="shared" si="8"/>
        <v>0.11043307537372739</v>
      </c>
    </row>
    <row r="14" spans="1:12" x14ac:dyDescent="0.3">
      <c r="A14">
        <v>24</v>
      </c>
      <c r="B14">
        <f t="shared" si="5"/>
        <v>3.1562201292555173E-2</v>
      </c>
      <c r="C14">
        <f t="shared" si="1"/>
        <v>3.1562201292555173E-2</v>
      </c>
      <c r="D14" t="s">
        <v>29</v>
      </c>
      <c r="E14" t="s">
        <v>21</v>
      </c>
      <c r="F14">
        <v>1</v>
      </c>
      <c r="G14">
        <f t="shared" si="6"/>
        <v>70</v>
      </c>
      <c r="I14">
        <v>2050</v>
      </c>
      <c r="J14">
        <f t="shared" si="7"/>
        <v>72.5</v>
      </c>
      <c r="K14" cm="1">
        <f t="array" ref="K14">STOWA2019_JAARROND_T(A14*60,J14,I14,"WL","center")</f>
        <v>12.67895166181145</v>
      </c>
      <c r="L14">
        <f t="shared" si="8"/>
        <v>7.8870874081172215E-2</v>
      </c>
    </row>
    <row r="15" spans="1:12" x14ac:dyDescent="0.3">
      <c r="A15">
        <v>24</v>
      </c>
      <c r="B15">
        <f t="shared" si="5"/>
        <v>2.1696393488404166E-2</v>
      </c>
      <c r="C15">
        <f t="shared" si="1"/>
        <v>2.1696393488404166E-2</v>
      </c>
      <c r="D15" t="s">
        <v>29</v>
      </c>
      <c r="E15" t="s">
        <v>21</v>
      </c>
      <c r="F15">
        <v>1</v>
      </c>
      <c r="G15">
        <f t="shared" si="6"/>
        <v>75</v>
      </c>
      <c r="I15">
        <v>2050</v>
      </c>
      <c r="J15">
        <f t="shared" si="7"/>
        <v>77.5</v>
      </c>
      <c r="K15" cm="1">
        <f t="array" ref="K15">STOWA2019_JAARROND_T(A15*60,J15,I15,"WL","center")</f>
        <v>17.49032067510359</v>
      </c>
      <c r="L15">
        <f t="shared" si="8"/>
        <v>5.717448059276805E-2</v>
      </c>
    </row>
    <row r="16" spans="1:12" x14ac:dyDescent="0.3">
      <c r="A16">
        <v>24</v>
      </c>
      <c r="B16">
        <f t="shared" si="5"/>
        <v>1.5158635580612034E-2</v>
      </c>
      <c r="C16">
        <f t="shared" si="1"/>
        <v>1.5158635580612034E-2</v>
      </c>
      <c r="D16" t="s">
        <v>29</v>
      </c>
      <c r="E16" t="s">
        <v>21</v>
      </c>
      <c r="F16">
        <v>1</v>
      </c>
      <c r="G16">
        <f t="shared" si="6"/>
        <v>80</v>
      </c>
      <c r="I16">
        <v>2050</v>
      </c>
      <c r="J16">
        <f t="shared" si="7"/>
        <v>82.5</v>
      </c>
      <c r="K16" cm="1">
        <f t="array" ref="K16">STOWA2019_JAARROND_T(A16*60,J16,I16,"WL","center")</f>
        <v>23.800544763783286</v>
      </c>
      <c r="L16">
        <f t="shared" si="8"/>
        <v>4.2015845012156015E-2</v>
      </c>
    </row>
    <row r="17" spans="1:12" x14ac:dyDescent="0.3">
      <c r="A17">
        <v>24</v>
      </c>
      <c r="B17">
        <f t="shared" si="5"/>
        <v>1.0750727001911639E-2</v>
      </c>
      <c r="C17">
        <f t="shared" si="1"/>
        <v>1.0750727001911639E-2</v>
      </c>
      <c r="D17" t="s">
        <v>29</v>
      </c>
      <c r="E17" t="s">
        <v>21</v>
      </c>
      <c r="F17">
        <v>1</v>
      </c>
      <c r="G17">
        <f t="shared" si="6"/>
        <v>85</v>
      </c>
      <c r="I17">
        <v>2050</v>
      </c>
      <c r="J17">
        <f t="shared" si="7"/>
        <v>87.5</v>
      </c>
      <c r="K17" cm="1">
        <f t="array" ref="K17">STOWA2019_JAARROND_T(A17*60,J17,I17,"WL","center")</f>
        <v>31.984526643153512</v>
      </c>
      <c r="L17">
        <f t="shared" si="8"/>
        <v>3.1265118010244376E-2</v>
      </c>
    </row>
    <row r="18" spans="1:12" x14ac:dyDescent="0.3">
      <c r="A18">
        <v>24</v>
      </c>
      <c r="B18">
        <f t="shared" si="5"/>
        <v>7.7294290606988239E-3</v>
      </c>
      <c r="C18">
        <f t="shared" si="1"/>
        <v>7.7294290606988239E-3</v>
      </c>
      <c r="D18" t="s">
        <v>29</v>
      </c>
      <c r="E18" t="s">
        <v>21</v>
      </c>
      <c r="F18">
        <v>1</v>
      </c>
      <c r="G18">
        <f t="shared" si="6"/>
        <v>90</v>
      </c>
      <c r="I18">
        <v>2050</v>
      </c>
      <c r="J18">
        <f t="shared" si="7"/>
        <v>92.5</v>
      </c>
      <c r="K18" cm="1">
        <f t="array" ref="K18">STOWA2019_JAARROND_T(A18*60,J18,I18,"WL","center")</f>
        <v>42.488664858876326</v>
      </c>
      <c r="L18">
        <f t="shared" si="8"/>
        <v>2.3535688949545552E-2</v>
      </c>
    </row>
    <row r="19" spans="1:12" x14ac:dyDescent="0.3">
      <c r="A19">
        <v>24</v>
      </c>
      <c r="B19">
        <f t="shared" si="5"/>
        <v>5.6284376925960118E-3</v>
      </c>
      <c r="C19">
        <f t="shared" si="1"/>
        <v>5.6284376925960118E-3</v>
      </c>
      <c r="D19" t="s">
        <v>29</v>
      </c>
      <c r="E19" t="s">
        <v>21</v>
      </c>
      <c r="F19">
        <v>1</v>
      </c>
      <c r="G19">
        <f t="shared" si="6"/>
        <v>95</v>
      </c>
      <c r="I19">
        <v>2050</v>
      </c>
      <c r="J19">
        <f t="shared" si="7"/>
        <v>97.5</v>
      </c>
      <c r="K19" cm="1">
        <f t="array" ref="K19">STOWA2019_JAARROND_T(A19*60,J19,I19,"WL","center")</f>
        <v>55.843299770081387</v>
      </c>
      <c r="L19">
        <f t="shared" si="8"/>
        <v>1.7907251256949541E-2</v>
      </c>
    </row>
    <row r="20" spans="1:12" x14ac:dyDescent="0.3">
      <c r="A20">
        <v>24</v>
      </c>
      <c r="B20">
        <f t="shared" si="5"/>
        <v>4.1466469907709639E-3</v>
      </c>
      <c r="C20">
        <f t="shared" si="1"/>
        <v>4.1466469907709639E-3</v>
      </c>
      <c r="D20" t="s">
        <v>29</v>
      </c>
      <c r="E20" t="s">
        <v>21</v>
      </c>
      <c r="F20">
        <v>1</v>
      </c>
      <c r="G20">
        <f t="shared" si="6"/>
        <v>100</v>
      </c>
      <c r="I20">
        <v>2050</v>
      </c>
      <c r="J20">
        <f t="shared" si="7"/>
        <v>102.5</v>
      </c>
      <c r="K20" cm="1">
        <f t="array" ref="K20">STOWA2019_JAARROND_T(A20*60,J20,I20,"WL","center")</f>
        <v>72.671227270000372</v>
      </c>
      <c r="L20">
        <f t="shared" si="8"/>
        <v>1.3760604266178577E-2</v>
      </c>
    </row>
    <row r="21" spans="1:12" x14ac:dyDescent="0.3">
      <c r="A21">
        <v>24</v>
      </c>
      <c r="B21">
        <f t="shared" si="5"/>
        <v>3.0885468097742487E-3</v>
      </c>
      <c r="C21">
        <f t="shared" si="1"/>
        <v>3.0885468097742487E-3</v>
      </c>
      <c r="D21" t="s">
        <v>29</v>
      </c>
      <c r="E21" t="s">
        <v>21</v>
      </c>
      <c r="F21">
        <v>1</v>
      </c>
      <c r="G21">
        <f t="shared" si="6"/>
        <v>105</v>
      </c>
      <c r="I21">
        <v>2050</v>
      </c>
      <c r="J21">
        <f t="shared" si="7"/>
        <v>107.5</v>
      </c>
      <c r="K21" cm="1">
        <f t="array" ref="K21">STOWA2019_JAARROND_T(A21*60,J21,I21,"WL","center")</f>
        <v>93.702643945183922</v>
      </c>
      <c r="L21">
        <f t="shared" si="8"/>
        <v>1.0672057456404328E-2</v>
      </c>
    </row>
    <row r="22" spans="1:12" x14ac:dyDescent="0.3">
      <c r="A22">
        <v>24</v>
      </c>
      <c r="B22">
        <f t="shared" si="5"/>
        <v>2.3239030299894298E-3</v>
      </c>
      <c r="C22">
        <f t="shared" si="1"/>
        <v>2.3239030299894298E-3</v>
      </c>
      <c r="D22" t="s">
        <v>29</v>
      </c>
      <c r="E22" t="s">
        <v>21</v>
      </c>
      <c r="F22">
        <v>1</v>
      </c>
      <c r="G22">
        <f t="shared" si="6"/>
        <v>110</v>
      </c>
      <c r="I22">
        <v>2050</v>
      </c>
      <c r="J22">
        <f t="shared" si="7"/>
        <v>112.5</v>
      </c>
      <c r="K22" cm="1">
        <f t="array" ref="K22">STOWA2019_JAARROND_T(A22*60,J22,I22,"WL","center")</f>
        <v>119.78695516650239</v>
      </c>
      <c r="L22">
        <f t="shared" si="8"/>
        <v>8.3481544264148982E-3</v>
      </c>
    </row>
    <row r="23" spans="1:12" x14ac:dyDescent="0.3">
      <c r="A23">
        <v>24</v>
      </c>
      <c r="B23">
        <f t="shared" si="5"/>
        <v>1.7652045592326327E-3</v>
      </c>
      <c r="C23">
        <f t="shared" si="1"/>
        <v>1.7652045592326327E-3</v>
      </c>
      <c r="D23" t="s">
        <v>29</v>
      </c>
      <c r="E23" t="s">
        <v>21</v>
      </c>
      <c r="F23">
        <v>1</v>
      </c>
      <c r="G23">
        <f t="shared" si="6"/>
        <v>115</v>
      </c>
      <c r="I23">
        <v>2050</v>
      </c>
      <c r="J23">
        <f t="shared" si="7"/>
        <v>117.5</v>
      </c>
      <c r="K23" cm="1">
        <f t="array" ref="K23">STOWA2019_JAARROND_T(A23*60,J23,I23,"WL","center")</f>
        <v>151.90758249356611</v>
      </c>
      <c r="L23">
        <f t="shared" si="8"/>
        <v>6.5829498671822655E-3</v>
      </c>
    </row>
    <row r="24" spans="1:12" x14ac:dyDescent="0.3">
      <c r="A24">
        <v>24</v>
      </c>
      <c r="B24">
        <f t="shared" si="5"/>
        <v>1.352758257575957E-3</v>
      </c>
      <c r="C24">
        <f t="shared" si="1"/>
        <v>1.352758257575957E-3</v>
      </c>
      <c r="D24" t="s">
        <v>29</v>
      </c>
      <c r="E24" t="s">
        <v>21</v>
      </c>
      <c r="F24">
        <v>1</v>
      </c>
      <c r="G24">
        <f t="shared" si="6"/>
        <v>120</v>
      </c>
      <c r="I24">
        <v>2050</v>
      </c>
      <c r="J24">
        <f t="shared" si="7"/>
        <v>122.5</v>
      </c>
      <c r="K24" cm="1">
        <f t="array" ref="K24">STOWA2019_JAARROND_T(A24*60,J24,I24,"WL","center")</f>
        <v>191.197584073841</v>
      </c>
      <c r="L24">
        <f t="shared" si="8"/>
        <v>5.2301916096063085E-3</v>
      </c>
    </row>
    <row r="25" spans="1:12" x14ac:dyDescent="0.3">
      <c r="A25">
        <v>24</v>
      </c>
      <c r="B25">
        <f t="shared" si="5"/>
        <v>1.0453294267362811E-3</v>
      </c>
      <c r="C25">
        <f t="shared" si="1"/>
        <v>1.0453294267362811E-3</v>
      </c>
      <c r="D25" t="s">
        <v>29</v>
      </c>
      <c r="E25" t="s">
        <v>21</v>
      </c>
      <c r="F25">
        <v>1</v>
      </c>
      <c r="G25">
        <f t="shared" si="6"/>
        <v>125</v>
      </c>
      <c r="I25">
        <v>2050</v>
      </c>
      <c r="J25">
        <f t="shared" si="7"/>
        <v>127.5</v>
      </c>
      <c r="K25" cm="1">
        <f t="array" ref="K25">STOWA2019_JAARROND_T(A25*60,J25,I25,"WL","center")</f>
        <v>238.95649517284423</v>
      </c>
      <c r="L25">
        <f t="shared" si="8"/>
        <v>4.1848621828700274E-3</v>
      </c>
    </row>
    <row r="26" spans="1:12" x14ac:dyDescent="0.3">
      <c r="A26">
        <v>24</v>
      </c>
      <c r="B26">
        <f t="shared" si="5"/>
        <v>8.140958186463286E-4</v>
      </c>
      <c r="C26">
        <f t="shared" si="1"/>
        <v>8.140958186463286E-4</v>
      </c>
      <c r="D26" t="s">
        <v>29</v>
      </c>
      <c r="E26" t="s">
        <v>21</v>
      </c>
      <c r="F26">
        <v>1</v>
      </c>
      <c r="G26">
        <f t="shared" si="6"/>
        <v>130</v>
      </c>
      <c r="I26">
        <v>2050</v>
      </c>
      <c r="J26">
        <f t="shared" si="7"/>
        <v>132.5</v>
      </c>
      <c r="K26" cm="1">
        <f t="array" ref="K26">STOWA2019_JAARROND_T(A26*60,J26,I26,"WL","center")</f>
        <v>296.66844033264942</v>
      </c>
      <c r="L26">
        <f t="shared" si="8"/>
        <v>3.3707663642236988E-3</v>
      </c>
    </row>
    <row r="27" spans="1:12" x14ac:dyDescent="0.3">
      <c r="A27">
        <v>24</v>
      </c>
      <c r="B27">
        <f t="shared" si="5"/>
        <v>6.386869338901491E-4</v>
      </c>
      <c r="C27">
        <f t="shared" si="1"/>
        <v>6.386869338901491E-4</v>
      </c>
      <c r="D27" t="s">
        <v>29</v>
      </c>
      <c r="E27" t="s">
        <v>21</v>
      </c>
      <c r="F27">
        <v>1</v>
      </c>
      <c r="G27">
        <f t="shared" si="6"/>
        <v>135</v>
      </c>
      <c r="I27">
        <v>2050</v>
      </c>
      <c r="J27">
        <f t="shared" si="7"/>
        <v>137.5</v>
      </c>
      <c r="K27" cm="1">
        <f t="array" ref="K27">STOWA2019_JAARROND_T(A27*60,J27,I27,"WL","center")</f>
        <v>366.02156910127377</v>
      </c>
      <c r="L27">
        <f t="shared" si="8"/>
        <v>2.7320794303335497E-3</v>
      </c>
    </row>
    <row r="28" spans="1:12" x14ac:dyDescent="0.3">
      <c r="A28">
        <v>24</v>
      </c>
      <c r="B28">
        <f t="shared" si="5"/>
        <v>5.0455504523009079E-4</v>
      </c>
      <c r="C28">
        <f t="shared" si="1"/>
        <v>5.0455504523009079E-4</v>
      </c>
      <c r="D28" t="s">
        <v>29</v>
      </c>
      <c r="E28" t="s">
        <v>21</v>
      </c>
      <c r="F28">
        <v>1</v>
      </c>
      <c r="G28">
        <f t="shared" si="6"/>
        <v>140</v>
      </c>
      <c r="I28">
        <v>2050</v>
      </c>
      <c r="J28">
        <f t="shared" si="7"/>
        <v>142.5</v>
      </c>
      <c r="K28" cm="1">
        <f t="array" ref="K28">STOWA2019_JAARROND_T(A28*60,J28,I28,"WL","center")</f>
        <v>448.9288677095916</v>
      </c>
      <c r="L28">
        <f t="shared" si="8"/>
        <v>2.2275243851034589E-3</v>
      </c>
    </row>
    <row r="29" spans="1:12" x14ac:dyDescent="0.3">
      <c r="A29">
        <v>24</v>
      </c>
      <c r="B29">
        <f t="shared" si="5"/>
        <v>4.0120848629200353E-4</v>
      </c>
      <c r="C29">
        <f t="shared" si="1"/>
        <v>4.0120848629200353E-4</v>
      </c>
      <c r="D29" t="s">
        <v>29</v>
      </c>
      <c r="E29" t="s">
        <v>21</v>
      </c>
      <c r="F29">
        <v>1</v>
      </c>
      <c r="G29">
        <f t="shared" si="6"/>
        <v>145</v>
      </c>
      <c r="I29">
        <v>2050</v>
      </c>
      <c r="J29">
        <f t="shared" si="7"/>
        <v>147.5</v>
      </c>
      <c r="K29" cm="1">
        <f t="array" ref="K29">STOWA2019_JAARROND_T(A29*60,J29,I29,"WL","center")</f>
        <v>547.5503994959405</v>
      </c>
      <c r="L29">
        <f t="shared" si="8"/>
        <v>1.8263158988114554E-3</v>
      </c>
    </row>
    <row r="30" spans="1:12" x14ac:dyDescent="0.3">
      <c r="A30">
        <v>24</v>
      </c>
      <c r="B30">
        <f t="shared" si="5"/>
        <v>3.2100238147049834E-4</v>
      </c>
      <c r="C30">
        <f t="shared" si="1"/>
        <v>3.2100238147049834E-4</v>
      </c>
      <c r="D30" t="s">
        <v>29</v>
      </c>
      <c r="E30" t="s">
        <v>21</v>
      </c>
      <c r="F30">
        <v>1</v>
      </c>
      <c r="G30">
        <f t="shared" si="6"/>
        <v>150</v>
      </c>
      <c r="I30">
        <v>2050</v>
      </c>
      <c r="J30">
        <f t="shared" si="7"/>
        <v>152.5</v>
      </c>
      <c r="K30" cm="1">
        <f t="array" ref="K30">STOWA2019_JAARROND_T(A30*60,J30,I30,"WL","center")</f>
        <v>664.31343934680001</v>
      </c>
      <c r="L30">
        <f t="shared" si="8"/>
        <v>1.5053135173409571E-3</v>
      </c>
    </row>
    <row r="31" spans="1:12" x14ac:dyDescent="0.3">
      <c r="A31">
        <v>24</v>
      </c>
      <c r="B31">
        <f t="shared" si="5"/>
        <v>2.5835559363958501E-4</v>
      </c>
      <c r="C31">
        <f t="shared" si="1"/>
        <v>2.5835559363958501E-4</v>
      </c>
      <c r="D31" t="s">
        <v>29</v>
      </c>
      <c r="E31" t="s">
        <v>21</v>
      </c>
      <c r="F31">
        <v>1</v>
      </c>
      <c r="G31">
        <f t="shared" si="6"/>
        <v>155</v>
      </c>
      <c r="I31">
        <v>2050</v>
      </c>
      <c r="J31">
        <f t="shared" si="7"/>
        <v>157.5</v>
      </c>
      <c r="K31" cm="1">
        <f t="array" ref="K31">STOWA2019_JAARROND_T(A31*60,J31,I31,"WL","center")</f>
        <v>801.95167855518207</v>
      </c>
      <c r="L31">
        <f t="shared" si="8"/>
        <v>1.246957923701372E-3</v>
      </c>
    </row>
    <row r="32" spans="1:12" x14ac:dyDescent="0.3">
      <c r="A32">
        <v>24</v>
      </c>
      <c r="B32" s="1">
        <f>L31</f>
        <v>1.246957923701372E-3</v>
      </c>
      <c r="C32">
        <f t="shared" si="1"/>
        <v>1.246957923701372E-3</v>
      </c>
      <c r="D32" t="s">
        <v>29</v>
      </c>
      <c r="E32" t="s">
        <v>21</v>
      </c>
      <c r="F32">
        <v>1</v>
      </c>
      <c r="G32">
        <f t="shared" si="6"/>
        <v>160</v>
      </c>
      <c r="I32">
        <v>2050</v>
      </c>
      <c r="J32">
        <f>AVERAGE(G32:G33)</f>
        <v>85</v>
      </c>
      <c r="K32" cm="1">
        <f t="array" ref="K32">STOWA2019_JAARROND_T(A32*60,J32,I32,"WL","center")</f>
        <v>27.632219158286684</v>
      </c>
      <c r="L32">
        <f>1/K32</f>
        <v>3.6189637693290658E-2</v>
      </c>
    </row>
    <row r="33" spans="1:12" x14ac:dyDescent="0.3">
      <c r="A33">
        <v>48</v>
      </c>
      <c r="B33" s="1">
        <f>365.25*24/A33 - L33</f>
        <v>154.72082295947999</v>
      </c>
      <c r="C33">
        <f>B33</f>
        <v>154.72082295947999</v>
      </c>
      <c r="D33" t="s">
        <v>29</v>
      </c>
      <c r="E33" t="s">
        <v>21</v>
      </c>
      <c r="F33">
        <v>1</v>
      </c>
      <c r="G33">
        <v>10</v>
      </c>
      <c r="I33">
        <v>2050</v>
      </c>
      <c r="J33">
        <f>AVERAGE(G33:G35)</f>
        <v>15</v>
      </c>
      <c r="K33" cm="1">
        <f t="array" ref="K33">STOWA2019_JAARROND_T(A33*60,J33,I33,"WL","center")</f>
        <v>3.5836928591296106E-2</v>
      </c>
      <c r="L33">
        <f>1/K33</f>
        <v>27.904177040520011</v>
      </c>
    </row>
    <row r="34" spans="1:12" x14ac:dyDescent="0.3">
      <c r="A34">
        <v>48</v>
      </c>
      <c r="B34">
        <f t="shared" ref="B34:B38" si="9">L33-L34</f>
        <v>6.7331429320555003</v>
      </c>
      <c r="C34">
        <f t="shared" ref="C34:C63" si="10">B34</f>
        <v>6.7331429320555003</v>
      </c>
      <c r="D34" t="s">
        <v>29</v>
      </c>
      <c r="E34" t="s">
        <v>21</v>
      </c>
      <c r="F34">
        <v>1</v>
      </c>
      <c r="G34">
        <f t="shared" ref="G34:G38" si="11">G33+5</f>
        <v>15</v>
      </c>
      <c r="I34">
        <v>2050</v>
      </c>
      <c r="J34">
        <f t="shared" ref="J34:J38" si="12">AVERAGE(G34:G35)</f>
        <v>17.5</v>
      </c>
      <c r="K34" cm="1">
        <f t="array" ref="K34">STOWA2019_JAARROND_T(A34*60,J34,I34,"WL","center")</f>
        <v>4.7234348349577515E-2</v>
      </c>
      <c r="L34">
        <f t="shared" ref="L34:L38" si="13">1/K34</f>
        <v>21.171034108464511</v>
      </c>
    </row>
    <row r="35" spans="1:12" x14ac:dyDescent="0.3">
      <c r="A35">
        <v>48</v>
      </c>
      <c r="B35">
        <f t="shared" si="9"/>
        <v>8.7468455535181739</v>
      </c>
      <c r="C35">
        <f t="shared" si="10"/>
        <v>8.7468455535181739</v>
      </c>
      <c r="D35" t="s">
        <v>29</v>
      </c>
      <c r="E35" t="s">
        <v>21</v>
      </c>
      <c r="F35">
        <v>1</v>
      </c>
      <c r="G35">
        <f t="shared" si="11"/>
        <v>20</v>
      </c>
      <c r="I35">
        <v>2050</v>
      </c>
      <c r="J35">
        <f t="shared" si="12"/>
        <v>22.5</v>
      </c>
      <c r="K35" cm="1">
        <f t="array" ref="K35">STOWA2019_JAARROND_T(A35*60,J35,I35,"WL","center")</f>
        <v>8.0488153860308123E-2</v>
      </c>
      <c r="L35">
        <f t="shared" si="13"/>
        <v>12.424188554946337</v>
      </c>
    </row>
    <row r="36" spans="1:12" x14ac:dyDescent="0.3">
      <c r="A36">
        <v>48</v>
      </c>
      <c r="B36">
        <f t="shared" si="9"/>
        <v>4.945060553317723</v>
      </c>
      <c r="C36">
        <f t="shared" si="10"/>
        <v>4.945060553317723</v>
      </c>
      <c r="D36" t="s">
        <v>29</v>
      </c>
      <c r="E36" t="s">
        <v>21</v>
      </c>
      <c r="F36">
        <v>1</v>
      </c>
      <c r="G36">
        <f t="shared" si="11"/>
        <v>25</v>
      </c>
      <c r="I36">
        <v>2050</v>
      </c>
      <c r="J36">
        <f t="shared" si="12"/>
        <v>27.5</v>
      </c>
      <c r="K36" cm="1">
        <f t="array" ref="K36">STOWA2019_JAARROND_T(A36*60,J36,I36,"WL","center")</f>
        <v>0.13370542659281209</v>
      </c>
      <c r="L36">
        <f t="shared" si="13"/>
        <v>7.4791280016286139</v>
      </c>
    </row>
    <row r="37" spans="1:12" x14ac:dyDescent="0.3">
      <c r="A37">
        <v>48</v>
      </c>
      <c r="B37">
        <f t="shared" si="9"/>
        <v>2.867846349838798</v>
      </c>
      <c r="C37">
        <f t="shared" si="10"/>
        <v>2.867846349838798</v>
      </c>
      <c r="D37" t="s">
        <v>29</v>
      </c>
      <c r="E37" t="s">
        <v>21</v>
      </c>
      <c r="F37">
        <v>1</v>
      </c>
      <c r="G37">
        <f t="shared" si="11"/>
        <v>30</v>
      </c>
      <c r="I37">
        <v>2050</v>
      </c>
      <c r="J37">
        <f t="shared" si="12"/>
        <v>32.5</v>
      </c>
      <c r="K37" cm="1">
        <f t="array" ref="K37">STOWA2019_JAARROND_T(A37*60,J37,I37,"WL","center")</f>
        <v>0.21685944939230975</v>
      </c>
      <c r="L37">
        <f t="shared" si="13"/>
        <v>4.6112816517898159</v>
      </c>
    </row>
    <row r="38" spans="1:12" x14ac:dyDescent="0.3">
      <c r="A38">
        <v>48</v>
      </c>
      <c r="B38">
        <f t="shared" si="9"/>
        <v>1.7047732670492031</v>
      </c>
      <c r="C38">
        <f t="shared" si="10"/>
        <v>1.7047732670492031</v>
      </c>
      <c r="D38" t="s">
        <v>29</v>
      </c>
      <c r="E38" t="s">
        <v>21</v>
      </c>
      <c r="F38">
        <v>1</v>
      </c>
      <c r="G38">
        <f t="shared" si="11"/>
        <v>35</v>
      </c>
      <c r="I38">
        <v>2050</v>
      </c>
      <c r="J38">
        <f t="shared" si="12"/>
        <v>37.5</v>
      </c>
      <c r="K38" cm="1">
        <f t="array" ref="K38">STOWA2019_JAARROND_T(A38*60,J38,I38,"WL","center")</f>
        <v>0.34405543271441263</v>
      </c>
      <c r="L38">
        <f t="shared" si="13"/>
        <v>2.9065083847406128</v>
      </c>
    </row>
    <row r="39" spans="1:12" x14ac:dyDescent="0.3">
      <c r="A39">
        <v>48</v>
      </c>
      <c r="B39">
        <f>L38-L39</f>
        <v>1.0369854072615694</v>
      </c>
      <c r="C39">
        <f t="shared" si="10"/>
        <v>1.0369854072615694</v>
      </c>
      <c r="D39" t="s">
        <v>29</v>
      </c>
      <c r="E39" t="s">
        <v>21</v>
      </c>
      <c r="F39">
        <v>1</v>
      </c>
      <c r="G39">
        <f>G38+5</f>
        <v>40</v>
      </c>
      <c r="I39">
        <v>2050</v>
      </c>
      <c r="J39">
        <f>AVERAGE(G39:G40)</f>
        <v>42.5</v>
      </c>
      <c r="K39" cm="1">
        <f t="array" ref="K39">STOWA2019_JAARROND_T(A39*60,J39,I39,"WL","center")</f>
        <v>0.53489580606730447</v>
      </c>
      <c r="L39">
        <f>1/K39</f>
        <v>1.8695229774790434</v>
      </c>
    </row>
    <row r="40" spans="1:12" x14ac:dyDescent="0.3">
      <c r="A40">
        <v>48</v>
      </c>
      <c r="B40">
        <f t="shared" ref="B40:B62" si="14">L39-L40</f>
        <v>0.64437741803624404</v>
      </c>
      <c r="C40">
        <f t="shared" si="10"/>
        <v>0.64437741803624404</v>
      </c>
      <c r="D40" t="s">
        <v>29</v>
      </c>
      <c r="E40" t="s">
        <v>21</v>
      </c>
      <c r="F40">
        <v>1</v>
      </c>
      <c r="G40">
        <f t="shared" ref="G40:G63" si="15">G39+5</f>
        <v>45</v>
      </c>
      <c r="I40">
        <v>2050</v>
      </c>
      <c r="J40">
        <f t="shared" ref="J40:J62" si="16">AVERAGE(G40:G41)</f>
        <v>47.5</v>
      </c>
      <c r="K40" cm="1">
        <f t="array" ref="K40">STOWA2019_JAARROND_T(A40*60,J40,I40,"WL","center")</f>
        <v>0.81622954292451888</v>
      </c>
      <c r="L40">
        <f t="shared" ref="L40:L62" si="17">1/K40</f>
        <v>1.2251455594427993</v>
      </c>
    </row>
    <row r="41" spans="1:12" x14ac:dyDescent="0.3">
      <c r="A41">
        <v>48</v>
      </c>
      <c r="B41">
        <f t="shared" si="14"/>
        <v>0.40826591515113086</v>
      </c>
      <c r="C41">
        <f t="shared" si="10"/>
        <v>0.40826591515113086</v>
      </c>
      <c r="D41" t="s">
        <v>29</v>
      </c>
      <c r="E41" t="s">
        <v>21</v>
      </c>
      <c r="F41">
        <v>1</v>
      </c>
      <c r="G41">
        <f t="shared" si="15"/>
        <v>50</v>
      </c>
      <c r="I41">
        <v>2050</v>
      </c>
      <c r="J41">
        <f t="shared" si="16"/>
        <v>52.5</v>
      </c>
      <c r="K41" cm="1">
        <f t="array" ref="K41">STOWA2019_JAARROND_T(A41*60,J41,I41,"WL","center")</f>
        <v>1.2241705457933385</v>
      </c>
      <c r="L41">
        <f t="shared" si="17"/>
        <v>0.81687964429166848</v>
      </c>
    </row>
    <row r="42" spans="1:12" x14ac:dyDescent="0.3">
      <c r="A42">
        <v>48</v>
      </c>
      <c r="B42">
        <f t="shared" si="14"/>
        <v>0.26356615178681908</v>
      </c>
      <c r="C42">
        <f t="shared" si="10"/>
        <v>0.26356615178681908</v>
      </c>
      <c r="D42" t="s">
        <v>29</v>
      </c>
      <c r="E42" t="s">
        <v>21</v>
      </c>
      <c r="F42">
        <v>1</v>
      </c>
      <c r="G42">
        <f t="shared" si="15"/>
        <v>55</v>
      </c>
      <c r="I42">
        <v>2050</v>
      </c>
      <c r="J42">
        <f t="shared" si="16"/>
        <v>57.5</v>
      </c>
      <c r="K42" cm="1">
        <f t="array" ref="K42">STOWA2019_JAARROND_T(A42*60,J42,I42,"WL","center")</f>
        <v>1.8072937196470691</v>
      </c>
      <c r="L42">
        <f t="shared" si="17"/>
        <v>0.5533134925048494</v>
      </c>
    </row>
    <row r="43" spans="1:12" x14ac:dyDescent="0.3">
      <c r="A43">
        <v>48</v>
      </c>
      <c r="B43">
        <f t="shared" si="14"/>
        <v>0.17298101630807111</v>
      </c>
      <c r="C43">
        <f t="shared" si="10"/>
        <v>0.17298101630807111</v>
      </c>
      <c r="D43" t="s">
        <v>29</v>
      </c>
      <c r="E43" t="s">
        <v>21</v>
      </c>
      <c r="F43">
        <v>1</v>
      </c>
      <c r="G43">
        <f t="shared" si="15"/>
        <v>60</v>
      </c>
      <c r="I43">
        <v>2050</v>
      </c>
      <c r="J43">
        <f t="shared" si="16"/>
        <v>62.5</v>
      </c>
      <c r="K43" cm="1">
        <f t="array" ref="K43">STOWA2019_JAARROND_T(A43*60,J43,I43,"WL","center")</f>
        <v>2.6292784933848643</v>
      </c>
      <c r="L43">
        <f t="shared" si="17"/>
        <v>0.38033247619677829</v>
      </c>
    </row>
    <row r="44" spans="1:12" x14ac:dyDescent="0.3">
      <c r="A44">
        <v>48</v>
      </c>
      <c r="B44">
        <f t="shared" si="14"/>
        <v>0.11531308268890411</v>
      </c>
      <c r="C44">
        <f t="shared" si="10"/>
        <v>0.11531308268890411</v>
      </c>
      <c r="D44" t="s">
        <v>29</v>
      </c>
      <c r="E44" t="s">
        <v>21</v>
      </c>
      <c r="F44">
        <v>1</v>
      </c>
      <c r="G44">
        <f t="shared" si="15"/>
        <v>65</v>
      </c>
      <c r="I44">
        <v>2050</v>
      </c>
      <c r="J44">
        <f t="shared" si="16"/>
        <v>67.5</v>
      </c>
      <c r="K44" cm="1">
        <f t="array" ref="K44">STOWA2019_JAARROND_T(A44*60,J44,I44,"WL","center")</f>
        <v>3.7733087634218299</v>
      </c>
      <c r="L44">
        <f t="shared" si="17"/>
        <v>0.26501939350787418</v>
      </c>
    </row>
    <row r="45" spans="1:12" x14ac:dyDescent="0.3">
      <c r="A45">
        <v>48</v>
      </c>
      <c r="B45">
        <f t="shared" si="14"/>
        <v>7.799506805624648E-2</v>
      </c>
      <c r="C45">
        <f t="shared" si="10"/>
        <v>7.799506805624648E-2</v>
      </c>
      <c r="D45" t="s">
        <v>29</v>
      </c>
      <c r="E45" t="s">
        <v>21</v>
      </c>
      <c r="F45">
        <v>1</v>
      </c>
      <c r="G45">
        <f t="shared" si="15"/>
        <v>70</v>
      </c>
      <c r="I45">
        <v>2050</v>
      </c>
      <c r="J45">
        <f t="shared" si="16"/>
        <v>72.5</v>
      </c>
      <c r="K45" cm="1">
        <f t="array" ref="K45">STOWA2019_JAARROND_T(A45*60,J45,I45,"WL","center")</f>
        <v>5.3468980443329643</v>
      </c>
      <c r="L45">
        <f t="shared" si="17"/>
        <v>0.1870243254516277</v>
      </c>
    </row>
    <row r="46" spans="1:12" x14ac:dyDescent="0.3">
      <c r="A46">
        <v>48</v>
      </c>
      <c r="B46">
        <f t="shared" si="14"/>
        <v>5.3471127224431092E-2</v>
      </c>
      <c r="C46">
        <f t="shared" si="10"/>
        <v>5.3471127224431092E-2</v>
      </c>
      <c r="D46" t="s">
        <v>29</v>
      </c>
      <c r="E46" t="s">
        <v>21</v>
      </c>
      <c r="F46">
        <v>1</v>
      </c>
      <c r="G46">
        <f t="shared" si="15"/>
        <v>75</v>
      </c>
      <c r="I46">
        <v>2050</v>
      </c>
      <c r="J46">
        <f t="shared" si="16"/>
        <v>77.5</v>
      </c>
      <c r="K46" cm="1">
        <f t="array" ref="K46">STOWA2019_JAARROND_T(A46*60,J46,I46,"WL","center")</f>
        <v>7.4876529598252723</v>
      </c>
      <c r="L46">
        <f t="shared" si="17"/>
        <v>0.13355319822719661</v>
      </c>
    </row>
    <row r="47" spans="1:12" x14ac:dyDescent="0.3">
      <c r="A47">
        <v>48</v>
      </c>
      <c r="B47">
        <f t="shared" si="14"/>
        <v>3.7122551183914887E-2</v>
      </c>
      <c r="C47">
        <f t="shared" si="10"/>
        <v>3.7122551183914887E-2</v>
      </c>
      <c r="D47" t="s">
        <v>29</v>
      </c>
      <c r="E47" t="s">
        <v>21</v>
      </c>
      <c r="F47">
        <v>1</v>
      </c>
      <c r="G47">
        <f t="shared" si="15"/>
        <v>80</v>
      </c>
      <c r="I47">
        <v>2050</v>
      </c>
      <c r="J47">
        <f t="shared" si="16"/>
        <v>82.5</v>
      </c>
      <c r="K47" cm="1">
        <f t="array" ref="K47">STOWA2019_JAARROND_T(A47*60,J47,I47,"WL","center")</f>
        <v>10.370147154059458</v>
      </c>
      <c r="L47">
        <f t="shared" si="17"/>
        <v>9.643064704328172E-2</v>
      </c>
    </row>
    <row r="48" spans="1:12" x14ac:dyDescent="0.3">
      <c r="A48">
        <v>48</v>
      </c>
      <c r="B48">
        <f t="shared" si="14"/>
        <v>2.6079325752114982E-2</v>
      </c>
      <c r="C48">
        <f t="shared" si="10"/>
        <v>2.6079325752114982E-2</v>
      </c>
      <c r="D48" t="s">
        <v>29</v>
      </c>
      <c r="E48" t="s">
        <v>21</v>
      </c>
      <c r="F48">
        <v>1</v>
      </c>
      <c r="G48">
        <f t="shared" si="15"/>
        <v>85</v>
      </c>
      <c r="I48">
        <v>2050</v>
      </c>
      <c r="J48">
        <f t="shared" si="16"/>
        <v>87.5</v>
      </c>
      <c r="K48" cm="1">
        <f t="array" ref="K48">STOWA2019_JAARROND_T(A48*60,J48,I48,"WL","center")</f>
        <v>14.214374110491073</v>
      </c>
      <c r="L48">
        <f t="shared" si="17"/>
        <v>7.0351321291166738E-2</v>
      </c>
    </row>
    <row r="49" spans="1:12" x14ac:dyDescent="0.3">
      <c r="A49">
        <v>48</v>
      </c>
      <c r="B49">
        <f t="shared" si="14"/>
        <v>1.852508798671558E-2</v>
      </c>
      <c r="C49">
        <f t="shared" si="10"/>
        <v>1.852508798671558E-2</v>
      </c>
      <c r="D49" t="s">
        <v>29</v>
      </c>
      <c r="E49" t="s">
        <v>21</v>
      </c>
      <c r="F49">
        <v>1</v>
      </c>
      <c r="G49">
        <f t="shared" si="15"/>
        <v>90</v>
      </c>
      <c r="I49">
        <v>2050</v>
      </c>
      <c r="J49">
        <f t="shared" si="16"/>
        <v>92.5</v>
      </c>
      <c r="K49" cm="1">
        <f t="array" ref="K49">STOWA2019_JAARROND_T(A49*60,J49,I49,"WL","center")</f>
        <v>19.295247526972286</v>
      </c>
      <c r="L49">
        <f t="shared" si="17"/>
        <v>5.1826233304451158E-2</v>
      </c>
    </row>
    <row r="50" spans="1:12" x14ac:dyDescent="0.3">
      <c r="A50">
        <v>48</v>
      </c>
      <c r="B50">
        <f t="shared" si="14"/>
        <v>1.3296534574483682E-2</v>
      </c>
      <c r="C50">
        <f t="shared" si="10"/>
        <v>1.3296534574483682E-2</v>
      </c>
      <c r="D50" t="s">
        <v>29</v>
      </c>
      <c r="E50" t="s">
        <v>21</v>
      </c>
      <c r="F50">
        <v>1</v>
      </c>
      <c r="G50">
        <f t="shared" si="15"/>
        <v>95</v>
      </c>
      <c r="I50">
        <v>2050</v>
      </c>
      <c r="J50">
        <f t="shared" si="16"/>
        <v>97.5</v>
      </c>
      <c r="K50" cm="1">
        <f t="array" ref="K50">STOWA2019_JAARROND_T(A50*60,J50,I50,"WL","center")</f>
        <v>25.954005169062583</v>
      </c>
      <c r="L50">
        <f t="shared" si="17"/>
        <v>3.8529698729967476E-2</v>
      </c>
    </row>
    <row r="51" spans="1:12" x14ac:dyDescent="0.3">
      <c r="A51">
        <v>48</v>
      </c>
      <c r="B51">
        <f t="shared" si="14"/>
        <v>9.6375207404260851E-3</v>
      </c>
      <c r="C51">
        <f t="shared" si="10"/>
        <v>9.6375207404260851E-3</v>
      </c>
      <c r="D51" t="s">
        <v>29</v>
      </c>
      <c r="E51" t="s">
        <v>21</v>
      </c>
      <c r="F51">
        <v>1</v>
      </c>
      <c r="G51">
        <f t="shared" si="15"/>
        <v>100</v>
      </c>
      <c r="I51">
        <v>2050</v>
      </c>
      <c r="J51">
        <f t="shared" si="16"/>
        <v>102.5</v>
      </c>
      <c r="K51" cm="1">
        <f t="array" ref="K51">STOWA2019_JAARROND_T(A51*60,J51,I51,"WL","center")</f>
        <v>34.611443981896677</v>
      </c>
      <c r="L51">
        <f t="shared" si="17"/>
        <v>2.8892177989541391E-2</v>
      </c>
    </row>
    <row r="52" spans="1:12" x14ac:dyDescent="0.3">
      <c r="A52">
        <v>48</v>
      </c>
      <c r="B52">
        <f t="shared" si="14"/>
        <v>7.0501427706752898E-3</v>
      </c>
      <c r="C52">
        <f t="shared" si="10"/>
        <v>7.0501427706752898E-3</v>
      </c>
      <c r="D52" t="s">
        <v>29</v>
      </c>
      <c r="E52" t="s">
        <v>21</v>
      </c>
      <c r="F52">
        <v>1</v>
      </c>
      <c r="G52">
        <f t="shared" si="15"/>
        <v>105</v>
      </c>
      <c r="I52">
        <v>2050</v>
      </c>
      <c r="J52">
        <f t="shared" si="16"/>
        <v>107.5</v>
      </c>
      <c r="K52" cm="1">
        <f t="array" ref="K52">STOWA2019_JAARROND_T(A52*60,J52,I52,"WL","center")</f>
        <v>45.783279350096826</v>
      </c>
      <c r="L52">
        <f t="shared" si="17"/>
        <v>2.1842035218866102E-2</v>
      </c>
    </row>
    <row r="53" spans="1:12" x14ac:dyDescent="0.3">
      <c r="A53">
        <v>48</v>
      </c>
      <c r="B53">
        <f t="shared" si="14"/>
        <v>5.2025163653795087E-3</v>
      </c>
      <c r="C53">
        <f t="shared" si="10"/>
        <v>5.2025163653795087E-3</v>
      </c>
      <c r="D53" t="s">
        <v>29</v>
      </c>
      <c r="E53" t="s">
        <v>21</v>
      </c>
      <c r="F53">
        <v>1</v>
      </c>
      <c r="G53">
        <f t="shared" si="15"/>
        <v>110</v>
      </c>
      <c r="I53">
        <v>2050</v>
      </c>
      <c r="J53">
        <f t="shared" si="16"/>
        <v>112.5</v>
      </c>
      <c r="K53" cm="1">
        <f t="array" ref="K53">STOWA2019_JAARROND_T(A53*60,J53,I53,"WL","center")</f>
        <v>60.097891579987788</v>
      </c>
      <c r="L53">
        <f t="shared" si="17"/>
        <v>1.6639518853486593E-2</v>
      </c>
    </row>
    <row r="54" spans="1:12" x14ac:dyDescent="0.3">
      <c r="A54">
        <v>48</v>
      </c>
      <c r="B54">
        <f t="shared" si="14"/>
        <v>3.8707712355448686E-3</v>
      </c>
      <c r="C54">
        <f t="shared" si="10"/>
        <v>3.8707712355448686E-3</v>
      </c>
      <c r="D54" t="s">
        <v>29</v>
      </c>
      <c r="E54" t="s">
        <v>21</v>
      </c>
      <c r="F54">
        <v>1</v>
      </c>
      <c r="G54">
        <f t="shared" si="15"/>
        <v>115</v>
      </c>
      <c r="I54">
        <v>2050</v>
      </c>
      <c r="J54">
        <f t="shared" si="16"/>
        <v>117.5</v>
      </c>
      <c r="K54" cm="1">
        <f t="array" ref="K54">STOWA2019_JAARROND_T(A54*60,J54,I54,"WL","center")</f>
        <v>78.316216274403615</v>
      </c>
      <c r="L54">
        <f t="shared" si="17"/>
        <v>1.2768747617941724E-2</v>
      </c>
    </row>
    <row r="55" spans="1:12" x14ac:dyDescent="0.3">
      <c r="A55">
        <v>48</v>
      </c>
      <c r="B55">
        <f t="shared" si="14"/>
        <v>2.9026493304913636E-3</v>
      </c>
      <c r="C55">
        <f t="shared" si="10"/>
        <v>2.9026493304913636E-3</v>
      </c>
      <c r="D55" t="s">
        <v>29</v>
      </c>
      <c r="E55" t="s">
        <v>21</v>
      </c>
      <c r="F55">
        <v>1</v>
      </c>
      <c r="G55">
        <f t="shared" si="15"/>
        <v>120</v>
      </c>
      <c r="I55">
        <v>2050</v>
      </c>
      <c r="J55">
        <f t="shared" si="16"/>
        <v>122.5</v>
      </c>
      <c r="K55" cm="1">
        <f t="array" ref="K55">STOWA2019_JAARROND_T(A55*60,J55,I55,"WL","center")</f>
        <v>101.3571901338137</v>
      </c>
      <c r="L55">
        <f t="shared" si="17"/>
        <v>9.8660982874503606E-3</v>
      </c>
    </row>
    <row r="56" spans="1:12" x14ac:dyDescent="0.3">
      <c r="A56">
        <v>48</v>
      </c>
      <c r="B56">
        <f t="shared" si="14"/>
        <v>2.1927211483183107E-3</v>
      </c>
      <c r="C56">
        <f t="shared" si="10"/>
        <v>2.1927211483183107E-3</v>
      </c>
      <c r="D56" t="s">
        <v>29</v>
      </c>
      <c r="E56" t="s">
        <v>21</v>
      </c>
      <c r="F56">
        <v>1</v>
      </c>
      <c r="G56">
        <f t="shared" si="15"/>
        <v>125</v>
      </c>
      <c r="I56">
        <v>2050</v>
      </c>
      <c r="J56">
        <f t="shared" si="16"/>
        <v>127.5</v>
      </c>
      <c r="K56" cm="1">
        <f t="array" ref="K56">STOWA2019_JAARROND_T(A56*60,J56,I56,"WL","center")</f>
        <v>130.32071562080316</v>
      </c>
      <c r="L56">
        <f t="shared" si="17"/>
        <v>7.67337713913205E-3</v>
      </c>
    </row>
    <row r="57" spans="1:12" x14ac:dyDescent="0.3">
      <c r="A57">
        <v>48</v>
      </c>
      <c r="B57">
        <f t="shared" si="14"/>
        <v>1.6682061138516696E-3</v>
      </c>
      <c r="C57">
        <f t="shared" si="10"/>
        <v>1.6682061138516696E-3</v>
      </c>
      <c r="D57" t="s">
        <v>29</v>
      </c>
      <c r="E57" t="s">
        <v>21</v>
      </c>
      <c r="F57">
        <v>1</v>
      </c>
      <c r="G57">
        <f t="shared" si="15"/>
        <v>130</v>
      </c>
      <c r="I57">
        <v>2050</v>
      </c>
      <c r="J57">
        <f t="shared" si="16"/>
        <v>132.5</v>
      </c>
      <c r="K57" cm="1">
        <f t="array" ref="K57">STOWA2019_JAARROND_T(A57*60,J57,I57,"WL","center")</f>
        <v>166.52315076293937</v>
      </c>
      <c r="L57">
        <f t="shared" si="17"/>
        <v>6.0051710252803803E-3</v>
      </c>
    </row>
    <row r="58" spans="1:12" x14ac:dyDescent="0.3">
      <c r="A58">
        <v>48</v>
      </c>
      <c r="B58">
        <f t="shared" si="14"/>
        <v>1.2776091705396396E-3</v>
      </c>
      <c r="C58">
        <f t="shared" si="10"/>
        <v>1.2776091705396396E-3</v>
      </c>
      <c r="D58" t="s">
        <v>29</v>
      </c>
      <c r="E58" t="s">
        <v>21</v>
      </c>
      <c r="F58">
        <v>1</v>
      </c>
      <c r="G58">
        <f t="shared" si="15"/>
        <v>135</v>
      </c>
      <c r="I58">
        <v>2050</v>
      </c>
      <c r="J58">
        <f t="shared" si="16"/>
        <v>137.5</v>
      </c>
      <c r="K58" cm="1">
        <f t="array" ref="K58">STOWA2019_JAARROND_T(A58*60,J58,I58,"WL","center")</f>
        <v>211.52552430323303</v>
      </c>
      <c r="L58">
        <f t="shared" si="17"/>
        <v>4.7275618547407408E-3</v>
      </c>
    </row>
    <row r="59" spans="1:12" x14ac:dyDescent="0.3">
      <c r="A59">
        <v>48</v>
      </c>
      <c r="B59">
        <f t="shared" si="14"/>
        <v>9.847481706328062E-4</v>
      </c>
      <c r="C59">
        <f t="shared" si="10"/>
        <v>9.847481706328062E-4</v>
      </c>
      <c r="D59" t="s">
        <v>29</v>
      </c>
      <c r="E59" t="s">
        <v>21</v>
      </c>
      <c r="F59">
        <v>1</v>
      </c>
      <c r="G59">
        <f t="shared" si="15"/>
        <v>140</v>
      </c>
      <c r="I59">
        <v>2050</v>
      </c>
      <c r="J59">
        <f t="shared" si="16"/>
        <v>142.5</v>
      </c>
      <c r="K59" cm="1">
        <f t="array" ref="K59">STOWA2019_JAARROND_T(A59*60,J59,I59,"WL","center")</f>
        <v>267.17867476172296</v>
      </c>
      <c r="L59">
        <f t="shared" si="17"/>
        <v>3.7428136841079346E-3</v>
      </c>
    </row>
    <row r="60" spans="1:12" x14ac:dyDescent="0.3">
      <c r="A60">
        <v>48</v>
      </c>
      <c r="B60">
        <f t="shared" si="14"/>
        <v>7.6365890403818932E-4</v>
      </c>
      <c r="C60">
        <f t="shared" si="10"/>
        <v>7.6365890403818932E-4</v>
      </c>
      <c r="D60" t="s">
        <v>29</v>
      </c>
      <c r="E60" t="s">
        <v>21</v>
      </c>
      <c r="F60">
        <v>1</v>
      </c>
      <c r="G60">
        <f t="shared" si="15"/>
        <v>145</v>
      </c>
      <c r="I60">
        <v>2050</v>
      </c>
      <c r="J60">
        <f t="shared" si="16"/>
        <v>147.5</v>
      </c>
      <c r="K60" cm="1">
        <f t="array" ref="K60">STOWA2019_JAARROND_T(A60*60,J60,I60,"WL","center")</f>
        <v>335.66567493904728</v>
      </c>
      <c r="L60">
        <f t="shared" si="17"/>
        <v>2.9791547800697453E-3</v>
      </c>
    </row>
    <row r="61" spans="1:12" x14ac:dyDescent="0.3">
      <c r="A61">
        <v>48</v>
      </c>
      <c r="B61">
        <f t="shared" si="14"/>
        <v>5.9561902639552024E-4</v>
      </c>
      <c r="C61">
        <f t="shared" si="10"/>
        <v>5.9561902639552024E-4</v>
      </c>
      <c r="D61" t="s">
        <v>29</v>
      </c>
      <c r="E61" t="s">
        <v>21</v>
      </c>
      <c r="F61">
        <v>1</v>
      </c>
      <c r="G61">
        <f t="shared" si="15"/>
        <v>150</v>
      </c>
      <c r="I61">
        <v>2050</v>
      </c>
      <c r="J61">
        <f t="shared" si="16"/>
        <v>152.5</v>
      </c>
      <c r="K61" cm="1">
        <f t="array" ref="K61">STOWA2019_JAARROND_T(A61*60,J61,I61,"WL","center")</f>
        <v>419.54478696553974</v>
      </c>
      <c r="L61">
        <f t="shared" si="17"/>
        <v>2.383535753674225E-3</v>
      </c>
    </row>
    <row r="62" spans="1:12" x14ac:dyDescent="0.3">
      <c r="A62">
        <v>48</v>
      </c>
      <c r="B62">
        <f t="shared" si="14"/>
        <v>4.6714836289532568E-4</v>
      </c>
      <c r="C62">
        <f t="shared" si="10"/>
        <v>4.6714836289532568E-4</v>
      </c>
      <c r="D62" t="s">
        <v>29</v>
      </c>
      <c r="E62" t="s">
        <v>21</v>
      </c>
      <c r="F62">
        <v>1</v>
      </c>
      <c r="G62">
        <f t="shared" si="15"/>
        <v>155</v>
      </c>
      <c r="I62">
        <v>2050</v>
      </c>
      <c r="J62">
        <f t="shared" si="16"/>
        <v>157.5</v>
      </c>
      <c r="K62" cm="1">
        <f t="array" ref="K62">STOWA2019_JAARROND_T(A62*60,J62,I62,"WL","center")</f>
        <v>521.81516368335031</v>
      </c>
      <c r="L62">
        <f t="shared" si="17"/>
        <v>1.9163873907788993E-3</v>
      </c>
    </row>
    <row r="63" spans="1:12" x14ac:dyDescent="0.3">
      <c r="A63">
        <v>48</v>
      </c>
      <c r="B63" s="1">
        <f>L62</f>
        <v>1.9163873907788993E-3</v>
      </c>
      <c r="C63">
        <f t="shared" si="10"/>
        <v>1.9163873907788993E-3</v>
      </c>
      <c r="D63" t="s">
        <v>29</v>
      </c>
      <c r="E63" t="s">
        <v>21</v>
      </c>
      <c r="F63">
        <v>1</v>
      </c>
      <c r="G63">
        <f t="shared" si="15"/>
        <v>160</v>
      </c>
      <c r="I63">
        <v>2050</v>
      </c>
      <c r="J63">
        <f>AVERAGE(G63:G64)</f>
        <v>85</v>
      </c>
      <c r="K63" cm="1">
        <f t="array" ref="K63">STOWA2019_JAARROND_T(A63*60,J63,I63,"WL","center")</f>
        <v>12.156274734894073</v>
      </c>
      <c r="L63">
        <f>1/K63</f>
        <v>8.2262043414463332E-2</v>
      </c>
    </row>
    <row r="64" spans="1:12" x14ac:dyDescent="0.3">
      <c r="A64">
        <v>96</v>
      </c>
      <c r="B64" s="1">
        <f>365.25*24/A64 - L64</f>
        <v>48.461901219989912</v>
      </c>
      <c r="C64">
        <f>B64</f>
        <v>48.461901219989912</v>
      </c>
      <c r="D64" t="s">
        <v>29</v>
      </c>
      <c r="E64" t="s">
        <v>21</v>
      </c>
      <c r="F64">
        <v>1</v>
      </c>
      <c r="G64">
        <v>10</v>
      </c>
      <c r="I64">
        <v>2050</v>
      </c>
      <c r="J64">
        <f>AVERAGE(G64:G66)</f>
        <v>15</v>
      </c>
      <c r="K64" cm="1">
        <f t="array" ref="K64">STOWA2019_JAARROND_T(A64*60,J64,I64,"WL","center")</f>
        <v>2.3336896763890787E-2</v>
      </c>
      <c r="L64">
        <f>1/K64</f>
        <v>42.850598780010088</v>
      </c>
    </row>
    <row r="65" spans="1:12" x14ac:dyDescent="0.3">
      <c r="A65">
        <v>96</v>
      </c>
      <c r="B65">
        <f t="shared" ref="B65:B69" si="18">L64-L65</f>
        <v>7.9630289499731575</v>
      </c>
      <c r="C65">
        <f t="shared" ref="C65:C94" si="19">B65</f>
        <v>7.9630289499731575</v>
      </c>
      <c r="D65" t="s">
        <v>29</v>
      </c>
      <c r="E65" t="s">
        <v>21</v>
      </c>
      <c r="F65">
        <v>1</v>
      </c>
      <c r="G65">
        <f t="shared" ref="G65:G69" si="20">G64+5</f>
        <v>15</v>
      </c>
      <c r="I65">
        <v>2050</v>
      </c>
      <c r="J65">
        <f t="shared" ref="J65:J69" si="21">AVERAGE(G65:G66)</f>
        <v>17.5</v>
      </c>
      <c r="K65" cm="1">
        <f t="array" ref="K65">STOWA2019_JAARROND_T(A65*60,J65,I65,"WL","center")</f>
        <v>2.8663504075283463E-2</v>
      </c>
      <c r="L65">
        <f t="shared" ref="L65:L69" si="22">1/K65</f>
        <v>34.887569830036931</v>
      </c>
    </row>
    <row r="66" spans="1:12" x14ac:dyDescent="0.3">
      <c r="A66">
        <v>96</v>
      </c>
      <c r="B66">
        <f t="shared" si="18"/>
        <v>11.706541328590557</v>
      </c>
      <c r="C66">
        <f t="shared" si="19"/>
        <v>11.706541328590557</v>
      </c>
      <c r="D66" t="s">
        <v>29</v>
      </c>
      <c r="E66" t="s">
        <v>21</v>
      </c>
      <c r="F66">
        <v>1</v>
      </c>
      <c r="G66">
        <f t="shared" si="20"/>
        <v>20</v>
      </c>
      <c r="I66">
        <v>2050</v>
      </c>
      <c r="J66">
        <f t="shared" si="21"/>
        <v>22.5</v>
      </c>
      <c r="K66" cm="1">
        <f t="array" ref="K66">STOWA2019_JAARROND_T(A66*60,J66,I66,"WL","center")</f>
        <v>4.3138724407228317E-2</v>
      </c>
      <c r="L66">
        <f t="shared" si="22"/>
        <v>23.181028501446374</v>
      </c>
    </row>
    <row r="67" spans="1:12" x14ac:dyDescent="0.3">
      <c r="A67">
        <v>96</v>
      </c>
      <c r="B67">
        <f t="shared" si="18"/>
        <v>7.6829769691461447</v>
      </c>
      <c r="C67">
        <f t="shared" si="19"/>
        <v>7.6829769691461447</v>
      </c>
      <c r="D67" t="s">
        <v>29</v>
      </c>
      <c r="E67" t="s">
        <v>21</v>
      </c>
      <c r="F67">
        <v>1</v>
      </c>
      <c r="G67">
        <f t="shared" si="20"/>
        <v>25</v>
      </c>
      <c r="I67">
        <v>2050</v>
      </c>
      <c r="J67">
        <f t="shared" si="21"/>
        <v>27.5</v>
      </c>
      <c r="K67" cm="1">
        <f t="array" ref="K67">STOWA2019_JAARROND_T(A67*60,J67,I67,"WL","center")</f>
        <v>6.452424021922061E-2</v>
      </c>
      <c r="L67">
        <f t="shared" si="22"/>
        <v>15.498051532300229</v>
      </c>
    </row>
    <row r="68" spans="1:12" x14ac:dyDescent="0.3">
      <c r="A68">
        <v>96</v>
      </c>
      <c r="B68">
        <f t="shared" si="18"/>
        <v>5.0602547469918981</v>
      </c>
      <c r="C68">
        <f t="shared" si="19"/>
        <v>5.0602547469918981</v>
      </c>
      <c r="D68" t="s">
        <v>29</v>
      </c>
      <c r="E68" t="s">
        <v>21</v>
      </c>
      <c r="F68">
        <v>1</v>
      </c>
      <c r="G68">
        <f t="shared" si="20"/>
        <v>30</v>
      </c>
      <c r="I68">
        <v>2050</v>
      </c>
      <c r="J68">
        <f t="shared" si="21"/>
        <v>32.5</v>
      </c>
      <c r="K68" cm="1">
        <f t="array" ref="K68">STOWA2019_JAARROND_T(A68*60,J68,I68,"WL","center")</f>
        <v>9.5805659045551175E-2</v>
      </c>
      <c r="L68">
        <f t="shared" si="22"/>
        <v>10.437796785308331</v>
      </c>
    </row>
    <row r="69" spans="1:12" x14ac:dyDescent="0.3">
      <c r="A69">
        <v>96</v>
      </c>
      <c r="B69">
        <f t="shared" si="18"/>
        <v>3.3544965401648872</v>
      </c>
      <c r="C69">
        <f t="shared" si="19"/>
        <v>3.3544965401648872</v>
      </c>
      <c r="D69" t="s">
        <v>29</v>
      </c>
      <c r="E69" t="s">
        <v>21</v>
      </c>
      <c r="F69">
        <v>1</v>
      </c>
      <c r="G69">
        <f t="shared" si="20"/>
        <v>35</v>
      </c>
      <c r="I69">
        <v>2050</v>
      </c>
      <c r="J69">
        <f t="shared" si="21"/>
        <v>37.5</v>
      </c>
      <c r="K69" cm="1">
        <f t="array" ref="K69">STOWA2019_JAARROND_T(A69*60,J69,I69,"WL","center")</f>
        <v>0.14117713006527355</v>
      </c>
      <c r="L69">
        <f t="shared" si="22"/>
        <v>7.0833002451434437</v>
      </c>
    </row>
    <row r="70" spans="1:12" x14ac:dyDescent="0.3">
      <c r="A70">
        <v>96</v>
      </c>
      <c r="B70">
        <f>L69-L70</f>
        <v>2.2400801877948631</v>
      </c>
      <c r="C70">
        <f t="shared" si="19"/>
        <v>2.2400801877948631</v>
      </c>
      <c r="D70" t="s">
        <v>29</v>
      </c>
      <c r="E70" t="s">
        <v>21</v>
      </c>
      <c r="F70">
        <v>1</v>
      </c>
      <c r="G70">
        <f>G69+5</f>
        <v>40</v>
      </c>
      <c r="I70">
        <v>2050</v>
      </c>
      <c r="J70">
        <f>AVERAGE(G70:G71)</f>
        <v>42.5</v>
      </c>
      <c r="K70" cm="1">
        <f t="array" ref="K70">STOWA2019_JAARROND_T(A70*60,J70,I70,"WL","center")</f>
        <v>0.2064742027326856</v>
      </c>
      <c r="L70">
        <f>1/K70</f>
        <v>4.8432200573485806</v>
      </c>
    </row>
    <row r="71" spans="1:12" x14ac:dyDescent="0.3">
      <c r="A71">
        <v>96</v>
      </c>
      <c r="B71">
        <f t="shared" ref="B71:B93" si="23">L70-L71</f>
        <v>1.5072206004753594</v>
      </c>
      <c r="C71">
        <f t="shared" si="19"/>
        <v>1.5072206004753594</v>
      </c>
      <c r="D71" t="s">
        <v>29</v>
      </c>
      <c r="E71" t="s">
        <v>21</v>
      </c>
      <c r="F71">
        <v>1</v>
      </c>
      <c r="G71">
        <f t="shared" ref="G71:G94" si="24">G70+5</f>
        <v>45</v>
      </c>
      <c r="I71">
        <v>2050</v>
      </c>
      <c r="J71">
        <f t="shared" ref="J71:J93" si="25">AVERAGE(G71:G72)</f>
        <v>47.5</v>
      </c>
      <c r="K71" cm="1">
        <f t="array" ref="K71">STOWA2019_JAARROND_T(A71*60,J71,I71,"WL","center")</f>
        <v>0.29976024064982432</v>
      </c>
      <c r="L71">
        <f t="shared" ref="L71:L93" si="26">1/K71</f>
        <v>3.3359994568732212</v>
      </c>
    </row>
    <row r="72" spans="1:12" x14ac:dyDescent="0.3">
      <c r="A72">
        <v>96</v>
      </c>
      <c r="B72">
        <f t="shared" si="23"/>
        <v>1.0216616078997416</v>
      </c>
      <c r="C72">
        <f t="shared" si="19"/>
        <v>1.0216616078997416</v>
      </c>
      <c r="D72" t="s">
        <v>29</v>
      </c>
      <c r="E72" t="s">
        <v>21</v>
      </c>
      <c r="F72">
        <v>1</v>
      </c>
      <c r="G72">
        <f t="shared" si="24"/>
        <v>50</v>
      </c>
      <c r="I72">
        <v>2050</v>
      </c>
      <c r="J72">
        <f t="shared" si="25"/>
        <v>52.5</v>
      </c>
      <c r="K72" cm="1">
        <f t="array" ref="K72">STOWA2019_JAARROND_T(A72*60,J72,I72,"WL","center")</f>
        <v>0.43208903161807088</v>
      </c>
      <c r="L72">
        <f t="shared" si="26"/>
        <v>2.3143378489734796</v>
      </c>
    </row>
    <row r="73" spans="1:12" x14ac:dyDescent="0.3">
      <c r="A73">
        <v>96</v>
      </c>
      <c r="B73">
        <f t="shared" si="23"/>
        <v>0.69764095380882774</v>
      </c>
      <c r="C73">
        <f t="shared" si="19"/>
        <v>0.69764095380882774</v>
      </c>
      <c r="D73" t="s">
        <v>29</v>
      </c>
      <c r="E73" t="s">
        <v>21</v>
      </c>
      <c r="F73">
        <v>1</v>
      </c>
      <c r="G73">
        <f t="shared" si="24"/>
        <v>55</v>
      </c>
      <c r="I73">
        <v>2050</v>
      </c>
      <c r="J73">
        <f t="shared" si="25"/>
        <v>57.5</v>
      </c>
      <c r="K73" cm="1">
        <f t="array" ref="K73">STOWA2019_JAARROND_T(A73*60,J73,I73,"WL","center")</f>
        <v>0.61854513544924905</v>
      </c>
      <c r="L73">
        <f t="shared" si="26"/>
        <v>1.6166968951646519</v>
      </c>
    </row>
    <row r="74" spans="1:12" x14ac:dyDescent="0.3">
      <c r="A74">
        <v>96</v>
      </c>
      <c r="B74">
        <f t="shared" si="23"/>
        <v>0.47975388010994657</v>
      </c>
      <c r="C74">
        <f t="shared" si="19"/>
        <v>0.47975388010994657</v>
      </c>
      <c r="D74" t="s">
        <v>29</v>
      </c>
      <c r="E74" t="s">
        <v>21</v>
      </c>
      <c r="F74">
        <v>1</v>
      </c>
      <c r="G74">
        <f t="shared" si="24"/>
        <v>60</v>
      </c>
      <c r="I74">
        <v>2050</v>
      </c>
      <c r="J74">
        <f t="shared" si="25"/>
        <v>62.5</v>
      </c>
      <c r="K74" cm="1">
        <f t="array" ref="K74">STOWA2019_JAARROND_T(A74*60,J74,I74,"WL","center")</f>
        <v>0.87955155778135796</v>
      </c>
      <c r="L74">
        <f t="shared" si="26"/>
        <v>1.1369430150547053</v>
      </c>
    </row>
    <row r="75" spans="1:12" x14ac:dyDescent="0.3">
      <c r="A75">
        <v>96</v>
      </c>
      <c r="B75">
        <f t="shared" si="23"/>
        <v>0.33211333381391173</v>
      </c>
      <c r="C75">
        <f t="shared" si="19"/>
        <v>0.33211333381391173</v>
      </c>
      <c r="D75" t="s">
        <v>29</v>
      </c>
      <c r="E75" t="s">
        <v>21</v>
      </c>
      <c r="F75">
        <v>1</v>
      </c>
      <c r="G75">
        <f t="shared" si="24"/>
        <v>65</v>
      </c>
      <c r="I75">
        <v>2050</v>
      </c>
      <c r="J75">
        <f t="shared" si="25"/>
        <v>67.5</v>
      </c>
      <c r="K75" cm="1">
        <f t="array" ref="K75">STOWA2019_JAARROND_T(A75*60,J75,I75,"WL","center")</f>
        <v>1.242498907915915</v>
      </c>
      <c r="L75">
        <f t="shared" si="26"/>
        <v>0.80482968124079357</v>
      </c>
    </row>
    <row r="76" spans="1:12" x14ac:dyDescent="0.3">
      <c r="A76">
        <v>96</v>
      </c>
      <c r="B76">
        <f t="shared" si="23"/>
        <v>0.23159786699545759</v>
      </c>
      <c r="C76">
        <f t="shared" si="19"/>
        <v>0.23159786699545759</v>
      </c>
      <c r="D76" t="s">
        <v>29</v>
      </c>
      <c r="E76" t="s">
        <v>21</v>
      </c>
      <c r="F76">
        <v>1</v>
      </c>
      <c r="G76">
        <f t="shared" si="24"/>
        <v>70</v>
      </c>
      <c r="I76">
        <v>2050</v>
      </c>
      <c r="J76">
        <f t="shared" si="25"/>
        <v>72.5</v>
      </c>
      <c r="K76" cm="1">
        <f t="array" ref="K76">STOWA2019_JAARROND_T(A76*60,J76,I76,"WL","center")</f>
        <v>1.7444949410501711</v>
      </c>
      <c r="L76">
        <f t="shared" si="26"/>
        <v>0.57323181424533598</v>
      </c>
    </row>
    <row r="77" spans="1:12" x14ac:dyDescent="0.3">
      <c r="A77">
        <v>96</v>
      </c>
      <c r="B77">
        <f t="shared" si="23"/>
        <v>0.16247818166006034</v>
      </c>
      <c r="C77">
        <f t="shared" si="19"/>
        <v>0.16247818166006034</v>
      </c>
      <c r="D77" t="s">
        <v>29</v>
      </c>
      <c r="E77" t="s">
        <v>21</v>
      </c>
      <c r="F77">
        <v>1</v>
      </c>
      <c r="G77">
        <f t="shared" si="24"/>
        <v>75</v>
      </c>
      <c r="I77">
        <v>2050</v>
      </c>
      <c r="J77">
        <f t="shared" si="25"/>
        <v>77.5</v>
      </c>
      <c r="K77" cm="1">
        <f t="array" ref="K77">STOWA2019_JAARROND_T(A77*60,J77,I77,"WL","center")</f>
        <v>2.4345493762429289</v>
      </c>
      <c r="L77">
        <f t="shared" si="26"/>
        <v>0.41075363258527564</v>
      </c>
    </row>
    <row r="78" spans="1:12" x14ac:dyDescent="0.3">
      <c r="A78">
        <v>96</v>
      </c>
      <c r="B78">
        <f t="shared" si="23"/>
        <v>0.11470702940113975</v>
      </c>
      <c r="C78">
        <f t="shared" si="19"/>
        <v>0.11470702940113975</v>
      </c>
      <c r="D78" t="s">
        <v>29</v>
      </c>
      <c r="E78" t="s">
        <v>21</v>
      </c>
      <c r="F78">
        <v>1</v>
      </c>
      <c r="G78">
        <f t="shared" si="24"/>
        <v>80</v>
      </c>
      <c r="I78">
        <v>2050</v>
      </c>
      <c r="J78">
        <f t="shared" si="25"/>
        <v>82.5</v>
      </c>
      <c r="K78" cm="1">
        <f t="array" ref="K78">STOWA2019_JAARROND_T(A78*60,J78,I78,"WL","center")</f>
        <v>3.3778465594419171</v>
      </c>
      <c r="L78">
        <f t="shared" si="26"/>
        <v>0.29604660318413589</v>
      </c>
    </row>
    <row r="79" spans="1:12" x14ac:dyDescent="0.3">
      <c r="A79">
        <v>96</v>
      </c>
      <c r="B79">
        <f t="shared" si="23"/>
        <v>8.146787447694942E-2</v>
      </c>
      <c r="C79">
        <f t="shared" si="19"/>
        <v>8.146787447694942E-2</v>
      </c>
      <c r="D79" t="s">
        <v>29</v>
      </c>
      <c r="E79" t="s">
        <v>21</v>
      </c>
      <c r="F79">
        <v>1</v>
      </c>
      <c r="G79">
        <f t="shared" si="24"/>
        <v>85</v>
      </c>
      <c r="I79">
        <v>2050</v>
      </c>
      <c r="J79">
        <f t="shared" si="25"/>
        <v>87.5</v>
      </c>
      <c r="K79" cm="1">
        <f t="array" ref="K79">STOWA2019_JAARROND_T(A79*60,J79,I79,"WL","center")</f>
        <v>4.6602941774559454</v>
      </c>
      <c r="L79">
        <f t="shared" si="26"/>
        <v>0.21457872870718647</v>
      </c>
    </row>
    <row r="80" spans="1:12" x14ac:dyDescent="0.3">
      <c r="A80">
        <v>96</v>
      </c>
      <c r="B80">
        <f t="shared" si="23"/>
        <v>5.8200473169099431E-2</v>
      </c>
      <c r="C80">
        <f t="shared" si="19"/>
        <v>5.8200473169099431E-2</v>
      </c>
      <c r="D80" t="s">
        <v>29</v>
      </c>
      <c r="E80" t="s">
        <v>21</v>
      </c>
      <c r="F80">
        <v>1</v>
      </c>
      <c r="G80">
        <f t="shared" si="24"/>
        <v>90</v>
      </c>
      <c r="I80">
        <v>2050</v>
      </c>
      <c r="J80">
        <f t="shared" si="25"/>
        <v>92.5</v>
      </c>
      <c r="K80" cm="1">
        <f t="array" ref="K80">STOWA2019_JAARROND_T(A80*60,J80,I80,"WL","center")</f>
        <v>6.394750961756591</v>
      </c>
      <c r="L80">
        <f t="shared" si="26"/>
        <v>0.15637825553808704</v>
      </c>
    </row>
    <row r="81" spans="1:12" x14ac:dyDescent="0.3">
      <c r="A81">
        <v>96</v>
      </c>
      <c r="B81">
        <f t="shared" si="23"/>
        <v>4.1813263969288472E-2</v>
      </c>
      <c r="C81">
        <f t="shared" si="19"/>
        <v>4.1813263969288472E-2</v>
      </c>
      <c r="D81" t="s">
        <v>29</v>
      </c>
      <c r="E81" t="s">
        <v>21</v>
      </c>
      <c r="F81">
        <v>1</v>
      </c>
      <c r="G81">
        <f t="shared" si="24"/>
        <v>95</v>
      </c>
      <c r="I81">
        <v>2050</v>
      </c>
      <c r="J81">
        <f t="shared" si="25"/>
        <v>97.5</v>
      </c>
      <c r="K81" cm="1">
        <f t="array" ref="K81">STOWA2019_JAARROND_T(A81*60,J81,I81,"WL","center")</f>
        <v>8.7286699567335102</v>
      </c>
      <c r="L81">
        <f t="shared" si="26"/>
        <v>0.11456499156879857</v>
      </c>
    </row>
    <row r="82" spans="1:12" x14ac:dyDescent="0.3">
      <c r="A82">
        <v>96</v>
      </c>
      <c r="B82">
        <f t="shared" si="23"/>
        <v>3.0204404440463295E-2</v>
      </c>
      <c r="C82">
        <f t="shared" si="19"/>
        <v>3.0204404440463295E-2</v>
      </c>
      <c r="D82" t="s">
        <v>29</v>
      </c>
      <c r="E82" t="s">
        <v>21</v>
      </c>
      <c r="F82">
        <v>1</v>
      </c>
      <c r="G82">
        <f t="shared" si="24"/>
        <v>100</v>
      </c>
      <c r="I82">
        <v>2050</v>
      </c>
      <c r="J82">
        <f t="shared" si="25"/>
        <v>102.5</v>
      </c>
      <c r="K82" cm="1">
        <f t="array" ref="K82">STOWA2019_JAARROND_T(A82*60,J82,I82,"WL","center")</f>
        <v>11.85387672182425</v>
      </c>
      <c r="L82">
        <f t="shared" si="26"/>
        <v>8.4360587128335274E-2</v>
      </c>
    </row>
    <row r="83" spans="1:12" x14ac:dyDescent="0.3">
      <c r="A83">
        <v>96</v>
      </c>
      <c r="B83">
        <f t="shared" si="23"/>
        <v>2.1934095858389437E-2</v>
      </c>
      <c r="C83">
        <f t="shared" si="19"/>
        <v>2.1934095858389437E-2</v>
      </c>
      <c r="D83" t="s">
        <v>29</v>
      </c>
      <c r="E83" t="s">
        <v>21</v>
      </c>
      <c r="F83">
        <v>1</v>
      </c>
      <c r="G83">
        <f t="shared" si="24"/>
        <v>105</v>
      </c>
      <c r="I83">
        <v>2050</v>
      </c>
      <c r="J83">
        <f t="shared" si="25"/>
        <v>107.5</v>
      </c>
      <c r="K83" cm="1">
        <f t="array" ref="K83">STOWA2019_JAARROND_T(A83*60,J83,I83,"WL","center")</f>
        <v>16.018840393828651</v>
      </c>
      <c r="L83">
        <f t="shared" si="26"/>
        <v>6.2426491269945837E-2</v>
      </c>
    </row>
    <row r="84" spans="1:12" x14ac:dyDescent="0.3">
      <c r="A84">
        <v>96</v>
      </c>
      <c r="B84">
        <f t="shared" si="23"/>
        <v>1.6009962772582639E-2</v>
      </c>
      <c r="C84">
        <f t="shared" si="19"/>
        <v>1.6009962772582639E-2</v>
      </c>
      <c r="D84" t="s">
        <v>29</v>
      </c>
      <c r="E84" t="s">
        <v>21</v>
      </c>
      <c r="F84">
        <v>1</v>
      </c>
      <c r="G84">
        <f t="shared" si="24"/>
        <v>110</v>
      </c>
      <c r="I84">
        <v>2050</v>
      </c>
      <c r="J84">
        <f t="shared" si="25"/>
        <v>112.5</v>
      </c>
      <c r="K84" cm="1">
        <f t="array" ref="K84">STOWA2019_JAARROND_T(A84*60,J84,I84,"WL","center")</f>
        <v>21.544049767892645</v>
      </c>
      <c r="L84">
        <f t="shared" si="26"/>
        <v>4.6416528497363198E-2</v>
      </c>
    </row>
    <row r="85" spans="1:12" x14ac:dyDescent="0.3">
      <c r="A85">
        <v>96</v>
      </c>
      <c r="B85">
        <f t="shared" si="23"/>
        <v>1.174367792758689E-2</v>
      </c>
      <c r="C85">
        <f t="shared" si="19"/>
        <v>1.174367792758689E-2</v>
      </c>
      <c r="D85" t="s">
        <v>29</v>
      </c>
      <c r="E85" t="s">
        <v>21</v>
      </c>
      <c r="F85">
        <v>1</v>
      </c>
      <c r="G85">
        <f t="shared" si="24"/>
        <v>115</v>
      </c>
      <c r="I85">
        <v>2050</v>
      </c>
      <c r="J85">
        <f t="shared" si="25"/>
        <v>117.5</v>
      </c>
      <c r="K85" cm="1">
        <f t="array" ref="K85">STOWA2019_JAARROND_T(A85*60,J85,I85,"WL","center")</f>
        <v>28.841009134440238</v>
      </c>
      <c r="L85">
        <f t="shared" si="26"/>
        <v>3.4672850569776308E-2</v>
      </c>
    </row>
    <row r="86" spans="1:12" x14ac:dyDescent="0.3">
      <c r="A86">
        <v>96</v>
      </c>
      <c r="B86">
        <f t="shared" si="23"/>
        <v>8.6561721054787127E-3</v>
      </c>
      <c r="C86">
        <f t="shared" si="19"/>
        <v>8.6561721054787127E-3</v>
      </c>
      <c r="D86" t="s">
        <v>29</v>
      </c>
      <c r="E86" t="s">
        <v>21</v>
      </c>
      <c r="F86">
        <v>1</v>
      </c>
      <c r="G86">
        <f t="shared" si="24"/>
        <v>120</v>
      </c>
      <c r="I86">
        <v>2050</v>
      </c>
      <c r="J86">
        <f t="shared" si="25"/>
        <v>122.5</v>
      </c>
      <c r="K86" cm="1">
        <f t="array" ref="K86">STOWA2019_JAARROND_T(A86*60,J86,I86,"WL","center")</f>
        <v>38.436881993690669</v>
      </c>
      <c r="L86">
        <f t="shared" si="26"/>
        <v>2.6016678464297595E-2</v>
      </c>
    </row>
    <row r="87" spans="1:12" x14ac:dyDescent="0.3">
      <c r="A87">
        <v>96</v>
      </c>
      <c r="B87">
        <f t="shared" si="23"/>
        <v>6.4098648934254876E-3</v>
      </c>
      <c r="C87">
        <f t="shared" si="19"/>
        <v>6.4098648934254876E-3</v>
      </c>
      <c r="D87" t="s">
        <v>29</v>
      </c>
      <c r="E87" t="s">
        <v>21</v>
      </c>
      <c r="F87">
        <v>1</v>
      </c>
      <c r="G87">
        <f t="shared" si="24"/>
        <v>125</v>
      </c>
      <c r="I87">
        <v>2050</v>
      </c>
      <c r="J87">
        <f t="shared" si="25"/>
        <v>127.5</v>
      </c>
      <c r="K87" cm="1">
        <f t="array" ref="K87">STOWA2019_JAARROND_T(A87*60,J87,I87,"WL","center")</f>
        <v>51.002678042780012</v>
      </c>
      <c r="L87">
        <f t="shared" si="26"/>
        <v>1.9606813570872107E-2</v>
      </c>
    </row>
    <row r="88" spans="1:12" x14ac:dyDescent="0.3">
      <c r="A88">
        <v>96</v>
      </c>
      <c r="B88">
        <f t="shared" si="23"/>
        <v>4.7682118019598575E-3</v>
      </c>
      <c r="C88">
        <f t="shared" si="19"/>
        <v>4.7682118019598575E-3</v>
      </c>
      <c r="D88" t="s">
        <v>29</v>
      </c>
      <c r="E88" t="s">
        <v>21</v>
      </c>
      <c r="F88">
        <v>1</v>
      </c>
      <c r="G88">
        <f t="shared" si="24"/>
        <v>130</v>
      </c>
      <c r="I88">
        <v>2050</v>
      </c>
      <c r="J88">
        <f t="shared" si="25"/>
        <v>132.5</v>
      </c>
      <c r="K88" cm="1">
        <f t="array" ref="K88">STOWA2019_JAARROND_T(A88*60,J88,I88,"WL","center")</f>
        <v>67.391794427360352</v>
      </c>
      <c r="L88">
        <f t="shared" si="26"/>
        <v>1.483860176891225E-2</v>
      </c>
    </row>
    <row r="89" spans="1:12" x14ac:dyDescent="0.3">
      <c r="A89">
        <v>96</v>
      </c>
      <c r="B89">
        <f t="shared" si="23"/>
        <v>3.5624294499827375E-3</v>
      </c>
      <c r="C89">
        <f t="shared" si="19"/>
        <v>3.5624294499827375E-3</v>
      </c>
      <c r="D89" t="s">
        <v>29</v>
      </c>
      <c r="E89" t="s">
        <v>21</v>
      </c>
      <c r="F89">
        <v>1</v>
      </c>
      <c r="G89">
        <f t="shared" si="24"/>
        <v>135</v>
      </c>
      <c r="I89">
        <v>2050</v>
      </c>
      <c r="J89">
        <f t="shared" si="25"/>
        <v>137.5</v>
      </c>
      <c r="K89" cm="1">
        <f t="array" ref="K89">STOWA2019_JAARROND_T(A89*60,J89,I89,"WL","center")</f>
        <v>88.682575231781627</v>
      </c>
      <c r="L89">
        <f t="shared" si="26"/>
        <v>1.1276172318929512E-2</v>
      </c>
    </row>
    <row r="90" spans="1:12" x14ac:dyDescent="0.3">
      <c r="A90">
        <v>96</v>
      </c>
      <c r="B90">
        <f t="shared" si="23"/>
        <v>2.6729935854938845E-3</v>
      </c>
      <c r="C90">
        <f t="shared" si="19"/>
        <v>2.6729935854938845E-3</v>
      </c>
      <c r="D90" t="s">
        <v>29</v>
      </c>
      <c r="E90" t="s">
        <v>21</v>
      </c>
      <c r="F90">
        <v>1</v>
      </c>
      <c r="G90">
        <f t="shared" si="24"/>
        <v>140</v>
      </c>
      <c r="I90">
        <v>2050</v>
      </c>
      <c r="J90">
        <f t="shared" si="25"/>
        <v>142.5</v>
      </c>
      <c r="K90" cm="1">
        <f t="array" ref="K90">STOWA2019_JAARROND_T(A90*60,J90,I90,"WL","center")</f>
        <v>116.23610655833208</v>
      </c>
      <c r="L90">
        <f t="shared" si="26"/>
        <v>8.6031787334356277E-3</v>
      </c>
    </row>
    <row r="91" spans="1:12" x14ac:dyDescent="0.3">
      <c r="A91">
        <v>96</v>
      </c>
      <c r="B91">
        <f t="shared" si="23"/>
        <v>2.0139369148706411E-3</v>
      </c>
      <c r="C91">
        <f t="shared" si="19"/>
        <v>2.0139369148706411E-3</v>
      </c>
      <c r="D91" t="s">
        <v>29</v>
      </c>
      <c r="E91" t="s">
        <v>21</v>
      </c>
      <c r="F91">
        <v>1</v>
      </c>
      <c r="G91">
        <f t="shared" si="24"/>
        <v>145</v>
      </c>
      <c r="I91">
        <v>2050</v>
      </c>
      <c r="J91">
        <f t="shared" si="25"/>
        <v>147.5</v>
      </c>
      <c r="K91" cm="1">
        <f t="array" ref="K91">STOWA2019_JAARROND_T(A91*60,J91,I91,"WL","center")</f>
        <v>151.762528608759</v>
      </c>
      <c r="L91">
        <f t="shared" si="26"/>
        <v>6.5892418185649866E-3</v>
      </c>
    </row>
    <row r="92" spans="1:12" x14ac:dyDescent="0.3">
      <c r="A92">
        <v>96</v>
      </c>
      <c r="B92">
        <f t="shared" si="23"/>
        <v>1.5235181815326541E-3</v>
      </c>
      <c r="C92">
        <f t="shared" si="19"/>
        <v>1.5235181815326541E-3</v>
      </c>
      <c r="D92" t="s">
        <v>29</v>
      </c>
      <c r="E92" t="s">
        <v>21</v>
      </c>
      <c r="F92">
        <v>1</v>
      </c>
      <c r="G92">
        <f t="shared" si="24"/>
        <v>150</v>
      </c>
      <c r="I92">
        <v>2050</v>
      </c>
      <c r="J92">
        <f t="shared" si="25"/>
        <v>152.5</v>
      </c>
      <c r="K92" cm="1">
        <f t="array" ref="K92">STOWA2019_JAARROND_T(A92*60,J92,I92,"WL","center")</f>
        <v>197.4051629444659</v>
      </c>
      <c r="L92">
        <f t="shared" si="26"/>
        <v>5.0657236370323325E-3</v>
      </c>
    </row>
    <row r="93" spans="1:12" x14ac:dyDescent="0.3">
      <c r="A93">
        <v>96</v>
      </c>
      <c r="B93">
        <f t="shared" si="23"/>
        <v>1.1569824971576362E-3</v>
      </c>
      <c r="C93">
        <f t="shared" si="19"/>
        <v>1.1569824971576362E-3</v>
      </c>
      <c r="D93" t="s">
        <v>29</v>
      </c>
      <c r="E93" t="s">
        <v>21</v>
      </c>
      <c r="F93">
        <v>1</v>
      </c>
      <c r="G93">
        <f t="shared" si="24"/>
        <v>155</v>
      </c>
      <c r="I93">
        <v>2050</v>
      </c>
      <c r="J93">
        <f t="shared" si="25"/>
        <v>157.5</v>
      </c>
      <c r="K93" cm="1">
        <f t="array" ref="K93">STOWA2019_JAARROND_T(A93*60,J93,I93,"WL","center")</f>
        <v>255.83684470649223</v>
      </c>
      <c r="L93">
        <f t="shared" si="26"/>
        <v>3.9087411398746963E-3</v>
      </c>
    </row>
    <row r="94" spans="1:12" x14ac:dyDescent="0.3">
      <c r="A94">
        <v>96</v>
      </c>
      <c r="B94" s="1">
        <f>L93</f>
        <v>3.9087411398746963E-3</v>
      </c>
      <c r="C94">
        <f t="shared" si="19"/>
        <v>3.9087411398746963E-3</v>
      </c>
      <c r="D94" t="s">
        <v>29</v>
      </c>
      <c r="E94" t="s">
        <v>21</v>
      </c>
      <c r="F94">
        <v>1</v>
      </c>
      <c r="G94">
        <f t="shared" si="24"/>
        <v>160</v>
      </c>
      <c r="I94">
        <v>2050</v>
      </c>
      <c r="J94">
        <f>AVERAGE(G94:G95)</f>
        <v>85</v>
      </c>
      <c r="K94" cm="1">
        <f t="array" ref="K94">STOWA2019_JAARROND_T(A94*60,J94,I94,"WL","center")</f>
        <v>3.9703140069985006</v>
      </c>
      <c r="L94">
        <f>1/K94</f>
        <v>0.25186924717724918</v>
      </c>
    </row>
    <row r="95" spans="1:12" x14ac:dyDescent="0.3">
      <c r="A95">
        <v>192</v>
      </c>
      <c r="B95" s="1">
        <f>365.25*24/A95 - L95</f>
        <v>-12.397429273133945</v>
      </c>
      <c r="C95">
        <f>B95</f>
        <v>-12.397429273133945</v>
      </c>
      <c r="D95" t="s">
        <v>29</v>
      </c>
      <c r="E95" t="s">
        <v>21</v>
      </c>
      <c r="F95">
        <v>1</v>
      </c>
      <c r="G95">
        <v>10</v>
      </c>
      <c r="I95">
        <v>2050</v>
      </c>
      <c r="J95">
        <f>AVERAGE(G95:G97)</f>
        <v>15</v>
      </c>
      <c r="K95" cm="1">
        <f t="array" ref="K95">STOWA2019_JAARROND_T(A95*60,J95,I95,"WL","center")</f>
        <v>1.7225437087202491E-2</v>
      </c>
      <c r="L95">
        <f>1/K95</f>
        <v>58.053679273133945</v>
      </c>
    </row>
    <row r="96" spans="1:12" x14ac:dyDescent="0.3">
      <c r="A96">
        <v>192</v>
      </c>
      <c r="B96">
        <f t="shared" ref="B96:B100" si="27">L95-L96</f>
        <v>8.1713942896391742</v>
      </c>
      <c r="C96">
        <f t="shared" ref="C96:C125" si="28">B96</f>
        <v>8.1713942896391742</v>
      </c>
      <c r="D96" t="s">
        <v>29</v>
      </c>
      <c r="E96" t="s">
        <v>21</v>
      </c>
      <c r="F96">
        <v>1</v>
      </c>
      <c r="G96">
        <f t="shared" ref="G96:G100" si="29">G95+5</f>
        <v>15</v>
      </c>
      <c r="I96">
        <v>2050</v>
      </c>
      <c r="J96">
        <f t="shared" ref="J96:J100" si="30">AVERAGE(G96:G97)</f>
        <v>17.5</v>
      </c>
      <c r="K96" cm="1">
        <f t="array" ref="K96">STOWA2019_JAARROND_T(A96*60,J96,I96,"WL","center")</f>
        <v>2.0047197122803888E-2</v>
      </c>
      <c r="L96">
        <f t="shared" ref="L96:L100" si="31">1/K96</f>
        <v>49.88228498349477</v>
      </c>
    </row>
    <row r="97" spans="1:12" x14ac:dyDescent="0.3">
      <c r="A97">
        <v>192</v>
      </c>
      <c r="B97">
        <f t="shared" si="27"/>
        <v>12.147401442305991</v>
      </c>
      <c r="C97">
        <f t="shared" si="28"/>
        <v>12.147401442305991</v>
      </c>
      <c r="D97" t="s">
        <v>29</v>
      </c>
      <c r="E97" t="s">
        <v>21</v>
      </c>
      <c r="F97">
        <v>1</v>
      </c>
      <c r="G97">
        <f t="shared" si="29"/>
        <v>20</v>
      </c>
      <c r="I97">
        <v>2050</v>
      </c>
      <c r="J97">
        <f t="shared" si="30"/>
        <v>22.5</v>
      </c>
      <c r="K97" cm="1">
        <f t="array" ref="K97">STOWA2019_JAARROND_T(A97*60,J97,I97,"WL","center")</f>
        <v>2.6500678050548891E-2</v>
      </c>
      <c r="L97">
        <f t="shared" si="31"/>
        <v>37.734883541188779</v>
      </c>
    </row>
    <row r="98" spans="1:12" x14ac:dyDescent="0.3">
      <c r="A98">
        <v>192</v>
      </c>
      <c r="B98">
        <f t="shared" si="27"/>
        <v>9.3185571482152021</v>
      </c>
      <c r="C98">
        <f t="shared" si="28"/>
        <v>9.3185571482152021</v>
      </c>
      <c r="D98" t="s">
        <v>29</v>
      </c>
      <c r="E98" t="s">
        <v>21</v>
      </c>
      <c r="F98">
        <v>1</v>
      </c>
      <c r="G98">
        <f t="shared" si="29"/>
        <v>25</v>
      </c>
      <c r="I98">
        <v>2050</v>
      </c>
      <c r="J98">
        <f t="shared" si="30"/>
        <v>27.5</v>
      </c>
      <c r="K98" cm="1">
        <f t="array" ref="K98">STOWA2019_JAARROND_T(A98*60,J98,I98,"WL","center")</f>
        <v>3.5191037228769553E-2</v>
      </c>
      <c r="L98">
        <f t="shared" si="31"/>
        <v>28.416326392973577</v>
      </c>
    </row>
    <row r="99" spans="1:12" x14ac:dyDescent="0.3">
      <c r="A99">
        <v>192</v>
      </c>
      <c r="B99">
        <f t="shared" si="27"/>
        <v>7.0394133204671547</v>
      </c>
      <c r="C99">
        <f t="shared" si="28"/>
        <v>7.0394133204671547</v>
      </c>
      <c r="D99" t="s">
        <v>29</v>
      </c>
      <c r="E99" t="s">
        <v>21</v>
      </c>
      <c r="F99">
        <v>1</v>
      </c>
      <c r="G99">
        <f t="shared" si="29"/>
        <v>30</v>
      </c>
      <c r="I99">
        <v>2050</v>
      </c>
      <c r="J99">
        <f t="shared" si="30"/>
        <v>32.5</v>
      </c>
      <c r="K99" cm="1">
        <f t="array" ref="K99">STOWA2019_JAARROND_T(A99*60,J99,I99,"WL","center")</f>
        <v>4.677943894930902E-2</v>
      </c>
      <c r="L99">
        <f t="shared" si="31"/>
        <v>21.376913072506422</v>
      </c>
    </row>
    <row r="100" spans="1:12" x14ac:dyDescent="0.3">
      <c r="A100">
        <v>192</v>
      </c>
      <c r="B100">
        <f t="shared" si="27"/>
        <v>5.3049174390382383</v>
      </c>
      <c r="C100">
        <f t="shared" si="28"/>
        <v>5.3049174390382383</v>
      </c>
      <c r="D100" t="s">
        <v>29</v>
      </c>
      <c r="E100" t="s">
        <v>21</v>
      </c>
      <c r="F100">
        <v>1</v>
      </c>
      <c r="G100">
        <f t="shared" si="29"/>
        <v>35</v>
      </c>
      <c r="I100">
        <v>2050</v>
      </c>
      <c r="J100">
        <f t="shared" si="30"/>
        <v>37.5</v>
      </c>
      <c r="K100" cm="1">
        <f t="array" ref="K100">STOWA2019_JAARROND_T(A100*60,J100,I100,"WL","center")</f>
        <v>6.222002685949022E-2</v>
      </c>
      <c r="L100">
        <f t="shared" si="31"/>
        <v>16.071995633468184</v>
      </c>
    </row>
    <row r="101" spans="1:12" x14ac:dyDescent="0.3">
      <c r="A101">
        <v>192</v>
      </c>
      <c r="B101">
        <f>L100-L101</f>
        <v>3.9939489869805129</v>
      </c>
      <c r="C101">
        <f t="shared" si="28"/>
        <v>3.9939489869805129</v>
      </c>
      <c r="D101" t="s">
        <v>29</v>
      </c>
      <c r="E101" t="s">
        <v>21</v>
      </c>
      <c r="F101">
        <v>1</v>
      </c>
      <c r="G101">
        <f>G100+5</f>
        <v>40</v>
      </c>
      <c r="I101">
        <v>2050</v>
      </c>
      <c r="J101">
        <f>AVERAGE(G101:G102)</f>
        <v>42.5</v>
      </c>
      <c r="K101" cm="1">
        <f t="array" ref="K101">STOWA2019_JAARROND_T(A101*60,J101,I101,"WL","center")</f>
        <v>8.2794845000106268E-2</v>
      </c>
      <c r="L101">
        <f>1/K101</f>
        <v>12.078046646487671</v>
      </c>
    </row>
    <row r="102" spans="1:12" x14ac:dyDescent="0.3">
      <c r="A102">
        <v>192</v>
      </c>
      <c r="B102">
        <f t="shared" ref="B102:B124" si="32">L101-L102</f>
        <v>3.0051386816147438</v>
      </c>
      <c r="C102">
        <f t="shared" si="28"/>
        <v>3.0051386816147438</v>
      </c>
      <c r="D102" t="s">
        <v>29</v>
      </c>
      <c r="E102" t="s">
        <v>21</v>
      </c>
      <c r="F102">
        <v>1</v>
      </c>
      <c r="G102">
        <f t="shared" ref="G102:G125" si="33">G101+5</f>
        <v>45</v>
      </c>
      <c r="I102">
        <v>2050</v>
      </c>
      <c r="J102">
        <f t="shared" ref="J102:J124" si="34">AVERAGE(G102:G103)</f>
        <v>47.5</v>
      </c>
      <c r="K102" cm="1">
        <f t="array" ref="K102">STOWA2019_JAARROND_T(A102*60,J102,I102,"WL","center")</f>
        <v>0.11021824577871221</v>
      </c>
      <c r="L102">
        <f t="shared" ref="L102:L124" si="35">1/K102</f>
        <v>9.0729079648729272</v>
      </c>
    </row>
    <row r="103" spans="1:12" x14ac:dyDescent="0.3">
      <c r="A103">
        <v>192</v>
      </c>
      <c r="B103">
        <f t="shared" si="32"/>
        <v>2.2601422173860728</v>
      </c>
      <c r="C103">
        <f t="shared" si="28"/>
        <v>2.2601422173860728</v>
      </c>
      <c r="D103" t="s">
        <v>29</v>
      </c>
      <c r="E103" t="s">
        <v>21</v>
      </c>
      <c r="F103">
        <v>1</v>
      </c>
      <c r="G103">
        <f t="shared" si="33"/>
        <v>50</v>
      </c>
      <c r="I103">
        <v>2050</v>
      </c>
      <c r="J103">
        <f t="shared" si="34"/>
        <v>52.5</v>
      </c>
      <c r="K103" cm="1">
        <f t="array" ref="K103">STOWA2019_JAARROND_T(A103*60,J103,I103,"WL","center")</f>
        <v>0.14678326498586683</v>
      </c>
      <c r="L103">
        <f t="shared" si="35"/>
        <v>6.8127657474868544</v>
      </c>
    </row>
    <row r="104" spans="1:12" x14ac:dyDescent="0.3">
      <c r="A104">
        <v>192</v>
      </c>
      <c r="B104">
        <f t="shared" si="32"/>
        <v>1.6989602223088225</v>
      </c>
      <c r="C104">
        <f t="shared" si="28"/>
        <v>1.6989602223088225</v>
      </c>
      <c r="D104" t="s">
        <v>29</v>
      </c>
      <c r="E104" t="s">
        <v>21</v>
      </c>
      <c r="F104">
        <v>1</v>
      </c>
      <c r="G104">
        <f t="shared" si="33"/>
        <v>55</v>
      </c>
      <c r="I104">
        <v>2050</v>
      </c>
      <c r="J104">
        <f t="shared" si="34"/>
        <v>57.5</v>
      </c>
      <c r="K104" cm="1">
        <f t="array" ref="K104">STOWA2019_JAARROND_T(A104*60,J104,I104,"WL","center")</f>
        <v>0.19554908669804882</v>
      </c>
      <c r="L104">
        <f t="shared" si="35"/>
        <v>5.1138055251780319</v>
      </c>
    </row>
    <row r="105" spans="1:12" x14ac:dyDescent="0.3">
      <c r="A105">
        <v>192</v>
      </c>
      <c r="B105">
        <f t="shared" si="32"/>
        <v>1.2767294670904104</v>
      </c>
      <c r="C105">
        <f t="shared" si="28"/>
        <v>1.2767294670904104</v>
      </c>
      <c r="D105" t="s">
        <v>29</v>
      </c>
      <c r="E105" t="s">
        <v>21</v>
      </c>
      <c r="F105">
        <v>1</v>
      </c>
      <c r="G105">
        <f t="shared" si="33"/>
        <v>60</v>
      </c>
      <c r="I105">
        <v>2050</v>
      </c>
      <c r="J105">
        <f t="shared" si="34"/>
        <v>62.5</v>
      </c>
      <c r="K105" cm="1">
        <f t="array" ref="K105">STOWA2019_JAARROND_T(A105*60,J105,I105,"WL","center")</f>
        <v>0.26061511027185497</v>
      </c>
      <c r="L105">
        <f t="shared" si="35"/>
        <v>3.8370760580876215</v>
      </c>
    </row>
    <row r="106" spans="1:12" x14ac:dyDescent="0.3">
      <c r="A106">
        <v>192</v>
      </c>
      <c r="B106">
        <f t="shared" si="32"/>
        <v>0.95901859692498181</v>
      </c>
      <c r="C106">
        <f t="shared" si="28"/>
        <v>0.95901859692498181</v>
      </c>
      <c r="D106" t="s">
        <v>29</v>
      </c>
      <c r="E106" t="s">
        <v>21</v>
      </c>
      <c r="F106">
        <v>1</v>
      </c>
      <c r="G106">
        <f t="shared" si="33"/>
        <v>65</v>
      </c>
      <c r="I106">
        <v>2050</v>
      </c>
      <c r="J106">
        <f t="shared" si="34"/>
        <v>67.5</v>
      </c>
      <c r="K106" cm="1">
        <f t="array" ref="K106">STOWA2019_JAARROND_T(A106*60,J106,I106,"WL","center")</f>
        <v>0.34745657913168737</v>
      </c>
      <c r="L106">
        <f t="shared" si="35"/>
        <v>2.8780574611626397</v>
      </c>
    </row>
    <row r="107" spans="1:12" x14ac:dyDescent="0.3">
      <c r="A107">
        <v>192</v>
      </c>
      <c r="B107">
        <f t="shared" si="32"/>
        <v>0.72010098223175367</v>
      </c>
      <c r="C107">
        <f t="shared" si="28"/>
        <v>0.72010098223175367</v>
      </c>
      <c r="D107" t="s">
        <v>29</v>
      </c>
      <c r="E107" t="s">
        <v>21</v>
      </c>
      <c r="F107">
        <v>1</v>
      </c>
      <c r="G107">
        <f t="shared" si="33"/>
        <v>70</v>
      </c>
      <c r="I107">
        <v>2050</v>
      </c>
      <c r="J107">
        <f t="shared" si="34"/>
        <v>72.5</v>
      </c>
      <c r="K107" cm="1">
        <f t="array" ref="K107">STOWA2019_JAARROND_T(A107*60,J107,I107,"WL","center")</f>
        <v>0.46340137521931341</v>
      </c>
      <c r="L107">
        <f t="shared" si="35"/>
        <v>2.157956478930886</v>
      </c>
    </row>
    <row r="108" spans="1:12" x14ac:dyDescent="0.3">
      <c r="A108">
        <v>192</v>
      </c>
      <c r="B108">
        <f t="shared" si="32"/>
        <v>0.54053478738891725</v>
      </c>
      <c r="C108">
        <f t="shared" si="28"/>
        <v>0.54053478738891725</v>
      </c>
      <c r="D108" t="s">
        <v>29</v>
      </c>
      <c r="E108" t="s">
        <v>21</v>
      </c>
      <c r="F108">
        <v>1</v>
      </c>
      <c r="G108">
        <f t="shared" si="33"/>
        <v>75</v>
      </c>
      <c r="I108">
        <v>2050</v>
      </c>
      <c r="J108">
        <f t="shared" si="34"/>
        <v>77.5</v>
      </c>
      <c r="K108" cm="1">
        <f t="array" ref="K108">STOWA2019_JAARROND_T(A108*60,J108,I108,"WL","center")</f>
        <v>0.61826795400935308</v>
      </c>
      <c r="L108">
        <f t="shared" si="35"/>
        <v>1.6174216915419688</v>
      </c>
    </row>
    <row r="109" spans="1:12" x14ac:dyDescent="0.3">
      <c r="A109">
        <v>192</v>
      </c>
      <c r="B109">
        <f t="shared" si="32"/>
        <v>0.40556244559804955</v>
      </c>
      <c r="C109">
        <f t="shared" si="28"/>
        <v>0.40556244559804955</v>
      </c>
      <c r="D109" t="s">
        <v>29</v>
      </c>
      <c r="E109" t="s">
        <v>21</v>
      </c>
      <c r="F109">
        <v>1</v>
      </c>
      <c r="G109">
        <f t="shared" si="33"/>
        <v>80</v>
      </c>
      <c r="I109">
        <v>2050</v>
      </c>
      <c r="J109">
        <f t="shared" si="34"/>
        <v>82.5</v>
      </c>
      <c r="K109" cm="1">
        <f t="array" ref="K109">STOWA2019_JAARROND_T(A109*60,J109,I109,"WL","center")</f>
        <v>0.8251783392724773</v>
      </c>
      <c r="L109">
        <f t="shared" si="35"/>
        <v>1.2118592459439192</v>
      </c>
    </row>
    <row r="110" spans="1:12" x14ac:dyDescent="0.3">
      <c r="A110">
        <v>192</v>
      </c>
      <c r="B110">
        <f t="shared" si="32"/>
        <v>0.30412372069982829</v>
      </c>
      <c r="C110">
        <f t="shared" si="28"/>
        <v>0.30412372069982829</v>
      </c>
      <c r="D110" t="s">
        <v>29</v>
      </c>
      <c r="E110" t="s">
        <v>21</v>
      </c>
      <c r="F110">
        <v>1</v>
      </c>
      <c r="G110">
        <f t="shared" si="33"/>
        <v>85</v>
      </c>
      <c r="I110">
        <v>2050</v>
      </c>
      <c r="J110">
        <f t="shared" si="34"/>
        <v>87.5</v>
      </c>
      <c r="K110" cm="1">
        <f t="array" ref="K110">STOWA2019_JAARROND_T(A110*60,J110,I110,"WL","center")</f>
        <v>1.1016424632396082</v>
      </c>
      <c r="L110">
        <f t="shared" si="35"/>
        <v>0.90773552524409096</v>
      </c>
    </row>
    <row r="111" spans="1:12" x14ac:dyDescent="0.3">
      <c r="A111">
        <v>192</v>
      </c>
      <c r="B111">
        <f t="shared" si="32"/>
        <v>0.22810606888510332</v>
      </c>
      <c r="C111">
        <f t="shared" si="28"/>
        <v>0.22810606888510332</v>
      </c>
      <c r="D111" t="s">
        <v>29</v>
      </c>
      <c r="E111" t="s">
        <v>21</v>
      </c>
      <c r="F111">
        <v>1</v>
      </c>
      <c r="G111">
        <f t="shared" si="33"/>
        <v>90</v>
      </c>
      <c r="I111">
        <v>2050</v>
      </c>
      <c r="J111">
        <f t="shared" si="34"/>
        <v>92.5</v>
      </c>
      <c r="K111" cm="1">
        <f t="array" ref="K111">STOWA2019_JAARROND_T(A111*60,J111,I111,"WL","center")</f>
        <v>1.4713900209054347</v>
      </c>
      <c r="L111">
        <f t="shared" si="35"/>
        <v>0.67962945635898764</v>
      </c>
    </row>
    <row r="112" spans="1:12" x14ac:dyDescent="0.3">
      <c r="A112">
        <v>192</v>
      </c>
      <c r="B112">
        <f t="shared" si="32"/>
        <v>0.17096648799573133</v>
      </c>
      <c r="C112">
        <f t="shared" si="28"/>
        <v>0.17096648799573133</v>
      </c>
      <c r="D112" t="s">
        <v>29</v>
      </c>
      <c r="E112" t="s">
        <v>21</v>
      </c>
      <c r="F112">
        <v>1</v>
      </c>
      <c r="G112">
        <f t="shared" si="33"/>
        <v>95</v>
      </c>
      <c r="I112">
        <v>2050</v>
      </c>
      <c r="J112">
        <f t="shared" si="34"/>
        <v>97.5</v>
      </c>
      <c r="K112" cm="1">
        <f t="array" ref="K112">STOWA2019_JAARROND_T(A112*60,J112,I112,"WL","center")</f>
        <v>1.9659382777907681</v>
      </c>
      <c r="L112">
        <f t="shared" si="35"/>
        <v>0.50866296836325631</v>
      </c>
    </row>
    <row r="113" spans="1:12" x14ac:dyDescent="0.3">
      <c r="A113">
        <v>192</v>
      </c>
      <c r="B113">
        <f t="shared" si="32"/>
        <v>0.12809884405410599</v>
      </c>
      <c r="C113">
        <f t="shared" si="28"/>
        <v>0.12809884405410599</v>
      </c>
      <c r="D113" t="s">
        <v>29</v>
      </c>
      <c r="E113" t="s">
        <v>21</v>
      </c>
      <c r="F113">
        <v>1</v>
      </c>
      <c r="G113">
        <f t="shared" si="33"/>
        <v>100</v>
      </c>
      <c r="I113">
        <v>2050</v>
      </c>
      <c r="J113">
        <f t="shared" si="34"/>
        <v>102.5</v>
      </c>
      <c r="K113" cm="1">
        <f t="array" ref="K113">STOWA2019_JAARROND_T(A113*60,J113,I113,"WL","center")</f>
        <v>2.6276780603408967</v>
      </c>
      <c r="L113">
        <f t="shared" si="35"/>
        <v>0.38056412430915032</v>
      </c>
    </row>
    <row r="114" spans="1:12" x14ac:dyDescent="0.3">
      <c r="A114">
        <v>192</v>
      </c>
      <c r="B114">
        <f t="shared" si="32"/>
        <v>9.5940904828919704E-2</v>
      </c>
      <c r="C114">
        <f t="shared" si="28"/>
        <v>9.5940904828919704E-2</v>
      </c>
      <c r="D114" t="s">
        <v>29</v>
      </c>
      <c r="E114" t="s">
        <v>21</v>
      </c>
      <c r="F114">
        <v>1</v>
      </c>
      <c r="G114">
        <f t="shared" si="33"/>
        <v>105</v>
      </c>
      <c r="I114">
        <v>2050</v>
      </c>
      <c r="J114">
        <f t="shared" si="34"/>
        <v>107.5</v>
      </c>
      <c r="K114" cm="1">
        <f t="array" ref="K114">STOWA2019_JAARROND_T(A114*60,J114,I114,"WL","center")</f>
        <v>3.5134167965149383</v>
      </c>
      <c r="L114">
        <f t="shared" si="35"/>
        <v>0.28462321948023062</v>
      </c>
    </row>
    <row r="115" spans="1:12" x14ac:dyDescent="0.3">
      <c r="A115">
        <v>192</v>
      </c>
      <c r="B115">
        <f t="shared" si="32"/>
        <v>7.1831703967008137E-2</v>
      </c>
      <c r="C115">
        <f t="shared" si="28"/>
        <v>7.1831703967008137E-2</v>
      </c>
      <c r="D115" t="s">
        <v>29</v>
      </c>
      <c r="E115" t="s">
        <v>21</v>
      </c>
      <c r="F115">
        <v>1</v>
      </c>
      <c r="G115">
        <f t="shared" si="33"/>
        <v>110</v>
      </c>
      <c r="I115">
        <v>2050</v>
      </c>
      <c r="J115">
        <f t="shared" si="34"/>
        <v>112.5</v>
      </c>
      <c r="K115" cm="1">
        <f t="array" ref="K115">STOWA2019_JAARROND_T(A115*60,J115,I115,"WL","center")</f>
        <v>4.699435490123486</v>
      </c>
      <c r="L115">
        <f t="shared" si="35"/>
        <v>0.21279151551322248</v>
      </c>
    </row>
    <row r="116" spans="1:12" x14ac:dyDescent="0.3">
      <c r="A116">
        <v>192</v>
      </c>
      <c r="B116">
        <f t="shared" si="32"/>
        <v>5.3761258171285298E-2</v>
      </c>
      <c r="C116">
        <f t="shared" si="28"/>
        <v>5.3761258171285298E-2</v>
      </c>
      <c r="D116" t="s">
        <v>29</v>
      </c>
      <c r="E116" t="s">
        <v>21</v>
      </c>
      <c r="F116">
        <v>1</v>
      </c>
      <c r="G116">
        <f t="shared" si="33"/>
        <v>115</v>
      </c>
      <c r="I116">
        <v>2050</v>
      </c>
      <c r="J116">
        <f t="shared" si="34"/>
        <v>117.5</v>
      </c>
      <c r="K116" cm="1">
        <f t="array" ref="K116">STOWA2019_JAARROND_T(A116*60,J116,I116,"WL","center")</f>
        <v>6.2881115626308821</v>
      </c>
      <c r="L116">
        <f t="shared" si="35"/>
        <v>0.15903025734193718</v>
      </c>
    </row>
    <row r="117" spans="1:12" x14ac:dyDescent="0.3">
      <c r="A117">
        <v>192</v>
      </c>
      <c r="B117">
        <f t="shared" si="32"/>
        <v>4.0222026713105846E-2</v>
      </c>
      <c r="C117">
        <f t="shared" si="28"/>
        <v>4.0222026713105846E-2</v>
      </c>
      <c r="D117" t="s">
        <v>29</v>
      </c>
      <c r="E117" t="s">
        <v>21</v>
      </c>
      <c r="F117">
        <v>1</v>
      </c>
      <c r="G117">
        <f t="shared" si="33"/>
        <v>120</v>
      </c>
      <c r="I117">
        <v>2050</v>
      </c>
      <c r="J117">
        <f t="shared" si="34"/>
        <v>122.5</v>
      </c>
      <c r="K117" cm="1">
        <f t="array" ref="K117">STOWA2019_JAARROND_T(A117*60,J117,I117,"WL","center")</f>
        <v>8.4169252812467086</v>
      </c>
      <c r="L117">
        <f t="shared" si="35"/>
        <v>0.11880823062883134</v>
      </c>
    </row>
    <row r="118" spans="1:12" x14ac:dyDescent="0.3">
      <c r="A118">
        <v>192</v>
      </c>
      <c r="B118">
        <f t="shared" si="32"/>
        <v>3.0081523083173412E-2</v>
      </c>
      <c r="C118">
        <f t="shared" si="28"/>
        <v>3.0081523083173412E-2</v>
      </c>
      <c r="D118" t="s">
        <v>29</v>
      </c>
      <c r="E118" t="s">
        <v>21</v>
      </c>
      <c r="F118">
        <v>1</v>
      </c>
      <c r="G118">
        <f t="shared" si="33"/>
        <v>125</v>
      </c>
      <c r="I118">
        <v>2050</v>
      </c>
      <c r="J118">
        <f t="shared" si="34"/>
        <v>127.5</v>
      </c>
      <c r="K118" cm="1">
        <f t="array" ref="K118">STOWA2019_JAARROND_T(A118*60,J118,I118,"WL","center")</f>
        <v>11.270563595357231</v>
      </c>
      <c r="L118">
        <f t="shared" si="35"/>
        <v>8.8726707545657924E-2</v>
      </c>
    </row>
    <row r="119" spans="1:12" x14ac:dyDescent="0.3">
      <c r="A119">
        <v>192</v>
      </c>
      <c r="B119">
        <f t="shared" si="32"/>
        <v>2.2489351983509626E-2</v>
      </c>
      <c r="C119">
        <f t="shared" si="28"/>
        <v>2.2489351983509626E-2</v>
      </c>
      <c r="D119" t="s">
        <v>29</v>
      </c>
      <c r="E119" t="s">
        <v>21</v>
      </c>
      <c r="F119">
        <v>1</v>
      </c>
      <c r="G119">
        <f t="shared" si="33"/>
        <v>130</v>
      </c>
      <c r="I119">
        <v>2050</v>
      </c>
      <c r="J119">
        <f t="shared" si="34"/>
        <v>132.5</v>
      </c>
      <c r="K119" cm="1">
        <f t="array" ref="K119">STOWA2019_JAARROND_T(A119*60,J119,I119,"WL","center")</f>
        <v>15.097221069789439</v>
      </c>
      <c r="L119">
        <f t="shared" si="35"/>
        <v>6.6237355562148298E-2</v>
      </c>
    </row>
    <row r="120" spans="1:12" x14ac:dyDescent="0.3">
      <c r="A120">
        <v>192</v>
      </c>
      <c r="B120">
        <f t="shared" si="32"/>
        <v>1.6807190084681962E-2</v>
      </c>
      <c r="C120">
        <f t="shared" si="28"/>
        <v>1.6807190084681962E-2</v>
      </c>
      <c r="D120" t="s">
        <v>29</v>
      </c>
      <c r="E120" t="s">
        <v>21</v>
      </c>
      <c r="F120">
        <v>1</v>
      </c>
      <c r="G120">
        <f t="shared" si="33"/>
        <v>135</v>
      </c>
      <c r="I120">
        <v>2050</v>
      </c>
      <c r="J120">
        <f t="shared" si="34"/>
        <v>137.5</v>
      </c>
      <c r="K120" cm="1">
        <f t="array" ref="K120">STOWA2019_JAARROND_T(A120*60,J120,I120,"WL","center")</f>
        <v>20.230561446448498</v>
      </c>
      <c r="L120">
        <f t="shared" si="35"/>
        <v>4.9430165477466335E-2</v>
      </c>
    </row>
    <row r="121" spans="1:12" x14ac:dyDescent="0.3">
      <c r="A121">
        <v>192</v>
      </c>
      <c r="B121">
        <f t="shared" si="32"/>
        <v>1.255585467741948E-2</v>
      </c>
      <c r="C121">
        <f t="shared" si="28"/>
        <v>1.255585467741948E-2</v>
      </c>
      <c r="D121" t="s">
        <v>29</v>
      </c>
      <c r="E121" t="s">
        <v>21</v>
      </c>
      <c r="F121">
        <v>1</v>
      </c>
      <c r="G121">
        <f t="shared" si="33"/>
        <v>140</v>
      </c>
      <c r="I121">
        <v>2050</v>
      </c>
      <c r="J121">
        <f t="shared" si="34"/>
        <v>142.5</v>
      </c>
      <c r="K121" cm="1">
        <f t="array" ref="K121">STOWA2019_JAARROND_T(A121*60,J121,I121,"WL","center")</f>
        <v>27.119150929289486</v>
      </c>
      <c r="L121">
        <f t="shared" si="35"/>
        <v>3.6874310800046856E-2</v>
      </c>
    </row>
    <row r="122" spans="1:12" x14ac:dyDescent="0.3">
      <c r="A122">
        <v>192</v>
      </c>
      <c r="B122">
        <f t="shared" si="32"/>
        <v>9.3768407017454196E-3</v>
      </c>
      <c r="C122">
        <f t="shared" si="28"/>
        <v>9.3768407017454196E-3</v>
      </c>
      <c r="D122" t="s">
        <v>29</v>
      </c>
      <c r="E122" t="s">
        <v>21</v>
      </c>
      <c r="F122">
        <v>1</v>
      </c>
      <c r="G122">
        <f t="shared" si="33"/>
        <v>145</v>
      </c>
      <c r="I122">
        <v>2050</v>
      </c>
      <c r="J122">
        <f t="shared" si="34"/>
        <v>147.5</v>
      </c>
      <c r="K122" cm="1">
        <f t="array" ref="K122">STOWA2019_JAARROND_T(A122*60,J122,I122,"WL","center")</f>
        <v>36.366981995982663</v>
      </c>
      <c r="L122">
        <f t="shared" si="35"/>
        <v>2.7497470098301436E-2</v>
      </c>
    </row>
    <row r="123" spans="1:12" x14ac:dyDescent="0.3">
      <c r="A123">
        <v>192</v>
      </c>
      <c r="B123">
        <f t="shared" si="32"/>
        <v>6.9999667735016965E-3</v>
      </c>
      <c r="C123">
        <f t="shared" si="28"/>
        <v>6.9999667735016965E-3</v>
      </c>
      <c r="D123" t="s">
        <v>29</v>
      </c>
      <c r="E123" t="s">
        <v>21</v>
      </c>
      <c r="F123">
        <v>1</v>
      </c>
      <c r="G123">
        <f t="shared" si="33"/>
        <v>150</v>
      </c>
      <c r="I123">
        <v>2050</v>
      </c>
      <c r="J123">
        <f t="shared" si="34"/>
        <v>152.5</v>
      </c>
      <c r="K123" cm="1">
        <f t="array" ref="K123">STOWA2019_JAARROND_T(A123*60,J123,I123,"WL","center")</f>
        <v>48.786429457001688</v>
      </c>
      <c r="L123">
        <f t="shared" si="35"/>
        <v>2.0497503324799739E-2</v>
      </c>
    </row>
    <row r="124" spans="1:12" x14ac:dyDescent="0.3">
      <c r="A124">
        <v>192</v>
      </c>
      <c r="B124">
        <f t="shared" si="32"/>
        <v>5.2236641080458789E-3</v>
      </c>
      <c r="C124">
        <f t="shared" si="28"/>
        <v>5.2236641080458789E-3</v>
      </c>
      <c r="D124" t="s">
        <v>29</v>
      </c>
      <c r="E124" t="s">
        <v>21</v>
      </c>
      <c r="F124">
        <v>1</v>
      </c>
      <c r="G124">
        <f t="shared" si="33"/>
        <v>155</v>
      </c>
      <c r="I124">
        <v>2050</v>
      </c>
      <c r="J124">
        <f t="shared" si="34"/>
        <v>157.5</v>
      </c>
      <c r="K124" cm="1">
        <f t="array" ref="K124">STOWA2019_JAARROND_T(A124*60,J124,I124,"WL","center")</f>
        <v>65.471423772950345</v>
      </c>
      <c r="L124">
        <f t="shared" si="35"/>
        <v>1.5273839216753861E-2</v>
      </c>
    </row>
    <row r="125" spans="1:12" x14ac:dyDescent="0.3">
      <c r="A125">
        <v>192</v>
      </c>
      <c r="B125" s="1">
        <f>L124</f>
        <v>1.5273839216753861E-2</v>
      </c>
      <c r="C125">
        <f t="shared" si="28"/>
        <v>1.5273839216753861E-2</v>
      </c>
      <c r="D125" t="s">
        <v>29</v>
      </c>
      <c r="E125" t="s">
        <v>21</v>
      </c>
      <c r="F125">
        <v>1</v>
      </c>
      <c r="G125">
        <f t="shared" si="33"/>
        <v>160</v>
      </c>
      <c r="I125">
        <v>2050</v>
      </c>
      <c r="J125">
        <f>AVERAGE(G125:G126)</f>
        <v>85</v>
      </c>
      <c r="K125" cm="1">
        <f t="array" ref="K125">STOWA2019_JAARROND_T(A125*60,J125,I125,"WL","center")</f>
        <v>0.95343939721376858</v>
      </c>
      <c r="L125">
        <f>1/K125</f>
        <v>1.0488343600257082</v>
      </c>
    </row>
    <row r="126" spans="1:12" x14ac:dyDescent="0.3">
      <c r="A126">
        <v>216</v>
      </c>
      <c r="B126" s="1">
        <f>365.25*24/A126 - L126</f>
        <v>-16.163560154355068</v>
      </c>
      <c r="C126">
        <f>B126</f>
        <v>-16.163560154355068</v>
      </c>
      <c r="D126" t="s">
        <v>29</v>
      </c>
      <c r="E126" t="s">
        <v>21</v>
      </c>
      <c r="F126">
        <v>1</v>
      </c>
      <c r="G126">
        <v>10</v>
      </c>
      <c r="I126">
        <v>2050</v>
      </c>
      <c r="J126">
        <f>AVERAGE(G126:G128)</f>
        <v>15</v>
      </c>
      <c r="K126" cm="1">
        <f t="array" ref="K126">STOWA2019_JAARROND_T(A126*60,J126,I126,"WL","center")</f>
        <v>1.762211001412714E-2</v>
      </c>
      <c r="L126">
        <f>1/K126</f>
        <v>56.746893487688403</v>
      </c>
    </row>
    <row r="127" spans="1:12" x14ac:dyDescent="0.3">
      <c r="A127">
        <v>216</v>
      </c>
      <c r="B127">
        <f t="shared" ref="B127:B131" si="36">L126-L127</f>
        <v>8.0600508365343018</v>
      </c>
      <c r="C127">
        <f t="shared" ref="C127:C156" si="37">B127</f>
        <v>8.0600508365343018</v>
      </c>
      <c r="D127" t="s">
        <v>29</v>
      </c>
      <c r="E127" t="s">
        <v>21</v>
      </c>
      <c r="F127">
        <v>1</v>
      </c>
      <c r="G127">
        <f t="shared" ref="G127:G131" si="38">G126+5</f>
        <v>15</v>
      </c>
      <c r="I127">
        <v>2050</v>
      </c>
      <c r="J127">
        <f t="shared" ref="J127:J131" si="39">AVERAGE(G127:G128)</f>
        <v>17.5</v>
      </c>
      <c r="K127" cm="1">
        <f t="array" ref="K127">STOWA2019_JAARROND_T(A127*60,J127,I127,"WL","center")</f>
        <v>2.0539430070770782E-2</v>
      </c>
      <c r="L127">
        <f t="shared" ref="L127:L131" si="40">1/K127</f>
        <v>48.686842651154102</v>
      </c>
    </row>
    <row r="128" spans="1:12" x14ac:dyDescent="0.3">
      <c r="A128">
        <v>216</v>
      </c>
      <c r="B128">
        <f t="shared" si="36"/>
        <v>7.5902394162339206</v>
      </c>
      <c r="C128">
        <f t="shared" si="37"/>
        <v>7.5902394162339206</v>
      </c>
      <c r="D128" t="s">
        <v>29</v>
      </c>
      <c r="E128" t="s">
        <v>21</v>
      </c>
      <c r="F128">
        <v>1</v>
      </c>
      <c r="G128">
        <f t="shared" si="38"/>
        <v>20</v>
      </c>
      <c r="I128">
        <v>2050</v>
      </c>
      <c r="J128">
        <f t="shared" si="39"/>
        <v>22.5</v>
      </c>
      <c r="K128" cm="1">
        <f t="array" ref="K128">STOWA2019_JAARROND_T(A128*60,J128,I128,"WL","center")</f>
        <v>2.4332911269666451E-2</v>
      </c>
      <c r="L128">
        <f t="shared" si="40"/>
        <v>41.096603234920181</v>
      </c>
    </row>
    <row r="129" spans="1:12" x14ac:dyDescent="0.3">
      <c r="A129">
        <v>216</v>
      </c>
      <c r="B129">
        <f t="shared" si="36"/>
        <v>9.9234466415992237</v>
      </c>
      <c r="C129">
        <f t="shared" si="37"/>
        <v>9.9234466415992237</v>
      </c>
      <c r="D129" t="s">
        <v>29</v>
      </c>
      <c r="E129" t="s">
        <v>21</v>
      </c>
      <c r="F129">
        <v>1</v>
      </c>
      <c r="G129">
        <f t="shared" si="38"/>
        <v>25</v>
      </c>
      <c r="I129">
        <v>2050</v>
      </c>
      <c r="J129">
        <f t="shared" si="39"/>
        <v>27.5</v>
      </c>
      <c r="K129" cm="1">
        <f t="array" ref="K129">STOWA2019_JAARROND_T(A129*60,J129,I129,"WL","center")</f>
        <v>3.2078881617470086E-2</v>
      </c>
      <c r="L129">
        <f t="shared" si="40"/>
        <v>31.173156593320957</v>
      </c>
    </row>
    <row r="130" spans="1:12" x14ac:dyDescent="0.3">
      <c r="A130">
        <v>216</v>
      </c>
      <c r="B130">
        <f t="shared" si="36"/>
        <v>7.3561432456961349</v>
      </c>
      <c r="C130">
        <f t="shared" si="37"/>
        <v>7.3561432456961349</v>
      </c>
      <c r="D130" t="s">
        <v>29</v>
      </c>
      <c r="E130" t="s">
        <v>21</v>
      </c>
      <c r="F130">
        <v>1</v>
      </c>
      <c r="G130">
        <f t="shared" si="38"/>
        <v>30</v>
      </c>
      <c r="I130">
        <v>2050</v>
      </c>
      <c r="J130">
        <f t="shared" si="39"/>
        <v>32.5</v>
      </c>
      <c r="K130" cm="1">
        <f t="array" ref="K130">STOWA2019_JAARROND_T(A130*60,J130,I130,"WL","center")</f>
        <v>4.1986792609314552E-2</v>
      </c>
      <c r="L130">
        <f t="shared" si="40"/>
        <v>23.817013347624822</v>
      </c>
    </row>
    <row r="131" spans="1:12" x14ac:dyDescent="0.3">
      <c r="A131">
        <v>216</v>
      </c>
      <c r="B131">
        <f t="shared" si="36"/>
        <v>5.6084589808448726</v>
      </c>
      <c r="C131">
        <f t="shared" si="37"/>
        <v>5.6084589808448726</v>
      </c>
      <c r="D131" t="s">
        <v>29</v>
      </c>
      <c r="E131" t="s">
        <v>21</v>
      </c>
      <c r="F131">
        <v>1</v>
      </c>
      <c r="G131">
        <f t="shared" si="38"/>
        <v>35</v>
      </c>
      <c r="I131">
        <v>2050</v>
      </c>
      <c r="J131">
        <f t="shared" si="39"/>
        <v>37.5</v>
      </c>
      <c r="K131" cm="1">
        <f t="array" ref="K131">STOWA2019_JAARROND_T(A131*60,J131,I131,"WL","center")</f>
        <v>5.4919241794638016E-2</v>
      </c>
      <c r="L131">
        <f t="shared" si="40"/>
        <v>18.20855436677995</v>
      </c>
    </row>
    <row r="132" spans="1:12" x14ac:dyDescent="0.3">
      <c r="A132">
        <v>216</v>
      </c>
      <c r="B132">
        <f>L131-L132</f>
        <v>4.2936968200496857</v>
      </c>
      <c r="C132">
        <f t="shared" si="37"/>
        <v>4.2936968200496857</v>
      </c>
      <c r="D132" t="s">
        <v>29</v>
      </c>
      <c r="E132" t="s">
        <v>21</v>
      </c>
      <c r="F132">
        <v>1</v>
      </c>
      <c r="G132">
        <f>G131+5</f>
        <v>40</v>
      </c>
      <c r="I132">
        <v>2050</v>
      </c>
      <c r="J132">
        <f>AVERAGE(G132:G133)</f>
        <v>42.5</v>
      </c>
      <c r="K132" cm="1">
        <f t="array" ref="K132">STOWA2019_JAARROND_T(A132*60,J132,I132,"WL","center")</f>
        <v>7.1865629715697779E-2</v>
      </c>
      <c r="L132">
        <f>1/K132</f>
        <v>13.914857546730264</v>
      </c>
    </row>
    <row r="133" spans="1:12" x14ac:dyDescent="0.3">
      <c r="A133">
        <v>216</v>
      </c>
      <c r="B133">
        <f t="shared" ref="B133:B155" si="41">L132-L133</f>
        <v>3.2894099225424576</v>
      </c>
      <c r="C133">
        <f t="shared" si="37"/>
        <v>3.2894099225424576</v>
      </c>
      <c r="D133" t="s">
        <v>29</v>
      </c>
      <c r="E133" t="s">
        <v>21</v>
      </c>
      <c r="F133">
        <v>1</v>
      </c>
      <c r="G133">
        <f t="shared" ref="G133:G156" si="42">G132+5</f>
        <v>45</v>
      </c>
      <c r="I133">
        <v>2050</v>
      </c>
      <c r="J133">
        <f t="shared" ref="J133:J155" si="43">AVERAGE(G133:G134)</f>
        <v>47.5</v>
      </c>
      <c r="K133" cm="1">
        <f t="array" ref="K133">STOWA2019_JAARROND_T(A133*60,J133,I133,"WL","center")</f>
        <v>9.4113682111951355E-2</v>
      </c>
      <c r="L133">
        <f t="shared" ref="L133:L155" si="44">1/K133</f>
        <v>10.625447624187807</v>
      </c>
    </row>
    <row r="134" spans="1:12" x14ac:dyDescent="0.3">
      <c r="A134">
        <v>216</v>
      </c>
      <c r="B134">
        <f t="shared" si="41"/>
        <v>2.5193593655682154</v>
      </c>
      <c r="C134">
        <f t="shared" si="37"/>
        <v>2.5193593655682154</v>
      </c>
      <c r="D134" t="s">
        <v>29</v>
      </c>
      <c r="E134" t="s">
        <v>21</v>
      </c>
      <c r="F134">
        <v>1</v>
      </c>
      <c r="G134">
        <f t="shared" si="42"/>
        <v>50</v>
      </c>
      <c r="I134">
        <v>2050</v>
      </c>
      <c r="J134">
        <f t="shared" si="43"/>
        <v>52.5</v>
      </c>
      <c r="K134" cm="1">
        <f t="array" ref="K134">STOWA2019_JAARROND_T(A134*60,J134,I134,"WL","center")</f>
        <v>0.12336406514407885</v>
      </c>
      <c r="L134">
        <f t="shared" si="44"/>
        <v>8.1060882586195913</v>
      </c>
    </row>
    <row r="135" spans="1:12" x14ac:dyDescent="0.3">
      <c r="A135">
        <v>216</v>
      </c>
      <c r="B135">
        <f t="shared" si="41"/>
        <v>1.9280997640973876</v>
      </c>
      <c r="C135">
        <f t="shared" si="37"/>
        <v>1.9280997640973876</v>
      </c>
      <c r="D135" t="s">
        <v>29</v>
      </c>
      <c r="E135" t="s">
        <v>21</v>
      </c>
      <c r="F135">
        <v>1</v>
      </c>
      <c r="G135">
        <f t="shared" si="42"/>
        <v>55</v>
      </c>
      <c r="I135">
        <v>2050</v>
      </c>
      <c r="J135">
        <f t="shared" si="43"/>
        <v>57.5</v>
      </c>
      <c r="K135" cm="1">
        <f t="array" ref="K135">STOWA2019_JAARROND_T(A135*60,J135,I135,"WL","center")</f>
        <v>0.16186498257267126</v>
      </c>
      <c r="L135">
        <f t="shared" si="44"/>
        <v>6.1779884945222037</v>
      </c>
    </row>
    <row r="136" spans="1:12" x14ac:dyDescent="0.3">
      <c r="A136">
        <v>216</v>
      </c>
      <c r="B136">
        <f t="shared" si="41"/>
        <v>1.4744553687738016</v>
      </c>
      <c r="C136">
        <f t="shared" si="37"/>
        <v>1.4744553687738016</v>
      </c>
      <c r="D136" t="s">
        <v>29</v>
      </c>
      <c r="E136" t="s">
        <v>21</v>
      </c>
      <c r="F136">
        <v>1</v>
      </c>
      <c r="G136">
        <f t="shared" si="42"/>
        <v>60</v>
      </c>
      <c r="I136">
        <v>2050</v>
      </c>
      <c r="J136">
        <f t="shared" si="43"/>
        <v>62.5</v>
      </c>
      <c r="K136" cm="1">
        <f t="array" ref="K136">STOWA2019_JAARROND_T(A136*60,J136,I136,"WL","center")</f>
        <v>0.21260613527429661</v>
      </c>
      <c r="L136">
        <f t="shared" si="44"/>
        <v>4.7035331257484021</v>
      </c>
    </row>
    <row r="137" spans="1:12" x14ac:dyDescent="0.3">
      <c r="A137">
        <v>216</v>
      </c>
      <c r="B137">
        <f t="shared" si="41"/>
        <v>1.1264104193356892</v>
      </c>
      <c r="C137">
        <f t="shared" si="37"/>
        <v>1.1264104193356892</v>
      </c>
      <c r="D137" t="s">
        <v>29</v>
      </c>
      <c r="E137" t="s">
        <v>21</v>
      </c>
      <c r="F137">
        <v>1</v>
      </c>
      <c r="G137">
        <f t="shared" si="42"/>
        <v>65</v>
      </c>
      <c r="I137">
        <v>2050</v>
      </c>
      <c r="J137">
        <f t="shared" si="43"/>
        <v>67.5</v>
      </c>
      <c r="K137" cm="1">
        <f t="array" ref="K137">STOWA2019_JAARROND_T(A137*60,J137,I137,"WL","center")</f>
        <v>0.27955429043775842</v>
      </c>
      <c r="L137">
        <f t="shared" si="44"/>
        <v>3.5771227064127129</v>
      </c>
    </row>
    <row r="138" spans="1:12" x14ac:dyDescent="0.3">
      <c r="A138">
        <v>216</v>
      </c>
      <c r="B138">
        <f t="shared" si="41"/>
        <v>0.85964436480960282</v>
      </c>
      <c r="C138">
        <f t="shared" si="37"/>
        <v>0.85964436480960282</v>
      </c>
      <c r="D138" t="s">
        <v>29</v>
      </c>
      <c r="E138" t="s">
        <v>21</v>
      </c>
      <c r="F138">
        <v>1</v>
      </c>
      <c r="G138">
        <f t="shared" si="42"/>
        <v>70</v>
      </c>
      <c r="I138">
        <v>2050</v>
      </c>
      <c r="J138">
        <f t="shared" si="43"/>
        <v>72.5</v>
      </c>
      <c r="K138" cm="1">
        <f t="array" ref="K138">STOWA2019_JAARROND_T(A138*60,J138,I138,"WL","center")</f>
        <v>0.36798821344426036</v>
      </c>
      <c r="L138">
        <f t="shared" si="44"/>
        <v>2.7174783416031101</v>
      </c>
    </row>
    <row r="139" spans="1:12" x14ac:dyDescent="0.3">
      <c r="A139">
        <v>216</v>
      </c>
      <c r="B139">
        <f t="shared" si="41"/>
        <v>0.65536247320229224</v>
      </c>
      <c r="C139">
        <f t="shared" si="37"/>
        <v>0.65536247320229224</v>
      </c>
      <c r="D139" t="s">
        <v>29</v>
      </c>
      <c r="E139" t="s">
        <v>21</v>
      </c>
      <c r="F139">
        <v>1</v>
      </c>
      <c r="G139">
        <f t="shared" si="42"/>
        <v>75</v>
      </c>
      <c r="I139">
        <v>2050</v>
      </c>
      <c r="J139">
        <f t="shared" si="43"/>
        <v>77.5</v>
      </c>
      <c r="K139" cm="1">
        <f t="array" ref="K139">STOWA2019_JAARROND_T(A139*60,J139,I139,"WL","center")</f>
        <v>0.48493880257829813</v>
      </c>
      <c r="L139">
        <f t="shared" si="44"/>
        <v>2.0621158684008178</v>
      </c>
    </row>
    <row r="140" spans="1:12" x14ac:dyDescent="0.3">
      <c r="A140">
        <v>216</v>
      </c>
      <c r="B140">
        <f t="shared" si="41"/>
        <v>0.49910831586646243</v>
      </c>
      <c r="C140">
        <f t="shared" si="37"/>
        <v>0.49910831586646243</v>
      </c>
      <c r="D140" t="s">
        <v>29</v>
      </c>
      <c r="E140" t="s">
        <v>21</v>
      </c>
      <c r="F140">
        <v>1</v>
      </c>
      <c r="G140">
        <f t="shared" si="42"/>
        <v>80</v>
      </c>
      <c r="I140">
        <v>2050</v>
      </c>
      <c r="J140">
        <f t="shared" si="43"/>
        <v>82.5</v>
      </c>
      <c r="K140" cm="1">
        <f t="array" ref="K140">STOWA2019_JAARROND_T(A140*60,J140,I140,"WL","center")</f>
        <v>0.63979217399080335</v>
      </c>
      <c r="L140">
        <f t="shared" si="44"/>
        <v>1.5630075525343554</v>
      </c>
    </row>
    <row r="141" spans="1:12" x14ac:dyDescent="0.3">
      <c r="A141">
        <v>216</v>
      </c>
      <c r="B141">
        <f t="shared" si="41"/>
        <v>0.37965413196389663</v>
      </c>
      <c r="C141">
        <f t="shared" si="37"/>
        <v>0.37965413196389663</v>
      </c>
      <c r="D141" t="s">
        <v>29</v>
      </c>
      <c r="E141" t="s">
        <v>21</v>
      </c>
      <c r="F141">
        <v>1</v>
      </c>
      <c r="G141">
        <f t="shared" si="42"/>
        <v>85</v>
      </c>
      <c r="I141">
        <v>2050</v>
      </c>
      <c r="J141">
        <f t="shared" si="43"/>
        <v>87.5</v>
      </c>
      <c r="K141" cm="1">
        <f t="array" ref="K141">STOWA2019_JAARROND_T(A141*60,J141,I141,"WL","center")</f>
        <v>0.84505607759846624</v>
      </c>
      <c r="L141">
        <f t="shared" si="44"/>
        <v>1.1833534205704588</v>
      </c>
    </row>
    <row r="142" spans="1:12" x14ac:dyDescent="0.3">
      <c r="A142">
        <v>216</v>
      </c>
      <c r="B142">
        <f t="shared" si="41"/>
        <v>0.2884180057393988</v>
      </c>
      <c r="C142">
        <f t="shared" si="37"/>
        <v>0.2884180057393988</v>
      </c>
      <c r="D142" t="s">
        <v>29</v>
      </c>
      <c r="E142" t="s">
        <v>21</v>
      </c>
      <c r="F142">
        <v>1</v>
      </c>
      <c r="G142">
        <f t="shared" si="42"/>
        <v>90</v>
      </c>
      <c r="I142">
        <v>2050</v>
      </c>
      <c r="J142">
        <f t="shared" si="43"/>
        <v>92.5</v>
      </c>
      <c r="K142" cm="1">
        <f t="array" ref="K142">STOWA2019_JAARROND_T(A142*60,J142,I142,"WL","center")</f>
        <v>1.1173990697292646</v>
      </c>
      <c r="L142">
        <f t="shared" si="44"/>
        <v>0.89493541483105998</v>
      </c>
    </row>
    <row r="143" spans="1:12" x14ac:dyDescent="0.3">
      <c r="A143">
        <v>216</v>
      </c>
      <c r="B143">
        <f t="shared" si="41"/>
        <v>0.21896667882153731</v>
      </c>
      <c r="C143">
        <f t="shared" si="37"/>
        <v>0.21896667882153731</v>
      </c>
      <c r="D143" t="s">
        <v>29</v>
      </c>
      <c r="E143" t="s">
        <v>21</v>
      </c>
      <c r="F143">
        <v>1</v>
      </c>
      <c r="G143">
        <f t="shared" si="42"/>
        <v>95</v>
      </c>
      <c r="I143">
        <v>2050</v>
      </c>
      <c r="J143">
        <f t="shared" si="43"/>
        <v>97.5</v>
      </c>
      <c r="K143" cm="1">
        <f t="array" ref="K143">STOWA2019_JAARROND_T(A143*60,J143,I143,"WL","center")</f>
        <v>1.4793583589432642</v>
      </c>
      <c r="L143">
        <f t="shared" si="44"/>
        <v>0.67596873600952267</v>
      </c>
    </row>
    <row r="144" spans="1:12" x14ac:dyDescent="0.3">
      <c r="A144">
        <v>216</v>
      </c>
      <c r="B144">
        <f t="shared" si="41"/>
        <v>0.16600302461417993</v>
      </c>
      <c r="C144">
        <f t="shared" si="37"/>
        <v>0.16600302461417993</v>
      </c>
      <c r="D144" t="s">
        <v>29</v>
      </c>
      <c r="E144" t="s">
        <v>21</v>
      </c>
      <c r="F144">
        <v>1</v>
      </c>
      <c r="G144">
        <f t="shared" si="42"/>
        <v>100</v>
      </c>
      <c r="I144">
        <v>2050</v>
      </c>
      <c r="J144">
        <f t="shared" si="43"/>
        <v>102.5</v>
      </c>
      <c r="K144" cm="1">
        <f t="array" ref="K144">STOWA2019_JAARROND_T(A144*60,J144,I144,"WL","center")</f>
        <v>1.9609161511346516</v>
      </c>
      <c r="L144">
        <f t="shared" si="44"/>
        <v>0.50996571139534275</v>
      </c>
    </row>
    <row r="145" spans="1:12" x14ac:dyDescent="0.3">
      <c r="A145">
        <v>216</v>
      </c>
      <c r="B145">
        <f t="shared" si="41"/>
        <v>0.12569466871092744</v>
      </c>
      <c r="C145">
        <f t="shared" si="37"/>
        <v>0.12569466871092744</v>
      </c>
      <c r="D145" t="s">
        <v>29</v>
      </c>
      <c r="E145" t="s">
        <v>21</v>
      </c>
      <c r="F145">
        <v>1</v>
      </c>
      <c r="G145">
        <f t="shared" si="42"/>
        <v>105</v>
      </c>
      <c r="I145">
        <v>2050</v>
      </c>
      <c r="J145">
        <f t="shared" si="43"/>
        <v>107.5</v>
      </c>
      <c r="K145" cm="1">
        <f t="array" ref="K145">STOWA2019_JAARROND_T(A145*60,J145,I145,"WL","center")</f>
        <v>2.6023298373311348</v>
      </c>
      <c r="L145">
        <f t="shared" si="44"/>
        <v>0.38427104268441531</v>
      </c>
    </row>
    <row r="146" spans="1:12" x14ac:dyDescent="0.3">
      <c r="A146">
        <v>216</v>
      </c>
      <c r="B146">
        <f t="shared" si="41"/>
        <v>9.5067997783332914E-2</v>
      </c>
      <c r="C146">
        <f t="shared" si="37"/>
        <v>9.5067997783332914E-2</v>
      </c>
      <c r="D146" t="s">
        <v>29</v>
      </c>
      <c r="E146" t="s">
        <v>21</v>
      </c>
      <c r="F146">
        <v>1</v>
      </c>
      <c r="G146">
        <f t="shared" si="42"/>
        <v>110</v>
      </c>
      <c r="I146">
        <v>2050</v>
      </c>
      <c r="J146">
        <f t="shared" si="43"/>
        <v>112.5</v>
      </c>
      <c r="K146" cm="1">
        <f t="array" ref="K146">STOWA2019_JAARROND_T(A146*60,J146,I146,"WL","center")</f>
        <v>3.4577782552117844</v>
      </c>
      <c r="L146">
        <f t="shared" si="44"/>
        <v>0.2892030449010824</v>
      </c>
    </row>
    <row r="147" spans="1:12" x14ac:dyDescent="0.3">
      <c r="A147">
        <v>216</v>
      </c>
      <c r="B147">
        <f t="shared" si="41"/>
        <v>7.1813487669459442E-2</v>
      </c>
      <c r="C147">
        <f t="shared" si="37"/>
        <v>7.1813487669459442E-2</v>
      </c>
      <c r="D147" t="s">
        <v>29</v>
      </c>
      <c r="E147" t="s">
        <v>21</v>
      </c>
      <c r="F147">
        <v>1</v>
      </c>
      <c r="G147">
        <f t="shared" si="42"/>
        <v>115</v>
      </c>
      <c r="I147">
        <v>2050</v>
      </c>
      <c r="J147">
        <f t="shared" si="43"/>
        <v>117.5</v>
      </c>
      <c r="K147" cm="1">
        <f t="array" ref="K147">STOWA2019_JAARROND_T(A147*60,J147,I147,"WL","center")</f>
        <v>4.6000369692759708</v>
      </c>
      <c r="L147">
        <f t="shared" si="44"/>
        <v>0.21738955723162295</v>
      </c>
    </row>
    <row r="148" spans="1:12" x14ac:dyDescent="0.3">
      <c r="A148">
        <v>216</v>
      </c>
      <c r="B148">
        <f t="shared" si="41"/>
        <v>5.4183190085316635E-2</v>
      </c>
      <c r="C148">
        <f t="shared" si="37"/>
        <v>5.4183190085316635E-2</v>
      </c>
      <c r="D148" t="s">
        <v>29</v>
      </c>
      <c r="E148" t="s">
        <v>21</v>
      </c>
      <c r="F148">
        <v>1</v>
      </c>
      <c r="G148">
        <f t="shared" si="42"/>
        <v>120</v>
      </c>
      <c r="I148">
        <v>2050</v>
      </c>
      <c r="J148">
        <f t="shared" si="43"/>
        <v>122.5</v>
      </c>
      <c r="K148" cm="1">
        <f t="array" ref="K148">STOWA2019_JAARROND_T(A148*60,J148,I148,"WL","center")</f>
        <v>6.1272119310366744</v>
      </c>
      <c r="L148">
        <f t="shared" si="44"/>
        <v>0.16320636714630632</v>
      </c>
    </row>
    <row r="149" spans="1:12" x14ac:dyDescent="0.3">
      <c r="A149">
        <v>216</v>
      </c>
      <c r="B149">
        <f t="shared" si="41"/>
        <v>4.0831211736536865E-2</v>
      </c>
      <c r="C149">
        <f t="shared" si="37"/>
        <v>4.0831211736536865E-2</v>
      </c>
      <c r="D149" t="s">
        <v>29</v>
      </c>
      <c r="E149" t="s">
        <v>21</v>
      </c>
      <c r="F149">
        <v>1</v>
      </c>
      <c r="G149">
        <f t="shared" si="42"/>
        <v>125</v>
      </c>
      <c r="I149">
        <v>2050</v>
      </c>
      <c r="J149">
        <f t="shared" si="43"/>
        <v>127.5</v>
      </c>
      <c r="K149" cm="1">
        <f t="array" ref="K149">STOWA2019_JAARROND_T(A149*60,J149,I149,"WL","center")</f>
        <v>8.1715932997309029</v>
      </c>
      <c r="L149">
        <f t="shared" si="44"/>
        <v>0.12237515540976945</v>
      </c>
    </row>
    <row r="150" spans="1:12" x14ac:dyDescent="0.3">
      <c r="A150">
        <v>216</v>
      </c>
      <c r="B150">
        <f t="shared" si="41"/>
        <v>3.0731537162134698E-2</v>
      </c>
      <c r="C150">
        <f t="shared" si="37"/>
        <v>3.0731537162134698E-2</v>
      </c>
      <c r="D150" t="s">
        <v>29</v>
      </c>
      <c r="E150" t="s">
        <v>21</v>
      </c>
      <c r="F150">
        <v>1</v>
      </c>
      <c r="G150">
        <f t="shared" si="42"/>
        <v>130</v>
      </c>
      <c r="I150">
        <v>2050</v>
      </c>
      <c r="J150">
        <f t="shared" si="43"/>
        <v>132.5</v>
      </c>
      <c r="K150" cm="1">
        <f t="array" ref="K150">STOWA2019_JAARROND_T(A150*60,J150,I150,"WL","center")</f>
        <v>10.911834551292491</v>
      </c>
      <c r="L150">
        <f t="shared" si="44"/>
        <v>9.1643618247634756E-2</v>
      </c>
    </row>
    <row r="151" spans="1:12" x14ac:dyDescent="0.3">
      <c r="A151">
        <v>216</v>
      </c>
      <c r="B151">
        <f t="shared" si="41"/>
        <v>2.3101261606099113E-2</v>
      </c>
      <c r="C151">
        <f t="shared" si="37"/>
        <v>2.3101261606099113E-2</v>
      </c>
      <c r="D151" t="s">
        <v>29</v>
      </c>
      <c r="E151" t="s">
        <v>21</v>
      </c>
      <c r="F151">
        <v>1</v>
      </c>
      <c r="G151">
        <f t="shared" si="42"/>
        <v>135</v>
      </c>
      <c r="I151">
        <v>2050</v>
      </c>
      <c r="J151">
        <f t="shared" si="43"/>
        <v>137.5</v>
      </c>
      <c r="K151" cm="1">
        <f t="array" ref="K151">STOWA2019_JAARROND_T(A151*60,J151,I151,"WL","center")</f>
        <v>14.589518788065932</v>
      </c>
      <c r="L151">
        <f t="shared" si="44"/>
        <v>6.8542356641535643E-2</v>
      </c>
    </row>
    <row r="152" spans="1:12" x14ac:dyDescent="0.3">
      <c r="A152">
        <v>216</v>
      </c>
      <c r="B152">
        <f t="shared" si="41"/>
        <v>1.7343691134000326E-2</v>
      </c>
      <c r="C152">
        <f t="shared" si="37"/>
        <v>1.7343691134000326E-2</v>
      </c>
      <c r="D152" t="s">
        <v>29</v>
      </c>
      <c r="E152" t="s">
        <v>21</v>
      </c>
      <c r="F152">
        <v>1</v>
      </c>
      <c r="G152">
        <f t="shared" si="42"/>
        <v>140</v>
      </c>
      <c r="I152">
        <v>2050</v>
      </c>
      <c r="J152">
        <f t="shared" si="43"/>
        <v>142.5</v>
      </c>
      <c r="K152" cm="1">
        <f t="array" ref="K152">STOWA2019_JAARROND_T(A152*60,J152,I152,"WL","center")</f>
        <v>19.531759081744465</v>
      </c>
      <c r="L152">
        <f t="shared" si="44"/>
        <v>5.1198665507535317E-2</v>
      </c>
    </row>
    <row r="153" spans="1:12" x14ac:dyDescent="0.3">
      <c r="A153">
        <v>216</v>
      </c>
      <c r="B153">
        <f t="shared" si="41"/>
        <v>1.3004822420184678E-2</v>
      </c>
      <c r="C153">
        <f t="shared" si="37"/>
        <v>1.3004822420184678E-2</v>
      </c>
      <c r="D153" t="s">
        <v>29</v>
      </c>
      <c r="E153" t="s">
        <v>21</v>
      </c>
      <c r="F153">
        <v>1</v>
      </c>
      <c r="G153">
        <f t="shared" si="42"/>
        <v>145</v>
      </c>
      <c r="I153">
        <v>2050</v>
      </c>
      <c r="J153">
        <f t="shared" si="43"/>
        <v>147.5</v>
      </c>
      <c r="K153" cm="1">
        <f t="array" ref="K153">STOWA2019_JAARROND_T(A153*60,J153,I153,"WL","center")</f>
        <v>26.182230411141543</v>
      </c>
      <c r="L153">
        <f t="shared" si="44"/>
        <v>3.8193843087350639E-2</v>
      </c>
    </row>
    <row r="154" spans="1:12" x14ac:dyDescent="0.3">
      <c r="A154">
        <v>216</v>
      </c>
      <c r="B154">
        <f t="shared" si="41"/>
        <v>9.7385338143105606E-3</v>
      </c>
      <c r="C154">
        <f t="shared" si="37"/>
        <v>9.7385338143105606E-3</v>
      </c>
      <c r="D154" t="s">
        <v>29</v>
      </c>
      <c r="E154" t="s">
        <v>21</v>
      </c>
      <c r="F154">
        <v>1</v>
      </c>
      <c r="G154">
        <f t="shared" si="42"/>
        <v>150</v>
      </c>
      <c r="I154">
        <v>2050</v>
      </c>
      <c r="J154">
        <f t="shared" si="43"/>
        <v>152.5</v>
      </c>
      <c r="K154" cm="1">
        <f t="array" ref="K154">STOWA2019_JAARROND_T(A154*60,J154,I154,"WL","center")</f>
        <v>35.142826612938904</v>
      </c>
      <c r="L154">
        <f t="shared" si="44"/>
        <v>2.8455309273040078E-2</v>
      </c>
    </row>
    <row r="155" spans="1:12" x14ac:dyDescent="0.3">
      <c r="A155">
        <v>216</v>
      </c>
      <c r="B155">
        <f t="shared" si="41"/>
        <v>7.2833692209461967E-3</v>
      </c>
      <c r="C155">
        <f t="shared" si="37"/>
        <v>7.2833692209461967E-3</v>
      </c>
      <c r="D155" t="s">
        <v>29</v>
      </c>
      <c r="E155" t="s">
        <v>21</v>
      </c>
      <c r="F155">
        <v>1</v>
      </c>
      <c r="G155">
        <f t="shared" si="42"/>
        <v>155</v>
      </c>
      <c r="I155">
        <v>2050</v>
      </c>
      <c r="J155">
        <f t="shared" si="43"/>
        <v>157.5</v>
      </c>
      <c r="K155" cm="1">
        <f t="array" ref="K155">STOWA2019_JAARROND_T(A155*60,J155,I155,"WL","center")</f>
        <v>47.232327200033851</v>
      </c>
      <c r="L155">
        <f t="shared" si="44"/>
        <v>2.1171940052093881E-2</v>
      </c>
    </row>
    <row r="156" spans="1:12" x14ac:dyDescent="0.3">
      <c r="A156">
        <v>216</v>
      </c>
      <c r="B156" s="1">
        <f>L155</f>
        <v>2.1171940052093881E-2</v>
      </c>
      <c r="C156">
        <f t="shared" si="37"/>
        <v>2.1171940052093881E-2</v>
      </c>
      <c r="D156" t="s">
        <v>29</v>
      </c>
      <c r="E156" t="s">
        <v>21</v>
      </c>
      <c r="F156">
        <v>1</v>
      </c>
      <c r="G156">
        <f t="shared" si="42"/>
        <v>160</v>
      </c>
      <c r="I156">
        <v>2050</v>
      </c>
      <c r="J156">
        <f>AVERAGE(G156:G157)</f>
        <v>160</v>
      </c>
      <c r="K156" cm="1">
        <f t="array" ref="K156">STOWA2019_JAARROND_T(A156*60,J156,I156,"WL","center")</f>
        <v>54.784415918529341</v>
      </c>
      <c r="L156">
        <f>1/K156</f>
        <v>1.8253366093874464E-2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F07BC-9C51-4F63-AC28-DBB94C7D97D9}">
  <sheetPr codeName="Blad14"/>
  <dimension ref="A1:L156"/>
  <sheetViews>
    <sheetView workbookViewId="0">
      <selection activeCell="D9" sqref="D9"/>
    </sheetView>
  </sheetViews>
  <sheetFormatPr defaultRowHeight="14.4" x14ac:dyDescent="0.3"/>
  <cols>
    <col min="2" max="3" width="12" bestFit="1" customWidth="1"/>
    <col min="4" max="4" width="26.77734375" bestFit="1" customWidth="1"/>
    <col min="11" max="11" width="10.5546875" bestFit="1" customWidth="1"/>
  </cols>
  <sheetData>
    <row r="1" spans="1:12" x14ac:dyDescent="0.3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20</v>
      </c>
      <c r="G1" t="s">
        <v>1</v>
      </c>
      <c r="I1" t="s">
        <v>4</v>
      </c>
      <c r="J1" t="s">
        <v>13</v>
      </c>
      <c r="K1" t="s">
        <v>2</v>
      </c>
      <c r="L1" t="s">
        <v>3</v>
      </c>
    </row>
    <row r="2" spans="1:12" x14ac:dyDescent="0.3">
      <c r="A2">
        <v>24</v>
      </c>
      <c r="B2" s="1">
        <f>365.25*24/A2 - L2</f>
        <v>357.93963911805213</v>
      </c>
      <c r="C2">
        <f>B2</f>
        <v>357.93963911805213</v>
      </c>
      <c r="D2" t="s">
        <v>29</v>
      </c>
      <c r="E2" t="s">
        <v>19</v>
      </c>
      <c r="F2">
        <v>1</v>
      </c>
      <c r="G2">
        <v>10</v>
      </c>
      <c r="I2">
        <v>2050</v>
      </c>
      <c r="J2">
        <f>AVERAGE(G2:G4)</f>
        <v>15</v>
      </c>
      <c r="K2" cm="1">
        <f t="array" ref="K2">STOWA2019_NDJF_T(A2*60,J2,I2,"WL","center")</f>
        <v>0.13679215241882137</v>
      </c>
      <c r="L2">
        <f>1/K2</f>
        <v>7.3103608819478527</v>
      </c>
    </row>
    <row r="3" spans="1:12" x14ac:dyDescent="0.3">
      <c r="A3">
        <v>24</v>
      </c>
      <c r="B3">
        <f t="shared" ref="B3:B7" si="0">L2-L3</f>
        <v>2.5824036851082024</v>
      </c>
      <c r="C3">
        <f t="shared" ref="C3:C32" si="1">B3</f>
        <v>2.5824036851082024</v>
      </c>
      <c r="D3" t="s">
        <v>29</v>
      </c>
      <c r="E3" t="s">
        <v>19</v>
      </c>
      <c r="F3">
        <v>1</v>
      </c>
      <c r="G3">
        <f t="shared" ref="G3:G7" si="2">G2+5</f>
        <v>15</v>
      </c>
      <c r="I3">
        <v>2050</v>
      </c>
      <c r="J3">
        <f t="shared" ref="J3:J7" si="3">AVERAGE(G3:G4)</f>
        <v>17.5</v>
      </c>
      <c r="K3" cm="1">
        <f t="array" ref="K3">STOWA2019_NDJF_T(A3*60,J3,I3,"WL","center")</f>
        <v>0.21150783697205186</v>
      </c>
      <c r="L3">
        <f t="shared" ref="L3:L7" si="4">1/K3</f>
        <v>4.7279571968396503</v>
      </c>
    </row>
    <row r="4" spans="1:12" x14ac:dyDescent="0.3">
      <c r="A4">
        <v>24</v>
      </c>
      <c r="B4">
        <f t="shared" si="0"/>
        <v>2.6706837446483207</v>
      </c>
      <c r="C4">
        <f t="shared" si="1"/>
        <v>2.6706837446483207</v>
      </c>
      <c r="D4" t="s">
        <v>29</v>
      </c>
      <c r="E4" t="s">
        <v>19</v>
      </c>
      <c r="F4">
        <v>1</v>
      </c>
      <c r="G4">
        <f t="shared" si="2"/>
        <v>20</v>
      </c>
      <c r="I4">
        <v>2050</v>
      </c>
      <c r="J4">
        <f t="shared" si="3"/>
        <v>22.5</v>
      </c>
      <c r="K4" cm="1">
        <f t="array" ref="K4">STOWA2019_NDJF_T(A4*60,J4,I4,"WL","center")</f>
        <v>0.48608025293615581</v>
      </c>
      <c r="L4">
        <f t="shared" si="4"/>
        <v>2.0572734521913296</v>
      </c>
    </row>
    <row r="5" spans="1:12" x14ac:dyDescent="0.3">
      <c r="A5">
        <v>24</v>
      </c>
      <c r="B5">
        <f t="shared" si="0"/>
        <v>1.1182484311472691</v>
      </c>
      <c r="C5">
        <f t="shared" si="1"/>
        <v>1.1182484311472691</v>
      </c>
      <c r="D5" t="s">
        <v>29</v>
      </c>
      <c r="E5" t="s">
        <v>19</v>
      </c>
      <c r="F5">
        <v>1</v>
      </c>
      <c r="G5">
        <f t="shared" si="2"/>
        <v>25</v>
      </c>
      <c r="I5">
        <v>2050</v>
      </c>
      <c r="J5">
        <f t="shared" si="3"/>
        <v>27.5</v>
      </c>
      <c r="K5" cm="1">
        <f t="array" ref="K5">STOWA2019_NDJF_T(A5*60,J5,I5,"WL","center")</f>
        <v>1.0649343495534807</v>
      </c>
      <c r="L5">
        <f t="shared" si="4"/>
        <v>0.93902502104406049</v>
      </c>
    </row>
    <row r="6" spans="1:12" x14ac:dyDescent="0.3">
      <c r="A6">
        <v>24</v>
      </c>
      <c r="B6">
        <f t="shared" si="0"/>
        <v>0.49186356648270108</v>
      </c>
      <c r="C6">
        <f t="shared" si="1"/>
        <v>0.49186356648270108</v>
      </c>
      <c r="D6" t="s">
        <v>29</v>
      </c>
      <c r="E6" t="s">
        <v>19</v>
      </c>
      <c r="F6">
        <v>1</v>
      </c>
      <c r="G6">
        <f t="shared" si="2"/>
        <v>30</v>
      </c>
      <c r="I6">
        <v>2050</v>
      </c>
      <c r="J6">
        <f t="shared" si="3"/>
        <v>32.5</v>
      </c>
      <c r="K6" cm="1">
        <f t="array" ref="K6">STOWA2019_NDJF_T(A6*60,J6,I6,"WL","center")</f>
        <v>2.2363287125920648</v>
      </c>
      <c r="L6">
        <f t="shared" si="4"/>
        <v>0.44716145456135942</v>
      </c>
    </row>
    <row r="7" spans="1:12" x14ac:dyDescent="0.3">
      <c r="A7">
        <v>24</v>
      </c>
      <c r="B7">
        <f t="shared" si="0"/>
        <v>0.22595247040980884</v>
      </c>
      <c r="C7">
        <f t="shared" si="1"/>
        <v>0.22595247040980884</v>
      </c>
      <c r="D7" t="s">
        <v>29</v>
      </c>
      <c r="E7" t="s">
        <v>19</v>
      </c>
      <c r="F7">
        <v>1</v>
      </c>
      <c r="G7">
        <f t="shared" si="2"/>
        <v>35</v>
      </c>
      <c r="I7">
        <v>2050</v>
      </c>
      <c r="J7">
        <f t="shared" si="3"/>
        <v>37.5</v>
      </c>
      <c r="K7" cm="1">
        <f t="array" ref="K7">STOWA2019_NDJF_T(A7*60,J7,I7,"WL","center")</f>
        <v>4.5206120530570253</v>
      </c>
      <c r="L7">
        <f t="shared" si="4"/>
        <v>0.22120898415155058</v>
      </c>
    </row>
    <row r="8" spans="1:12" x14ac:dyDescent="0.3">
      <c r="A8">
        <v>24</v>
      </c>
      <c r="B8">
        <f>L7-L8</f>
        <v>0.10794806231103776</v>
      </c>
      <c r="C8">
        <f t="shared" si="1"/>
        <v>0.10794806231103776</v>
      </c>
      <c r="D8" t="s">
        <v>29</v>
      </c>
      <c r="E8" t="s">
        <v>19</v>
      </c>
      <c r="F8">
        <v>1</v>
      </c>
      <c r="G8">
        <f>G7+5</f>
        <v>40</v>
      </c>
      <c r="I8">
        <v>2050</v>
      </c>
      <c r="J8">
        <f>AVERAGE(G8:G9)</f>
        <v>42.5</v>
      </c>
      <c r="K8" cm="1">
        <f t="array" ref="K8">STOWA2019_NDJF_T(A8*60,J8,I8,"WL","center")</f>
        <v>8.8291705890239847</v>
      </c>
      <c r="L8">
        <f>1/K8</f>
        <v>0.11326092184051281</v>
      </c>
    </row>
    <row r="9" spans="1:12" x14ac:dyDescent="0.3">
      <c r="A9">
        <v>24</v>
      </c>
      <c r="B9">
        <f t="shared" ref="B9:B31" si="5">L8-L9</f>
        <v>5.3432581812335123E-2</v>
      </c>
      <c r="C9">
        <f t="shared" si="1"/>
        <v>5.3432581812335123E-2</v>
      </c>
      <c r="D9" t="s">
        <v>29</v>
      </c>
      <c r="E9" t="s">
        <v>19</v>
      </c>
      <c r="F9">
        <v>1</v>
      </c>
      <c r="G9">
        <f t="shared" ref="G9:G32" si="6">G8+5</f>
        <v>45</v>
      </c>
      <c r="I9">
        <v>2050</v>
      </c>
      <c r="J9">
        <f t="shared" ref="J9:J31" si="7">AVERAGE(G9:G10)</f>
        <v>47.5</v>
      </c>
      <c r="K9" cm="1">
        <f t="array" ref="K9">STOWA2019_NDJF_T(A9*60,J9,I9,"WL","center")</f>
        <v>16.714486805567802</v>
      </c>
      <c r="L9">
        <f t="shared" ref="L9:L31" si="8">1/K9</f>
        <v>5.982834002817769E-2</v>
      </c>
    </row>
    <row r="10" spans="1:12" x14ac:dyDescent="0.3">
      <c r="A10">
        <v>24</v>
      </c>
      <c r="B10">
        <f t="shared" si="5"/>
        <v>2.7313811221777673E-2</v>
      </c>
      <c r="C10">
        <f t="shared" si="1"/>
        <v>2.7313811221777673E-2</v>
      </c>
      <c r="D10" t="s">
        <v>29</v>
      </c>
      <c r="E10" t="s">
        <v>19</v>
      </c>
      <c r="F10">
        <v>1</v>
      </c>
      <c r="G10">
        <f t="shared" si="6"/>
        <v>50</v>
      </c>
      <c r="I10">
        <v>2050</v>
      </c>
      <c r="J10">
        <f t="shared" si="7"/>
        <v>52.5</v>
      </c>
      <c r="K10" cm="1">
        <f t="array" ref="K10">STOWA2019_NDJF_T(A10*60,J10,I10,"WL","center")</f>
        <v>30.755481832575857</v>
      </c>
      <c r="L10">
        <f t="shared" si="8"/>
        <v>3.2514528806400017E-2</v>
      </c>
    </row>
    <row r="11" spans="1:12" x14ac:dyDescent="0.3">
      <c r="A11">
        <v>24</v>
      </c>
      <c r="B11">
        <f t="shared" si="5"/>
        <v>1.4379080076365288E-2</v>
      </c>
      <c r="C11">
        <f t="shared" si="1"/>
        <v>1.4379080076365288E-2</v>
      </c>
      <c r="D11" t="s">
        <v>29</v>
      </c>
      <c r="E11" t="s">
        <v>19</v>
      </c>
      <c r="F11">
        <v>1</v>
      </c>
      <c r="G11">
        <f t="shared" si="6"/>
        <v>55</v>
      </c>
      <c r="I11">
        <v>2050</v>
      </c>
      <c r="J11">
        <f t="shared" si="7"/>
        <v>57.5</v>
      </c>
      <c r="K11" cm="1">
        <f t="array" ref="K11">STOWA2019_NDJF_T(A11*60,J11,I11,"WL","center")</f>
        <v>55.140626233519455</v>
      </c>
      <c r="L11">
        <f t="shared" si="8"/>
        <v>1.8135448730034729E-2</v>
      </c>
    </row>
    <row r="12" spans="1:12" x14ac:dyDescent="0.3">
      <c r="A12">
        <v>24</v>
      </c>
      <c r="B12">
        <f t="shared" si="5"/>
        <v>7.7757174896655283E-3</v>
      </c>
      <c r="C12">
        <f t="shared" si="1"/>
        <v>7.7757174896655283E-3</v>
      </c>
      <c r="D12" t="s">
        <v>29</v>
      </c>
      <c r="E12" t="s">
        <v>19</v>
      </c>
      <c r="F12">
        <v>1</v>
      </c>
      <c r="G12">
        <f t="shared" si="6"/>
        <v>60</v>
      </c>
      <c r="I12">
        <v>2050</v>
      </c>
      <c r="J12">
        <f t="shared" si="7"/>
        <v>62.5</v>
      </c>
      <c r="K12" cm="1">
        <f t="array" ref="K12">STOWA2019_NDJF_T(A12*60,J12,I12,"WL","center")</f>
        <v>96.527600648871854</v>
      </c>
      <c r="L12">
        <f t="shared" si="8"/>
        <v>1.0359731240369201E-2</v>
      </c>
    </row>
    <row r="13" spans="1:12" x14ac:dyDescent="0.3">
      <c r="A13">
        <v>24</v>
      </c>
      <c r="B13">
        <f t="shared" si="5"/>
        <v>4.3101810154252494E-3</v>
      </c>
      <c r="C13">
        <f t="shared" si="1"/>
        <v>4.3101810154252494E-3</v>
      </c>
      <c r="D13" t="s">
        <v>29</v>
      </c>
      <c r="E13" t="s">
        <v>19</v>
      </c>
      <c r="F13">
        <v>1</v>
      </c>
      <c r="G13">
        <f t="shared" si="6"/>
        <v>65</v>
      </c>
      <c r="I13">
        <v>2050</v>
      </c>
      <c r="J13">
        <f t="shared" si="7"/>
        <v>67.5</v>
      </c>
      <c r="K13" cm="1">
        <f t="array" ref="K13">STOWA2019_NDJF_T(A13*60,J13,I13,"WL","center")</f>
        <v>165.30154520855555</v>
      </c>
      <c r="L13">
        <f t="shared" si="8"/>
        <v>6.0495502249439514E-3</v>
      </c>
    </row>
    <row r="14" spans="1:12" x14ac:dyDescent="0.3">
      <c r="A14">
        <v>24</v>
      </c>
      <c r="B14">
        <f t="shared" si="5"/>
        <v>2.4444214254746217E-3</v>
      </c>
      <c r="C14">
        <f t="shared" si="1"/>
        <v>2.4444214254746217E-3</v>
      </c>
      <c r="D14" t="s">
        <v>29</v>
      </c>
      <c r="E14" t="s">
        <v>19</v>
      </c>
      <c r="F14">
        <v>1</v>
      </c>
      <c r="G14">
        <f t="shared" si="6"/>
        <v>70</v>
      </c>
      <c r="I14">
        <v>2050</v>
      </c>
      <c r="J14">
        <f t="shared" si="7"/>
        <v>72.5</v>
      </c>
      <c r="K14" cm="1">
        <f t="array" ref="K14">STOWA2019_NDJF_T(A14*60,J14,I14,"WL","center")</f>
        <v>277.38260007442693</v>
      </c>
      <c r="L14">
        <f t="shared" si="8"/>
        <v>3.6051287994693297E-3</v>
      </c>
    </row>
    <row r="15" spans="1:12" x14ac:dyDescent="0.3">
      <c r="A15">
        <v>24</v>
      </c>
      <c r="B15">
        <f t="shared" si="5"/>
        <v>1.4158149803335349E-3</v>
      </c>
      <c r="C15">
        <f t="shared" si="1"/>
        <v>1.4158149803335349E-3</v>
      </c>
      <c r="D15" t="s">
        <v>29</v>
      </c>
      <c r="E15" t="s">
        <v>19</v>
      </c>
      <c r="F15">
        <v>1</v>
      </c>
      <c r="G15">
        <f t="shared" si="6"/>
        <v>75</v>
      </c>
      <c r="I15">
        <v>2050</v>
      </c>
      <c r="J15">
        <f t="shared" si="7"/>
        <v>77.5</v>
      </c>
      <c r="K15" cm="1">
        <f t="array" ref="K15">STOWA2019_NDJF_T(A15*60,J15,I15,"WL","center")</f>
        <v>456.76411999936028</v>
      </c>
      <c r="L15">
        <f t="shared" si="8"/>
        <v>2.1893138191357948E-3</v>
      </c>
    </row>
    <row r="16" spans="1:12" x14ac:dyDescent="0.3">
      <c r="A16">
        <v>24</v>
      </c>
      <c r="B16">
        <f t="shared" si="5"/>
        <v>8.3629120541133298E-4</v>
      </c>
      <c r="C16">
        <f t="shared" si="1"/>
        <v>8.3629120541133298E-4</v>
      </c>
      <c r="D16" t="s">
        <v>29</v>
      </c>
      <c r="E16" t="s">
        <v>19</v>
      </c>
      <c r="F16">
        <v>1</v>
      </c>
      <c r="G16">
        <f t="shared" si="6"/>
        <v>80</v>
      </c>
      <c r="I16">
        <v>2050</v>
      </c>
      <c r="J16">
        <f t="shared" si="7"/>
        <v>82.5</v>
      </c>
      <c r="K16" cm="1">
        <f t="array" ref="K16">STOWA2019_NDJF_T(A16*60,J16,I16,"WL","center")</f>
        <v>739.0859471648464</v>
      </c>
      <c r="L16">
        <f t="shared" si="8"/>
        <v>1.3530226137244618E-3</v>
      </c>
    </row>
    <row r="17" spans="1:12" x14ac:dyDescent="0.3">
      <c r="A17">
        <v>24</v>
      </c>
      <c r="B17">
        <f t="shared" si="5"/>
        <v>5.0306868654162885E-4</v>
      </c>
      <c r="C17">
        <f t="shared" si="1"/>
        <v>5.0306868654162885E-4</v>
      </c>
      <c r="D17" t="s">
        <v>29</v>
      </c>
      <c r="E17" t="s">
        <v>19</v>
      </c>
      <c r="F17">
        <v>1</v>
      </c>
      <c r="G17">
        <f t="shared" si="6"/>
        <v>85</v>
      </c>
      <c r="I17">
        <v>2050</v>
      </c>
      <c r="J17">
        <f t="shared" si="7"/>
        <v>87.5</v>
      </c>
      <c r="K17" cm="1">
        <f t="array" ref="K17">STOWA2019_NDJF_T(A17*60,J17,I17,"WL","center")</f>
        <v>1176.5343602970268</v>
      </c>
      <c r="L17">
        <f t="shared" si="8"/>
        <v>8.4995392718283298E-4</v>
      </c>
    </row>
    <row r="18" spans="1:12" x14ac:dyDescent="0.3">
      <c r="A18">
        <v>24</v>
      </c>
      <c r="B18">
        <f t="shared" si="5"/>
        <v>3.0781150853890907E-4</v>
      </c>
      <c r="C18">
        <f t="shared" si="1"/>
        <v>3.0781150853890907E-4</v>
      </c>
      <c r="D18" t="s">
        <v>29</v>
      </c>
      <c r="E18" t="s">
        <v>19</v>
      </c>
      <c r="F18">
        <v>1</v>
      </c>
      <c r="G18">
        <f t="shared" si="6"/>
        <v>90</v>
      </c>
      <c r="I18">
        <v>2050</v>
      </c>
      <c r="J18">
        <f t="shared" si="7"/>
        <v>92.5</v>
      </c>
      <c r="K18" cm="1">
        <f t="array" ref="K18">STOWA2019_NDJF_T(A18*60,J18,I18,"WL","center")</f>
        <v>1844.5337712207213</v>
      </c>
      <c r="L18">
        <f t="shared" si="8"/>
        <v>5.421424186439239E-4</v>
      </c>
    </row>
    <row r="19" spans="1:12" x14ac:dyDescent="0.3">
      <c r="A19">
        <v>24</v>
      </c>
      <c r="B19">
        <f t="shared" si="5"/>
        <v>1.9135726613391066E-4</v>
      </c>
      <c r="C19">
        <f t="shared" si="1"/>
        <v>1.9135726613391066E-4</v>
      </c>
      <c r="D19" t="s">
        <v>29</v>
      </c>
      <c r="E19" t="s">
        <v>19</v>
      </c>
      <c r="F19">
        <v>1</v>
      </c>
      <c r="G19">
        <f t="shared" si="6"/>
        <v>95</v>
      </c>
      <c r="I19">
        <v>2050</v>
      </c>
      <c r="J19">
        <f t="shared" si="7"/>
        <v>97.5</v>
      </c>
      <c r="K19" cm="1">
        <f t="array" ref="K19">STOWA2019_NDJF_T(A19*60,J19,I19,"WL","center")</f>
        <v>2850.7477948954947</v>
      </c>
      <c r="L19">
        <f t="shared" si="8"/>
        <v>3.5078515251001324E-4</v>
      </c>
    </row>
    <row r="20" spans="1:12" x14ac:dyDescent="0.3">
      <c r="A20">
        <v>24</v>
      </c>
      <c r="B20">
        <f t="shared" si="5"/>
        <v>1.2075250027140033E-4</v>
      </c>
      <c r="C20">
        <f t="shared" si="1"/>
        <v>1.2075250027140033E-4</v>
      </c>
      <c r="D20" t="s">
        <v>29</v>
      </c>
      <c r="E20" t="s">
        <v>19</v>
      </c>
      <c r="F20">
        <v>1</v>
      </c>
      <c r="G20">
        <f t="shared" si="6"/>
        <v>100</v>
      </c>
      <c r="I20">
        <v>2050</v>
      </c>
      <c r="J20">
        <f t="shared" si="7"/>
        <v>102.5</v>
      </c>
      <c r="K20" cm="1">
        <f t="array" ref="K20">STOWA2019_NDJF_T(A20*60,J20,I20,"WL","center")</f>
        <v>4347.2089299857298</v>
      </c>
      <c r="L20">
        <f t="shared" si="8"/>
        <v>2.3003265223861291E-4</v>
      </c>
    </row>
    <row r="21" spans="1:12" x14ac:dyDescent="0.3">
      <c r="A21">
        <v>24</v>
      </c>
      <c r="B21">
        <f t="shared" si="5"/>
        <v>7.7270093480270071E-5</v>
      </c>
      <c r="C21">
        <f t="shared" si="1"/>
        <v>7.7270093480270071E-5</v>
      </c>
      <c r="D21" t="s">
        <v>29</v>
      </c>
      <c r="E21" t="s">
        <v>19</v>
      </c>
      <c r="F21">
        <v>1</v>
      </c>
      <c r="G21">
        <f t="shared" si="6"/>
        <v>105</v>
      </c>
      <c r="I21">
        <v>2050</v>
      </c>
      <c r="J21">
        <f t="shared" si="7"/>
        <v>107.5</v>
      </c>
      <c r="K21" cm="1">
        <f t="array" ref="K21">STOWA2019_NDJF_T(A21*60,J21,I21,"WL","center")</f>
        <v>6546.106638485373</v>
      </c>
      <c r="L21">
        <f t="shared" si="8"/>
        <v>1.5276255875834284E-4</v>
      </c>
    </row>
    <row r="22" spans="1:12" x14ac:dyDescent="0.3">
      <c r="A22">
        <v>24</v>
      </c>
      <c r="B22">
        <f t="shared" si="5"/>
        <v>5.0102295327260099E-5</v>
      </c>
      <c r="C22">
        <f t="shared" si="1"/>
        <v>5.0102295327260099E-5</v>
      </c>
      <c r="D22" t="s">
        <v>29</v>
      </c>
      <c r="E22" t="s">
        <v>19</v>
      </c>
      <c r="F22">
        <v>1</v>
      </c>
      <c r="G22">
        <f t="shared" si="6"/>
        <v>110</v>
      </c>
      <c r="I22">
        <v>2050</v>
      </c>
      <c r="J22">
        <f t="shared" si="7"/>
        <v>112.5</v>
      </c>
      <c r="K22" cm="1">
        <f t="array" ref="K22">STOWA2019_NDJF_T(A22*60,J22,I22,"WL","center")</f>
        <v>9740.8672701421019</v>
      </c>
      <c r="L22">
        <f t="shared" si="8"/>
        <v>1.0266026343108274E-4</v>
      </c>
    </row>
    <row r="23" spans="1:12" x14ac:dyDescent="0.3">
      <c r="A23">
        <v>24</v>
      </c>
      <c r="B23">
        <f t="shared" si="5"/>
        <v>3.2892477005876174E-5</v>
      </c>
      <c r="C23">
        <f t="shared" si="1"/>
        <v>3.2892477005876174E-5</v>
      </c>
      <c r="D23" t="s">
        <v>29</v>
      </c>
      <c r="E23" t="s">
        <v>19</v>
      </c>
      <c r="F23">
        <v>1</v>
      </c>
      <c r="G23">
        <f t="shared" si="6"/>
        <v>115</v>
      </c>
      <c r="I23">
        <v>2050</v>
      </c>
      <c r="J23">
        <f t="shared" si="7"/>
        <v>117.5</v>
      </c>
      <c r="K23" cm="1">
        <f t="array" ref="K23">STOWA2019_NDJF_T(A23*60,J23,I23,"WL","center")</f>
        <v>14333.262544771058</v>
      </c>
      <c r="L23">
        <f t="shared" si="8"/>
        <v>6.976778642520657E-5</v>
      </c>
    </row>
    <row r="24" spans="1:12" x14ac:dyDescent="0.3">
      <c r="A24">
        <v>24</v>
      </c>
      <c r="B24">
        <f t="shared" si="5"/>
        <v>2.1848793323143334E-5</v>
      </c>
      <c r="C24">
        <f t="shared" si="1"/>
        <v>2.1848793323143334E-5</v>
      </c>
      <c r="D24" t="s">
        <v>29</v>
      </c>
      <c r="E24" t="s">
        <v>19</v>
      </c>
      <c r="F24">
        <v>1</v>
      </c>
      <c r="G24">
        <f t="shared" si="6"/>
        <v>120</v>
      </c>
      <c r="I24">
        <v>2050</v>
      </c>
      <c r="J24">
        <f t="shared" si="7"/>
        <v>122.5</v>
      </c>
      <c r="K24" cm="1">
        <f t="array" ref="K24">STOWA2019_NDJF_T(A24*60,J24,I24,"WL","center")</f>
        <v>20868.55201381398</v>
      </c>
      <c r="L24">
        <f t="shared" si="8"/>
        <v>4.7918993102063236E-5</v>
      </c>
    </row>
    <row r="25" spans="1:12" x14ac:dyDescent="0.3">
      <c r="A25">
        <v>24</v>
      </c>
      <c r="B25">
        <f t="shared" si="5"/>
        <v>1.4674858742434857E-5</v>
      </c>
      <c r="C25">
        <f t="shared" si="1"/>
        <v>1.4674858742434857E-5</v>
      </c>
      <c r="D25" t="s">
        <v>29</v>
      </c>
      <c r="E25" t="s">
        <v>19</v>
      </c>
      <c r="F25">
        <v>1</v>
      </c>
      <c r="G25">
        <f t="shared" si="6"/>
        <v>125</v>
      </c>
      <c r="I25">
        <v>2050</v>
      </c>
      <c r="J25">
        <f t="shared" si="7"/>
        <v>127.5</v>
      </c>
      <c r="K25" cm="1">
        <f t="array" ref="K25">STOWA2019_NDJF_T(A25*60,J25,I25,"WL","center")</f>
        <v>30080.494477076787</v>
      </c>
      <c r="L25">
        <f t="shared" si="8"/>
        <v>3.3244134359628379E-5</v>
      </c>
    </row>
    <row r="26" spans="1:12" x14ac:dyDescent="0.3">
      <c r="A26">
        <v>24</v>
      </c>
      <c r="B26">
        <f t="shared" si="5"/>
        <v>9.9605106576037911E-6</v>
      </c>
      <c r="C26">
        <f t="shared" si="1"/>
        <v>9.9605106576037911E-6</v>
      </c>
      <c r="D26" t="s">
        <v>29</v>
      </c>
      <c r="E26" t="s">
        <v>19</v>
      </c>
      <c r="F26">
        <v>1</v>
      </c>
      <c r="G26">
        <f t="shared" si="6"/>
        <v>130</v>
      </c>
      <c r="I26">
        <v>2050</v>
      </c>
      <c r="J26">
        <f t="shared" si="7"/>
        <v>132.5</v>
      </c>
      <c r="K26" cm="1">
        <f t="array" ref="K26">STOWA2019_NDJF_T(A26*60,J26,I26,"WL","center")</f>
        <v>42948.641190805996</v>
      </c>
      <c r="L26">
        <f t="shared" si="8"/>
        <v>2.3283623702024588E-5</v>
      </c>
    </row>
    <row r="27" spans="1:12" x14ac:dyDescent="0.3">
      <c r="A27">
        <v>24</v>
      </c>
      <c r="B27">
        <f t="shared" si="5"/>
        <v>6.8283496624463494E-6</v>
      </c>
      <c r="C27">
        <f t="shared" si="1"/>
        <v>6.8283496624463494E-6</v>
      </c>
      <c r="D27" t="s">
        <v>29</v>
      </c>
      <c r="E27" t="s">
        <v>19</v>
      </c>
      <c r="F27">
        <v>1</v>
      </c>
      <c r="G27">
        <f t="shared" si="6"/>
        <v>135</v>
      </c>
      <c r="I27">
        <v>2050</v>
      </c>
      <c r="J27">
        <f t="shared" si="7"/>
        <v>137.5</v>
      </c>
      <c r="K27" cm="1">
        <f t="array" ref="K27">STOWA2019_NDJF_T(A27*60,J27,I27,"WL","center")</f>
        <v>60770.789814548159</v>
      </c>
      <c r="L27">
        <f t="shared" si="8"/>
        <v>1.6455274039578238E-5</v>
      </c>
    </row>
    <row r="28" spans="1:12" x14ac:dyDescent="0.3">
      <c r="A28">
        <v>24</v>
      </c>
      <c r="B28">
        <f t="shared" si="5"/>
        <v>4.7256257968250551E-6</v>
      </c>
      <c r="C28">
        <f t="shared" si="1"/>
        <v>4.7256257968250551E-6</v>
      </c>
      <c r="D28" t="s">
        <v>29</v>
      </c>
      <c r="E28" t="s">
        <v>19</v>
      </c>
      <c r="F28">
        <v>1</v>
      </c>
      <c r="G28">
        <f t="shared" si="6"/>
        <v>140</v>
      </c>
      <c r="I28">
        <v>2050</v>
      </c>
      <c r="J28">
        <f t="shared" si="7"/>
        <v>142.5</v>
      </c>
      <c r="K28" cm="1">
        <f t="array" ref="K28">STOWA2019_NDJF_T(A28*60,J28,I28,"WL","center")</f>
        <v>85254.048485027713</v>
      </c>
      <c r="L28">
        <f t="shared" si="8"/>
        <v>1.1729648242753183E-5</v>
      </c>
    </row>
    <row r="29" spans="1:12" x14ac:dyDescent="0.3">
      <c r="A29">
        <v>24</v>
      </c>
      <c r="B29">
        <f t="shared" si="5"/>
        <v>3.2999337450866441E-6</v>
      </c>
      <c r="C29">
        <f t="shared" si="1"/>
        <v>3.2999337450866441E-6</v>
      </c>
      <c r="D29" t="s">
        <v>29</v>
      </c>
      <c r="E29" t="s">
        <v>19</v>
      </c>
      <c r="F29">
        <v>1</v>
      </c>
      <c r="G29">
        <f t="shared" si="6"/>
        <v>145</v>
      </c>
      <c r="I29">
        <v>2050</v>
      </c>
      <c r="J29">
        <f t="shared" si="7"/>
        <v>147.5</v>
      </c>
      <c r="K29" cm="1">
        <f t="array" ref="K29">STOWA2019_NDJF_T(A29*60,J29,I29,"WL","center")</f>
        <v>118627.97966370199</v>
      </c>
      <c r="L29">
        <f t="shared" si="8"/>
        <v>8.429714497666539E-6</v>
      </c>
    </row>
    <row r="30" spans="1:12" x14ac:dyDescent="0.3">
      <c r="A30">
        <v>24</v>
      </c>
      <c r="B30">
        <f t="shared" si="5"/>
        <v>2.3242755705478423E-6</v>
      </c>
      <c r="C30">
        <f t="shared" si="1"/>
        <v>2.3242755705478423E-6</v>
      </c>
      <c r="D30" t="s">
        <v>29</v>
      </c>
      <c r="E30" t="s">
        <v>19</v>
      </c>
      <c r="F30">
        <v>1</v>
      </c>
      <c r="G30">
        <f t="shared" si="6"/>
        <v>150</v>
      </c>
      <c r="I30">
        <v>2050</v>
      </c>
      <c r="J30">
        <f t="shared" si="7"/>
        <v>152.5</v>
      </c>
      <c r="K30" cm="1">
        <f t="array" ref="K30">STOWA2019_NDJF_T(A30*60,J30,I30,"WL","center")</f>
        <v>163788.38801552373</v>
      </c>
      <c r="L30">
        <f t="shared" si="8"/>
        <v>6.1054389271186967E-6</v>
      </c>
    </row>
    <row r="31" spans="1:12" x14ac:dyDescent="0.3">
      <c r="A31">
        <v>24</v>
      </c>
      <c r="B31">
        <f t="shared" si="5"/>
        <v>1.6504755216891775E-6</v>
      </c>
      <c r="C31">
        <f t="shared" si="1"/>
        <v>1.6504755216891775E-6</v>
      </c>
      <c r="D31" t="s">
        <v>29</v>
      </c>
      <c r="E31" t="s">
        <v>19</v>
      </c>
      <c r="F31">
        <v>1</v>
      </c>
      <c r="G31">
        <f t="shared" si="6"/>
        <v>155</v>
      </c>
      <c r="I31">
        <v>2050</v>
      </c>
      <c r="J31">
        <f t="shared" si="7"/>
        <v>157.5</v>
      </c>
      <c r="K31" cm="1">
        <f t="array" ref="K31">STOWA2019_NDJF_T(A31*60,J31,I31,"WL","center")</f>
        <v>224468.73498023412</v>
      </c>
      <c r="L31">
        <f t="shared" si="8"/>
        <v>4.4549634054295192E-6</v>
      </c>
    </row>
    <row r="32" spans="1:12" x14ac:dyDescent="0.3">
      <c r="A32">
        <v>24</v>
      </c>
      <c r="B32" s="1">
        <f>L31</f>
        <v>4.4549634054295192E-6</v>
      </c>
      <c r="C32">
        <f t="shared" si="1"/>
        <v>4.4549634054295192E-6</v>
      </c>
      <c r="D32" t="s">
        <v>29</v>
      </c>
      <c r="E32" t="s">
        <v>19</v>
      </c>
      <c r="F32">
        <v>1</v>
      </c>
      <c r="G32">
        <f t="shared" si="6"/>
        <v>160</v>
      </c>
      <c r="I32">
        <v>2050</v>
      </c>
      <c r="J32">
        <f>AVERAGE(G32:G33)</f>
        <v>85</v>
      </c>
      <c r="K32" cm="1">
        <f t="array" ref="K32">STOWA2019_NDJF_T(A32*60,J32,I32,"WL","center")</f>
        <v>934.34682762340219</v>
      </c>
      <c r="L32">
        <f>1/K32</f>
        <v>1.0702663833553037E-3</v>
      </c>
    </row>
    <row r="33" spans="1:12" x14ac:dyDescent="0.3">
      <c r="A33">
        <v>48</v>
      </c>
      <c r="B33" s="1">
        <f>365.25*24/A33 - L33</f>
        <v>168.98017054188171</v>
      </c>
      <c r="C33">
        <f>B33</f>
        <v>168.98017054188171</v>
      </c>
      <c r="D33" t="s">
        <v>29</v>
      </c>
      <c r="E33" t="s">
        <v>19</v>
      </c>
      <c r="F33">
        <v>1</v>
      </c>
      <c r="G33">
        <v>10</v>
      </c>
      <c r="I33">
        <v>2050</v>
      </c>
      <c r="J33">
        <f>AVERAGE(G33:G35)</f>
        <v>15</v>
      </c>
      <c r="K33" cm="1">
        <f t="array" ref="K33">STOWA2019_NDJF_T(A33*60,J33,I33,"WL","center")</f>
        <v>7.3287834272272798E-2</v>
      </c>
      <c r="L33">
        <f>1/K33</f>
        <v>13.644829458118302</v>
      </c>
    </row>
    <row r="34" spans="1:12" x14ac:dyDescent="0.3">
      <c r="A34">
        <v>48</v>
      </c>
      <c r="B34">
        <f t="shared" ref="B34:B38" si="9">L33-L34</f>
        <v>3.8201690275492091</v>
      </c>
      <c r="C34">
        <f t="shared" ref="C34:C63" si="10">B34</f>
        <v>3.8201690275492091</v>
      </c>
      <c r="D34" t="s">
        <v>29</v>
      </c>
      <c r="E34" t="s">
        <v>19</v>
      </c>
      <c r="F34">
        <v>1</v>
      </c>
      <c r="G34">
        <f t="shared" ref="G34:G38" si="11">G33+5</f>
        <v>15</v>
      </c>
      <c r="I34">
        <v>2050</v>
      </c>
      <c r="J34">
        <f t="shared" ref="J34:J38" si="12">AVERAGE(G34:G35)</f>
        <v>17.5</v>
      </c>
      <c r="K34" cm="1">
        <f t="array" ref="K34">STOWA2019_NDJF_T(A34*60,J34,I34,"WL","center")</f>
        <v>0.10178468834286979</v>
      </c>
      <c r="L34">
        <f t="shared" ref="L34:L38" si="13">1/K34</f>
        <v>9.824660430569093</v>
      </c>
    </row>
    <row r="35" spans="1:12" x14ac:dyDescent="0.3">
      <c r="A35">
        <v>48</v>
      </c>
      <c r="B35">
        <f t="shared" si="9"/>
        <v>4.6408721788236074</v>
      </c>
      <c r="C35">
        <f t="shared" si="10"/>
        <v>4.6408721788236074</v>
      </c>
      <c r="D35" t="s">
        <v>29</v>
      </c>
      <c r="E35" t="s">
        <v>19</v>
      </c>
      <c r="F35">
        <v>1</v>
      </c>
      <c r="G35">
        <f t="shared" si="11"/>
        <v>20</v>
      </c>
      <c r="I35">
        <v>2050</v>
      </c>
      <c r="J35">
        <f t="shared" si="12"/>
        <v>22.5</v>
      </c>
      <c r="K35" cm="1">
        <f t="array" ref="K35">STOWA2019_NDJF_T(A35*60,J35,I35,"WL","center")</f>
        <v>0.19290911422998033</v>
      </c>
      <c r="L35">
        <f t="shared" si="13"/>
        <v>5.1837882517454856</v>
      </c>
    </row>
    <row r="36" spans="1:12" x14ac:dyDescent="0.3">
      <c r="A36">
        <v>48</v>
      </c>
      <c r="B36">
        <f t="shared" si="9"/>
        <v>2.3875311230987162</v>
      </c>
      <c r="C36">
        <f t="shared" si="10"/>
        <v>2.3875311230987162</v>
      </c>
      <c r="D36" t="s">
        <v>29</v>
      </c>
      <c r="E36" t="s">
        <v>19</v>
      </c>
      <c r="F36">
        <v>1</v>
      </c>
      <c r="G36">
        <f t="shared" si="11"/>
        <v>25</v>
      </c>
      <c r="I36">
        <v>2050</v>
      </c>
      <c r="J36">
        <f t="shared" si="12"/>
        <v>27.5</v>
      </c>
      <c r="K36" cm="1">
        <f t="array" ref="K36">STOWA2019_NDJF_T(A36*60,J36,I36,"WL","center")</f>
        <v>0.35762090322642953</v>
      </c>
      <c r="L36">
        <f t="shared" si="13"/>
        <v>2.7962571286467695</v>
      </c>
    </row>
    <row r="37" spans="1:12" x14ac:dyDescent="0.3">
      <c r="A37">
        <v>48</v>
      </c>
      <c r="B37">
        <f t="shared" si="9"/>
        <v>1.256425486598904</v>
      </c>
      <c r="C37">
        <f t="shared" si="10"/>
        <v>1.256425486598904</v>
      </c>
      <c r="D37" t="s">
        <v>29</v>
      </c>
      <c r="E37" t="s">
        <v>19</v>
      </c>
      <c r="F37">
        <v>1</v>
      </c>
      <c r="G37">
        <f t="shared" si="11"/>
        <v>30</v>
      </c>
      <c r="I37">
        <v>2050</v>
      </c>
      <c r="J37">
        <f t="shared" si="12"/>
        <v>32.5</v>
      </c>
      <c r="K37" cm="1">
        <f t="array" ref="K37">STOWA2019_NDJF_T(A37*60,J37,I37,"WL","center")</f>
        <v>0.64942164629768995</v>
      </c>
      <c r="L37">
        <f t="shared" si="13"/>
        <v>1.5398316420478655</v>
      </c>
    </row>
    <row r="38" spans="1:12" x14ac:dyDescent="0.3">
      <c r="A38">
        <v>48</v>
      </c>
      <c r="B38">
        <f t="shared" si="9"/>
        <v>0.67527697278308896</v>
      </c>
      <c r="C38">
        <f t="shared" si="10"/>
        <v>0.67527697278308896</v>
      </c>
      <c r="D38" t="s">
        <v>29</v>
      </c>
      <c r="E38" t="s">
        <v>19</v>
      </c>
      <c r="F38">
        <v>1</v>
      </c>
      <c r="G38">
        <f t="shared" si="11"/>
        <v>35</v>
      </c>
      <c r="I38">
        <v>2050</v>
      </c>
      <c r="J38">
        <f t="shared" si="12"/>
        <v>37.5</v>
      </c>
      <c r="K38" cm="1">
        <f t="array" ref="K38">STOWA2019_NDJF_T(A38*60,J38,I38,"WL","center")</f>
        <v>1.1566648536528144</v>
      </c>
      <c r="L38">
        <f t="shared" si="13"/>
        <v>0.86455466926477653</v>
      </c>
    </row>
    <row r="39" spans="1:12" x14ac:dyDescent="0.3">
      <c r="A39">
        <v>48</v>
      </c>
      <c r="B39">
        <f>L38-L39</f>
        <v>0.37034204257225589</v>
      </c>
      <c r="C39">
        <f t="shared" si="10"/>
        <v>0.37034204257225589</v>
      </c>
      <c r="D39" t="s">
        <v>29</v>
      </c>
      <c r="E39" t="s">
        <v>19</v>
      </c>
      <c r="F39">
        <v>1</v>
      </c>
      <c r="G39">
        <f>G38+5</f>
        <v>40</v>
      </c>
      <c r="I39">
        <v>2050</v>
      </c>
      <c r="J39">
        <f>AVERAGE(G39:G40)</f>
        <v>42.5</v>
      </c>
      <c r="K39" cm="1">
        <f t="array" ref="K39">STOWA2019_NDJF_T(A39*60,J39,I39,"WL","center")</f>
        <v>2.0234205805149532</v>
      </c>
      <c r="L39">
        <f>1/K39</f>
        <v>0.49421262669252064</v>
      </c>
    </row>
    <row r="40" spans="1:12" x14ac:dyDescent="0.3">
      <c r="A40">
        <v>48</v>
      </c>
      <c r="B40">
        <f t="shared" ref="B40:B62" si="14">L39-L40</f>
        <v>0.20686064578819774</v>
      </c>
      <c r="C40">
        <f t="shared" si="10"/>
        <v>0.20686064578819774</v>
      </c>
      <c r="D40" t="s">
        <v>29</v>
      </c>
      <c r="E40" t="s">
        <v>19</v>
      </c>
      <c r="F40">
        <v>1</v>
      </c>
      <c r="G40">
        <f t="shared" ref="G40:G63" si="15">G39+5</f>
        <v>45</v>
      </c>
      <c r="I40">
        <v>2050</v>
      </c>
      <c r="J40">
        <f t="shared" ref="J40:J62" si="16">AVERAGE(G40:G41)</f>
        <v>47.5</v>
      </c>
      <c r="K40" cm="1">
        <f t="array" ref="K40">STOWA2019_NDJF_T(A40*60,J40,I40,"WL","center")</f>
        <v>3.4800525712504533</v>
      </c>
      <c r="L40">
        <f t="shared" ref="L40:L62" si="17">1/K40</f>
        <v>0.2873519809043229</v>
      </c>
    </row>
    <row r="41" spans="1:12" x14ac:dyDescent="0.3">
      <c r="A41">
        <v>48</v>
      </c>
      <c r="B41">
        <f t="shared" si="14"/>
        <v>0.11758379885808712</v>
      </c>
      <c r="C41">
        <f t="shared" si="10"/>
        <v>0.11758379885808712</v>
      </c>
      <c r="D41" t="s">
        <v>29</v>
      </c>
      <c r="E41" t="s">
        <v>19</v>
      </c>
      <c r="F41">
        <v>1</v>
      </c>
      <c r="G41">
        <f t="shared" si="15"/>
        <v>50</v>
      </c>
      <c r="I41">
        <v>2050</v>
      </c>
      <c r="J41">
        <f t="shared" si="16"/>
        <v>52.5</v>
      </c>
      <c r="K41" cm="1">
        <f t="array" ref="K41">STOWA2019_NDJF_T(A41*60,J41,I41,"WL","center")</f>
        <v>5.8903852768338734</v>
      </c>
      <c r="L41">
        <f t="shared" si="17"/>
        <v>0.16976818204623578</v>
      </c>
    </row>
    <row r="42" spans="1:12" x14ac:dyDescent="0.3">
      <c r="A42">
        <v>48</v>
      </c>
      <c r="B42">
        <f t="shared" si="14"/>
        <v>6.7946668847601713E-2</v>
      </c>
      <c r="C42">
        <f t="shared" si="10"/>
        <v>6.7946668847601713E-2</v>
      </c>
      <c r="D42" t="s">
        <v>29</v>
      </c>
      <c r="E42" t="s">
        <v>19</v>
      </c>
      <c r="F42">
        <v>1</v>
      </c>
      <c r="G42">
        <f t="shared" si="15"/>
        <v>55</v>
      </c>
      <c r="I42">
        <v>2050</v>
      </c>
      <c r="J42">
        <f t="shared" si="16"/>
        <v>57.5</v>
      </c>
      <c r="K42" cm="1">
        <f t="array" ref="K42">STOWA2019_NDJF_T(A42*60,J42,I42,"WL","center")</f>
        <v>9.8211072354541962</v>
      </c>
      <c r="L42">
        <f t="shared" si="17"/>
        <v>0.10182151319863407</v>
      </c>
    </row>
    <row r="43" spans="1:12" x14ac:dyDescent="0.3">
      <c r="A43">
        <v>48</v>
      </c>
      <c r="B43">
        <f t="shared" si="14"/>
        <v>3.9876647491300786E-2</v>
      </c>
      <c r="C43">
        <f t="shared" si="10"/>
        <v>3.9876647491300786E-2</v>
      </c>
      <c r="D43" t="s">
        <v>29</v>
      </c>
      <c r="E43" t="s">
        <v>19</v>
      </c>
      <c r="F43">
        <v>1</v>
      </c>
      <c r="G43">
        <f t="shared" si="15"/>
        <v>60</v>
      </c>
      <c r="I43">
        <v>2050</v>
      </c>
      <c r="J43">
        <f t="shared" si="16"/>
        <v>62.5</v>
      </c>
      <c r="K43" cm="1">
        <f t="array" ref="K43">STOWA2019_NDJF_T(A43*60,J43,I43,"WL","center")</f>
        <v>16.143387972211166</v>
      </c>
      <c r="L43">
        <f t="shared" si="17"/>
        <v>6.1944865707333284E-2</v>
      </c>
    </row>
    <row r="44" spans="1:12" x14ac:dyDescent="0.3">
      <c r="A44">
        <v>48</v>
      </c>
      <c r="B44">
        <f t="shared" si="14"/>
        <v>2.3749176140084934E-2</v>
      </c>
      <c r="C44">
        <f t="shared" si="10"/>
        <v>2.3749176140084934E-2</v>
      </c>
      <c r="D44" t="s">
        <v>29</v>
      </c>
      <c r="E44" t="s">
        <v>19</v>
      </c>
      <c r="F44">
        <v>1</v>
      </c>
      <c r="G44">
        <f t="shared" si="15"/>
        <v>65</v>
      </c>
      <c r="I44">
        <v>2050</v>
      </c>
      <c r="J44">
        <f t="shared" si="16"/>
        <v>67.5</v>
      </c>
      <c r="K44" cm="1">
        <f t="array" ref="K44">STOWA2019_NDJF_T(A44*60,J44,I44,"WL","center")</f>
        <v>26.180964693394873</v>
      </c>
      <c r="L44">
        <f t="shared" si="17"/>
        <v>3.819568956724835E-2</v>
      </c>
    </row>
    <row r="45" spans="1:12" x14ac:dyDescent="0.3">
      <c r="A45">
        <v>48</v>
      </c>
      <c r="B45">
        <f t="shared" si="14"/>
        <v>1.4341825053254157E-2</v>
      </c>
      <c r="C45">
        <f t="shared" si="10"/>
        <v>1.4341825053254157E-2</v>
      </c>
      <c r="D45" t="s">
        <v>29</v>
      </c>
      <c r="E45" t="s">
        <v>19</v>
      </c>
      <c r="F45">
        <v>1</v>
      </c>
      <c r="G45">
        <f t="shared" si="15"/>
        <v>70</v>
      </c>
      <c r="I45">
        <v>2050</v>
      </c>
      <c r="J45">
        <f t="shared" si="16"/>
        <v>72.5</v>
      </c>
      <c r="K45" cm="1">
        <f t="array" ref="K45">STOWA2019_NDJF_T(A45*60,J45,I45,"WL","center")</f>
        <v>41.921928390820547</v>
      </c>
      <c r="L45">
        <f t="shared" si="17"/>
        <v>2.3853864513994193E-2</v>
      </c>
    </row>
    <row r="46" spans="1:12" x14ac:dyDescent="0.3">
      <c r="A46">
        <v>48</v>
      </c>
      <c r="B46">
        <f t="shared" si="14"/>
        <v>8.7754967377478912E-3</v>
      </c>
      <c r="C46">
        <f t="shared" si="10"/>
        <v>8.7754967377478912E-3</v>
      </c>
      <c r="D46" t="s">
        <v>29</v>
      </c>
      <c r="E46" t="s">
        <v>19</v>
      </c>
      <c r="F46">
        <v>1</v>
      </c>
      <c r="G46">
        <f t="shared" si="15"/>
        <v>75</v>
      </c>
      <c r="I46">
        <v>2050</v>
      </c>
      <c r="J46">
        <f t="shared" si="16"/>
        <v>77.5</v>
      </c>
      <c r="K46" cm="1">
        <f t="array" ref="K46">STOWA2019_NDJF_T(A46*60,J46,I46,"WL","center")</f>
        <v>66.320175687407584</v>
      </c>
      <c r="L46">
        <f t="shared" si="17"/>
        <v>1.5078367776246302E-2</v>
      </c>
    </row>
    <row r="47" spans="1:12" x14ac:dyDescent="0.3">
      <c r="A47">
        <v>48</v>
      </c>
      <c r="B47">
        <f t="shared" si="14"/>
        <v>5.4369212118894113E-3</v>
      </c>
      <c r="C47">
        <f t="shared" si="10"/>
        <v>5.4369212118894113E-3</v>
      </c>
      <c r="D47" t="s">
        <v>29</v>
      </c>
      <c r="E47" t="s">
        <v>19</v>
      </c>
      <c r="F47">
        <v>1</v>
      </c>
      <c r="G47">
        <f t="shared" si="15"/>
        <v>80</v>
      </c>
      <c r="I47">
        <v>2050</v>
      </c>
      <c r="J47">
        <f t="shared" si="16"/>
        <v>82.5</v>
      </c>
      <c r="K47" cm="1">
        <f t="array" ref="K47">STOWA2019_NDJF_T(A47*60,J47,I47,"WL","center")</f>
        <v>103.71887593059564</v>
      </c>
      <c r="L47">
        <f t="shared" si="17"/>
        <v>9.6414465643568908E-3</v>
      </c>
    </row>
    <row r="48" spans="1:12" x14ac:dyDescent="0.3">
      <c r="A48">
        <v>48</v>
      </c>
      <c r="B48">
        <f t="shared" si="14"/>
        <v>3.4088289755288166E-3</v>
      </c>
      <c r="C48">
        <f t="shared" si="10"/>
        <v>3.4088289755288166E-3</v>
      </c>
      <c r="D48" t="s">
        <v>29</v>
      </c>
      <c r="E48" t="s">
        <v>19</v>
      </c>
      <c r="F48">
        <v>1</v>
      </c>
      <c r="G48">
        <f t="shared" si="15"/>
        <v>85</v>
      </c>
      <c r="I48">
        <v>2050</v>
      </c>
      <c r="J48">
        <f t="shared" si="16"/>
        <v>87.5</v>
      </c>
      <c r="K48" cm="1">
        <f t="array" ref="K48">STOWA2019_NDJF_T(A48*60,J48,I48,"WL","center")</f>
        <v>160.44623077669539</v>
      </c>
      <c r="L48">
        <f t="shared" si="17"/>
        <v>6.2326175888280742E-3</v>
      </c>
    </row>
    <row r="49" spans="1:12" x14ac:dyDescent="0.3">
      <c r="A49">
        <v>48</v>
      </c>
      <c r="B49">
        <f t="shared" si="14"/>
        <v>2.1614325264826565E-3</v>
      </c>
      <c r="C49">
        <f t="shared" si="10"/>
        <v>2.1614325264826565E-3</v>
      </c>
      <c r="D49" t="s">
        <v>29</v>
      </c>
      <c r="E49" t="s">
        <v>19</v>
      </c>
      <c r="F49">
        <v>1</v>
      </c>
      <c r="G49">
        <f t="shared" si="15"/>
        <v>90</v>
      </c>
      <c r="I49">
        <v>2050</v>
      </c>
      <c r="J49">
        <f t="shared" si="16"/>
        <v>92.5</v>
      </c>
      <c r="K49" cm="1">
        <f t="array" ref="K49">STOWA2019_NDJF_T(A49*60,J49,I49,"WL","center")</f>
        <v>245.62872595722732</v>
      </c>
      <c r="L49">
        <f t="shared" si="17"/>
        <v>4.0711850623454176E-3</v>
      </c>
    </row>
    <row r="50" spans="1:12" x14ac:dyDescent="0.3">
      <c r="A50">
        <v>48</v>
      </c>
      <c r="B50">
        <f t="shared" si="14"/>
        <v>1.3853527503873337E-3</v>
      </c>
      <c r="C50">
        <f t="shared" si="10"/>
        <v>1.3853527503873337E-3</v>
      </c>
      <c r="D50" t="s">
        <v>29</v>
      </c>
      <c r="E50" t="s">
        <v>19</v>
      </c>
      <c r="F50">
        <v>1</v>
      </c>
      <c r="G50">
        <f t="shared" si="15"/>
        <v>95</v>
      </c>
      <c r="I50">
        <v>2050</v>
      </c>
      <c r="J50">
        <f t="shared" si="16"/>
        <v>97.5</v>
      </c>
      <c r="K50" cm="1">
        <f t="array" ref="K50">STOWA2019_NDJF_T(A50*60,J50,I50,"WL","center")</f>
        <v>372.32406340027916</v>
      </c>
      <c r="L50">
        <f t="shared" si="17"/>
        <v>2.6858323119580839E-3</v>
      </c>
    </row>
    <row r="51" spans="1:12" x14ac:dyDescent="0.3">
      <c r="A51">
        <v>48</v>
      </c>
      <c r="B51">
        <f t="shared" si="14"/>
        <v>8.9710038740710798E-4</v>
      </c>
      <c r="C51">
        <f t="shared" si="10"/>
        <v>8.9710038740710798E-4</v>
      </c>
      <c r="D51" t="s">
        <v>29</v>
      </c>
      <c r="E51" t="s">
        <v>19</v>
      </c>
      <c r="F51">
        <v>1</v>
      </c>
      <c r="G51">
        <f t="shared" si="15"/>
        <v>100</v>
      </c>
      <c r="I51">
        <v>2050</v>
      </c>
      <c r="J51">
        <f t="shared" si="16"/>
        <v>102.5</v>
      </c>
      <c r="K51" cm="1">
        <f t="array" ref="K51">STOWA2019_NDJF_T(A51*60,J51,I51,"WL","center")</f>
        <v>559.05526494755736</v>
      </c>
      <c r="L51">
        <f t="shared" si="17"/>
        <v>1.7887319245509759E-3</v>
      </c>
    </row>
    <row r="52" spans="1:12" x14ac:dyDescent="0.3">
      <c r="A52">
        <v>48</v>
      </c>
      <c r="B52">
        <f t="shared" si="14"/>
        <v>5.8662338005336951E-4</v>
      </c>
      <c r="C52">
        <f t="shared" si="10"/>
        <v>5.8662338005336951E-4</v>
      </c>
      <c r="D52" t="s">
        <v>29</v>
      </c>
      <c r="E52" t="s">
        <v>19</v>
      </c>
      <c r="F52">
        <v>1</v>
      </c>
      <c r="G52">
        <f t="shared" si="15"/>
        <v>105</v>
      </c>
      <c r="I52">
        <v>2050</v>
      </c>
      <c r="J52">
        <f t="shared" si="16"/>
        <v>107.5</v>
      </c>
      <c r="K52" cm="1">
        <f t="array" ref="K52">STOWA2019_NDJF_T(A52*60,J52,I52,"WL","center")</f>
        <v>831.87163470161249</v>
      </c>
      <c r="L52">
        <f t="shared" si="17"/>
        <v>1.2021085444976064E-3</v>
      </c>
    </row>
    <row r="53" spans="1:12" x14ac:dyDescent="0.3">
      <c r="A53">
        <v>48</v>
      </c>
      <c r="B53">
        <f t="shared" si="14"/>
        <v>3.8721155925311489E-4</v>
      </c>
      <c r="C53">
        <f t="shared" si="10"/>
        <v>3.8721155925311489E-4</v>
      </c>
      <c r="D53" t="s">
        <v>29</v>
      </c>
      <c r="E53" t="s">
        <v>19</v>
      </c>
      <c r="F53">
        <v>1</v>
      </c>
      <c r="G53">
        <f t="shared" si="15"/>
        <v>110</v>
      </c>
      <c r="I53">
        <v>2050</v>
      </c>
      <c r="J53">
        <f t="shared" si="16"/>
        <v>112.5</v>
      </c>
      <c r="K53" cm="1">
        <f t="array" ref="K53">STOWA2019_NDJF_T(A53*60,J53,I53,"WL","center")</f>
        <v>1227.1489747872517</v>
      </c>
      <c r="L53">
        <f t="shared" si="17"/>
        <v>8.1489698524449153E-4</v>
      </c>
    </row>
    <row r="54" spans="1:12" x14ac:dyDescent="0.3">
      <c r="A54">
        <v>48</v>
      </c>
      <c r="B54">
        <f t="shared" si="14"/>
        <v>2.5789579627936304E-4</v>
      </c>
      <c r="C54">
        <f t="shared" si="10"/>
        <v>2.5789579627936304E-4</v>
      </c>
      <c r="D54" t="s">
        <v>29</v>
      </c>
      <c r="E54" t="s">
        <v>19</v>
      </c>
      <c r="F54">
        <v>1</v>
      </c>
      <c r="G54">
        <f t="shared" si="15"/>
        <v>115</v>
      </c>
      <c r="I54">
        <v>2050</v>
      </c>
      <c r="J54">
        <f t="shared" si="16"/>
        <v>117.5</v>
      </c>
      <c r="K54" cm="1">
        <f t="array" ref="K54">STOWA2019_NDJF_T(A54*60,J54,I54,"WL","center")</f>
        <v>1795.3283041602372</v>
      </c>
      <c r="L54">
        <f t="shared" si="17"/>
        <v>5.5700118896512849E-4</v>
      </c>
    </row>
    <row r="55" spans="1:12" x14ac:dyDescent="0.3">
      <c r="A55">
        <v>48</v>
      </c>
      <c r="B55">
        <f t="shared" si="14"/>
        <v>1.732435846636787E-4</v>
      </c>
      <c r="C55">
        <f t="shared" si="10"/>
        <v>1.732435846636787E-4</v>
      </c>
      <c r="D55" t="s">
        <v>29</v>
      </c>
      <c r="E55" t="s">
        <v>19</v>
      </c>
      <c r="F55">
        <v>1</v>
      </c>
      <c r="G55">
        <f t="shared" si="15"/>
        <v>120</v>
      </c>
      <c r="I55">
        <v>2050</v>
      </c>
      <c r="J55">
        <f t="shared" si="16"/>
        <v>122.5</v>
      </c>
      <c r="K55" cm="1">
        <f t="array" ref="K55">STOWA2019_NDJF_T(A55*60,J55,I55,"WL","center")</f>
        <v>2605.8115560219067</v>
      </c>
      <c r="L55">
        <f t="shared" si="17"/>
        <v>3.8375760430144979E-4</v>
      </c>
    </row>
    <row r="56" spans="1:12" x14ac:dyDescent="0.3">
      <c r="A56">
        <v>48</v>
      </c>
      <c r="B56">
        <f t="shared" si="14"/>
        <v>1.1733742374636999E-4</v>
      </c>
      <c r="C56">
        <f t="shared" si="10"/>
        <v>1.1733742374636999E-4</v>
      </c>
      <c r="D56" t="s">
        <v>29</v>
      </c>
      <c r="E56" t="s">
        <v>19</v>
      </c>
      <c r="F56">
        <v>1</v>
      </c>
      <c r="G56">
        <f t="shared" si="15"/>
        <v>125</v>
      </c>
      <c r="I56">
        <v>2050</v>
      </c>
      <c r="J56">
        <f t="shared" si="16"/>
        <v>127.5</v>
      </c>
      <c r="K56" cm="1">
        <f t="array" ref="K56">STOWA2019_NDJF_T(A56*60,J56,I56,"WL","center")</f>
        <v>3753.4694178065824</v>
      </c>
      <c r="L56">
        <f t="shared" si="17"/>
        <v>2.664201805550798E-4</v>
      </c>
    </row>
    <row r="57" spans="1:12" x14ac:dyDescent="0.3">
      <c r="A57">
        <v>48</v>
      </c>
      <c r="B57">
        <f t="shared" si="14"/>
        <v>8.010487207390276E-5</v>
      </c>
      <c r="C57">
        <f t="shared" si="10"/>
        <v>8.010487207390276E-5</v>
      </c>
      <c r="D57" t="s">
        <v>29</v>
      </c>
      <c r="E57" t="s">
        <v>19</v>
      </c>
      <c r="F57">
        <v>1</v>
      </c>
      <c r="G57">
        <f t="shared" si="15"/>
        <v>130</v>
      </c>
      <c r="I57">
        <v>2050</v>
      </c>
      <c r="J57">
        <f t="shared" si="16"/>
        <v>132.5</v>
      </c>
      <c r="K57" cm="1">
        <f t="array" ref="K57">STOWA2019_NDJF_T(A57*60,J57,I57,"WL","center")</f>
        <v>5367.2454944893989</v>
      </c>
      <c r="L57">
        <f t="shared" si="17"/>
        <v>1.8631530848117704E-4</v>
      </c>
    </row>
    <row r="58" spans="1:12" x14ac:dyDescent="0.3">
      <c r="A58">
        <v>48</v>
      </c>
      <c r="B58">
        <f t="shared" si="14"/>
        <v>5.5100756458962077E-5</v>
      </c>
      <c r="C58">
        <f t="shared" si="10"/>
        <v>5.5100756458962077E-5</v>
      </c>
      <c r="D58" t="s">
        <v>29</v>
      </c>
      <c r="E58" t="s">
        <v>19</v>
      </c>
      <c r="F58">
        <v>1</v>
      </c>
      <c r="G58">
        <f t="shared" si="15"/>
        <v>135</v>
      </c>
      <c r="I58">
        <v>2050</v>
      </c>
      <c r="J58">
        <f t="shared" si="16"/>
        <v>137.5</v>
      </c>
      <c r="K58" cm="1">
        <f t="array" ref="K58">STOWA2019_NDJF_T(A58*60,J58,I58,"WL","center")</f>
        <v>7621.1059260462016</v>
      </c>
      <c r="L58">
        <f t="shared" si="17"/>
        <v>1.3121455202221496E-4</v>
      </c>
    </row>
    <row r="59" spans="1:12" x14ac:dyDescent="0.3">
      <c r="A59">
        <v>48</v>
      </c>
      <c r="B59">
        <f t="shared" si="14"/>
        <v>3.8179859025547203E-5</v>
      </c>
      <c r="C59">
        <f t="shared" si="10"/>
        <v>3.8179859025547203E-5</v>
      </c>
      <c r="D59" t="s">
        <v>29</v>
      </c>
      <c r="E59" t="s">
        <v>19</v>
      </c>
      <c r="F59">
        <v>1</v>
      </c>
      <c r="G59">
        <f t="shared" si="15"/>
        <v>140</v>
      </c>
      <c r="I59">
        <v>2050</v>
      </c>
      <c r="J59">
        <f t="shared" si="16"/>
        <v>142.5</v>
      </c>
      <c r="K59" cm="1">
        <f t="array" ref="K59">STOWA2019_NDJF_T(A59*60,J59,I59,"WL","center")</f>
        <v>10748.678453056402</v>
      </c>
      <c r="L59">
        <f t="shared" si="17"/>
        <v>9.3034692996667759E-5</v>
      </c>
    </row>
    <row r="60" spans="1:12" x14ac:dyDescent="0.3">
      <c r="A60">
        <v>48</v>
      </c>
      <c r="B60">
        <f t="shared" si="14"/>
        <v>2.664028824345237E-5</v>
      </c>
      <c r="C60">
        <f t="shared" si="10"/>
        <v>2.664028824345237E-5</v>
      </c>
      <c r="D60" t="s">
        <v>29</v>
      </c>
      <c r="E60" t="s">
        <v>19</v>
      </c>
      <c r="F60">
        <v>1</v>
      </c>
      <c r="G60">
        <f t="shared" si="15"/>
        <v>145</v>
      </c>
      <c r="I60">
        <v>2050</v>
      </c>
      <c r="J60">
        <f t="shared" si="16"/>
        <v>147.5</v>
      </c>
      <c r="K60" cm="1">
        <f t="array" ref="K60">STOWA2019_NDJF_T(A60*60,J60,I60,"WL","center")</f>
        <v>15061.510133526295</v>
      </c>
      <c r="L60">
        <f t="shared" si="17"/>
        <v>6.6394404753215388E-5</v>
      </c>
    </row>
    <row r="61" spans="1:12" x14ac:dyDescent="0.3">
      <c r="A61">
        <v>48</v>
      </c>
      <c r="B61">
        <f t="shared" si="14"/>
        <v>1.8714587642625679E-5</v>
      </c>
      <c r="C61">
        <f t="shared" si="10"/>
        <v>1.8714587642625679E-5</v>
      </c>
      <c r="D61" t="s">
        <v>29</v>
      </c>
      <c r="E61" t="s">
        <v>19</v>
      </c>
      <c r="F61">
        <v>1</v>
      </c>
      <c r="G61">
        <f t="shared" si="15"/>
        <v>150</v>
      </c>
      <c r="I61">
        <v>2050</v>
      </c>
      <c r="J61">
        <f t="shared" si="16"/>
        <v>152.5</v>
      </c>
      <c r="K61" cm="1">
        <f t="array" ref="K61">STOWA2019_NDJF_T(A61*60,J61,I61,"WL","center")</f>
        <v>20973.234810875554</v>
      </c>
      <c r="L61">
        <f t="shared" si="17"/>
        <v>4.7679817110589709E-5</v>
      </c>
    </row>
    <row r="62" spans="1:12" x14ac:dyDescent="0.3">
      <c r="A62">
        <v>48</v>
      </c>
      <c r="B62">
        <f t="shared" si="14"/>
        <v>1.3232506404632683E-5</v>
      </c>
      <c r="C62">
        <f t="shared" si="10"/>
        <v>1.3232506404632683E-5</v>
      </c>
      <c r="D62" t="s">
        <v>29</v>
      </c>
      <c r="E62" t="s">
        <v>19</v>
      </c>
      <c r="F62">
        <v>1</v>
      </c>
      <c r="G62">
        <f t="shared" si="15"/>
        <v>155</v>
      </c>
      <c r="I62">
        <v>2050</v>
      </c>
      <c r="J62">
        <f t="shared" si="16"/>
        <v>157.5</v>
      </c>
      <c r="K62" cm="1">
        <f t="array" ref="K62">STOWA2019_NDJF_T(A62*60,J62,I62,"WL","center")</f>
        <v>29029.842373938016</v>
      </c>
      <c r="L62">
        <f t="shared" si="17"/>
        <v>3.4447310705957027E-5</v>
      </c>
    </row>
    <row r="63" spans="1:12" x14ac:dyDescent="0.3">
      <c r="A63">
        <v>48</v>
      </c>
      <c r="B63" s="1">
        <f>L62</f>
        <v>3.4447310705957027E-5</v>
      </c>
      <c r="C63">
        <f t="shared" si="10"/>
        <v>3.4447310705957027E-5</v>
      </c>
      <c r="D63" t="s">
        <v>29</v>
      </c>
      <c r="E63" t="s">
        <v>19</v>
      </c>
      <c r="F63">
        <v>1</v>
      </c>
      <c r="G63">
        <f t="shared" si="15"/>
        <v>160</v>
      </c>
      <c r="I63">
        <v>2050</v>
      </c>
      <c r="J63">
        <f>AVERAGE(G63:G64)</f>
        <v>85</v>
      </c>
      <c r="K63" cm="1">
        <f t="array" ref="K63">STOWA2019_NDJF_T(A63*60,J63,I63,"WL","center")</f>
        <v>129.17314559447772</v>
      </c>
      <c r="L63">
        <f>1/K63</f>
        <v>7.7415471721914231E-3</v>
      </c>
    </row>
    <row r="64" spans="1:12" x14ac:dyDescent="0.3">
      <c r="A64">
        <v>96</v>
      </c>
      <c r="B64" s="1">
        <f>365.25*24/A64 - L64</f>
        <v>71.598503793362084</v>
      </c>
      <c r="C64">
        <f>B64</f>
        <v>71.598503793362084</v>
      </c>
      <c r="D64" t="s">
        <v>29</v>
      </c>
      <c r="E64" t="s">
        <v>19</v>
      </c>
      <c r="F64">
        <v>1</v>
      </c>
      <c r="G64">
        <v>10</v>
      </c>
      <c r="I64">
        <v>2050</v>
      </c>
      <c r="J64">
        <f>AVERAGE(G64:G66)</f>
        <v>15</v>
      </c>
      <c r="K64" cm="1">
        <f t="array" ref="K64">STOWA2019_NDJF_T(A64*60,J64,I64,"WL","center")</f>
        <v>5.0725382592053496E-2</v>
      </c>
      <c r="L64">
        <f>1/K64</f>
        <v>19.713996206637923</v>
      </c>
    </row>
    <row r="65" spans="1:12" x14ac:dyDescent="0.3">
      <c r="A65">
        <v>96</v>
      </c>
      <c r="B65">
        <f t="shared" ref="B65:B69" si="18">L64-L65</f>
        <v>3.9617869102555137</v>
      </c>
      <c r="C65">
        <f t="shared" ref="C65:C94" si="19">B65</f>
        <v>3.9617869102555137</v>
      </c>
      <c r="D65" t="s">
        <v>29</v>
      </c>
      <c r="E65" t="s">
        <v>19</v>
      </c>
      <c r="F65">
        <v>1</v>
      </c>
      <c r="G65">
        <f t="shared" ref="G65:G69" si="20">G64+5</f>
        <v>15</v>
      </c>
      <c r="I65">
        <v>2050</v>
      </c>
      <c r="J65">
        <f t="shared" ref="J65:J69" si="21">AVERAGE(G65:G66)</f>
        <v>17.5</v>
      </c>
      <c r="K65" cm="1">
        <f t="array" ref="K65">STOWA2019_NDJF_T(A65*60,J65,I65,"WL","center")</f>
        <v>6.3483158532540329E-2</v>
      </c>
      <c r="L65">
        <f t="shared" ref="L65:L69" si="22">1/K65</f>
        <v>15.752209296382409</v>
      </c>
    </row>
    <row r="66" spans="1:12" x14ac:dyDescent="0.3">
      <c r="A66">
        <v>96</v>
      </c>
      <c r="B66">
        <f t="shared" si="18"/>
        <v>5.6618534181911127</v>
      </c>
      <c r="C66">
        <f t="shared" si="19"/>
        <v>5.6618534181911127</v>
      </c>
      <c r="D66" t="s">
        <v>29</v>
      </c>
      <c r="E66" t="s">
        <v>19</v>
      </c>
      <c r="F66">
        <v>1</v>
      </c>
      <c r="G66">
        <f t="shared" si="20"/>
        <v>20</v>
      </c>
      <c r="I66">
        <v>2050</v>
      </c>
      <c r="J66">
        <f t="shared" si="21"/>
        <v>22.5</v>
      </c>
      <c r="K66" cm="1">
        <f t="array" ref="K66">STOWA2019_NDJF_T(A66*60,J66,I66,"WL","center")</f>
        <v>9.9104532295173187E-2</v>
      </c>
      <c r="L66">
        <f t="shared" si="22"/>
        <v>10.090355878191296</v>
      </c>
    </row>
    <row r="67" spans="1:12" x14ac:dyDescent="0.3">
      <c r="A67">
        <v>96</v>
      </c>
      <c r="B67">
        <f t="shared" si="18"/>
        <v>3.5987596973335352</v>
      </c>
      <c r="C67">
        <f t="shared" si="19"/>
        <v>3.5987596973335352</v>
      </c>
      <c r="D67" t="s">
        <v>29</v>
      </c>
      <c r="E67" t="s">
        <v>19</v>
      </c>
      <c r="F67">
        <v>1</v>
      </c>
      <c r="G67">
        <f t="shared" si="20"/>
        <v>25</v>
      </c>
      <c r="I67">
        <v>2050</v>
      </c>
      <c r="J67">
        <f t="shared" si="21"/>
        <v>27.5</v>
      </c>
      <c r="K67" cm="1">
        <f t="array" ref="K67">STOWA2019_NDJF_T(A67*60,J67,I67,"WL","center")</f>
        <v>0.15404531830688611</v>
      </c>
      <c r="L67">
        <f t="shared" si="22"/>
        <v>6.4915961808577611</v>
      </c>
    </row>
    <row r="68" spans="1:12" x14ac:dyDescent="0.3">
      <c r="A68">
        <v>96</v>
      </c>
      <c r="B68">
        <f t="shared" si="18"/>
        <v>2.2974843567305374</v>
      </c>
      <c r="C68">
        <f t="shared" si="19"/>
        <v>2.2974843567305374</v>
      </c>
      <c r="D68" t="s">
        <v>29</v>
      </c>
      <c r="E68" t="s">
        <v>19</v>
      </c>
      <c r="F68">
        <v>1</v>
      </c>
      <c r="G68">
        <f t="shared" si="20"/>
        <v>30</v>
      </c>
      <c r="I68">
        <v>2050</v>
      </c>
      <c r="J68">
        <f t="shared" si="21"/>
        <v>32.5</v>
      </c>
      <c r="K68" cm="1">
        <f t="array" ref="K68">STOWA2019_NDJF_T(A68*60,J68,I68,"WL","center")</f>
        <v>0.23842950353573267</v>
      </c>
      <c r="L68">
        <f t="shared" si="22"/>
        <v>4.1941118241272237</v>
      </c>
    </row>
    <row r="69" spans="1:12" x14ac:dyDescent="0.3">
      <c r="A69">
        <v>96</v>
      </c>
      <c r="B69">
        <f t="shared" si="18"/>
        <v>1.4731196503333996</v>
      </c>
      <c r="C69">
        <f t="shared" si="19"/>
        <v>1.4731196503333996</v>
      </c>
      <c r="D69" t="s">
        <v>29</v>
      </c>
      <c r="E69" t="s">
        <v>19</v>
      </c>
      <c r="F69">
        <v>1</v>
      </c>
      <c r="G69">
        <f t="shared" si="20"/>
        <v>35</v>
      </c>
      <c r="I69">
        <v>2050</v>
      </c>
      <c r="J69">
        <f t="shared" si="21"/>
        <v>37.5</v>
      </c>
      <c r="K69" cm="1">
        <f t="array" ref="K69">STOWA2019_NDJF_T(A69*60,J69,I69,"WL","center")</f>
        <v>0.36751300118798957</v>
      </c>
      <c r="L69">
        <f t="shared" si="22"/>
        <v>2.7209921737938241</v>
      </c>
    </row>
    <row r="70" spans="1:12" x14ac:dyDescent="0.3">
      <c r="A70">
        <v>96</v>
      </c>
      <c r="B70">
        <f>L69-L70</f>
        <v>0.94846829563338919</v>
      </c>
      <c r="C70">
        <f t="shared" si="19"/>
        <v>0.94846829563338919</v>
      </c>
      <c r="D70" t="s">
        <v>29</v>
      </c>
      <c r="E70" t="s">
        <v>19</v>
      </c>
      <c r="F70">
        <v>1</v>
      </c>
      <c r="G70">
        <f>G69+5</f>
        <v>40</v>
      </c>
      <c r="I70">
        <v>2050</v>
      </c>
      <c r="J70">
        <f>AVERAGE(G70:G71)</f>
        <v>42.5</v>
      </c>
      <c r="K70" cm="1">
        <f t="array" ref="K70">STOWA2019_NDJF_T(A70*60,J70,I70,"WL","center")</f>
        <v>0.56416729406084076</v>
      </c>
      <c r="L70">
        <f>1/K70</f>
        <v>1.7725238781604349</v>
      </c>
    </row>
    <row r="71" spans="1:12" x14ac:dyDescent="0.3">
      <c r="A71">
        <v>96</v>
      </c>
      <c r="B71">
        <f t="shared" ref="B71:B93" si="23">L70-L71</f>
        <v>0.61322051684760082</v>
      </c>
      <c r="C71">
        <f t="shared" si="19"/>
        <v>0.61322051684760082</v>
      </c>
      <c r="D71" t="s">
        <v>29</v>
      </c>
      <c r="E71" t="s">
        <v>19</v>
      </c>
      <c r="F71">
        <v>1</v>
      </c>
      <c r="G71">
        <f t="shared" ref="G71:G94" si="24">G70+5</f>
        <v>45</v>
      </c>
      <c r="I71">
        <v>2050</v>
      </c>
      <c r="J71">
        <f t="shared" ref="J71:J93" si="25">AVERAGE(G71:G72)</f>
        <v>47.5</v>
      </c>
      <c r="K71" cm="1">
        <f t="array" ref="K71">STOWA2019_NDJF_T(A71*60,J71,I71,"WL","center")</f>
        <v>0.86258699264665839</v>
      </c>
      <c r="L71">
        <f t="shared" ref="L71:L93" si="26">1/K71</f>
        <v>1.1593033613128341</v>
      </c>
    </row>
    <row r="72" spans="1:12" x14ac:dyDescent="0.3">
      <c r="A72">
        <v>96</v>
      </c>
      <c r="B72">
        <f t="shared" si="23"/>
        <v>0.39802843310155434</v>
      </c>
      <c r="C72">
        <f t="shared" si="19"/>
        <v>0.39802843310155434</v>
      </c>
      <c r="D72" t="s">
        <v>29</v>
      </c>
      <c r="E72" t="s">
        <v>19</v>
      </c>
      <c r="F72">
        <v>1</v>
      </c>
      <c r="G72">
        <f t="shared" si="24"/>
        <v>50</v>
      </c>
      <c r="I72">
        <v>2050</v>
      </c>
      <c r="J72">
        <f t="shared" si="25"/>
        <v>52.5</v>
      </c>
      <c r="K72" cm="1">
        <f t="array" ref="K72">STOWA2019_NDJF_T(A72*60,J72,I72,"WL","center")</f>
        <v>1.3135858846023443</v>
      </c>
      <c r="L72">
        <f t="shared" si="26"/>
        <v>0.76127492821127973</v>
      </c>
    </row>
    <row r="73" spans="1:12" x14ac:dyDescent="0.3">
      <c r="A73">
        <v>96</v>
      </c>
      <c r="B73">
        <f t="shared" si="23"/>
        <v>0.25947858189301598</v>
      </c>
      <c r="C73">
        <f t="shared" si="19"/>
        <v>0.25947858189301598</v>
      </c>
      <c r="D73" t="s">
        <v>29</v>
      </c>
      <c r="E73" t="s">
        <v>19</v>
      </c>
      <c r="F73">
        <v>1</v>
      </c>
      <c r="G73">
        <f t="shared" si="24"/>
        <v>55</v>
      </c>
      <c r="I73">
        <v>2050</v>
      </c>
      <c r="J73">
        <f t="shared" si="25"/>
        <v>57.5</v>
      </c>
      <c r="K73" cm="1">
        <f t="array" ref="K73">STOWA2019_NDJF_T(A73*60,J73,I73,"WL","center")</f>
        <v>1.9928403371947851</v>
      </c>
      <c r="L73">
        <f t="shared" si="26"/>
        <v>0.50179634631826375</v>
      </c>
    </row>
    <row r="74" spans="1:12" x14ac:dyDescent="0.3">
      <c r="A74">
        <v>96</v>
      </c>
      <c r="B74">
        <f t="shared" si="23"/>
        <v>0.16977935913952924</v>
      </c>
      <c r="C74">
        <f t="shared" si="19"/>
        <v>0.16977935913952924</v>
      </c>
      <c r="D74" t="s">
        <v>29</v>
      </c>
      <c r="E74" t="s">
        <v>19</v>
      </c>
      <c r="F74">
        <v>1</v>
      </c>
      <c r="G74">
        <f t="shared" si="24"/>
        <v>60</v>
      </c>
      <c r="I74">
        <v>2050</v>
      </c>
      <c r="J74">
        <f t="shared" si="25"/>
        <v>62.5</v>
      </c>
      <c r="K74" cm="1">
        <f t="array" ref="K74">STOWA2019_NDJF_T(A74*60,J74,I74,"WL","center")</f>
        <v>3.0118940855928873</v>
      </c>
      <c r="L74">
        <f t="shared" si="26"/>
        <v>0.33201698717873451</v>
      </c>
    </row>
    <row r="75" spans="1:12" x14ac:dyDescent="0.3">
      <c r="A75">
        <v>96</v>
      </c>
      <c r="B75">
        <f t="shared" si="23"/>
        <v>0.11151826696856579</v>
      </c>
      <c r="C75">
        <f t="shared" si="19"/>
        <v>0.11151826696856579</v>
      </c>
      <c r="D75" t="s">
        <v>29</v>
      </c>
      <c r="E75" t="s">
        <v>19</v>
      </c>
      <c r="F75">
        <v>1</v>
      </c>
      <c r="G75">
        <f t="shared" si="24"/>
        <v>65</v>
      </c>
      <c r="I75">
        <v>2050</v>
      </c>
      <c r="J75">
        <f t="shared" si="25"/>
        <v>67.5</v>
      </c>
      <c r="K75" cm="1">
        <f t="array" ref="K75">STOWA2019_NDJF_T(A75*60,J75,I75,"WL","center")</f>
        <v>4.5351737145995603</v>
      </c>
      <c r="L75">
        <f t="shared" si="26"/>
        <v>0.22049872021016872</v>
      </c>
    </row>
    <row r="76" spans="1:12" x14ac:dyDescent="0.3">
      <c r="A76">
        <v>96</v>
      </c>
      <c r="B76">
        <f t="shared" si="23"/>
        <v>7.3524490455047109E-2</v>
      </c>
      <c r="C76">
        <f t="shared" si="19"/>
        <v>7.3524490455047109E-2</v>
      </c>
      <c r="D76" t="s">
        <v>29</v>
      </c>
      <c r="E76" t="s">
        <v>19</v>
      </c>
      <c r="F76">
        <v>1</v>
      </c>
      <c r="G76">
        <f t="shared" si="24"/>
        <v>70</v>
      </c>
      <c r="I76">
        <v>2050</v>
      </c>
      <c r="J76">
        <f t="shared" si="25"/>
        <v>72.5</v>
      </c>
      <c r="K76" cm="1">
        <f t="array" ref="K76">STOWA2019_NDJF_T(A76*60,J76,I76,"WL","center")</f>
        <v>6.8039138675271946</v>
      </c>
      <c r="L76">
        <f t="shared" si="26"/>
        <v>0.14697422975512162</v>
      </c>
    </row>
    <row r="77" spans="1:12" x14ac:dyDescent="0.3">
      <c r="A77">
        <v>96</v>
      </c>
      <c r="B77">
        <f t="shared" si="23"/>
        <v>4.8656994205527868E-2</v>
      </c>
      <c r="C77">
        <f t="shared" si="19"/>
        <v>4.8656994205527868E-2</v>
      </c>
      <c r="D77" t="s">
        <v>29</v>
      </c>
      <c r="E77" t="s">
        <v>19</v>
      </c>
      <c r="F77">
        <v>1</v>
      </c>
      <c r="G77">
        <f t="shared" si="24"/>
        <v>75</v>
      </c>
      <c r="I77">
        <v>2050</v>
      </c>
      <c r="J77">
        <f t="shared" si="25"/>
        <v>77.5</v>
      </c>
      <c r="K77" cm="1">
        <f t="array" ref="K77">STOWA2019_NDJF_T(A77*60,J77,I77,"WL","center")</f>
        <v>10.171156607587632</v>
      </c>
      <c r="L77">
        <f t="shared" si="26"/>
        <v>9.8317235549593748E-2</v>
      </c>
    </row>
    <row r="78" spans="1:12" x14ac:dyDescent="0.3">
      <c r="A78">
        <v>96</v>
      </c>
      <c r="B78">
        <f t="shared" si="23"/>
        <v>3.2315930352635178E-2</v>
      </c>
      <c r="C78">
        <f t="shared" si="19"/>
        <v>3.2315930352635178E-2</v>
      </c>
      <c r="D78" t="s">
        <v>29</v>
      </c>
      <c r="E78" t="s">
        <v>19</v>
      </c>
      <c r="F78">
        <v>1</v>
      </c>
      <c r="G78">
        <f t="shared" si="24"/>
        <v>80</v>
      </c>
      <c r="I78">
        <v>2050</v>
      </c>
      <c r="J78">
        <f t="shared" si="25"/>
        <v>82.5</v>
      </c>
      <c r="K78" cm="1">
        <f t="array" ref="K78">STOWA2019_NDJF_T(A78*60,J78,I78,"WL","center")</f>
        <v>15.151215525448144</v>
      </c>
      <c r="L78">
        <f t="shared" si="26"/>
        <v>6.6001305196958571E-2</v>
      </c>
    </row>
    <row r="79" spans="1:12" x14ac:dyDescent="0.3">
      <c r="A79">
        <v>96</v>
      </c>
      <c r="B79">
        <f t="shared" si="23"/>
        <v>2.1540302881721658E-2</v>
      </c>
      <c r="C79">
        <f t="shared" si="19"/>
        <v>2.1540302881721658E-2</v>
      </c>
      <c r="D79" t="s">
        <v>29</v>
      </c>
      <c r="E79" t="s">
        <v>19</v>
      </c>
      <c r="F79">
        <v>1</v>
      </c>
      <c r="G79">
        <f t="shared" si="24"/>
        <v>85</v>
      </c>
      <c r="I79">
        <v>2050</v>
      </c>
      <c r="J79">
        <f t="shared" si="25"/>
        <v>87.5</v>
      </c>
      <c r="K79" cm="1">
        <f t="array" ref="K79">STOWA2019_NDJF_T(A79*60,J79,I79,"WL","center")</f>
        <v>22.491620699637199</v>
      </c>
      <c r="L79">
        <f t="shared" si="26"/>
        <v>4.4461002315236912E-2</v>
      </c>
    </row>
    <row r="80" spans="1:12" x14ac:dyDescent="0.3">
      <c r="A80">
        <v>96</v>
      </c>
      <c r="B80">
        <f t="shared" si="23"/>
        <v>1.4408513783365242E-2</v>
      </c>
      <c r="C80">
        <f t="shared" si="19"/>
        <v>1.4408513783365242E-2</v>
      </c>
      <c r="D80" t="s">
        <v>29</v>
      </c>
      <c r="E80" t="s">
        <v>19</v>
      </c>
      <c r="F80">
        <v>1</v>
      </c>
      <c r="G80">
        <f t="shared" si="24"/>
        <v>90</v>
      </c>
      <c r="I80">
        <v>2050</v>
      </c>
      <c r="J80">
        <f t="shared" si="25"/>
        <v>92.5</v>
      </c>
      <c r="K80" cm="1">
        <f t="array" ref="K80">STOWA2019_NDJF_T(A80*60,J80,I80,"WL","center")</f>
        <v>33.275114602887761</v>
      </c>
      <c r="L80">
        <f t="shared" si="26"/>
        <v>3.005248853187167E-2</v>
      </c>
    </row>
    <row r="81" spans="1:12" x14ac:dyDescent="0.3">
      <c r="A81">
        <v>96</v>
      </c>
      <c r="B81">
        <f t="shared" si="23"/>
        <v>9.6708996080191595E-3</v>
      </c>
      <c r="C81">
        <f t="shared" si="19"/>
        <v>9.6708996080191595E-3</v>
      </c>
      <c r="D81" t="s">
        <v>29</v>
      </c>
      <c r="E81" t="s">
        <v>19</v>
      </c>
      <c r="F81">
        <v>1</v>
      </c>
      <c r="G81">
        <f t="shared" si="24"/>
        <v>95</v>
      </c>
      <c r="I81">
        <v>2050</v>
      </c>
      <c r="J81">
        <f t="shared" si="25"/>
        <v>97.5</v>
      </c>
      <c r="K81" cm="1">
        <f t="array" ref="K81">STOWA2019_NDJF_T(A81*60,J81,I81,"WL","center")</f>
        <v>49.063888185366309</v>
      </c>
      <c r="L81">
        <f t="shared" si="26"/>
        <v>2.0381588923852511E-2</v>
      </c>
    </row>
    <row r="82" spans="1:12" x14ac:dyDescent="0.3">
      <c r="A82">
        <v>96</v>
      </c>
      <c r="B82">
        <f t="shared" si="23"/>
        <v>6.5132678072016663E-3</v>
      </c>
      <c r="C82">
        <f t="shared" si="19"/>
        <v>6.5132678072016663E-3</v>
      </c>
      <c r="D82" t="s">
        <v>29</v>
      </c>
      <c r="E82" t="s">
        <v>19</v>
      </c>
      <c r="F82">
        <v>1</v>
      </c>
      <c r="G82">
        <f t="shared" si="24"/>
        <v>100</v>
      </c>
      <c r="I82">
        <v>2050</v>
      </c>
      <c r="J82">
        <f t="shared" si="25"/>
        <v>102.5</v>
      </c>
      <c r="K82" cm="1">
        <f t="array" ref="K82">STOWA2019_NDJF_T(A82*60,J82,I82,"WL","center")</f>
        <v>72.106781461770538</v>
      </c>
      <c r="L82">
        <f t="shared" si="26"/>
        <v>1.3868321116650845E-2</v>
      </c>
    </row>
    <row r="83" spans="1:12" x14ac:dyDescent="0.3">
      <c r="A83">
        <v>96</v>
      </c>
      <c r="B83">
        <f t="shared" si="23"/>
        <v>4.4012850535502298E-3</v>
      </c>
      <c r="C83">
        <f t="shared" si="19"/>
        <v>4.4012850535502298E-3</v>
      </c>
      <c r="D83" t="s">
        <v>29</v>
      </c>
      <c r="E83" t="s">
        <v>19</v>
      </c>
      <c r="F83">
        <v>1</v>
      </c>
      <c r="G83">
        <f t="shared" si="24"/>
        <v>105</v>
      </c>
      <c r="I83">
        <v>2050</v>
      </c>
      <c r="J83">
        <f t="shared" si="25"/>
        <v>107.5</v>
      </c>
      <c r="K83" cm="1">
        <f t="array" ref="K83">STOWA2019_NDJF_T(A83*60,J83,I83,"WL","center")</f>
        <v>105.62968106751703</v>
      </c>
      <c r="L83">
        <f t="shared" si="26"/>
        <v>9.4670360631006149E-3</v>
      </c>
    </row>
    <row r="84" spans="1:12" x14ac:dyDescent="0.3">
      <c r="A84">
        <v>96</v>
      </c>
      <c r="B84">
        <f t="shared" si="23"/>
        <v>2.9839005398362992E-3</v>
      </c>
      <c r="C84">
        <f t="shared" si="19"/>
        <v>2.9839005398362992E-3</v>
      </c>
      <c r="D84" t="s">
        <v>29</v>
      </c>
      <c r="E84" t="s">
        <v>19</v>
      </c>
      <c r="F84">
        <v>1</v>
      </c>
      <c r="G84">
        <f t="shared" si="24"/>
        <v>110</v>
      </c>
      <c r="I84">
        <v>2050</v>
      </c>
      <c r="J84">
        <f t="shared" si="25"/>
        <v>112.5</v>
      </c>
      <c r="K84" cm="1">
        <f t="array" ref="K84">STOWA2019_NDJF_T(A84*60,J84,I84,"WL","center")</f>
        <v>154.24635138530795</v>
      </c>
      <c r="L84">
        <f t="shared" si="26"/>
        <v>6.4831355232643157E-3</v>
      </c>
    </row>
    <row r="85" spans="1:12" x14ac:dyDescent="0.3">
      <c r="A85">
        <v>96</v>
      </c>
      <c r="B85">
        <f t="shared" si="23"/>
        <v>2.0295037517978802E-3</v>
      </c>
      <c r="C85">
        <f t="shared" si="19"/>
        <v>2.0295037517978802E-3</v>
      </c>
      <c r="D85" t="s">
        <v>29</v>
      </c>
      <c r="E85" t="s">
        <v>19</v>
      </c>
      <c r="F85">
        <v>1</v>
      </c>
      <c r="G85">
        <f t="shared" si="24"/>
        <v>115</v>
      </c>
      <c r="I85">
        <v>2050</v>
      </c>
      <c r="J85">
        <f t="shared" si="25"/>
        <v>117.5</v>
      </c>
      <c r="K85" cm="1">
        <f t="array" ref="K85">STOWA2019_NDJF_T(A85*60,J85,I85,"WL","center")</f>
        <v>224.53585103438684</v>
      </c>
      <c r="L85">
        <f t="shared" si="26"/>
        <v>4.4536317714664354E-3</v>
      </c>
    </row>
    <row r="86" spans="1:12" x14ac:dyDescent="0.3">
      <c r="A86">
        <v>96</v>
      </c>
      <c r="B86">
        <f t="shared" si="23"/>
        <v>1.3847355770186948E-3</v>
      </c>
      <c r="C86">
        <f t="shared" si="19"/>
        <v>1.3847355770186948E-3</v>
      </c>
      <c r="D86" t="s">
        <v>29</v>
      </c>
      <c r="E86" t="s">
        <v>19</v>
      </c>
      <c r="F86">
        <v>1</v>
      </c>
      <c r="G86">
        <f t="shared" si="24"/>
        <v>120</v>
      </c>
      <c r="I86">
        <v>2050</v>
      </c>
      <c r="J86">
        <f t="shared" si="25"/>
        <v>122.5</v>
      </c>
      <c r="K86" cm="1">
        <f t="array" ref="K86">STOWA2019_NDJF_T(A86*60,J86,I86,"WL","center")</f>
        <v>325.85005703653451</v>
      </c>
      <c r="L86">
        <f t="shared" si="26"/>
        <v>3.0688961944477407E-3</v>
      </c>
    </row>
    <row r="87" spans="1:12" x14ac:dyDescent="0.3">
      <c r="A87">
        <v>96</v>
      </c>
      <c r="B87">
        <f t="shared" si="23"/>
        <v>9.4779506109496543E-4</v>
      </c>
      <c r="C87">
        <f t="shared" si="19"/>
        <v>9.4779506109496543E-4</v>
      </c>
      <c r="D87" t="s">
        <v>29</v>
      </c>
      <c r="E87" t="s">
        <v>19</v>
      </c>
      <c r="F87">
        <v>1</v>
      </c>
      <c r="G87">
        <f t="shared" si="24"/>
        <v>125</v>
      </c>
      <c r="I87">
        <v>2050</v>
      </c>
      <c r="J87">
        <f t="shared" si="25"/>
        <v>127.5</v>
      </c>
      <c r="K87" cm="1">
        <f t="array" ref="K87">STOWA2019_NDJF_T(A87*60,J87,I87,"WL","center")</f>
        <v>471.45323920473481</v>
      </c>
      <c r="L87">
        <f t="shared" si="26"/>
        <v>2.1211011333527752E-3</v>
      </c>
    </row>
    <row r="88" spans="1:12" x14ac:dyDescent="0.3">
      <c r="A88">
        <v>96</v>
      </c>
      <c r="B88">
        <f t="shared" si="23"/>
        <v>6.5070754128732891E-4</v>
      </c>
      <c r="C88">
        <f t="shared" si="19"/>
        <v>6.5070754128732891E-4</v>
      </c>
      <c r="D88" t="s">
        <v>29</v>
      </c>
      <c r="E88" t="s">
        <v>19</v>
      </c>
      <c r="F88">
        <v>1</v>
      </c>
      <c r="G88">
        <f t="shared" si="24"/>
        <v>130</v>
      </c>
      <c r="I88">
        <v>2050</v>
      </c>
      <c r="J88">
        <f t="shared" si="25"/>
        <v>132.5</v>
      </c>
      <c r="K88" cm="1">
        <f t="array" ref="K88">STOWA2019_NDJF_T(A88*60,J88,I88,"WL","center")</f>
        <v>680.09001494308109</v>
      </c>
      <c r="L88">
        <f t="shared" si="26"/>
        <v>1.4703935920654463E-3</v>
      </c>
    </row>
    <row r="89" spans="1:12" x14ac:dyDescent="0.3">
      <c r="A89">
        <v>96</v>
      </c>
      <c r="B89">
        <f t="shared" si="23"/>
        <v>4.4809393911757894E-4</v>
      </c>
      <c r="C89">
        <f t="shared" si="19"/>
        <v>4.4809393911757894E-4</v>
      </c>
      <c r="D89" t="s">
        <v>29</v>
      </c>
      <c r="E89" t="s">
        <v>19</v>
      </c>
      <c r="F89">
        <v>1</v>
      </c>
      <c r="G89">
        <f t="shared" si="24"/>
        <v>135</v>
      </c>
      <c r="I89">
        <v>2050</v>
      </c>
      <c r="J89">
        <f t="shared" si="25"/>
        <v>137.5</v>
      </c>
      <c r="K89" cm="1">
        <f t="array" ref="K89">STOWA2019_NDJF_T(A89*60,J89,I89,"WL","center")</f>
        <v>978.18677441240936</v>
      </c>
      <c r="L89">
        <f t="shared" si="26"/>
        <v>1.0222996529478674E-3</v>
      </c>
    </row>
    <row r="90" spans="1:12" x14ac:dyDescent="0.3">
      <c r="A90">
        <v>96</v>
      </c>
      <c r="B90">
        <f t="shared" si="23"/>
        <v>3.0948360989677679E-4</v>
      </c>
      <c r="C90">
        <f t="shared" si="19"/>
        <v>3.0948360989677679E-4</v>
      </c>
      <c r="D90" t="s">
        <v>29</v>
      </c>
      <c r="E90" t="s">
        <v>19</v>
      </c>
      <c r="F90">
        <v>1</v>
      </c>
      <c r="G90">
        <f t="shared" si="24"/>
        <v>140</v>
      </c>
      <c r="I90">
        <v>2050</v>
      </c>
      <c r="J90">
        <f t="shared" si="25"/>
        <v>142.5</v>
      </c>
      <c r="K90" cm="1">
        <f t="array" ref="K90">STOWA2019_NDJF_T(A90*60,J90,I90,"WL","center")</f>
        <v>1402.8864946973783</v>
      </c>
      <c r="L90">
        <f t="shared" si="26"/>
        <v>7.1281604305109059E-4</v>
      </c>
    </row>
    <row r="91" spans="1:12" x14ac:dyDescent="0.3">
      <c r="A91">
        <v>96</v>
      </c>
      <c r="B91">
        <f t="shared" si="23"/>
        <v>2.143832014207572E-4</v>
      </c>
      <c r="C91">
        <f t="shared" si="19"/>
        <v>2.143832014207572E-4</v>
      </c>
      <c r="D91" t="s">
        <v>29</v>
      </c>
      <c r="E91" t="s">
        <v>19</v>
      </c>
      <c r="F91">
        <v>1</v>
      </c>
      <c r="G91">
        <f t="shared" si="24"/>
        <v>145</v>
      </c>
      <c r="I91">
        <v>2050</v>
      </c>
      <c r="J91">
        <f t="shared" si="25"/>
        <v>147.5</v>
      </c>
      <c r="K91" cm="1">
        <f t="array" ref="K91">STOWA2019_NDJF_T(A91*60,J91,I91,"WL","center")</f>
        <v>2006.2883431378261</v>
      </c>
      <c r="L91">
        <f t="shared" si="26"/>
        <v>4.9843284163033339E-4</v>
      </c>
    </row>
    <row r="92" spans="1:12" x14ac:dyDescent="0.3">
      <c r="A92">
        <v>96</v>
      </c>
      <c r="B92">
        <f t="shared" si="23"/>
        <v>1.4892940326271387E-4</v>
      </c>
      <c r="C92">
        <f t="shared" si="19"/>
        <v>1.4892940326271387E-4</v>
      </c>
      <c r="D92" t="s">
        <v>29</v>
      </c>
      <c r="E92" t="s">
        <v>19</v>
      </c>
      <c r="F92">
        <v>1</v>
      </c>
      <c r="G92">
        <f t="shared" si="24"/>
        <v>150</v>
      </c>
      <c r="I92">
        <v>2050</v>
      </c>
      <c r="J92">
        <f t="shared" si="25"/>
        <v>152.5</v>
      </c>
      <c r="K92" cm="1">
        <f t="array" ref="K92">STOWA2019_NDJF_T(A92*60,J92,I92,"WL","center")</f>
        <v>2861.2021806439748</v>
      </c>
      <c r="L92">
        <f t="shared" si="26"/>
        <v>3.4950343836761953E-4</v>
      </c>
    </row>
    <row r="93" spans="1:12" x14ac:dyDescent="0.3">
      <c r="A93">
        <v>96</v>
      </c>
      <c r="B93">
        <f t="shared" si="23"/>
        <v>1.0375642189159467E-4</v>
      </c>
      <c r="C93">
        <f t="shared" si="19"/>
        <v>1.0375642189159467E-4</v>
      </c>
      <c r="D93" t="s">
        <v>29</v>
      </c>
      <c r="E93" t="s">
        <v>19</v>
      </c>
      <c r="F93">
        <v>1</v>
      </c>
      <c r="G93">
        <f t="shared" si="24"/>
        <v>155</v>
      </c>
      <c r="I93">
        <v>2050</v>
      </c>
      <c r="J93">
        <f t="shared" si="25"/>
        <v>157.5</v>
      </c>
      <c r="K93" cm="1">
        <f t="array" ref="K93">STOWA2019_NDJF_T(A93*60,J93,I93,"WL","center")</f>
        <v>4069.2253942279717</v>
      </c>
      <c r="L93">
        <f t="shared" si="26"/>
        <v>2.4574701647602485E-4</v>
      </c>
    </row>
    <row r="94" spans="1:12" x14ac:dyDescent="0.3">
      <c r="A94">
        <v>96</v>
      </c>
      <c r="B94" s="1">
        <f>L93</f>
        <v>2.4574701647602485E-4</v>
      </c>
      <c r="C94">
        <f t="shared" si="19"/>
        <v>2.4574701647602485E-4</v>
      </c>
      <c r="D94" t="s">
        <v>29</v>
      </c>
      <c r="E94" t="s">
        <v>19</v>
      </c>
      <c r="F94">
        <v>1</v>
      </c>
      <c r="G94">
        <f t="shared" si="24"/>
        <v>160</v>
      </c>
      <c r="I94">
        <v>2050</v>
      </c>
      <c r="J94">
        <f>AVERAGE(G94:G95)</f>
        <v>85</v>
      </c>
      <c r="K94" cm="1">
        <f t="array" ref="K94">STOWA2019_NDJF_T(A94*60,J94,I94,"WL","center")</f>
        <v>18.468025430396406</v>
      </c>
      <c r="L94">
        <f>1/K94</f>
        <v>5.4147640405243669E-2</v>
      </c>
    </row>
    <row r="95" spans="1:12" x14ac:dyDescent="0.3">
      <c r="A95">
        <v>192</v>
      </c>
      <c r="B95" s="1">
        <f>365.25*24/A95 - L95</f>
        <v>25.213614169702542</v>
      </c>
      <c r="C95">
        <f>B95</f>
        <v>25.213614169702542</v>
      </c>
      <c r="D95" t="s">
        <v>29</v>
      </c>
      <c r="E95" t="s">
        <v>19</v>
      </c>
      <c r="F95">
        <v>1</v>
      </c>
      <c r="G95">
        <v>10</v>
      </c>
      <c r="I95">
        <v>2050</v>
      </c>
      <c r="J95">
        <f>AVERAGE(G95:G97)</f>
        <v>15</v>
      </c>
      <c r="K95" cm="1">
        <f t="array" ref="K95">STOWA2019_NDJF_T(A95*60,J95,I95,"WL","center")</f>
        <v>4.8917370944794113E-2</v>
      </c>
      <c r="L95">
        <f>1/K95</f>
        <v>20.442635830297458</v>
      </c>
    </row>
    <row r="96" spans="1:12" x14ac:dyDescent="0.3">
      <c r="A96">
        <v>192</v>
      </c>
      <c r="B96">
        <f t="shared" ref="B96:B100" si="27">L95-L96</f>
        <v>2.5412034600009576</v>
      </c>
      <c r="C96">
        <f t="shared" ref="C96:C125" si="28">B96</f>
        <v>2.5412034600009576</v>
      </c>
      <c r="D96" t="s">
        <v>29</v>
      </c>
      <c r="E96" t="s">
        <v>19</v>
      </c>
      <c r="F96">
        <v>1</v>
      </c>
      <c r="G96">
        <f t="shared" ref="G96:G100" si="29">G95+5</f>
        <v>15</v>
      </c>
      <c r="I96">
        <v>2050</v>
      </c>
      <c r="J96">
        <f t="shared" ref="J96:J100" si="30">AVERAGE(G96:G97)</f>
        <v>17.5</v>
      </c>
      <c r="K96" cm="1">
        <f t="array" ref="K96">STOWA2019_NDJF_T(A96*60,J96,I96,"WL","center")</f>
        <v>5.5861451715968867E-2</v>
      </c>
      <c r="L96">
        <f t="shared" ref="L96:L100" si="31">1/K96</f>
        <v>17.901432370296501</v>
      </c>
    </row>
    <row r="97" spans="1:12" x14ac:dyDescent="0.3">
      <c r="A97">
        <v>192</v>
      </c>
      <c r="B97">
        <f t="shared" si="27"/>
        <v>4.2077445005386593</v>
      </c>
      <c r="C97">
        <f t="shared" si="28"/>
        <v>4.2077445005386593</v>
      </c>
      <c r="D97" t="s">
        <v>29</v>
      </c>
      <c r="E97" t="s">
        <v>19</v>
      </c>
      <c r="F97">
        <v>1</v>
      </c>
      <c r="G97">
        <f t="shared" si="29"/>
        <v>20</v>
      </c>
      <c r="I97">
        <v>2050</v>
      </c>
      <c r="J97">
        <f t="shared" si="30"/>
        <v>22.5</v>
      </c>
      <c r="K97" cm="1">
        <f t="array" ref="K97">STOWA2019_NDJF_T(A97*60,J97,I97,"WL","center")</f>
        <v>7.3026346847621257E-2</v>
      </c>
      <c r="L97">
        <f t="shared" si="31"/>
        <v>13.693687869757841</v>
      </c>
    </row>
    <row r="98" spans="1:12" x14ac:dyDescent="0.3">
      <c r="A98">
        <v>192</v>
      </c>
      <c r="B98">
        <f t="shared" si="27"/>
        <v>3.2537017226883709</v>
      </c>
      <c r="C98">
        <f t="shared" si="28"/>
        <v>3.2537017226883709</v>
      </c>
      <c r="D98" t="s">
        <v>29</v>
      </c>
      <c r="E98" t="s">
        <v>19</v>
      </c>
      <c r="F98">
        <v>1</v>
      </c>
      <c r="G98">
        <f t="shared" si="29"/>
        <v>25</v>
      </c>
      <c r="I98">
        <v>2050</v>
      </c>
      <c r="J98">
        <f t="shared" si="30"/>
        <v>27.5</v>
      </c>
      <c r="K98" cm="1">
        <f t="array" ref="K98">STOWA2019_NDJF_T(A98*60,J98,I98,"WL","center")</f>
        <v>9.5785567711763914E-2</v>
      </c>
      <c r="L98">
        <f t="shared" si="31"/>
        <v>10.439986147069471</v>
      </c>
    </row>
    <row r="99" spans="1:12" x14ac:dyDescent="0.3">
      <c r="A99">
        <v>192</v>
      </c>
      <c r="B99">
        <f t="shared" si="27"/>
        <v>2.5078496503579659</v>
      </c>
      <c r="C99">
        <f t="shared" si="28"/>
        <v>2.5078496503579659</v>
      </c>
      <c r="D99" t="s">
        <v>29</v>
      </c>
      <c r="E99" t="s">
        <v>19</v>
      </c>
      <c r="F99">
        <v>1</v>
      </c>
      <c r="G99">
        <f t="shared" si="29"/>
        <v>30</v>
      </c>
      <c r="I99">
        <v>2050</v>
      </c>
      <c r="J99">
        <f t="shared" si="30"/>
        <v>32.5</v>
      </c>
      <c r="K99" cm="1">
        <f t="array" ref="K99">STOWA2019_NDJF_T(A99*60,J99,I99,"WL","center")</f>
        <v>0.12606943922543173</v>
      </c>
      <c r="L99">
        <f t="shared" si="31"/>
        <v>7.9321364967115047</v>
      </c>
    </row>
    <row r="100" spans="1:12" x14ac:dyDescent="0.3">
      <c r="A100">
        <v>192</v>
      </c>
      <c r="B100">
        <f t="shared" si="27"/>
        <v>1.9265752294199787</v>
      </c>
      <c r="C100">
        <f t="shared" si="28"/>
        <v>1.9265752294199787</v>
      </c>
      <c r="D100" t="s">
        <v>29</v>
      </c>
      <c r="E100" t="s">
        <v>19</v>
      </c>
      <c r="F100">
        <v>1</v>
      </c>
      <c r="G100">
        <f t="shared" si="29"/>
        <v>35</v>
      </c>
      <c r="I100">
        <v>2050</v>
      </c>
      <c r="J100">
        <f t="shared" si="30"/>
        <v>37.5</v>
      </c>
      <c r="K100" cm="1">
        <f t="array" ref="K100">STOWA2019_NDJF_T(A100*60,J100,I100,"WL","center")</f>
        <v>0.16651233007085686</v>
      </c>
      <c r="L100">
        <f t="shared" si="31"/>
        <v>6.005561267291526</v>
      </c>
    </row>
    <row r="101" spans="1:12" x14ac:dyDescent="0.3">
      <c r="A101">
        <v>192</v>
      </c>
      <c r="B101">
        <f>L100-L101</f>
        <v>1.4750127451978958</v>
      </c>
      <c r="C101">
        <f t="shared" si="28"/>
        <v>1.4750127451978958</v>
      </c>
      <c r="D101" t="s">
        <v>29</v>
      </c>
      <c r="E101" t="s">
        <v>19</v>
      </c>
      <c r="F101">
        <v>1</v>
      </c>
      <c r="G101">
        <f>G100+5</f>
        <v>40</v>
      </c>
      <c r="I101">
        <v>2050</v>
      </c>
      <c r="J101">
        <f>AVERAGE(G101:G102)</f>
        <v>42.5</v>
      </c>
      <c r="K101" cm="1">
        <f t="array" ref="K101">STOWA2019_NDJF_T(A101*60,J101,I101,"WL","center")</f>
        <v>0.22072382518880648</v>
      </c>
      <c r="L101">
        <f>1/K101</f>
        <v>4.5305485220936301</v>
      </c>
    </row>
    <row r="102" spans="1:12" x14ac:dyDescent="0.3">
      <c r="A102">
        <v>192</v>
      </c>
      <c r="B102">
        <f t="shared" ref="B102:B124" si="32">L101-L102</f>
        <v>1.1253886287725687</v>
      </c>
      <c r="C102">
        <f t="shared" si="28"/>
        <v>1.1253886287725687</v>
      </c>
      <c r="D102" t="s">
        <v>29</v>
      </c>
      <c r="E102" t="s">
        <v>19</v>
      </c>
      <c r="F102">
        <v>1</v>
      </c>
      <c r="G102">
        <f t="shared" ref="G102:G125" si="33">G101+5</f>
        <v>45</v>
      </c>
      <c r="I102">
        <v>2050</v>
      </c>
      <c r="J102">
        <f t="shared" ref="J102:J124" si="34">AVERAGE(G102:G103)</f>
        <v>47.5</v>
      </c>
      <c r="K102" cm="1">
        <f t="array" ref="K102">STOWA2019_NDJF_T(A102*60,J102,I102,"WL","center")</f>
        <v>0.29367196587784822</v>
      </c>
      <c r="L102">
        <f t="shared" ref="L102:L124" si="35">1/K102</f>
        <v>3.4051598933210614</v>
      </c>
    </row>
    <row r="103" spans="1:12" x14ac:dyDescent="0.3">
      <c r="A103">
        <v>192</v>
      </c>
      <c r="B103">
        <f t="shared" si="32"/>
        <v>0.85552530955091344</v>
      </c>
      <c r="C103">
        <f t="shared" si="28"/>
        <v>0.85552530955091344</v>
      </c>
      <c r="D103" t="s">
        <v>29</v>
      </c>
      <c r="E103" t="s">
        <v>19</v>
      </c>
      <c r="F103">
        <v>1</v>
      </c>
      <c r="G103">
        <f t="shared" si="33"/>
        <v>50</v>
      </c>
      <c r="I103">
        <v>2050</v>
      </c>
      <c r="J103">
        <f t="shared" si="34"/>
        <v>52.5</v>
      </c>
      <c r="K103" cm="1">
        <f t="array" ref="K103">STOWA2019_NDJF_T(A103*60,J103,I103,"WL","center")</f>
        <v>0.39221306706677106</v>
      </c>
      <c r="L103">
        <f t="shared" si="35"/>
        <v>2.549634583770148</v>
      </c>
    </row>
    <row r="104" spans="1:12" x14ac:dyDescent="0.3">
      <c r="A104">
        <v>192</v>
      </c>
      <c r="B104">
        <f t="shared" si="32"/>
        <v>0.64802501715813032</v>
      </c>
      <c r="C104">
        <f t="shared" si="28"/>
        <v>0.64802501715813032</v>
      </c>
      <c r="D104" t="s">
        <v>29</v>
      </c>
      <c r="E104" t="s">
        <v>19</v>
      </c>
      <c r="F104">
        <v>1</v>
      </c>
      <c r="G104">
        <f t="shared" si="33"/>
        <v>55</v>
      </c>
      <c r="I104">
        <v>2050</v>
      </c>
      <c r="J104">
        <f t="shared" si="34"/>
        <v>57.5</v>
      </c>
      <c r="K104" cm="1">
        <f t="array" ref="K104">STOWA2019_NDJF_T(A104*60,J104,I104,"WL","center")</f>
        <v>0.5258703035353568</v>
      </c>
      <c r="L104">
        <f t="shared" si="35"/>
        <v>1.9016095666120176</v>
      </c>
    </row>
    <row r="105" spans="1:12" x14ac:dyDescent="0.3">
      <c r="A105">
        <v>192</v>
      </c>
      <c r="B105">
        <f t="shared" si="32"/>
        <v>0.4889961602499544</v>
      </c>
      <c r="C105">
        <f t="shared" si="28"/>
        <v>0.4889961602499544</v>
      </c>
      <c r="D105" t="s">
        <v>29</v>
      </c>
      <c r="E105" t="s">
        <v>19</v>
      </c>
      <c r="F105">
        <v>1</v>
      </c>
      <c r="G105">
        <f t="shared" si="33"/>
        <v>60</v>
      </c>
      <c r="I105">
        <v>2050</v>
      </c>
      <c r="J105">
        <f t="shared" si="34"/>
        <v>62.5</v>
      </c>
      <c r="K105" cm="1">
        <f t="array" ref="K105">STOWA2019_NDJF_T(A105*60,J105,I105,"WL","center")</f>
        <v>0.7079077654907181</v>
      </c>
      <c r="L105">
        <f t="shared" si="35"/>
        <v>1.4126134063620632</v>
      </c>
    </row>
    <row r="106" spans="1:12" x14ac:dyDescent="0.3">
      <c r="A106">
        <v>192</v>
      </c>
      <c r="B106">
        <f t="shared" si="32"/>
        <v>0.36757098713967484</v>
      </c>
      <c r="C106">
        <f t="shared" si="28"/>
        <v>0.36757098713967484</v>
      </c>
      <c r="D106" t="s">
        <v>29</v>
      </c>
      <c r="E106" t="s">
        <v>19</v>
      </c>
      <c r="F106">
        <v>1</v>
      </c>
      <c r="G106">
        <f t="shared" si="33"/>
        <v>65</v>
      </c>
      <c r="I106">
        <v>2050</v>
      </c>
      <c r="J106">
        <f t="shared" si="34"/>
        <v>67.5</v>
      </c>
      <c r="K106" cm="1">
        <f t="array" ref="K106">STOWA2019_NDJF_T(A106*60,J106,I106,"WL","center")</f>
        <v>0.95689895606734876</v>
      </c>
      <c r="L106">
        <f t="shared" si="35"/>
        <v>1.0450424192223884</v>
      </c>
    </row>
    <row r="107" spans="1:12" x14ac:dyDescent="0.3">
      <c r="A107">
        <v>192</v>
      </c>
      <c r="B107">
        <f t="shared" si="32"/>
        <v>0.27513980157666174</v>
      </c>
      <c r="C107">
        <f t="shared" si="28"/>
        <v>0.27513980157666174</v>
      </c>
      <c r="D107" t="s">
        <v>29</v>
      </c>
      <c r="E107" t="s">
        <v>19</v>
      </c>
      <c r="F107">
        <v>1</v>
      </c>
      <c r="G107">
        <f t="shared" si="33"/>
        <v>70</v>
      </c>
      <c r="I107">
        <v>2050</v>
      </c>
      <c r="J107">
        <f t="shared" si="34"/>
        <v>72.5</v>
      </c>
      <c r="K107" cm="1">
        <f t="array" ref="K107">STOWA2019_NDJF_T(A107*60,J107,I107,"WL","center")</f>
        <v>1.2988655669958424</v>
      </c>
      <c r="L107">
        <f t="shared" si="35"/>
        <v>0.76990261764572665</v>
      </c>
    </row>
    <row r="108" spans="1:12" x14ac:dyDescent="0.3">
      <c r="A108">
        <v>192</v>
      </c>
      <c r="B108">
        <f t="shared" si="32"/>
        <v>0.20520608970828991</v>
      </c>
      <c r="C108">
        <f t="shared" si="28"/>
        <v>0.20520608970828991</v>
      </c>
      <c r="D108" t="s">
        <v>29</v>
      </c>
      <c r="E108" t="s">
        <v>19</v>
      </c>
      <c r="F108">
        <v>1</v>
      </c>
      <c r="G108">
        <f t="shared" si="33"/>
        <v>75</v>
      </c>
      <c r="I108">
        <v>2050</v>
      </c>
      <c r="J108">
        <f t="shared" si="34"/>
        <v>77.5</v>
      </c>
      <c r="K108" cm="1">
        <f t="array" ref="K108">STOWA2019_NDJF_T(A108*60,J108,I108,"WL","center")</f>
        <v>1.7708626678696189</v>
      </c>
      <c r="L108">
        <f t="shared" si="35"/>
        <v>0.56469652793743674</v>
      </c>
    </row>
    <row r="109" spans="1:12" x14ac:dyDescent="0.3">
      <c r="A109">
        <v>192</v>
      </c>
      <c r="B109">
        <f t="shared" si="32"/>
        <v>0.15236104288467317</v>
      </c>
      <c r="C109">
        <f t="shared" si="28"/>
        <v>0.15236104288467317</v>
      </c>
      <c r="D109" t="s">
        <v>29</v>
      </c>
      <c r="E109" t="s">
        <v>19</v>
      </c>
      <c r="F109">
        <v>1</v>
      </c>
      <c r="G109">
        <f t="shared" si="33"/>
        <v>80</v>
      </c>
      <c r="I109">
        <v>2050</v>
      </c>
      <c r="J109">
        <f t="shared" si="34"/>
        <v>82.5</v>
      </c>
      <c r="K109" cm="1">
        <f t="array" ref="K109">STOWA2019_NDJF_T(A109*60,J109,I109,"WL","center")</f>
        <v>2.4252096563361198</v>
      </c>
      <c r="L109">
        <f t="shared" si="35"/>
        <v>0.41233548505276357</v>
      </c>
    </row>
    <row r="110" spans="1:12" x14ac:dyDescent="0.3">
      <c r="A110">
        <v>192</v>
      </c>
      <c r="B110">
        <f t="shared" si="32"/>
        <v>0.11263942165458107</v>
      </c>
      <c r="C110">
        <f t="shared" si="28"/>
        <v>0.11263942165458107</v>
      </c>
      <c r="D110" t="s">
        <v>29</v>
      </c>
      <c r="E110" t="s">
        <v>19</v>
      </c>
      <c r="F110">
        <v>1</v>
      </c>
      <c r="G110">
        <f t="shared" si="33"/>
        <v>85</v>
      </c>
      <c r="I110">
        <v>2050</v>
      </c>
      <c r="J110">
        <f t="shared" si="34"/>
        <v>87.5</v>
      </c>
      <c r="K110" cm="1">
        <f t="array" ref="K110">STOWA2019_NDJF_T(A110*60,J110,I110,"WL","center")</f>
        <v>3.3367138315439897</v>
      </c>
      <c r="L110">
        <f t="shared" si="35"/>
        <v>0.2996960633981825</v>
      </c>
    </row>
    <row r="111" spans="1:12" x14ac:dyDescent="0.3">
      <c r="A111">
        <v>192</v>
      </c>
      <c r="B111">
        <f t="shared" si="32"/>
        <v>8.2902184932496931E-2</v>
      </c>
      <c r="C111">
        <f t="shared" si="28"/>
        <v>8.2902184932496931E-2</v>
      </c>
      <c r="D111" t="s">
        <v>29</v>
      </c>
      <c r="E111" t="s">
        <v>19</v>
      </c>
      <c r="F111">
        <v>1</v>
      </c>
      <c r="G111">
        <f t="shared" si="33"/>
        <v>90</v>
      </c>
      <c r="I111">
        <v>2050</v>
      </c>
      <c r="J111">
        <f t="shared" si="34"/>
        <v>92.5</v>
      </c>
      <c r="K111" cm="1">
        <f t="array" ref="K111">STOWA2019_NDJF_T(A111*60,J111,I111,"WL","center")</f>
        <v>4.6126763683425747</v>
      </c>
      <c r="L111">
        <f t="shared" si="35"/>
        <v>0.21679387846568557</v>
      </c>
    </row>
    <row r="112" spans="1:12" x14ac:dyDescent="0.3">
      <c r="A112">
        <v>192</v>
      </c>
      <c r="B112">
        <f t="shared" si="32"/>
        <v>6.0735715752414848E-2</v>
      </c>
      <c r="C112">
        <f t="shared" si="28"/>
        <v>6.0735715752414848E-2</v>
      </c>
      <c r="D112" t="s">
        <v>29</v>
      </c>
      <c r="E112" t="s">
        <v>19</v>
      </c>
      <c r="F112">
        <v>1</v>
      </c>
      <c r="G112">
        <f t="shared" si="33"/>
        <v>95</v>
      </c>
      <c r="I112">
        <v>2050</v>
      </c>
      <c r="J112">
        <f t="shared" si="34"/>
        <v>97.5</v>
      </c>
      <c r="K112" cm="1">
        <f t="array" ref="K112">STOWA2019_NDJF_T(A112*60,J112,I112,"WL","center")</f>
        <v>6.4078673144276541</v>
      </c>
      <c r="L112">
        <f t="shared" si="35"/>
        <v>0.15605816271327072</v>
      </c>
    </row>
    <row r="113" spans="1:12" x14ac:dyDescent="0.3">
      <c r="A113">
        <v>192</v>
      </c>
      <c r="B113">
        <f t="shared" si="32"/>
        <v>4.4285833724506576E-2</v>
      </c>
      <c r="C113">
        <f t="shared" si="28"/>
        <v>4.4285833724506576E-2</v>
      </c>
      <c r="D113" t="s">
        <v>29</v>
      </c>
      <c r="E113" t="s">
        <v>19</v>
      </c>
      <c r="F113">
        <v>1</v>
      </c>
      <c r="G113">
        <f t="shared" si="33"/>
        <v>100</v>
      </c>
      <c r="I113">
        <v>2050</v>
      </c>
      <c r="J113">
        <f t="shared" si="34"/>
        <v>102.5</v>
      </c>
      <c r="K113" cm="1">
        <f t="array" ref="K113">STOWA2019_NDJF_T(A113*60,J113,I113,"WL","center")</f>
        <v>8.9467581918287173</v>
      </c>
      <c r="L113">
        <f t="shared" si="35"/>
        <v>0.11177232898876414</v>
      </c>
    </row>
    <row r="114" spans="1:12" x14ac:dyDescent="0.3">
      <c r="A114">
        <v>192</v>
      </c>
      <c r="B114">
        <f t="shared" si="32"/>
        <v>3.2133992228305416E-2</v>
      </c>
      <c r="C114">
        <f t="shared" si="28"/>
        <v>3.2133992228305416E-2</v>
      </c>
      <c r="D114" t="s">
        <v>29</v>
      </c>
      <c r="E114" t="s">
        <v>19</v>
      </c>
      <c r="F114">
        <v>1</v>
      </c>
      <c r="G114">
        <f t="shared" si="33"/>
        <v>105</v>
      </c>
      <c r="I114">
        <v>2050</v>
      </c>
      <c r="J114">
        <f t="shared" si="34"/>
        <v>107.5</v>
      </c>
      <c r="K114" cm="1">
        <f t="array" ref="K114">STOWA2019_NDJF_T(A114*60,J114,I114,"WL","center")</f>
        <v>12.5567665106802</v>
      </c>
      <c r="L114">
        <f t="shared" si="35"/>
        <v>7.9638336760458728E-2</v>
      </c>
    </row>
    <row r="115" spans="1:12" x14ac:dyDescent="0.3">
      <c r="A115">
        <v>192</v>
      </c>
      <c r="B115">
        <f t="shared" si="32"/>
        <v>2.3199831819863459E-2</v>
      </c>
      <c r="C115">
        <f t="shared" si="28"/>
        <v>2.3199831819863459E-2</v>
      </c>
      <c r="D115" t="s">
        <v>29</v>
      </c>
      <c r="E115" t="s">
        <v>19</v>
      </c>
      <c r="F115">
        <v>1</v>
      </c>
      <c r="G115">
        <f t="shared" si="33"/>
        <v>110</v>
      </c>
      <c r="I115">
        <v>2050</v>
      </c>
      <c r="J115">
        <f t="shared" si="34"/>
        <v>112.5</v>
      </c>
      <c r="K115" cm="1">
        <f t="array" ref="K115">STOWA2019_NDJF_T(A115*60,J115,I115,"WL","center")</f>
        <v>17.71839989476257</v>
      </c>
      <c r="L115">
        <f t="shared" si="35"/>
        <v>5.6438504940595269E-2</v>
      </c>
    </row>
    <row r="116" spans="1:12" x14ac:dyDescent="0.3">
      <c r="A116">
        <v>192</v>
      </c>
      <c r="B116">
        <f t="shared" si="32"/>
        <v>1.6662116819155477E-2</v>
      </c>
      <c r="C116">
        <f t="shared" si="28"/>
        <v>1.6662116819155477E-2</v>
      </c>
      <c r="D116" t="s">
        <v>29</v>
      </c>
      <c r="E116" t="s">
        <v>19</v>
      </c>
      <c r="F116">
        <v>1</v>
      </c>
      <c r="G116">
        <f t="shared" si="33"/>
        <v>115</v>
      </c>
      <c r="I116">
        <v>2050</v>
      </c>
      <c r="J116">
        <f t="shared" si="34"/>
        <v>117.5</v>
      </c>
      <c r="K116" cm="1">
        <f t="array" ref="K116">STOWA2019_NDJF_T(A116*60,J116,I116,"WL","center")</f>
        <v>25.140543101775297</v>
      </c>
      <c r="L116">
        <f t="shared" si="35"/>
        <v>3.9776388121439792E-2</v>
      </c>
    </row>
    <row r="117" spans="1:12" x14ac:dyDescent="0.3">
      <c r="A117">
        <v>192</v>
      </c>
      <c r="B117">
        <f t="shared" si="32"/>
        <v>1.1903176560031922E-2</v>
      </c>
      <c r="C117">
        <f t="shared" si="28"/>
        <v>1.1903176560031922E-2</v>
      </c>
      <c r="D117" t="s">
        <v>29</v>
      </c>
      <c r="E117" t="s">
        <v>19</v>
      </c>
      <c r="F117">
        <v>1</v>
      </c>
      <c r="G117">
        <f t="shared" si="33"/>
        <v>120</v>
      </c>
      <c r="I117">
        <v>2050</v>
      </c>
      <c r="J117">
        <f t="shared" si="34"/>
        <v>122.5</v>
      </c>
      <c r="K117" cm="1">
        <f t="array" ref="K117">STOWA2019_NDJF_T(A117*60,J117,I117,"WL","center")</f>
        <v>35.87674128605115</v>
      </c>
      <c r="L117">
        <f t="shared" si="35"/>
        <v>2.787321156140787E-2</v>
      </c>
    </row>
    <row r="118" spans="1:12" x14ac:dyDescent="0.3">
      <c r="A118">
        <v>192</v>
      </c>
      <c r="B118">
        <f t="shared" si="32"/>
        <v>8.4562683435916997E-3</v>
      </c>
      <c r="C118">
        <f t="shared" si="28"/>
        <v>8.4562683435916997E-3</v>
      </c>
      <c r="D118" t="s">
        <v>29</v>
      </c>
      <c r="E118" t="s">
        <v>19</v>
      </c>
      <c r="F118">
        <v>1</v>
      </c>
      <c r="G118">
        <f t="shared" si="33"/>
        <v>125</v>
      </c>
      <c r="I118">
        <v>2050</v>
      </c>
      <c r="J118">
        <f t="shared" si="34"/>
        <v>127.5</v>
      </c>
      <c r="K118" cm="1">
        <f t="array" ref="K118">STOWA2019_NDJF_T(A118*60,J118,I118,"WL","center")</f>
        <v>51.501412389280823</v>
      </c>
      <c r="L118">
        <f t="shared" si="35"/>
        <v>1.941694321781617E-2</v>
      </c>
    </row>
    <row r="119" spans="1:12" x14ac:dyDescent="0.3">
      <c r="A119">
        <v>192</v>
      </c>
      <c r="B119">
        <f t="shared" si="32"/>
        <v>5.9732065279441641E-3</v>
      </c>
      <c r="C119">
        <f t="shared" si="28"/>
        <v>5.9732065279441641E-3</v>
      </c>
      <c r="D119" t="s">
        <v>29</v>
      </c>
      <c r="E119" t="s">
        <v>19</v>
      </c>
      <c r="F119">
        <v>1</v>
      </c>
      <c r="G119">
        <f t="shared" si="33"/>
        <v>130</v>
      </c>
      <c r="I119">
        <v>2050</v>
      </c>
      <c r="J119">
        <f t="shared" si="34"/>
        <v>132.5</v>
      </c>
      <c r="K119" cm="1">
        <f t="array" ref="K119">STOWA2019_NDJF_T(A119*60,J119,I119,"WL","center")</f>
        <v>74.384081083153134</v>
      </c>
      <c r="L119">
        <f t="shared" si="35"/>
        <v>1.3443736689872006E-2</v>
      </c>
    </row>
    <row r="120" spans="1:12" x14ac:dyDescent="0.3">
      <c r="A120">
        <v>192</v>
      </c>
      <c r="B120">
        <f t="shared" si="32"/>
        <v>4.1944022497605385E-3</v>
      </c>
      <c r="C120">
        <f t="shared" si="28"/>
        <v>4.1944022497605385E-3</v>
      </c>
      <c r="D120" t="s">
        <v>29</v>
      </c>
      <c r="E120" t="s">
        <v>19</v>
      </c>
      <c r="F120">
        <v>1</v>
      </c>
      <c r="G120">
        <f t="shared" si="33"/>
        <v>135</v>
      </c>
      <c r="I120">
        <v>2050</v>
      </c>
      <c r="J120">
        <f t="shared" si="34"/>
        <v>137.5</v>
      </c>
      <c r="K120" cm="1">
        <f t="array" ref="K120">STOWA2019_NDJF_T(A120*60,J120,I120,"WL","center")</f>
        <v>108.11588730788165</v>
      </c>
      <c r="L120">
        <f t="shared" si="35"/>
        <v>9.2493344401114678E-3</v>
      </c>
    </row>
    <row r="121" spans="1:12" x14ac:dyDescent="0.3">
      <c r="A121">
        <v>192</v>
      </c>
      <c r="B121">
        <f t="shared" si="32"/>
        <v>2.927234928392186E-3</v>
      </c>
      <c r="C121">
        <f t="shared" si="28"/>
        <v>2.927234928392186E-3</v>
      </c>
      <c r="D121" t="s">
        <v>29</v>
      </c>
      <c r="E121" t="s">
        <v>19</v>
      </c>
      <c r="F121">
        <v>1</v>
      </c>
      <c r="G121">
        <f t="shared" si="33"/>
        <v>140</v>
      </c>
      <c r="I121">
        <v>2050</v>
      </c>
      <c r="J121">
        <f t="shared" si="34"/>
        <v>142.5</v>
      </c>
      <c r="K121" cm="1">
        <f t="array" ref="K121">STOWA2019_NDJF_T(A121*60,J121,I121,"WL","center")</f>
        <v>158.17530207272111</v>
      </c>
      <c r="L121">
        <f t="shared" si="35"/>
        <v>6.3220995117192818E-3</v>
      </c>
    </row>
    <row r="122" spans="1:12" x14ac:dyDescent="0.3">
      <c r="A122">
        <v>192</v>
      </c>
      <c r="B122">
        <f t="shared" si="32"/>
        <v>2.0300353795179261E-3</v>
      </c>
      <c r="C122">
        <f t="shared" si="28"/>
        <v>2.0300353795179261E-3</v>
      </c>
      <c r="D122" t="s">
        <v>29</v>
      </c>
      <c r="E122" t="s">
        <v>19</v>
      </c>
      <c r="F122">
        <v>1</v>
      </c>
      <c r="G122">
        <f t="shared" si="33"/>
        <v>145</v>
      </c>
      <c r="I122">
        <v>2050</v>
      </c>
      <c r="J122">
        <f t="shared" si="34"/>
        <v>147.5</v>
      </c>
      <c r="K122" cm="1">
        <f t="array" ref="K122">STOWA2019_NDJF_T(A122*60,J122,I122,"WL","center")</f>
        <v>232.98813093156423</v>
      </c>
      <c r="L122">
        <f t="shared" si="35"/>
        <v>4.2920641322013557E-3</v>
      </c>
    </row>
    <row r="123" spans="1:12" x14ac:dyDescent="0.3">
      <c r="A123">
        <v>192</v>
      </c>
      <c r="B123">
        <f t="shared" si="32"/>
        <v>1.3985817388278989E-3</v>
      </c>
      <c r="C123">
        <f t="shared" si="28"/>
        <v>1.3985817388278989E-3</v>
      </c>
      <c r="D123" t="s">
        <v>29</v>
      </c>
      <c r="E123" t="s">
        <v>19</v>
      </c>
      <c r="F123">
        <v>1</v>
      </c>
      <c r="G123">
        <f t="shared" si="33"/>
        <v>150</v>
      </c>
      <c r="I123">
        <v>2050</v>
      </c>
      <c r="J123">
        <f t="shared" si="34"/>
        <v>152.5</v>
      </c>
      <c r="K123" cm="1">
        <f t="array" ref="K123">STOWA2019_NDJF_T(A123*60,J123,I123,"WL","center")</f>
        <v>345.60431481807592</v>
      </c>
      <c r="L123">
        <f t="shared" si="35"/>
        <v>2.8934823933734568E-3</v>
      </c>
    </row>
    <row r="124" spans="1:12" x14ac:dyDescent="0.3">
      <c r="A124">
        <v>192</v>
      </c>
      <c r="B124">
        <f t="shared" si="32"/>
        <v>9.5700460722182362E-4</v>
      </c>
      <c r="C124">
        <f t="shared" si="28"/>
        <v>9.5700460722182362E-4</v>
      </c>
      <c r="D124" t="s">
        <v>29</v>
      </c>
      <c r="E124" t="s">
        <v>19</v>
      </c>
      <c r="F124">
        <v>1</v>
      </c>
      <c r="G124">
        <f t="shared" si="33"/>
        <v>155</v>
      </c>
      <c r="I124">
        <v>2050</v>
      </c>
      <c r="J124">
        <f t="shared" si="34"/>
        <v>157.5</v>
      </c>
      <c r="K124" cm="1">
        <f t="array" ref="K124">STOWA2019_NDJF_T(A124*60,J124,I124,"WL","center")</f>
        <v>516.4014827080988</v>
      </c>
      <c r="L124">
        <f t="shared" si="35"/>
        <v>1.9364777861516332E-3</v>
      </c>
    </row>
    <row r="125" spans="1:12" x14ac:dyDescent="0.3">
      <c r="A125">
        <v>192</v>
      </c>
      <c r="B125" s="1">
        <f>L124</f>
        <v>1.9364777861516332E-3</v>
      </c>
      <c r="C125">
        <f t="shared" si="28"/>
        <v>1.9364777861516332E-3</v>
      </c>
      <c r="D125" t="s">
        <v>29</v>
      </c>
      <c r="E125" t="s">
        <v>19</v>
      </c>
      <c r="F125">
        <v>1</v>
      </c>
      <c r="G125">
        <f t="shared" si="33"/>
        <v>160</v>
      </c>
      <c r="I125">
        <v>2050</v>
      </c>
      <c r="J125">
        <f>AVERAGE(G125:G126)</f>
        <v>85</v>
      </c>
      <c r="K125" cm="1">
        <f t="array" ref="K125">STOWA2019_NDJF_T(A125*60,J125,I125,"WL","center")</f>
        <v>2.8430081669841991</v>
      </c>
      <c r="L125">
        <f>1/K125</f>
        <v>0.35174010810555573</v>
      </c>
    </row>
    <row r="126" spans="1:12" x14ac:dyDescent="0.3">
      <c r="A126">
        <v>216</v>
      </c>
      <c r="B126" s="1">
        <f>365.25*24/A126 - L126</f>
        <v>20.733382478593423</v>
      </c>
      <c r="C126">
        <f>B126</f>
        <v>20.733382478593423</v>
      </c>
      <c r="D126" t="s">
        <v>29</v>
      </c>
      <c r="E126" t="s">
        <v>19</v>
      </c>
      <c r="F126">
        <v>1</v>
      </c>
      <c r="G126">
        <v>10</v>
      </c>
      <c r="I126">
        <v>2050</v>
      </c>
      <c r="J126">
        <f>AVERAGE(G126:G128)</f>
        <v>15</v>
      </c>
      <c r="K126" cm="1">
        <f t="array" ref="K126">STOWA2019_NDJF_T(A126*60,J126,I126,"WL","center")</f>
        <v>5.0377958480497337E-2</v>
      </c>
      <c r="L126">
        <f>1/K126</f>
        <v>19.849950854739912</v>
      </c>
    </row>
    <row r="127" spans="1:12" x14ac:dyDescent="0.3">
      <c r="A127">
        <v>216</v>
      </c>
      <c r="B127">
        <f t="shared" ref="B127:B131" si="36">L126-L127</f>
        <v>2.2337880726293662</v>
      </c>
      <c r="C127">
        <f t="shared" ref="C127:C156" si="37">B127</f>
        <v>2.2337880726293662</v>
      </c>
      <c r="D127" t="s">
        <v>29</v>
      </c>
      <c r="E127" t="s">
        <v>19</v>
      </c>
      <c r="F127">
        <v>1</v>
      </c>
      <c r="G127">
        <f t="shared" ref="G127:G131" si="38">G126+5</f>
        <v>15</v>
      </c>
      <c r="I127">
        <v>2050</v>
      </c>
      <c r="J127">
        <f t="shared" ref="J127:J131" si="39">AVERAGE(G127:G128)</f>
        <v>17.5</v>
      </c>
      <c r="K127" cm="1">
        <f t="array" ref="K127">STOWA2019_NDJF_T(A127*60,J127,I127,"WL","center")</f>
        <v>5.6766051288735457E-2</v>
      </c>
      <c r="L127">
        <f t="shared" ref="L127:L131" si="40">1/K127</f>
        <v>17.616162782110546</v>
      </c>
    </row>
    <row r="128" spans="1:12" x14ac:dyDescent="0.3">
      <c r="A128">
        <v>216</v>
      </c>
      <c r="B128">
        <f t="shared" si="36"/>
        <v>3.779325032378317</v>
      </c>
      <c r="C128">
        <f t="shared" si="37"/>
        <v>3.779325032378317</v>
      </c>
      <c r="D128" t="s">
        <v>29</v>
      </c>
      <c r="E128" t="s">
        <v>19</v>
      </c>
      <c r="F128">
        <v>1</v>
      </c>
      <c r="G128">
        <f t="shared" si="38"/>
        <v>20</v>
      </c>
      <c r="I128">
        <v>2050</v>
      </c>
      <c r="J128">
        <f t="shared" si="39"/>
        <v>22.5</v>
      </c>
      <c r="K128" cm="1">
        <f t="array" ref="K128">STOWA2019_NDJF_T(A128*60,J128,I128,"WL","center")</f>
        <v>7.2270848158160414E-2</v>
      </c>
      <c r="L128">
        <f t="shared" si="40"/>
        <v>13.836837749732229</v>
      </c>
    </row>
    <row r="129" spans="1:12" x14ac:dyDescent="0.3">
      <c r="A129">
        <v>216</v>
      </c>
      <c r="B129">
        <f t="shared" si="36"/>
        <v>3.0090317297113778</v>
      </c>
      <c r="C129">
        <f t="shared" si="37"/>
        <v>3.0090317297113778</v>
      </c>
      <c r="D129" t="s">
        <v>29</v>
      </c>
      <c r="E129" t="s">
        <v>19</v>
      </c>
      <c r="F129">
        <v>1</v>
      </c>
      <c r="G129">
        <f t="shared" si="38"/>
        <v>25</v>
      </c>
      <c r="I129">
        <v>2050</v>
      </c>
      <c r="J129">
        <f t="shared" si="39"/>
        <v>27.5</v>
      </c>
      <c r="K129" cm="1">
        <f t="array" ref="K129">STOWA2019_NDJF_T(A129*60,J129,I129,"WL","center")</f>
        <v>9.2354812983440782E-2</v>
      </c>
      <c r="L129">
        <f t="shared" si="40"/>
        <v>10.827806020020851</v>
      </c>
    </row>
    <row r="130" spans="1:12" x14ac:dyDescent="0.3">
      <c r="A130">
        <v>216</v>
      </c>
      <c r="B130">
        <f t="shared" si="36"/>
        <v>2.3872139058607242</v>
      </c>
      <c r="C130">
        <f t="shared" si="37"/>
        <v>2.3872139058607242</v>
      </c>
      <c r="D130" t="s">
        <v>29</v>
      </c>
      <c r="E130" t="s">
        <v>19</v>
      </c>
      <c r="F130">
        <v>1</v>
      </c>
      <c r="G130">
        <f t="shared" si="38"/>
        <v>30</v>
      </c>
      <c r="I130">
        <v>2050</v>
      </c>
      <c r="J130">
        <f t="shared" si="39"/>
        <v>32.5</v>
      </c>
      <c r="K130" cm="1">
        <f t="array" ref="K130">STOWA2019_NDJF_T(A130*60,J130,I130,"WL","center")</f>
        <v>0.11847510061792674</v>
      </c>
      <c r="L130">
        <f t="shared" si="40"/>
        <v>8.4405921141601272</v>
      </c>
    </row>
    <row r="131" spans="1:12" x14ac:dyDescent="0.3">
      <c r="A131">
        <v>216</v>
      </c>
      <c r="B131">
        <f t="shared" si="36"/>
        <v>1.8869705975174726</v>
      </c>
      <c r="C131">
        <f t="shared" si="37"/>
        <v>1.8869705975174726</v>
      </c>
      <c r="D131" t="s">
        <v>29</v>
      </c>
      <c r="E131" t="s">
        <v>19</v>
      </c>
      <c r="F131">
        <v>1</v>
      </c>
      <c r="G131">
        <f t="shared" si="38"/>
        <v>35</v>
      </c>
      <c r="I131">
        <v>2050</v>
      </c>
      <c r="J131">
        <f t="shared" si="39"/>
        <v>37.5</v>
      </c>
      <c r="K131" cm="1">
        <f t="array" ref="K131">STOWA2019_NDJF_T(A131*60,J131,I131,"WL","center")</f>
        <v>0.15258738965326893</v>
      </c>
      <c r="L131">
        <f t="shared" si="40"/>
        <v>6.5536215166426546</v>
      </c>
    </row>
    <row r="132" spans="1:12" x14ac:dyDescent="0.3">
      <c r="A132">
        <v>216</v>
      </c>
      <c r="B132">
        <f>L131-L132</f>
        <v>1.4859329490416258</v>
      </c>
      <c r="C132">
        <f t="shared" si="37"/>
        <v>1.4859329490416258</v>
      </c>
      <c r="D132" t="s">
        <v>29</v>
      </c>
      <c r="E132" t="s">
        <v>19</v>
      </c>
      <c r="F132">
        <v>1</v>
      </c>
      <c r="G132">
        <f>G131+5</f>
        <v>40</v>
      </c>
      <c r="I132">
        <v>2050</v>
      </c>
      <c r="J132">
        <f>AVERAGE(G132:G133)</f>
        <v>42.5</v>
      </c>
      <c r="K132" cm="1">
        <f t="array" ref="K132">STOWA2019_NDJF_T(A132*60,J132,I132,"WL","center")</f>
        <v>0.19732862165075502</v>
      </c>
      <c r="L132">
        <f>1/K132</f>
        <v>5.0676885676010288</v>
      </c>
    </row>
    <row r="133" spans="1:12" x14ac:dyDescent="0.3">
      <c r="A133">
        <v>216</v>
      </c>
      <c r="B133">
        <f t="shared" ref="B133:B155" si="41">L132-L133</f>
        <v>1.1656022923805875</v>
      </c>
      <c r="C133">
        <f t="shared" si="37"/>
        <v>1.1656022923805875</v>
      </c>
      <c r="D133" t="s">
        <v>29</v>
      </c>
      <c r="E133" t="s">
        <v>19</v>
      </c>
      <c r="F133">
        <v>1</v>
      </c>
      <c r="G133">
        <f t="shared" ref="G133:G156" si="42">G132+5</f>
        <v>45</v>
      </c>
      <c r="I133">
        <v>2050</v>
      </c>
      <c r="J133">
        <f t="shared" ref="J133:J155" si="43">AVERAGE(G133:G134)</f>
        <v>47.5</v>
      </c>
      <c r="K133" cm="1">
        <f t="array" ref="K133">STOWA2019_NDJF_T(A133*60,J133,I133,"WL","center")</f>
        <v>0.25627316503746622</v>
      </c>
      <c r="L133">
        <f t="shared" ref="L133:L155" si="44">1/K133</f>
        <v>3.9020862752204413</v>
      </c>
    </row>
    <row r="134" spans="1:12" x14ac:dyDescent="0.3">
      <c r="A134">
        <v>216</v>
      </c>
      <c r="B134">
        <f t="shared" si="41"/>
        <v>0.91059791318195415</v>
      </c>
      <c r="C134">
        <f t="shared" si="37"/>
        <v>0.91059791318195415</v>
      </c>
      <c r="D134" t="s">
        <v>29</v>
      </c>
      <c r="E134" t="s">
        <v>19</v>
      </c>
      <c r="F134">
        <v>1</v>
      </c>
      <c r="G134">
        <f t="shared" si="42"/>
        <v>50</v>
      </c>
      <c r="I134">
        <v>2050</v>
      </c>
      <c r="J134">
        <f t="shared" si="43"/>
        <v>52.5</v>
      </c>
      <c r="K134" cm="1">
        <f t="array" ref="K134">STOWA2019_NDJF_T(A134*60,J134,I134,"WL","center")</f>
        <v>0.33428176177779645</v>
      </c>
      <c r="L134">
        <f t="shared" si="44"/>
        <v>2.9914883620384871</v>
      </c>
    </row>
    <row r="135" spans="1:12" x14ac:dyDescent="0.3">
      <c r="A135">
        <v>216</v>
      </c>
      <c r="B135">
        <f t="shared" si="41"/>
        <v>0.70846656545741071</v>
      </c>
      <c r="C135">
        <f t="shared" si="37"/>
        <v>0.70846656545741071</v>
      </c>
      <c r="D135" t="s">
        <v>29</v>
      </c>
      <c r="E135" t="s">
        <v>19</v>
      </c>
      <c r="F135">
        <v>1</v>
      </c>
      <c r="G135">
        <f t="shared" si="42"/>
        <v>55</v>
      </c>
      <c r="I135">
        <v>2050</v>
      </c>
      <c r="J135">
        <f t="shared" si="43"/>
        <v>57.5</v>
      </c>
      <c r="K135" cm="1">
        <f t="array" ref="K135">STOWA2019_NDJF_T(A135*60,J135,I135,"WL","center")</f>
        <v>0.43801596703874801</v>
      </c>
      <c r="L135">
        <f t="shared" si="44"/>
        <v>2.2830217965810764</v>
      </c>
    </row>
    <row r="136" spans="1:12" x14ac:dyDescent="0.3">
      <c r="A136">
        <v>216</v>
      </c>
      <c r="B136">
        <f t="shared" si="41"/>
        <v>0.54881335936323516</v>
      </c>
      <c r="C136">
        <f t="shared" si="37"/>
        <v>0.54881335936323516</v>
      </c>
      <c r="D136" t="s">
        <v>29</v>
      </c>
      <c r="E136" t="s">
        <v>19</v>
      </c>
      <c r="F136">
        <v>1</v>
      </c>
      <c r="G136">
        <f t="shared" si="42"/>
        <v>60</v>
      </c>
      <c r="I136">
        <v>2050</v>
      </c>
      <c r="J136">
        <f t="shared" si="43"/>
        <v>62.5</v>
      </c>
      <c r="K136" cm="1">
        <f t="array" ref="K136">STOWA2019_NDJF_T(A136*60,J136,I136,"WL","center")</f>
        <v>0.57663195411751178</v>
      </c>
      <c r="L136">
        <f t="shared" si="44"/>
        <v>1.7342084372178412</v>
      </c>
    </row>
    <row r="137" spans="1:12" x14ac:dyDescent="0.3">
      <c r="A137">
        <v>216</v>
      </c>
      <c r="B137">
        <f t="shared" si="41"/>
        <v>0.42325191913597271</v>
      </c>
      <c r="C137">
        <f t="shared" si="37"/>
        <v>0.42325191913597271</v>
      </c>
      <c r="D137" t="s">
        <v>29</v>
      </c>
      <c r="E137" t="s">
        <v>19</v>
      </c>
      <c r="F137">
        <v>1</v>
      </c>
      <c r="G137">
        <f t="shared" si="42"/>
        <v>65</v>
      </c>
      <c r="I137">
        <v>2050</v>
      </c>
      <c r="J137">
        <f t="shared" si="43"/>
        <v>67.5</v>
      </c>
      <c r="K137" cm="1">
        <f t="array" ref="K137">STOWA2019_NDJF_T(A137*60,J137,I137,"WL","center")</f>
        <v>0.76280180632013195</v>
      </c>
      <c r="L137">
        <f t="shared" si="44"/>
        <v>1.3109565180818685</v>
      </c>
    </row>
    <row r="138" spans="1:12" x14ac:dyDescent="0.3">
      <c r="A138">
        <v>216</v>
      </c>
      <c r="B138">
        <f t="shared" si="41"/>
        <v>0.32486830564064695</v>
      </c>
      <c r="C138">
        <f t="shared" si="37"/>
        <v>0.32486830564064695</v>
      </c>
      <c r="D138" t="s">
        <v>29</v>
      </c>
      <c r="E138" t="s">
        <v>19</v>
      </c>
      <c r="F138">
        <v>1</v>
      </c>
      <c r="G138">
        <f t="shared" si="42"/>
        <v>70</v>
      </c>
      <c r="I138">
        <v>2050</v>
      </c>
      <c r="J138">
        <f t="shared" si="43"/>
        <v>72.5</v>
      </c>
      <c r="K138" cm="1">
        <f t="array" ref="K138">STOWA2019_NDJF_T(A138*60,J138,I138,"WL","center")</f>
        <v>1.0141080558344142</v>
      </c>
      <c r="L138">
        <f t="shared" si="44"/>
        <v>0.98608821244122158</v>
      </c>
    </row>
    <row r="139" spans="1:12" x14ac:dyDescent="0.3">
      <c r="A139">
        <v>216</v>
      </c>
      <c r="B139">
        <f t="shared" si="41"/>
        <v>0.24824586427857909</v>
      </c>
      <c r="C139">
        <f t="shared" si="37"/>
        <v>0.24824586427857909</v>
      </c>
      <c r="D139" t="s">
        <v>29</v>
      </c>
      <c r="E139" t="s">
        <v>19</v>
      </c>
      <c r="F139">
        <v>1</v>
      </c>
      <c r="G139">
        <f t="shared" si="42"/>
        <v>75</v>
      </c>
      <c r="I139">
        <v>2050</v>
      </c>
      <c r="J139">
        <f t="shared" si="43"/>
        <v>77.5</v>
      </c>
      <c r="K139" cm="1">
        <f t="array" ref="K139">STOWA2019_NDJF_T(A139*60,J139,I139,"WL","center")</f>
        <v>1.355303070486773</v>
      </c>
      <c r="L139">
        <f t="shared" si="44"/>
        <v>0.73784234816264249</v>
      </c>
    </row>
    <row r="140" spans="1:12" x14ac:dyDescent="0.3">
      <c r="A140">
        <v>216</v>
      </c>
      <c r="B140">
        <f t="shared" si="41"/>
        <v>0.18872301165834737</v>
      </c>
      <c r="C140">
        <f t="shared" si="37"/>
        <v>0.18872301165834737</v>
      </c>
      <c r="D140" t="s">
        <v>29</v>
      </c>
      <c r="E140" t="s">
        <v>19</v>
      </c>
      <c r="F140">
        <v>1</v>
      </c>
      <c r="G140">
        <f t="shared" si="42"/>
        <v>80</v>
      </c>
      <c r="I140">
        <v>2050</v>
      </c>
      <c r="J140">
        <f t="shared" si="43"/>
        <v>82.5</v>
      </c>
      <c r="K140" cm="1">
        <f t="array" ref="K140">STOWA2019_NDJF_T(A140*60,J140,I140,"WL","center")</f>
        <v>1.8210977715081396</v>
      </c>
      <c r="L140">
        <f t="shared" si="44"/>
        <v>0.54911933650429512</v>
      </c>
    </row>
    <row r="141" spans="1:12" x14ac:dyDescent="0.3">
      <c r="A141">
        <v>216</v>
      </c>
      <c r="B141">
        <f t="shared" si="41"/>
        <v>0.14273424363383369</v>
      </c>
      <c r="C141">
        <f t="shared" si="37"/>
        <v>0.14273424363383369</v>
      </c>
      <c r="D141" t="s">
        <v>29</v>
      </c>
      <c r="E141" t="s">
        <v>19</v>
      </c>
      <c r="F141">
        <v>1</v>
      </c>
      <c r="G141">
        <f t="shared" si="42"/>
        <v>85</v>
      </c>
      <c r="I141">
        <v>2050</v>
      </c>
      <c r="J141">
        <f t="shared" si="43"/>
        <v>87.5</v>
      </c>
      <c r="K141" cm="1">
        <f t="array" ref="K141">STOWA2019_NDJF_T(A141*60,J141,I141,"WL","center")</f>
        <v>2.4607201827621128</v>
      </c>
      <c r="L141">
        <f t="shared" si="44"/>
        <v>0.40638509287046143</v>
      </c>
    </row>
    <row r="142" spans="1:12" x14ac:dyDescent="0.3">
      <c r="A142">
        <v>216</v>
      </c>
      <c r="B142">
        <f t="shared" si="41"/>
        <v>0.10737825626443148</v>
      </c>
      <c r="C142">
        <f t="shared" si="37"/>
        <v>0.10737825626443148</v>
      </c>
      <c r="D142" t="s">
        <v>29</v>
      </c>
      <c r="E142" t="s">
        <v>19</v>
      </c>
      <c r="F142">
        <v>1</v>
      </c>
      <c r="G142">
        <f t="shared" si="42"/>
        <v>90</v>
      </c>
      <c r="I142">
        <v>2050</v>
      </c>
      <c r="J142">
        <f t="shared" si="43"/>
        <v>92.5</v>
      </c>
      <c r="K142" cm="1">
        <f t="array" ref="K142">STOWA2019_NDJF_T(A142*60,J142,I142,"WL","center")</f>
        <v>3.3444051358517783</v>
      </c>
      <c r="L142">
        <f t="shared" si="44"/>
        <v>0.29900683660602995</v>
      </c>
    </row>
    <row r="143" spans="1:12" x14ac:dyDescent="0.3">
      <c r="A143">
        <v>216</v>
      </c>
      <c r="B143">
        <f t="shared" si="41"/>
        <v>8.0332575316635541E-2</v>
      </c>
      <c r="C143">
        <f t="shared" si="37"/>
        <v>8.0332575316635541E-2</v>
      </c>
      <c r="D143" t="s">
        <v>29</v>
      </c>
      <c r="E143" t="s">
        <v>19</v>
      </c>
      <c r="F143">
        <v>1</v>
      </c>
      <c r="G143">
        <f t="shared" si="42"/>
        <v>95</v>
      </c>
      <c r="I143">
        <v>2050</v>
      </c>
      <c r="J143">
        <f t="shared" si="43"/>
        <v>97.5</v>
      </c>
      <c r="K143" cm="1">
        <f t="array" ref="K143">STOWA2019_NDJF_T(A143*60,J143,I143,"WL","center")</f>
        <v>4.5730119041152077</v>
      </c>
      <c r="L143">
        <f t="shared" si="44"/>
        <v>0.21867426128939441</v>
      </c>
    </row>
    <row r="144" spans="1:12" x14ac:dyDescent="0.3">
      <c r="A144">
        <v>216</v>
      </c>
      <c r="B144">
        <f t="shared" si="41"/>
        <v>5.9754121095214774E-2</v>
      </c>
      <c r="C144">
        <f t="shared" si="37"/>
        <v>5.9754121095214774E-2</v>
      </c>
      <c r="D144" t="s">
        <v>29</v>
      </c>
      <c r="E144" t="s">
        <v>19</v>
      </c>
      <c r="F144">
        <v>1</v>
      </c>
      <c r="G144">
        <f t="shared" si="42"/>
        <v>100</v>
      </c>
      <c r="I144">
        <v>2050</v>
      </c>
      <c r="J144">
        <f t="shared" si="43"/>
        <v>102.5</v>
      </c>
      <c r="K144" cm="1">
        <f t="array" ref="K144">STOWA2019_NDJF_T(A144*60,J144,I144,"WL","center")</f>
        <v>6.292468649839666</v>
      </c>
      <c r="L144">
        <f t="shared" si="44"/>
        <v>0.15892014019417963</v>
      </c>
    </row>
    <row r="145" spans="1:12" x14ac:dyDescent="0.3">
      <c r="A145">
        <v>216</v>
      </c>
      <c r="B145">
        <f t="shared" si="41"/>
        <v>4.4179042681482691E-2</v>
      </c>
      <c r="C145">
        <f t="shared" si="37"/>
        <v>4.4179042681482691E-2</v>
      </c>
      <c r="D145" t="s">
        <v>29</v>
      </c>
      <c r="E145" t="s">
        <v>19</v>
      </c>
      <c r="F145">
        <v>1</v>
      </c>
      <c r="G145">
        <f t="shared" si="42"/>
        <v>105</v>
      </c>
      <c r="I145">
        <v>2050</v>
      </c>
      <c r="J145">
        <f t="shared" si="43"/>
        <v>107.5</v>
      </c>
      <c r="K145" cm="1">
        <f t="array" ref="K145">STOWA2019_NDJF_T(A145*60,J145,I145,"WL","center")</f>
        <v>8.7152730946236829</v>
      </c>
      <c r="L145">
        <f t="shared" si="44"/>
        <v>0.11474109751269694</v>
      </c>
    </row>
    <row r="146" spans="1:12" x14ac:dyDescent="0.3">
      <c r="A146">
        <v>216</v>
      </c>
      <c r="B146">
        <f t="shared" si="41"/>
        <v>3.2461374349193481E-2</v>
      </c>
      <c r="C146">
        <f t="shared" si="37"/>
        <v>3.2461374349193481E-2</v>
      </c>
      <c r="D146" t="s">
        <v>29</v>
      </c>
      <c r="E146" t="s">
        <v>19</v>
      </c>
      <c r="F146">
        <v>1</v>
      </c>
      <c r="G146">
        <f t="shared" si="42"/>
        <v>110</v>
      </c>
      <c r="I146">
        <v>2050</v>
      </c>
      <c r="J146">
        <f t="shared" si="43"/>
        <v>112.5</v>
      </c>
      <c r="K146" cm="1">
        <f t="array" ref="K146">STOWA2019_NDJF_T(A146*60,J146,I146,"WL","center")</f>
        <v>12.153662671091322</v>
      </c>
      <c r="L146">
        <f t="shared" si="44"/>
        <v>8.227972316350346E-2</v>
      </c>
    </row>
    <row r="147" spans="1:12" x14ac:dyDescent="0.3">
      <c r="A147">
        <v>216</v>
      </c>
      <c r="B147">
        <f t="shared" si="41"/>
        <v>2.3695674279436772E-2</v>
      </c>
      <c r="C147">
        <f t="shared" si="37"/>
        <v>2.3695674279436772E-2</v>
      </c>
      <c r="D147" t="s">
        <v>29</v>
      </c>
      <c r="E147" t="s">
        <v>19</v>
      </c>
      <c r="F147">
        <v>1</v>
      </c>
      <c r="G147">
        <f t="shared" si="42"/>
        <v>115</v>
      </c>
      <c r="I147">
        <v>2050</v>
      </c>
      <c r="J147">
        <f t="shared" si="43"/>
        <v>117.5</v>
      </c>
      <c r="K147" cm="1">
        <f t="array" ref="K147">STOWA2019_NDJF_T(A147*60,J147,I147,"WL","center")</f>
        <v>17.069492789392601</v>
      </c>
      <c r="L147">
        <f t="shared" si="44"/>
        <v>5.8584048884066688E-2</v>
      </c>
    </row>
    <row r="148" spans="1:12" x14ac:dyDescent="0.3">
      <c r="A148">
        <v>216</v>
      </c>
      <c r="B148">
        <f t="shared" si="41"/>
        <v>1.7180742645708721E-2</v>
      </c>
      <c r="C148">
        <f t="shared" si="37"/>
        <v>1.7180742645708721E-2</v>
      </c>
      <c r="D148" t="s">
        <v>29</v>
      </c>
      <c r="E148" t="s">
        <v>19</v>
      </c>
      <c r="F148">
        <v>1</v>
      </c>
      <c r="G148">
        <f t="shared" si="42"/>
        <v>120</v>
      </c>
      <c r="I148">
        <v>2050</v>
      </c>
      <c r="J148">
        <f t="shared" si="43"/>
        <v>122.5</v>
      </c>
      <c r="K148" cm="1">
        <f t="array" ref="K148">STOWA2019_NDJF_T(A148*60,J148,I148,"WL","center")</f>
        <v>24.152660520467158</v>
      </c>
      <c r="L148">
        <f t="shared" si="44"/>
        <v>4.1403306238357966E-2</v>
      </c>
    </row>
    <row r="149" spans="1:12" x14ac:dyDescent="0.3">
      <c r="A149">
        <v>216</v>
      </c>
      <c r="B149">
        <f t="shared" si="41"/>
        <v>1.2368161820675586E-2</v>
      </c>
      <c r="C149">
        <f t="shared" si="37"/>
        <v>1.2368161820675586E-2</v>
      </c>
      <c r="D149" t="s">
        <v>29</v>
      </c>
      <c r="E149" t="s">
        <v>19</v>
      </c>
      <c r="F149">
        <v>1</v>
      </c>
      <c r="G149">
        <f t="shared" si="42"/>
        <v>125</v>
      </c>
      <c r="I149">
        <v>2050</v>
      </c>
      <c r="J149">
        <f t="shared" si="43"/>
        <v>127.5</v>
      </c>
      <c r="K149" cm="1">
        <f t="array" ref="K149">STOWA2019_NDJF_T(A149*60,J149,I149,"WL","center")</f>
        <v>34.441020358452249</v>
      </c>
      <c r="L149">
        <f t="shared" si="44"/>
        <v>2.9035144417682381E-2</v>
      </c>
    </row>
    <row r="150" spans="1:12" x14ac:dyDescent="0.3">
      <c r="A150">
        <v>216</v>
      </c>
      <c r="B150">
        <f t="shared" si="41"/>
        <v>8.838026353945351E-3</v>
      </c>
      <c r="C150">
        <f t="shared" si="37"/>
        <v>8.838026353945351E-3</v>
      </c>
      <c r="D150" t="s">
        <v>29</v>
      </c>
      <c r="E150" t="s">
        <v>19</v>
      </c>
      <c r="F150">
        <v>1</v>
      </c>
      <c r="G150">
        <f t="shared" si="42"/>
        <v>130</v>
      </c>
      <c r="I150">
        <v>2050</v>
      </c>
      <c r="J150">
        <f t="shared" si="43"/>
        <v>132.5</v>
      </c>
      <c r="K150" cm="1">
        <f t="array" ref="K150">STOWA2019_NDJF_T(A150*60,J150,I150,"WL","center")</f>
        <v>49.512014379687798</v>
      </c>
      <c r="L150">
        <f t="shared" si="44"/>
        <v>2.019711806373703E-2</v>
      </c>
    </row>
    <row r="151" spans="1:12" x14ac:dyDescent="0.3">
      <c r="A151">
        <v>216</v>
      </c>
      <c r="B151">
        <f t="shared" si="41"/>
        <v>6.266715978833123E-3</v>
      </c>
      <c r="C151">
        <f t="shared" si="37"/>
        <v>6.266715978833123E-3</v>
      </c>
      <c r="D151" t="s">
        <v>29</v>
      </c>
      <c r="E151" t="s">
        <v>19</v>
      </c>
      <c r="F151">
        <v>1</v>
      </c>
      <c r="G151">
        <f t="shared" si="42"/>
        <v>135</v>
      </c>
      <c r="I151">
        <v>2050</v>
      </c>
      <c r="J151">
        <f t="shared" si="43"/>
        <v>137.5</v>
      </c>
      <c r="K151" cm="1">
        <f t="array" ref="K151">STOWA2019_NDJF_T(A151*60,J151,I151,"WL","center")</f>
        <v>71.785436910229578</v>
      </c>
      <c r="L151">
        <f t="shared" si="44"/>
        <v>1.3930402084903907E-2</v>
      </c>
    </row>
    <row r="152" spans="1:12" x14ac:dyDescent="0.3">
      <c r="A152">
        <v>216</v>
      </c>
      <c r="B152">
        <f t="shared" si="41"/>
        <v>4.4074265551891506E-3</v>
      </c>
      <c r="C152">
        <f t="shared" si="37"/>
        <v>4.4074265551891506E-3</v>
      </c>
      <c r="D152" t="s">
        <v>29</v>
      </c>
      <c r="E152" t="s">
        <v>19</v>
      </c>
      <c r="F152">
        <v>1</v>
      </c>
      <c r="G152">
        <f t="shared" si="42"/>
        <v>140</v>
      </c>
      <c r="I152">
        <v>2050</v>
      </c>
      <c r="J152">
        <f t="shared" si="43"/>
        <v>142.5</v>
      </c>
      <c r="K152" cm="1">
        <f t="array" ref="K152">STOWA2019_NDJF_T(A152*60,J152,I152,"WL","center")</f>
        <v>105.00919559014694</v>
      </c>
      <c r="L152">
        <f t="shared" si="44"/>
        <v>9.5229755297147559E-3</v>
      </c>
    </row>
    <row r="153" spans="1:12" x14ac:dyDescent="0.3">
      <c r="A153">
        <v>216</v>
      </c>
      <c r="B153">
        <f t="shared" si="41"/>
        <v>3.0735046844545498E-3</v>
      </c>
      <c r="C153">
        <f t="shared" si="37"/>
        <v>3.0735046844545498E-3</v>
      </c>
      <c r="D153" t="s">
        <v>29</v>
      </c>
      <c r="E153" t="s">
        <v>19</v>
      </c>
      <c r="F153">
        <v>1</v>
      </c>
      <c r="G153">
        <f t="shared" si="42"/>
        <v>145</v>
      </c>
      <c r="I153">
        <v>2050</v>
      </c>
      <c r="J153">
        <f t="shared" si="43"/>
        <v>147.5</v>
      </c>
      <c r="K153" cm="1">
        <f t="array" ref="K153">STOWA2019_NDJF_T(A153*60,J153,I153,"WL","center")</f>
        <v>155.05148003497249</v>
      </c>
      <c r="L153">
        <f t="shared" si="44"/>
        <v>6.4494708452602061E-3</v>
      </c>
    </row>
    <row r="154" spans="1:12" x14ac:dyDescent="0.3">
      <c r="A154">
        <v>216</v>
      </c>
      <c r="B154">
        <f t="shared" si="41"/>
        <v>2.1241697352716313E-3</v>
      </c>
      <c r="C154">
        <f t="shared" si="37"/>
        <v>2.1241697352716313E-3</v>
      </c>
      <c r="D154" t="s">
        <v>29</v>
      </c>
      <c r="E154" t="s">
        <v>19</v>
      </c>
      <c r="F154">
        <v>1</v>
      </c>
      <c r="G154">
        <f t="shared" si="42"/>
        <v>150</v>
      </c>
      <c r="I154">
        <v>2050</v>
      </c>
      <c r="J154">
        <f t="shared" si="43"/>
        <v>152.5</v>
      </c>
      <c r="K154" cm="1">
        <f t="array" ref="K154">STOWA2019_NDJF_T(A154*60,J154,I154,"WL","center")</f>
        <v>231.1977766566734</v>
      </c>
      <c r="L154">
        <f t="shared" si="44"/>
        <v>4.3253011099885748E-3</v>
      </c>
    </row>
    <row r="155" spans="1:12" x14ac:dyDescent="0.3">
      <c r="A155">
        <v>216</v>
      </c>
      <c r="B155">
        <f t="shared" si="41"/>
        <v>1.4543260137198258E-3</v>
      </c>
      <c r="C155">
        <f t="shared" si="37"/>
        <v>1.4543260137198258E-3</v>
      </c>
      <c r="D155" t="s">
        <v>29</v>
      </c>
      <c r="E155" t="s">
        <v>19</v>
      </c>
      <c r="F155">
        <v>1</v>
      </c>
      <c r="G155">
        <f t="shared" si="42"/>
        <v>155</v>
      </c>
      <c r="I155">
        <v>2050</v>
      </c>
      <c r="J155">
        <f t="shared" si="43"/>
        <v>157.5</v>
      </c>
      <c r="K155" cm="1">
        <f t="array" ref="K155">STOWA2019_NDJF_T(A155*60,J155,I155,"WL","center")</f>
        <v>348.31371449360387</v>
      </c>
      <c r="L155">
        <f t="shared" si="44"/>
        <v>2.8709750962687491E-3</v>
      </c>
    </row>
    <row r="156" spans="1:12" x14ac:dyDescent="0.3">
      <c r="A156">
        <v>216</v>
      </c>
      <c r="B156" s="1">
        <f>L155</f>
        <v>2.8709750962687491E-3</v>
      </c>
      <c r="C156">
        <f t="shared" si="37"/>
        <v>2.8709750962687491E-3</v>
      </c>
      <c r="D156" t="s">
        <v>29</v>
      </c>
      <c r="E156" t="s">
        <v>19</v>
      </c>
      <c r="F156">
        <v>1</v>
      </c>
      <c r="G156">
        <f t="shared" si="42"/>
        <v>160</v>
      </c>
      <c r="I156">
        <v>2050</v>
      </c>
      <c r="J156">
        <f>AVERAGE(G156:G157)</f>
        <v>160</v>
      </c>
      <c r="K156" cm="1">
        <f t="array" ref="K156">STOWA2019_NDJF_T(A156*60,J156,I156,"WL","center")</f>
        <v>429.2568124203446</v>
      </c>
      <c r="L156">
        <f>1/K156</f>
        <v>2.3296077570942823E-3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5A77BB-6D95-4D37-B4EF-17883AA5ADBD}">
  <sheetPr codeName="Blad15"/>
  <dimension ref="A1:L156"/>
  <sheetViews>
    <sheetView workbookViewId="0">
      <selection activeCell="D5" sqref="D5"/>
    </sheetView>
  </sheetViews>
  <sheetFormatPr defaultRowHeight="14.4" x14ac:dyDescent="0.3"/>
  <cols>
    <col min="2" max="3" width="12" bestFit="1" customWidth="1"/>
    <col min="4" max="4" width="27.21875" bestFit="1" customWidth="1"/>
    <col min="9" max="9" width="8.5546875" bestFit="1" customWidth="1"/>
    <col min="10" max="10" width="11.44140625" bestFit="1" customWidth="1"/>
    <col min="11" max="11" width="13.5546875" bestFit="1" customWidth="1"/>
    <col min="12" max="12" width="12" bestFit="1" customWidth="1"/>
  </cols>
  <sheetData>
    <row r="1" spans="1:12" x14ac:dyDescent="0.3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20</v>
      </c>
      <c r="G1" t="s">
        <v>1</v>
      </c>
      <c r="I1" t="s">
        <v>4</v>
      </c>
      <c r="J1" t="s">
        <v>13</v>
      </c>
      <c r="K1" t="s">
        <v>2</v>
      </c>
      <c r="L1" t="s">
        <v>3</v>
      </c>
    </row>
    <row r="2" spans="1:12" x14ac:dyDescent="0.3">
      <c r="A2">
        <v>24</v>
      </c>
      <c r="B2" s="1">
        <f>365.25*24/A2 - L2</f>
        <v>349.00713990382678</v>
      </c>
      <c r="C2">
        <f>B2</f>
        <v>349.00713990382678</v>
      </c>
      <c r="D2" t="s">
        <v>30</v>
      </c>
      <c r="E2" t="s">
        <v>21</v>
      </c>
      <c r="F2">
        <v>1</v>
      </c>
      <c r="G2">
        <v>10</v>
      </c>
      <c r="I2">
        <v>2050</v>
      </c>
      <c r="J2">
        <f>AVERAGE(G2:G4)</f>
        <v>15</v>
      </c>
      <c r="K2" cm="1">
        <f t="array" ref="K2">STOWA2019_JAARROND_T(A2*60,J2,I2,"WH","center")</f>
        <v>6.1565512112955863E-2</v>
      </c>
      <c r="L2">
        <f>1/K2</f>
        <v>16.242860096173224</v>
      </c>
    </row>
    <row r="3" spans="1:12" x14ac:dyDescent="0.3">
      <c r="A3">
        <v>24</v>
      </c>
      <c r="B3">
        <f t="shared" ref="B3:B7" si="0">L2-L3</f>
        <v>4.7364296017245575</v>
      </c>
      <c r="C3">
        <f t="shared" ref="C3:C32" si="1">B3</f>
        <v>4.7364296017245575</v>
      </c>
      <c r="D3" t="s">
        <v>30</v>
      </c>
      <c r="E3" t="s">
        <v>21</v>
      </c>
      <c r="F3">
        <v>1</v>
      </c>
      <c r="G3">
        <f t="shared" ref="G3:G7" si="2">G2+5</f>
        <v>15</v>
      </c>
      <c r="I3">
        <v>2050</v>
      </c>
      <c r="J3">
        <f t="shared" ref="J3:J7" si="3">AVERAGE(G3:G4)</f>
        <v>17.5</v>
      </c>
      <c r="K3" cm="1">
        <f t="array" ref="K3">STOWA2019_JAARROND_T(A3*60,J3,I3,"WH","center")</f>
        <v>8.6907925136509953E-2</v>
      </c>
      <c r="L3">
        <f t="shared" ref="L3:L7" si="4">1/K3</f>
        <v>11.506430494448667</v>
      </c>
    </row>
    <row r="4" spans="1:12" x14ac:dyDescent="0.3">
      <c r="A4">
        <v>24</v>
      </c>
      <c r="B4">
        <f t="shared" si="0"/>
        <v>5.4707462287942459</v>
      </c>
      <c r="C4">
        <f t="shared" si="1"/>
        <v>5.4707462287942459</v>
      </c>
      <c r="D4" t="s">
        <v>30</v>
      </c>
      <c r="E4" t="s">
        <v>21</v>
      </c>
      <c r="F4">
        <v>1</v>
      </c>
      <c r="G4">
        <f t="shared" si="2"/>
        <v>20</v>
      </c>
      <c r="I4">
        <v>2050</v>
      </c>
      <c r="J4">
        <f t="shared" si="3"/>
        <v>22.5</v>
      </c>
      <c r="K4" cm="1">
        <f t="array" ref="K4">STOWA2019_JAARROND_T(A4*60,J4,I4,"WH","center")</f>
        <v>0.16568129742810109</v>
      </c>
      <c r="L4">
        <f t="shared" si="4"/>
        <v>6.035684265654421</v>
      </c>
    </row>
    <row r="5" spans="1:12" x14ac:dyDescent="0.3">
      <c r="A5">
        <v>24</v>
      </c>
      <c r="B5">
        <f t="shared" si="0"/>
        <v>2.7011070250730151</v>
      </c>
      <c r="C5">
        <f t="shared" si="1"/>
        <v>2.7011070250730151</v>
      </c>
      <c r="D5" t="s">
        <v>30</v>
      </c>
      <c r="E5" t="s">
        <v>21</v>
      </c>
      <c r="F5">
        <v>1</v>
      </c>
      <c r="G5">
        <f t="shared" si="2"/>
        <v>25</v>
      </c>
      <c r="I5">
        <v>2050</v>
      </c>
      <c r="J5">
        <f t="shared" si="3"/>
        <v>27.5</v>
      </c>
      <c r="K5" cm="1">
        <f t="array" ref="K5">STOWA2019_JAARROND_T(A5*60,J5,I5,"WH","center")</f>
        <v>0.29988809010933071</v>
      </c>
      <c r="L5">
        <f t="shared" si="4"/>
        <v>3.3345772405814058</v>
      </c>
    </row>
    <row r="6" spans="1:12" x14ac:dyDescent="0.3">
      <c r="A6">
        <v>24</v>
      </c>
      <c r="B6">
        <f t="shared" si="0"/>
        <v>1.4085030436377155</v>
      </c>
      <c r="C6">
        <f t="shared" si="1"/>
        <v>1.4085030436377155</v>
      </c>
      <c r="D6" t="s">
        <v>30</v>
      </c>
      <c r="E6" t="s">
        <v>21</v>
      </c>
      <c r="F6">
        <v>1</v>
      </c>
      <c r="G6">
        <f t="shared" si="2"/>
        <v>30</v>
      </c>
      <c r="I6">
        <v>2050</v>
      </c>
      <c r="J6">
        <f t="shared" si="3"/>
        <v>32.5</v>
      </c>
      <c r="K6" cm="1">
        <f t="array" ref="K6">STOWA2019_JAARROND_T(A6*60,J6,I6,"WH","center")</f>
        <v>0.51919079835387849</v>
      </c>
      <c r="L6">
        <f t="shared" si="4"/>
        <v>1.9260741969436903</v>
      </c>
    </row>
    <row r="7" spans="1:12" x14ac:dyDescent="0.3">
      <c r="A7">
        <v>24</v>
      </c>
      <c r="B7">
        <f t="shared" si="0"/>
        <v>0.77001316486769689</v>
      </c>
      <c r="C7">
        <f t="shared" si="1"/>
        <v>0.77001316486769689</v>
      </c>
      <c r="D7" t="s">
        <v>30</v>
      </c>
      <c r="E7" t="s">
        <v>21</v>
      </c>
      <c r="F7">
        <v>1</v>
      </c>
      <c r="G7">
        <f t="shared" si="2"/>
        <v>35</v>
      </c>
      <c r="I7">
        <v>2050</v>
      </c>
      <c r="J7">
        <f t="shared" si="3"/>
        <v>37.5</v>
      </c>
      <c r="K7" cm="1">
        <f t="array" ref="K7">STOWA2019_JAARROND_T(A7*60,J7,I7,"WH","center")</f>
        <v>0.86500623431987222</v>
      </c>
      <c r="L7">
        <f t="shared" si="4"/>
        <v>1.1560610320759934</v>
      </c>
    </row>
    <row r="8" spans="1:12" x14ac:dyDescent="0.3">
      <c r="A8">
        <v>24</v>
      </c>
      <c r="B8">
        <f>L7-L8</f>
        <v>0.43851426305925612</v>
      </c>
      <c r="C8">
        <f t="shared" si="1"/>
        <v>0.43851426305925612</v>
      </c>
      <c r="D8" t="s">
        <v>30</v>
      </c>
      <c r="E8" t="s">
        <v>21</v>
      </c>
      <c r="F8">
        <v>1</v>
      </c>
      <c r="G8">
        <f>G7+5</f>
        <v>40</v>
      </c>
      <c r="I8">
        <v>2050</v>
      </c>
      <c r="J8">
        <f>AVERAGE(G8:G9)</f>
        <v>42.5</v>
      </c>
      <c r="K8" cm="1">
        <f t="array" ref="K8">STOWA2019_JAARROND_T(A8*60,J8,I8,"WH","center")</f>
        <v>1.3936373811149783</v>
      </c>
      <c r="L8">
        <f>1/K8</f>
        <v>0.71754676901673731</v>
      </c>
    </row>
    <row r="9" spans="1:12" x14ac:dyDescent="0.3">
      <c r="A9">
        <v>24</v>
      </c>
      <c r="B9">
        <f t="shared" ref="B9:B31" si="5">L8-L9</f>
        <v>0.25897495870722387</v>
      </c>
      <c r="C9">
        <f t="shared" si="1"/>
        <v>0.25897495870722387</v>
      </c>
      <c r="D9" t="s">
        <v>30</v>
      </c>
      <c r="E9" t="s">
        <v>21</v>
      </c>
      <c r="F9">
        <v>1</v>
      </c>
      <c r="G9">
        <f t="shared" ref="G9:G32" si="6">G8+5</f>
        <v>45</v>
      </c>
      <c r="I9">
        <v>2050</v>
      </c>
      <c r="J9">
        <f t="shared" ref="J9:J31" si="7">AVERAGE(G9:G10)</f>
        <v>47.5</v>
      </c>
      <c r="K9" cm="1">
        <f t="array" ref="K9">STOWA2019_JAARROND_T(A9*60,J9,I9,"WH","center")</f>
        <v>2.1806835429440139</v>
      </c>
      <c r="L9">
        <f t="shared" ref="L9:L31" si="8">1/K9</f>
        <v>0.45857181030951344</v>
      </c>
    </row>
    <row r="10" spans="1:12" x14ac:dyDescent="0.3">
      <c r="A10">
        <v>24</v>
      </c>
      <c r="B10">
        <f t="shared" si="5"/>
        <v>0.15779799959681756</v>
      </c>
      <c r="C10">
        <f t="shared" si="1"/>
        <v>0.15779799959681756</v>
      </c>
      <c r="D10" t="s">
        <v>30</v>
      </c>
      <c r="E10" t="s">
        <v>21</v>
      </c>
      <c r="F10">
        <v>1</v>
      </c>
      <c r="G10">
        <f t="shared" si="6"/>
        <v>50</v>
      </c>
      <c r="I10">
        <v>2050</v>
      </c>
      <c r="J10">
        <f t="shared" si="7"/>
        <v>52.5</v>
      </c>
      <c r="K10" cm="1">
        <f t="array" ref="K10">STOWA2019_JAARROND_T(A10*60,J10,I10,"WH","center")</f>
        <v>3.324757556618573</v>
      </c>
      <c r="L10">
        <f t="shared" si="8"/>
        <v>0.30077381071269588</v>
      </c>
    </row>
    <row r="11" spans="1:12" x14ac:dyDescent="0.3">
      <c r="A11">
        <v>24</v>
      </c>
      <c r="B11">
        <f t="shared" si="5"/>
        <v>9.8886743965441698E-2</v>
      </c>
      <c r="C11">
        <f t="shared" si="1"/>
        <v>9.8886743965441698E-2</v>
      </c>
      <c r="D11" t="s">
        <v>30</v>
      </c>
      <c r="E11" t="s">
        <v>21</v>
      </c>
      <c r="F11">
        <v>1</v>
      </c>
      <c r="G11">
        <f t="shared" si="6"/>
        <v>55</v>
      </c>
      <c r="I11">
        <v>2050</v>
      </c>
      <c r="J11">
        <f t="shared" si="7"/>
        <v>57.5</v>
      </c>
      <c r="K11" cm="1">
        <f t="array" ref="K11">STOWA2019_JAARROND_T(A11*60,J11,I11,"WH","center")</f>
        <v>4.953264298261943</v>
      </c>
      <c r="L11">
        <f t="shared" si="8"/>
        <v>0.20188706674725418</v>
      </c>
    </row>
    <row r="12" spans="1:12" x14ac:dyDescent="0.3">
      <c r="A12">
        <v>24</v>
      </c>
      <c r="B12">
        <f t="shared" si="5"/>
        <v>6.3538688300007695E-2</v>
      </c>
      <c r="C12">
        <f t="shared" si="1"/>
        <v>6.3538688300007695E-2</v>
      </c>
      <c r="D12" t="s">
        <v>30</v>
      </c>
      <c r="E12" t="s">
        <v>21</v>
      </c>
      <c r="F12">
        <v>1</v>
      </c>
      <c r="G12">
        <f t="shared" si="6"/>
        <v>60</v>
      </c>
      <c r="I12">
        <v>2050</v>
      </c>
      <c r="J12">
        <f t="shared" si="7"/>
        <v>62.5</v>
      </c>
      <c r="K12" cm="1">
        <f t="array" ref="K12">STOWA2019_JAARROND_T(A12*60,J12,I12,"WH","center")</f>
        <v>7.2281295322974035</v>
      </c>
      <c r="L12">
        <f t="shared" si="8"/>
        <v>0.13834837844724648</v>
      </c>
    </row>
    <row r="13" spans="1:12" x14ac:dyDescent="0.3">
      <c r="A13">
        <v>24</v>
      </c>
      <c r="B13">
        <f t="shared" si="5"/>
        <v>4.175338695518202E-2</v>
      </c>
      <c r="C13">
        <f t="shared" si="1"/>
        <v>4.175338695518202E-2</v>
      </c>
      <c r="D13" t="s">
        <v>30</v>
      </c>
      <c r="E13" t="s">
        <v>21</v>
      </c>
      <c r="F13">
        <v>1</v>
      </c>
      <c r="G13">
        <f t="shared" si="6"/>
        <v>65</v>
      </c>
      <c r="I13">
        <v>2050</v>
      </c>
      <c r="J13">
        <f t="shared" si="7"/>
        <v>67.5</v>
      </c>
      <c r="K13" cm="1">
        <f t="array" ref="K13">STOWA2019_JAARROND_T(A13*60,J13,I13,"WH","center")</f>
        <v>10.352503629364186</v>
      </c>
      <c r="L13">
        <f t="shared" si="8"/>
        <v>9.6594991492064464E-2</v>
      </c>
    </row>
    <row r="14" spans="1:12" x14ac:dyDescent="0.3">
      <c r="A14">
        <v>24</v>
      </c>
      <c r="B14">
        <f t="shared" si="5"/>
        <v>2.8001649137962631E-2</v>
      </c>
      <c r="C14">
        <f t="shared" si="1"/>
        <v>2.8001649137962631E-2</v>
      </c>
      <c r="D14" t="s">
        <v>30</v>
      </c>
      <c r="E14" t="s">
        <v>21</v>
      </c>
      <c r="F14">
        <v>1</v>
      </c>
      <c r="G14">
        <f t="shared" si="6"/>
        <v>70</v>
      </c>
      <c r="I14">
        <v>2050</v>
      </c>
      <c r="J14">
        <f t="shared" si="7"/>
        <v>72.5</v>
      </c>
      <c r="K14" cm="1">
        <f t="array" ref="K14">STOWA2019_JAARROND_T(A14*60,J14,I14,"WH","center")</f>
        <v>14.578674338941886</v>
      </c>
      <c r="L14">
        <f t="shared" si="8"/>
        <v>6.8593342354101833E-2</v>
      </c>
    </row>
    <row r="15" spans="1:12" x14ac:dyDescent="0.3">
      <c r="A15">
        <v>24</v>
      </c>
      <c r="B15">
        <f t="shared" si="5"/>
        <v>1.9128559187192577E-2</v>
      </c>
      <c r="C15">
        <f t="shared" si="1"/>
        <v>1.9128559187192577E-2</v>
      </c>
      <c r="D15" t="s">
        <v>30</v>
      </c>
      <c r="E15" t="s">
        <v>21</v>
      </c>
      <c r="F15">
        <v>1</v>
      </c>
      <c r="G15">
        <f t="shared" si="6"/>
        <v>75</v>
      </c>
      <c r="I15">
        <v>2050</v>
      </c>
      <c r="J15">
        <f t="shared" si="7"/>
        <v>77.5</v>
      </c>
      <c r="K15" cm="1">
        <f t="array" ref="K15">STOWA2019_JAARROND_T(A15*60,J15,I15,"WH","center")</f>
        <v>20.216403185791702</v>
      </c>
      <c r="L15">
        <f t="shared" si="8"/>
        <v>4.9464783166909256E-2</v>
      </c>
    </row>
    <row r="16" spans="1:12" x14ac:dyDescent="0.3">
      <c r="A16">
        <v>24</v>
      </c>
      <c r="B16">
        <f t="shared" si="5"/>
        <v>1.3288326088190305E-2</v>
      </c>
      <c r="C16">
        <f t="shared" si="1"/>
        <v>1.3288326088190305E-2</v>
      </c>
      <c r="D16" t="s">
        <v>30</v>
      </c>
      <c r="E16" t="s">
        <v>21</v>
      </c>
      <c r="F16">
        <v>1</v>
      </c>
      <c r="G16">
        <f t="shared" si="6"/>
        <v>80</v>
      </c>
      <c r="I16">
        <v>2050</v>
      </c>
      <c r="J16">
        <f t="shared" si="7"/>
        <v>82.5</v>
      </c>
      <c r="K16" cm="1">
        <f t="array" ref="K16">STOWA2019_JAARROND_T(A16*60,J16,I16,"WH","center")</f>
        <v>27.642286745327997</v>
      </c>
      <c r="L16">
        <f t="shared" si="8"/>
        <v>3.617645707871895E-2</v>
      </c>
    </row>
    <row r="17" spans="1:12" x14ac:dyDescent="0.3">
      <c r="A17">
        <v>24</v>
      </c>
      <c r="B17">
        <f t="shared" si="5"/>
        <v>9.3749576080690948E-3</v>
      </c>
      <c r="C17">
        <f t="shared" si="1"/>
        <v>9.3749576080690948E-3</v>
      </c>
      <c r="D17" t="s">
        <v>30</v>
      </c>
      <c r="E17" t="s">
        <v>21</v>
      </c>
      <c r="F17">
        <v>1</v>
      </c>
      <c r="G17">
        <f t="shared" si="6"/>
        <v>85</v>
      </c>
      <c r="I17">
        <v>2050</v>
      </c>
      <c r="J17">
        <f t="shared" si="7"/>
        <v>87.5</v>
      </c>
      <c r="K17" cm="1">
        <f t="array" ref="K17">STOWA2019_JAARROND_T(A17*60,J17,I17,"WH","center")</f>
        <v>37.311345251227209</v>
      </c>
      <c r="L17">
        <f t="shared" si="8"/>
        <v>2.6801499470649855E-2</v>
      </c>
    </row>
    <row r="18" spans="1:12" x14ac:dyDescent="0.3">
      <c r="A18">
        <v>24</v>
      </c>
      <c r="B18">
        <f t="shared" si="5"/>
        <v>6.707827581566829E-3</v>
      </c>
      <c r="C18">
        <f t="shared" si="1"/>
        <v>6.707827581566829E-3</v>
      </c>
      <c r="D18" t="s">
        <v>30</v>
      </c>
      <c r="E18" t="s">
        <v>21</v>
      </c>
      <c r="F18">
        <v>1</v>
      </c>
      <c r="G18">
        <f t="shared" si="6"/>
        <v>90</v>
      </c>
      <c r="I18">
        <v>2050</v>
      </c>
      <c r="J18">
        <f t="shared" si="7"/>
        <v>92.5</v>
      </c>
      <c r="K18" cm="1">
        <f t="array" ref="K18">STOWA2019_JAARROND_T(A18*60,J18,I18,"WH","center")</f>
        <v>49.766911967110602</v>
      </c>
      <c r="L18">
        <f t="shared" si="8"/>
        <v>2.0093671889083026E-2</v>
      </c>
    </row>
    <row r="19" spans="1:12" x14ac:dyDescent="0.3">
      <c r="A19">
        <v>24</v>
      </c>
      <c r="B19">
        <f t="shared" si="5"/>
        <v>4.8627788405162832E-3</v>
      </c>
      <c r="C19">
        <f t="shared" si="1"/>
        <v>4.8627788405162832E-3</v>
      </c>
      <c r="D19" t="s">
        <v>30</v>
      </c>
      <c r="E19" t="s">
        <v>21</v>
      </c>
      <c r="F19">
        <v>1</v>
      </c>
      <c r="G19">
        <f t="shared" si="6"/>
        <v>95</v>
      </c>
      <c r="I19">
        <v>2050</v>
      </c>
      <c r="J19">
        <f t="shared" si="7"/>
        <v>97.5</v>
      </c>
      <c r="K19" cm="1">
        <f t="array" ref="K19">STOWA2019_JAARROND_T(A19*60,J19,I19,"WH","center")</f>
        <v>65.656031909048295</v>
      </c>
      <c r="L19">
        <f t="shared" si="8"/>
        <v>1.5230893048566743E-2</v>
      </c>
    </row>
    <row r="20" spans="1:12" x14ac:dyDescent="0.3">
      <c r="A20">
        <v>24</v>
      </c>
      <c r="B20">
        <f t="shared" si="5"/>
        <v>3.5677832819280501E-3</v>
      </c>
      <c r="C20">
        <f t="shared" si="1"/>
        <v>3.5677832819280501E-3</v>
      </c>
      <c r="D20" t="s">
        <v>30</v>
      </c>
      <c r="E20" t="s">
        <v>21</v>
      </c>
      <c r="F20">
        <v>1</v>
      </c>
      <c r="G20">
        <f t="shared" si="6"/>
        <v>100</v>
      </c>
      <c r="I20">
        <v>2050</v>
      </c>
      <c r="J20">
        <f t="shared" si="7"/>
        <v>102.5</v>
      </c>
      <c r="K20" cm="1">
        <f t="array" ref="K20">STOWA2019_JAARROND_T(A20*60,J20,I20,"WH","center")</f>
        <v>85.740426010600757</v>
      </c>
      <c r="L20">
        <f t="shared" si="8"/>
        <v>1.1663109766638693E-2</v>
      </c>
    </row>
    <row r="21" spans="1:12" x14ac:dyDescent="0.3">
      <c r="A21">
        <v>24</v>
      </c>
      <c r="B21">
        <f t="shared" si="5"/>
        <v>2.6471984517291037E-3</v>
      </c>
      <c r="C21">
        <f t="shared" si="1"/>
        <v>2.6471984517291037E-3</v>
      </c>
      <c r="D21" t="s">
        <v>30</v>
      </c>
      <c r="E21" t="s">
        <v>21</v>
      </c>
      <c r="F21">
        <v>1</v>
      </c>
      <c r="G21">
        <f t="shared" si="6"/>
        <v>105</v>
      </c>
      <c r="I21">
        <v>2050</v>
      </c>
      <c r="J21">
        <f t="shared" si="7"/>
        <v>107.5</v>
      </c>
      <c r="K21" cm="1">
        <f t="array" ref="K21">STOWA2019_JAARROND_T(A21*60,J21,I21,"WH","center")</f>
        <v>110.91502179555633</v>
      </c>
      <c r="L21">
        <f t="shared" si="8"/>
        <v>9.0159113149095894E-3</v>
      </c>
    </row>
    <row r="22" spans="1:12" x14ac:dyDescent="0.3">
      <c r="A22">
        <v>24</v>
      </c>
      <c r="B22">
        <f t="shared" si="5"/>
        <v>1.9846986249239598E-3</v>
      </c>
      <c r="C22">
        <f t="shared" si="1"/>
        <v>1.9846986249239598E-3</v>
      </c>
      <c r="D22" t="s">
        <v>30</v>
      </c>
      <c r="E22" t="s">
        <v>21</v>
      </c>
      <c r="F22">
        <v>1</v>
      </c>
      <c r="G22">
        <f t="shared" si="6"/>
        <v>110</v>
      </c>
      <c r="I22">
        <v>2050</v>
      </c>
      <c r="J22">
        <f t="shared" si="7"/>
        <v>112.5</v>
      </c>
      <c r="K22" cm="1">
        <f t="array" ref="K22">STOWA2019_JAARROND_T(A22*60,J22,I22,"WH","center")</f>
        <v>142.22297690187548</v>
      </c>
      <c r="L22">
        <f t="shared" si="8"/>
        <v>7.0312126899856296E-3</v>
      </c>
    </row>
    <row r="23" spans="1:12" x14ac:dyDescent="0.3">
      <c r="A23">
        <v>24</v>
      </c>
      <c r="B23">
        <f t="shared" si="5"/>
        <v>1.5025115873310377E-3</v>
      </c>
      <c r="C23">
        <f t="shared" si="1"/>
        <v>1.5025115873310377E-3</v>
      </c>
      <c r="D23" t="s">
        <v>30</v>
      </c>
      <c r="E23" t="s">
        <v>21</v>
      </c>
      <c r="F23">
        <v>1</v>
      </c>
      <c r="G23">
        <f t="shared" si="6"/>
        <v>115</v>
      </c>
      <c r="I23">
        <v>2050</v>
      </c>
      <c r="J23">
        <f t="shared" si="7"/>
        <v>117.5</v>
      </c>
      <c r="K23" cm="1">
        <f t="array" ref="K23">STOWA2019_JAARROND_T(A23*60,J23,I23,"WH","center")</f>
        <v>180.87431051750158</v>
      </c>
      <c r="L23">
        <f t="shared" si="8"/>
        <v>5.5287011026545919E-3</v>
      </c>
    </row>
    <row r="24" spans="1:12" x14ac:dyDescent="0.3">
      <c r="A24">
        <v>24</v>
      </c>
      <c r="B24">
        <f t="shared" si="5"/>
        <v>1.1478398332120492E-3</v>
      </c>
      <c r="C24">
        <f t="shared" si="1"/>
        <v>1.1478398332120492E-3</v>
      </c>
      <c r="D24" t="s">
        <v>30</v>
      </c>
      <c r="E24" t="s">
        <v>21</v>
      </c>
      <c r="F24">
        <v>1</v>
      </c>
      <c r="G24">
        <f t="shared" si="6"/>
        <v>120</v>
      </c>
      <c r="I24">
        <v>2050</v>
      </c>
      <c r="J24">
        <f t="shared" si="7"/>
        <v>122.5</v>
      </c>
      <c r="K24" cm="1">
        <f t="array" ref="K24">STOWA2019_JAARROND_T(A24*60,J24,I24,"WH","center")</f>
        <v>228.26561684918371</v>
      </c>
      <c r="L24">
        <f t="shared" si="8"/>
        <v>4.3808612694425427E-3</v>
      </c>
    </row>
    <row r="25" spans="1:12" x14ac:dyDescent="0.3">
      <c r="A25">
        <v>24</v>
      </c>
      <c r="B25">
        <f t="shared" si="5"/>
        <v>8.8437414758393016E-4</v>
      </c>
      <c r="C25">
        <f t="shared" si="1"/>
        <v>8.8437414758393016E-4</v>
      </c>
      <c r="D25" t="s">
        <v>30</v>
      </c>
      <c r="E25" t="s">
        <v>21</v>
      </c>
      <c r="F25">
        <v>1</v>
      </c>
      <c r="G25">
        <f t="shared" si="6"/>
        <v>125</v>
      </c>
      <c r="I25">
        <v>2050</v>
      </c>
      <c r="J25">
        <f t="shared" si="7"/>
        <v>127.5</v>
      </c>
      <c r="K25" cm="1">
        <f t="array" ref="K25">STOWA2019_JAARROND_T(A25*60,J25,I25,"WH","center")</f>
        <v>286.00133938672548</v>
      </c>
      <c r="L25">
        <f t="shared" si="8"/>
        <v>3.4964871218586126E-3</v>
      </c>
    </row>
    <row r="26" spans="1:12" x14ac:dyDescent="0.3">
      <c r="A26">
        <v>24</v>
      </c>
      <c r="B26">
        <f t="shared" si="5"/>
        <v>6.8684071718301933E-4</v>
      </c>
      <c r="C26">
        <f t="shared" si="1"/>
        <v>6.8684071718301933E-4</v>
      </c>
      <c r="D26" t="s">
        <v>30</v>
      </c>
      <c r="E26" t="s">
        <v>21</v>
      </c>
      <c r="F26">
        <v>1</v>
      </c>
      <c r="G26">
        <f t="shared" si="6"/>
        <v>130</v>
      </c>
      <c r="I26">
        <v>2050</v>
      </c>
      <c r="J26">
        <f t="shared" si="7"/>
        <v>132.5</v>
      </c>
      <c r="K26" cm="1">
        <f t="array" ref="K26">STOWA2019_JAARROND_T(A26*60,J26,I26,"WH","center")</f>
        <v>355.91667276561151</v>
      </c>
      <c r="L26">
        <f t="shared" si="8"/>
        <v>2.8096464046755932E-3</v>
      </c>
    </row>
    <row r="27" spans="1:12" x14ac:dyDescent="0.3">
      <c r="A27">
        <v>24</v>
      </c>
      <c r="B27">
        <f t="shared" si="5"/>
        <v>5.3744669344423391E-4</v>
      </c>
      <c r="C27">
        <f t="shared" si="1"/>
        <v>5.3744669344423391E-4</v>
      </c>
      <c r="D27" t="s">
        <v>30</v>
      </c>
      <c r="E27" t="s">
        <v>21</v>
      </c>
      <c r="F27">
        <v>1</v>
      </c>
      <c r="G27">
        <f t="shared" si="6"/>
        <v>135</v>
      </c>
      <c r="I27">
        <v>2050</v>
      </c>
      <c r="J27">
        <f t="shared" si="7"/>
        <v>137.5</v>
      </c>
      <c r="K27" cm="1">
        <f t="array" ref="K27">STOWA2019_JAARROND_T(A27*60,J27,I27,"WH","center")</f>
        <v>440.10215961962081</v>
      </c>
      <c r="L27">
        <f t="shared" si="8"/>
        <v>2.2721997112313593E-3</v>
      </c>
    </row>
    <row r="28" spans="1:12" x14ac:dyDescent="0.3">
      <c r="A28">
        <v>24</v>
      </c>
      <c r="B28">
        <f t="shared" si="5"/>
        <v>4.2353184875822234E-4</v>
      </c>
      <c r="C28">
        <f t="shared" si="1"/>
        <v>4.2353184875822234E-4</v>
      </c>
      <c r="D28" t="s">
        <v>30</v>
      </c>
      <c r="E28" t="s">
        <v>21</v>
      </c>
      <c r="F28">
        <v>1</v>
      </c>
      <c r="G28">
        <f t="shared" si="6"/>
        <v>140</v>
      </c>
      <c r="I28">
        <v>2050</v>
      </c>
      <c r="J28">
        <f t="shared" si="7"/>
        <v>142.5</v>
      </c>
      <c r="K28" cm="1">
        <f t="array" ref="K28">STOWA2019_JAARROND_T(A28*60,J28,I28,"WH","center")</f>
        <v>540.93005038893568</v>
      </c>
      <c r="L28">
        <f t="shared" si="8"/>
        <v>1.848667862473137E-3</v>
      </c>
    </row>
    <row r="29" spans="1:12" x14ac:dyDescent="0.3">
      <c r="A29">
        <v>24</v>
      </c>
      <c r="B29">
        <f t="shared" si="5"/>
        <v>3.3599734380877766E-4</v>
      </c>
      <c r="C29">
        <f t="shared" si="1"/>
        <v>3.3599734380877766E-4</v>
      </c>
      <c r="D29" t="s">
        <v>30</v>
      </c>
      <c r="E29" t="s">
        <v>21</v>
      </c>
      <c r="F29">
        <v>1</v>
      </c>
      <c r="G29">
        <f t="shared" si="6"/>
        <v>145</v>
      </c>
      <c r="I29">
        <v>2050</v>
      </c>
      <c r="J29">
        <f t="shared" si="7"/>
        <v>147.5</v>
      </c>
      <c r="K29" cm="1">
        <f t="array" ref="K29">STOWA2019_JAARROND_T(A29*60,J29,I29,"WH","center")</f>
        <v>661.08249460891761</v>
      </c>
      <c r="L29">
        <f t="shared" si="8"/>
        <v>1.5126705186643593E-3</v>
      </c>
    </row>
    <row r="30" spans="1:12" x14ac:dyDescent="0.3">
      <c r="A30">
        <v>24</v>
      </c>
      <c r="B30">
        <f t="shared" si="5"/>
        <v>2.6823540249745477E-4</v>
      </c>
      <c r="C30">
        <f t="shared" si="1"/>
        <v>2.6823540249745477E-4</v>
      </c>
      <c r="D30" t="s">
        <v>30</v>
      </c>
      <c r="E30" t="s">
        <v>21</v>
      </c>
      <c r="F30">
        <v>1</v>
      </c>
      <c r="G30">
        <f t="shared" si="6"/>
        <v>150</v>
      </c>
      <c r="I30">
        <v>2050</v>
      </c>
      <c r="J30">
        <f t="shared" si="7"/>
        <v>152.5</v>
      </c>
      <c r="K30" cm="1">
        <f t="array" ref="K30">STOWA2019_JAARROND_T(A30*60,J30,I30,"WH","center")</f>
        <v>803.57745213763258</v>
      </c>
      <c r="L30">
        <f t="shared" si="8"/>
        <v>1.2444351161669046E-3</v>
      </c>
    </row>
    <row r="31" spans="1:12" x14ac:dyDescent="0.3">
      <c r="A31">
        <v>24</v>
      </c>
      <c r="B31">
        <f t="shared" si="5"/>
        <v>2.1543480312169894E-4</v>
      </c>
      <c r="C31">
        <f t="shared" si="1"/>
        <v>2.1543480312169894E-4</v>
      </c>
      <c r="D31" t="s">
        <v>30</v>
      </c>
      <c r="E31" t="s">
        <v>21</v>
      </c>
      <c r="F31">
        <v>1</v>
      </c>
      <c r="G31">
        <f t="shared" si="6"/>
        <v>155</v>
      </c>
      <c r="I31">
        <v>2050</v>
      </c>
      <c r="J31">
        <f t="shared" si="7"/>
        <v>157.5</v>
      </c>
      <c r="K31" cm="1">
        <f t="array" ref="K31">STOWA2019_JAARROND_T(A31*60,J31,I31,"WH","center")</f>
        <v>971.81700269907344</v>
      </c>
      <c r="L31">
        <f t="shared" si="8"/>
        <v>1.0290003130452056E-3</v>
      </c>
    </row>
    <row r="32" spans="1:12" x14ac:dyDescent="0.3">
      <c r="A32">
        <v>24</v>
      </c>
      <c r="B32" s="1">
        <f>L31</f>
        <v>1.0290003130452056E-3</v>
      </c>
      <c r="C32">
        <f t="shared" si="1"/>
        <v>1.0290003130452056E-3</v>
      </c>
      <c r="D32" t="s">
        <v>30</v>
      </c>
      <c r="E32" t="s">
        <v>21</v>
      </c>
      <c r="F32">
        <v>1</v>
      </c>
      <c r="G32">
        <f t="shared" si="6"/>
        <v>160</v>
      </c>
      <c r="I32">
        <v>2050</v>
      </c>
      <c r="J32">
        <f>AVERAGE(G32:G33)</f>
        <v>85</v>
      </c>
      <c r="K32" cm="1">
        <f t="array" ref="K32">STOWA2019_JAARROND_T(A32*60,J32,I32,"WH","center")</f>
        <v>32.164689112762524</v>
      </c>
      <c r="L32">
        <f>1/K32</f>
        <v>3.1089994263405245E-2</v>
      </c>
    </row>
    <row r="33" spans="1:12" x14ac:dyDescent="0.3">
      <c r="A33">
        <v>48</v>
      </c>
      <c r="B33" s="1">
        <f>365.25*24/A33 - L33</f>
        <v>152.06968220650947</v>
      </c>
      <c r="C33">
        <f>B33</f>
        <v>152.06968220650947</v>
      </c>
      <c r="D33" t="s">
        <v>30</v>
      </c>
      <c r="E33" t="s">
        <v>21</v>
      </c>
      <c r="F33">
        <v>1</v>
      </c>
      <c r="G33">
        <v>10</v>
      </c>
      <c r="I33">
        <v>2050</v>
      </c>
      <c r="J33">
        <f>AVERAGE(G33:G35)</f>
        <v>15</v>
      </c>
      <c r="K33" cm="1">
        <f t="array" ref="K33">STOWA2019_JAARROND_T(A33*60,J33,I33,"WH","center")</f>
        <v>3.2727527390110762E-2</v>
      </c>
      <c r="L33">
        <f>1/K33</f>
        <v>30.555317793490527</v>
      </c>
    </row>
    <row r="34" spans="1:12" x14ac:dyDescent="0.3">
      <c r="A34">
        <v>48</v>
      </c>
      <c r="B34">
        <f t="shared" ref="B34:B38" si="9">L33-L34</f>
        <v>7.8627027648084677</v>
      </c>
      <c r="C34">
        <f t="shared" ref="C34:C63" si="10">B34</f>
        <v>7.8627027648084677</v>
      </c>
      <c r="D34" t="s">
        <v>30</v>
      </c>
      <c r="E34" t="s">
        <v>21</v>
      </c>
      <c r="F34">
        <v>1</v>
      </c>
      <c r="G34">
        <f t="shared" ref="G34:G38" si="11">G33+5</f>
        <v>15</v>
      </c>
      <c r="I34">
        <v>2050</v>
      </c>
      <c r="J34">
        <f t="shared" ref="J34:J38" si="12">AVERAGE(G34:G35)</f>
        <v>17.5</v>
      </c>
      <c r="K34" cm="1">
        <f t="array" ref="K34">STOWA2019_JAARROND_T(A34*60,J34,I34,"WH","center")</f>
        <v>4.4067199780019266E-2</v>
      </c>
      <c r="L34">
        <f t="shared" ref="L34:L38" si="13">1/K34</f>
        <v>22.692615028682059</v>
      </c>
    </row>
    <row r="35" spans="1:12" x14ac:dyDescent="0.3">
      <c r="A35">
        <v>48</v>
      </c>
      <c r="B35">
        <f t="shared" si="9"/>
        <v>9.8296935872637654</v>
      </c>
      <c r="C35">
        <f t="shared" si="10"/>
        <v>9.8296935872637654</v>
      </c>
      <c r="D35" t="s">
        <v>30</v>
      </c>
      <c r="E35" t="s">
        <v>21</v>
      </c>
      <c r="F35">
        <v>1</v>
      </c>
      <c r="G35">
        <f t="shared" si="11"/>
        <v>20</v>
      </c>
      <c r="I35">
        <v>2050</v>
      </c>
      <c r="J35">
        <f t="shared" si="12"/>
        <v>22.5</v>
      </c>
      <c r="K35" cm="1">
        <f t="array" ref="K35">STOWA2019_JAARROND_T(A35*60,J35,I35,"WH","center")</f>
        <v>7.7742836614085528E-2</v>
      </c>
      <c r="L35">
        <f t="shared" si="13"/>
        <v>12.862921441418294</v>
      </c>
    </row>
    <row r="36" spans="1:12" x14ac:dyDescent="0.3">
      <c r="A36">
        <v>48</v>
      </c>
      <c r="B36">
        <f t="shared" si="9"/>
        <v>5.3362442011556173</v>
      </c>
      <c r="C36">
        <f t="shared" si="10"/>
        <v>5.3362442011556173</v>
      </c>
      <c r="D36" t="s">
        <v>30</v>
      </c>
      <c r="E36" t="s">
        <v>21</v>
      </c>
      <c r="F36">
        <v>1</v>
      </c>
      <c r="G36">
        <f t="shared" si="11"/>
        <v>25</v>
      </c>
      <c r="I36">
        <v>2050</v>
      </c>
      <c r="J36">
        <f t="shared" si="12"/>
        <v>27.5</v>
      </c>
      <c r="K36" cm="1">
        <f t="array" ref="K36">STOWA2019_JAARROND_T(A36*60,J36,I36,"WH","center")</f>
        <v>0.13286075223880606</v>
      </c>
      <c r="L36">
        <f t="shared" si="13"/>
        <v>7.5266772402626767</v>
      </c>
    </row>
    <row r="37" spans="1:12" x14ac:dyDescent="0.3">
      <c r="A37">
        <v>48</v>
      </c>
      <c r="B37">
        <f t="shared" si="9"/>
        <v>2.9975250969432565</v>
      </c>
      <c r="C37">
        <f t="shared" si="10"/>
        <v>2.9975250969432565</v>
      </c>
      <c r="D37" t="s">
        <v>30</v>
      </c>
      <c r="E37" t="s">
        <v>21</v>
      </c>
      <c r="F37">
        <v>1</v>
      </c>
      <c r="G37">
        <f t="shared" si="11"/>
        <v>30</v>
      </c>
      <c r="I37">
        <v>2050</v>
      </c>
      <c r="J37">
        <f t="shared" si="12"/>
        <v>32.5</v>
      </c>
      <c r="K37" cm="1">
        <f t="array" ref="K37">STOWA2019_JAARROND_T(A37*60,J37,I37,"WH","center")</f>
        <v>0.22079187635041533</v>
      </c>
      <c r="L37">
        <f t="shared" si="13"/>
        <v>4.5291521433194202</v>
      </c>
    </row>
    <row r="38" spans="1:12" x14ac:dyDescent="0.3">
      <c r="A38">
        <v>48</v>
      </c>
      <c r="B38">
        <f t="shared" si="9"/>
        <v>1.7347524924141404</v>
      </c>
      <c r="C38">
        <f t="shared" si="10"/>
        <v>1.7347524924141404</v>
      </c>
      <c r="D38" t="s">
        <v>30</v>
      </c>
      <c r="E38" t="s">
        <v>21</v>
      </c>
      <c r="F38">
        <v>1</v>
      </c>
      <c r="G38">
        <f t="shared" si="11"/>
        <v>35</v>
      </c>
      <c r="I38">
        <v>2050</v>
      </c>
      <c r="J38">
        <f t="shared" si="12"/>
        <v>37.5</v>
      </c>
      <c r="K38" cm="1">
        <f t="array" ref="K38">STOWA2019_JAARROND_T(A38*60,J38,I38,"WH","center")</f>
        <v>0.35785861899747873</v>
      </c>
      <c r="L38">
        <f t="shared" si="13"/>
        <v>2.7943996509052798</v>
      </c>
    </row>
    <row r="39" spans="1:12" x14ac:dyDescent="0.3">
      <c r="A39">
        <v>48</v>
      </c>
      <c r="B39">
        <f>L38-L39</f>
        <v>1.0309329590668441</v>
      </c>
      <c r="C39">
        <f t="shared" si="10"/>
        <v>1.0309329590668441</v>
      </c>
      <c r="D39" t="s">
        <v>30</v>
      </c>
      <c r="E39" t="s">
        <v>21</v>
      </c>
      <c r="F39">
        <v>1</v>
      </c>
      <c r="G39">
        <f>G38+5</f>
        <v>40</v>
      </c>
      <c r="I39">
        <v>2050</v>
      </c>
      <c r="J39">
        <f>AVERAGE(G39:G40)</f>
        <v>42.5</v>
      </c>
      <c r="K39" cm="1">
        <f t="array" ref="K39">STOWA2019_JAARROND_T(A39*60,J39,I39,"WH","center")</f>
        <v>0.56706486412708357</v>
      </c>
      <c r="L39">
        <f>1/K39</f>
        <v>1.7634666918384356</v>
      </c>
    </row>
    <row r="40" spans="1:12" x14ac:dyDescent="0.3">
      <c r="A40">
        <v>48</v>
      </c>
      <c r="B40">
        <f t="shared" ref="B40:B62" si="14">L39-L40</f>
        <v>0.62752494330522324</v>
      </c>
      <c r="C40">
        <f t="shared" si="10"/>
        <v>0.62752494330522324</v>
      </c>
      <c r="D40" t="s">
        <v>30</v>
      </c>
      <c r="E40" t="s">
        <v>21</v>
      </c>
      <c r="F40">
        <v>1</v>
      </c>
      <c r="G40">
        <f t="shared" ref="G40:G63" si="15">G39+5</f>
        <v>45</v>
      </c>
      <c r="I40">
        <v>2050</v>
      </c>
      <c r="J40">
        <f t="shared" ref="J40:J62" si="16">AVERAGE(G40:G41)</f>
        <v>47.5</v>
      </c>
      <c r="K40" cm="1">
        <f t="array" ref="K40">STOWA2019_JAARROND_T(A40*60,J40,I40,"WH","center")</f>
        <v>0.88032683127568168</v>
      </c>
      <c r="L40">
        <f t="shared" ref="L40:L62" si="17">1/K40</f>
        <v>1.1359417485332124</v>
      </c>
    </row>
    <row r="41" spans="1:12" x14ac:dyDescent="0.3">
      <c r="A41">
        <v>48</v>
      </c>
      <c r="B41">
        <f t="shared" si="14"/>
        <v>0.39030186789006038</v>
      </c>
      <c r="C41">
        <f t="shared" si="10"/>
        <v>0.39030186789006038</v>
      </c>
      <c r="D41" t="s">
        <v>30</v>
      </c>
      <c r="E41" t="s">
        <v>21</v>
      </c>
      <c r="F41">
        <v>1</v>
      </c>
      <c r="G41">
        <f t="shared" si="15"/>
        <v>50</v>
      </c>
      <c r="I41">
        <v>2050</v>
      </c>
      <c r="J41">
        <f t="shared" si="16"/>
        <v>52.5</v>
      </c>
      <c r="K41" cm="1">
        <f t="array" ref="K41">STOWA2019_JAARROND_T(A41*60,J41,I41,"WH","center")</f>
        <v>1.3411299823950531</v>
      </c>
      <c r="L41">
        <f t="shared" si="17"/>
        <v>0.74563988064315201</v>
      </c>
    </row>
    <row r="42" spans="1:12" x14ac:dyDescent="0.3">
      <c r="A42">
        <v>48</v>
      </c>
      <c r="B42">
        <f t="shared" si="14"/>
        <v>0.24775329237962346</v>
      </c>
      <c r="C42">
        <f t="shared" si="10"/>
        <v>0.24775329237962346</v>
      </c>
      <c r="D42" t="s">
        <v>30</v>
      </c>
      <c r="E42" t="s">
        <v>21</v>
      </c>
      <c r="F42">
        <v>1</v>
      </c>
      <c r="G42">
        <f t="shared" si="15"/>
        <v>55</v>
      </c>
      <c r="I42">
        <v>2050</v>
      </c>
      <c r="J42">
        <f t="shared" si="16"/>
        <v>57.5</v>
      </c>
      <c r="K42" cm="1">
        <f t="array" ref="K42">STOWA2019_JAARROND_T(A42*60,J42,I42,"WH","center")</f>
        <v>2.0084895306934953</v>
      </c>
      <c r="L42">
        <f t="shared" si="17"/>
        <v>0.49788658826352855</v>
      </c>
    </row>
    <row r="43" spans="1:12" x14ac:dyDescent="0.3">
      <c r="A43">
        <v>48</v>
      </c>
      <c r="B43">
        <f t="shared" si="14"/>
        <v>0.16012670435438087</v>
      </c>
      <c r="C43">
        <f t="shared" si="10"/>
        <v>0.16012670435438087</v>
      </c>
      <c r="D43" t="s">
        <v>30</v>
      </c>
      <c r="E43" t="s">
        <v>21</v>
      </c>
      <c r="F43">
        <v>1</v>
      </c>
      <c r="G43">
        <f t="shared" si="15"/>
        <v>60</v>
      </c>
      <c r="I43">
        <v>2050</v>
      </c>
      <c r="J43">
        <f t="shared" si="16"/>
        <v>62.5</v>
      </c>
      <c r="K43" cm="1">
        <f t="array" ref="K43">STOWA2019_JAARROND_T(A43*60,J43,I43,"WH","center")</f>
        <v>2.9606831587761469</v>
      </c>
      <c r="L43">
        <f t="shared" si="17"/>
        <v>0.33775988390914768</v>
      </c>
    </row>
    <row r="44" spans="1:12" x14ac:dyDescent="0.3">
      <c r="A44">
        <v>48</v>
      </c>
      <c r="B44">
        <f t="shared" si="14"/>
        <v>0.10524781194322833</v>
      </c>
      <c r="C44">
        <f t="shared" si="10"/>
        <v>0.10524781194322833</v>
      </c>
      <c r="D44" t="s">
        <v>30</v>
      </c>
      <c r="E44" t="s">
        <v>21</v>
      </c>
      <c r="F44">
        <v>1</v>
      </c>
      <c r="G44">
        <f t="shared" si="15"/>
        <v>65</v>
      </c>
      <c r="I44">
        <v>2050</v>
      </c>
      <c r="J44">
        <f t="shared" si="16"/>
        <v>67.5</v>
      </c>
      <c r="K44" cm="1">
        <f t="array" ref="K44">STOWA2019_JAARROND_T(A44*60,J44,I44,"WH","center")</f>
        <v>4.3008519581149995</v>
      </c>
      <c r="L44">
        <f t="shared" si="17"/>
        <v>0.23251207196591936</v>
      </c>
    </row>
    <row r="45" spans="1:12" x14ac:dyDescent="0.3">
      <c r="A45">
        <v>48</v>
      </c>
      <c r="B45">
        <f t="shared" si="14"/>
        <v>7.0265715377501953E-2</v>
      </c>
      <c r="C45">
        <f t="shared" si="10"/>
        <v>7.0265715377501953E-2</v>
      </c>
      <c r="D45" t="s">
        <v>30</v>
      </c>
      <c r="E45" t="s">
        <v>21</v>
      </c>
      <c r="F45">
        <v>1</v>
      </c>
      <c r="G45">
        <f t="shared" si="15"/>
        <v>70</v>
      </c>
      <c r="I45">
        <v>2050</v>
      </c>
      <c r="J45">
        <f t="shared" si="16"/>
        <v>72.5</v>
      </c>
      <c r="K45" cm="1">
        <f t="array" ref="K45">STOWA2019_JAARROND_T(A45*60,J45,I45,"WH","center")</f>
        <v>6.1634666012055703</v>
      </c>
      <c r="L45">
        <f t="shared" si="17"/>
        <v>0.16224635658841741</v>
      </c>
    </row>
    <row r="46" spans="1:12" x14ac:dyDescent="0.3">
      <c r="A46">
        <v>48</v>
      </c>
      <c r="B46">
        <f t="shared" si="14"/>
        <v>4.7592915087558141E-2</v>
      </c>
      <c r="C46">
        <f t="shared" si="10"/>
        <v>4.7592915087558141E-2</v>
      </c>
      <c r="D46" t="s">
        <v>30</v>
      </c>
      <c r="E46" t="s">
        <v>21</v>
      </c>
      <c r="F46">
        <v>1</v>
      </c>
      <c r="G46">
        <f t="shared" si="15"/>
        <v>75</v>
      </c>
      <c r="I46">
        <v>2050</v>
      </c>
      <c r="J46">
        <f t="shared" si="16"/>
        <v>77.5</v>
      </c>
      <c r="K46" cm="1">
        <f t="array" ref="K46">STOWA2019_JAARROND_T(A46*60,J46,I46,"WH","center")</f>
        <v>8.7219361835946767</v>
      </c>
      <c r="L46">
        <f t="shared" si="17"/>
        <v>0.11465344150085927</v>
      </c>
    </row>
    <row r="47" spans="1:12" x14ac:dyDescent="0.3">
      <c r="A47">
        <v>48</v>
      </c>
      <c r="B47">
        <f t="shared" si="14"/>
        <v>3.2674763458216946E-2</v>
      </c>
      <c r="C47">
        <f t="shared" si="10"/>
        <v>3.2674763458216946E-2</v>
      </c>
      <c r="D47" t="s">
        <v>30</v>
      </c>
      <c r="E47" t="s">
        <v>21</v>
      </c>
      <c r="F47">
        <v>1</v>
      </c>
      <c r="G47">
        <f t="shared" si="15"/>
        <v>80</v>
      </c>
      <c r="I47">
        <v>2050</v>
      </c>
      <c r="J47">
        <f t="shared" si="16"/>
        <v>82.5</v>
      </c>
      <c r="K47" cm="1">
        <f t="array" ref="K47">STOWA2019_JAARROND_T(A47*60,J47,I47,"WH","center")</f>
        <v>12.198293798783098</v>
      </c>
      <c r="L47">
        <f t="shared" si="17"/>
        <v>8.197867804264232E-2</v>
      </c>
    </row>
    <row r="48" spans="1:12" x14ac:dyDescent="0.3">
      <c r="A48">
        <v>48</v>
      </c>
      <c r="B48">
        <f t="shared" si="14"/>
        <v>2.2714760381723709E-2</v>
      </c>
      <c r="C48">
        <f t="shared" si="10"/>
        <v>2.2714760381723709E-2</v>
      </c>
      <c r="D48" t="s">
        <v>30</v>
      </c>
      <c r="E48" t="s">
        <v>21</v>
      </c>
      <c r="F48">
        <v>1</v>
      </c>
      <c r="G48">
        <f t="shared" si="15"/>
        <v>85</v>
      </c>
      <c r="I48">
        <v>2050</v>
      </c>
      <c r="J48">
        <f t="shared" si="16"/>
        <v>87.5</v>
      </c>
      <c r="K48" cm="1">
        <f t="array" ref="K48">STOWA2019_JAARROND_T(A48*60,J48,I48,"WH","center")</f>
        <v>16.873673551612782</v>
      </c>
      <c r="L48">
        <f t="shared" si="17"/>
        <v>5.9263917660918611E-2</v>
      </c>
    </row>
    <row r="49" spans="1:12" x14ac:dyDescent="0.3">
      <c r="A49">
        <v>48</v>
      </c>
      <c r="B49">
        <f t="shared" si="14"/>
        <v>1.5977864846006627E-2</v>
      </c>
      <c r="C49">
        <f t="shared" si="10"/>
        <v>1.5977864846006627E-2</v>
      </c>
      <c r="D49" t="s">
        <v>30</v>
      </c>
      <c r="E49" t="s">
        <v>21</v>
      </c>
      <c r="F49">
        <v>1</v>
      </c>
      <c r="G49">
        <f t="shared" si="15"/>
        <v>90</v>
      </c>
      <c r="I49">
        <v>2050</v>
      </c>
      <c r="J49">
        <f t="shared" si="16"/>
        <v>92.5</v>
      </c>
      <c r="K49" cm="1">
        <f t="array" ref="K49">STOWA2019_JAARROND_T(A49*60,J49,I49,"WH","center")</f>
        <v>23.102129553737029</v>
      </c>
      <c r="L49">
        <f t="shared" si="17"/>
        <v>4.3286052814911984E-2</v>
      </c>
    </row>
    <row r="50" spans="1:12" x14ac:dyDescent="0.3">
      <c r="A50">
        <v>48</v>
      </c>
      <c r="B50">
        <f t="shared" si="14"/>
        <v>1.1363409664176753E-2</v>
      </c>
      <c r="C50">
        <f t="shared" si="10"/>
        <v>1.1363409664176753E-2</v>
      </c>
      <c r="D50" t="s">
        <v>30</v>
      </c>
      <c r="E50" t="s">
        <v>21</v>
      </c>
      <c r="F50">
        <v>1</v>
      </c>
      <c r="G50">
        <f t="shared" si="15"/>
        <v>95</v>
      </c>
      <c r="I50">
        <v>2050</v>
      </c>
      <c r="J50">
        <f t="shared" si="16"/>
        <v>97.5</v>
      </c>
      <c r="K50" cm="1">
        <f t="array" ref="K50">STOWA2019_JAARROND_T(A50*60,J50,I50,"WH","center")</f>
        <v>31.325726860338897</v>
      </c>
      <c r="L50">
        <f t="shared" si="17"/>
        <v>3.192264315073523E-2</v>
      </c>
    </row>
    <row r="51" spans="1:12" x14ac:dyDescent="0.3">
      <c r="A51">
        <v>48</v>
      </c>
      <c r="B51">
        <f t="shared" si="14"/>
        <v>8.1655840571412362E-3</v>
      </c>
      <c r="C51">
        <f t="shared" si="10"/>
        <v>8.1655840571412362E-3</v>
      </c>
      <c r="D51" t="s">
        <v>30</v>
      </c>
      <c r="E51" t="s">
        <v>21</v>
      </c>
      <c r="F51">
        <v>1</v>
      </c>
      <c r="G51">
        <f t="shared" si="15"/>
        <v>100</v>
      </c>
      <c r="I51">
        <v>2050</v>
      </c>
      <c r="J51">
        <f t="shared" si="16"/>
        <v>102.5</v>
      </c>
      <c r="K51" cm="1">
        <f t="array" ref="K51">STOWA2019_JAARROND_T(A51*60,J51,I51,"WH","center")</f>
        <v>42.092752139916442</v>
      </c>
      <c r="L51">
        <f t="shared" si="17"/>
        <v>2.3757059093593994E-2</v>
      </c>
    </row>
    <row r="52" spans="1:12" x14ac:dyDescent="0.3">
      <c r="A52">
        <v>48</v>
      </c>
      <c r="B52">
        <f t="shared" si="14"/>
        <v>5.9250186546903408E-3</v>
      </c>
      <c r="C52">
        <f t="shared" si="10"/>
        <v>5.9250186546903408E-3</v>
      </c>
      <c r="D52" t="s">
        <v>30</v>
      </c>
      <c r="E52" t="s">
        <v>21</v>
      </c>
      <c r="F52">
        <v>1</v>
      </c>
      <c r="G52">
        <f t="shared" si="15"/>
        <v>105</v>
      </c>
      <c r="I52">
        <v>2050</v>
      </c>
      <c r="J52">
        <f t="shared" si="16"/>
        <v>107.5</v>
      </c>
      <c r="K52" cm="1">
        <f t="array" ref="K52">STOWA2019_JAARROND_T(A52*60,J52,I52,"WH","center")</f>
        <v>56.078832000533637</v>
      </c>
      <c r="L52">
        <f t="shared" si="17"/>
        <v>1.7832040438903653E-2</v>
      </c>
    </row>
    <row r="53" spans="1:12" x14ac:dyDescent="0.3">
      <c r="A53">
        <v>48</v>
      </c>
      <c r="B53">
        <f t="shared" si="14"/>
        <v>4.3387462548147206E-3</v>
      </c>
      <c r="C53">
        <f t="shared" si="10"/>
        <v>4.3387462548147206E-3</v>
      </c>
      <c r="D53" t="s">
        <v>30</v>
      </c>
      <c r="E53" t="s">
        <v>21</v>
      </c>
      <c r="F53">
        <v>1</v>
      </c>
      <c r="G53">
        <f t="shared" si="15"/>
        <v>110</v>
      </c>
      <c r="I53">
        <v>2050</v>
      </c>
      <c r="J53">
        <f t="shared" si="16"/>
        <v>112.5</v>
      </c>
      <c r="K53" cm="1">
        <f t="array" ref="K53">STOWA2019_JAARROND_T(A53*60,J53,I53,"WH","center")</f>
        <v>74.110886960367566</v>
      </c>
      <c r="L53">
        <f t="shared" si="17"/>
        <v>1.3493294184088933E-2</v>
      </c>
    </row>
    <row r="54" spans="1:12" x14ac:dyDescent="0.3">
      <c r="A54">
        <v>48</v>
      </c>
      <c r="B54">
        <f t="shared" si="14"/>
        <v>3.2049634478614024E-3</v>
      </c>
      <c r="C54">
        <f t="shared" si="10"/>
        <v>3.2049634478614024E-3</v>
      </c>
      <c r="D54" t="s">
        <v>30</v>
      </c>
      <c r="E54" t="s">
        <v>21</v>
      </c>
      <c r="F54">
        <v>1</v>
      </c>
      <c r="G54">
        <f t="shared" si="15"/>
        <v>115</v>
      </c>
      <c r="I54">
        <v>2050</v>
      </c>
      <c r="J54">
        <f t="shared" si="16"/>
        <v>117.5</v>
      </c>
      <c r="K54" cm="1">
        <f t="array" ref="K54">STOWA2019_JAARROND_T(A54*60,J54,I54,"WH","center")</f>
        <v>97.1974974014759</v>
      </c>
      <c r="L54">
        <f t="shared" si="17"/>
        <v>1.028833073622753E-2</v>
      </c>
    </row>
    <row r="55" spans="1:12" x14ac:dyDescent="0.3">
      <c r="A55">
        <v>48</v>
      </c>
      <c r="B55">
        <f t="shared" si="14"/>
        <v>2.3868447531073533E-3</v>
      </c>
      <c r="C55">
        <f t="shared" si="10"/>
        <v>2.3868447531073533E-3</v>
      </c>
      <c r="D55" t="s">
        <v>30</v>
      </c>
      <c r="E55" t="s">
        <v>21</v>
      </c>
      <c r="F55">
        <v>1</v>
      </c>
      <c r="G55">
        <f t="shared" si="15"/>
        <v>120</v>
      </c>
      <c r="I55">
        <v>2050</v>
      </c>
      <c r="J55">
        <f t="shared" si="16"/>
        <v>122.5</v>
      </c>
      <c r="K55" cm="1">
        <f t="array" ref="K55">STOWA2019_JAARROND_T(A55*60,J55,I55,"WH","center")</f>
        <v>126.55847294246736</v>
      </c>
      <c r="L55">
        <f t="shared" si="17"/>
        <v>7.901485983120177E-3</v>
      </c>
    </row>
    <row r="56" spans="1:12" x14ac:dyDescent="0.3">
      <c r="A56">
        <v>48</v>
      </c>
      <c r="B56">
        <f t="shared" si="14"/>
        <v>1.791370686341753E-3</v>
      </c>
      <c r="C56">
        <f t="shared" si="10"/>
        <v>1.791370686341753E-3</v>
      </c>
      <c r="D56" t="s">
        <v>30</v>
      </c>
      <c r="E56" t="s">
        <v>21</v>
      </c>
      <c r="F56">
        <v>1</v>
      </c>
      <c r="G56">
        <f t="shared" si="15"/>
        <v>125</v>
      </c>
      <c r="I56">
        <v>2050</v>
      </c>
      <c r="J56">
        <f t="shared" si="16"/>
        <v>127.5</v>
      </c>
      <c r="K56" cm="1">
        <f t="array" ref="K56">STOWA2019_JAARROND_T(A56*60,J56,I56,"WH","center")</f>
        <v>163.66303276261462</v>
      </c>
      <c r="L56">
        <f t="shared" si="17"/>
        <v>6.110115296778424E-3</v>
      </c>
    </row>
    <row r="57" spans="1:12" x14ac:dyDescent="0.3">
      <c r="A57">
        <v>48</v>
      </c>
      <c r="B57">
        <f t="shared" si="14"/>
        <v>1.354426053516748E-3</v>
      </c>
      <c r="C57">
        <f t="shared" si="10"/>
        <v>1.354426053516748E-3</v>
      </c>
      <c r="D57" t="s">
        <v>30</v>
      </c>
      <c r="E57" t="s">
        <v>21</v>
      </c>
      <c r="F57">
        <v>1</v>
      </c>
      <c r="G57">
        <f t="shared" si="15"/>
        <v>130</v>
      </c>
      <c r="I57">
        <v>2050</v>
      </c>
      <c r="J57">
        <f t="shared" si="16"/>
        <v>132.5</v>
      </c>
      <c r="K57" cm="1">
        <f t="array" ref="K57">STOWA2019_JAARROND_T(A57*60,J57,I57,"WH","center")</f>
        <v>210.27446261693771</v>
      </c>
      <c r="L57">
        <f t="shared" si="17"/>
        <v>4.755689243261676E-3</v>
      </c>
    </row>
    <row r="58" spans="1:12" x14ac:dyDescent="0.3">
      <c r="A58">
        <v>48</v>
      </c>
      <c r="B58">
        <f t="shared" si="14"/>
        <v>1.0312676886374732E-3</v>
      </c>
      <c r="C58">
        <f t="shared" si="10"/>
        <v>1.0312676886374732E-3</v>
      </c>
      <c r="D58" t="s">
        <v>30</v>
      </c>
      <c r="E58" t="s">
        <v>21</v>
      </c>
      <c r="F58">
        <v>1</v>
      </c>
      <c r="G58">
        <f t="shared" si="15"/>
        <v>135</v>
      </c>
      <c r="I58">
        <v>2050</v>
      </c>
      <c r="J58">
        <f t="shared" si="16"/>
        <v>137.5</v>
      </c>
      <c r="K58" cm="1">
        <f t="array" ref="K58">STOWA2019_JAARROND_T(A58*60,J58,I58,"WH","center")</f>
        <v>268.49807019251364</v>
      </c>
      <c r="L58">
        <f t="shared" si="17"/>
        <v>3.7244215546242028E-3</v>
      </c>
    </row>
    <row r="59" spans="1:12" x14ac:dyDescent="0.3">
      <c r="A59">
        <v>48</v>
      </c>
      <c r="B59">
        <f t="shared" si="14"/>
        <v>7.9041020162702634E-4</v>
      </c>
      <c r="C59">
        <f t="shared" si="10"/>
        <v>7.9041020162702634E-4</v>
      </c>
      <c r="D59" t="s">
        <v>30</v>
      </c>
      <c r="E59" t="s">
        <v>21</v>
      </c>
      <c r="F59">
        <v>1</v>
      </c>
      <c r="G59">
        <f t="shared" si="15"/>
        <v>140</v>
      </c>
      <c r="I59">
        <v>2050</v>
      </c>
      <c r="J59">
        <f t="shared" si="16"/>
        <v>142.5</v>
      </c>
      <c r="K59" cm="1">
        <f t="array" ref="K59">STOWA2019_JAARROND_T(A59*60,J59,I59,"WH","center")</f>
        <v>340.83031034575629</v>
      </c>
      <c r="L59">
        <f t="shared" si="17"/>
        <v>2.9340113529971765E-3</v>
      </c>
    </row>
    <row r="60" spans="1:12" x14ac:dyDescent="0.3">
      <c r="A60">
        <v>48</v>
      </c>
      <c r="B60">
        <f t="shared" si="14"/>
        <v>6.0967232523307952E-4</v>
      </c>
      <c r="C60">
        <f t="shared" si="10"/>
        <v>6.0967232523307952E-4</v>
      </c>
      <c r="D60" t="s">
        <v>30</v>
      </c>
      <c r="E60" t="s">
        <v>21</v>
      </c>
      <c r="F60">
        <v>1</v>
      </c>
      <c r="G60">
        <f t="shared" si="15"/>
        <v>145</v>
      </c>
      <c r="I60">
        <v>2050</v>
      </c>
      <c r="J60">
        <f t="shared" si="16"/>
        <v>147.5</v>
      </c>
      <c r="K60" cm="1">
        <f t="array" ref="K60">STOWA2019_JAARROND_T(A60*60,J60,I60,"WH","center")</f>
        <v>430.22983654925429</v>
      </c>
      <c r="L60">
        <f t="shared" si="17"/>
        <v>2.3243390277640969E-3</v>
      </c>
    </row>
    <row r="61" spans="1:12" x14ac:dyDescent="0.3">
      <c r="A61">
        <v>48</v>
      </c>
      <c r="B61">
        <f t="shared" si="14"/>
        <v>4.731104901914817E-4</v>
      </c>
      <c r="C61">
        <f t="shared" si="10"/>
        <v>4.731104901914817E-4</v>
      </c>
      <c r="D61" t="s">
        <v>30</v>
      </c>
      <c r="E61" t="s">
        <v>21</v>
      </c>
      <c r="F61">
        <v>1</v>
      </c>
      <c r="G61">
        <f t="shared" si="15"/>
        <v>150</v>
      </c>
      <c r="I61">
        <v>2050</v>
      </c>
      <c r="J61">
        <f t="shared" si="16"/>
        <v>152.5</v>
      </c>
      <c r="K61" cm="1">
        <f t="array" ref="K61">STOWA2019_JAARROND_T(A61*60,J61,I61,"WH","center")</f>
        <v>540.18181964244627</v>
      </c>
      <c r="L61">
        <f t="shared" si="17"/>
        <v>1.8512285375726152E-3</v>
      </c>
    </row>
    <row r="62" spans="1:12" x14ac:dyDescent="0.3">
      <c r="A62">
        <v>48</v>
      </c>
      <c r="B62">
        <f t="shared" si="14"/>
        <v>3.6926758134215405E-4</v>
      </c>
      <c r="C62">
        <f t="shared" si="10"/>
        <v>3.6926758134215405E-4</v>
      </c>
      <c r="D62" t="s">
        <v>30</v>
      </c>
      <c r="E62" t="s">
        <v>21</v>
      </c>
      <c r="F62">
        <v>1</v>
      </c>
      <c r="G62">
        <f t="shared" si="15"/>
        <v>155</v>
      </c>
      <c r="I62">
        <v>2050</v>
      </c>
      <c r="J62">
        <f t="shared" si="16"/>
        <v>157.5</v>
      </c>
      <c r="K62" cm="1">
        <f t="array" ref="K62">STOWA2019_JAARROND_T(A62*60,J62,I62,"WH","center")</f>
        <v>674.78160999842771</v>
      </c>
      <c r="L62">
        <f t="shared" si="17"/>
        <v>1.4819609562304612E-3</v>
      </c>
    </row>
    <row r="63" spans="1:12" x14ac:dyDescent="0.3">
      <c r="A63">
        <v>48</v>
      </c>
      <c r="B63" s="1">
        <f>L62</f>
        <v>1.4819609562304612E-3</v>
      </c>
      <c r="C63">
        <f t="shared" si="10"/>
        <v>1.4819609562304612E-3</v>
      </c>
      <c r="D63" t="s">
        <v>30</v>
      </c>
      <c r="E63" t="s">
        <v>21</v>
      </c>
      <c r="F63">
        <v>1</v>
      </c>
      <c r="G63">
        <f t="shared" si="15"/>
        <v>160</v>
      </c>
      <c r="I63">
        <v>2050</v>
      </c>
      <c r="J63">
        <f>AVERAGE(G63:G64)</f>
        <v>85</v>
      </c>
      <c r="K63" cm="1">
        <f t="array" ref="K63">STOWA2019_JAARROND_T(A63*60,J63,I63,"WH","center")</f>
        <v>14.365843361709736</v>
      </c>
      <c r="L63">
        <f>1/K63</f>
        <v>6.9609557533208827E-2</v>
      </c>
    </row>
    <row r="64" spans="1:12" x14ac:dyDescent="0.3">
      <c r="A64">
        <v>96</v>
      </c>
      <c r="B64" s="1">
        <f>365.25*24/A64 - L64</f>
        <v>38.248658109041259</v>
      </c>
      <c r="C64">
        <f>B64</f>
        <v>38.248658109041259</v>
      </c>
      <c r="D64" t="s">
        <v>30</v>
      </c>
      <c r="E64" t="s">
        <v>21</v>
      </c>
      <c r="F64">
        <v>1</v>
      </c>
      <c r="G64">
        <v>10</v>
      </c>
      <c r="I64">
        <v>2050</v>
      </c>
      <c r="J64">
        <f>AVERAGE(G64:G66)</f>
        <v>15</v>
      </c>
      <c r="K64" cm="1">
        <f t="array" ref="K64">STOWA2019_JAARROND_T(A64*60,J64,I64,"WH","center")</f>
        <v>1.8845224249968689E-2</v>
      </c>
      <c r="L64">
        <f>1/K64</f>
        <v>53.063841890958741</v>
      </c>
    </row>
    <row r="65" spans="1:12" x14ac:dyDescent="0.3">
      <c r="A65">
        <v>96</v>
      </c>
      <c r="B65">
        <f t="shared" ref="B65:B69" si="18">L64-L65</f>
        <v>11.646892132791315</v>
      </c>
      <c r="C65">
        <f t="shared" ref="C65:C94" si="19">B65</f>
        <v>11.646892132791315</v>
      </c>
      <c r="D65" t="s">
        <v>30</v>
      </c>
      <c r="E65" t="s">
        <v>21</v>
      </c>
      <c r="F65">
        <v>1</v>
      </c>
      <c r="G65">
        <f t="shared" ref="G65:G69" si="20">G64+5</f>
        <v>15</v>
      </c>
      <c r="I65">
        <v>2050</v>
      </c>
      <c r="J65">
        <f t="shared" ref="J65:J69" si="21">AVERAGE(G65:G66)</f>
        <v>17.5</v>
      </c>
      <c r="K65" cm="1">
        <f t="array" ref="K65">STOWA2019_JAARROND_T(A65*60,J65,I65,"WH","center")</f>
        <v>2.4144704181234395E-2</v>
      </c>
      <c r="L65">
        <f t="shared" ref="L65:L69" si="22">1/K65</f>
        <v>41.416949758167426</v>
      </c>
    </row>
    <row r="66" spans="1:12" x14ac:dyDescent="0.3">
      <c r="A66">
        <v>96</v>
      </c>
      <c r="B66">
        <f t="shared" si="18"/>
        <v>15.289173470233575</v>
      </c>
      <c r="C66">
        <f t="shared" si="19"/>
        <v>15.289173470233575</v>
      </c>
      <c r="D66" t="s">
        <v>30</v>
      </c>
      <c r="E66" t="s">
        <v>21</v>
      </c>
      <c r="F66">
        <v>1</v>
      </c>
      <c r="G66">
        <f t="shared" si="20"/>
        <v>20</v>
      </c>
      <c r="I66">
        <v>2050</v>
      </c>
      <c r="J66">
        <f t="shared" si="21"/>
        <v>22.5</v>
      </c>
      <c r="K66" cm="1">
        <f t="array" ref="K66">STOWA2019_JAARROND_T(A66*60,J66,I66,"WH","center")</f>
        <v>3.8273444665928691E-2</v>
      </c>
      <c r="L66">
        <f t="shared" si="22"/>
        <v>26.127776287933852</v>
      </c>
    </row>
    <row r="67" spans="1:12" x14ac:dyDescent="0.3">
      <c r="A67">
        <v>96</v>
      </c>
      <c r="B67">
        <f t="shared" si="18"/>
        <v>9.2838239821896025</v>
      </c>
      <c r="C67">
        <f t="shared" si="19"/>
        <v>9.2838239821896025</v>
      </c>
      <c r="D67" t="s">
        <v>30</v>
      </c>
      <c r="E67" t="s">
        <v>21</v>
      </c>
      <c r="F67">
        <v>1</v>
      </c>
      <c r="G67">
        <f t="shared" si="20"/>
        <v>25</v>
      </c>
      <c r="I67">
        <v>2050</v>
      </c>
      <c r="J67">
        <f t="shared" si="21"/>
        <v>27.5</v>
      </c>
      <c r="K67" cm="1">
        <f t="array" ref="K67">STOWA2019_JAARROND_T(A67*60,J67,I67,"WH","center")</f>
        <v>5.936848916741308E-2</v>
      </c>
      <c r="L67">
        <f t="shared" si="22"/>
        <v>16.843952305744249</v>
      </c>
    </row>
    <row r="68" spans="1:12" x14ac:dyDescent="0.3">
      <c r="A68">
        <v>96</v>
      </c>
      <c r="B68">
        <f t="shared" si="18"/>
        <v>5.8325229655607274</v>
      </c>
      <c r="C68">
        <f t="shared" si="19"/>
        <v>5.8325229655607274</v>
      </c>
      <c r="D68" t="s">
        <v>30</v>
      </c>
      <c r="E68" t="s">
        <v>21</v>
      </c>
      <c r="F68">
        <v>1</v>
      </c>
      <c r="G68">
        <f t="shared" si="20"/>
        <v>30</v>
      </c>
      <c r="I68">
        <v>2050</v>
      </c>
      <c r="J68">
        <f t="shared" si="21"/>
        <v>32.5</v>
      </c>
      <c r="K68" cm="1">
        <f t="array" ref="K68">STOWA2019_JAARROND_T(A68*60,J68,I68,"WH","center")</f>
        <v>9.0814731594448347E-2</v>
      </c>
      <c r="L68">
        <f t="shared" si="22"/>
        <v>11.011429340183522</v>
      </c>
    </row>
    <row r="69" spans="1:12" x14ac:dyDescent="0.3">
      <c r="A69">
        <v>96</v>
      </c>
      <c r="B69">
        <f t="shared" si="18"/>
        <v>3.7308675982665598</v>
      </c>
      <c r="C69">
        <f t="shared" si="19"/>
        <v>3.7308675982665598</v>
      </c>
      <c r="D69" t="s">
        <v>30</v>
      </c>
      <c r="E69" t="s">
        <v>21</v>
      </c>
      <c r="F69">
        <v>1</v>
      </c>
      <c r="G69">
        <f t="shared" si="20"/>
        <v>35</v>
      </c>
      <c r="I69">
        <v>2050</v>
      </c>
      <c r="J69">
        <f t="shared" si="21"/>
        <v>37.5</v>
      </c>
      <c r="K69" cm="1">
        <f t="array" ref="K69">STOWA2019_JAARROND_T(A69*60,J69,I69,"WH","center")</f>
        <v>0.13735203895636511</v>
      </c>
      <c r="L69">
        <f t="shared" si="22"/>
        <v>7.2805617419169621</v>
      </c>
    </row>
    <row r="70" spans="1:12" x14ac:dyDescent="0.3">
      <c r="A70">
        <v>96</v>
      </c>
      <c r="B70">
        <f>L69-L70</f>
        <v>2.4183448512989019</v>
      </c>
      <c r="C70">
        <f t="shared" si="19"/>
        <v>2.4183448512989019</v>
      </c>
      <c r="D70" t="s">
        <v>30</v>
      </c>
      <c r="E70" t="s">
        <v>21</v>
      </c>
      <c r="F70">
        <v>1</v>
      </c>
      <c r="G70">
        <f>G69+5</f>
        <v>40</v>
      </c>
      <c r="I70">
        <v>2050</v>
      </c>
      <c r="J70">
        <f>AVERAGE(G70:G71)</f>
        <v>42.5</v>
      </c>
      <c r="K70" cm="1">
        <f t="array" ref="K70">STOWA2019_JAARROND_T(A70*60,J70,I70,"WH","center")</f>
        <v>0.20566750157311167</v>
      </c>
      <c r="L70">
        <f>1/K70</f>
        <v>4.8622168906180603</v>
      </c>
    </row>
    <row r="71" spans="1:12" x14ac:dyDescent="0.3">
      <c r="A71">
        <v>96</v>
      </c>
      <c r="B71">
        <f t="shared" ref="B71:B93" si="23">L70-L71</f>
        <v>1.5851372523132703</v>
      </c>
      <c r="C71">
        <f t="shared" si="19"/>
        <v>1.5851372523132703</v>
      </c>
      <c r="D71" t="s">
        <v>30</v>
      </c>
      <c r="E71" t="s">
        <v>21</v>
      </c>
      <c r="F71">
        <v>1</v>
      </c>
      <c r="G71">
        <f t="shared" ref="G71:G94" si="24">G70+5</f>
        <v>45</v>
      </c>
      <c r="I71">
        <v>2050</v>
      </c>
      <c r="J71">
        <f t="shared" ref="J71:J93" si="25">AVERAGE(G71:G72)</f>
        <v>47.5</v>
      </c>
      <c r="K71" cm="1">
        <f t="array" ref="K71">STOWA2019_JAARROND_T(A71*60,J71,I71,"WH","center")</f>
        <v>0.30514974012572149</v>
      </c>
      <c r="L71">
        <f t="shared" ref="L71:L93" si="26">1/K71</f>
        <v>3.27707963830479</v>
      </c>
    </row>
    <row r="72" spans="1:12" x14ac:dyDescent="0.3">
      <c r="A72">
        <v>96</v>
      </c>
      <c r="B72">
        <f t="shared" si="23"/>
        <v>1.049341341698999</v>
      </c>
      <c r="C72">
        <f t="shared" si="19"/>
        <v>1.049341341698999</v>
      </c>
      <c r="D72" t="s">
        <v>30</v>
      </c>
      <c r="E72" t="s">
        <v>21</v>
      </c>
      <c r="F72">
        <v>1</v>
      </c>
      <c r="G72">
        <f t="shared" si="24"/>
        <v>50</v>
      </c>
      <c r="I72">
        <v>2050</v>
      </c>
      <c r="J72">
        <f t="shared" si="25"/>
        <v>52.5</v>
      </c>
      <c r="K72" cm="1">
        <f t="array" ref="K72">STOWA2019_JAARROND_T(A72*60,J72,I72,"WH","center")</f>
        <v>0.44888576073931669</v>
      </c>
      <c r="L72">
        <f t="shared" si="26"/>
        <v>2.227738296605791</v>
      </c>
    </row>
    <row r="73" spans="1:12" x14ac:dyDescent="0.3">
      <c r="A73">
        <v>96</v>
      </c>
      <c r="B73">
        <f t="shared" si="23"/>
        <v>0.70100802102749471</v>
      </c>
      <c r="C73">
        <f t="shared" si="19"/>
        <v>0.70100802102749471</v>
      </c>
      <c r="D73" t="s">
        <v>30</v>
      </c>
      <c r="E73" t="s">
        <v>21</v>
      </c>
      <c r="F73">
        <v>1</v>
      </c>
      <c r="G73">
        <f t="shared" si="24"/>
        <v>55</v>
      </c>
      <c r="I73">
        <v>2050</v>
      </c>
      <c r="J73">
        <f t="shared" si="25"/>
        <v>57.5</v>
      </c>
      <c r="K73" cm="1">
        <f t="array" ref="K73">STOWA2019_JAARROND_T(A73*60,J73,I73,"WH","center")</f>
        <v>0.65499454356547626</v>
      </c>
      <c r="L73">
        <f t="shared" si="26"/>
        <v>1.5267302755782963</v>
      </c>
    </row>
    <row r="74" spans="1:12" x14ac:dyDescent="0.3">
      <c r="A74">
        <v>96</v>
      </c>
      <c r="B74">
        <f t="shared" si="23"/>
        <v>0.47232722136353233</v>
      </c>
      <c r="C74">
        <f t="shared" si="19"/>
        <v>0.47232722136353233</v>
      </c>
      <c r="D74" t="s">
        <v>30</v>
      </c>
      <c r="E74" t="s">
        <v>21</v>
      </c>
      <c r="F74">
        <v>1</v>
      </c>
      <c r="G74">
        <f t="shared" si="24"/>
        <v>60</v>
      </c>
      <c r="I74">
        <v>2050</v>
      </c>
      <c r="J74">
        <f t="shared" si="25"/>
        <v>62.5</v>
      </c>
      <c r="K74" cm="1">
        <f t="array" ref="K74">STOWA2019_JAARROND_T(A74*60,J74,I74,"WH","center")</f>
        <v>0.9484039296004515</v>
      </c>
      <c r="L74">
        <f t="shared" si="26"/>
        <v>1.054403054214764</v>
      </c>
    </row>
    <row r="75" spans="1:12" x14ac:dyDescent="0.3">
      <c r="A75">
        <v>96</v>
      </c>
      <c r="B75">
        <f t="shared" si="23"/>
        <v>0.32075935250938459</v>
      </c>
      <c r="C75">
        <f t="shared" si="19"/>
        <v>0.32075935250938459</v>
      </c>
      <c r="D75" t="s">
        <v>30</v>
      </c>
      <c r="E75" t="s">
        <v>21</v>
      </c>
      <c r="F75">
        <v>1</v>
      </c>
      <c r="G75">
        <f t="shared" si="24"/>
        <v>65</v>
      </c>
      <c r="I75">
        <v>2050</v>
      </c>
      <c r="J75">
        <f t="shared" si="25"/>
        <v>67.5</v>
      </c>
      <c r="K75" cm="1">
        <f t="array" ref="K75">STOWA2019_JAARROND_T(A75*60,J75,I75,"WH","center")</f>
        <v>1.3630594765217319</v>
      </c>
      <c r="L75">
        <f t="shared" si="26"/>
        <v>0.7336437017053794</v>
      </c>
    </row>
    <row r="76" spans="1:12" x14ac:dyDescent="0.3">
      <c r="A76">
        <v>96</v>
      </c>
      <c r="B76">
        <f t="shared" si="23"/>
        <v>0.21962752375961303</v>
      </c>
      <c r="C76">
        <f t="shared" si="19"/>
        <v>0.21962752375961303</v>
      </c>
      <c r="D76" t="s">
        <v>30</v>
      </c>
      <c r="E76" t="s">
        <v>21</v>
      </c>
      <c r="F76">
        <v>1</v>
      </c>
      <c r="G76">
        <f t="shared" si="24"/>
        <v>70</v>
      </c>
      <c r="I76">
        <v>2050</v>
      </c>
      <c r="J76">
        <f t="shared" si="25"/>
        <v>72.5</v>
      </c>
      <c r="K76" cm="1">
        <f t="array" ref="K76">STOWA2019_JAARROND_T(A76*60,J76,I76,"WH","center")</f>
        <v>1.945464059120547</v>
      </c>
      <c r="L76">
        <f t="shared" si="26"/>
        <v>0.51401617794576637</v>
      </c>
    </row>
    <row r="77" spans="1:12" x14ac:dyDescent="0.3">
      <c r="A77">
        <v>96</v>
      </c>
      <c r="B77">
        <f t="shared" si="23"/>
        <v>0.15144761606153589</v>
      </c>
      <c r="C77">
        <f t="shared" si="19"/>
        <v>0.15144761606153589</v>
      </c>
      <c r="D77" t="s">
        <v>30</v>
      </c>
      <c r="E77" t="s">
        <v>21</v>
      </c>
      <c r="F77">
        <v>1</v>
      </c>
      <c r="G77">
        <f t="shared" si="24"/>
        <v>75</v>
      </c>
      <c r="I77">
        <v>2050</v>
      </c>
      <c r="J77">
        <f t="shared" si="25"/>
        <v>77.5</v>
      </c>
      <c r="K77" cm="1">
        <f t="array" ref="K77">STOWA2019_JAARROND_T(A77*60,J77,I77,"WH","center")</f>
        <v>2.7580990331955584</v>
      </c>
      <c r="L77">
        <f t="shared" si="26"/>
        <v>0.36256856188423048</v>
      </c>
    </row>
    <row r="78" spans="1:12" x14ac:dyDescent="0.3">
      <c r="A78">
        <v>96</v>
      </c>
      <c r="B78">
        <f t="shared" si="23"/>
        <v>0.10516022769421474</v>
      </c>
      <c r="C78">
        <f t="shared" si="19"/>
        <v>0.10516022769421474</v>
      </c>
      <c r="D78" t="s">
        <v>30</v>
      </c>
      <c r="E78" t="s">
        <v>21</v>
      </c>
      <c r="F78">
        <v>1</v>
      </c>
      <c r="G78">
        <f t="shared" si="24"/>
        <v>80</v>
      </c>
      <c r="I78">
        <v>2050</v>
      </c>
      <c r="J78">
        <f t="shared" si="25"/>
        <v>82.5</v>
      </c>
      <c r="K78" cm="1">
        <f t="array" ref="K78">STOWA2019_JAARROND_T(A78*60,J78,I78,"WH","center")</f>
        <v>3.8848780990199483</v>
      </c>
      <c r="L78">
        <f t="shared" si="26"/>
        <v>0.25740833419001574</v>
      </c>
    </row>
    <row r="79" spans="1:12" x14ac:dyDescent="0.3">
      <c r="A79">
        <v>96</v>
      </c>
      <c r="B79">
        <f t="shared" si="23"/>
        <v>7.3519814341774098E-2</v>
      </c>
      <c r="C79">
        <f t="shared" si="19"/>
        <v>7.3519814341774098E-2</v>
      </c>
      <c r="D79" t="s">
        <v>30</v>
      </c>
      <c r="E79" t="s">
        <v>21</v>
      </c>
      <c r="F79">
        <v>1</v>
      </c>
      <c r="G79">
        <f t="shared" si="24"/>
        <v>85</v>
      </c>
      <c r="I79">
        <v>2050</v>
      </c>
      <c r="J79">
        <f t="shared" si="25"/>
        <v>87.5</v>
      </c>
      <c r="K79" cm="1">
        <f t="array" ref="K79">STOWA2019_JAARROND_T(A79*60,J79,I79,"WH","center")</f>
        <v>5.4380773787579217</v>
      </c>
      <c r="L79">
        <f t="shared" si="26"/>
        <v>0.18388851984824164</v>
      </c>
    </row>
    <row r="80" spans="1:12" x14ac:dyDescent="0.3">
      <c r="A80">
        <v>96</v>
      </c>
      <c r="B80">
        <f t="shared" si="23"/>
        <v>5.1730090376450849E-2</v>
      </c>
      <c r="C80">
        <f t="shared" si="19"/>
        <v>5.1730090376450849E-2</v>
      </c>
      <c r="D80" t="s">
        <v>30</v>
      </c>
      <c r="E80" t="s">
        <v>21</v>
      </c>
      <c r="F80">
        <v>1</v>
      </c>
      <c r="G80">
        <f t="shared" si="24"/>
        <v>90</v>
      </c>
      <c r="I80">
        <v>2050</v>
      </c>
      <c r="J80">
        <f t="shared" si="25"/>
        <v>92.5</v>
      </c>
      <c r="K80" cm="1">
        <f t="array" ref="K80">STOWA2019_JAARROND_T(A80*60,J80,I80,"WH","center")</f>
        <v>7.5666758752868652</v>
      </c>
      <c r="L80">
        <f t="shared" si="26"/>
        <v>0.13215842947179079</v>
      </c>
    </row>
    <row r="81" spans="1:12" x14ac:dyDescent="0.3">
      <c r="A81">
        <v>96</v>
      </c>
      <c r="B81">
        <f t="shared" si="23"/>
        <v>3.6627208248973531E-2</v>
      </c>
      <c r="C81">
        <f t="shared" si="19"/>
        <v>3.6627208248973531E-2</v>
      </c>
      <c r="D81" t="s">
        <v>30</v>
      </c>
      <c r="E81" t="s">
        <v>21</v>
      </c>
      <c r="F81">
        <v>1</v>
      </c>
      <c r="G81">
        <f t="shared" si="24"/>
        <v>95</v>
      </c>
      <c r="I81">
        <v>2050</v>
      </c>
      <c r="J81">
        <f t="shared" si="25"/>
        <v>97.5</v>
      </c>
      <c r="K81" cm="1">
        <f t="array" ref="K81">STOWA2019_JAARROND_T(A81*60,J81,I81,"WH","center")</f>
        <v>10.467782021414731</v>
      </c>
      <c r="L81">
        <f t="shared" si="26"/>
        <v>9.5531221222817264E-2</v>
      </c>
    </row>
    <row r="82" spans="1:12" x14ac:dyDescent="0.3">
      <c r="A82">
        <v>96</v>
      </c>
      <c r="B82">
        <f t="shared" si="23"/>
        <v>2.6089954111561883E-2</v>
      </c>
      <c r="C82">
        <f t="shared" si="19"/>
        <v>2.6089954111561883E-2</v>
      </c>
      <c r="D82" t="s">
        <v>30</v>
      </c>
      <c r="E82" t="s">
        <v>21</v>
      </c>
      <c r="F82">
        <v>1</v>
      </c>
      <c r="G82">
        <f t="shared" si="24"/>
        <v>100</v>
      </c>
      <c r="I82">
        <v>2050</v>
      </c>
      <c r="J82">
        <f t="shared" si="25"/>
        <v>102.5</v>
      </c>
      <c r="K82" cm="1">
        <f t="array" ref="K82">STOWA2019_JAARROND_T(A82*60,J82,I82,"WH","center")</f>
        <v>14.400658881956304</v>
      </c>
      <c r="L82">
        <f t="shared" si="26"/>
        <v>6.9441267111255381E-2</v>
      </c>
    </row>
    <row r="83" spans="1:12" x14ac:dyDescent="0.3">
      <c r="A83">
        <v>96</v>
      </c>
      <c r="B83">
        <f t="shared" si="23"/>
        <v>1.8692161478858584E-2</v>
      </c>
      <c r="C83">
        <f t="shared" si="19"/>
        <v>1.8692161478858584E-2</v>
      </c>
      <c r="D83" t="s">
        <v>30</v>
      </c>
      <c r="E83" t="s">
        <v>21</v>
      </c>
      <c r="F83">
        <v>1</v>
      </c>
      <c r="G83">
        <f t="shared" si="24"/>
        <v>105</v>
      </c>
      <c r="I83">
        <v>2050</v>
      </c>
      <c r="J83">
        <f t="shared" si="25"/>
        <v>107.5</v>
      </c>
      <c r="K83" cm="1">
        <f t="array" ref="K83">STOWA2019_JAARROND_T(A83*60,J83,I83,"WH","center")</f>
        <v>19.704780755025329</v>
      </c>
      <c r="L83">
        <f t="shared" si="26"/>
        <v>5.0749105632396797E-2</v>
      </c>
    </row>
    <row r="84" spans="1:12" x14ac:dyDescent="0.3">
      <c r="A84">
        <v>96</v>
      </c>
      <c r="B84">
        <f t="shared" si="23"/>
        <v>1.3467147552736182E-2</v>
      </c>
      <c r="C84">
        <f t="shared" si="19"/>
        <v>1.3467147552736182E-2</v>
      </c>
      <c r="D84" t="s">
        <v>30</v>
      </c>
      <c r="E84" t="s">
        <v>21</v>
      </c>
      <c r="F84">
        <v>1</v>
      </c>
      <c r="G84">
        <f t="shared" si="24"/>
        <v>110</v>
      </c>
      <c r="I84">
        <v>2050</v>
      </c>
      <c r="J84">
        <f t="shared" si="25"/>
        <v>112.5</v>
      </c>
      <c r="K84" cm="1">
        <f t="array" ref="K84">STOWA2019_JAARROND_T(A84*60,J84,I84,"WH","center")</f>
        <v>26.822625514016543</v>
      </c>
      <c r="L84">
        <f t="shared" si="26"/>
        <v>3.7281958079660615E-2</v>
      </c>
    </row>
    <row r="85" spans="1:12" x14ac:dyDescent="0.3">
      <c r="A85">
        <v>96</v>
      </c>
      <c r="B85">
        <f t="shared" si="23"/>
        <v>9.7550814600989334E-3</v>
      </c>
      <c r="C85">
        <f t="shared" si="19"/>
        <v>9.7550814600989334E-3</v>
      </c>
      <c r="D85" t="s">
        <v>30</v>
      </c>
      <c r="E85" t="s">
        <v>21</v>
      </c>
      <c r="F85">
        <v>1</v>
      </c>
      <c r="G85">
        <f t="shared" si="24"/>
        <v>115</v>
      </c>
      <c r="I85">
        <v>2050</v>
      </c>
      <c r="J85">
        <f t="shared" si="25"/>
        <v>117.5</v>
      </c>
      <c r="K85" cm="1">
        <f t="array" ref="K85">STOWA2019_JAARROND_T(A85*60,J85,I85,"WH","center")</f>
        <v>36.328131731783934</v>
      </c>
      <c r="L85">
        <f t="shared" si="26"/>
        <v>2.7526876619561682E-2</v>
      </c>
    </row>
    <row r="86" spans="1:12" x14ac:dyDescent="0.3">
      <c r="A86">
        <v>96</v>
      </c>
      <c r="B86">
        <f t="shared" si="23"/>
        <v>7.1035890188089722E-3</v>
      </c>
      <c r="C86">
        <f t="shared" si="19"/>
        <v>7.1035890188089722E-3</v>
      </c>
      <c r="D86" t="s">
        <v>30</v>
      </c>
      <c r="E86" t="s">
        <v>21</v>
      </c>
      <c r="F86">
        <v>1</v>
      </c>
      <c r="G86">
        <f t="shared" si="24"/>
        <v>120</v>
      </c>
      <c r="I86">
        <v>2050</v>
      </c>
      <c r="J86">
        <f t="shared" si="25"/>
        <v>122.5</v>
      </c>
      <c r="K86" cm="1">
        <f t="array" ref="K86">STOWA2019_JAARROND_T(A86*60,J86,I86,"WH","center")</f>
        <v>48.963713362345466</v>
      </c>
      <c r="L86">
        <f t="shared" si="26"/>
        <v>2.042328760075271E-2</v>
      </c>
    </row>
    <row r="87" spans="1:12" x14ac:dyDescent="0.3">
      <c r="A87">
        <v>96</v>
      </c>
      <c r="B87">
        <f t="shared" si="23"/>
        <v>5.1987630642350204E-3</v>
      </c>
      <c r="C87">
        <f t="shared" si="19"/>
        <v>5.1987630642350204E-3</v>
      </c>
      <c r="D87" t="s">
        <v>30</v>
      </c>
      <c r="E87" t="s">
        <v>21</v>
      </c>
      <c r="F87">
        <v>1</v>
      </c>
      <c r="G87">
        <f t="shared" si="24"/>
        <v>125</v>
      </c>
      <c r="I87">
        <v>2050</v>
      </c>
      <c r="J87">
        <f t="shared" si="25"/>
        <v>127.5</v>
      </c>
      <c r="K87" cm="1">
        <f t="array" ref="K87">STOWA2019_JAARROND_T(A87*60,J87,I87,"WH","center")</f>
        <v>65.683496230137791</v>
      </c>
      <c r="L87">
        <f t="shared" si="26"/>
        <v>1.5224524536517689E-2</v>
      </c>
    </row>
    <row r="88" spans="1:12" x14ac:dyDescent="0.3">
      <c r="A88">
        <v>96</v>
      </c>
      <c r="B88">
        <f t="shared" si="23"/>
        <v>3.8235777165475555E-3</v>
      </c>
      <c r="C88">
        <f t="shared" si="19"/>
        <v>3.8235777165475555E-3</v>
      </c>
      <c r="D88" t="s">
        <v>30</v>
      </c>
      <c r="E88" t="s">
        <v>21</v>
      </c>
      <c r="F88">
        <v>1</v>
      </c>
      <c r="G88">
        <f t="shared" si="24"/>
        <v>130</v>
      </c>
      <c r="I88">
        <v>2050</v>
      </c>
      <c r="J88">
        <f t="shared" si="25"/>
        <v>132.5</v>
      </c>
      <c r="K88" cm="1">
        <f t="array" ref="K88">STOWA2019_JAARROND_T(A88*60,J88,I88,"WH","center")</f>
        <v>87.712013378430939</v>
      </c>
      <c r="L88">
        <f t="shared" si="26"/>
        <v>1.1400946819970134E-2</v>
      </c>
    </row>
    <row r="89" spans="1:12" x14ac:dyDescent="0.3">
      <c r="A89">
        <v>96</v>
      </c>
      <c r="B89">
        <f t="shared" si="23"/>
        <v>2.8253969480071875E-3</v>
      </c>
      <c r="C89">
        <f t="shared" si="19"/>
        <v>2.8253969480071875E-3</v>
      </c>
      <c r="D89" t="s">
        <v>30</v>
      </c>
      <c r="E89" t="s">
        <v>21</v>
      </c>
      <c r="F89">
        <v>1</v>
      </c>
      <c r="G89">
        <f t="shared" si="24"/>
        <v>135</v>
      </c>
      <c r="I89">
        <v>2050</v>
      </c>
      <c r="J89">
        <f t="shared" si="25"/>
        <v>137.5</v>
      </c>
      <c r="K89" cm="1">
        <f t="array" ref="K89">STOWA2019_JAARROND_T(A89*60,J89,I89,"WH","center")</f>
        <v>116.61059814594718</v>
      </c>
      <c r="L89">
        <f t="shared" si="26"/>
        <v>8.5755498719629463E-3</v>
      </c>
    </row>
    <row r="90" spans="1:12" x14ac:dyDescent="0.3">
      <c r="A90">
        <v>96</v>
      </c>
      <c r="B90">
        <f t="shared" si="23"/>
        <v>2.0975183872915266E-3</v>
      </c>
      <c r="C90">
        <f t="shared" si="19"/>
        <v>2.0975183872915266E-3</v>
      </c>
      <c r="D90" t="s">
        <v>30</v>
      </c>
      <c r="E90" t="s">
        <v>21</v>
      </c>
      <c r="F90">
        <v>1</v>
      </c>
      <c r="G90">
        <f t="shared" si="24"/>
        <v>140</v>
      </c>
      <c r="I90">
        <v>2050</v>
      </c>
      <c r="J90">
        <f t="shared" si="25"/>
        <v>142.5</v>
      </c>
      <c r="K90" cm="1">
        <f t="array" ref="K90">STOWA2019_JAARROND_T(A90*60,J90,I90,"WH","center")</f>
        <v>154.36788202808839</v>
      </c>
      <c r="L90">
        <f t="shared" si="26"/>
        <v>6.4780314846714197E-3</v>
      </c>
    </row>
    <row r="91" spans="1:12" x14ac:dyDescent="0.3">
      <c r="A91">
        <v>96</v>
      </c>
      <c r="B91">
        <f t="shared" si="23"/>
        <v>1.5640460638322888E-3</v>
      </c>
      <c r="C91">
        <f t="shared" si="19"/>
        <v>1.5640460638322888E-3</v>
      </c>
      <c r="D91" t="s">
        <v>30</v>
      </c>
      <c r="E91" t="s">
        <v>21</v>
      </c>
      <c r="F91">
        <v>1</v>
      </c>
      <c r="G91">
        <f t="shared" si="24"/>
        <v>145</v>
      </c>
      <c r="I91">
        <v>2050</v>
      </c>
      <c r="J91">
        <f t="shared" si="25"/>
        <v>147.5</v>
      </c>
      <c r="K91" cm="1">
        <f t="array" ref="K91">STOWA2019_JAARROND_T(A91*60,J91,I91,"WH","center")</f>
        <v>203.50080725905698</v>
      </c>
      <c r="L91">
        <f t="shared" si="26"/>
        <v>4.913985420839131E-3</v>
      </c>
    </row>
    <row r="92" spans="1:12" x14ac:dyDescent="0.3">
      <c r="A92">
        <v>96</v>
      </c>
      <c r="B92">
        <f t="shared" si="23"/>
        <v>1.1713403182455001E-3</v>
      </c>
      <c r="C92">
        <f t="shared" si="19"/>
        <v>1.1713403182455001E-3</v>
      </c>
      <c r="D92" t="s">
        <v>30</v>
      </c>
      <c r="E92" t="s">
        <v>21</v>
      </c>
      <c r="F92">
        <v>1</v>
      </c>
      <c r="G92">
        <f t="shared" si="24"/>
        <v>150</v>
      </c>
      <c r="I92">
        <v>2050</v>
      </c>
      <c r="J92">
        <f t="shared" si="25"/>
        <v>152.5</v>
      </c>
      <c r="K92" cm="1">
        <f t="array" ref="K92">STOWA2019_JAARROND_T(A92*60,J92,I92,"WH","center")</f>
        <v>267.19070940148879</v>
      </c>
      <c r="L92">
        <f t="shared" si="26"/>
        <v>3.7426451025936308E-3</v>
      </c>
    </row>
    <row r="93" spans="1:12" x14ac:dyDescent="0.3">
      <c r="A93">
        <v>96</v>
      </c>
      <c r="B93">
        <f t="shared" si="23"/>
        <v>8.8092843784641798E-4</v>
      </c>
      <c r="C93">
        <f t="shared" si="19"/>
        <v>8.8092843784641798E-4</v>
      </c>
      <c r="D93" t="s">
        <v>30</v>
      </c>
      <c r="E93" t="s">
        <v>21</v>
      </c>
      <c r="F93">
        <v>1</v>
      </c>
      <c r="G93">
        <f t="shared" si="24"/>
        <v>155</v>
      </c>
      <c r="I93">
        <v>2050</v>
      </c>
      <c r="J93">
        <f t="shared" si="25"/>
        <v>157.5</v>
      </c>
      <c r="K93" cm="1">
        <f t="array" ref="K93">STOWA2019_JAARROND_T(A93*60,J93,I93,"WH","center")</f>
        <v>349.44060406774548</v>
      </c>
      <c r="L93">
        <f t="shared" si="26"/>
        <v>2.8617166647472128E-3</v>
      </c>
    </row>
    <row r="94" spans="1:12" x14ac:dyDescent="0.3">
      <c r="A94">
        <v>96</v>
      </c>
      <c r="B94" s="1">
        <f>L93</f>
        <v>2.8617166647472128E-3</v>
      </c>
      <c r="C94">
        <f t="shared" si="19"/>
        <v>2.8617166647472128E-3</v>
      </c>
      <c r="D94" t="s">
        <v>30</v>
      </c>
      <c r="E94" t="s">
        <v>21</v>
      </c>
      <c r="F94">
        <v>1</v>
      </c>
      <c r="G94">
        <f t="shared" si="24"/>
        <v>160</v>
      </c>
      <c r="I94">
        <v>2050</v>
      </c>
      <c r="J94">
        <f>AVERAGE(G94:G95)</f>
        <v>85</v>
      </c>
      <c r="K94" cm="1">
        <f t="array" ref="K94">STOWA2019_JAARROND_T(A94*60,J94,I94,"WH","center")</f>
        <v>4.5998434120888838</v>
      </c>
      <c r="L94">
        <f>1/K94</f>
        <v>0.21739870478457859</v>
      </c>
    </row>
    <row r="95" spans="1:12" x14ac:dyDescent="0.3">
      <c r="A95">
        <v>192</v>
      </c>
      <c r="B95" s="1">
        <f>365.25*24/A95 - L95</f>
        <v>-954.34375</v>
      </c>
      <c r="C95">
        <f>B95</f>
        <v>-954.34375</v>
      </c>
      <c r="D95" t="s">
        <v>30</v>
      </c>
      <c r="E95" t="s">
        <v>21</v>
      </c>
      <c r="F95">
        <v>1</v>
      </c>
      <c r="G95">
        <v>10</v>
      </c>
      <c r="I95">
        <v>2050</v>
      </c>
      <c r="J95">
        <f>AVERAGE(G95:G97)</f>
        <v>15</v>
      </c>
      <c r="K95" s="1">
        <v>1E-3</v>
      </c>
      <c r="L95">
        <f>1/K95</f>
        <v>1000</v>
      </c>
    </row>
    <row r="96" spans="1:12" x14ac:dyDescent="0.3">
      <c r="A96">
        <v>192</v>
      </c>
      <c r="B96">
        <f t="shared" ref="B96:B100" si="27">L95-L96</f>
        <v>0</v>
      </c>
      <c r="C96">
        <f t="shared" ref="C96:C125" si="28">B96</f>
        <v>0</v>
      </c>
      <c r="D96" t="s">
        <v>30</v>
      </c>
      <c r="E96" t="s">
        <v>21</v>
      </c>
      <c r="F96">
        <v>1</v>
      </c>
      <c r="G96">
        <f t="shared" ref="G96:G100" si="29">G95+5</f>
        <v>15</v>
      </c>
      <c r="I96">
        <v>2050</v>
      </c>
      <c r="J96">
        <f t="shared" ref="J96:J100" si="30">AVERAGE(G96:G97)</f>
        <v>17.5</v>
      </c>
      <c r="K96" s="1">
        <v>1E-3</v>
      </c>
      <c r="L96">
        <f t="shared" ref="L96:L100" si="31">1/K96</f>
        <v>1000</v>
      </c>
    </row>
    <row r="97" spans="1:12" x14ac:dyDescent="0.3">
      <c r="A97">
        <v>192</v>
      </c>
      <c r="B97">
        <f t="shared" si="27"/>
        <v>0</v>
      </c>
      <c r="C97">
        <f t="shared" si="28"/>
        <v>0</v>
      </c>
      <c r="D97" t="s">
        <v>30</v>
      </c>
      <c r="E97" t="s">
        <v>21</v>
      </c>
      <c r="F97">
        <v>1</v>
      </c>
      <c r="G97">
        <f t="shared" si="29"/>
        <v>20</v>
      </c>
      <c r="I97">
        <v>2050</v>
      </c>
      <c r="J97">
        <f t="shared" si="30"/>
        <v>22.5</v>
      </c>
      <c r="K97" s="1">
        <v>1E-3</v>
      </c>
      <c r="L97">
        <f t="shared" si="31"/>
        <v>1000</v>
      </c>
    </row>
    <row r="98" spans="1:12" x14ac:dyDescent="0.3">
      <c r="A98">
        <v>192</v>
      </c>
      <c r="B98">
        <f t="shared" si="27"/>
        <v>0</v>
      </c>
      <c r="C98">
        <f t="shared" si="28"/>
        <v>0</v>
      </c>
      <c r="D98" t="s">
        <v>30</v>
      </c>
      <c r="E98" t="s">
        <v>21</v>
      </c>
      <c r="F98">
        <v>1</v>
      </c>
      <c r="G98">
        <f t="shared" si="29"/>
        <v>25</v>
      </c>
      <c r="I98">
        <v>2050</v>
      </c>
      <c r="J98">
        <f t="shared" si="30"/>
        <v>27.5</v>
      </c>
      <c r="K98" s="1">
        <v>1E-3</v>
      </c>
      <c r="L98">
        <f t="shared" si="31"/>
        <v>1000</v>
      </c>
    </row>
    <row r="99" spans="1:12" x14ac:dyDescent="0.3">
      <c r="A99">
        <v>192</v>
      </c>
      <c r="B99">
        <f t="shared" si="27"/>
        <v>974.51478976523288</v>
      </c>
      <c r="C99">
        <f t="shared" si="28"/>
        <v>974.51478976523288</v>
      </c>
      <c r="D99" t="s">
        <v>30</v>
      </c>
      <c r="E99" t="s">
        <v>21</v>
      </c>
      <c r="F99">
        <v>1</v>
      </c>
      <c r="G99">
        <f t="shared" si="29"/>
        <v>30</v>
      </c>
      <c r="I99">
        <v>2050</v>
      </c>
      <c r="J99">
        <f t="shared" si="30"/>
        <v>32.5</v>
      </c>
      <c r="K99" cm="1">
        <f t="array" ref="K99">STOWA2019_JAARROND_T(A99*60,J99,I99,"WH","center")</f>
        <v>3.923844421090121E-2</v>
      </c>
      <c r="L99">
        <f t="shared" si="31"/>
        <v>25.485210234767166</v>
      </c>
    </row>
    <row r="100" spans="1:12" x14ac:dyDescent="0.3">
      <c r="A100">
        <v>192</v>
      </c>
      <c r="B100">
        <f t="shared" si="27"/>
        <v>7.3225308904015307</v>
      </c>
      <c r="C100">
        <f t="shared" si="28"/>
        <v>7.3225308904015307</v>
      </c>
      <c r="D100" t="s">
        <v>30</v>
      </c>
      <c r="E100" t="s">
        <v>21</v>
      </c>
      <c r="F100">
        <v>1</v>
      </c>
      <c r="G100">
        <f t="shared" si="29"/>
        <v>35</v>
      </c>
      <c r="I100">
        <v>2050</v>
      </c>
      <c r="J100">
        <f t="shared" si="30"/>
        <v>37.5</v>
      </c>
      <c r="K100" cm="1">
        <f t="array" ref="K100">STOWA2019_JAARROND_T(A100*60,J100,I100,"WH","center")</f>
        <v>5.505795598985877E-2</v>
      </c>
      <c r="L100">
        <f t="shared" si="31"/>
        <v>18.162679344365635</v>
      </c>
    </row>
    <row r="101" spans="1:12" x14ac:dyDescent="0.3">
      <c r="A101">
        <v>192</v>
      </c>
      <c r="B101">
        <f>L100-L101</f>
        <v>4.9849038178564538</v>
      </c>
      <c r="C101">
        <f t="shared" si="28"/>
        <v>4.9849038178564538</v>
      </c>
      <c r="D101" t="s">
        <v>30</v>
      </c>
      <c r="E101" t="s">
        <v>21</v>
      </c>
      <c r="F101">
        <v>1</v>
      </c>
      <c r="G101">
        <f>G100+5</f>
        <v>40</v>
      </c>
      <c r="I101">
        <v>2050</v>
      </c>
      <c r="J101">
        <f>AVERAGE(G101:G102)</f>
        <v>42.5</v>
      </c>
      <c r="K101" cm="1">
        <f t="array" ref="K101">STOWA2019_JAARROND_T(A101*60,J101,I101,"WH","center")</f>
        <v>7.5885341800544542E-2</v>
      </c>
      <c r="L101">
        <f>1/K101</f>
        <v>13.177775526509182</v>
      </c>
    </row>
    <row r="102" spans="1:12" x14ac:dyDescent="0.3">
      <c r="A102">
        <v>192</v>
      </c>
      <c r="B102">
        <f t="shared" ref="B102:B124" si="32">L101-L102</f>
        <v>3.5487740195474622</v>
      </c>
      <c r="C102">
        <f t="shared" si="28"/>
        <v>3.5487740195474622</v>
      </c>
      <c r="D102" t="s">
        <v>30</v>
      </c>
      <c r="E102" t="s">
        <v>21</v>
      </c>
      <c r="F102">
        <v>1</v>
      </c>
      <c r="G102">
        <f t="shared" ref="G102:G125" si="33">G101+5</f>
        <v>45</v>
      </c>
      <c r="I102">
        <v>2050</v>
      </c>
      <c r="J102">
        <f t="shared" ref="J102:J124" si="34">AVERAGE(G102:G103)</f>
        <v>47.5</v>
      </c>
      <c r="K102" cm="1">
        <f t="array" ref="K102">STOWA2019_JAARROND_T(A102*60,J102,I102,"WH","center")</f>
        <v>0.10385292797773528</v>
      </c>
      <c r="L102">
        <f t="shared" ref="L102:L124" si="35">1/K102</f>
        <v>9.6290015069617194</v>
      </c>
    </row>
    <row r="103" spans="1:12" x14ac:dyDescent="0.3">
      <c r="A103">
        <v>192</v>
      </c>
      <c r="B103">
        <f t="shared" si="32"/>
        <v>2.5679985363710065</v>
      </c>
      <c r="C103">
        <f t="shared" si="28"/>
        <v>2.5679985363710065</v>
      </c>
      <c r="D103" t="s">
        <v>30</v>
      </c>
      <c r="E103" t="s">
        <v>21</v>
      </c>
      <c r="F103">
        <v>1</v>
      </c>
      <c r="G103">
        <f t="shared" si="33"/>
        <v>50</v>
      </c>
      <c r="I103">
        <v>2050</v>
      </c>
      <c r="J103">
        <f t="shared" si="34"/>
        <v>52.5</v>
      </c>
      <c r="K103" cm="1">
        <f t="array" ref="K103">STOWA2019_JAARROND_T(A103*60,J103,I103,"WH","center")</f>
        <v>0.1416229399937983</v>
      </c>
      <c r="L103">
        <f t="shared" si="35"/>
        <v>7.0610029705907129</v>
      </c>
    </row>
    <row r="104" spans="1:12" x14ac:dyDescent="0.3">
      <c r="A104">
        <v>192</v>
      </c>
      <c r="B104">
        <f t="shared" si="32"/>
        <v>1.8729984425678596</v>
      </c>
      <c r="C104">
        <f t="shared" si="28"/>
        <v>1.8729984425678596</v>
      </c>
      <c r="D104" t="s">
        <v>30</v>
      </c>
      <c r="E104" t="s">
        <v>21</v>
      </c>
      <c r="F104">
        <v>1</v>
      </c>
      <c r="G104">
        <f t="shared" si="33"/>
        <v>55</v>
      </c>
      <c r="I104">
        <v>2050</v>
      </c>
      <c r="J104">
        <f t="shared" si="34"/>
        <v>57.5</v>
      </c>
      <c r="K104" cm="1">
        <f t="array" ref="K104">STOWA2019_JAARROND_T(A104*60,J104,I104,"WH","center")</f>
        <v>0.19275233755069593</v>
      </c>
      <c r="L104">
        <f t="shared" si="35"/>
        <v>5.1880045280228533</v>
      </c>
    </row>
    <row r="105" spans="1:12" x14ac:dyDescent="0.3">
      <c r="A105">
        <v>192</v>
      </c>
      <c r="B105">
        <f t="shared" si="32"/>
        <v>1.371803083026947</v>
      </c>
      <c r="C105">
        <f t="shared" si="28"/>
        <v>1.371803083026947</v>
      </c>
      <c r="D105" t="s">
        <v>30</v>
      </c>
      <c r="E105" t="s">
        <v>21</v>
      </c>
      <c r="F105">
        <v>1</v>
      </c>
      <c r="G105">
        <f t="shared" si="33"/>
        <v>60</v>
      </c>
      <c r="I105">
        <v>2050</v>
      </c>
      <c r="J105">
        <f t="shared" si="34"/>
        <v>62.5</v>
      </c>
      <c r="K105" cm="1">
        <f t="array" ref="K105">STOWA2019_JAARROND_T(A105*60,J105,I105,"WH","center")</f>
        <v>0.26204067432322686</v>
      </c>
      <c r="L105">
        <f t="shared" si="35"/>
        <v>3.8162014449959063</v>
      </c>
    </row>
    <row r="106" spans="1:12" x14ac:dyDescent="0.3">
      <c r="A106">
        <v>192</v>
      </c>
      <c r="B106">
        <f t="shared" si="32"/>
        <v>1.0071923341439017</v>
      </c>
      <c r="C106">
        <f t="shared" si="28"/>
        <v>1.0071923341439017</v>
      </c>
      <c r="D106" t="s">
        <v>30</v>
      </c>
      <c r="E106" t="s">
        <v>21</v>
      </c>
      <c r="F106">
        <v>1</v>
      </c>
      <c r="G106">
        <f t="shared" si="33"/>
        <v>65</v>
      </c>
      <c r="I106">
        <v>2050</v>
      </c>
      <c r="J106">
        <f t="shared" si="34"/>
        <v>67.5</v>
      </c>
      <c r="K106" cm="1">
        <f t="array" ref="K106">STOWA2019_JAARROND_T(A106*60,J106,I106,"WH","center")</f>
        <v>0.35599742134573875</v>
      </c>
      <c r="L106">
        <f t="shared" si="35"/>
        <v>2.8090091108520046</v>
      </c>
    </row>
    <row r="107" spans="1:12" x14ac:dyDescent="0.3">
      <c r="A107">
        <v>192</v>
      </c>
      <c r="B107">
        <f t="shared" si="32"/>
        <v>0.7405927047286287</v>
      </c>
      <c r="C107">
        <f t="shared" si="28"/>
        <v>0.7405927047286287</v>
      </c>
      <c r="D107" t="s">
        <v>30</v>
      </c>
      <c r="E107" t="s">
        <v>21</v>
      </c>
      <c r="F107">
        <v>1</v>
      </c>
      <c r="G107">
        <f t="shared" si="33"/>
        <v>70</v>
      </c>
      <c r="I107">
        <v>2050</v>
      </c>
      <c r="J107">
        <f t="shared" si="34"/>
        <v>72.5</v>
      </c>
      <c r="K107" cm="1">
        <f t="array" ref="K107">STOWA2019_JAARROND_T(A107*60,J107,I107,"WH","center")</f>
        <v>0.48346164584635015</v>
      </c>
      <c r="L107">
        <f t="shared" si="35"/>
        <v>2.0684164061233759</v>
      </c>
    </row>
    <row r="108" spans="1:12" x14ac:dyDescent="0.3">
      <c r="A108">
        <v>192</v>
      </c>
      <c r="B108">
        <f t="shared" si="32"/>
        <v>0.54508377239236983</v>
      </c>
      <c r="C108">
        <f t="shared" si="28"/>
        <v>0.54508377239236983</v>
      </c>
      <c r="D108" t="s">
        <v>30</v>
      </c>
      <c r="E108" t="s">
        <v>21</v>
      </c>
      <c r="F108">
        <v>1</v>
      </c>
      <c r="G108">
        <f t="shared" si="33"/>
        <v>75</v>
      </c>
      <c r="I108">
        <v>2050</v>
      </c>
      <c r="J108">
        <f t="shared" si="34"/>
        <v>77.5</v>
      </c>
      <c r="K108" cm="1">
        <f t="array" ref="K108">STOWA2019_JAARROND_T(A108*60,J108,I108,"WH","center")</f>
        <v>0.65645544371406317</v>
      </c>
      <c r="L108">
        <f t="shared" si="35"/>
        <v>1.523332633731006</v>
      </c>
    </row>
    <row r="109" spans="1:12" x14ac:dyDescent="0.3">
      <c r="A109">
        <v>192</v>
      </c>
      <c r="B109">
        <f t="shared" si="32"/>
        <v>0.40138366721893792</v>
      </c>
      <c r="C109">
        <f t="shared" si="28"/>
        <v>0.40138366721893792</v>
      </c>
      <c r="D109" t="s">
        <v>30</v>
      </c>
      <c r="E109" t="s">
        <v>21</v>
      </c>
      <c r="F109">
        <v>1</v>
      </c>
      <c r="G109">
        <f t="shared" si="33"/>
        <v>80</v>
      </c>
      <c r="I109">
        <v>2050</v>
      </c>
      <c r="J109">
        <f t="shared" si="34"/>
        <v>82.5</v>
      </c>
      <c r="K109" cm="1">
        <f t="array" ref="K109">STOWA2019_JAARROND_T(A109*60,J109,I109,"WH","center")</f>
        <v>0.89130613766579336</v>
      </c>
      <c r="L109">
        <f t="shared" si="35"/>
        <v>1.1219489665120681</v>
      </c>
    </row>
    <row r="110" spans="1:12" x14ac:dyDescent="0.3">
      <c r="A110">
        <v>192</v>
      </c>
      <c r="B110">
        <f t="shared" si="32"/>
        <v>0.29559425892189495</v>
      </c>
      <c r="C110">
        <f t="shared" si="28"/>
        <v>0.29559425892189495</v>
      </c>
      <c r="D110" t="s">
        <v>30</v>
      </c>
      <c r="E110" t="s">
        <v>21</v>
      </c>
      <c r="F110">
        <v>1</v>
      </c>
      <c r="G110">
        <f t="shared" si="33"/>
        <v>85</v>
      </c>
      <c r="I110">
        <v>2050</v>
      </c>
      <c r="J110">
        <f t="shared" si="34"/>
        <v>87.5</v>
      </c>
      <c r="K110" cm="1">
        <f t="array" ref="K110">STOWA2019_JAARROND_T(A110*60,J110,I110,"WH","center")</f>
        <v>1.2101340874746314</v>
      </c>
      <c r="L110">
        <f t="shared" si="35"/>
        <v>0.82635470759017315</v>
      </c>
    </row>
    <row r="111" spans="1:12" x14ac:dyDescent="0.3">
      <c r="A111">
        <v>192</v>
      </c>
      <c r="B111">
        <f t="shared" si="32"/>
        <v>0.21784723703028985</v>
      </c>
      <c r="C111">
        <f t="shared" si="28"/>
        <v>0.21784723703028985</v>
      </c>
      <c r="D111" t="s">
        <v>30</v>
      </c>
      <c r="E111" t="s">
        <v>21</v>
      </c>
      <c r="F111">
        <v>1</v>
      </c>
      <c r="G111">
        <f t="shared" si="33"/>
        <v>90</v>
      </c>
      <c r="I111">
        <v>2050</v>
      </c>
      <c r="J111">
        <f t="shared" si="34"/>
        <v>92.5</v>
      </c>
      <c r="K111" cm="1">
        <f t="array" ref="K111">STOWA2019_JAARROND_T(A111*60,J111,I111,"WH","center")</f>
        <v>1.6433651982610951</v>
      </c>
      <c r="L111">
        <f t="shared" si="35"/>
        <v>0.6085074705598833</v>
      </c>
    </row>
    <row r="112" spans="1:12" x14ac:dyDescent="0.3">
      <c r="A112">
        <v>192</v>
      </c>
      <c r="B112">
        <f t="shared" si="32"/>
        <v>0.16049124620708044</v>
      </c>
      <c r="C112">
        <f t="shared" si="28"/>
        <v>0.16049124620708044</v>
      </c>
      <c r="D112" t="s">
        <v>30</v>
      </c>
      <c r="E112" t="s">
        <v>21</v>
      </c>
      <c r="F112">
        <v>1</v>
      </c>
      <c r="G112">
        <f t="shared" si="33"/>
        <v>95</v>
      </c>
      <c r="I112">
        <v>2050</v>
      </c>
      <c r="J112">
        <f t="shared" si="34"/>
        <v>97.5</v>
      </c>
      <c r="K112" cm="1">
        <f t="array" ref="K112">STOWA2019_JAARROND_T(A112*60,J112,I112,"WH","center")</f>
        <v>2.2320620228532664</v>
      </c>
      <c r="L112">
        <f t="shared" si="35"/>
        <v>0.44801622435280286</v>
      </c>
    </row>
    <row r="113" spans="1:12" x14ac:dyDescent="0.3">
      <c r="A113">
        <v>192</v>
      </c>
      <c r="B113">
        <f t="shared" si="32"/>
        <v>0.11823169620042628</v>
      </c>
      <c r="C113">
        <f t="shared" si="28"/>
        <v>0.11823169620042628</v>
      </c>
      <c r="D113" t="s">
        <v>30</v>
      </c>
      <c r="E113" t="s">
        <v>21</v>
      </c>
      <c r="F113">
        <v>1</v>
      </c>
      <c r="G113">
        <f t="shared" si="33"/>
        <v>100</v>
      </c>
      <c r="I113">
        <v>2050</v>
      </c>
      <c r="J113">
        <f t="shared" si="34"/>
        <v>102.5</v>
      </c>
      <c r="K113" cm="1">
        <f t="array" ref="K113">STOWA2019_JAARROND_T(A113*60,J113,I113,"WH","center")</f>
        <v>3.0322829442682377</v>
      </c>
      <c r="L113">
        <f t="shared" si="35"/>
        <v>0.32978452815237658</v>
      </c>
    </row>
    <row r="114" spans="1:12" x14ac:dyDescent="0.3">
      <c r="A114">
        <v>192</v>
      </c>
      <c r="B114">
        <f t="shared" si="32"/>
        <v>8.7092279695405062E-2</v>
      </c>
      <c r="C114">
        <f t="shared" si="28"/>
        <v>8.7092279695405062E-2</v>
      </c>
      <c r="D114" t="s">
        <v>30</v>
      </c>
      <c r="E114" t="s">
        <v>21</v>
      </c>
      <c r="F114">
        <v>1</v>
      </c>
      <c r="G114">
        <f t="shared" si="33"/>
        <v>105</v>
      </c>
      <c r="I114">
        <v>2050</v>
      </c>
      <c r="J114">
        <f t="shared" si="34"/>
        <v>107.5</v>
      </c>
      <c r="K114" cm="1">
        <f t="array" ref="K114">STOWA2019_JAARROND_T(A114*60,J114,I114,"WH","center")</f>
        <v>4.1204447457962239</v>
      </c>
      <c r="L114">
        <f t="shared" si="35"/>
        <v>0.24269224845697152</v>
      </c>
    </row>
    <row r="115" spans="1:12" x14ac:dyDescent="0.3">
      <c r="A115">
        <v>192</v>
      </c>
      <c r="B115">
        <f t="shared" si="32"/>
        <v>6.4139106027202325E-2</v>
      </c>
      <c r="C115">
        <f t="shared" si="28"/>
        <v>6.4139106027202325E-2</v>
      </c>
      <c r="D115" t="s">
        <v>30</v>
      </c>
      <c r="E115" t="s">
        <v>21</v>
      </c>
      <c r="F115">
        <v>1</v>
      </c>
      <c r="G115">
        <f t="shared" si="33"/>
        <v>110</v>
      </c>
      <c r="I115">
        <v>2050</v>
      </c>
      <c r="J115">
        <f t="shared" si="34"/>
        <v>112.5</v>
      </c>
      <c r="K115" cm="1">
        <f t="array" ref="K115">STOWA2019_JAARROND_T(A115*60,J115,I115,"WH","center")</f>
        <v>5.6005735121314526</v>
      </c>
      <c r="L115">
        <f t="shared" si="35"/>
        <v>0.17855314242976919</v>
      </c>
    </row>
    <row r="116" spans="1:12" x14ac:dyDescent="0.3">
      <c r="A116">
        <v>192</v>
      </c>
      <c r="B116">
        <f t="shared" si="32"/>
        <v>4.7226438870230508E-2</v>
      </c>
      <c r="C116">
        <f t="shared" si="28"/>
        <v>4.7226438870230508E-2</v>
      </c>
      <c r="D116" t="s">
        <v>30</v>
      </c>
      <c r="E116" t="s">
        <v>21</v>
      </c>
      <c r="F116">
        <v>1</v>
      </c>
      <c r="G116">
        <f t="shared" si="33"/>
        <v>115</v>
      </c>
      <c r="I116">
        <v>2050</v>
      </c>
      <c r="J116">
        <f t="shared" si="34"/>
        <v>117.5</v>
      </c>
      <c r="K116" cm="1">
        <f t="array" ref="K116">STOWA2019_JAARROND_T(A116*60,J116,I116,"WH","center")</f>
        <v>7.6145975867477462</v>
      </c>
      <c r="L116">
        <f t="shared" si="35"/>
        <v>0.13132670355953868</v>
      </c>
    </row>
    <row r="117" spans="1:12" x14ac:dyDescent="0.3">
      <c r="A117">
        <v>192</v>
      </c>
      <c r="B117">
        <f t="shared" si="32"/>
        <v>3.4764860388890956E-2</v>
      </c>
      <c r="C117">
        <f t="shared" si="28"/>
        <v>3.4764860388890956E-2</v>
      </c>
      <c r="D117" t="s">
        <v>30</v>
      </c>
      <c r="E117" t="s">
        <v>21</v>
      </c>
      <c r="F117">
        <v>1</v>
      </c>
      <c r="G117">
        <f t="shared" si="33"/>
        <v>120</v>
      </c>
      <c r="I117">
        <v>2050</v>
      </c>
      <c r="J117">
        <f t="shared" si="34"/>
        <v>122.5</v>
      </c>
      <c r="K117" cm="1">
        <f t="array" ref="K117">STOWA2019_JAARROND_T(A117*60,J117,I117,"WH","center")</f>
        <v>10.356057498123377</v>
      </c>
      <c r="L117">
        <f t="shared" si="35"/>
        <v>9.6561843170647726E-2</v>
      </c>
    </row>
    <row r="118" spans="1:12" x14ac:dyDescent="0.3">
      <c r="A118">
        <v>192</v>
      </c>
      <c r="B118">
        <f t="shared" si="32"/>
        <v>2.5584590560694578E-2</v>
      </c>
      <c r="C118">
        <f t="shared" si="28"/>
        <v>2.5584590560694578E-2</v>
      </c>
      <c r="D118" t="s">
        <v>30</v>
      </c>
      <c r="E118" t="s">
        <v>21</v>
      </c>
      <c r="F118">
        <v>1</v>
      </c>
      <c r="G118">
        <f t="shared" si="33"/>
        <v>125</v>
      </c>
      <c r="I118">
        <v>2050</v>
      </c>
      <c r="J118">
        <f t="shared" si="34"/>
        <v>127.5</v>
      </c>
      <c r="K118" cm="1">
        <f t="array" ref="K118">STOWA2019_JAARROND_T(A118*60,J118,I118,"WH","center")</f>
        <v>14.089020964158451</v>
      </c>
      <c r="L118">
        <f t="shared" si="35"/>
        <v>7.0977252609953148E-2</v>
      </c>
    </row>
    <row r="119" spans="1:12" x14ac:dyDescent="0.3">
      <c r="A119">
        <v>192</v>
      </c>
      <c r="B119">
        <f t="shared" si="32"/>
        <v>1.8823080895275908E-2</v>
      </c>
      <c r="C119">
        <f t="shared" si="28"/>
        <v>1.8823080895275908E-2</v>
      </c>
      <c r="D119" t="s">
        <v>30</v>
      </c>
      <c r="E119" t="s">
        <v>21</v>
      </c>
      <c r="F119">
        <v>1</v>
      </c>
      <c r="G119">
        <f t="shared" si="33"/>
        <v>130</v>
      </c>
      <c r="I119">
        <v>2050</v>
      </c>
      <c r="J119">
        <f t="shared" si="34"/>
        <v>132.5</v>
      </c>
      <c r="K119" cm="1">
        <f t="array" ref="K119">STOWA2019_JAARROND_T(A119*60,J119,I119,"WH","center")</f>
        <v>19.173921608241738</v>
      </c>
      <c r="L119">
        <f t="shared" si="35"/>
        <v>5.215417171467724E-2</v>
      </c>
    </row>
    <row r="120" spans="1:12" x14ac:dyDescent="0.3">
      <c r="A120">
        <v>192</v>
      </c>
      <c r="B120">
        <f t="shared" si="32"/>
        <v>1.3844275125194982E-2</v>
      </c>
      <c r="C120">
        <f t="shared" si="28"/>
        <v>1.3844275125194982E-2</v>
      </c>
      <c r="D120" t="s">
        <v>30</v>
      </c>
      <c r="E120" t="s">
        <v>21</v>
      </c>
      <c r="F120">
        <v>1</v>
      </c>
      <c r="G120">
        <f t="shared" si="33"/>
        <v>135</v>
      </c>
      <c r="I120">
        <v>2050</v>
      </c>
      <c r="J120">
        <f t="shared" si="34"/>
        <v>137.5</v>
      </c>
      <c r="K120" cm="1">
        <f t="array" ref="K120">STOWA2019_JAARROND_T(A120*60,J120,I120,"WH","center")</f>
        <v>26.10291566995625</v>
      </c>
      <c r="L120">
        <f t="shared" si="35"/>
        <v>3.8309896589482258E-2</v>
      </c>
    </row>
    <row r="121" spans="1:12" x14ac:dyDescent="0.3">
      <c r="A121">
        <v>192</v>
      </c>
      <c r="B121">
        <f t="shared" si="32"/>
        <v>1.0179141933175241E-2</v>
      </c>
      <c r="C121">
        <f t="shared" si="28"/>
        <v>1.0179141933175241E-2</v>
      </c>
      <c r="D121" t="s">
        <v>30</v>
      </c>
      <c r="E121" t="s">
        <v>21</v>
      </c>
      <c r="F121">
        <v>1</v>
      </c>
      <c r="G121">
        <f t="shared" si="33"/>
        <v>140</v>
      </c>
      <c r="I121">
        <v>2050</v>
      </c>
      <c r="J121">
        <f t="shared" si="34"/>
        <v>142.5</v>
      </c>
      <c r="K121" cm="1">
        <f t="array" ref="K121">STOWA2019_JAARROND_T(A121*60,J121,I121,"WH","center")</f>
        <v>35.54828202149907</v>
      </c>
      <c r="L121">
        <f t="shared" si="35"/>
        <v>2.8130754656307017E-2</v>
      </c>
    </row>
    <row r="122" spans="1:12" x14ac:dyDescent="0.3">
      <c r="A122">
        <v>192</v>
      </c>
      <c r="B122">
        <f t="shared" si="32"/>
        <v>7.4818435093373763E-3</v>
      </c>
      <c r="C122">
        <f t="shared" si="28"/>
        <v>7.4818435093373763E-3</v>
      </c>
      <c r="D122" t="s">
        <v>30</v>
      </c>
      <c r="E122" t="s">
        <v>21</v>
      </c>
      <c r="F122">
        <v>1</v>
      </c>
      <c r="G122">
        <f t="shared" si="33"/>
        <v>145</v>
      </c>
      <c r="I122">
        <v>2050</v>
      </c>
      <c r="J122">
        <f t="shared" si="34"/>
        <v>147.5</v>
      </c>
      <c r="K122" cm="1">
        <f t="array" ref="K122">STOWA2019_JAARROND_T(A122*60,J122,I122,"WH","center")</f>
        <v>48.428703716261396</v>
      </c>
      <c r="L122">
        <f t="shared" si="35"/>
        <v>2.064891114696964E-2</v>
      </c>
    </row>
    <row r="123" spans="1:12" x14ac:dyDescent="0.3">
      <c r="A123">
        <v>192</v>
      </c>
      <c r="B123">
        <f t="shared" si="32"/>
        <v>5.4974129545913644E-3</v>
      </c>
      <c r="C123">
        <f t="shared" si="28"/>
        <v>5.4974129545913644E-3</v>
      </c>
      <c r="D123" t="s">
        <v>30</v>
      </c>
      <c r="E123" t="s">
        <v>21</v>
      </c>
      <c r="F123">
        <v>1</v>
      </c>
      <c r="G123">
        <f t="shared" si="33"/>
        <v>150</v>
      </c>
      <c r="I123">
        <v>2050</v>
      </c>
      <c r="J123">
        <f t="shared" si="34"/>
        <v>152.5</v>
      </c>
      <c r="K123" cm="1">
        <f t="array" ref="K123">STOWA2019_JAARROND_T(A123*60,J123,I123,"WH","center")</f>
        <v>66.000073874082915</v>
      </c>
      <c r="L123">
        <f t="shared" si="35"/>
        <v>1.5151498192378276E-2</v>
      </c>
    </row>
    <row r="124" spans="1:12" x14ac:dyDescent="0.3">
      <c r="A124">
        <v>192</v>
      </c>
      <c r="B124">
        <f t="shared" si="32"/>
        <v>4.0379747598284395E-3</v>
      </c>
      <c r="C124">
        <f t="shared" si="28"/>
        <v>4.0379747598284395E-3</v>
      </c>
      <c r="D124" t="s">
        <v>30</v>
      </c>
      <c r="E124" t="s">
        <v>21</v>
      </c>
      <c r="F124">
        <v>1</v>
      </c>
      <c r="G124">
        <f t="shared" si="33"/>
        <v>155</v>
      </c>
      <c r="I124">
        <v>2050</v>
      </c>
      <c r="J124">
        <f t="shared" si="34"/>
        <v>157.5</v>
      </c>
      <c r="K124" cm="1">
        <f t="array" ref="K124">STOWA2019_JAARROND_T(A124*60,J124,I124,"WH","center")</f>
        <v>89.980464437691339</v>
      </c>
      <c r="L124">
        <f t="shared" si="35"/>
        <v>1.1113523432549836E-2</v>
      </c>
    </row>
    <row r="125" spans="1:12" x14ac:dyDescent="0.3">
      <c r="A125">
        <v>192</v>
      </c>
      <c r="B125" s="1">
        <f>L124</f>
        <v>1.1113523432549836E-2</v>
      </c>
      <c r="C125">
        <f t="shared" si="28"/>
        <v>1.1113523432549836E-2</v>
      </c>
      <c r="D125" t="s">
        <v>30</v>
      </c>
      <c r="E125" t="s">
        <v>21</v>
      </c>
      <c r="F125">
        <v>1</v>
      </c>
      <c r="G125">
        <f t="shared" si="33"/>
        <v>160</v>
      </c>
      <c r="I125">
        <v>2050</v>
      </c>
      <c r="J125">
        <f>AVERAGE(G125:G126)</f>
        <v>85</v>
      </c>
      <c r="K125" cm="1">
        <f t="array" ref="K125">STOWA2019_JAARROND_T(A125*60,J125,I125,"WH","center")</f>
        <v>1.0385062304569133</v>
      </c>
      <c r="L125">
        <f>1/K125</f>
        <v>0.96292152196335734</v>
      </c>
    </row>
    <row r="126" spans="1:12" x14ac:dyDescent="0.3">
      <c r="A126">
        <v>216</v>
      </c>
      <c r="B126" s="1">
        <f>365.25*24/A126 - L126</f>
        <v>-959.41666666666663</v>
      </c>
      <c r="C126">
        <f>B126</f>
        <v>-959.41666666666663</v>
      </c>
      <c r="D126" t="s">
        <v>30</v>
      </c>
      <c r="E126" t="s">
        <v>21</v>
      </c>
      <c r="F126">
        <v>1</v>
      </c>
      <c r="G126">
        <v>10</v>
      </c>
      <c r="I126">
        <v>2050</v>
      </c>
      <c r="J126">
        <f>AVERAGE(G126:G128)</f>
        <v>15</v>
      </c>
      <c r="K126" s="1">
        <v>1E-3</v>
      </c>
      <c r="L126">
        <f>1/K126</f>
        <v>1000</v>
      </c>
    </row>
    <row r="127" spans="1:12" x14ac:dyDescent="0.3">
      <c r="A127">
        <v>216</v>
      </c>
      <c r="B127">
        <f t="shared" ref="B127:B131" si="36">L126-L127</f>
        <v>0</v>
      </c>
      <c r="C127">
        <f t="shared" ref="C127:C156" si="37">B127</f>
        <v>0</v>
      </c>
      <c r="D127" t="s">
        <v>30</v>
      </c>
      <c r="E127" t="s">
        <v>21</v>
      </c>
      <c r="F127">
        <v>1</v>
      </c>
      <c r="G127">
        <f t="shared" ref="G127:G131" si="38">G126+5</f>
        <v>15</v>
      </c>
      <c r="I127">
        <v>2050</v>
      </c>
      <c r="J127">
        <f t="shared" ref="J127:J131" si="39">AVERAGE(G127:G128)</f>
        <v>17.5</v>
      </c>
      <c r="K127" s="1">
        <v>1E-3</v>
      </c>
      <c r="L127">
        <f t="shared" ref="L127:L131" si="40">1/K127</f>
        <v>1000</v>
      </c>
    </row>
    <row r="128" spans="1:12" x14ac:dyDescent="0.3">
      <c r="A128">
        <v>216</v>
      </c>
      <c r="B128">
        <f t="shared" si="36"/>
        <v>0</v>
      </c>
      <c r="C128">
        <f t="shared" si="37"/>
        <v>0</v>
      </c>
      <c r="D128" t="s">
        <v>30</v>
      </c>
      <c r="E128" t="s">
        <v>21</v>
      </c>
      <c r="F128">
        <v>1</v>
      </c>
      <c r="G128">
        <f t="shared" si="38"/>
        <v>20</v>
      </c>
      <c r="I128">
        <v>2050</v>
      </c>
      <c r="J128">
        <f t="shared" si="39"/>
        <v>22.5</v>
      </c>
      <c r="K128" s="1">
        <v>1E-3</v>
      </c>
      <c r="L128">
        <f t="shared" si="40"/>
        <v>1000</v>
      </c>
    </row>
    <row r="129" spans="1:12" x14ac:dyDescent="0.3">
      <c r="A129">
        <v>216</v>
      </c>
      <c r="B129">
        <f t="shared" si="36"/>
        <v>0</v>
      </c>
      <c r="C129">
        <f t="shared" si="37"/>
        <v>0</v>
      </c>
      <c r="D129" t="s">
        <v>30</v>
      </c>
      <c r="E129" t="s">
        <v>21</v>
      </c>
      <c r="F129">
        <v>1</v>
      </c>
      <c r="G129">
        <f t="shared" si="38"/>
        <v>25</v>
      </c>
      <c r="I129">
        <v>2050</v>
      </c>
      <c r="J129">
        <f t="shared" si="39"/>
        <v>27.5</v>
      </c>
      <c r="K129" s="1">
        <v>1E-3</v>
      </c>
      <c r="L129">
        <f t="shared" si="40"/>
        <v>1000</v>
      </c>
    </row>
    <row r="130" spans="1:12" x14ac:dyDescent="0.3">
      <c r="A130">
        <v>216</v>
      </c>
      <c r="B130">
        <f t="shared" si="36"/>
        <v>968.66396121700541</v>
      </c>
      <c r="C130">
        <f t="shared" si="37"/>
        <v>968.66396121700541</v>
      </c>
      <c r="D130" t="s">
        <v>30</v>
      </c>
      <c r="E130" t="s">
        <v>21</v>
      </c>
      <c r="F130">
        <v>1</v>
      </c>
      <c r="G130">
        <f t="shared" si="38"/>
        <v>30</v>
      </c>
      <c r="I130">
        <v>2050</v>
      </c>
      <c r="J130">
        <f t="shared" si="39"/>
        <v>32.5</v>
      </c>
      <c r="K130" cm="1">
        <f t="array" ref="K130">STOWA2019_JAARROND_T(A130*60,J130,I130,"WH","center")</f>
        <v>3.1912138190953385E-2</v>
      </c>
      <c r="L130">
        <f t="shared" si="40"/>
        <v>31.336038782994649</v>
      </c>
    </row>
    <row r="131" spans="1:12" x14ac:dyDescent="0.3">
      <c r="A131">
        <v>216</v>
      </c>
      <c r="B131">
        <f t="shared" si="36"/>
        <v>10.004507705795973</v>
      </c>
      <c r="C131">
        <f t="shared" si="37"/>
        <v>10.004507705795973</v>
      </c>
      <c r="D131" t="s">
        <v>30</v>
      </c>
      <c r="E131" t="s">
        <v>21</v>
      </c>
      <c r="F131">
        <v>1</v>
      </c>
      <c r="G131">
        <f t="shared" si="38"/>
        <v>35</v>
      </c>
      <c r="I131">
        <v>2050</v>
      </c>
      <c r="J131">
        <f t="shared" si="39"/>
        <v>37.5</v>
      </c>
      <c r="K131" cm="1">
        <f t="array" ref="K131">STOWA2019_JAARROND_T(A131*60,J131,I131,"WH","center")</f>
        <v>4.6878960370027187E-2</v>
      </c>
      <c r="L131">
        <f t="shared" si="40"/>
        <v>21.331531077198676</v>
      </c>
    </row>
    <row r="132" spans="1:12" x14ac:dyDescent="0.3">
      <c r="A132">
        <v>216</v>
      </c>
      <c r="B132">
        <f>L131-L132</f>
        <v>5.7963660815473599</v>
      </c>
      <c r="C132">
        <f t="shared" si="37"/>
        <v>5.7963660815473599</v>
      </c>
      <c r="D132" t="s">
        <v>30</v>
      </c>
      <c r="E132" t="s">
        <v>21</v>
      </c>
      <c r="F132">
        <v>1</v>
      </c>
      <c r="G132">
        <f>G131+5</f>
        <v>40</v>
      </c>
      <c r="I132">
        <v>2050</v>
      </c>
      <c r="J132">
        <f>AVERAGE(G132:G133)</f>
        <v>42.5</v>
      </c>
      <c r="K132" cm="1">
        <f t="array" ref="K132">STOWA2019_JAARROND_T(A132*60,J132,I132,"WH","center")</f>
        <v>6.4370091999661747E-2</v>
      </c>
      <c r="L132">
        <f>1/K132</f>
        <v>15.535164995651316</v>
      </c>
    </row>
    <row r="133" spans="1:12" x14ac:dyDescent="0.3">
      <c r="A133">
        <v>216</v>
      </c>
      <c r="B133">
        <f t="shared" ref="B133:B155" si="41">L132-L133</f>
        <v>4.0560248243086452</v>
      </c>
      <c r="C133">
        <f t="shared" si="37"/>
        <v>4.0560248243086452</v>
      </c>
      <c r="D133" t="s">
        <v>30</v>
      </c>
      <c r="E133" t="s">
        <v>21</v>
      </c>
      <c r="F133">
        <v>1</v>
      </c>
      <c r="G133">
        <f t="shared" ref="G133:G156" si="42">G132+5</f>
        <v>45</v>
      </c>
      <c r="I133">
        <v>2050</v>
      </c>
      <c r="J133">
        <f t="shared" ref="J133:J155" si="43">AVERAGE(G133:G134)</f>
        <v>47.5</v>
      </c>
      <c r="K133" cm="1">
        <f t="array" ref="K133">STOWA2019_JAARROND_T(A133*60,J133,I133,"WH","center")</f>
        <v>8.7114538639093367E-2</v>
      </c>
      <c r="L133">
        <f t="shared" ref="L133:L155" si="44">1/K133</f>
        <v>11.479140171342671</v>
      </c>
    </row>
    <row r="134" spans="1:12" x14ac:dyDescent="0.3">
      <c r="A134">
        <v>216</v>
      </c>
      <c r="B134">
        <f t="shared" si="41"/>
        <v>2.9482420990112743</v>
      </c>
      <c r="C134">
        <f t="shared" si="37"/>
        <v>2.9482420990112743</v>
      </c>
      <c r="D134" t="s">
        <v>30</v>
      </c>
      <c r="E134" t="s">
        <v>21</v>
      </c>
      <c r="F134">
        <v>1</v>
      </c>
      <c r="G134">
        <f t="shared" si="42"/>
        <v>50</v>
      </c>
      <c r="I134">
        <v>2050</v>
      </c>
      <c r="J134">
        <f t="shared" si="43"/>
        <v>52.5</v>
      </c>
      <c r="K134" cm="1">
        <f t="array" ref="K134">STOWA2019_JAARROND_T(A134*60,J134,I134,"WH","center")</f>
        <v>0.11722095276736925</v>
      </c>
      <c r="L134">
        <f t="shared" si="44"/>
        <v>8.5308980723313965</v>
      </c>
    </row>
    <row r="135" spans="1:12" x14ac:dyDescent="0.3">
      <c r="A135">
        <v>216</v>
      </c>
      <c r="B135">
        <f t="shared" si="41"/>
        <v>2.1748098363331918</v>
      </c>
      <c r="C135">
        <f t="shared" si="37"/>
        <v>2.1748098363331918</v>
      </c>
      <c r="D135" t="s">
        <v>30</v>
      </c>
      <c r="E135" t="s">
        <v>21</v>
      </c>
      <c r="F135">
        <v>1</v>
      </c>
      <c r="G135">
        <f t="shared" si="42"/>
        <v>55</v>
      </c>
      <c r="I135">
        <v>2050</v>
      </c>
      <c r="J135">
        <f t="shared" si="43"/>
        <v>57.5</v>
      </c>
      <c r="K135" cm="1">
        <f t="array" ref="K135">STOWA2019_JAARROND_T(A135*60,J135,I135,"WH","center")</f>
        <v>0.15732947103163569</v>
      </c>
      <c r="L135">
        <f t="shared" si="44"/>
        <v>6.3560882359982047</v>
      </c>
    </row>
    <row r="136" spans="1:12" x14ac:dyDescent="0.3">
      <c r="A136">
        <v>216</v>
      </c>
      <c r="B136">
        <f t="shared" si="41"/>
        <v>1.6151885603972422</v>
      </c>
      <c r="C136">
        <f t="shared" si="37"/>
        <v>1.6151885603972422</v>
      </c>
      <c r="D136" t="s">
        <v>30</v>
      </c>
      <c r="E136" t="s">
        <v>21</v>
      </c>
      <c r="F136">
        <v>1</v>
      </c>
      <c r="G136">
        <f t="shared" si="42"/>
        <v>60</v>
      </c>
      <c r="I136">
        <v>2050</v>
      </c>
      <c r="J136">
        <f t="shared" si="43"/>
        <v>62.5</v>
      </c>
      <c r="K136" cm="1">
        <f t="array" ref="K136">STOWA2019_JAARROND_T(A136*60,J136,I136,"WH","center")</f>
        <v>0.21093042848944882</v>
      </c>
      <c r="L136">
        <f t="shared" si="44"/>
        <v>4.7408996756009625</v>
      </c>
    </row>
    <row r="137" spans="1:12" x14ac:dyDescent="0.3">
      <c r="A137">
        <v>216</v>
      </c>
      <c r="B137">
        <f t="shared" si="41"/>
        <v>1.2036783787686454</v>
      </c>
      <c r="C137">
        <f t="shared" si="37"/>
        <v>1.2036783787686454</v>
      </c>
      <c r="D137" t="s">
        <v>30</v>
      </c>
      <c r="E137" t="s">
        <v>21</v>
      </c>
      <c r="F137">
        <v>1</v>
      </c>
      <c r="G137">
        <f t="shared" si="42"/>
        <v>65</v>
      </c>
      <c r="I137">
        <v>2050</v>
      </c>
      <c r="J137">
        <f t="shared" si="43"/>
        <v>67.5</v>
      </c>
      <c r="K137" cm="1">
        <f t="array" ref="K137">STOWA2019_JAARROND_T(A137*60,J137,I137,"WH","center")</f>
        <v>0.28270778559869258</v>
      </c>
      <c r="L137">
        <f t="shared" si="44"/>
        <v>3.5372212968323171</v>
      </c>
    </row>
    <row r="138" spans="1:12" x14ac:dyDescent="0.3">
      <c r="A138">
        <v>216</v>
      </c>
      <c r="B138">
        <f t="shared" si="41"/>
        <v>0.89852765391701617</v>
      </c>
      <c r="C138">
        <f t="shared" si="37"/>
        <v>0.89852765391701617</v>
      </c>
      <c r="D138" t="s">
        <v>30</v>
      </c>
      <c r="E138" t="s">
        <v>21</v>
      </c>
      <c r="F138">
        <v>1</v>
      </c>
      <c r="G138">
        <f t="shared" si="42"/>
        <v>70</v>
      </c>
      <c r="I138">
        <v>2050</v>
      </c>
      <c r="J138">
        <f t="shared" si="43"/>
        <v>72.5</v>
      </c>
      <c r="K138" cm="1">
        <f t="array" ref="K138">STOWA2019_JAARROND_T(A138*60,J138,I138,"WH","center")</f>
        <v>0.37897540803379232</v>
      </c>
      <c r="L138">
        <f t="shared" si="44"/>
        <v>2.638693642915301</v>
      </c>
    </row>
    <row r="139" spans="1:12" x14ac:dyDescent="0.3">
      <c r="A139">
        <v>216</v>
      </c>
      <c r="B139">
        <f t="shared" si="41"/>
        <v>0.67121647897326131</v>
      </c>
      <c r="C139">
        <f t="shared" si="37"/>
        <v>0.67121647897326131</v>
      </c>
      <c r="D139" t="s">
        <v>30</v>
      </c>
      <c r="E139" t="s">
        <v>21</v>
      </c>
      <c r="F139">
        <v>1</v>
      </c>
      <c r="G139">
        <f t="shared" si="42"/>
        <v>75</v>
      </c>
      <c r="I139">
        <v>2050</v>
      </c>
      <c r="J139">
        <f t="shared" si="43"/>
        <v>77.5</v>
      </c>
      <c r="K139" cm="1">
        <f t="array" ref="K139">STOWA2019_JAARROND_T(A139*60,J139,I139,"WH","center")</f>
        <v>0.50826511144678233</v>
      </c>
      <c r="L139">
        <f t="shared" si="44"/>
        <v>1.9674771639420396</v>
      </c>
    </row>
    <row r="140" spans="1:12" x14ac:dyDescent="0.3">
      <c r="A140">
        <v>216</v>
      </c>
      <c r="B140">
        <f t="shared" si="41"/>
        <v>0.50149331198520719</v>
      </c>
      <c r="C140">
        <f t="shared" si="37"/>
        <v>0.50149331198520719</v>
      </c>
      <c r="D140" t="s">
        <v>30</v>
      </c>
      <c r="E140" t="s">
        <v>21</v>
      </c>
      <c r="F140">
        <v>1</v>
      </c>
      <c r="G140">
        <f t="shared" si="42"/>
        <v>80</v>
      </c>
      <c r="I140">
        <v>2050</v>
      </c>
      <c r="J140">
        <f t="shared" si="43"/>
        <v>82.5</v>
      </c>
      <c r="K140" cm="1">
        <f t="array" ref="K140">STOWA2019_JAARROND_T(A140*60,J140,I140,"WH","center")</f>
        <v>0.68213575385920833</v>
      </c>
      <c r="L140">
        <f t="shared" si="44"/>
        <v>1.4659838519568325</v>
      </c>
    </row>
    <row r="141" spans="1:12" x14ac:dyDescent="0.3">
      <c r="A141">
        <v>216</v>
      </c>
      <c r="B141">
        <f t="shared" si="41"/>
        <v>0.37456842884760722</v>
      </c>
      <c r="C141">
        <f t="shared" si="37"/>
        <v>0.37456842884760722</v>
      </c>
      <c r="D141" t="s">
        <v>30</v>
      </c>
      <c r="E141" t="s">
        <v>21</v>
      </c>
      <c r="F141">
        <v>1</v>
      </c>
      <c r="G141">
        <f t="shared" si="42"/>
        <v>85</v>
      </c>
      <c r="I141">
        <v>2050</v>
      </c>
      <c r="J141">
        <f t="shared" si="43"/>
        <v>87.5</v>
      </c>
      <c r="K141" cm="1">
        <f t="array" ref="K141">STOWA2019_JAARROND_T(A141*60,J141,I141,"WH","center")</f>
        <v>0.91624140435105728</v>
      </c>
      <c r="L141">
        <f t="shared" si="44"/>
        <v>1.0914154231092252</v>
      </c>
    </row>
    <row r="142" spans="1:12" x14ac:dyDescent="0.3">
      <c r="A142">
        <v>216</v>
      </c>
      <c r="B142">
        <f t="shared" si="41"/>
        <v>0.27956045362307302</v>
      </c>
      <c r="C142">
        <f t="shared" si="37"/>
        <v>0.27956045362307302</v>
      </c>
      <c r="D142" t="s">
        <v>30</v>
      </c>
      <c r="E142" t="s">
        <v>21</v>
      </c>
      <c r="F142">
        <v>1</v>
      </c>
      <c r="G142">
        <f t="shared" si="42"/>
        <v>90</v>
      </c>
      <c r="I142">
        <v>2050</v>
      </c>
      <c r="J142">
        <f t="shared" si="43"/>
        <v>92.5</v>
      </c>
      <c r="K142" cm="1">
        <f t="array" ref="K142">STOWA2019_JAARROND_T(A142*60,J142,I142,"WH","center")</f>
        <v>1.231747094721771</v>
      </c>
      <c r="L142">
        <f t="shared" si="44"/>
        <v>0.81185496948615221</v>
      </c>
    </row>
    <row r="143" spans="1:12" x14ac:dyDescent="0.3">
      <c r="A143">
        <v>216</v>
      </c>
      <c r="B143">
        <f t="shared" si="41"/>
        <v>0.20861690857457849</v>
      </c>
      <c r="C143">
        <f t="shared" si="37"/>
        <v>0.20861690857457849</v>
      </c>
      <c r="D143" t="s">
        <v>30</v>
      </c>
      <c r="E143" t="s">
        <v>21</v>
      </c>
      <c r="F143">
        <v>1</v>
      </c>
      <c r="G143">
        <f t="shared" si="42"/>
        <v>95</v>
      </c>
      <c r="I143">
        <v>2050</v>
      </c>
      <c r="J143">
        <f t="shared" si="43"/>
        <v>97.5</v>
      </c>
      <c r="K143" cm="1">
        <f t="array" ref="K143">STOWA2019_JAARROND_T(A143*60,J143,I143,"WH","center")</f>
        <v>1.6577203343052753</v>
      </c>
      <c r="L143">
        <f t="shared" si="44"/>
        <v>0.60323806091157373</v>
      </c>
    </row>
    <row r="144" spans="1:12" x14ac:dyDescent="0.3">
      <c r="A144">
        <v>216</v>
      </c>
      <c r="B144">
        <f t="shared" si="41"/>
        <v>0.15549548677017183</v>
      </c>
      <c r="C144">
        <f t="shared" si="37"/>
        <v>0.15549548677017183</v>
      </c>
      <c r="D144" t="s">
        <v>30</v>
      </c>
      <c r="E144" t="s">
        <v>21</v>
      </c>
      <c r="F144">
        <v>1</v>
      </c>
      <c r="G144">
        <f t="shared" si="42"/>
        <v>100</v>
      </c>
      <c r="I144">
        <v>2050</v>
      </c>
      <c r="J144">
        <f t="shared" si="43"/>
        <v>102.5</v>
      </c>
      <c r="K144" cm="1">
        <f t="array" ref="K144">STOWA2019_JAARROND_T(A144*60,J144,I144,"WH","center")</f>
        <v>2.2334262090613461</v>
      </c>
      <c r="L144">
        <f t="shared" si="44"/>
        <v>0.44774257414140189</v>
      </c>
    </row>
    <row r="145" spans="1:12" x14ac:dyDescent="0.3">
      <c r="A145">
        <v>216</v>
      </c>
      <c r="B145">
        <f t="shared" si="41"/>
        <v>0.11579329047810022</v>
      </c>
      <c r="C145">
        <f t="shared" si="37"/>
        <v>0.11579329047810022</v>
      </c>
      <c r="D145" t="s">
        <v>30</v>
      </c>
      <c r="E145" t="s">
        <v>21</v>
      </c>
      <c r="F145">
        <v>1</v>
      </c>
      <c r="G145">
        <f t="shared" si="42"/>
        <v>105</v>
      </c>
      <c r="I145">
        <v>2050</v>
      </c>
      <c r="J145">
        <f t="shared" si="43"/>
        <v>107.5</v>
      </c>
      <c r="K145" cm="1">
        <f t="array" ref="K145">STOWA2019_JAARROND_T(A145*60,J145,I145,"WH","center")</f>
        <v>3.0125083837032962</v>
      </c>
      <c r="L145">
        <f t="shared" si="44"/>
        <v>0.33194928366330168</v>
      </c>
    </row>
    <row r="146" spans="1:12" x14ac:dyDescent="0.3">
      <c r="A146">
        <v>216</v>
      </c>
      <c r="B146">
        <f t="shared" si="41"/>
        <v>8.6138416713001847E-2</v>
      </c>
      <c r="C146">
        <f t="shared" si="37"/>
        <v>8.6138416713001847E-2</v>
      </c>
      <c r="D146" t="s">
        <v>30</v>
      </c>
      <c r="E146" t="s">
        <v>21</v>
      </c>
      <c r="F146">
        <v>1</v>
      </c>
      <c r="G146">
        <f t="shared" si="42"/>
        <v>110</v>
      </c>
      <c r="I146">
        <v>2050</v>
      </c>
      <c r="J146">
        <f t="shared" si="43"/>
        <v>112.5</v>
      </c>
      <c r="K146" cm="1">
        <f t="array" ref="K146">STOWA2019_JAARROND_T(A146*60,J146,I146,"WH","center")</f>
        <v>4.0681683946958644</v>
      </c>
      <c r="L146">
        <f t="shared" si="44"/>
        <v>0.24581086695029983</v>
      </c>
    </row>
    <row r="147" spans="1:12" x14ac:dyDescent="0.3">
      <c r="A147">
        <v>216</v>
      </c>
      <c r="B147">
        <f t="shared" si="41"/>
        <v>6.4006770399278268E-2</v>
      </c>
      <c r="C147">
        <f t="shared" si="37"/>
        <v>6.4006770399278268E-2</v>
      </c>
      <c r="D147" t="s">
        <v>30</v>
      </c>
      <c r="E147" t="s">
        <v>21</v>
      </c>
      <c r="F147">
        <v>1</v>
      </c>
      <c r="G147">
        <f t="shared" si="42"/>
        <v>115</v>
      </c>
      <c r="I147">
        <v>2050</v>
      </c>
      <c r="J147">
        <f t="shared" si="43"/>
        <v>117.5</v>
      </c>
      <c r="K147" cm="1">
        <f t="array" ref="K147">STOWA2019_JAARROND_T(A147*60,J147,I147,"WH","center")</f>
        <v>5.5004261123420815</v>
      </c>
      <c r="L147">
        <f t="shared" si="44"/>
        <v>0.18180409655102156</v>
      </c>
    </row>
    <row r="148" spans="1:12" x14ac:dyDescent="0.3">
      <c r="A148">
        <v>216</v>
      </c>
      <c r="B148">
        <f t="shared" si="41"/>
        <v>4.7508332190877356E-2</v>
      </c>
      <c r="C148">
        <f t="shared" si="37"/>
        <v>4.7508332190877356E-2</v>
      </c>
      <c r="D148" t="s">
        <v>30</v>
      </c>
      <c r="E148" t="s">
        <v>21</v>
      </c>
      <c r="F148">
        <v>1</v>
      </c>
      <c r="G148">
        <f t="shared" si="42"/>
        <v>120</v>
      </c>
      <c r="I148">
        <v>2050</v>
      </c>
      <c r="J148">
        <f t="shared" si="43"/>
        <v>122.5</v>
      </c>
      <c r="K148" cm="1">
        <f t="array" ref="K148">STOWA2019_JAARROND_T(A148*60,J148,I148,"WH","center")</f>
        <v>7.4462512259007356</v>
      </c>
      <c r="L148">
        <f t="shared" si="44"/>
        <v>0.1342957643601442</v>
      </c>
    </row>
    <row r="149" spans="1:12" x14ac:dyDescent="0.3">
      <c r="A149">
        <v>216</v>
      </c>
      <c r="B149">
        <f t="shared" si="41"/>
        <v>3.5221346060128028E-2</v>
      </c>
      <c r="C149">
        <f t="shared" si="37"/>
        <v>3.5221346060128028E-2</v>
      </c>
      <c r="D149" t="s">
        <v>30</v>
      </c>
      <c r="E149" t="s">
        <v>21</v>
      </c>
      <c r="F149">
        <v>1</v>
      </c>
      <c r="G149">
        <f t="shared" si="42"/>
        <v>125</v>
      </c>
      <c r="I149">
        <v>2050</v>
      </c>
      <c r="J149">
        <f t="shared" si="43"/>
        <v>127.5</v>
      </c>
      <c r="K149" cm="1">
        <f t="array" ref="K149">STOWA2019_JAARROND_T(A149*60,J149,I149,"WH","center")</f>
        <v>10.093422875033289</v>
      </c>
      <c r="L149">
        <f t="shared" si="44"/>
        <v>9.9074418300016176E-2</v>
      </c>
    </row>
    <row r="150" spans="1:12" x14ac:dyDescent="0.3">
      <c r="A150">
        <v>216</v>
      </c>
      <c r="B150">
        <f t="shared" si="41"/>
        <v>2.607892644929366E-2</v>
      </c>
      <c r="C150">
        <f t="shared" si="37"/>
        <v>2.607892644929366E-2</v>
      </c>
      <c r="D150" t="s">
        <v>30</v>
      </c>
      <c r="E150" t="s">
        <v>21</v>
      </c>
      <c r="F150">
        <v>1</v>
      </c>
      <c r="G150">
        <f t="shared" si="42"/>
        <v>130</v>
      </c>
      <c r="I150">
        <v>2050</v>
      </c>
      <c r="J150">
        <f t="shared" si="43"/>
        <v>132.5</v>
      </c>
      <c r="K150" cm="1">
        <f t="array" ref="K150">STOWA2019_JAARROND_T(A150*60,J150,I150,"WH","center")</f>
        <v>13.699476154568877</v>
      </c>
      <c r="L150">
        <f t="shared" si="44"/>
        <v>7.2995491850722516E-2</v>
      </c>
    </row>
    <row r="151" spans="1:12" x14ac:dyDescent="0.3">
      <c r="A151">
        <v>216</v>
      </c>
      <c r="B151">
        <f t="shared" si="41"/>
        <v>1.9285826875673082E-2</v>
      </c>
      <c r="C151">
        <f t="shared" si="37"/>
        <v>1.9285826875673082E-2</v>
      </c>
      <c r="D151" t="s">
        <v>30</v>
      </c>
      <c r="E151" t="s">
        <v>21</v>
      </c>
      <c r="F151">
        <v>1</v>
      </c>
      <c r="G151">
        <f t="shared" si="42"/>
        <v>135</v>
      </c>
      <c r="I151">
        <v>2050</v>
      </c>
      <c r="J151">
        <f t="shared" si="43"/>
        <v>137.5</v>
      </c>
      <c r="K151" cm="1">
        <f t="array" ref="K151">STOWA2019_JAARROND_T(A151*60,J151,I151,"WH","center")</f>
        <v>18.618622932474914</v>
      </c>
      <c r="L151">
        <f t="shared" si="44"/>
        <v>5.3709664975049434E-2</v>
      </c>
    </row>
    <row r="152" spans="1:12" x14ac:dyDescent="0.3">
      <c r="A152">
        <v>216</v>
      </c>
      <c r="B152">
        <f t="shared" si="41"/>
        <v>1.4244100150609493E-2</v>
      </c>
      <c r="C152">
        <f t="shared" si="37"/>
        <v>1.4244100150609493E-2</v>
      </c>
      <c r="D152" t="s">
        <v>30</v>
      </c>
      <c r="E152" t="s">
        <v>21</v>
      </c>
      <c r="F152">
        <v>1</v>
      </c>
      <c r="G152">
        <f t="shared" si="42"/>
        <v>140</v>
      </c>
      <c r="I152">
        <v>2050</v>
      </c>
      <c r="J152">
        <f t="shared" si="43"/>
        <v>142.5</v>
      </c>
      <c r="K152" cm="1">
        <f t="array" ref="K152">STOWA2019_JAARROND_T(A152*60,J152,I152,"WH","center")</f>
        <v>25.338545246937084</v>
      </c>
      <c r="L152">
        <f t="shared" si="44"/>
        <v>3.9465564824439942E-2</v>
      </c>
    </row>
    <row r="153" spans="1:12" x14ac:dyDescent="0.3">
      <c r="A153">
        <v>216</v>
      </c>
      <c r="B153">
        <f t="shared" si="41"/>
        <v>1.0506137941104735E-2</v>
      </c>
      <c r="C153">
        <f t="shared" si="37"/>
        <v>1.0506137941104735E-2</v>
      </c>
      <c r="D153" t="s">
        <v>30</v>
      </c>
      <c r="E153" t="s">
        <v>21</v>
      </c>
      <c r="F153">
        <v>1</v>
      </c>
      <c r="G153">
        <f t="shared" si="42"/>
        <v>145</v>
      </c>
      <c r="I153">
        <v>2050</v>
      </c>
      <c r="J153">
        <f t="shared" si="43"/>
        <v>147.5</v>
      </c>
      <c r="K153" cm="1">
        <f t="array" ref="K153">STOWA2019_JAARROND_T(A153*60,J153,I153,"WH","center")</f>
        <v>34.531070108139922</v>
      </c>
      <c r="L153">
        <f t="shared" si="44"/>
        <v>2.8959426883335207E-2</v>
      </c>
    </row>
    <row r="154" spans="1:12" x14ac:dyDescent="0.3">
      <c r="A154">
        <v>216</v>
      </c>
      <c r="B154">
        <f t="shared" si="41"/>
        <v>7.7389101423515072E-3</v>
      </c>
      <c r="C154">
        <f t="shared" si="37"/>
        <v>7.7389101423515072E-3</v>
      </c>
      <c r="D154" t="s">
        <v>30</v>
      </c>
      <c r="E154" t="s">
        <v>21</v>
      </c>
      <c r="F154">
        <v>1</v>
      </c>
      <c r="G154">
        <f t="shared" si="42"/>
        <v>150</v>
      </c>
      <c r="I154">
        <v>2050</v>
      </c>
      <c r="J154">
        <f t="shared" si="43"/>
        <v>152.5</v>
      </c>
      <c r="K154" cm="1">
        <f t="array" ref="K154">STOWA2019_JAARROND_T(A154*60,J154,I154,"WH","center")</f>
        <v>47.12420589026825</v>
      </c>
      <c r="L154">
        <f t="shared" si="44"/>
        <v>2.12205167409837E-2</v>
      </c>
    </row>
    <row r="155" spans="1:12" x14ac:dyDescent="0.3">
      <c r="A155">
        <v>216</v>
      </c>
      <c r="B155">
        <f t="shared" si="41"/>
        <v>5.6928789907580869E-3</v>
      </c>
      <c r="C155">
        <f t="shared" si="37"/>
        <v>5.6928789907580869E-3</v>
      </c>
      <c r="D155" t="s">
        <v>30</v>
      </c>
      <c r="E155" t="s">
        <v>21</v>
      </c>
      <c r="F155">
        <v>1</v>
      </c>
      <c r="G155">
        <f t="shared" si="42"/>
        <v>155</v>
      </c>
      <c r="I155">
        <v>2050</v>
      </c>
      <c r="J155">
        <f t="shared" si="43"/>
        <v>157.5</v>
      </c>
      <c r="K155" cm="1">
        <f t="array" ref="K155">STOWA2019_JAARROND_T(A155*60,J155,I155,"WH","center")</f>
        <v>64.401296326317905</v>
      </c>
      <c r="L155">
        <f t="shared" si="44"/>
        <v>1.5527637750225613E-2</v>
      </c>
    </row>
    <row r="156" spans="1:12" x14ac:dyDescent="0.3">
      <c r="A156">
        <v>216</v>
      </c>
      <c r="B156" s="1">
        <f>L155</f>
        <v>1.5527637750225613E-2</v>
      </c>
      <c r="C156">
        <f t="shared" si="37"/>
        <v>1.5527637750225613E-2</v>
      </c>
      <c r="D156" t="s">
        <v>30</v>
      </c>
      <c r="E156" t="s">
        <v>21</v>
      </c>
      <c r="F156">
        <v>1</v>
      </c>
      <c r="G156">
        <f t="shared" si="42"/>
        <v>160</v>
      </c>
      <c r="I156">
        <v>2050</v>
      </c>
      <c r="J156">
        <f>AVERAGE(G156:G157)</f>
        <v>160</v>
      </c>
      <c r="K156" cm="1">
        <f t="array" ref="K156">STOWA2019_JAARROND_T(A156*60,J156,I156,"WH","center")</f>
        <v>75.327134059628776</v>
      </c>
      <c r="L156">
        <f>1/K156</f>
        <v>1.3275428734729273E-2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8ABFD-8CAA-4134-BD5A-F75E1C02905A}">
  <sheetPr codeName="Blad16"/>
  <dimension ref="A1:L156"/>
  <sheetViews>
    <sheetView workbookViewId="0">
      <selection activeCell="D7" sqref="D7"/>
    </sheetView>
  </sheetViews>
  <sheetFormatPr defaultRowHeight="14.4" x14ac:dyDescent="0.3"/>
  <cols>
    <col min="2" max="3" width="12" bestFit="1" customWidth="1"/>
    <col min="4" max="4" width="27.21875" bestFit="1" customWidth="1"/>
    <col min="11" max="11" width="10.5546875" bestFit="1" customWidth="1"/>
  </cols>
  <sheetData>
    <row r="1" spans="1:12" x14ac:dyDescent="0.3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20</v>
      </c>
      <c r="G1" t="s">
        <v>1</v>
      </c>
      <c r="I1" t="s">
        <v>4</v>
      </c>
      <c r="J1" t="s">
        <v>13</v>
      </c>
      <c r="K1" t="s">
        <v>2</v>
      </c>
      <c r="L1" t="s">
        <v>3</v>
      </c>
    </row>
    <row r="2" spans="1:12" x14ac:dyDescent="0.3">
      <c r="A2">
        <v>24</v>
      </c>
      <c r="B2" s="1">
        <f>365.25*24/A2 - L2</f>
        <v>356.68997110411306</v>
      </c>
      <c r="C2">
        <f>B2</f>
        <v>356.68997110411306</v>
      </c>
      <c r="D2" t="s">
        <v>30</v>
      </c>
      <c r="E2" t="s">
        <v>19</v>
      </c>
      <c r="F2">
        <v>1</v>
      </c>
      <c r="G2">
        <v>10</v>
      </c>
      <c r="I2">
        <v>2050</v>
      </c>
      <c r="J2">
        <f>AVERAGE(G2:G4)</f>
        <v>15</v>
      </c>
      <c r="K2" cm="1">
        <f t="array" ref="K2">STOWA2019_NDJF_T(A2*60,J2,I2,"WH","center")</f>
        <v>0.11682203555183028</v>
      </c>
      <c r="L2">
        <f>1/K2</f>
        <v>8.5600288958869513</v>
      </c>
    </row>
    <row r="3" spans="1:12" x14ac:dyDescent="0.3">
      <c r="A3">
        <v>24</v>
      </c>
      <c r="B3">
        <f t="shared" ref="B3:B7" si="0">L2-L3</f>
        <v>3.0584900640808232</v>
      </c>
      <c r="C3">
        <f t="shared" ref="C3:C32" si="1">B3</f>
        <v>3.0584900640808232</v>
      </c>
      <c r="D3" t="s">
        <v>30</v>
      </c>
      <c r="E3" t="s">
        <v>19</v>
      </c>
      <c r="F3">
        <v>1</v>
      </c>
      <c r="G3">
        <f t="shared" ref="G3:G7" si="2">G2+5</f>
        <v>15</v>
      </c>
      <c r="I3">
        <v>2050</v>
      </c>
      <c r="J3">
        <f t="shared" ref="J3:J7" si="3">AVERAGE(G3:G4)</f>
        <v>17.5</v>
      </c>
      <c r="K3" cm="1">
        <f t="array" ref="K3">STOWA2019_NDJF_T(A3*60,J3,I3,"WH","center")</f>
        <v>0.18176732557419847</v>
      </c>
      <c r="L3">
        <f t="shared" ref="L3:L7" si="4">1/K3</f>
        <v>5.501538831806128</v>
      </c>
    </row>
    <row r="4" spans="1:12" x14ac:dyDescent="0.3">
      <c r="A4">
        <v>24</v>
      </c>
      <c r="B4">
        <f t="shared" si="0"/>
        <v>3.1347166660282926</v>
      </c>
      <c r="C4">
        <f t="shared" si="1"/>
        <v>3.1347166660282926</v>
      </c>
      <c r="D4" t="s">
        <v>30</v>
      </c>
      <c r="E4" t="s">
        <v>19</v>
      </c>
      <c r="F4">
        <v>1</v>
      </c>
      <c r="G4">
        <f t="shared" si="2"/>
        <v>20</v>
      </c>
      <c r="I4">
        <v>2050</v>
      </c>
      <c r="J4">
        <f t="shared" si="3"/>
        <v>22.5</v>
      </c>
      <c r="K4" cm="1">
        <f t="array" ref="K4">STOWA2019_NDJF_T(A4*60,J4,I4,"WH","center")</f>
        <v>0.42250745090151659</v>
      </c>
      <c r="L4">
        <f t="shared" si="4"/>
        <v>2.3668221657778354</v>
      </c>
    </row>
    <row r="5" spans="1:12" x14ac:dyDescent="0.3">
      <c r="A5">
        <v>24</v>
      </c>
      <c r="B5">
        <f t="shared" si="0"/>
        <v>1.2975329068203953</v>
      </c>
      <c r="C5">
        <f t="shared" si="1"/>
        <v>1.2975329068203953</v>
      </c>
      <c r="D5" t="s">
        <v>30</v>
      </c>
      <c r="E5" t="s">
        <v>19</v>
      </c>
      <c r="F5">
        <v>1</v>
      </c>
      <c r="G5">
        <f t="shared" si="2"/>
        <v>25</v>
      </c>
      <c r="I5">
        <v>2050</v>
      </c>
      <c r="J5">
        <f t="shared" si="3"/>
        <v>27.5</v>
      </c>
      <c r="K5" cm="1">
        <f t="array" ref="K5">STOWA2019_NDJF_T(A5*60,J5,I5,"WH","center")</f>
        <v>0.93520064063395036</v>
      </c>
      <c r="L5">
        <f t="shared" si="4"/>
        <v>1.0692892589574401</v>
      </c>
    </row>
    <row r="6" spans="1:12" x14ac:dyDescent="0.3">
      <c r="A6">
        <v>24</v>
      </c>
      <c r="B6">
        <f t="shared" si="0"/>
        <v>0.56460252875648143</v>
      </c>
      <c r="C6">
        <f t="shared" si="1"/>
        <v>0.56460252875648143</v>
      </c>
      <c r="D6" t="s">
        <v>30</v>
      </c>
      <c r="E6" t="s">
        <v>19</v>
      </c>
      <c r="F6">
        <v>1</v>
      </c>
      <c r="G6">
        <f t="shared" si="2"/>
        <v>30</v>
      </c>
      <c r="I6">
        <v>2050</v>
      </c>
      <c r="J6">
        <f t="shared" si="3"/>
        <v>32.5</v>
      </c>
      <c r="K6" cm="1">
        <f t="array" ref="K6">STOWA2019_NDJF_T(A6*60,J6,I6,"WH","center")</f>
        <v>1.9814271708745244</v>
      </c>
      <c r="L6">
        <f t="shared" si="4"/>
        <v>0.50468673020095867</v>
      </c>
    </row>
    <row r="7" spans="1:12" x14ac:dyDescent="0.3">
      <c r="A7">
        <v>24</v>
      </c>
      <c r="B7">
        <f t="shared" si="0"/>
        <v>0.25703938425148309</v>
      </c>
      <c r="C7">
        <f t="shared" si="1"/>
        <v>0.25703938425148309</v>
      </c>
      <c r="D7" t="s">
        <v>30</v>
      </c>
      <c r="E7" t="s">
        <v>19</v>
      </c>
      <c r="F7">
        <v>1</v>
      </c>
      <c r="G7">
        <f t="shared" si="2"/>
        <v>35</v>
      </c>
      <c r="I7">
        <v>2050</v>
      </c>
      <c r="J7">
        <f t="shared" si="3"/>
        <v>37.5</v>
      </c>
      <c r="K7" cm="1">
        <f t="array" ref="K7">STOWA2019_NDJF_T(A7*60,J7,I7,"WH","center")</f>
        <v>4.0380000688721998</v>
      </c>
      <c r="L7">
        <f t="shared" si="4"/>
        <v>0.2476473459494756</v>
      </c>
    </row>
    <row r="8" spans="1:12" x14ac:dyDescent="0.3">
      <c r="A8">
        <v>24</v>
      </c>
      <c r="B8">
        <f>L7-L8</f>
        <v>0.12177781582234307</v>
      </c>
      <c r="C8">
        <f t="shared" si="1"/>
        <v>0.12177781582234307</v>
      </c>
      <c r="D8" t="s">
        <v>30</v>
      </c>
      <c r="E8" t="s">
        <v>19</v>
      </c>
      <c r="F8">
        <v>1</v>
      </c>
      <c r="G8">
        <f>G7+5</f>
        <v>40</v>
      </c>
      <c r="I8">
        <v>2050</v>
      </c>
      <c r="J8">
        <f>AVERAGE(G8:G9)</f>
        <v>42.5</v>
      </c>
      <c r="K8" cm="1">
        <f t="array" ref="K8">STOWA2019_NDJF_T(A8*60,J8,I8,"WH","center")</f>
        <v>7.9447345119185382</v>
      </c>
      <c r="L8">
        <f>1/K8</f>
        <v>0.12586953012713253</v>
      </c>
    </row>
    <row r="9" spans="1:12" x14ac:dyDescent="0.3">
      <c r="A9">
        <v>24</v>
      </c>
      <c r="B9">
        <f t="shared" ref="B9:B31" si="5">L8-L9</f>
        <v>5.9823200019957071E-2</v>
      </c>
      <c r="C9">
        <f t="shared" si="1"/>
        <v>5.9823200019957071E-2</v>
      </c>
      <c r="D9" t="s">
        <v>30</v>
      </c>
      <c r="E9" t="s">
        <v>19</v>
      </c>
      <c r="F9">
        <v>1</v>
      </c>
      <c r="G9">
        <f t="shared" ref="G9:G32" si="6">G8+5</f>
        <v>45</v>
      </c>
      <c r="I9">
        <v>2050</v>
      </c>
      <c r="J9">
        <f t="shared" ref="J9:J31" si="7">AVERAGE(G9:G10)</f>
        <v>47.5</v>
      </c>
      <c r="K9" cm="1">
        <f t="array" ref="K9">STOWA2019_NDJF_T(A9*60,J9,I9,"WH","center")</f>
        <v>15.140886683291388</v>
      </c>
      <c r="L9">
        <f t="shared" ref="L9:L31" si="8">1/K9</f>
        <v>6.6046330107175463E-2</v>
      </c>
    </row>
    <row r="10" spans="1:12" x14ac:dyDescent="0.3">
      <c r="A10">
        <v>24</v>
      </c>
      <c r="B10">
        <f t="shared" si="5"/>
        <v>3.0371004778557982E-2</v>
      </c>
      <c r="C10">
        <f t="shared" si="1"/>
        <v>3.0371004778557982E-2</v>
      </c>
      <c r="D10" t="s">
        <v>30</v>
      </c>
      <c r="E10" t="s">
        <v>19</v>
      </c>
      <c r="F10">
        <v>1</v>
      </c>
      <c r="G10">
        <f t="shared" si="6"/>
        <v>50</v>
      </c>
      <c r="I10">
        <v>2050</v>
      </c>
      <c r="J10">
        <f t="shared" si="7"/>
        <v>52.5</v>
      </c>
      <c r="K10" cm="1">
        <f t="array" ref="K10">STOWA2019_NDJF_T(A10*60,J10,I10,"WH","center")</f>
        <v>28.030578299949948</v>
      </c>
      <c r="L10">
        <f t="shared" si="8"/>
        <v>3.5675325328617481E-2</v>
      </c>
    </row>
    <row r="11" spans="1:12" x14ac:dyDescent="0.3">
      <c r="A11">
        <v>24</v>
      </c>
      <c r="B11">
        <f t="shared" si="5"/>
        <v>1.5887368025866086E-2</v>
      </c>
      <c r="C11">
        <f t="shared" si="1"/>
        <v>1.5887368025866086E-2</v>
      </c>
      <c r="D11" t="s">
        <v>30</v>
      </c>
      <c r="E11" t="s">
        <v>19</v>
      </c>
      <c r="F11">
        <v>1</v>
      </c>
      <c r="G11">
        <f t="shared" si="6"/>
        <v>55</v>
      </c>
      <c r="I11">
        <v>2050</v>
      </c>
      <c r="J11">
        <f t="shared" si="7"/>
        <v>57.5</v>
      </c>
      <c r="K11" cm="1">
        <f t="array" ref="K11">STOWA2019_NDJF_T(A11*60,J11,I11,"WH","center")</f>
        <v>50.535787231608595</v>
      </c>
      <c r="L11">
        <f t="shared" si="8"/>
        <v>1.9787957302751395E-2</v>
      </c>
    </row>
    <row r="12" spans="1:12" x14ac:dyDescent="0.3">
      <c r="A12">
        <v>24</v>
      </c>
      <c r="B12">
        <f t="shared" si="5"/>
        <v>8.5421039541693847E-3</v>
      </c>
      <c r="C12">
        <f t="shared" si="1"/>
        <v>8.5421039541693847E-3</v>
      </c>
      <c r="D12" t="s">
        <v>30</v>
      </c>
      <c r="E12" t="s">
        <v>19</v>
      </c>
      <c r="F12">
        <v>1</v>
      </c>
      <c r="G12">
        <f t="shared" si="6"/>
        <v>60</v>
      </c>
      <c r="I12">
        <v>2050</v>
      </c>
      <c r="J12">
        <f t="shared" si="7"/>
        <v>62.5</v>
      </c>
      <c r="K12" cm="1">
        <f t="array" ref="K12">STOWA2019_NDJF_T(A12*60,J12,I12,"WH","center")</f>
        <v>88.921664635266652</v>
      </c>
      <c r="L12">
        <f t="shared" si="8"/>
        <v>1.1245853348582011E-2</v>
      </c>
    </row>
    <row r="13" spans="1:12" x14ac:dyDescent="0.3">
      <c r="A13">
        <v>24</v>
      </c>
      <c r="B13">
        <f t="shared" si="5"/>
        <v>4.7099453047518619E-3</v>
      </c>
      <c r="C13">
        <f t="shared" si="1"/>
        <v>4.7099453047518619E-3</v>
      </c>
      <c r="D13" t="s">
        <v>30</v>
      </c>
      <c r="E13" t="s">
        <v>19</v>
      </c>
      <c r="F13">
        <v>1</v>
      </c>
      <c r="G13">
        <f t="shared" si="6"/>
        <v>65</v>
      </c>
      <c r="I13">
        <v>2050</v>
      </c>
      <c r="J13">
        <f t="shared" si="7"/>
        <v>67.5</v>
      </c>
      <c r="K13" cm="1">
        <f t="array" ref="K13">STOWA2019_NDJF_T(A13*60,J13,I13,"WH","center")</f>
        <v>153.00092860761603</v>
      </c>
      <c r="L13">
        <f t="shared" si="8"/>
        <v>6.5359080438301487E-3</v>
      </c>
    </row>
    <row r="14" spans="1:12" x14ac:dyDescent="0.3">
      <c r="A14">
        <v>24</v>
      </c>
      <c r="B14">
        <f t="shared" si="5"/>
        <v>2.6579315028461628E-3</v>
      </c>
      <c r="C14">
        <f t="shared" si="1"/>
        <v>2.6579315028461628E-3</v>
      </c>
      <c r="D14" t="s">
        <v>30</v>
      </c>
      <c r="E14" t="s">
        <v>19</v>
      </c>
      <c r="F14">
        <v>1</v>
      </c>
      <c r="G14">
        <f t="shared" si="6"/>
        <v>70</v>
      </c>
      <c r="I14">
        <v>2050</v>
      </c>
      <c r="J14">
        <f t="shared" si="7"/>
        <v>72.5</v>
      </c>
      <c r="K14" cm="1">
        <f t="array" ref="K14">STOWA2019_NDJF_T(A14*60,J14,I14,"WH","center")</f>
        <v>257.86643870369136</v>
      </c>
      <c r="L14">
        <f t="shared" si="8"/>
        <v>3.8779765409839859E-3</v>
      </c>
    </row>
    <row r="15" spans="1:12" x14ac:dyDescent="0.3">
      <c r="A15">
        <v>24</v>
      </c>
      <c r="B15">
        <f t="shared" si="5"/>
        <v>1.5325511846983066E-3</v>
      </c>
      <c r="C15">
        <f t="shared" si="1"/>
        <v>1.5325511846983066E-3</v>
      </c>
      <c r="D15" t="s">
        <v>30</v>
      </c>
      <c r="E15" t="s">
        <v>19</v>
      </c>
      <c r="F15">
        <v>1</v>
      </c>
      <c r="G15">
        <f t="shared" si="6"/>
        <v>75</v>
      </c>
      <c r="I15">
        <v>2050</v>
      </c>
      <c r="J15">
        <f t="shared" si="7"/>
        <v>77.5</v>
      </c>
      <c r="K15" cm="1">
        <f t="array" ref="K15">STOWA2019_NDJF_T(A15*60,J15,I15,"WH","center")</f>
        <v>426.36189521871836</v>
      </c>
      <c r="L15">
        <f t="shared" si="8"/>
        <v>2.3454253562856793E-3</v>
      </c>
    </row>
    <row r="16" spans="1:12" x14ac:dyDescent="0.3">
      <c r="A16">
        <v>24</v>
      </c>
      <c r="B16">
        <f t="shared" si="5"/>
        <v>9.0140045618086837E-4</v>
      </c>
      <c r="C16">
        <f t="shared" si="1"/>
        <v>9.0140045618086837E-4</v>
      </c>
      <c r="D16" t="s">
        <v>30</v>
      </c>
      <c r="E16" t="s">
        <v>19</v>
      </c>
      <c r="F16">
        <v>1</v>
      </c>
      <c r="G16">
        <f t="shared" si="6"/>
        <v>80</v>
      </c>
      <c r="I16">
        <v>2050</v>
      </c>
      <c r="J16">
        <f t="shared" si="7"/>
        <v>82.5</v>
      </c>
      <c r="K16" cm="1">
        <f t="array" ref="K16">STOWA2019_NDJF_T(A16*60,J16,I16,"WH","center")</f>
        <v>692.50883411180621</v>
      </c>
      <c r="L16">
        <f t="shared" si="8"/>
        <v>1.4440249001048109E-3</v>
      </c>
    </row>
    <row r="17" spans="1:12" x14ac:dyDescent="0.3">
      <c r="A17">
        <v>24</v>
      </c>
      <c r="B17">
        <f t="shared" si="5"/>
        <v>5.4010241843658973E-4</v>
      </c>
      <c r="C17">
        <f t="shared" si="1"/>
        <v>5.4010241843658973E-4</v>
      </c>
      <c r="D17" t="s">
        <v>30</v>
      </c>
      <c r="E17" t="s">
        <v>19</v>
      </c>
      <c r="F17">
        <v>1</v>
      </c>
      <c r="G17">
        <f t="shared" si="6"/>
        <v>85</v>
      </c>
      <c r="I17">
        <v>2050</v>
      </c>
      <c r="J17">
        <f t="shared" si="7"/>
        <v>87.5</v>
      </c>
      <c r="K17" cm="1">
        <f t="array" ref="K17">STOWA2019_NDJF_T(A17*60,J17,I17,"WH","center")</f>
        <v>1106.2895550008495</v>
      </c>
      <c r="L17">
        <f t="shared" si="8"/>
        <v>9.0392248166822119E-4</v>
      </c>
    </row>
    <row r="18" spans="1:12" x14ac:dyDescent="0.3">
      <c r="A18">
        <v>24</v>
      </c>
      <c r="B18">
        <f t="shared" si="5"/>
        <v>3.2925275724318128E-4</v>
      </c>
      <c r="C18">
        <f t="shared" si="1"/>
        <v>3.2925275724318128E-4</v>
      </c>
      <c r="D18" t="s">
        <v>30</v>
      </c>
      <c r="E18" t="s">
        <v>19</v>
      </c>
      <c r="F18">
        <v>1</v>
      </c>
      <c r="G18">
        <f t="shared" si="6"/>
        <v>90</v>
      </c>
      <c r="I18">
        <v>2050</v>
      </c>
      <c r="J18">
        <f t="shared" si="7"/>
        <v>92.5</v>
      </c>
      <c r="K18" cm="1">
        <f t="array" ref="K18">STOWA2019_NDJF_T(A18*60,J18,I18,"WH","center")</f>
        <v>1740.1299520355024</v>
      </c>
      <c r="L18">
        <f t="shared" si="8"/>
        <v>5.746697244250399E-4</v>
      </c>
    </row>
    <row r="19" spans="1:12" x14ac:dyDescent="0.3">
      <c r="A19">
        <v>24</v>
      </c>
      <c r="B19">
        <f t="shared" si="5"/>
        <v>2.0399060235577916E-4</v>
      </c>
      <c r="C19">
        <f t="shared" si="1"/>
        <v>2.0399060235577916E-4</v>
      </c>
      <c r="D19" t="s">
        <v>30</v>
      </c>
      <c r="E19" t="s">
        <v>19</v>
      </c>
      <c r="F19">
        <v>1</v>
      </c>
      <c r="G19">
        <f t="shared" si="6"/>
        <v>95</v>
      </c>
      <c r="I19">
        <v>2050</v>
      </c>
      <c r="J19">
        <f t="shared" si="7"/>
        <v>97.5</v>
      </c>
      <c r="K19" cm="1">
        <f t="array" ref="K19">STOWA2019_NDJF_T(A19*60,J19,I19,"WH","center")</f>
        <v>2697.7510748856034</v>
      </c>
      <c r="L19">
        <f t="shared" si="8"/>
        <v>3.7067912206926074E-4</v>
      </c>
    </row>
    <row r="20" spans="1:12" x14ac:dyDescent="0.3">
      <c r="A20">
        <v>24</v>
      </c>
      <c r="B20">
        <f t="shared" si="5"/>
        <v>1.2830448490237431E-4</v>
      </c>
      <c r="C20">
        <f t="shared" si="1"/>
        <v>1.2830448490237431E-4</v>
      </c>
      <c r="D20" t="s">
        <v>30</v>
      </c>
      <c r="E20" t="s">
        <v>19</v>
      </c>
      <c r="F20">
        <v>1</v>
      </c>
      <c r="G20">
        <f t="shared" si="6"/>
        <v>100</v>
      </c>
      <c r="I20">
        <v>2050</v>
      </c>
      <c r="J20">
        <f t="shared" si="7"/>
        <v>102.5</v>
      </c>
      <c r="K20" cm="1">
        <f t="array" ref="K20">STOWA2019_NDJF_T(A20*60,J20,I20,"WH","center")</f>
        <v>4125.8442372064392</v>
      </c>
      <c r="L20">
        <f t="shared" si="8"/>
        <v>2.4237463716688643E-4</v>
      </c>
    </row>
    <row r="21" spans="1:12" x14ac:dyDescent="0.3">
      <c r="A21">
        <v>24</v>
      </c>
      <c r="B21">
        <f t="shared" si="5"/>
        <v>8.185678465324827E-5</v>
      </c>
      <c r="C21">
        <f t="shared" si="1"/>
        <v>8.185678465324827E-5</v>
      </c>
      <c r="D21" t="s">
        <v>30</v>
      </c>
      <c r="E21" t="s">
        <v>19</v>
      </c>
      <c r="F21">
        <v>1</v>
      </c>
      <c r="G21">
        <f t="shared" si="6"/>
        <v>105</v>
      </c>
      <c r="I21">
        <v>2050</v>
      </c>
      <c r="J21">
        <f t="shared" si="7"/>
        <v>107.5</v>
      </c>
      <c r="K21" cm="1">
        <f t="array" ref="K21">STOWA2019_NDJF_T(A21*60,J21,I21,"WH","center")</f>
        <v>6229.8366464567334</v>
      </c>
      <c r="L21">
        <f t="shared" si="8"/>
        <v>1.6051785251363816E-4</v>
      </c>
    </row>
    <row r="22" spans="1:12" x14ac:dyDescent="0.3">
      <c r="A22">
        <v>24</v>
      </c>
      <c r="B22">
        <f t="shared" si="5"/>
        <v>5.2923633036990918E-5</v>
      </c>
      <c r="C22">
        <f t="shared" si="1"/>
        <v>5.2923633036990918E-5</v>
      </c>
      <c r="D22" t="s">
        <v>30</v>
      </c>
      <c r="E22" t="s">
        <v>19</v>
      </c>
      <c r="F22">
        <v>1</v>
      </c>
      <c r="G22">
        <f t="shared" si="6"/>
        <v>110</v>
      </c>
      <c r="I22">
        <v>2050</v>
      </c>
      <c r="J22">
        <f t="shared" si="7"/>
        <v>112.5</v>
      </c>
      <c r="K22" cm="1">
        <f t="array" ref="K22">STOWA2019_NDJF_T(A22*60,J22,I22,"WH","center")</f>
        <v>9294.1796024371433</v>
      </c>
      <c r="L22">
        <f t="shared" si="8"/>
        <v>1.0759421947664724E-4</v>
      </c>
    </row>
    <row r="23" spans="1:12" x14ac:dyDescent="0.3">
      <c r="A23">
        <v>24</v>
      </c>
      <c r="B23">
        <f t="shared" si="5"/>
        <v>3.4651133652846824E-5</v>
      </c>
      <c r="C23">
        <f t="shared" si="1"/>
        <v>3.4651133652846824E-5</v>
      </c>
      <c r="D23" t="s">
        <v>30</v>
      </c>
      <c r="E23" t="s">
        <v>19</v>
      </c>
      <c r="F23">
        <v>1</v>
      </c>
      <c r="G23">
        <f t="shared" si="6"/>
        <v>115</v>
      </c>
      <c r="I23">
        <v>2050</v>
      </c>
      <c r="J23">
        <f t="shared" si="7"/>
        <v>117.5</v>
      </c>
      <c r="K23" cm="1">
        <f t="array" ref="K23">STOWA2019_NDJF_T(A23*60,J23,I23,"WH","center")</f>
        <v>13709.318555778902</v>
      </c>
      <c r="L23">
        <f t="shared" si="8"/>
        <v>7.2943085823800414E-5</v>
      </c>
    </row>
    <row r="24" spans="1:12" x14ac:dyDescent="0.3">
      <c r="A24">
        <v>24</v>
      </c>
      <c r="B24">
        <f t="shared" si="5"/>
        <v>2.2958409605387266E-5</v>
      </c>
      <c r="C24">
        <f t="shared" si="1"/>
        <v>2.2958409605387266E-5</v>
      </c>
      <c r="D24" t="s">
        <v>30</v>
      </c>
      <c r="E24" t="s">
        <v>19</v>
      </c>
      <c r="F24">
        <v>1</v>
      </c>
      <c r="G24">
        <f t="shared" si="6"/>
        <v>120</v>
      </c>
      <c r="I24">
        <v>2050</v>
      </c>
      <c r="J24">
        <f t="shared" si="7"/>
        <v>122.5</v>
      </c>
      <c r="K24" cm="1">
        <f t="array" ref="K24">STOWA2019_NDJF_T(A24*60,J24,I24,"WH","center")</f>
        <v>20006.131391756902</v>
      </c>
      <c r="L24">
        <f t="shared" si="8"/>
        <v>4.9984676218413148E-5</v>
      </c>
    </row>
    <row r="25" spans="1:12" x14ac:dyDescent="0.3">
      <c r="A25">
        <v>24</v>
      </c>
      <c r="B25">
        <f t="shared" si="5"/>
        <v>1.5383004676202539E-5</v>
      </c>
      <c r="C25">
        <f t="shared" si="1"/>
        <v>1.5383004676202539E-5</v>
      </c>
      <c r="D25" t="s">
        <v>30</v>
      </c>
      <c r="E25" t="s">
        <v>19</v>
      </c>
      <c r="F25">
        <v>1</v>
      </c>
      <c r="G25">
        <f t="shared" si="6"/>
        <v>125</v>
      </c>
      <c r="I25">
        <v>2050</v>
      </c>
      <c r="J25">
        <f t="shared" si="7"/>
        <v>127.5</v>
      </c>
      <c r="K25" cm="1">
        <f t="array" ref="K25">STOWA2019_NDJF_T(A25*60,J25,I25,"WH","center")</f>
        <v>28900.337915181324</v>
      </c>
      <c r="L25">
        <f t="shared" si="8"/>
        <v>3.4601671542210609E-5</v>
      </c>
    </row>
    <row r="26" spans="1:12" x14ac:dyDescent="0.3">
      <c r="A26">
        <v>24</v>
      </c>
      <c r="B26">
        <f t="shared" si="5"/>
        <v>1.0417331977525848E-5</v>
      </c>
      <c r="C26">
        <f t="shared" si="1"/>
        <v>1.0417331977525848E-5</v>
      </c>
      <c r="D26" t="s">
        <v>30</v>
      </c>
      <c r="E26" t="s">
        <v>19</v>
      </c>
      <c r="F26">
        <v>1</v>
      </c>
      <c r="G26">
        <f t="shared" si="6"/>
        <v>130</v>
      </c>
      <c r="I26">
        <v>2050</v>
      </c>
      <c r="J26">
        <f t="shared" si="7"/>
        <v>132.5</v>
      </c>
      <c r="K26" cm="1">
        <f t="array" ref="K26">STOWA2019_NDJF_T(A26*60,J26,I26,"WH","center")</f>
        <v>41349.072085485117</v>
      </c>
      <c r="L26">
        <f t="shared" si="8"/>
        <v>2.4184339564684762E-5</v>
      </c>
    </row>
    <row r="27" spans="1:12" x14ac:dyDescent="0.3">
      <c r="A27">
        <v>24</v>
      </c>
      <c r="B27">
        <f t="shared" si="5"/>
        <v>7.1260502122589004E-6</v>
      </c>
      <c r="C27">
        <f t="shared" si="1"/>
        <v>7.1260502122589004E-6</v>
      </c>
      <c r="D27" t="s">
        <v>30</v>
      </c>
      <c r="E27" t="s">
        <v>19</v>
      </c>
      <c r="F27">
        <v>1</v>
      </c>
      <c r="G27">
        <f t="shared" si="6"/>
        <v>135</v>
      </c>
      <c r="I27">
        <v>2050</v>
      </c>
      <c r="J27">
        <f t="shared" si="7"/>
        <v>137.5</v>
      </c>
      <c r="K27" cm="1">
        <f t="array" ref="K27">STOWA2019_NDJF_T(A27*60,J27,I27,"WH","center")</f>
        <v>58622.52535057332</v>
      </c>
      <c r="L27">
        <f t="shared" si="8"/>
        <v>1.7058289352425861E-5</v>
      </c>
    </row>
    <row r="28" spans="1:12" x14ac:dyDescent="0.3">
      <c r="A28">
        <v>24</v>
      </c>
      <c r="B28">
        <f t="shared" si="5"/>
        <v>4.9214322510712746E-6</v>
      </c>
      <c r="C28">
        <f t="shared" si="1"/>
        <v>4.9214322510712746E-6</v>
      </c>
      <c r="D28" t="s">
        <v>30</v>
      </c>
      <c r="E28" t="s">
        <v>19</v>
      </c>
      <c r="F28">
        <v>1</v>
      </c>
      <c r="G28">
        <f t="shared" si="6"/>
        <v>140</v>
      </c>
      <c r="I28">
        <v>2050</v>
      </c>
      <c r="J28">
        <f t="shared" si="7"/>
        <v>142.5</v>
      </c>
      <c r="K28" cm="1">
        <f t="array" ref="K28">STOWA2019_NDJF_T(A28*60,J28,I28,"WH","center")</f>
        <v>82393.653616337848</v>
      </c>
      <c r="L28">
        <f t="shared" si="8"/>
        <v>1.2136857101354587E-5</v>
      </c>
    </row>
    <row r="29" spans="1:12" x14ac:dyDescent="0.3">
      <c r="A29">
        <v>24</v>
      </c>
      <c r="B29">
        <f t="shared" si="5"/>
        <v>3.4300514465827568E-6</v>
      </c>
      <c r="C29">
        <f t="shared" si="1"/>
        <v>3.4300514465827568E-6</v>
      </c>
      <c r="D29" t="s">
        <v>30</v>
      </c>
      <c r="E29" t="s">
        <v>19</v>
      </c>
      <c r="F29">
        <v>1</v>
      </c>
      <c r="G29">
        <f t="shared" si="6"/>
        <v>145</v>
      </c>
      <c r="I29">
        <v>2050</v>
      </c>
      <c r="J29">
        <f t="shared" si="7"/>
        <v>147.5</v>
      </c>
      <c r="K29" cm="1">
        <f t="array" ref="K29">STOWA2019_NDJF_T(A29*60,J29,I29,"WH","center")</f>
        <v>114852.68417033549</v>
      </c>
      <c r="L29">
        <f t="shared" si="8"/>
        <v>8.7068056547718297E-6</v>
      </c>
    </row>
    <row r="30" spans="1:12" x14ac:dyDescent="0.3">
      <c r="A30">
        <v>24</v>
      </c>
      <c r="B30">
        <f t="shared" si="5"/>
        <v>2.411364005827099E-6</v>
      </c>
      <c r="C30">
        <f t="shared" si="1"/>
        <v>2.411364005827099E-6</v>
      </c>
      <c r="D30" t="s">
        <v>30</v>
      </c>
      <c r="E30" t="s">
        <v>19</v>
      </c>
      <c r="F30">
        <v>1</v>
      </c>
      <c r="G30">
        <f t="shared" si="6"/>
        <v>150</v>
      </c>
      <c r="I30">
        <v>2050</v>
      </c>
      <c r="J30">
        <f t="shared" si="7"/>
        <v>152.5</v>
      </c>
      <c r="K30" cm="1">
        <f t="array" ref="K30">STOWA2019_NDJF_T(A30*60,J30,I30,"WH","center")</f>
        <v>158845.09074397097</v>
      </c>
      <c r="L30">
        <f t="shared" si="8"/>
        <v>6.2954416489447308E-6</v>
      </c>
    </row>
    <row r="31" spans="1:12" x14ac:dyDescent="0.3">
      <c r="A31">
        <v>24</v>
      </c>
      <c r="B31">
        <f t="shared" si="5"/>
        <v>1.7092465210792842E-6</v>
      </c>
      <c r="C31">
        <f t="shared" si="1"/>
        <v>1.7092465210792842E-6</v>
      </c>
      <c r="D31" t="s">
        <v>30</v>
      </c>
      <c r="E31" t="s">
        <v>19</v>
      </c>
      <c r="F31">
        <v>1</v>
      </c>
      <c r="G31">
        <f t="shared" si="6"/>
        <v>155</v>
      </c>
      <c r="I31">
        <v>2050</v>
      </c>
      <c r="J31">
        <f t="shared" si="7"/>
        <v>157.5</v>
      </c>
      <c r="K31" cm="1">
        <f t="array" ref="K31">STOWA2019_NDJF_T(A31*60,J31,I31,"WH","center")</f>
        <v>218045.67230994164</v>
      </c>
      <c r="L31">
        <f t="shared" si="8"/>
        <v>4.5861951278654466E-6</v>
      </c>
    </row>
    <row r="32" spans="1:12" x14ac:dyDescent="0.3">
      <c r="A32">
        <v>24</v>
      </c>
      <c r="B32" s="1">
        <f>L31</f>
        <v>4.5861951278654466E-6</v>
      </c>
      <c r="C32">
        <f t="shared" si="1"/>
        <v>4.5861951278654466E-6</v>
      </c>
      <c r="D32" t="s">
        <v>30</v>
      </c>
      <c r="E32" t="s">
        <v>19</v>
      </c>
      <c r="F32">
        <v>1</v>
      </c>
      <c r="G32">
        <f t="shared" si="6"/>
        <v>160</v>
      </c>
      <c r="I32">
        <v>2050</v>
      </c>
      <c r="J32">
        <f>AVERAGE(G32:G33)</f>
        <v>85</v>
      </c>
      <c r="K32" cm="1">
        <f t="array" ref="K32">STOWA2019_NDJF_T(A32*60,J32,I32,"WH","center")</f>
        <v>877.03043425045269</v>
      </c>
      <c r="L32">
        <f>1/K32</f>
        <v>1.1402112868006027E-3</v>
      </c>
    </row>
    <row r="33" spans="1:12" x14ac:dyDescent="0.3">
      <c r="A33">
        <v>48</v>
      </c>
      <c r="B33" s="1">
        <f>365.25*24/A33 - L33</f>
        <v>166.4259249192576</v>
      </c>
      <c r="C33">
        <f>B33</f>
        <v>166.4259249192576</v>
      </c>
      <c r="D33" t="s">
        <v>30</v>
      </c>
      <c r="E33" t="s">
        <v>19</v>
      </c>
      <c r="F33">
        <v>1</v>
      </c>
      <c r="G33">
        <v>10</v>
      </c>
      <c r="I33">
        <v>2050</v>
      </c>
      <c r="J33">
        <f>AVERAGE(G33:G35)</f>
        <v>15</v>
      </c>
      <c r="K33" cm="1">
        <f t="array" ref="K33">STOWA2019_NDJF_T(A33*60,J33,I33,"WH","center")</f>
        <v>6.1731919570445645E-2</v>
      </c>
      <c r="L33">
        <f>1/K33</f>
        <v>16.199075080742396</v>
      </c>
    </row>
    <row r="34" spans="1:12" x14ac:dyDescent="0.3">
      <c r="A34">
        <v>48</v>
      </c>
      <c r="B34">
        <f t="shared" ref="B34:B38" si="9">L33-L34</f>
        <v>4.5606240616933587</v>
      </c>
      <c r="C34">
        <f t="shared" ref="C34:C63" si="10">B34</f>
        <v>4.5606240616933587</v>
      </c>
      <c r="D34" t="s">
        <v>30</v>
      </c>
      <c r="E34" t="s">
        <v>19</v>
      </c>
      <c r="F34">
        <v>1</v>
      </c>
      <c r="G34">
        <f t="shared" ref="G34:G38" si="11">G33+5</f>
        <v>15</v>
      </c>
      <c r="I34">
        <v>2050</v>
      </c>
      <c r="J34">
        <f t="shared" ref="J34:J38" si="12">AVERAGE(G34:G35)</f>
        <v>17.5</v>
      </c>
      <c r="K34" cm="1">
        <f t="array" ref="K34">STOWA2019_NDJF_T(A34*60,J34,I34,"WH","center")</f>
        <v>8.5922086913736789E-2</v>
      </c>
      <c r="L34">
        <f t="shared" ref="L34:L38" si="13">1/K34</f>
        <v>11.638451019049038</v>
      </c>
    </row>
    <row r="35" spans="1:12" x14ac:dyDescent="0.3">
      <c r="A35">
        <v>48</v>
      </c>
      <c r="B35">
        <f t="shared" si="9"/>
        <v>5.5229233898797174</v>
      </c>
      <c r="C35">
        <f t="shared" si="10"/>
        <v>5.5229233898797174</v>
      </c>
      <c r="D35" t="s">
        <v>30</v>
      </c>
      <c r="E35" t="s">
        <v>19</v>
      </c>
      <c r="F35">
        <v>1</v>
      </c>
      <c r="G35">
        <f t="shared" si="11"/>
        <v>20</v>
      </c>
      <c r="I35">
        <v>2050</v>
      </c>
      <c r="J35">
        <f t="shared" si="12"/>
        <v>22.5</v>
      </c>
      <c r="K35" cm="1">
        <f t="array" ref="K35">STOWA2019_NDJF_T(A35*60,J35,I35,"WH","center")</f>
        <v>0.16351818855829964</v>
      </c>
      <c r="L35">
        <f t="shared" si="13"/>
        <v>6.1155276291693204</v>
      </c>
    </row>
    <row r="36" spans="1:12" x14ac:dyDescent="0.3">
      <c r="A36">
        <v>48</v>
      </c>
      <c r="B36">
        <f t="shared" si="9"/>
        <v>2.829255893149953</v>
      </c>
      <c r="C36">
        <f t="shared" si="10"/>
        <v>2.829255893149953</v>
      </c>
      <c r="D36" t="s">
        <v>30</v>
      </c>
      <c r="E36" t="s">
        <v>19</v>
      </c>
      <c r="F36">
        <v>1</v>
      </c>
      <c r="G36">
        <f t="shared" si="11"/>
        <v>25</v>
      </c>
      <c r="I36">
        <v>2050</v>
      </c>
      <c r="J36">
        <f t="shared" si="12"/>
        <v>27.5</v>
      </c>
      <c r="K36" cm="1">
        <f t="array" ref="K36">STOWA2019_NDJF_T(A36*60,J36,I36,"WH","center")</f>
        <v>0.30429619956239268</v>
      </c>
      <c r="L36">
        <f t="shared" si="13"/>
        <v>3.2862717360193674</v>
      </c>
    </row>
    <row r="37" spans="1:12" x14ac:dyDescent="0.3">
      <c r="A37">
        <v>48</v>
      </c>
      <c r="B37">
        <f t="shared" si="9"/>
        <v>1.4830979690847754</v>
      </c>
      <c r="C37">
        <f t="shared" si="10"/>
        <v>1.4830979690847754</v>
      </c>
      <c r="D37" t="s">
        <v>30</v>
      </c>
      <c r="E37" t="s">
        <v>19</v>
      </c>
      <c r="F37">
        <v>1</v>
      </c>
      <c r="G37">
        <f t="shared" si="11"/>
        <v>30</v>
      </c>
      <c r="I37">
        <v>2050</v>
      </c>
      <c r="J37">
        <f t="shared" si="12"/>
        <v>32.5</v>
      </c>
      <c r="K37" cm="1">
        <f t="array" ref="K37">STOWA2019_NDJF_T(A37*60,J37,I37,"WH","center")</f>
        <v>0.55457772197962207</v>
      </c>
      <c r="L37">
        <f t="shared" si="13"/>
        <v>1.803173766934592</v>
      </c>
    </row>
    <row r="38" spans="1:12" x14ac:dyDescent="0.3">
      <c r="A38">
        <v>48</v>
      </c>
      <c r="B38">
        <f t="shared" si="9"/>
        <v>0.79427054726058288</v>
      </c>
      <c r="C38">
        <f t="shared" si="10"/>
        <v>0.79427054726058288</v>
      </c>
      <c r="D38" t="s">
        <v>30</v>
      </c>
      <c r="E38" t="s">
        <v>19</v>
      </c>
      <c r="F38">
        <v>1</v>
      </c>
      <c r="G38">
        <f t="shared" si="11"/>
        <v>35</v>
      </c>
      <c r="I38">
        <v>2050</v>
      </c>
      <c r="J38">
        <f t="shared" si="12"/>
        <v>37.5</v>
      </c>
      <c r="K38" cm="1">
        <f t="array" ref="K38">STOWA2019_NDJF_T(A38*60,J38,I38,"WH","center")</f>
        <v>0.99117534814004682</v>
      </c>
      <c r="L38">
        <f t="shared" si="13"/>
        <v>1.0089032196740091</v>
      </c>
    </row>
    <row r="39" spans="1:12" x14ac:dyDescent="0.3">
      <c r="A39">
        <v>48</v>
      </c>
      <c r="B39">
        <f>L38-L39</f>
        <v>0.43391843799479246</v>
      </c>
      <c r="C39">
        <f t="shared" si="10"/>
        <v>0.43391843799479246</v>
      </c>
      <c r="D39" t="s">
        <v>30</v>
      </c>
      <c r="E39" t="s">
        <v>19</v>
      </c>
      <c r="F39">
        <v>1</v>
      </c>
      <c r="G39">
        <f>G38+5</f>
        <v>40</v>
      </c>
      <c r="I39">
        <v>2050</v>
      </c>
      <c r="J39">
        <f>AVERAGE(G39:G40)</f>
        <v>42.5</v>
      </c>
      <c r="K39" cm="1">
        <f t="array" ref="K39">STOWA2019_NDJF_T(A39*60,J39,I39,"WH","center")</f>
        <v>1.7391764649484216</v>
      </c>
      <c r="L39">
        <f>1/K39</f>
        <v>0.57498478167921663</v>
      </c>
    </row>
    <row r="40" spans="1:12" x14ac:dyDescent="0.3">
      <c r="A40">
        <v>48</v>
      </c>
      <c r="B40">
        <f t="shared" ref="B40:B62" si="14">L39-L40</f>
        <v>0.24165538069572234</v>
      </c>
      <c r="C40">
        <f t="shared" si="10"/>
        <v>0.24165538069572234</v>
      </c>
      <c r="D40" t="s">
        <v>30</v>
      </c>
      <c r="E40" t="s">
        <v>19</v>
      </c>
      <c r="F40">
        <v>1</v>
      </c>
      <c r="G40">
        <f t="shared" ref="G40:G63" si="15">G39+5</f>
        <v>45</v>
      </c>
      <c r="I40">
        <v>2050</v>
      </c>
      <c r="J40">
        <f t="shared" ref="J40:J62" si="16">AVERAGE(G40:G41)</f>
        <v>47.5</v>
      </c>
      <c r="K40" cm="1">
        <f t="array" ref="K40">STOWA2019_NDJF_T(A40*60,J40,I40,"WH","center")</f>
        <v>3.0000353915660676</v>
      </c>
      <c r="L40">
        <f t="shared" ref="L40:L62" si="17">1/K40</f>
        <v>0.33332940098349428</v>
      </c>
    </row>
    <row r="41" spans="1:12" x14ac:dyDescent="0.3">
      <c r="A41">
        <v>48</v>
      </c>
      <c r="B41">
        <f t="shared" si="14"/>
        <v>0.13694814368827513</v>
      </c>
      <c r="C41">
        <f t="shared" si="10"/>
        <v>0.13694814368827513</v>
      </c>
      <c r="D41" t="s">
        <v>30</v>
      </c>
      <c r="E41" t="s">
        <v>19</v>
      </c>
      <c r="F41">
        <v>1</v>
      </c>
      <c r="G41">
        <f t="shared" si="15"/>
        <v>50</v>
      </c>
      <c r="I41">
        <v>2050</v>
      </c>
      <c r="J41">
        <f t="shared" si="16"/>
        <v>52.5</v>
      </c>
      <c r="K41" cm="1">
        <f t="array" ref="K41">STOWA2019_NDJF_T(A41*60,J41,I41,"WH","center")</f>
        <v>5.0921356435594261</v>
      </c>
      <c r="L41">
        <f t="shared" si="17"/>
        <v>0.19638125729521916</v>
      </c>
    </row>
    <row r="42" spans="1:12" x14ac:dyDescent="0.3">
      <c r="A42">
        <v>48</v>
      </c>
      <c r="B42">
        <f t="shared" si="14"/>
        <v>7.8907345030375914E-2</v>
      </c>
      <c r="C42">
        <f t="shared" si="10"/>
        <v>7.8907345030375914E-2</v>
      </c>
      <c r="D42" t="s">
        <v>30</v>
      </c>
      <c r="E42" t="s">
        <v>19</v>
      </c>
      <c r="F42">
        <v>1</v>
      </c>
      <c r="G42">
        <f t="shared" si="15"/>
        <v>55</v>
      </c>
      <c r="I42">
        <v>2050</v>
      </c>
      <c r="J42">
        <f t="shared" si="16"/>
        <v>57.5</v>
      </c>
      <c r="K42" cm="1">
        <f t="array" ref="K42">STOWA2019_NDJF_T(A42*60,J42,I42,"WH","center")</f>
        <v>8.5125282773039377</v>
      </c>
      <c r="L42">
        <f t="shared" si="17"/>
        <v>0.11747391226484324</v>
      </c>
    </row>
    <row r="43" spans="1:12" x14ac:dyDescent="0.3">
      <c r="A43">
        <v>48</v>
      </c>
      <c r="B43">
        <f t="shared" si="14"/>
        <v>4.618401103646641E-2</v>
      </c>
      <c r="C43">
        <f t="shared" si="10"/>
        <v>4.618401103646641E-2</v>
      </c>
      <c r="D43" t="s">
        <v>30</v>
      </c>
      <c r="E43" t="s">
        <v>19</v>
      </c>
      <c r="F43">
        <v>1</v>
      </c>
      <c r="G43">
        <f t="shared" si="15"/>
        <v>60</v>
      </c>
      <c r="I43">
        <v>2050</v>
      </c>
      <c r="J43">
        <f t="shared" si="16"/>
        <v>62.5</v>
      </c>
      <c r="K43" cm="1">
        <f t="array" ref="K43">STOWA2019_NDJF_T(A43*60,J43,I43,"WH","center")</f>
        <v>14.027232227416125</v>
      </c>
      <c r="L43">
        <f t="shared" si="17"/>
        <v>7.1289901228376834E-2</v>
      </c>
    </row>
    <row r="44" spans="1:12" x14ac:dyDescent="0.3">
      <c r="A44">
        <v>48</v>
      </c>
      <c r="B44">
        <f t="shared" si="14"/>
        <v>2.7435258447519269E-2</v>
      </c>
      <c r="C44">
        <f t="shared" si="10"/>
        <v>2.7435258447519269E-2</v>
      </c>
      <c r="D44" t="s">
        <v>30</v>
      </c>
      <c r="E44" t="s">
        <v>19</v>
      </c>
      <c r="F44">
        <v>1</v>
      </c>
      <c r="G44">
        <f t="shared" si="15"/>
        <v>65</v>
      </c>
      <c r="I44">
        <v>2050</v>
      </c>
      <c r="J44">
        <f t="shared" si="16"/>
        <v>67.5</v>
      </c>
      <c r="K44" cm="1">
        <f t="array" ref="K44">STOWA2019_NDJF_T(A44*60,J44,I44,"WH","center")</f>
        <v>22.802602793893861</v>
      </c>
      <c r="L44">
        <f t="shared" si="17"/>
        <v>4.3854642780857565E-2</v>
      </c>
    </row>
    <row r="45" spans="1:12" x14ac:dyDescent="0.3">
      <c r="A45">
        <v>48</v>
      </c>
      <c r="B45">
        <f t="shared" si="14"/>
        <v>1.6527658688423243E-2</v>
      </c>
      <c r="C45">
        <f t="shared" si="10"/>
        <v>1.6527658688423243E-2</v>
      </c>
      <c r="D45" t="s">
        <v>30</v>
      </c>
      <c r="E45" t="s">
        <v>19</v>
      </c>
      <c r="F45">
        <v>1</v>
      </c>
      <c r="G45">
        <f t="shared" si="15"/>
        <v>70</v>
      </c>
      <c r="I45">
        <v>2050</v>
      </c>
      <c r="J45">
        <f t="shared" si="16"/>
        <v>72.5</v>
      </c>
      <c r="K45" cm="1">
        <f t="array" ref="K45">STOWA2019_NDJF_T(A45*60,J45,I45,"WH","center")</f>
        <v>36.593866217269742</v>
      </c>
      <c r="L45">
        <f t="shared" si="17"/>
        <v>2.7326984092434323E-2</v>
      </c>
    </row>
    <row r="46" spans="1:12" x14ac:dyDescent="0.3">
      <c r="A46">
        <v>48</v>
      </c>
      <c r="B46">
        <f t="shared" si="14"/>
        <v>1.0089726061185991E-2</v>
      </c>
      <c r="C46">
        <f t="shared" si="10"/>
        <v>1.0089726061185991E-2</v>
      </c>
      <c r="D46" t="s">
        <v>30</v>
      </c>
      <c r="E46" t="s">
        <v>19</v>
      </c>
      <c r="F46">
        <v>1</v>
      </c>
      <c r="G46">
        <f t="shared" si="15"/>
        <v>75</v>
      </c>
      <c r="I46">
        <v>2050</v>
      </c>
      <c r="J46">
        <f t="shared" si="16"/>
        <v>77.5</v>
      </c>
      <c r="K46" cm="1">
        <f t="array" ref="K46">STOWA2019_NDJF_T(A46*60,J46,I46,"WH","center")</f>
        <v>58.013867297638839</v>
      </c>
      <c r="L46">
        <f t="shared" si="17"/>
        <v>1.7237258031248332E-2</v>
      </c>
    </row>
    <row r="47" spans="1:12" x14ac:dyDescent="0.3">
      <c r="A47">
        <v>48</v>
      </c>
      <c r="B47">
        <f t="shared" si="14"/>
        <v>6.2376160721815642E-3</v>
      </c>
      <c r="C47">
        <f t="shared" si="10"/>
        <v>6.2376160721815642E-3</v>
      </c>
      <c r="D47" t="s">
        <v>30</v>
      </c>
      <c r="E47" t="s">
        <v>19</v>
      </c>
      <c r="F47">
        <v>1</v>
      </c>
      <c r="G47">
        <f t="shared" si="15"/>
        <v>80</v>
      </c>
      <c r="I47">
        <v>2050</v>
      </c>
      <c r="J47">
        <f t="shared" si="16"/>
        <v>82.5</v>
      </c>
      <c r="K47" cm="1">
        <f t="array" ref="K47">STOWA2019_NDJF_T(A47*60,J47,I47,"WH","center")</f>
        <v>90.912050021384701</v>
      </c>
      <c r="L47">
        <f t="shared" si="17"/>
        <v>1.0999641959066768E-2</v>
      </c>
    </row>
    <row r="48" spans="1:12" x14ac:dyDescent="0.3">
      <c r="A48">
        <v>48</v>
      </c>
      <c r="B48">
        <f t="shared" si="14"/>
        <v>3.9025653652172507E-3</v>
      </c>
      <c r="C48">
        <f t="shared" si="10"/>
        <v>3.9025653652172507E-3</v>
      </c>
      <c r="D48" t="s">
        <v>30</v>
      </c>
      <c r="E48" t="s">
        <v>19</v>
      </c>
      <c r="F48">
        <v>1</v>
      </c>
      <c r="G48">
        <f t="shared" si="15"/>
        <v>85</v>
      </c>
      <c r="I48">
        <v>2050</v>
      </c>
      <c r="J48">
        <f t="shared" si="16"/>
        <v>87.5</v>
      </c>
      <c r="K48" cm="1">
        <f t="array" ref="K48">STOWA2019_NDJF_T(A48*60,J48,I48,"WH","center")</f>
        <v>140.90308689448582</v>
      </c>
      <c r="L48">
        <f t="shared" si="17"/>
        <v>7.0970765938495172E-3</v>
      </c>
    </row>
    <row r="49" spans="1:12" x14ac:dyDescent="0.3">
      <c r="A49">
        <v>48</v>
      </c>
      <c r="B49">
        <f t="shared" si="14"/>
        <v>2.4696680791978379E-3</v>
      </c>
      <c r="C49">
        <f t="shared" si="10"/>
        <v>2.4696680791978379E-3</v>
      </c>
      <c r="D49" t="s">
        <v>30</v>
      </c>
      <c r="E49" t="s">
        <v>19</v>
      </c>
      <c r="F49">
        <v>1</v>
      </c>
      <c r="G49">
        <f t="shared" si="15"/>
        <v>90</v>
      </c>
      <c r="I49">
        <v>2050</v>
      </c>
      <c r="J49">
        <f t="shared" si="16"/>
        <v>92.5</v>
      </c>
      <c r="K49" cm="1">
        <f t="array" ref="K49">STOWA2019_NDJF_T(A49*60,J49,I49,"WH","center")</f>
        <v>216.10367808109405</v>
      </c>
      <c r="L49">
        <f t="shared" si="17"/>
        <v>4.6274085146516793E-3</v>
      </c>
    </row>
    <row r="50" spans="1:12" x14ac:dyDescent="0.3">
      <c r="A50">
        <v>48</v>
      </c>
      <c r="B50">
        <f t="shared" si="14"/>
        <v>1.5799564054559535E-3</v>
      </c>
      <c r="C50">
        <f t="shared" si="10"/>
        <v>1.5799564054559535E-3</v>
      </c>
      <c r="D50" t="s">
        <v>30</v>
      </c>
      <c r="E50" t="s">
        <v>19</v>
      </c>
      <c r="F50">
        <v>1</v>
      </c>
      <c r="G50">
        <f t="shared" si="15"/>
        <v>95</v>
      </c>
      <c r="I50">
        <v>2050</v>
      </c>
      <c r="J50">
        <f t="shared" si="16"/>
        <v>97.5</v>
      </c>
      <c r="K50" cm="1">
        <f t="array" ref="K50">STOWA2019_NDJF_T(A50*60,J50,I50,"WH","center")</f>
        <v>328.1429745794814</v>
      </c>
      <c r="L50">
        <f t="shared" si="17"/>
        <v>3.0474521091957258E-3</v>
      </c>
    </row>
    <row r="51" spans="1:12" x14ac:dyDescent="0.3">
      <c r="A51">
        <v>48</v>
      </c>
      <c r="B51">
        <f t="shared" si="14"/>
        <v>1.021238559542129E-3</v>
      </c>
      <c r="C51">
        <f t="shared" si="10"/>
        <v>1.021238559542129E-3</v>
      </c>
      <c r="D51" t="s">
        <v>30</v>
      </c>
      <c r="E51" t="s">
        <v>19</v>
      </c>
      <c r="F51">
        <v>1</v>
      </c>
      <c r="G51">
        <f t="shared" si="15"/>
        <v>100</v>
      </c>
      <c r="I51">
        <v>2050</v>
      </c>
      <c r="J51">
        <f t="shared" si="16"/>
        <v>102.5</v>
      </c>
      <c r="K51" cm="1">
        <f t="array" ref="K51">STOWA2019_NDJF_T(A51*60,J51,I51,"WH","center")</f>
        <v>493.53139513402266</v>
      </c>
      <c r="L51">
        <f t="shared" si="17"/>
        <v>2.0262135496535967E-3</v>
      </c>
    </row>
    <row r="52" spans="1:12" x14ac:dyDescent="0.3">
      <c r="A52">
        <v>48</v>
      </c>
      <c r="B52">
        <f t="shared" si="14"/>
        <v>6.6666722951417299E-4</v>
      </c>
      <c r="C52">
        <f t="shared" si="10"/>
        <v>6.6666722951417299E-4</v>
      </c>
      <c r="D52" t="s">
        <v>30</v>
      </c>
      <c r="E52" t="s">
        <v>19</v>
      </c>
      <c r="F52">
        <v>1</v>
      </c>
      <c r="G52">
        <f t="shared" si="15"/>
        <v>105</v>
      </c>
      <c r="I52">
        <v>2050</v>
      </c>
      <c r="J52">
        <f t="shared" si="16"/>
        <v>107.5</v>
      </c>
      <c r="K52" cm="1">
        <f t="array" ref="K52">STOWA2019_NDJF_T(A52*60,J52,I52,"WH","center")</f>
        <v>735.53948489040692</v>
      </c>
      <c r="L52">
        <f t="shared" si="17"/>
        <v>1.3595463201394238E-3</v>
      </c>
    </row>
    <row r="53" spans="1:12" x14ac:dyDescent="0.3">
      <c r="A53">
        <v>48</v>
      </c>
      <c r="B53">
        <f t="shared" si="14"/>
        <v>4.393294639524378E-4</v>
      </c>
      <c r="C53">
        <f t="shared" si="10"/>
        <v>4.393294639524378E-4</v>
      </c>
      <c r="D53" t="s">
        <v>30</v>
      </c>
      <c r="E53" t="s">
        <v>19</v>
      </c>
      <c r="F53">
        <v>1</v>
      </c>
      <c r="G53">
        <f t="shared" si="15"/>
        <v>110</v>
      </c>
      <c r="I53">
        <v>2050</v>
      </c>
      <c r="J53">
        <f t="shared" si="16"/>
        <v>112.5</v>
      </c>
      <c r="K53" cm="1">
        <f t="array" ref="K53">STOWA2019_NDJF_T(A53*60,J53,I53,"WH","center")</f>
        <v>1086.7003720662146</v>
      </c>
      <c r="L53">
        <f t="shared" si="17"/>
        <v>9.2021685618698596E-4</v>
      </c>
    </row>
    <row r="54" spans="1:12" x14ac:dyDescent="0.3">
      <c r="A54">
        <v>48</v>
      </c>
      <c r="B54">
        <f t="shared" si="14"/>
        <v>2.921373297770114E-4</v>
      </c>
      <c r="C54">
        <f t="shared" si="10"/>
        <v>2.921373297770114E-4</v>
      </c>
      <c r="D54" t="s">
        <v>30</v>
      </c>
      <c r="E54" t="s">
        <v>19</v>
      </c>
      <c r="F54">
        <v>1</v>
      </c>
      <c r="G54">
        <f t="shared" si="15"/>
        <v>115</v>
      </c>
      <c r="I54">
        <v>2050</v>
      </c>
      <c r="J54">
        <f t="shared" si="16"/>
        <v>117.5</v>
      </c>
      <c r="K54" cm="1">
        <f t="array" ref="K54">STOWA2019_NDJF_T(A54*60,J54,I54,"WH","center")</f>
        <v>1592.1550662793884</v>
      </c>
      <c r="L54">
        <f t="shared" si="17"/>
        <v>6.2807952640997456E-4</v>
      </c>
    </row>
    <row r="55" spans="1:12" x14ac:dyDescent="0.3">
      <c r="A55">
        <v>48</v>
      </c>
      <c r="B55">
        <f t="shared" si="14"/>
        <v>1.9595430076950801E-4</v>
      </c>
      <c r="C55">
        <f t="shared" si="10"/>
        <v>1.9595430076950801E-4</v>
      </c>
      <c r="D55" t="s">
        <v>30</v>
      </c>
      <c r="E55" t="s">
        <v>19</v>
      </c>
      <c r="F55">
        <v>1</v>
      </c>
      <c r="G55">
        <f t="shared" si="15"/>
        <v>120</v>
      </c>
      <c r="I55">
        <v>2050</v>
      </c>
      <c r="J55">
        <f t="shared" si="16"/>
        <v>122.5</v>
      </c>
      <c r="K55" cm="1">
        <f t="array" ref="K55">STOWA2019_NDJF_T(A55*60,J55,I55,"WH","center")</f>
        <v>2314.1440042475379</v>
      </c>
      <c r="L55">
        <f t="shared" si="17"/>
        <v>4.3212522564046654E-4</v>
      </c>
    </row>
    <row r="56" spans="1:12" x14ac:dyDescent="0.3">
      <c r="A56">
        <v>48</v>
      </c>
      <c r="B56">
        <f t="shared" si="14"/>
        <v>1.3252940806166648E-4</v>
      </c>
      <c r="C56">
        <f t="shared" si="10"/>
        <v>1.3252940806166648E-4</v>
      </c>
      <c r="D56" t="s">
        <v>30</v>
      </c>
      <c r="E56" t="s">
        <v>19</v>
      </c>
      <c r="F56">
        <v>1</v>
      </c>
      <c r="G56">
        <f t="shared" si="15"/>
        <v>125</v>
      </c>
      <c r="I56">
        <v>2050</v>
      </c>
      <c r="J56">
        <f t="shared" si="16"/>
        <v>127.5</v>
      </c>
      <c r="K56" cm="1">
        <f t="array" ref="K56">STOWA2019_NDJF_T(A56*60,J56,I56,"WH","center")</f>
        <v>3337.8303077845162</v>
      </c>
      <c r="L56">
        <f t="shared" si="17"/>
        <v>2.9959581757880006E-4</v>
      </c>
    </row>
    <row r="57" spans="1:12" x14ac:dyDescent="0.3">
      <c r="A57">
        <v>48</v>
      </c>
      <c r="B57">
        <f t="shared" si="14"/>
        <v>9.0347652359688656E-5</v>
      </c>
      <c r="C57">
        <f t="shared" si="10"/>
        <v>9.0347652359688656E-5</v>
      </c>
      <c r="D57" t="s">
        <v>30</v>
      </c>
      <c r="E57" t="s">
        <v>19</v>
      </c>
      <c r="F57">
        <v>1</v>
      </c>
      <c r="G57">
        <f t="shared" si="15"/>
        <v>130</v>
      </c>
      <c r="I57">
        <v>2050</v>
      </c>
      <c r="J57">
        <f t="shared" si="16"/>
        <v>132.5</v>
      </c>
      <c r="K57" cm="1">
        <f t="array" ref="K57">STOWA2019_NDJF_T(A57*60,J57,I57,"WH","center")</f>
        <v>4779.0144250625253</v>
      </c>
      <c r="L57">
        <f t="shared" si="17"/>
        <v>2.0924816521911141E-4</v>
      </c>
    </row>
    <row r="58" spans="1:12" x14ac:dyDescent="0.3">
      <c r="A58">
        <v>48</v>
      </c>
      <c r="B58">
        <f t="shared" si="14"/>
        <v>6.2065675224413203E-5</v>
      </c>
      <c r="C58">
        <f t="shared" si="10"/>
        <v>6.2065675224413203E-5</v>
      </c>
      <c r="D58" t="s">
        <v>30</v>
      </c>
      <c r="E58" t="s">
        <v>19</v>
      </c>
      <c r="F58">
        <v>1</v>
      </c>
      <c r="G58">
        <f t="shared" si="15"/>
        <v>135</v>
      </c>
      <c r="I58">
        <v>2050</v>
      </c>
      <c r="J58">
        <f t="shared" si="16"/>
        <v>137.5</v>
      </c>
      <c r="K58" cm="1">
        <f t="array" ref="K58">STOWA2019_NDJF_T(A58*60,J58,I58,"WH","center")</f>
        <v>6794.2864673373979</v>
      </c>
      <c r="L58">
        <f t="shared" si="17"/>
        <v>1.4718248999469821E-4</v>
      </c>
    </row>
    <row r="59" spans="1:12" x14ac:dyDescent="0.3">
      <c r="A59">
        <v>48</v>
      </c>
      <c r="B59">
        <f t="shared" si="14"/>
        <v>4.294940590358315E-5</v>
      </c>
      <c r="C59">
        <f t="shared" si="10"/>
        <v>4.294940590358315E-5</v>
      </c>
      <c r="D59" t="s">
        <v>30</v>
      </c>
      <c r="E59" t="s">
        <v>19</v>
      </c>
      <c r="F59">
        <v>1</v>
      </c>
      <c r="G59">
        <f t="shared" si="15"/>
        <v>140</v>
      </c>
      <c r="I59">
        <v>2050</v>
      </c>
      <c r="J59">
        <f t="shared" si="16"/>
        <v>142.5</v>
      </c>
      <c r="K59" cm="1">
        <f t="array" ref="K59">STOWA2019_NDJF_T(A59*60,J59,I59,"WH","center")</f>
        <v>9593.882870489113</v>
      </c>
      <c r="L59">
        <f t="shared" si="17"/>
        <v>1.0423308409111506E-4</v>
      </c>
    </row>
    <row r="60" spans="1:12" x14ac:dyDescent="0.3">
      <c r="A60">
        <v>48</v>
      </c>
      <c r="B60">
        <f t="shared" si="14"/>
        <v>2.9931934153288261E-5</v>
      </c>
      <c r="C60">
        <f t="shared" si="10"/>
        <v>2.9931934153288261E-5</v>
      </c>
      <c r="D60" t="s">
        <v>30</v>
      </c>
      <c r="E60" t="s">
        <v>19</v>
      </c>
      <c r="F60">
        <v>1</v>
      </c>
      <c r="G60">
        <f t="shared" si="15"/>
        <v>145</v>
      </c>
      <c r="I60">
        <v>2050</v>
      </c>
      <c r="J60">
        <f t="shared" si="16"/>
        <v>147.5</v>
      </c>
      <c r="K60" cm="1">
        <f t="array" ref="K60">STOWA2019_NDJF_T(A60*60,J60,I60,"WH","center")</f>
        <v>13458.741901528754</v>
      </c>
      <c r="L60">
        <f t="shared" si="17"/>
        <v>7.4301149937826795E-5</v>
      </c>
    </row>
    <row r="61" spans="1:12" x14ac:dyDescent="0.3">
      <c r="A61">
        <v>48</v>
      </c>
      <c r="B61">
        <f t="shared" si="14"/>
        <v>2.1001997980890491E-5</v>
      </c>
      <c r="C61">
        <f t="shared" si="10"/>
        <v>2.1001997980890491E-5</v>
      </c>
      <c r="D61" t="s">
        <v>30</v>
      </c>
      <c r="E61" t="s">
        <v>19</v>
      </c>
      <c r="F61">
        <v>1</v>
      </c>
      <c r="G61">
        <f t="shared" si="15"/>
        <v>150</v>
      </c>
      <c r="I61">
        <v>2050</v>
      </c>
      <c r="J61">
        <f t="shared" si="16"/>
        <v>152.5</v>
      </c>
      <c r="K61" cm="1">
        <f t="array" ref="K61">STOWA2019_NDJF_T(A61*60,J61,I61,"WH","center")</f>
        <v>18762.024596713323</v>
      </c>
      <c r="L61">
        <f t="shared" si="17"/>
        <v>5.3299151956936304E-5</v>
      </c>
    </row>
    <row r="62" spans="1:12" x14ac:dyDescent="0.3">
      <c r="A62">
        <v>48</v>
      </c>
      <c r="B62">
        <f t="shared" si="14"/>
        <v>1.4832889976350953E-5</v>
      </c>
      <c r="C62">
        <f t="shared" si="10"/>
        <v>1.4832889976350953E-5</v>
      </c>
      <c r="D62" t="s">
        <v>30</v>
      </c>
      <c r="E62" t="s">
        <v>19</v>
      </c>
      <c r="F62">
        <v>1</v>
      </c>
      <c r="G62">
        <f t="shared" si="15"/>
        <v>155</v>
      </c>
      <c r="I62">
        <v>2050</v>
      </c>
      <c r="J62">
        <f t="shared" si="16"/>
        <v>157.5</v>
      </c>
      <c r="K62" cm="1">
        <f t="array" ref="K62">STOWA2019_NDJF_T(A62*60,J62,I62,"WH","center")</f>
        <v>25996.807293225396</v>
      </c>
      <c r="L62">
        <f t="shared" si="17"/>
        <v>3.8466261980585352E-5</v>
      </c>
    </row>
    <row r="63" spans="1:12" x14ac:dyDescent="0.3">
      <c r="A63">
        <v>48</v>
      </c>
      <c r="B63" s="1">
        <f>L62</f>
        <v>3.8466261980585352E-5</v>
      </c>
      <c r="C63">
        <f t="shared" si="10"/>
        <v>3.8466261980585352E-5</v>
      </c>
      <c r="D63" t="s">
        <v>30</v>
      </c>
      <c r="E63" t="s">
        <v>19</v>
      </c>
      <c r="F63">
        <v>1</v>
      </c>
      <c r="G63">
        <f t="shared" si="15"/>
        <v>160</v>
      </c>
      <c r="I63">
        <v>2050</v>
      </c>
      <c r="J63">
        <f>AVERAGE(G63:G64)</f>
        <v>85</v>
      </c>
      <c r="K63" cm="1">
        <f t="array" ref="K63">STOWA2019_NDJF_T(A63*60,J63,I63,"WH","center")</f>
        <v>113.3320189376655</v>
      </c>
      <c r="L63">
        <f>1/K63</f>
        <v>8.8236317447941762E-3</v>
      </c>
    </row>
    <row r="64" spans="1:12" x14ac:dyDescent="0.3">
      <c r="A64">
        <v>96</v>
      </c>
      <c r="B64" s="1">
        <f>365.25*24/A64 - L64</f>
        <v>68.03470402136314</v>
      </c>
      <c r="C64">
        <f>B64</f>
        <v>68.03470402136314</v>
      </c>
      <c r="D64" t="s">
        <v>30</v>
      </c>
      <c r="E64" t="s">
        <v>19</v>
      </c>
      <c r="F64">
        <v>1</v>
      </c>
      <c r="G64">
        <v>10</v>
      </c>
      <c r="I64">
        <v>2050</v>
      </c>
      <c r="J64">
        <f>AVERAGE(G64:G66)</f>
        <v>15</v>
      </c>
      <c r="K64" cm="1">
        <f t="array" ref="K64">STOWA2019_NDJF_T(A64*60,J64,I64,"WH","center")</f>
        <v>4.2959393617752618E-2</v>
      </c>
      <c r="L64">
        <f>1/K64</f>
        <v>23.277795978636863</v>
      </c>
    </row>
    <row r="65" spans="1:12" x14ac:dyDescent="0.3">
      <c r="A65">
        <v>96</v>
      </c>
      <c r="B65">
        <f t="shared" ref="B65:B69" si="18">L64-L65</f>
        <v>4.6506597747028344</v>
      </c>
      <c r="C65">
        <f t="shared" ref="C65:C94" si="19">B65</f>
        <v>4.6506597747028344</v>
      </c>
      <c r="D65" t="s">
        <v>30</v>
      </c>
      <c r="E65" t="s">
        <v>19</v>
      </c>
      <c r="F65">
        <v>1</v>
      </c>
      <c r="G65">
        <f t="shared" ref="G65:G69" si="20">G64+5</f>
        <v>15</v>
      </c>
      <c r="I65">
        <v>2050</v>
      </c>
      <c r="J65">
        <f t="shared" ref="J65:J69" si="21">AVERAGE(G65:G66)</f>
        <v>17.5</v>
      </c>
      <c r="K65" cm="1">
        <f t="array" ref="K65">STOWA2019_NDJF_T(A65*60,J65,I65,"WH","center")</f>
        <v>5.3685117725654534E-2</v>
      </c>
      <c r="L65">
        <f t="shared" ref="L65:L69" si="22">1/K65</f>
        <v>18.627136203934029</v>
      </c>
    </row>
    <row r="66" spans="1:12" x14ac:dyDescent="0.3">
      <c r="A66">
        <v>96</v>
      </c>
      <c r="B66">
        <f t="shared" si="18"/>
        <v>6.6606330161292391</v>
      </c>
      <c r="C66">
        <f t="shared" si="19"/>
        <v>6.6606330161292391</v>
      </c>
      <c r="D66" t="s">
        <v>30</v>
      </c>
      <c r="E66" t="s">
        <v>19</v>
      </c>
      <c r="F66">
        <v>1</v>
      </c>
      <c r="G66">
        <f t="shared" si="20"/>
        <v>20</v>
      </c>
      <c r="I66">
        <v>2050</v>
      </c>
      <c r="J66">
        <f t="shared" si="21"/>
        <v>22.5</v>
      </c>
      <c r="K66" cm="1">
        <f t="array" ref="K66">STOWA2019_NDJF_T(A66*60,J66,I66,"WH","center")</f>
        <v>8.3566601228929796E-2</v>
      </c>
      <c r="L66">
        <f t="shared" si="22"/>
        <v>11.96650318780479</v>
      </c>
    </row>
    <row r="67" spans="1:12" x14ac:dyDescent="0.3">
      <c r="A67">
        <v>96</v>
      </c>
      <c r="B67">
        <f t="shared" si="18"/>
        <v>4.2460250935121877</v>
      </c>
      <c r="C67">
        <f t="shared" si="19"/>
        <v>4.2460250935121877</v>
      </c>
      <c r="D67" t="s">
        <v>30</v>
      </c>
      <c r="E67" t="s">
        <v>19</v>
      </c>
      <c r="F67">
        <v>1</v>
      </c>
      <c r="G67">
        <f t="shared" si="20"/>
        <v>25</v>
      </c>
      <c r="I67">
        <v>2050</v>
      </c>
      <c r="J67">
        <f t="shared" si="21"/>
        <v>27.5</v>
      </c>
      <c r="K67" cm="1">
        <f t="array" ref="K67">STOWA2019_NDJF_T(A67*60,J67,I67,"WH","center")</f>
        <v>0.12952565732156593</v>
      </c>
      <c r="L67">
        <f t="shared" si="22"/>
        <v>7.7204780942926021</v>
      </c>
    </row>
    <row r="68" spans="1:12" x14ac:dyDescent="0.3">
      <c r="A68">
        <v>96</v>
      </c>
      <c r="B68">
        <f t="shared" si="18"/>
        <v>2.7185076492336435</v>
      </c>
      <c r="C68">
        <f t="shared" si="19"/>
        <v>2.7185076492336435</v>
      </c>
      <c r="D68" t="s">
        <v>30</v>
      </c>
      <c r="E68" t="s">
        <v>19</v>
      </c>
      <c r="F68">
        <v>1</v>
      </c>
      <c r="G68">
        <f t="shared" si="20"/>
        <v>30</v>
      </c>
      <c r="I68">
        <v>2050</v>
      </c>
      <c r="J68">
        <f t="shared" si="21"/>
        <v>32.5</v>
      </c>
      <c r="K68" cm="1">
        <f t="array" ref="K68">STOWA2019_NDJF_T(A68*60,J68,I68,"WH","center")</f>
        <v>0.19992121324663542</v>
      </c>
      <c r="L68">
        <f t="shared" si="22"/>
        <v>5.0019704450589586</v>
      </c>
    </row>
    <row r="69" spans="1:12" x14ac:dyDescent="0.3">
      <c r="A69">
        <v>96</v>
      </c>
      <c r="B69">
        <f t="shared" si="18"/>
        <v>1.7479620963248439</v>
      </c>
      <c r="C69">
        <f t="shared" si="19"/>
        <v>1.7479620963248439</v>
      </c>
      <c r="D69" t="s">
        <v>30</v>
      </c>
      <c r="E69" t="s">
        <v>19</v>
      </c>
      <c r="F69">
        <v>1</v>
      </c>
      <c r="G69">
        <f t="shared" si="20"/>
        <v>35</v>
      </c>
      <c r="I69">
        <v>2050</v>
      </c>
      <c r="J69">
        <f t="shared" si="21"/>
        <v>37.5</v>
      </c>
      <c r="K69" cm="1">
        <f t="array" ref="K69">STOWA2019_NDJF_T(A69*60,J69,I69,"WH","center")</f>
        <v>0.3073132865160052</v>
      </c>
      <c r="L69">
        <f t="shared" si="22"/>
        <v>3.2540083487341147</v>
      </c>
    </row>
    <row r="70" spans="1:12" x14ac:dyDescent="0.3">
      <c r="A70">
        <v>96</v>
      </c>
      <c r="B70">
        <f>L69-L70</f>
        <v>1.1285876732504367</v>
      </c>
      <c r="C70">
        <f t="shared" si="19"/>
        <v>1.1285876732504367</v>
      </c>
      <c r="D70" t="s">
        <v>30</v>
      </c>
      <c r="E70" t="s">
        <v>19</v>
      </c>
      <c r="F70">
        <v>1</v>
      </c>
      <c r="G70">
        <f>G69+5</f>
        <v>40</v>
      </c>
      <c r="I70">
        <v>2050</v>
      </c>
      <c r="J70">
        <f>AVERAGE(G70:G71)</f>
        <v>42.5</v>
      </c>
      <c r="K70" cm="1">
        <f t="array" ref="K70">STOWA2019_NDJF_T(A70*60,J70,I70,"WH","center")</f>
        <v>0.47049509376417065</v>
      </c>
      <c r="L70">
        <f>1/K70</f>
        <v>2.125420675483678</v>
      </c>
    </row>
    <row r="71" spans="1:12" x14ac:dyDescent="0.3">
      <c r="A71">
        <v>96</v>
      </c>
      <c r="B71">
        <f t="shared" ref="B71:B93" si="23">L70-L71</f>
        <v>0.73166410942710414</v>
      </c>
      <c r="C71">
        <f t="shared" si="19"/>
        <v>0.73166410942710414</v>
      </c>
      <c r="D71" t="s">
        <v>30</v>
      </c>
      <c r="E71" t="s">
        <v>19</v>
      </c>
      <c r="F71">
        <v>1</v>
      </c>
      <c r="G71">
        <f t="shared" ref="G71:G94" si="24">G70+5</f>
        <v>45</v>
      </c>
      <c r="I71">
        <v>2050</v>
      </c>
      <c r="J71">
        <f t="shared" ref="J71:J93" si="25">AVERAGE(G71:G72)</f>
        <v>47.5</v>
      </c>
      <c r="K71" cm="1">
        <f t="array" ref="K71">STOWA2019_NDJF_T(A71*60,J71,I71,"WH","center")</f>
        <v>0.71748540911226033</v>
      </c>
      <c r="L71">
        <f t="shared" ref="L71:L93" si="26">1/K71</f>
        <v>1.3937565660565738</v>
      </c>
    </row>
    <row r="72" spans="1:12" x14ac:dyDescent="0.3">
      <c r="A72">
        <v>96</v>
      </c>
      <c r="B72">
        <f t="shared" si="23"/>
        <v>0.47614667678755451</v>
      </c>
      <c r="C72">
        <f t="shared" si="19"/>
        <v>0.47614667678755451</v>
      </c>
      <c r="D72" t="s">
        <v>30</v>
      </c>
      <c r="E72" t="s">
        <v>19</v>
      </c>
      <c r="F72">
        <v>1</v>
      </c>
      <c r="G72">
        <f t="shared" si="24"/>
        <v>50</v>
      </c>
      <c r="I72">
        <v>2050</v>
      </c>
      <c r="J72">
        <f t="shared" si="25"/>
        <v>52.5</v>
      </c>
      <c r="K72" cm="1">
        <f t="array" ref="K72">STOWA2019_NDJF_T(A72*60,J72,I72,"WH","center")</f>
        <v>1.0897877319049099</v>
      </c>
      <c r="L72">
        <f t="shared" si="26"/>
        <v>0.91760988926901932</v>
      </c>
    </row>
    <row r="73" spans="1:12" x14ac:dyDescent="0.3">
      <c r="A73">
        <v>96</v>
      </c>
      <c r="B73">
        <f t="shared" si="23"/>
        <v>0.31122999856946476</v>
      </c>
      <c r="C73">
        <f t="shared" si="19"/>
        <v>0.31122999856946476</v>
      </c>
      <c r="D73" t="s">
        <v>30</v>
      </c>
      <c r="E73" t="s">
        <v>19</v>
      </c>
      <c r="F73">
        <v>1</v>
      </c>
      <c r="G73">
        <f t="shared" si="24"/>
        <v>55</v>
      </c>
      <c r="I73">
        <v>2050</v>
      </c>
      <c r="J73">
        <f t="shared" si="25"/>
        <v>57.5</v>
      </c>
      <c r="K73" cm="1">
        <f t="array" ref="K73">STOWA2019_NDJF_T(A73*60,J73,I73,"WH","center")</f>
        <v>1.6491312052686027</v>
      </c>
      <c r="L73">
        <f t="shared" si="26"/>
        <v>0.60637989069955456</v>
      </c>
    </row>
    <row r="74" spans="1:12" x14ac:dyDescent="0.3">
      <c r="A74">
        <v>96</v>
      </c>
      <c r="B74">
        <f t="shared" si="23"/>
        <v>0.20416698509297238</v>
      </c>
      <c r="C74">
        <f t="shared" si="19"/>
        <v>0.20416698509297238</v>
      </c>
      <c r="D74" t="s">
        <v>30</v>
      </c>
      <c r="E74" t="s">
        <v>19</v>
      </c>
      <c r="F74">
        <v>1</v>
      </c>
      <c r="G74">
        <f t="shared" si="24"/>
        <v>60</v>
      </c>
      <c r="I74">
        <v>2050</v>
      </c>
      <c r="J74">
        <f t="shared" si="25"/>
        <v>62.5</v>
      </c>
      <c r="K74" cm="1">
        <f t="array" ref="K74">STOWA2019_NDJF_T(A74*60,J74,I74,"WH","center")</f>
        <v>2.4862454338502338</v>
      </c>
      <c r="L74">
        <f t="shared" si="26"/>
        <v>0.40221290560658218</v>
      </c>
    </row>
    <row r="75" spans="1:12" x14ac:dyDescent="0.3">
      <c r="A75">
        <v>96</v>
      </c>
      <c r="B75">
        <f t="shared" si="23"/>
        <v>0.13444161172598285</v>
      </c>
      <c r="C75">
        <f t="shared" si="19"/>
        <v>0.13444161172598285</v>
      </c>
      <c r="D75" t="s">
        <v>30</v>
      </c>
      <c r="E75" t="s">
        <v>19</v>
      </c>
      <c r="F75">
        <v>1</v>
      </c>
      <c r="G75">
        <f t="shared" si="24"/>
        <v>65</v>
      </c>
      <c r="I75">
        <v>2050</v>
      </c>
      <c r="J75">
        <f t="shared" si="25"/>
        <v>67.5</v>
      </c>
      <c r="K75" cm="1">
        <f t="array" ref="K75">STOWA2019_NDJF_T(A75*60,J75,I75,"WH","center")</f>
        <v>3.7345302609095405</v>
      </c>
      <c r="L75">
        <f t="shared" si="26"/>
        <v>0.26777129388059934</v>
      </c>
    </row>
    <row r="76" spans="1:12" x14ac:dyDescent="0.3">
      <c r="A76">
        <v>96</v>
      </c>
      <c r="B76">
        <f t="shared" si="23"/>
        <v>8.885984655710355E-2</v>
      </c>
      <c r="C76">
        <f t="shared" si="19"/>
        <v>8.885984655710355E-2</v>
      </c>
      <c r="D76" t="s">
        <v>30</v>
      </c>
      <c r="E76" t="s">
        <v>19</v>
      </c>
      <c r="F76">
        <v>1</v>
      </c>
      <c r="G76">
        <f t="shared" si="24"/>
        <v>70</v>
      </c>
      <c r="I76">
        <v>2050</v>
      </c>
      <c r="J76">
        <f t="shared" si="25"/>
        <v>72.5</v>
      </c>
      <c r="K76" cm="1">
        <f t="array" ref="K76">STOWA2019_NDJF_T(A76*60,J76,I76,"WH","center")</f>
        <v>5.5893572767977586</v>
      </c>
      <c r="L76">
        <f t="shared" si="26"/>
        <v>0.17891144732349579</v>
      </c>
    </row>
    <row r="77" spans="1:12" x14ac:dyDescent="0.3">
      <c r="A77">
        <v>96</v>
      </c>
      <c r="B77">
        <f t="shared" si="23"/>
        <v>5.8946265911422435E-2</v>
      </c>
      <c r="C77">
        <f t="shared" si="19"/>
        <v>5.8946265911422435E-2</v>
      </c>
      <c r="D77" t="s">
        <v>30</v>
      </c>
      <c r="E77" t="s">
        <v>19</v>
      </c>
      <c r="F77">
        <v>1</v>
      </c>
      <c r="G77">
        <f t="shared" si="24"/>
        <v>75</v>
      </c>
      <c r="I77">
        <v>2050</v>
      </c>
      <c r="J77">
        <f t="shared" si="25"/>
        <v>77.5</v>
      </c>
      <c r="K77" cm="1">
        <f t="array" ref="K77">STOWA2019_NDJF_T(A77*60,J77,I77,"WH","center")</f>
        <v>8.33575199261408</v>
      </c>
      <c r="L77">
        <f t="shared" si="26"/>
        <v>0.11996518141207335</v>
      </c>
    </row>
    <row r="78" spans="1:12" x14ac:dyDescent="0.3">
      <c r="A78">
        <v>96</v>
      </c>
      <c r="B78">
        <f t="shared" si="23"/>
        <v>3.924450768121035E-2</v>
      </c>
      <c r="C78">
        <f t="shared" si="19"/>
        <v>3.924450768121035E-2</v>
      </c>
      <c r="D78" t="s">
        <v>30</v>
      </c>
      <c r="E78" t="s">
        <v>19</v>
      </c>
      <c r="F78">
        <v>1</v>
      </c>
      <c r="G78">
        <f t="shared" si="24"/>
        <v>80</v>
      </c>
      <c r="I78">
        <v>2050</v>
      </c>
      <c r="J78">
        <f t="shared" si="25"/>
        <v>82.5</v>
      </c>
      <c r="K78" cm="1">
        <f t="array" ref="K78">STOWA2019_NDJF_T(A78*60,J78,I78,"WH","center")</f>
        <v>12.388400068787544</v>
      </c>
      <c r="L78">
        <f t="shared" si="26"/>
        <v>8.0720673730863002E-2</v>
      </c>
    </row>
    <row r="79" spans="1:12" x14ac:dyDescent="0.3">
      <c r="A79">
        <v>96</v>
      </c>
      <c r="B79">
        <f t="shared" si="23"/>
        <v>2.6220607929761386E-2</v>
      </c>
      <c r="C79">
        <f t="shared" si="19"/>
        <v>2.6220607929761386E-2</v>
      </c>
      <c r="D79" t="s">
        <v>30</v>
      </c>
      <c r="E79" t="s">
        <v>19</v>
      </c>
      <c r="F79">
        <v>1</v>
      </c>
      <c r="G79">
        <f t="shared" si="24"/>
        <v>85</v>
      </c>
      <c r="I79">
        <v>2050</v>
      </c>
      <c r="J79">
        <f t="shared" si="25"/>
        <v>87.5</v>
      </c>
      <c r="K79" cm="1">
        <f t="array" ref="K79">STOWA2019_NDJF_T(A79*60,J79,I79,"WH","center")</f>
        <v>18.34860169984945</v>
      </c>
      <c r="L79">
        <f t="shared" si="26"/>
        <v>5.4500065801101616E-2</v>
      </c>
    </row>
    <row r="80" spans="1:12" x14ac:dyDescent="0.3">
      <c r="A80">
        <v>96</v>
      </c>
      <c r="B80">
        <f t="shared" si="23"/>
        <v>1.757901197792585E-2</v>
      </c>
      <c r="C80">
        <f t="shared" si="19"/>
        <v>1.757901197792585E-2</v>
      </c>
      <c r="D80" t="s">
        <v>30</v>
      </c>
      <c r="E80" t="s">
        <v>19</v>
      </c>
      <c r="F80">
        <v>1</v>
      </c>
      <c r="G80">
        <f t="shared" si="24"/>
        <v>90</v>
      </c>
      <c r="I80">
        <v>2050</v>
      </c>
      <c r="J80">
        <f t="shared" si="25"/>
        <v>92.5</v>
      </c>
      <c r="K80" cm="1">
        <f t="array" ref="K80">STOWA2019_NDJF_T(A80*60,J80,I80,"WH","center")</f>
        <v>27.084817372474038</v>
      </c>
      <c r="L80">
        <f t="shared" si="26"/>
        <v>3.6921053823175766E-2</v>
      </c>
    </row>
    <row r="81" spans="1:12" x14ac:dyDescent="0.3">
      <c r="A81">
        <v>96</v>
      </c>
      <c r="B81">
        <f t="shared" si="23"/>
        <v>1.1826038799859152E-2</v>
      </c>
      <c r="C81">
        <f t="shared" si="19"/>
        <v>1.1826038799859152E-2</v>
      </c>
      <c r="D81" t="s">
        <v>30</v>
      </c>
      <c r="E81" t="s">
        <v>19</v>
      </c>
      <c r="F81">
        <v>1</v>
      </c>
      <c r="G81">
        <f t="shared" si="24"/>
        <v>95</v>
      </c>
      <c r="I81">
        <v>2050</v>
      </c>
      <c r="J81">
        <f t="shared" si="25"/>
        <v>97.5</v>
      </c>
      <c r="K81" cm="1">
        <f t="array" ref="K81">STOWA2019_NDJF_T(A81*60,J81,I81,"WH","center")</f>
        <v>39.848551557784155</v>
      </c>
      <c r="L81">
        <f t="shared" si="26"/>
        <v>2.5095015023316614E-2</v>
      </c>
    </row>
    <row r="82" spans="1:12" x14ac:dyDescent="0.3">
      <c r="A82">
        <v>96</v>
      </c>
      <c r="B82">
        <f t="shared" si="23"/>
        <v>7.9825336851768978E-3</v>
      </c>
      <c r="C82">
        <f t="shared" si="19"/>
        <v>7.9825336851768978E-3</v>
      </c>
      <c r="D82" t="s">
        <v>30</v>
      </c>
      <c r="E82" t="s">
        <v>19</v>
      </c>
      <c r="F82">
        <v>1</v>
      </c>
      <c r="G82">
        <f t="shared" si="24"/>
        <v>100</v>
      </c>
      <c r="I82">
        <v>2050</v>
      </c>
      <c r="J82">
        <f t="shared" si="25"/>
        <v>102.5</v>
      </c>
      <c r="K82" cm="1">
        <f t="array" ref="K82">STOWA2019_NDJF_T(A82*60,J82,I82,"WH","center")</f>
        <v>58.436878921307219</v>
      </c>
      <c r="L82">
        <f t="shared" si="26"/>
        <v>1.7112481338139716E-2</v>
      </c>
    </row>
    <row r="83" spans="1:12" x14ac:dyDescent="0.3">
      <c r="A83">
        <v>96</v>
      </c>
      <c r="B83">
        <f t="shared" si="23"/>
        <v>5.4059800248853693E-3</v>
      </c>
      <c r="C83">
        <f t="shared" si="19"/>
        <v>5.4059800248853693E-3</v>
      </c>
      <c r="D83" t="s">
        <v>30</v>
      </c>
      <c r="E83" t="s">
        <v>19</v>
      </c>
      <c r="F83">
        <v>1</v>
      </c>
      <c r="G83">
        <f t="shared" si="24"/>
        <v>105</v>
      </c>
      <c r="I83">
        <v>2050</v>
      </c>
      <c r="J83">
        <f t="shared" si="25"/>
        <v>107.5</v>
      </c>
      <c r="K83" cm="1">
        <f t="array" ref="K83">STOWA2019_NDJF_T(A83*60,J83,I83,"WH","center")</f>
        <v>85.422618871428213</v>
      </c>
      <c r="L83">
        <f t="shared" si="26"/>
        <v>1.1706501313254347E-2</v>
      </c>
    </row>
    <row r="84" spans="1:12" x14ac:dyDescent="0.3">
      <c r="A84">
        <v>96</v>
      </c>
      <c r="B84">
        <f t="shared" si="23"/>
        <v>3.6729627905270571E-3</v>
      </c>
      <c r="C84">
        <f t="shared" si="19"/>
        <v>3.6729627905270571E-3</v>
      </c>
      <c r="D84" t="s">
        <v>30</v>
      </c>
      <c r="E84" t="s">
        <v>19</v>
      </c>
      <c r="F84">
        <v>1</v>
      </c>
      <c r="G84">
        <f t="shared" si="24"/>
        <v>110</v>
      </c>
      <c r="I84">
        <v>2050</v>
      </c>
      <c r="J84">
        <f t="shared" si="25"/>
        <v>112.5</v>
      </c>
      <c r="K84" cm="1">
        <f t="array" ref="K84">STOWA2019_NDJF_T(A84*60,J84,I84,"WH","center")</f>
        <v>124.47814834906798</v>
      </c>
      <c r="L84">
        <f t="shared" si="26"/>
        <v>8.0335385227272901E-3</v>
      </c>
    </row>
    <row r="85" spans="1:12" x14ac:dyDescent="0.3">
      <c r="A85">
        <v>96</v>
      </c>
      <c r="B85">
        <f t="shared" si="23"/>
        <v>2.5034782362241973E-3</v>
      </c>
      <c r="C85">
        <f t="shared" si="19"/>
        <v>2.5034782362241973E-3</v>
      </c>
      <c r="D85" t="s">
        <v>30</v>
      </c>
      <c r="E85" t="s">
        <v>19</v>
      </c>
      <c r="F85">
        <v>1</v>
      </c>
      <c r="G85">
        <f t="shared" si="24"/>
        <v>115</v>
      </c>
      <c r="I85">
        <v>2050</v>
      </c>
      <c r="J85">
        <f t="shared" si="25"/>
        <v>117.5</v>
      </c>
      <c r="K85" cm="1">
        <f t="array" ref="K85">STOWA2019_NDJF_T(A85*60,J85,I85,"WH","center")</f>
        <v>180.8298550452775</v>
      </c>
      <c r="L85">
        <f t="shared" si="26"/>
        <v>5.5300602865030928E-3</v>
      </c>
    </row>
    <row r="86" spans="1:12" x14ac:dyDescent="0.3">
      <c r="A86">
        <v>96</v>
      </c>
      <c r="B86">
        <f t="shared" si="23"/>
        <v>1.7117236929697966E-3</v>
      </c>
      <c r="C86">
        <f t="shared" si="19"/>
        <v>1.7117236929697966E-3</v>
      </c>
      <c r="D86" t="s">
        <v>30</v>
      </c>
      <c r="E86" t="s">
        <v>19</v>
      </c>
      <c r="F86">
        <v>1</v>
      </c>
      <c r="G86">
        <f t="shared" si="24"/>
        <v>120</v>
      </c>
      <c r="I86">
        <v>2050</v>
      </c>
      <c r="J86">
        <f t="shared" si="25"/>
        <v>122.5</v>
      </c>
      <c r="K86" cm="1">
        <f t="array" ref="K86">STOWA2019_NDJF_T(A86*60,J86,I86,"WH","center")</f>
        <v>261.89414565850268</v>
      </c>
      <c r="L86">
        <f t="shared" si="26"/>
        <v>3.8183365935332962E-3</v>
      </c>
    </row>
    <row r="87" spans="1:12" x14ac:dyDescent="0.3">
      <c r="A87">
        <v>96</v>
      </c>
      <c r="B87">
        <f t="shared" si="23"/>
        <v>1.1739723376916582E-3</v>
      </c>
      <c r="C87">
        <f t="shared" si="19"/>
        <v>1.1739723376916582E-3</v>
      </c>
      <c r="D87" t="s">
        <v>30</v>
      </c>
      <c r="E87" t="s">
        <v>19</v>
      </c>
      <c r="F87">
        <v>1</v>
      </c>
      <c r="G87">
        <f t="shared" si="24"/>
        <v>125</v>
      </c>
      <c r="I87">
        <v>2050</v>
      </c>
      <c r="J87">
        <f t="shared" si="25"/>
        <v>127.5</v>
      </c>
      <c r="K87" cm="1">
        <f t="array" ref="K87">STOWA2019_NDJF_T(A87*60,J87,I87,"WH","center")</f>
        <v>378.16272769188669</v>
      </c>
      <c r="L87">
        <f t="shared" si="26"/>
        <v>2.644364255841638E-3</v>
      </c>
    </row>
    <row r="88" spans="1:12" x14ac:dyDescent="0.3">
      <c r="A88">
        <v>96</v>
      </c>
      <c r="B88">
        <f t="shared" si="23"/>
        <v>8.0763696637441477E-4</v>
      </c>
      <c r="C88">
        <f t="shared" si="19"/>
        <v>8.0763696637441477E-4</v>
      </c>
      <c r="D88" t="s">
        <v>30</v>
      </c>
      <c r="E88" t="s">
        <v>19</v>
      </c>
      <c r="F88">
        <v>1</v>
      </c>
      <c r="G88">
        <f t="shared" si="24"/>
        <v>130</v>
      </c>
      <c r="I88">
        <v>2050</v>
      </c>
      <c r="J88">
        <f t="shared" si="25"/>
        <v>132.5</v>
      </c>
      <c r="K88" cm="1">
        <f t="array" ref="K88">STOWA2019_NDJF_T(A88*60,J88,I88,"WH","center")</f>
        <v>544.44663926677356</v>
      </c>
      <c r="L88">
        <f t="shared" si="26"/>
        <v>1.8367272894672232E-3</v>
      </c>
    </row>
    <row r="89" spans="1:12" x14ac:dyDescent="0.3">
      <c r="A89">
        <v>96</v>
      </c>
      <c r="B89">
        <f t="shared" si="23"/>
        <v>5.5726660385948114E-4</v>
      </c>
      <c r="C89">
        <f t="shared" si="19"/>
        <v>5.5726660385948114E-4</v>
      </c>
      <c r="D89" t="s">
        <v>30</v>
      </c>
      <c r="E89" t="s">
        <v>19</v>
      </c>
      <c r="F89">
        <v>1</v>
      </c>
      <c r="G89">
        <f t="shared" si="24"/>
        <v>135</v>
      </c>
      <c r="I89">
        <v>2050</v>
      </c>
      <c r="J89">
        <f t="shared" si="25"/>
        <v>137.5</v>
      </c>
      <c r="K89" cm="1">
        <f t="array" ref="K89">STOWA2019_NDJF_T(A89*60,J89,I89,"WH","center")</f>
        <v>781.57931013331711</v>
      </c>
      <c r="L89">
        <f t="shared" si="26"/>
        <v>1.2794606856077421E-3</v>
      </c>
    </row>
    <row r="90" spans="1:12" x14ac:dyDescent="0.3">
      <c r="A90">
        <v>96</v>
      </c>
      <c r="B90">
        <f t="shared" si="23"/>
        <v>3.8564447354095155E-4</v>
      </c>
      <c r="C90">
        <f t="shared" si="19"/>
        <v>3.8564447354095155E-4</v>
      </c>
      <c r="D90" t="s">
        <v>30</v>
      </c>
      <c r="E90" t="s">
        <v>19</v>
      </c>
      <c r="F90">
        <v>1</v>
      </c>
      <c r="G90">
        <f t="shared" si="24"/>
        <v>140</v>
      </c>
      <c r="I90">
        <v>2050</v>
      </c>
      <c r="J90">
        <f t="shared" si="25"/>
        <v>142.5</v>
      </c>
      <c r="K90" cm="1">
        <f t="array" ref="K90">STOWA2019_NDJF_T(A90*60,J90,I90,"WH","center")</f>
        <v>1118.7982344688942</v>
      </c>
      <c r="L90">
        <f t="shared" si="26"/>
        <v>8.9381621206679053E-4</v>
      </c>
    </row>
    <row r="91" spans="1:12" x14ac:dyDescent="0.3">
      <c r="A91">
        <v>96</v>
      </c>
      <c r="B91">
        <f t="shared" si="23"/>
        <v>2.6764737218133087E-4</v>
      </c>
      <c r="C91">
        <f t="shared" si="19"/>
        <v>2.6764737218133087E-4</v>
      </c>
      <c r="D91" t="s">
        <v>30</v>
      </c>
      <c r="E91" t="s">
        <v>19</v>
      </c>
      <c r="F91">
        <v>1</v>
      </c>
      <c r="G91">
        <f t="shared" si="24"/>
        <v>145</v>
      </c>
      <c r="I91">
        <v>2050</v>
      </c>
      <c r="J91">
        <f t="shared" si="25"/>
        <v>147.5</v>
      </c>
      <c r="K91" cm="1">
        <f t="array" ref="K91">STOWA2019_NDJF_T(A91*60,J91,I91,"WH","center")</f>
        <v>1597.0133553482515</v>
      </c>
      <c r="L91">
        <f t="shared" si="26"/>
        <v>6.2616883988545965E-4</v>
      </c>
    </row>
    <row r="92" spans="1:12" x14ac:dyDescent="0.3">
      <c r="A92">
        <v>96</v>
      </c>
      <c r="B92">
        <f t="shared" si="23"/>
        <v>1.8629018136607389E-4</v>
      </c>
      <c r="C92">
        <f t="shared" si="19"/>
        <v>1.8629018136607389E-4</v>
      </c>
      <c r="D92" t="s">
        <v>30</v>
      </c>
      <c r="E92" t="s">
        <v>19</v>
      </c>
      <c r="F92">
        <v>1</v>
      </c>
      <c r="G92">
        <f t="shared" si="24"/>
        <v>150</v>
      </c>
      <c r="I92">
        <v>2050</v>
      </c>
      <c r="J92">
        <f t="shared" si="25"/>
        <v>152.5</v>
      </c>
      <c r="K92" cm="1">
        <f t="array" ref="K92">STOWA2019_NDJF_T(A92*60,J92,I92,"WH","center")</f>
        <v>2273.354209467585</v>
      </c>
      <c r="L92">
        <f t="shared" si="26"/>
        <v>4.3987865851938577E-4</v>
      </c>
    </row>
    <row r="93" spans="1:12" x14ac:dyDescent="0.3">
      <c r="A93">
        <v>96</v>
      </c>
      <c r="B93">
        <f t="shared" si="23"/>
        <v>1.3002349626540399E-4</v>
      </c>
      <c r="C93">
        <f t="shared" si="19"/>
        <v>1.3002349626540399E-4</v>
      </c>
      <c r="D93" t="s">
        <v>30</v>
      </c>
      <c r="E93" t="s">
        <v>19</v>
      </c>
      <c r="F93">
        <v>1</v>
      </c>
      <c r="G93">
        <f t="shared" si="24"/>
        <v>155</v>
      </c>
      <c r="I93">
        <v>2050</v>
      </c>
      <c r="J93">
        <f t="shared" si="25"/>
        <v>157.5</v>
      </c>
      <c r="K93" cm="1">
        <f t="array" ref="K93">STOWA2019_NDJF_T(A93*60,J93,I93,"WH","center")</f>
        <v>3227.3143126798095</v>
      </c>
      <c r="L93">
        <f t="shared" si="26"/>
        <v>3.0985516225398178E-4</v>
      </c>
    </row>
    <row r="94" spans="1:12" x14ac:dyDescent="0.3">
      <c r="A94">
        <v>96</v>
      </c>
      <c r="B94" s="1">
        <f>L93</f>
        <v>3.0985516225398178E-4</v>
      </c>
      <c r="C94">
        <f t="shared" si="19"/>
        <v>3.0985516225398178E-4</v>
      </c>
      <c r="D94" t="s">
        <v>30</v>
      </c>
      <c r="E94" t="s">
        <v>19</v>
      </c>
      <c r="F94">
        <v>1</v>
      </c>
      <c r="G94">
        <f t="shared" si="24"/>
        <v>160</v>
      </c>
      <c r="I94">
        <v>2050</v>
      </c>
      <c r="J94">
        <f>AVERAGE(G94:G95)</f>
        <v>85</v>
      </c>
      <c r="K94" cm="1">
        <f t="array" ref="K94">STOWA2019_NDJF_T(A94*60,J94,I94,"WH","center")</f>
        <v>15.083258377877863</v>
      </c>
      <c r="L94">
        <f>1/K94</f>
        <v>6.6298672007546341E-2</v>
      </c>
    </row>
    <row r="95" spans="1:12" x14ac:dyDescent="0.3">
      <c r="A95">
        <v>192</v>
      </c>
      <c r="B95" s="1">
        <f>365.25*24/A95 - L95</f>
        <v>22.17258822882971</v>
      </c>
      <c r="C95">
        <f>B95</f>
        <v>22.17258822882971</v>
      </c>
      <c r="D95" t="s">
        <v>30</v>
      </c>
      <c r="E95" t="s">
        <v>19</v>
      </c>
      <c r="F95">
        <v>1</v>
      </c>
      <c r="G95">
        <v>10</v>
      </c>
      <c r="I95">
        <v>2050</v>
      </c>
      <c r="J95">
        <f>AVERAGE(G95:G97)</f>
        <v>15</v>
      </c>
      <c r="K95" cm="1">
        <f t="array" ref="K95">STOWA2019_NDJF_T(A95*60,J95,I95,"WH","center")</f>
        <v>4.2582796914050675E-2</v>
      </c>
      <c r="L95">
        <f>1/K95</f>
        <v>23.48366177117029</v>
      </c>
    </row>
    <row r="96" spans="1:12" x14ac:dyDescent="0.3">
      <c r="A96">
        <v>192</v>
      </c>
      <c r="B96">
        <f t="shared" ref="B96:B100" si="27">L95-L96</f>
        <v>2.8498561900904491</v>
      </c>
      <c r="C96">
        <f t="shared" ref="C96:C125" si="28">B96</f>
        <v>2.8498561900904491</v>
      </c>
      <c r="D96" t="s">
        <v>30</v>
      </c>
      <c r="E96" t="s">
        <v>19</v>
      </c>
      <c r="F96">
        <v>1</v>
      </c>
      <c r="G96">
        <f t="shared" ref="G96:G100" si="29">G95+5</f>
        <v>15</v>
      </c>
      <c r="I96">
        <v>2050</v>
      </c>
      <c r="J96">
        <f t="shared" ref="J96:J100" si="30">AVERAGE(G96:G97)</f>
        <v>17.5</v>
      </c>
      <c r="K96" cm="1">
        <f t="array" ref="K96">STOWA2019_NDJF_T(A96*60,J96,I96,"WH","center")</f>
        <v>4.8464157330092787E-2</v>
      </c>
      <c r="L96">
        <f t="shared" ref="L96:L100" si="31">1/K96</f>
        <v>20.633805581079841</v>
      </c>
    </row>
    <row r="97" spans="1:12" x14ac:dyDescent="0.3">
      <c r="A97">
        <v>192</v>
      </c>
      <c r="B97">
        <f t="shared" si="27"/>
        <v>4.7414160548582256</v>
      </c>
      <c r="C97">
        <f t="shared" si="28"/>
        <v>4.7414160548582256</v>
      </c>
      <c r="D97" t="s">
        <v>30</v>
      </c>
      <c r="E97" t="s">
        <v>19</v>
      </c>
      <c r="F97">
        <v>1</v>
      </c>
      <c r="G97">
        <f t="shared" si="29"/>
        <v>20</v>
      </c>
      <c r="I97">
        <v>2050</v>
      </c>
      <c r="J97">
        <f t="shared" si="30"/>
        <v>22.5</v>
      </c>
      <c r="K97" cm="1">
        <f t="array" ref="K97">STOWA2019_NDJF_T(A97*60,J97,I97,"WH","center")</f>
        <v>6.2923199708266153E-2</v>
      </c>
      <c r="L97">
        <f t="shared" si="31"/>
        <v>15.892389526221615</v>
      </c>
    </row>
    <row r="98" spans="1:12" x14ac:dyDescent="0.3">
      <c r="A98">
        <v>192</v>
      </c>
      <c r="B98">
        <f t="shared" si="27"/>
        <v>3.6906713734148333</v>
      </c>
      <c r="C98">
        <f t="shared" si="28"/>
        <v>3.6906713734148333</v>
      </c>
      <c r="D98" t="s">
        <v>30</v>
      </c>
      <c r="E98" t="s">
        <v>19</v>
      </c>
      <c r="F98">
        <v>1</v>
      </c>
      <c r="G98">
        <f t="shared" si="29"/>
        <v>25</v>
      </c>
      <c r="I98">
        <v>2050</v>
      </c>
      <c r="J98">
        <f t="shared" si="30"/>
        <v>27.5</v>
      </c>
      <c r="K98" cm="1">
        <f t="array" ref="K98">STOWA2019_NDJF_T(A98*60,J98,I98,"WH","center")</f>
        <v>8.1955671117511286E-2</v>
      </c>
      <c r="L98">
        <f t="shared" si="31"/>
        <v>12.201718152806782</v>
      </c>
    </row>
    <row r="99" spans="1:12" x14ac:dyDescent="0.3">
      <c r="A99">
        <v>192</v>
      </c>
      <c r="B99">
        <f t="shared" si="27"/>
        <v>2.8640230578454116</v>
      </c>
      <c r="C99">
        <f t="shared" si="28"/>
        <v>2.8640230578454116</v>
      </c>
      <c r="D99" t="s">
        <v>30</v>
      </c>
      <c r="E99" t="s">
        <v>19</v>
      </c>
      <c r="F99">
        <v>1</v>
      </c>
      <c r="G99">
        <f t="shared" si="29"/>
        <v>30</v>
      </c>
      <c r="I99">
        <v>2050</v>
      </c>
      <c r="J99">
        <f t="shared" si="30"/>
        <v>32.5</v>
      </c>
      <c r="K99" cm="1">
        <f t="array" ref="K99">STOWA2019_NDJF_T(A99*60,J99,I99,"WH","center")</f>
        <v>0.1070928092886221</v>
      </c>
      <c r="L99">
        <f t="shared" si="31"/>
        <v>9.3376950949613704</v>
      </c>
    </row>
    <row r="100" spans="1:12" x14ac:dyDescent="0.3">
      <c r="A100">
        <v>192</v>
      </c>
      <c r="B100">
        <f t="shared" si="27"/>
        <v>2.2155953558958963</v>
      </c>
      <c r="C100">
        <f t="shared" si="28"/>
        <v>2.2155953558958963</v>
      </c>
      <c r="D100" t="s">
        <v>30</v>
      </c>
      <c r="E100" t="s">
        <v>19</v>
      </c>
      <c r="F100">
        <v>1</v>
      </c>
      <c r="G100">
        <f t="shared" si="29"/>
        <v>35</v>
      </c>
      <c r="I100">
        <v>2050</v>
      </c>
      <c r="J100">
        <f t="shared" si="30"/>
        <v>37.5</v>
      </c>
      <c r="K100" cm="1">
        <f t="array" ref="K100">STOWA2019_NDJF_T(A100*60,J100,I100,"WH","center")</f>
        <v>0.14040803086692169</v>
      </c>
      <c r="L100">
        <f t="shared" si="31"/>
        <v>7.1220997390654741</v>
      </c>
    </row>
    <row r="101" spans="1:12" x14ac:dyDescent="0.3">
      <c r="A101">
        <v>192</v>
      </c>
      <c r="B101">
        <f>L100-L101</f>
        <v>1.7083836365929965</v>
      </c>
      <c r="C101">
        <f t="shared" si="28"/>
        <v>1.7083836365929965</v>
      </c>
      <c r="D101" t="s">
        <v>30</v>
      </c>
      <c r="E101" t="s">
        <v>19</v>
      </c>
      <c r="F101">
        <v>1</v>
      </c>
      <c r="G101">
        <f>G100+5</f>
        <v>40</v>
      </c>
      <c r="I101">
        <v>2050</v>
      </c>
      <c r="J101">
        <f>AVERAGE(G101:G102)</f>
        <v>42.5</v>
      </c>
      <c r="K101" cm="1">
        <f t="array" ref="K101">STOWA2019_NDJF_T(A101*60,J101,I101,"WH","center")</f>
        <v>0.18471600303224137</v>
      </c>
      <c r="L101">
        <f>1/K101</f>
        <v>5.4137161024724776</v>
      </c>
    </row>
    <row r="102" spans="1:12" x14ac:dyDescent="0.3">
      <c r="A102">
        <v>192</v>
      </c>
      <c r="B102">
        <f t="shared" ref="B102:B124" si="32">L101-L102</f>
        <v>1.3129835551914573</v>
      </c>
      <c r="C102">
        <f t="shared" si="28"/>
        <v>1.3129835551914573</v>
      </c>
      <c r="D102" t="s">
        <v>30</v>
      </c>
      <c r="E102" t="s">
        <v>19</v>
      </c>
      <c r="F102">
        <v>1</v>
      </c>
      <c r="G102">
        <f t="shared" ref="G102:G125" si="33">G101+5</f>
        <v>45</v>
      </c>
      <c r="I102">
        <v>2050</v>
      </c>
      <c r="J102">
        <f t="shared" ref="J102:J124" si="34">AVERAGE(G102:G103)</f>
        <v>47.5</v>
      </c>
      <c r="K102" cm="1">
        <f t="array" ref="K102">STOWA2019_NDJF_T(A102*60,J102,I102,"WH","center")</f>
        <v>0.24385886874359738</v>
      </c>
      <c r="L102">
        <f t="shared" ref="L102:L124" si="35">1/K102</f>
        <v>4.1007325472810203</v>
      </c>
    </row>
    <row r="103" spans="1:12" x14ac:dyDescent="0.3">
      <c r="A103">
        <v>192</v>
      </c>
      <c r="B103">
        <f t="shared" si="32"/>
        <v>1.0057153796216607</v>
      </c>
      <c r="C103">
        <f t="shared" si="28"/>
        <v>1.0057153796216607</v>
      </c>
      <c r="D103" t="s">
        <v>30</v>
      </c>
      <c r="E103" t="s">
        <v>19</v>
      </c>
      <c r="F103">
        <v>1</v>
      </c>
      <c r="G103">
        <f t="shared" si="33"/>
        <v>50</v>
      </c>
      <c r="I103">
        <v>2050</v>
      </c>
      <c r="J103">
        <f t="shared" si="34"/>
        <v>52.5</v>
      </c>
      <c r="K103" cm="1">
        <f t="array" ref="K103">STOWA2019_NDJF_T(A103*60,J103,I103,"WH","center")</f>
        <v>0.32309998485606489</v>
      </c>
      <c r="L103">
        <f t="shared" si="35"/>
        <v>3.0950171676593596</v>
      </c>
    </row>
    <row r="104" spans="1:12" x14ac:dyDescent="0.3">
      <c r="A104">
        <v>192</v>
      </c>
      <c r="B104">
        <f t="shared" si="32"/>
        <v>0.76763741097364457</v>
      </c>
      <c r="C104">
        <f t="shared" si="28"/>
        <v>0.76763741097364457</v>
      </c>
      <c r="D104" t="s">
        <v>30</v>
      </c>
      <c r="E104" t="s">
        <v>19</v>
      </c>
      <c r="F104">
        <v>1</v>
      </c>
      <c r="G104">
        <f t="shared" si="33"/>
        <v>55</v>
      </c>
      <c r="I104">
        <v>2050</v>
      </c>
      <c r="J104">
        <f t="shared" si="34"/>
        <v>57.5</v>
      </c>
      <c r="K104" cm="1">
        <f t="array" ref="K104">STOWA2019_NDJF_T(A104*60,J104,I104,"WH","center")</f>
        <v>0.42966773992399132</v>
      </c>
      <c r="L104">
        <f t="shared" si="35"/>
        <v>2.3273797566857151</v>
      </c>
    </row>
    <row r="105" spans="1:12" x14ac:dyDescent="0.3">
      <c r="A105">
        <v>192</v>
      </c>
      <c r="B105">
        <f t="shared" si="32"/>
        <v>0.58388259201873449</v>
      </c>
      <c r="C105">
        <f t="shared" si="28"/>
        <v>0.58388259201873449</v>
      </c>
      <c r="D105" t="s">
        <v>30</v>
      </c>
      <c r="E105" t="s">
        <v>19</v>
      </c>
      <c r="F105">
        <v>1</v>
      </c>
      <c r="G105">
        <f t="shared" si="33"/>
        <v>60</v>
      </c>
      <c r="I105">
        <v>2050</v>
      </c>
      <c r="J105">
        <f t="shared" si="34"/>
        <v>62.5</v>
      </c>
      <c r="K105" cm="1">
        <f t="array" ref="K105">STOWA2019_NDJF_T(A105*60,J105,I105,"WH","center")</f>
        <v>0.57355986592097874</v>
      </c>
      <c r="L105">
        <f t="shared" si="35"/>
        <v>1.7434971646669806</v>
      </c>
    </row>
    <row r="106" spans="1:12" x14ac:dyDescent="0.3">
      <c r="A106">
        <v>192</v>
      </c>
      <c r="B106">
        <f t="shared" si="32"/>
        <v>0.44245578694541576</v>
      </c>
      <c r="C106">
        <f t="shared" si="28"/>
        <v>0.44245578694541576</v>
      </c>
      <c r="D106" t="s">
        <v>30</v>
      </c>
      <c r="E106" t="s">
        <v>19</v>
      </c>
      <c r="F106">
        <v>1</v>
      </c>
      <c r="G106">
        <f t="shared" si="33"/>
        <v>65</v>
      </c>
      <c r="I106">
        <v>2050</v>
      </c>
      <c r="J106">
        <f t="shared" si="34"/>
        <v>67.5</v>
      </c>
      <c r="K106" cm="1">
        <f t="array" ref="K106">STOWA2019_NDJF_T(A106*60,J106,I106,"WH","center")</f>
        <v>0.7686150626133349</v>
      </c>
      <c r="L106">
        <f t="shared" si="35"/>
        <v>1.3010413777215648</v>
      </c>
    </row>
    <row r="107" spans="1:12" x14ac:dyDescent="0.3">
      <c r="A107">
        <v>192</v>
      </c>
      <c r="B107">
        <f t="shared" si="32"/>
        <v>0.33399358527095813</v>
      </c>
      <c r="C107">
        <f t="shared" si="28"/>
        <v>0.33399358527095813</v>
      </c>
      <c r="D107" t="s">
        <v>30</v>
      </c>
      <c r="E107" t="s">
        <v>19</v>
      </c>
      <c r="F107">
        <v>1</v>
      </c>
      <c r="G107">
        <f t="shared" si="33"/>
        <v>70</v>
      </c>
      <c r="I107">
        <v>2050</v>
      </c>
      <c r="J107">
        <f t="shared" si="34"/>
        <v>72.5</v>
      </c>
      <c r="K107" cm="1">
        <f t="array" ref="K107">STOWA2019_NDJF_T(A107*60,J107,I107,"WH","center")</f>
        <v>1.0340750558624292</v>
      </c>
      <c r="L107">
        <f t="shared" si="35"/>
        <v>0.96704779245060668</v>
      </c>
    </row>
    <row r="108" spans="1:12" x14ac:dyDescent="0.3">
      <c r="A108">
        <v>192</v>
      </c>
      <c r="B108">
        <f t="shared" si="32"/>
        <v>0.25123224041315018</v>
      </c>
      <c r="C108">
        <f t="shared" si="28"/>
        <v>0.25123224041315018</v>
      </c>
      <c r="D108" t="s">
        <v>30</v>
      </c>
      <c r="E108" t="s">
        <v>19</v>
      </c>
      <c r="F108">
        <v>1</v>
      </c>
      <c r="G108">
        <f t="shared" si="33"/>
        <v>75</v>
      </c>
      <c r="I108">
        <v>2050</v>
      </c>
      <c r="J108">
        <f t="shared" si="34"/>
        <v>77.5</v>
      </c>
      <c r="K108" cm="1">
        <f t="array" ref="K108">STOWA2019_NDJF_T(A108*60,J108,I108,"WH","center")</f>
        <v>1.3970079263487041</v>
      </c>
      <c r="L108">
        <f t="shared" si="35"/>
        <v>0.7158155520374565</v>
      </c>
    </row>
    <row r="109" spans="1:12" x14ac:dyDescent="0.3">
      <c r="A109">
        <v>192</v>
      </c>
      <c r="B109">
        <f t="shared" si="32"/>
        <v>0.18819912000905314</v>
      </c>
      <c r="C109">
        <f t="shared" si="28"/>
        <v>0.18819912000905314</v>
      </c>
      <c r="D109" t="s">
        <v>30</v>
      </c>
      <c r="E109" t="s">
        <v>19</v>
      </c>
      <c r="F109">
        <v>1</v>
      </c>
      <c r="G109">
        <f t="shared" si="33"/>
        <v>80</v>
      </c>
      <c r="I109">
        <v>2050</v>
      </c>
      <c r="J109">
        <f t="shared" si="34"/>
        <v>82.5</v>
      </c>
      <c r="K109" cm="1">
        <f t="array" ref="K109">STOWA2019_NDJF_T(A109*60,J109,I109,"WH","center")</f>
        <v>1.8953162549459164</v>
      </c>
      <c r="L109">
        <f t="shared" si="35"/>
        <v>0.52761643202840336</v>
      </c>
    </row>
    <row r="110" spans="1:12" x14ac:dyDescent="0.3">
      <c r="A110">
        <v>192</v>
      </c>
      <c r="B110">
        <f t="shared" si="32"/>
        <v>0.14040246405606577</v>
      </c>
      <c r="C110">
        <f t="shared" si="28"/>
        <v>0.14040246405606577</v>
      </c>
      <c r="D110" t="s">
        <v>30</v>
      </c>
      <c r="E110" t="s">
        <v>19</v>
      </c>
      <c r="F110">
        <v>1</v>
      </c>
      <c r="G110">
        <f t="shared" si="33"/>
        <v>85</v>
      </c>
      <c r="I110">
        <v>2050</v>
      </c>
      <c r="J110">
        <f t="shared" si="34"/>
        <v>87.5</v>
      </c>
      <c r="K110" cm="1">
        <f t="array" ref="K110">STOWA2019_NDJF_T(A110*60,J110,I110,"WH","center")</f>
        <v>2.5825514643403555</v>
      </c>
      <c r="L110">
        <f t="shared" si="35"/>
        <v>0.38721396797233759</v>
      </c>
    </row>
    <row r="111" spans="1:12" x14ac:dyDescent="0.3">
      <c r="A111">
        <v>192</v>
      </c>
      <c r="B111">
        <f t="shared" si="32"/>
        <v>0.10430741952061967</v>
      </c>
      <c r="C111">
        <f t="shared" si="28"/>
        <v>0.10430741952061967</v>
      </c>
      <c r="D111" t="s">
        <v>30</v>
      </c>
      <c r="E111" t="s">
        <v>19</v>
      </c>
      <c r="F111">
        <v>1</v>
      </c>
      <c r="G111">
        <f t="shared" si="33"/>
        <v>90</v>
      </c>
      <c r="I111">
        <v>2050</v>
      </c>
      <c r="J111">
        <f t="shared" si="34"/>
        <v>92.5</v>
      </c>
      <c r="K111" cm="1">
        <f t="array" ref="K111">STOWA2019_NDJF_T(A111*60,J111,I111,"WH","center")</f>
        <v>3.5347361362710359</v>
      </c>
      <c r="L111">
        <f t="shared" si="35"/>
        <v>0.28290654845171792</v>
      </c>
    </row>
    <row r="112" spans="1:12" x14ac:dyDescent="0.3">
      <c r="A112">
        <v>192</v>
      </c>
      <c r="B112">
        <f t="shared" si="32"/>
        <v>7.7157418754675411E-2</v>
      </c>
      <c r="C112">
        <f t="shared" si="28"/>
        <v>7.7157418754675411E-2</v>
      </c>
      <c r="D112" t="s">
        <v>30</v>
      </c>
      <c r="E112" t="s">
        <v>19</v>
      </c>
      <c r="F112">
        <v>1</v>
      </c>
      <c r="G112">
        <f t="shared" si="33"/>
        <v>95</v>
      </c>
      <c r="I112">
        <v>2050</v>
      </c>
      <c r="J112">
        <f t="shared" si="34"/>
        <v>97.5</v>
      </c>
      <c r="K112" cm="1">
        <f t="array" ref="K112">STOWA2019_NDJF_T(A112*60,J112,I112,"WH","center")</f>
        <v>4.8602878732583736</v>
      </c>
      <c r="L112">
        <f t="shared" si="35"/>
        <v>0.20574912969704251</v>
      </c>
    </row>
    <row r="113" spans="1:12" x14ac:dyDescent="0.3">
      <c r="A113">
        <v>192</v>
      </c>
      <c r="B113">
        <f t="shared" si="32"/>
        <v>5.6820939921595121E-2</v>
      </c>
      <c r="C113">
        <f t="shared" si="28"/>
        <v>5.6820939921595121E-2</v>
      </c>
      <c r="D113" t="s">
        <v>30</v>
      </c>
      <c r="E113" t="s">
        <v>19</v>
      </c>
      <c r="F113">
        <v>1</v>
      </c>
      <c r="G113">
        <f t="shared" si="33"/>
        <v>100</v>
      </c>
      <c r="I113">
        <v>2050</v>
      </c>
      <c r="J113">
        <f t="shared" si="34"/>
        <v>102.5</v>
      </c>
      <c r="K113" cm="1">
        <f t="array" ref="K113">STOWA2019_NDJF_T(A113*60,J113,I113,"WH","center")</f>
        <v>6.7146455047079483</v>
      </c>
      <c r="L113">
        <f t="shared" si="35"/>
        <v>0.14892818977544739</v>
      </c>
    </row>
    <row r="114" spans="1:12" x14ac:dyDescent="0.3">
      <c r="A114">
        <v>192</v>
      </c>
      <c r="B114">
        <f t="shared" si="32"/>
        <v>4.1654123687322492E-2</v>
      </c>
      <c r="C114">
        <f t="shared" si="28"/>
        <v>4.1654123687322492E-2</v>
      </c>
      <c r="D114" t="s">
        <v>30</v>
      </c>
      <c r="E114" t="s">
        <v>19</v>
      </c>
      <c r="F114">
        <v>1</v>
      </c>
      <c r="G114">
        <f t="shared" si="33"/>
        <v>105</v>
      </c>
      <c r="I114">
        <v>2050</v>
      </c>
      <c r="J114">
        <f t="shared" si="34"/>
        <v>107.5</v>
      </c>
      <c r="K114" cm="1">
        <f t="array" ref="K114">STOWA2019_NDJF_T(A114*60,J114,I114,"WH","center")</f>
        <v>9.3219175562759684</v>
      </c>
      <c r="L114">
        <f t="shared" si="35"/>
        <v>0.1072740660881249</v>
      </c>
    </row>
    <row r="115" spans="1:12" x14ac:dyDescent="0.3">
      <c r="A115">
        <v>192</v>
      </c>
      <c r="B115">
        <f t="shared" si="32"/>
        <v>3.0390644866619035E-2</v>
      </c>
      <c r="C115">
        <f t="shared" si="28"/>
        <v>3.0390644866619035E-2</v>
      </c>
      <c r="D115" t="s">
        <v>30</v>
      </c>
      <c r="E115" t="s">
        <v>19</v>
      </c>
      <c r="F115">
        <v>1</v>
      </c>
      <c r="G115">
        <f t="shared" si="33"/>
        <v>110</v>
      </c>
      <c r="I115">
        <v>2050</v>
      </c>
      <c r="J115">
        <f t="shared" si="34"/>
        <v>112.5</v>
      </c>
      <c r="K115" cm="1">
        <f t="array" ref="K115">STOWA2019_NDJF_T(A115*60,J115,I115,"WH","center")</f>
        <v>13.006705270294079</v>
      </c>
      <c r="L115">
        <f t="shared" si="35"/>
        <v>7.6883421221505863E-2</v>
      </c>
    </row>
    <row r="116" spans="1:12" x14ac:dyDescent="0.3">
      <c r="A116">
        <v>192</v>
      </c>
      <c r="B116">
        <f t="shared" si="32"/>
        <v>2.2065841337015134E-2</v>
      </c>
      <c r="C116">
        <f t="shared" si="28"/>
        <v>2.2065841337015134E-2</v>
      </c>
      <c r="D116" t="s">
        <v>30</v>
      </c>
      <c r="E116" t="s">
        <v>19</v>
      </c>
      <c r="F116">
        <v>1</v>
      </c>
      <c r="G116">
        <f t="shared" si="33"/>
        <v>115</v>
      </c>
      <c r="I116">
        <v>2050</v>
      </c>
      <c r="J116">
        <f t="shared" si="34"/>
        <v>117.5</v>
      </c>
      <c r="K116" cm="1">
        <f t="array" ref="K116">STOWA2019_NDJF_T(A116*60,J116,I116,"WH","center")</f>
        <v>18.242323030443107</v>
      </c>
      <c r="L116">
        <f t="shared" si="35"/>
        <v>5.4817579884490729E-2</v>
      </c>
    </row>
    <row r="117" spans="1:12" x14ac:dyDescent="0.3">
      <c r="A117">
        <v>192</v>
      </c>
      <c r="B117">
        <f t="shared" si="32"/>
        <v>1.5941518613582652E-2</v>
      </c>
      <c r="C117">
        <f t="shared" si="28"/>
        <v>1.5941518613582652E-2</v>
      </c>
      <c r="D117" t="s">
        <v>30</v>
      </c>
      <c r="E117" t="s">
        <v>19</v>
      </c>
      <c r="F117">
        <v>1</v>
      </c>
      <c r="G117">
        <f t="shared" si="33"/>
        <v>120</v>
      </c>
      <c r="I117">
        <v>2050</v>
      </c>
      <c r="J117">
        <f t="shared" si="34"/>
        <v>122.5</v>
      </c>
      <c r="K117" cm="1">
        <f t="array" ref="K117">STOWA2019_NDJF_T(A117*60,J117,I117,"WH","center")</f>
        <v>25.722770448155583</v>
      </c>
      <c r="L117">
        <f t="shared" si="35"/>
        <v>3.8876061270908077E-2</v>
      </c>
    </row>
    <row r="118" spans="1:12" x14ac:dyDescent="0.3">
      <c r="A118">
        <v>192</v>
      </c>
      <c r="B118">
        <f t="shared" si="32"/>
        <v>1.1457104136464842E-2</v>
      </c>
      <c r="C118">
        <f t="shared" si="28"/>
        <v>1.1457104136464842E-2</v>
      </c>
      <c r="D118" t="s">
        <v>30</v>
      </c>
      <c r="E118" t="s">
        <v>19</v>
      </c>
      <c r="F118">
        <v>1</v>
      </c>
      <c r="G118">
        <f t="shared" si="33"/>
        <v>125</v>
      </c>
      <c r="I118">
        <v>2050</v>
      </c>
      <c r="J118">
        <f t="shared" si="34"/>
        <v>127.5</v>
      </c>
      <c r="K118" cm="1">
        <f t="array" ref="K118">STOWA2019_NDJF_T(A118*60,J118,I118,"WH","center")</f>
        <v>36.471117230925486</v>
      </c>
      <c r="L118">
        <f t="shared" si="35"/>
        <v>2.7418957134443235E-2</v>
      </c>
    </row>
    <row r="119" spans="1:12" x14ac:dyDescent="0.3">
      <c r="A119">
        <v>192</v>
      </c>
      <c r="B119">
        <f t="shared" si="32"/>
        <v>8.1906031067514352E-3</v>
      </c>
      <c r="C119">
        <f t="shared" si="28"/>
        <v>8.1906031067514352E-3</v>
      </c>
      <c r="D119" t="s">
        <v>30</v>
      </c>
      <c r="E119" t="s">
        <v>19</v>
      </c>
      <c r="F119">
        <v>1</v>
      </c>
      <c r="G119">
        <f t="shared" si="33"/>
        <v>130</v>
      </c>
      <c r="I119">
        <v>2050</v>
      </c>
      <c r="J119">
        <f t="shared" si="34"/>
        <v>132.5</v>
      </c>
      <c r="K119" cm="1">
        <f t="array" ref="K119">STOWA2019_NDJF_T(A119*60,J119,I119,"WH","center")</f>
        <v>52.00653152941981</v>
      </c>
      <c r="L119">
        <f t="shared" si="35"/>
        <v>1.92283540276918E-2</v>
      </c>
    </row>
    <row r="120" spans="1:12" x14ac:dyDescent="0.3">
      <c r="A120">
        <v>192</v>
      </c>
      <c r="B120">
        <f t="shared" si="32"/>
        <v>5.8230563964635253E-3</v>
      </c>
      <c r="C120">
        <f t="shared" si="28"/>
        <v>5.8230563964635253E-3</v>
      </c>
      <c r="D120" t="s">
        <v>30</v>
      </c>
      <c r="E120" t="s">
        <v>19</v>
      </c>
      <c r="F120">
        <v>1</v>
      </c>
      <c r="G120">
        <f t="shared" si="33"/>
        <v>135</v>
      </c>
      <c r="I120">
        <v>2050</v>
      </c>
      <c r="J120">
        <f t="shared" si="34"/>
        <v>137.5</v>
      </c>
      <c r="K120" cm="1">
        <f t="array" ref="K120">STOWA2019_NDJF_T(A120*60,J120,I120,"WH","center")</f>
        <v>74.597373927040067</v>
      </c>
      <c r="L120">
        <f t="shared" si="35"/>
        <v>1.3405297631228275E-2</v>
      </c>
    </row>
    <row r="121" spans="1:12" x14ac:dyDescent="0.3">
      <c r="A121">
        <v>192</v>
      </c>
      <c r="B121">
        <f t="shared" si="32"/>
        <v>4.1163791929711736E-3</v>
      </c>
      <c r="C121">
        <f t="shared" si="28"/>
        <v>4.1163791929711736E-3</v>
      </c>
      <c r="D121" t="s">
        <v>30</v>
      </c>
      <c r="E121" t="s">
        <v>19</v>
      </c>
      <c r="F121">
        <v>1</v>
      </c>
      <c r="G121">
        <f t="shared" si="33"/>
        <v>140</v>
      </c>
      <c r="I121">
        <v>2050</v>
      </c>
      <c r="J121">
        <f t="shared" si="34"/>
        <v>142.5</v>
      </c>
      <c r="K121" cm="1">
        <f t="array" ref="K121">STOWA2019_NDJF_T(A121*60,J121,I121,"WH","center")</f>
        <v>107.65515992490856</v>
      </c>
      <c r="L121">
        <f t="shared" si="35"/>
        <v>9.2889184382571009E-3</v>
      </c>
    </row>
    <row r="122" spans="1:12" x14ac:dyDescent="0.3">
      <c r="A122">
        <v>192</v>
      </c>
      <c r="B122">
        <f t="shared" si="32"/>
        <v>2.8927121800640622E-3</v>
      </c>
      <c r="C122">
        <f t="shared" si="28"/>
        <v>2.8927121800640622E-3</v>
      </c>
      <c r="D122" t="s">
        <v>30</v>
      </c>
      <c r="E122" t="s">
        <v>19</v>
      </c>
      <c r="F122">
        <v>1</v>
      </c>
      <c r="G122">
        <f t="shared" si="33"/>
        <v>145</v>
      </c>
      <c r="I122">
        <v>2050</v>
      </c>
      <c r="J122">
        <f t="shared" si="34"/>
        <v>147.5</v>
      </c>
      <c r="K122" cm="1">
        <f t="array" ref="K122">STOWA2019_NDJF_T(A122*60,J122,I122,"WH","center")</f>
        <v>156.34267558509052</v>
      </c>
      <c r="L122">
        <f t="shared" si="35"/>
        <v>6.3962062581930388E-3</v>
      </c>
    </row>
    <row r="123" spans="1:12" x14ac:dyDescent="0.3">
      <c r="A123">
        <v>192</v>
      </c>
      <c r="B123">
        <f t="shared" si="32"/>
        <v>2.0205017955984414E-3</v>
      </c>
      <c r="C123">
        <f t="shared" si="28"/>
        <v>2.0205017955984414E-3</v>
      </c>
      <c r="D123" t="s">
        <v>30</v>
      </c>
      <c r="E123" t="s">
        <v>19</v>
      </c>
      <c r="F123">
        <v>1</v>
      </c>
      <c r="G123">
        <f t="shared" si="33"/>
        <v>150</v>
      </c>
      <c r="I123">
        <v>2050</v>
      </c>
      <c r="J123">
        <f t="shared" si="34"/>
        <v>152.5</v>
      </c>
      <c r="K123" cm="1">
        <f t="array" ref="K123">STOWA2019_NDJF_T(A123*60,J123,I123,"WH","center")</f>
        <v>228.53462992037737</v>
      </c>
      <c r="L123">
        <f t="shared" si="35"/>
        <v>4.3757044625945974E-3</v>
      </c>
    </row>
    <row r="124" spans="1:12" x14ac:dyDescent="0.3">
      <c r="A124">
        <v>192</v>
      </c>
      <c r="B124">
        <f t="shared" si="32"/>
        <v>1.4023712855772913E-3</v>
      </c>
      <c r="C124">
        <f t="shared" si="28"/>
        <v>1.4023712855772913E-3</v>
      </c>
      <c r="D124" t="s">
        <v>30</v>
      </c>
      <c r="E124" t="s">
        <v>19</v>
      </c>
      <c r="F124">
        <v>1</v>
      </c>
      <c r="G124">
        <f t="shared" si="33"/>
        <v>155</v>
      </c>
      <c r="I124">
        <v>2050</v>
      </c>
      <c r="J124">
        <f t="shared" si="34"/>
        <v>157.5</v>
      </c>
      <c r="K124" cm="1">
        <f t="array" ref="K124">STOWA2019_NDJF_T(A124*60,J124,I124,"WH","center")</f>
        <v>336.32288763654407</v>
      </c>
      <c r="L124">
        <f t="shared" si="35"/>
        <v>2.9733331770173061E-3</v>
      </c>
    </row>
    <row r="125" spans="1:12" x14ac:dyDescent="0.3">
      <c r="A125">
        <v>192</v>
      </c>
      <c r="B125" s="1">
        <f>L124</f>
        <v>2.9733331770173061E-3</v>
      </c>
      <c r="C125">
        <f t="shared" si="28"/>
        <v>2.9733331770173061E-3</v>
      </c>
      <c r="D125" t="s">
        <v>30</v>
      </c>
      <c r="E125" t="s">
        <v>19</v>
      </c>
      <c r="F125">
        <v>1</v>
      </c>
      <c r="G125">
        <f t="shared" si="33"/>
        <v>160</v>
      </c>
      <c r="I125">
        <v>2050</v>
      </c>
      <c r="J125">
        <f>AVERAGE(G125:G126)</f>
        <v>85</v>
      </c>
      <c r="K125" cm="1">
        <f t="array" ref="K125">STOWA2019_NDJF_T(A125*60,J125,I125,"WH","center")</f>
        <v>2.2111990233624783</v>
      </c>
      <c r="L125">
        <f>1/K125</f>
        <v>0.45224332565023551</v>
      </c>
    </row>
    <row r="126" spans="1:12" x14ac:dyDescent="0.3">
      <c r="A126">
        <v>216</v>
      </c>
      <c r="B126" s="1">
        <f>365.25*24/A126 - L126</f>
        <v>17.926652162111505</v>
      </c>
      <c r="C126">
        <f>B126</f>
        <v>17.926652162111505</v>
      </c>
      <c r="D126" t="s">
        <v>30</v>
      </c>
      <c r="E126" t="s">
        <v>19</v>
      </c>
      <c r="F126">
        <v>1</v>
      </c>
      <c r="G126">
        <v>10</v>
      </c>
      <c r="I126">
        <v>2050</v>
      </c>
      <c r="J126">
        <f>AVERAGE(G126:G128)</f>
        <v>15</v>
      </c>
      <c r="K126" cm="1">
        <f t="array" ref="K126">STOWA2019_NDJF_T(A126*60,J126,I126,"WH","center")</f>
        <v>4.4137091061253256E-2</v>
      </c>
      <c r="L126">
        <f>1/K126</f>
        <v>22.65668117122183</v>
      </c>
    </row>
    <row r="127" spans="1:12" x14ac:dyDescent="0.3">
      <c r="A127">
        <v>216</v>
      </c>
      <c r="B127">
        <f t="shared" ref="B127:B131" si="36">L126-L127</f>
        <v>2.4796800796316951</v>
      </c>
      <c r="C127">
        <f t="shared" ref="C127:C156" si="37">B127</f>
        <v>2.4796800796316951</v>
      </c>
      <c r="D127" t="s">
        <v>30</v>
      </c>
      <c r="E127" t="s">
        <v>19</v>
      </c>
      <c r="F127">
        <v>1</v>
      </c>
      <c r="G127">
        <f t="shared" ref="G127:G131" si="38">G126+5</f>
        <v>15</v>
      </c>
      <c r="I127">
        <v>2050</v>
      </c>
      <c r="J127">
        <f t="shared" ref="J127:J131" si="39">AVERAGE(G127:G128)</f>
        <v>17.5</v>
      </c>
      <c r="K127" cm="1">
        <f t="array" ref="K127">STOWA2019_NDJF_T(A127*60,J127,I127,"WH","center")</f>
        <v>4.9561379090017718E-2</v>
      </c>
      <c r="L127">
        <f t="shared" ref="L127:L131" si="40">1/K127</f>
        <v>20.177001091590135</v>
      </c>
    </row>
    <row r="128" spans="1:12" x14ac:dyDescent="0.3">
      <c r="A128">
        <v>216</v>
      </c>
      <c r="B128">
        <f t="shared" si="36"/>
        <v>4.2162577212179944</v>
      </c>
      <c r="C128">
        <f t="shared" si="37"/>
        <v>4.2162577212179944</v>
      </c>
      <c r="D128" t="s">
        <v>30</v>
      </c>
      <c r="E128" t="s">
        <v>19</v>
      </c>
      <c r="F128">
        <v>1</v>
      </c>
      <c r="G128">
        <f t="shared" si="38"/>
        <v>20</v>
      </c>
      <c r="I128">
        <v>2050</v>
      </c>
      <c r="J128">
        <f t="shared" si="39"/>
        <v>22.5</v>
      </c>
      <c r="K128" cm="1">
        <f t="array" ref="K128">STOWA2019_NDJF_T(A128*60,J128,I128,"WH","center")</f>
        <v>6.2653723375835718E-2</v>
      </c>
      <c r="L128">
        <f t="shared" si="40"/>
        <v>15.960743370372141</v>
      </c>
    </row>
    <row r="129" spans="1:12" x14ac:dyDescent="0.3">
      <c r="A129">
        <v>216</v>
      </c>
      <c r="B129">
        <f t="shared" si="36"/>
        <v>3.3795048963610128</v>
      </c>
      <c r="C129">
        <f t="shared" si="37"/>
        <v>3.3795048963610128</v>
      </c>
      <c r="D129" t="s">
        <v>30</v>
      </c>
      <c r="E129" t="s">
        <v>19</v>
      </c>
      <c r="F129">
        <v>1</v>
      </c>
      <c r="G129">
        <f t="shared" si="38"/>
        <v>25</v>
      </c>
      <c r="I129">
        <v>2050</v>
      </c>
      <c r="J129">
        <f t="shared" si="39"/>
        <v>27.5</v>
      </c>
      <c r="K129" cm="1">
        <f t="array" ref="K129">STOWA2019_NDJF_T(A129*60,J129,I129,"WH","center")</f>
        <v>7.9483430988585485E-2</v>
      </c>
      <c r="L129">
        <f t="shared" si="40"/>
        <v>12.581238474011128</v>
      </c>
    </row>
    <row r="130" spans="1:12" x14ac:dyDescent="0.3">
      <c r="A130">
        <v>216</v>
      </c>
      <c r="B130">
        <f t="shared" si="36"/>
        <v>2.6997822881863538</v>
      </c>
      <c r="C130">
        <f t="shared" si="37"/>
        <v>2.6997822881863538</v>
      </c>
      <c r="D130" t="s">
        <v>30</v>
      </c>
      <c r="E130" t="s">
        <v>19</v>
      </c>
      <c r="F130">
        <v>1</v>
      </c>
      <c r="G130">
        <f t="shared" si="38"/>
        <v>30</v>
      </c>
      <c r="I130">
        <v>2050</v>
      </c>
      <c r="J130">
        <f t="shared" si="39"/>
        <v>32.5</v>
      </c>
      <c r="K130" cm="1">
        <f t="array" ref="K130">STOWA2019_NDJF_T(A130*60,J130,I130,"WH","center")</f>
        <v>0.10119965936139332</v>
      </c>
      <c r="L130">
        <f t="shared" si="40"/>
        <v>9.8814561858247743</v>
      </c>
    </row>
    <row r="131" spans="1:12" x14ac:dyDescent="0.3">
      <c r="A131">
        <v>216</v>
      </c>
      <c r="B131">
        <f t="shared" si="36"/>
        <v>2.1493534430295442</v>
      </c>
      <c r="C131">
        <f t="shared" si="37"/>
        <v>2.1493534430295442</v>
      </c>
      <c r="D131" t="s">
        <v>30</v>
      </c>
      <c r="E131" t="s">
        <v>19</v>
      </c>
      <c r="F131">
        <v>1</v>
      </c>
      <c r="G131">
        <f t="shared" si="38"/>
        <v>35</v>
      </c>
      <c r="I131">
        <v>2050</v>
      </c>
      <c r="J131">
        <f t="shared" si="39"/>
        <v>37.5</v>
      </c>
      <c r="K131" cm="1">
        <f t="array" ref="K131">STOWA2019_NDJF_T(A131*60,J131,I131,"WH","center")</f>
        <v>0.12933092501025023</v>
      </c>
      <c r="L131">
        <f t="shared" si="40"/>
        <v>7.73210274279523</v>
      </c>
    </row>
    <row r="132" spans="1:12" x14ac:dyDescent="0.3">
      <c r="A132">
        <v>216</v>
      </c>
      <c r="B132">
        <f>L131-L132</f>
        <v>1.7051197142044412</v>
      </c>
      <c r="C132">
        <f t="shared" si="37"/>
        <v>1.7051197142044412</v>
      </c>
      <c r="D132" t="s">
        <v>30</v>
      </c>
      <c r="E132" t="s">
        <v>19</v>
      </c>
      <c r="F132">
        <v>1</v>
      </c>
      <c r="G132">
        <f>G131+5</f>
        <v>40</v>
      </c>
      <c r="I132">
        <v>2050</v>
      </c>
      <c r="J132">
        <f>AVERAGE(G132:G133)</f>
        <v>42.5</v>
      </c>
      <c r="K132" cm="1">
        <f t="array" ref="K132">STOWA2019_NDJF_T(A132*60,J132,I132,"WH","center")</f>
        <v>0.16592049376216961</v>
      </c>
      <c r="L132">
        <f>1/K132</f>
        <v>6.0269830285907888</v>
      </c>
    </row>
    <row r="133" spans="1:12" x14ac:dyDescent="0.3">
      <c r="A133">
        <v>216</v>
      </c>
      <c r="B133">
        <f t="shared" ref="B133:B155" si="41">L132-L133</f>
        <v>1.3476917308629393</v>
      </c>
      <c r="C133">
        <f t="shared" si="37"/>
        <v>1.3476917308629393</v>
      </c>
      <c r="D133" t="s">
        <v>30</v>
      </c>
      <c r="E133" t="s">
        <v>19</v>
      </c>
      <c r="F133">
        <v>1</v>
      </c>
      <c r="G133">
        <f t="shared" ref="G133:G156" si="42">G132+5</f>
        <v>45</v>
      </c>
      <c r="I133">
        <v>2050</v>
      </c>
      <c r="J133">
        <f t="shared" ref="J133:J155" si="43">AVERAGE(G133:G134)</f>
        <v>47.5</v>
      </c>
      <c r="K133" cm="1">
        <f t="array" ref="K133">STOWA2019_NDJF_T(A133*60,J133,I133,"WH","center")</f>
        <v>0.21370757586422881</v>
      </c>
      <c r="L133">
        <f t="shared" ref="L133:L155" si="44">1/K133</f>
        <v>4.6792912977278496</v>
      </c>
    </row>
    <row r="134" spans="1:12" x14ac:dyDescent="0.3">
      <c r="A134">
        <v>216</v>
      </c>
      <c r="B134">
        <f t="shared" si="41"/>
        <v>1.0612293902487431</v>
      </c>
      <c r="C134">
        <f t="shared" si="37"/>
        <v>1.0612293902487431</v>
      </c>
      <c r="D134" t="s">
        <v>30</v>
      </c>
      <c r="E134" t="s">
        <v>19</v>
      </c>
      <c r="F134">
        <v>1</v>
      </c>
      <c r="G134">
        <f t="shared" si="42"/>
        <v>50</v>
      </c>
      <c r="I134">
        <v>2050</v>
      </c>
      <c r="J134">
        <f t="shared" si="43"/>
        <v>52.5</v>
      </c>
      <c r="K134" cm="1">
        <f t="array" ref="K134">STOWA2019_NDJF_T(A134*60,J134,I134,"WH","center")</f>
        <v>0.27639106946535152</v>
      </c>
      <c r="L134">
        <f t="shared" si="44"/>
        <v>3.6180619074791065</v>
      </c>
    </row>
    <row r="135" spans="1:12" x14ac:dyDescent="0.3">
      <c r="A135">
        <v>216</v>
      </c>
      <c r="B135">
        <f t="shared" si="41"/>
        <v>0.83234914725146814</v>
      </c>
      <c r="C135">
        <f t="shared" si="37"/>
        <v>0.83234914725146814</v>
      </c>
      <c r="D135" t="s">
        <v>30</v>
      </c>
      <c r="E135" t="s">
        <v>19</v>
      </c>
      <c r="F135">
        <v>1</v>
      </c>
      <c r="G135">
        <f t="shared" si="42"/>
        <v>55</v>
      </c>
      <c r="I135">
        <v>2050</v>
      </c>
      <c r="J135">
        <f t="shared" si="43"/>
        <v>57.5</v>
      </c>
      <c r="K135" cm="1">
        <f t="array" ref="K135">STOWA2019_NDJF_T(A135*60,J135,I135,"WH","center")</f>
        <v>0.35897455555262764</v>
      </c>
      <c r="L135">
        <f t="shared" si="44"/>
        <v>2.7857127602276384</v>
      </c>
    </row>
    <row r="136" spans="1:12" x14ac:dyDescent="0.3">
      <c r="A136">
        <v>216</v>
      </c>
      <c r="B136">
        <f t="shared" si="41"/>
        <v>0.65024650325913935</v>
      </c>
      <c r="C136">
        <f t="shared" si="37"/>
        <v>0.65024650325913935</v>
      </c>
      <c r="D136" t="s">
        <v>30</v>
      </c>
      <c r="E136" t="s">
        <v>19</v>
      </c>
      <c r="F136">
        <v>1</v>
      </c>
      <c r="G136">
        <f t="shared" si="42"/>
        <v>60</v>
      </c>
      <c r="I136">
        <v>2050</v>
      </c>
      <c r="J136">
        <f t="shared" si="43"/>
        <v>62.5</v>
      </c>
      <c r="K136" cm="1">
        <f t="array" ref="K136">STOWA2019_NDJF_T(A136*60,J136,I136,"WH","center")</f>
        <v>0.4682818081235321</v>
      </c>
      <c r="L136">
        <f t="shared" si="44"/>
        <v>2.135466256968499</v>
      </c>
    </row>
    <row r="137" spans="1:12" x14ac:dyDescent="0.3">
      <c r="A137">
        <v>216</v>
      </c>
      <c r="B137">
        <f t="shared" si="41"/>
        <v>0.50585232228050536</v>
      </c>
      <c r="C137">
        <f t="shared" si="37"/>
        <v>0.50585232228050536</v>
      </c>
      <c r="D137" t="s">
        <v>30</v>
      </c>
      <c r="E137" t="s">
        <v>19</v>
      </c>
      <c r="F137">
        <v>1</v>
      </c>
      <c r="G137">
        <f t="shared" si="42"/>
        <v>65</v>
      </c>
      <c r="I137">
        <v>2050</v>
      </c>
      <c r="J137">
        <f t="shared" si="43"/>
        <v>67.5</v>
      </c>
      <c r="K137" cm="1">
        <f t="array" ref="K137">STOWA2019_NDJF_T(A137*60,J137,I137,"WH","center")</f>
        <v>0.61364227361707013</v>
      </c>
      <c r="L137">
        <f t="shared" si="44"/>
        <v>1.6296139346879936</v>
      </c>
    </row>
    <row r="138" spans="1:12" x14ac:dyDescent="0.3">
      <c r="A138">
        <v>216</v>
      </c>
      <c r="B138">
        <f t="shared" si="41"/>
        <v>0.39184067830457869</v>
      </c>
      <c r="C138">
        <f t="shared" si="37"/>
        <v>0.39184067830457869</v>
      </c>
      <c r="D138" t="s">
        <v>30</v>
      </c>
      <c r="E138" t="s">
        <v>19</v>
      </c>
      <c r="F138">
        <v>1</v>
      </c>
      <c r="G138">
        <f t="shared" si="42"/>
        <v>70</v>
      </c>
      <c r="I138">
        <v>2050</v>
      </c>
      <c r="J138">
        <f t="shared" si="43"/>
        <v>72.5</v>
      </c>
      <c r="K138" cm="1">
        <f t="array" ref="K138">STOWA2019_NDJF_T(A138*60,J138,I138,"WH","center")</f>
        <v>0.80790241253220141</v>
      </c>
      <c r="L138">
        <f t="shared" si="44"/>
        <v>1.237773256383415</v>
      </c>
    </row>
    <row r="139" spans="1:12" x14ac:dyDescent="0.3">
      <c r="A139">
        <v>216</v>
      </c>
      <c r="B139">
        <f t="shared" si="41"/>
        <v>0.3021206816751415</v>
      </c>
      <c r="C139">
        <f t="shared" si="37"/>
        <v>0.3021206816751415</v>
      </c>
      <c r="D139" t="s">
        <v>30</v>
      </c>
      <c r="E139" t="s">
        <v>19</v>
      </c>
      <c r="F139">
        <v>1</v>
      </c>
      <c r="G139">
        <f t="shared" si="42"/>
        <v>75</v>
      </c>
      <c r="I139">
        <v>2050</v>
      </c>
      <c r="J139">
        <f t="shared" si="43"/>
        <v>77.5</v>
      </c>
      <c r="K139" cm="1">
        <f t="array" ref="K139">STOWA2019_NDJF_T(A139*60,J139,I139,"WH","center")</f>
        <v>1.0687727763820769</v>
      </c>
      <c r="L139">
        <f t="shared" si="44"/>
        <v>0.93565257470827345</v>
      </c>
    </row>
    <row r="140" spans="1:12" x14ac:dyDescent="0.3">
      <c r="A140">
        <v>216</v>
      </c>
      <c r="B140">
        <f t="shared" si="41"/>
        <v>0.23195455397794251</v>
      </c>
      <c r="C140">
        <f t="shared" si="37"/>
        <v>0.23195455397794251</v>
      </c>
      <c r="D140" t="s">
        <v>30</v>
      </c>
      <c r="E140" t="s">
        <v>19</v>
      </c>
      <c r="F140">
        <v>1</v>
      </c>
      <c r="G140">
        <f t="shared" si="42"/>
        <v>80</v>
      </c>
      <c r="I140">
        <v>2050</v>
      </c>
      <c r="J140">
        <f t="shared" si="43"/>
        <v>82.5</v>
      </c>
      <c r="K140" cm="1">
        <f t="array" ref="K140">STOWA2019_NDJF_T(A140*60,J140,I140,"WH","center")</f>
        <v>1.4210641078145323</v>
      </c>
      <c r="L140">
        <f t="shared" si="44"/>
        <v>0.70369802073033094</v>
      </c>
    </row>
    <row r="141" spans="1:12" x14ac:dyDescent="0.3">
      <c r="A141">
        <v>216</v>
      </c>
      <c r="B141">
        <f t="shared" si="41"/>
        <v>0.17720237300616903</v>
      </c>
      <c r="C141">
        <f t="shared" si="37"/>
        <v>0.17720237300616903</v>
      </c>
      <c r="D141" t="s">
        <v>30</v>
      </c>
      <c r="E141" t="s">
        <v>19</v>
      </c>
      <c r="F141">
        <v>1</v>
      </c>
      <c r="G141">
        <f t="shared" si="42"/>
        <v>85</v>
      </c>
      <c r="I141">
        <v>2050</v>
      </c>
      <c r="J141">
        <f t="shared" si="43"/>
        <v>87.5</v>
      </c>
      <c r="K141" cm="1">
        <f t="array" ref="K141">STOWA2019_NDJF_T(A141*60,J141,I141,"WH","center")</f>
        <v>1.8993509335217018</v>
      </c>
      <c r="L141">
        <f t="shared" si="44"/>
        <v>0.52649564772416191</v>
      </c>
    </row>
    <row r="142" spans="1:12" x14ac:dyDescent="0.3">
      <c r="A142">
        <v>216</v>
      </c>
      <c r="B142">
        <f t="shared" si="41"/>
        <v>0.13470053383635366</v>
      </c>
      <c r="C142">
        <f t="shared" si="37"/>
        <v>0.13470053383635366</v>
      </c>
      <c r="D142" t="s">
        <v>30</v>
      </c>
      <c r="E142" t="s">
        <v>19</v>
      </c>
      <c r="F142">
        <v>1</v>
      </c>
      <c r="G142">
        <f t="shared" si="42"/>
        <v>90</v>
      </c>
      <c r="I142">
        <v>2050</v>
      </c>
      <c r="J142">
        <f t="shared" si="43"/>
        <v>92.5</v>
      </c>
      <c r="K142" cm="1">
        <f t="array" ref="K142">STOWA2019_NDJF_T(A142*60,J142,I142,"WH","center")</f>
        <v>2.5523544438238019</v>
      </c>
      <c r="L142">
        <f t="shared" si="44"/>
        <v>0.39179511388780824</v>
      </c>
    </row>
    <row r="143" spans="1:12" x14ac:dyDescent="0.3">
      <c r="A143">
        <v>216</v>
      </c>
      <c r="B143">
        <f t="shared" si="41"/>
        <v>0.10186843523274569</v>
      </c>
      <c r="C143">
        <f t="shared" si="37"/>
        <v>0.10186843523274569</v>
      </c>
      <c r="D143" t="s">
        <v>30</v>
      </c>
      <c r="E143" t="s">
        <v>19</v>
      </c>
      <c r="F143">
        <v>1</v>
      </c>
      <c r="G143">
        <f t="shared" si="42"/>
        <v>95</v>
      </c>
      <c r="I143">
        <v>2050</v>
      </c>
      <c r="J143">
        <f t="shared" si="43"/>
        <v>97.5</v>
      </c>
      <c r="K143" cm="1">
        <f t="array" ref="K143">STOWA2019_NDJF_T(A143*60,J143,I143,"WH","center")</f>
        <v>3.4491479178076614</v>
      </c>
      <c r="L143">
        <f t="shared" si="44"/>
        <v>0.28992667865506255</v>
      </c>
    </row>
    <row r="144" spans="1:12" x14ac:dyDescent="0.3">
      <c r="A144">
        <v>216</v>
      </c>
      <c r="B144">
        <f t="shared" si="41"/>
        <v>7.6627794466646304E-2</v>
      </c>
      <c r="C144">
        <f t="shared" si="37"/>
        <v>7.6627794466646304E-2</v>
      </c>
      <c r="D144" t="s">
        <v>30</v>
      </c>
      <c r="E144" t="s">
        <v>19</v>
      </c>
      <c r="F144">
        <v>1</v>
      </c>
      <c r="G144">
        <f t="shared" si="42"/>
        <v>100</v>
      </c>
      <c r="I144">
        <v>2050</v>
      </c>
      <c r="J144">
        <f t="shared" si="43"/>
        <v>102.5</v>
      </c>
      <c r="K144" cm="1">
        <f t="array" ref="K144">STOWA2019_NDJF_T(A144*60,J144,I144,"WH","center")</f>
        <v>4.6882570614699333</v>
      </c>
      <c r="L144">
        <f t="shared" si="44"/>
        <v>0.21329888418841625</v>
      </c>
    </row>
    <row r="145" spans="1:12" x14ac:dyDescent="0.3">
      <c r="A145">
        <v>216</v>
      </c>
      <c r="B145">
        <f t="shared" si="41"/>
        <v>5.7322908548783191E-2</v>
      </c>
      <c r="C145">
        <f t="shared" si="37"/>
        <v>5.7322908548783191E-2</v>
      </c>
      <c r="D145" t="s">
        <v>30</v>
      </c>
      <c r="E145" t="s">
        <v>19</v>
      </c>
      <c r="F145">
        <v>1</v>
      </c>
      <c r="G145">
        <f t="shared" si="42"/>
        <v>105</v>
      </c>
      <c r="I145">
        <v>2050</v>
      </c>
      <c r="J145">
        <f t="shared" si="43"/>
        <v>107.5</v>
      </c>
      <c r="K145" cm="1">
        <f t="array" ref="K145">STOWA2019_NDJF_T(A145*60,J145,I145,"WH","center")</f>
        <v>6.4112437566051863</v>
      </c>
      <c r="L145">
        <f t="shared" si="44"/>
        <v>0.15597597563963306</v>
      </c>
    </row>
    <row r="146" spans="1:12" x14ac:dyDescent="0.3">
      <c r="A146">
        <v>216</v>
      </c>
      <c r="B146">
        <f t="shared" si="41"/>
        <v>4.2632666167455008E-2</v>
      </c>
      <c r="C146">
        <f t="shared" si="37"/>
        <v>4.2632666167455008E-2</v>
      </c>
      <c r="D146" t="s">
        <v>30</v>
      </c>
      <c r="E146" t="s">
        <v>19</v>
      </c>
      <c r="F146">
        <v>1</v>
      </c>
      <c r="G146">
        <f t="shared" si="42"/>
        <v>110</v>
      </c>
      <c r="I146">
        <v>2050</v>
      </c>
      <c r="J146">
        <f t="shared" si="43"/>
        <v>112.5</v>
      </c>
      <c r="K146" cm="1">
        <f t="array" ref="K146">STOWA2019_NDJF_T(A146*60,J146,I146,"WH","center")</f>
        <v>8.8227527911161463</v>
      </c>
      <c r="L146">
        <f t="shared" si="44"/>
        <v>0.11334330947217805</v>
      </c>
    </row>
    <row r="147" spans="1:12" x14ac:dyDescent="0.3">
      <c r="A147">
        <v>216</v>
      </c>
      <c r="B147">
        <f t="shared" si="41"/>
        <v>3.1518468507834047E-2</v>
      </c>
      <c r="C147">
        <f t="shared" si="37"/>
        <v>3.1518468507834047E-2</v>
      </c>
      <c r="D147" t="s">
        <v>30</v>
      </c>
      <c r="E147" t="s">
        <v>19</v>
      </c>
      <c r="F147">
        <v>1</v>
      </c>
      <c r="G147">
        <f t="shared" si="42"/>
        <v>115</v>
      </c>
      <c r="I147">
        <v>2050</v>
      </c>
      <c r="J147">
        <f t="shared" si="43"/>
        <v>117.5</v>
      </c>
      <c r="K147" cm="1">
        <f t="array" ref="K147">STOWA2019_NDJF_T(A147*60,J147,I147,"WH","center")</f>
        <v>12.221227541838548</v>
      </c>
      <c r="L147">
        <f t="shared" si="44"/>
        <v>8.1824840964344003E-2</v>
      </c>
    </row>
    <row r="148" spans="1:12" x14ac:dyDescent="0.3">
      <c r="A148">
        <v>216</v>
      </c>
      <c r="B148">
        <f t="shared" si="41"/>
        <v>2.3155412469281905E-2</v>
      </c>
      <c r="C148">
        <f t="shared" si="37"/>
        <v>2.3155412469281905E-2</v>
      </c>
      <c r="D148" t="s">
        <v>30</v>
      </c>
      <c r="E148" t="s">
        <v>19</v>
      </c>
      <c r="F148">
        <v>1</v>
      </c>
      <c r="G148">
        <f t="shared" si="42"/>
        <v>120</v>
      </c>
      <c r="I148">
        <v>2050</v>
      </c>
      <c r="J148">
        <f t="shared" si="43"/>
        <v>122.5</v>
      </c>
      <c r="K148" cm="1">
        <f t="array" ref="K148">STOWA2019_NDJF_T(A148*60,J148,I148,"WH","center")</f>
        <v>17.044652140836259</v>
      </c>
      <c r="L148">
        <f t="shared" si="44"/>
        <v>5.8669428495062098E-2</v>
      </c>
    </row>
    <row r="149" spans="1:12" x14ac:dyDescent="0.3">
      <c r="A149">
        <v>216</v>
      </c>
      <c r="B149">
        <f t="shared" si="41"/>
        <v>1.6901449027976231E-2</v>
      </c>
      <c r="C149">
        <f t="shared" si="37"/>
        <v>1.6901449027976231E-2</v>
      </c>
      <c r="D149" t="s">
        <v>30</v>
      </c>
      <c r="E149" t="s">
        <v>19</v>
      </c>
      <c r="F149">
        <v>1</v>
      </c>
      <c r="G149">
        <f t="shared" si="42"/>
        <v>125</v>
      </c>
      <c r="I149">
        <v>2050</v>
      </c>
      <c r="J149">
        <f t="shared" si="43"/>
        <v>127.5</v>
      </c>
      <c r="K149" cm="1">
        <f t="array" ref="K149">STOWA2019_NDJF_T(A149*60,J149,I149,"WH","center")</f>
        <v>23.941785376235952</v>
      </c>
      <c r="L149">
        <f t="shared" si="44"/>
        <v>4.1767979467085867E-2</v>
      </c>
    </row>
    <row r="150" spans="1:12" x14ac:dyDescent="0.3">
      <c r="A150">
        <v>216</v>
      </c>
      <c r="B150">
        <f t="shared" si="41"/>
        <v>1.2252836856321385E-2</v>
      </c>
      <c r="C150">
        <f t="shared" si="37"/>
        <v>1.2252836856321385E-2</v>
      </c>
      <c r="D150" t="s">
        <v>30</v>
      </c>
      <c r="E150" t="s">
        <v>19</v>
      </c>
      <c r="F150">
        <v>1</v>
      </c>
      <c r="G150">
        <f t="shared" si="42"/>
        <v>130</v>
      </c>
      <c r="I150">
        <v>2050</v>
      </c>
      <c r="J150">
        <f t="shared" si="43"/>
        <v>132.5</v>
      </c>
      <c r="K150" cm="1">
        <f t="array" ref="K150">STOWA2019_NDJF_T(A150*60,J150,I150,"WH","center")</f>
        <v>33.880913712247811</v>
      </c>
      <c r="L150">
        <f t="shared" si="44"/>
        <v>2.9515142610764482E-2</v>
      </c>
    </row>
    <row r="151" spans="1:12" x14ac:dyDescent="0.3">
      <c r="A151">
        <v>216</v>
      </c>
      <c r="B151">
        <f t="shared" si="41"/>
        <v>8.8195921768138598E-3</v>
      </c>
      <c r="C151">
        <f t="shared" si="37"/>
        <v>8.8195921768138598E-3</v>
      </c>
      <c r="D151" t="s">
        <v>30</v>
      </c>
      <c r="E151" t="s">
        <v>19</v>
      </c>
      <c r="F151">
        <v>1</v>
      </c>
      <c r="G151">
        <f t="shared" si="42"/>
        <v>135</v>
      </c>
      <c r="I151">
        <v>2050</v>
      </c>
      <c r="J151">
        <f t="shared" si="43"/>
        <v>137.5</v>
      </c>
      <c r="K151" cm="1">
        <f t="array" ref="K151">STOWA2019_NDJF_T(A151*60,J151,I151,"WH","center")</f>
        <v>48.319565270393618</v>
      </c>
      <c r="L151">
        <f t="shared" si="44"/>
        <v>2.0695550433950622E-2</v>
      </c>
    </row>
    <row r="152" spans="1:12" x14ac:dyDescent="0.3">
      <c r="A152">
        <v>216</v>
      </c>
      <c r="B152">
        <f t="shared" si="41"/>
        <v>6.3015893428053291E-3</v>
      </c>
      <c r="C152">
        <f t="shared" si="37"/>
        <v>6.3015893428053291E-3</v>
      </c>
      <c r="D152" t="s">
        <v>30</v>
      </c>
      <c r="E152" t="s">
        <v>19</v>
      </c>
      <c r="F152">
        <v>1</v>
      </c>
      <c r="G152">
        <f t="shared" si="42"/>
        <v>140</v>
      </c>
      <c r="I152">
        <v>2050</v>
      </c>
      <c r="J152">
        <f t="shared" si="43"/>
        <v>142.5</v>
      </c>
      <c r="K152" cm="1">
        <f t="array" ref="K152">STOWA2019_NDJF_T(A152*60,J152,I152,"WH","center")</f>
        <v>69.473579487106448</v>
      </c>
      <c r="L152">
        <f t="shared" si="44"/>
        <v>1.4393961091145293E-2</v>
      </c>
    </row>
    <row r="153" spans="1:12" x14ac:dyDescent="0.3">
      <c r="A153">
        <v>216</v>
      </c>
      <c r="B153">
        <f t="shared" si="41"/>
        <v>4.4675478954357712E-3</v>
      </c>
      <c r="C153">
        <f t="shared" si="37"/>
        <v>4.4675478954357712E-3</v>
      </c>
      <c r="D153" t="s">
        <v>30</v>
      </c>
      <c r="E153" t="s">
        <v>19</v>
      </c>
      <c r="F153">
        <v>1</v>
      </c>
      <c r="G153">
        <f t="shared" si="42"/>
        <v>145</v>
      </c>
      <c r="I153">
        <v>2050</v>
      </c>
      <c r="J153">
        <f t="shared" si="43"/>
        <v>147.5</v>
      </c>
      <c r="K153" cm="1">
        <f t="array" ref="K153">STOWA2019_NDJF_T(A153*60,J153,I153,"WH","center")</f>
        <v>100.74132320345363</v>
      </c>
      <c r="L153">
        <f t="shared" si="44"/>
        <v>9.9264131957095218E-3</v>
      </c>
    </row>
    <row r="154" spans="1:12" x14ac:dyDescent="0.3">
      <c r="A154">
        <v>216</v>
      </c>
      <c r="B154">
        <f t="shared" si="41"/>
        <v>3.1416289210348999E-3</v>
      </c>
      <c r="C154">
        <f t="shared" si="37"/>
        <v>3.1416289210348999E-3</v>
      </c>
      <c r="D154" t="s">
        <v>30</v>
      </c>
      <c r="E154" t="s">
        <v>19</v>
      </c>
      <c r="F154">
        <v>1</v>
      </c>
      <c r="G154">
        <f t="shared" si="42"/>
        <v>150</v>
      </c>
      <c r="I154">
        <v>2050</v>
      </c>
      <c r="J154">
        <f t="shared" si="43"/>
        <v>152.5</v>
      </c>
      <c r="K154" cm="1">
        <f t="array" ref="K154">STOWA2019_NDJF_T(A154*60,J154,I154,"WH","center")</f>
        <v>147.38862129083051</v>
      </c>
      <c r="L154">
        <f t="shared" si="44"/>
        <v>6.7847842746746219E-3</v>
      </c>
    </row>
    <row r="155" spans="1:12" x14ac:dyDescent="0.3">
      <c r="A155">
        <v>216</v>
      </c>
      <c r="B155">
        <f t="shared" si="41"/>
        <v>2.1904883000812957E-3</v>
      </c>
      <c r="C155">
        <f t="shared" si="37"/>
        <v>2.1904883000812957E-3</v>
      </c>
      <c r="D155" t="s">
        <v>30</v>
      </c>
      <c r="E155" t="s">
        <v>19</v>
      </c>
      <c r="F155">
        <v>1</v>
      </c>
      <c r="G155">
        <f t="shared" si="42"/>
        <v>155</v>
      </c>
      <c r="I155">
        <v>2050</v>
      </c>
      <c r="J155">
        <f t="shared" si="43"/>
        <v>157.5</v>
      </c>
      <c r="K155" cm="1">
        <f t="array" ref="K155">STOWA2019_NDJF_T(A155*60,J155,I155,"WH","center")</f>
        <v>217.66120544476178</v>
      </c>
      <c r="L155">
        <f t="shared" si="44"/>
        <v>4.5942959745933262E-3</v>
      </c>
    </row>
    <row r="156" spans="1:12" x14ac:dyDescent="0.3">
      <c r="A156">
        <v>216</v>
      </c>
      <c r="B156" s="1">
        <f>L155</f>
        <v>4.5942959745933262E-3</v>
      </c>
      <c r="C156">
        <f t="shared" si="37"/>
        <v>4.5942959745933262E-3</v>
      </c>
      <c r="D156" t="s">
        <v>30</v>
      </c>
      <c r="E156" t="s">
        <v>19</v>
      </c>
      <c r="F156">
        <v>1</v>
      </c>
      <c r="G156">
        <f t="shared" si="42"/>
        <v>160</v>
      </c>
      <c r="I156">
        <v>2050</v>
      </c>
      <c r="J156">
        <f>AVERAGE(G156:G157)</f>
        <v>160</v>
      </c>
      <c r="K156" cm="1">
        <f t="array" ref="K156">STOWA2019_NDJF_T(A156*60,J156,I156,"WH","center")</f>
        <v>265.47566232435713</v>
      </c>
      <c r="L156">
        <f>1/K156</f>
        <v>3.7668236374082528E-3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17</vt:i4>
      </vt:variant>
      <vt:variant>
        <vt:lpstr>Grafieken</vt:lpstr>
      </vt:variant>
      <vt:variant>
        <vt:i4>1</vt:i4>
      </vt:variant>
    </vt:vector>
  </HeadingPairs>
  <TitlesOfParts>
    <vt:vector size="18" baseType="lpstr">
      <vt:lpstr>test</vt:lpstr>
      <vt:lpstr>2014 jaarrond</vt:lpstr>
      <vt:lpstr>2014 NDJF</vt:lpstr>
      <vt:lpstr>2030 JAAR center</vt:lpstr>
      <vt:lpstr>2030 NDJF center</vt:lpstr>
      <vt:lpstr>2030 JAAR upper</vt:lpstr>
      <vt:lpstr>2030 NDJF upper</vt:lpstr>
      <vt:lpstr>2030 JAAR lower</vt:lpstr>
      <vt:lpstr>2030 NDJF lower</vt:lpstr>
      <vt:lpstr>2050GL JAAR center</vt:lpstr>
      <vt:lpstr>2050GL NDJF center</vt:lpstr>
      <vt:lpstr>2050GH JAAR center</vt:lpstr>
      <vt:lpstr>2050GH NDJF center</vt:lpstr>
      <vt:lpstr>2050WL JAAR center</vt:lpstr>
      <vt:lpstr>2050WL NDJF center</vt:lpstr>
      <vt:lpstr>2050WH JAAR center</vt:lpstr>
      <vt:lpstr>2050WH NDJF center</vt:lpstr>
      <vt:lpstr>24H.Chart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Siebe Bosch</dc:creator>
  <cp:lastModifiedBy>Siebe Bosch</cp:lastModifiedBy>
  <dcterms:created xsi:type="dcterms:W3CDTF">2021-03-19T10:21:21Z</dcterms:created>
  <dcterms:modified xsi:type="dcterms:W3CDTF">2024-04-29T22:44:42Z</dcterms:modified>
</cp:coreProperties>
</file>