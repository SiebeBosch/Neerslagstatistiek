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Neerslagstatistiek\Excel\"/>
    </mc:Choice>
  </mc:AlternateContent>
  <xr:revisionPtr revIDLastSave="0" documentId="13_ncr:1_{E0C276DC-E756-4747-9FD9-77F703519DEA}" xr6:coauthVersionLast="47" xr6:coauthVersionMax="47" xr10:uidLastSave="{00000000-0000-0000-0000-000000000000}"/>
  <bookViews>
    <workbookView xWindow="-108" yWindow="-108" windowWidth="23256" windowHeight="12456" activeTab="1" xr2:uid="{AF977E9A-6CF3-45C6-9F9D-E64474C72C92}"/>
  </bookViews>
  <sheets>
    <sheet name="24H.Chart" sheetId="17" r:id="rId1"/>
    <sheet name="2014 ZOMER" sheetId="1" r:id="rId2"/>
    <sheet name="2014 WINTER" sheetId="2" r:id="rId3"/>
    <sheet name="2030 ZOMER center" sheetId="3" r:id="rId4"/>
    <sheet name="2030 WINTER center" sheetId="4" r:id="rId5"/>
    <sheet name="2030 ZOMER upper" sheetId="5" r:id="rId6"/>
    <sheet name="2030 WINTER upper" sheetId="6" r:id="rId7"/>
    <sheet name="2030 ZOMER lower" sheetId="7" r:id="rId8"/>
    <sheet name="2030 WINTER lower" sheetId="8" r:id="rId9"/>
    <sheet name="2050GL ZOMER center" sheetId="9" r:id="rId10"/>
    <sheet name="2050GL WINTER center" sheetId="10" r:id="rId11"/>
    <sheet name="2050GH ZOMER center" sheetId="11" r:id="rId12"/>
    <sheet name="2050GH WINTER center" sheetId="12" r:id="rId13"/>
    <sheet name="2050WL ZOMER center" sheetId="13" r:id="rId14"/>
    <sheet name="2050WL WINTER center" sheetId="14" r:id="rId15"/>
    <sheet name="2050WH ZOMER center" sheetId="15" r:id="rId16"/>
    <sheet name="2050WH WINTER center" sheetId="16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6" i="7" l="1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B2" i="1" s="1"/>
  <c r="C2" i="1" s="1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L27" i="15"/>
  <c r="L26" i="15"/>
  <c r="L25" i="15"/>
  <c r="L24" i="15"/>
  <c r="L23" i="15"/>
  <c r="L22" i="15"/>
  <c r="L21" i="15"/>
  <c r="L20" i="15"/>
  <c r="L19" i="15"/>
  <c r="L18" i="15"/>
  <c r="L17" i="15"/>
  <c r="L16" i="15"/>
  <c r="L15" i="15"/>
  <c r="L14" i="15"/>
  <c r="L13" i="15"/>
  <c r="L12" i="15"/>
  <c r="L11" i="15"/>
  <c r="L10" i="15"/>
  <c r="L9" i="15"/>
  <c r="L8" i="15"/>
  <c r="L7" i="15"/>
  <c r="L6" i="15"/>
  <c r="L5" i="15"/>
  <c r="L4" i="15"/>
  <c r="L3" i="15"/>
  <c r="L2" i="15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L2" i="14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L133" i="13"/>
  <c r="L132" i="13"/>
  <c r="L131" i="13"/>
  <c r="L130" i="13"/>
  <c r="L129" i="13"/>
  <c r="L128" i="13"/>
  <c r="L127" i="13"/>
  <c r="L126" i="13"/>
  <c r="L125" i="13"/>
  <c r="L124" i="13"/>
  <c r="L123" i="13"/>
  <c r="L122" i="13"/>
  <c r="L121" i="13"/>
  <c r="L120" i="13"/>
  <c r="L119" i="13"/>
  <c r="L118" i="13"/>
  <c r="L117" i="13"/>
  <c r="L116" i="13"/>
  <c r="L115" i="13"/>
  <c r="L114" i="13"/>
  <c r="L113" i="13"/>
  <c r="L112" i="13"/>
  <c r="L111" i="13"/>
  <c r="L110" i="13"/>
  <c r="L109" i="13"/>
  <c r="L108" i="13"/>
  <c r="L107" i="13"/>
  <c r="L106" i="13"/>
  <c r="L105" i="13"/>
  <c r="L104" i="13"/>
  <c r="L103" i="13"/>
  <c r="L102" i="13"/>
  <c r="L101" i="13"/>
  <c r="L100" i="13"/>
  <c r="L99" i="13"/>
  <c r="L98" i="13"/>
  <c r="L97" i="13"/>
  <c r="L96" i="13"/>
  <c r="L95" i="13"/>
  <c r="L94" i="13"/>
  <c r="L93" i="13"/>
  <c r="L92" i="13"/>
  <c r="L91" i="13"/>
  <c r="L90" i="13"/>
  <c r="L89" i="13"/>
  <c r="L88" i="13"/>
  <c r="L87" i="13"/>
  <c r="L86" i="13"/>
  <c r="L85" i="13"/>
  <c r="L84" i="13"/>
  <c r="L83" i="13"/>
  <c r="L82" i="13"/>
  <c r="L81" i="13"/>
  <c r="L80" i="13"/>
  <c r="L79" i="13"/>
  <c r="L78" i="13"/>
  <c r="L77" i="13"/>
  <c r="L76" i="13"/>
  <c r="L75" i="13"/>
  <c r="L74" i="13"/>
  <c r="L73" i="13"/>
  <c r="L72" i="13"/>
  <c r="L71" i="13"/>
  <c r="L70" i="13"/>
  <c r="L69" i="13"/>
  <c r="L68" i="13"/>
  <c r="L67" i="13"/>
  <c r="L66" i="13"/>
  <c r="L65" i="13"/>
  <c r="L64" i="13"/>
  <c r="L63" i="13"/>
  <c r="L62" i="13"/>
  <c r="L61" i="13"/>
  <c r="L60" i="13"/>
  <c r="L59" i="13"/>
  <c r="L58" i="13"/>
  <c r="L57" i="13"/>
  <c r="L56" i="13"/>
  <c r="L55" i="13"/>
  <c r="L54" i="13"/>
  <c r="L53" i="13"/>
  <c r="L52" i="13"/>
  <c r="L51" i="13"/>
  <c r="L50" i="13"/>
  <c r="L49" i="13"/>
  <c r="L48" i="13"/>
  <c r="L47" i="13"/>
  <c r="L46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3" i="13"/>
  <c r="L2" i="13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L2" i="12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L2" i="10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102" i="9"/>
  <c r="L101" i="9"/>
  <c r="L100" i="9"/>
  <c r="L99" i="9"/>
  <c r="L98" i="9"/>
  <c r="L97" i="9"/>
  <c r="L96" i="9"/>
  <c r="L95" i="9"/>
  <c r="L94" i="9"/>
  <c r="L93" i="9"/>
  <c r="L92" i="9"/>
  <c r="L91" i="9"/>
  <c r="L90" i="9"/>
  <c r="L89" i="9"/>
  <c r="L88" i="9"/>
  <c r="L87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3" i="9"/>
  <c r="L72" i="9"/>
  <c r="L71" i="9"/>
  <c r="L70" i="9"/>
  <c r="L69" i="9"/>
  <c r="L68" i="9"/>
  <c r="L67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3" i="9"/>
  <c r="L2" i="9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L156" i="6"/>
  <c r="L155" i="6"/>
  <c r="L154" i="6"/>
  <c r="L153" i="6"/>
  <c r="L152" i="6"/>
  <c r="L151" i="6"/>
  <c r="L150" i="6"/>
  <c r="L149" i="6"/>
  <c r="L148" i="6"/>
  <c r="L147" i="6"/>
  <c r="L146" i="6"/>
  <c r="L145" i="6"/>
  <c r="L144" i="6"/>
  <c r="L143" i="6"/>
  <c r="L142" i="6"/>
  <c r="L141" i="6"/>
  <c r="L140" i="6"/>
  <c r="L139" i="6"/>
  <c r="L138" i="6"/>
  <c r="L137" i="6"/>
  <c r="L136" i="6"/>
  <c r="L135" i="6"/>
  <c r="L134" i="6"/>
  <c r="L133" i="6"/>
  <c r="L132" i="6"/>
  <c r="L131" i="6"/>
  <c r="L130" i="6"/>
  <c r="L129" i="6"/>
  <c r="L128" i="6"/>
  <c r="L127" i="6"/>
  <c r="L126" i="6"/>
  <c r="L125" i="6"/>
  <c r="L124" i="6"/>
  <c r="L123" i="6"/>
  <c r="L122" i="6"/>
  <c r="L121" i="6"/>
  <c r="L120" i="6"/>
  <c r="L119" i="6"/>
  <c r="L118" i="6"/>
  <c r="L117" i="6"/>
  <c r="L116" i="6"/>
  <c r="L115" i="6"/>
  <c r="L114" i="6"/>
  <c r="L113" i="6"/>
  <c r="L112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G127" i="16"/>
  <c r="G128" i="16" s="1"/>
  <c r="J126" i="16"/>
  <c r="G96" i="16"/>
  <c r="G68" i="16"/>
  <c r="G69" i="16" s="1"/>
  <c r="G65" i="16"/>
  <c r="G66" i="16" s="1"/>
  <c r="G67" i="16" s="1"/>
  <c r="J64" i="16"/>
  <c r="G34" i="16"/>
  <c r="G4" i="16"/>
  <c r="G3" i="16"/>
  <c r="J3" i="16" s="1"/>
  <c r="G128" i="15"/>
  <c r="G129" i="15" s="1"/>
  <c r="J127" i="15"/>
  <c r="G127" i="15"/>
  <c r="G98" i="15"/>
  <c r="G99" i="15" s="1"/>
  <c r="J97" i="15"/>
  <c r="J96" i="15"/>
  <c r="G96" i="15"/>
  <c r="G97" i="15" s="1"/>
  <c r="J95" i="15"/>
  <c r="G70" i="15"/>
  <c r="G71" i="15" s="1"/>
  <c r="G68" i="15"/>
  <c r="G69" i="15" s="1"/>
  <c r="G65" i="15"/>
  <c r="G66" i="15" s="1"/>
  <c r="G67" i="15" s="1"/>
  <c r="J64" i="15"/>
  <c r="G38" i="15"/>
  <c r="G39" i="15" s="1"/>
  <c r="G34" i="15"/>
  <c r="G35" i="15" s="1"/>
  <c r="G36" i="15" s="1"/>
  <c r="G37" i="15" s="1"/>
  <c r="J33" i="15"/>
  <c r="G4" i="15"/>
  <c r="G3" i="15"/>
  <c r="J3" i="15" s="1"/>
  <c r="G128" i="14"/>
  <c r="G129" i="14" s="1"/>
  <c r="G127" i="14"/>
  <c r="G96" i="14"/>
  <c r="G65" i="14"/>
  <c r="G34" i="14"/>
  <c r="G4" i="14"/>
  <c r="G5" i="14" s="1"/>
  <c r="G3" i="14"/>
  <c r="J3" i="14" s="1"/>
  <c r="G127" i="13"/>
  <c r="G128" i="13" s="1"/>
  <c r="J126" i="13"/>
  <c r="G96" i="13"/>
  <c r="G66" i="13"/>
  <c r="G65" i="13"/>
  <c r="J65" i="13" s="1"/>
  <c r="G37" i="13"/>
  <c r="G36" i="13"/>
  <c r="J36" i="13" s="1"/>
  <c r="G34" i="13"/>
  <c r="G35" i="13" s="1"/>
  <c r="J33" i="13"/>
  <c r="G4" i="13"/>
  <c r="G3" i="13"/>
  <c r="G127" i="12"/>
  <c r="G98" i="12"/>
  <c r="G96" i="12"/>
  <c r="G97" i="12" s="1"/>
  <c r="J97" i="12" s="1"/>
  <c r="J95" i="12"/>
  <c r="G65" i="12"/>
  <c r="G36" i="12"/>
  <c r="G34" i="12"/>
  <c r="G35" i="12" s="1"/>
  <c r="J35" i="12" s="1"/>
  <c r="J33" i="12"/>
  <c r="G4" i="12"/>
  <c r="G3" i="12"/>
  <c r="G127" i="11"/>
  <c r="G98" i="11"/>
  <c r="G96" i="11"/>
  <c r="G97" i="11" s="1"/>
  <c r="J97" i="11" s="1"/>
  <c r="J95" i="11"/>
  <c r="G66" i="11"/>
  <c r="G65" i="11"/>
  <c r="G34" i="11"/>
  <c r="G35" i="11" s="1"/>
  <c r="G3" i="11"/>
  <c r="G4" i="11" s="1"/>
  <c r="G128" i="10"/>
  <c r="G127" i="10"/>
  <c r="G96" i="10"/>
  <c r="G67" i="10"/>
  <c r="G66" i="10"/>
  <c r="J66" i="10" s="1"/>
  <c r="G65" i="10"/>
  <c r="J64" i="10"/>
  <c r="G34" i="10"/>
  <c r="G5" i="10"/>
  <c r="G3" i="10"/>
  <c r="G4" i="10" s="1"/>
  <c r="J2" i="10"/>
  <c r="G127" i="9"/>
  <c r="G98" i="9"/>
  <c r="G99" i="9" s="1"/>
  <c r="G96" i="9"/>
  <c r="G97" i="9" s="1"/>
  <c r="J97" i="9" s="1"/>
  <c r="J95" i="9"/>
  <c r="G65" i="9"/>
  <c r="G36" i="9"/>
  <c r="G37" i="9" s="1"/>
  <c r="J35" i="9"/>
  <c r="J34" i="9"/>
  <c r="G34" i="9"/>
  <c r="G35" i="9" s="1"/>
  <c r="J33" i="9"/>
  <c r="G3" i="9"/>
  <c r="G128" i="8"/>
  <c r="G127" i="8"/>
  <c r="G96" i="8"/>
  <c r="G65" i="8"/>
  <c r="G34" i="8"/>
  <c r="G3" i="8"/>
  <c r="G127" i="7"/>
  <c r="G128" i="7" s="1"/>
  <c r="J126" i="7"/>
  <c r="G100" i="7"/>
  <c r="G101" i="7" s="1"/>
  <c r="G98" i="7"/>
  <c r="G99" i="7" s="1"/>
  <c r="J97" i="7"/>
  <c r="J96" i="7"/>
  <c r="G96" i="7"/>
  <c r="G97" i="7" s="1"/>
  <c r="J95" i="7"/>
  <c r="G65" i="7"/>
  <c r="G66" i="7" s="1"/>
  <c r="G34" i="7"/>
  <c r="G35" i="7" s="1"/>
  <c r="J33" i="7"/>
  <c r="G3" i="7"/>
  <c r="G127" i="6"/>
  <c r="G96" i="6"/>
  <c r="G65" i="6"/>
  <c r="G34" i="6"/>
  <c r="G3" i="6"/>
  <c r="G127" i="5"/>
  <c r="G98" i="5"/>
  <c r="G99" i="5" s="1"/>
  <c r="G100" i="5" s="1"/>
  <c r="J97" i="5"/>
  <c r="G96" i="5"/>
  <c r="G97" i="5" s="1"/>
  <c r="J95" i="5"/>
  <c r="G66" i="5"/>
  <c r="J65" i="5"/>
  <c r="G65" i="5"/>
  <c r="G34" i="5"/>
  <c r="G35" i="5" s="1"/>
  <c r="G36" i="5" s="1"/>
  <c r="J33" i="5"/>
  <c r="G4" i="5"/>
  <c r="G5" i="5" s="1"/>
  <c r="G3" i="5"/>
  <c r="G127" i="4"/>
  <c r="G128" i="4" s="1"/>
  <c r="J126" i="4"/>
  <c r="G98" i="4"/>
  <c r="G99" i="4" s="1"/>
  <c r="G96" i="4"/>
  <c r="G97" i="4" s="1"/>
  <c r="J95" i="4"/>
  <c r="G66" i="4"/>
  <c r="G67" i="4" s="1"/>
  <c r="G65" i="4"/>
  <c r="J65" i="4" s="1"/>
  <c r="J64" i="4"/>
  <c r="G34" i="4"/>
  <c r="G3" i="4"/>
  <c r="G128" i="3"/>
  <c r="G127" i="3"/>
  <c r="G96" i="3"/>
  <c r="G67" i="3"/>
  <c r="G65" i="3"/>
  <c r="G66" i="3" s="1"/>
  <c r="J64" i="3"/>
  <c r="G36" i="3"/>
  <c r="G37" i="3" s="1"/>
  <c r="G34" i="3"/>
  <c r="G35" i="3" s="1"/>
  <c r="J33" i="3"/>
  <c r="G3" i="3"/>
  <c r="G4" i="3" s="1"/>
  <c r="J2" i="3"/>
  <c r="G127" i="2"/>
  <c r="G96" i="2"/>
  <c r="G66" i="2"/>
  <c r="G67" i="2" s="1"/>
  <c r="G65" i="2"/>
  <c r="G34" i="2"/>
  <c r="G3" i="2"/>
  <c r="G127" i="1"/>
  <c r="G96" i="1"/>
  <c r="G65" i="1"/>
  <c r="G34" i="1"/>
  <c r="G35" i="1" s="1"/>
  <c r="G4" i="1"/>
  <c r="G5" i="1" s="1"/>
  <c r="G3" i="1"/>
  <c r="J3" i="1" s="1"/>
  <c r="K14" i="2" a="1"/>
  <c r="K3" i="7" a="1"/>
  <c r="K121" i="14" a="1"/>
  <c r="K76" i="12" a="1"/>
  <c r="K31" i="10" a="1"/>
  <c r="K42" i="12" a="1"/>
  <c r="K144" i="6" a="1"/>
  <c r="K76" i="4" a="1"/>
  <c r="K148" i="12" a="1"/>
  <c r="K133" i="6" a="1"/>
  <c r="K73" i="12" a="1"/>
  <c r="K129" i="14" a="1"/>
  <c r="K108" i="8" a="1"/>
  <c r="K77" i="12" a="1"/>
  <c r="K108" i="6" a="1"/>
  <c r="K29" i="4" a="1"/>
  <c r="K125" i="16" a="1"/>
  <c r="K78" i="10" a="1"/>
  <c r="K137" i="14" a="1"/>
  <c r="K77" i="8" a="1"/>
  <c r="K67" i="12" a="1"/>
  <c r="K33" i="4" a="1"/>
  <c r="K115" i="12" a="1"/>
  <c r="K16" i="6" a="1"/>
  <c r="K48" i="16" a="1"/>
  <c r="K153" i="8" a="1"/>
  <c r="K124" i="2" a="1"/>
  <c r="K149" i="14" a="1"/>
  <c r="K142" i="6" a="1"/>
  <c r="K47" i="16" a="1"/>
  <c r="K108" i="10" a="1"/>
  <c r="K19" i="2" a="1"/>
  <c r="K2" i="14" a="1"/>
  <c r="K73" i="14" a="1"/>
  <c r="K122" i="4" a="1"/>
  <c r="K126" i="2" a="1"/>
  <c r="K124" i="16" a="1"/>
  <c r="K69" i="6" a="1"/>
  <c r="K94" i="2" a="1"/>
  <c r="K52" i="10" a="1"/>
  <c r="K76" i="2" a="1"/>
  <c r="K24" i="12" a="1"/>
  <c r="K56" i="6" a="1"/>
  <c r="K142" i="8" a="1"/>
  <c r="K102" i="8" a="1"/>
  <c r="K137" i="10" a="1"/>
  <c r="K74" i="12" a="1"/>
  <c r="K114" i="2" a="1"/>
  <c r="K22" i="2" a="1"/>
  <c r="K90" i="16" a="1"/>
  <c r="K12" i="4" a="1"/>
  <c r="K35" i="14" a="1"/>
  <c r="K70" i="16" a="1"/>
  <c r="K102" i="2" a="1"/>
  <c r="K141" i="8" a="1"/>
  <c r="K42" i="4" a="1"/>
  <c r="K65" i="4" a="1"/>
  <c r="K74" i="10" a="1"/>
  <c r="K28" i="10" a="1"/>
  <c r="K67" i="10" a="1"/>
  <c r="K113" i="4" a="1"/>
  <c r="K102" i="12" a="1"/>
  <c r="K128" i="8" a="1"/>
  <c r="K111" i="14" a="1"/>
  <c r="K66" i="12" a="1"/>
  <c r="K155" i="16" a="1"/>
  <c r="K19" i="12" a="1"/>
  <c r="K123" i="6" a="1"/>
  <c r="K66" i="4" a="1"/>
  <c r="K135" i="12" a="1"/>
  <c r="K112" i="6" a="1"/>
  <c r="K50" i="12" a="1"/>
  <c r="K116" i="14" a="1"/>
  <c r="K59" i="8" a="1"/>
  <c r="K49" i="12" a="1"/>
  <c r="K85" i="6" a="1"/>
  <c r="K18" i="4" a="1"/>
  <c r="K112" i="16" a="1"/>
  <c r="K39" i="10" a="1"/>
  <c r="K124" i="14" a="1"/>
  <c r="K65" i="8" a="1"/>
  <c r="K31" i="12" a="1"/>
  <c r="K20" i="4" a="1"/>
  <c r="K99" i="12" a="1"/>
  <c r="K3" i="6" a="1"/>
  <c r="K31" i="16" a="1"/>
  <c r="K123" i="8" a="1"/>
  <c r="K98" i="2" a="1"/>
  <c r="K133" i="14" a="1"/>
  <c r="K128" i="6" a="1"/>
  <c r="K114" i="14" a="1"/>
  <c r="K19" i="10" a="1"/>
  <c r="K8" i="16" a="1"/>
  <c r="K18" i="12" a="1"/>
  <c r="K53" i="14" a="1"/>
  <c r="K87" i="4" a="1"/>
  <c r="K78" i="2" a="1"/>
  <c r="K103" i="16" a="1"/>
  <c r="K36" i="6" a="1"/>
  <c r="K46" i="2" a="1"/>
  <c r="K23" i="10" a="1"/>
  <c r="K142" i="16" a="1"/>
  <c r="K75" i="10" a="1"/>
  <c r="K33" i="6" a="1"/>
  <c r="K84" i="8" a="1"/>
  <c r="K149" i="6" a="1"/>
  <c r="K70" i="10" a="1"/>
  <c r="K48" i="12" a="1"/>
  <c r="K28" i="2" a="1"/>
  <c r="K21" i="16" a="1"/>
  <c r="K40" i="16" a="1"/>
  <c r="K144" i="2" a="1"/>
  <c r="K37" i="12" a="1"/>
  <c r="K128" i="12" a="1"/>
  <c r="K44" i="2" a="1"/>
  <c r="K95" i="6" a="1"/>
  <c r="K137" i="16" a="1"/>
  <c r="K136" i="10" a="1"/>
  <c r="K100" i="8" a="1"/>
  <c r="K99" i="8" a="1"/>
  <c r="K55" i="4" a="1"/>
  <c r="K40" i="2" a="1"/>
  <c r="K23" i="4" a="1"/>
  <c r="K121" i="6" a="1"/>
  <c r="K101" i="14" a="1"/>
  <c r="K56" i="12" a="1"/>
  <c r="K132" i="16" a="1"/>
  <c r="K138" i="10" a="1"/>
  <c r="K156" i="16" a="1"/>
  <c r="K146" i="16" a="1"/>
  <c r="K136" i="16" a="1"/>
  <c r="K126" i="16" a="1"/>
  <c r="K81" i="14" a="1"/>
  <c r="K36" i="12" a="1"/>
  <c r="K73" i="16" a="1"/>
  <c r="K92" i="10" a="1"/>
  <c r="K81" i="6" a="1"/>
  <c r="K36" i="4" a="1"/>
  <c r="K53" i="12" a="1"/>
  <c r="K117" i="16" a="1"/>
  <c r="K146" i="10" a="1"/>
  <c r="K19" i="14" a="1"/>
  <c r="K132" i="6" a="1"/>
  <c r="K120" i="10" a="1"/>
  <c r="K52" i="6" a="1"/>
  <c r="K143" i="2" a="1"/>
  <c r="K15" i="16" a="1"/>
  <c r="K119" i="8" a="1"/>
  <c r="K26" i="14" a="1"/>
  <c r="K6" i="8" a="1"/>
  <c r="K83" i="10" a="1"/>
  <c r="K87" i="2" a="1"/>
  <c r="K12" i="12" a="1"/>
  <c r="K60" i="4" a="1"/>
  <c r="K65" i="14" a="1"/>
  <c r="K145" i="6" a="1"/>
  <c r="K48" i="2" a="1"/>
  <c r="K10" i="14" a="1"/>
  <c r="K84" i="6" a="1"/>
  <c r="K62" i="10" a="1"/>
  <c r="K30" i="8" a="1"/>
  <c r="K84" i="10" a="1"/>
  <c r="K129" i="8" a="1"/>
  <c r="K69" i="12" a="1"/>
  <c r="K127" i="2" a="1"/>
  <c r="K49" i="14" a="1"/>
  <c r="K140" i="14" a="1"/>
  <c r="K69" i="4" a="1"/>
  <c r="K95" i="16" a="1"/>
  <c r="K79" i="6" a="1"/>
  <c r="K154" i="12" a="1"/>
  <c r="K83" i="16" a="1"/>
  <c r="K97" i="2" a="1"/>
  <c r="K141" i="4" a="1"/>
  <c r="K47" i="6" a="1"/>
  <c r="K74" i="8" a="1"/>
  <c r="K92" i="14" a="1"/>
  <c r="K5" i="10" a="1"/>
  <c r="K25" i="8" a="1"/>
  <c r="K144" i="12" a="1"/>
  <c r="K29" i="2" a="1"/>
  <c r="K43" i="6" a="1"/>
  <c r="K75" i="6" a="1"/>
  <c r="K124" i="10" a="1"/>
  <c r="K119" i="10" a="1"/>
  <c r="K113" i="6" a="1"/>
  <c r="K88" i="10" a="1"/>
  <c r="K124" i="4" a="1"/>
  <c r="K57" i="4" a="1"/>
  <c r="K91" i="2" a="1"/>
  <c r="K3" i="12" a="1"/>
  <c r="K147" i="4" a="1"/>
  <c r="K98" i="8" a="1"/>
  <c r="K33" i="10" a="1"/>
  <c r="K12" i="6" a="1"/>
  <c r="K4" i="16" a="1"/>
  <c r="K52" i="12" a="1"/>
  <c r="K61" i="14" a="1"/>
  <c r="K27" i="16" a="1"/>
  <c r="K61" i="6" a="1"/>
  <c r="K143" i="16" a="1"/>
  <c r="K7" i="12" a="1"/>
  <c r="K81" i="16" a="1"/>
  <c r="K147" i="12" a="1"/>
  <c r="K94" i="10" a="1"/>
  <c r="K143" i="14" a="1"/>
  <c r="K58" i="8" a="1"/>
  <c r="K140" i="12" a="1"/>
  <c r="K140" i="8" a="1"/>
  <c r="K116" i="10" a="1"/>
  <c r="K29" i="14" a="1"/>
  <c r="K57" i="6" a="1"/>
  <c r="K12" i="2" a="1"/>
  <c r="K127" i="6" a="1"/>
  <c r="K137" i="4" a="1"/>
  <c r="K65" i="2" a="1"/>
  <c r="K153" i="10" a="1"/>
  <c r="K50" i="14" a="1"/>
  <c r="K53" i="16" a="1"/>
  <c r="K57" i="12" a="1"/>
  <c r="K153" i="4" a="1"/>
  <c r="K77" i="2" a="1"/>
  <c r="K51" i="2" a="1"/>
  <c r="K26" i="6" a="1"/>
  <c r="K82" i="2" a="1"/>
  <c r="K54" i="4" a="1"/>
  <c r="K96" i="8" a="1"/>
  <c r="K96" i="16" a="1"/>
  <c r="K6" i="12" a="1"/>
  <c r="K57" i="10" a="1"/>
  <c r="K51" i="6" a="1"/>
  <c r="K66" i="10" a="1"/>
  <c r="K128" i="14" a="1"/>
  <c r="K46" i="8" a="1"/>
  <c r="K92" i="6" a="1"/>
  <c r="K63" i="14" a="1"/>
  <c r="K149" i="2" a="1"/>
  <c r="K44" i="6" a="1"/>
  <c r="K149" i="16" a="1"/>
  <c r="K116" i="16" a="1"/>
  <c r="K71" i="14" a="1"/>
  <c r="K26" i="12" a="1"/>
  <c r="K50" i="16" a="1"/>
  <c r="K79" i="10" a="1"/>
  <c r="K71" i="6" a="1"/>
  <c r="K26" i="4" a="1"/>
  <c r="K30" i="12" a="1"/>
  <c r="K104" i="16" a="1"/>
  <c r="K123" i="10" a="1"/>
  <c r="K6" i="14" a="1"/>
  <c r="K120" i="6" a="1"/>
  <c r="K107" i="10" a="1"/>
  <c r="K40" i="6" a="1"/>
  <c r="K133" i="2" a="1"/>
  <c r="K156" i="14" a="1"/>
  <c r="K107" i="8" a="1"/>
  <c r="K153" i="12" a="1"/>
  <c r="K138" i="6" a="1"/>
  <c r="K64" i="10" a="1"/>
  <c r="K75" i="2" a="1"/>
  <c r="K152" i="10" a="1"/>
  <c r="K47" i="4" a="1"/>
  <c r="K47" i="14" a="1"/>
  <c r="K86" i="6" a="1"/>
  <c r="K25" i="2" a="1"/>
  <c r="K150" i="12" a="1"/>
  <c r="K70" i="6" a="1"/>
  <c r="K12" i="10" a="1"/>
  <c r="K13" i="8" a="1"/>
  <c r="K50" i="8" a="1"/>
  <c r="K87" i="8" a="1"/>
  <c r="K128" i="10" a="1"/>
  <c r="K95" i="2" a="1"/>
  <c r="K40" i="12" a="1"/>
  <c r="K94" i="14" a="1"/>
  <c r="K35" i="4" a="1"/>
  <c r="K75" i="16" a="1"/>
  <c r="K59" i="6" a="1"/>
  <c r="K93" i="12" a="1"/>
  <c r="K44" i="16" a="1"/>
  <c r="K42" i="16" a="1"/>
  <c r="K131" i="16" a="1"/>
  <c r="K24" i="6" a="1"/>
  <c r="K43" i="8" a="1"/>
  <c r="K56" i="10" a="1"/>
  <c r="K118" i="8" a="1"/>
  <c r="K31" i="4" a="1"/>
  <c r="K100" i="12" a="1"/>
  <c r="K6" i="2" a="1"/>
  <c r="K135" i="2" a="1"/>
  <c r="K9" i="4" a="1"/>
  <c r="K62" i="6" a="1"/>
  <c r="K155" i="8" a="1"/>
  <c r="K92" i="4" a="1"/>
  <c r="K25" i="10" a="1"/>
  <c r="K90" i="6" a="1"/>
  <c r="K150" i="2" a="1"/>
  <c r="K106" i="16" a="1"/>
  <c r="K16" i="12" a="1"/>
  <c r="K68" i="10" a="1"/>
  <c r="K110" i="10" a="1"/>
  <c r="K97" i="6" a="1"/>
  <c r="K29" i="6" a="1"/>
  <c r="K123" i="2" a="1"/>
  <c r="K115" i="6" a="1"/>
  <c r="K26" i="2" a="1"/>
  <c r="K6" i="4" a="1"/>
  <c r="K114" i="12" a="1"/>
  <c r="K28" i="6" a="1"/>
  <c r="K16" i="8" a="1"/>
  <c r="K9" i="8" a="1"/>
  <c r="K106" i="10" a="1"/>
  <c r="K16" i="4" a="1"/>
  <c r="K10" i="6" a="1"/>
  <c r="K136" i="14" a="1"/>
  <c r="K132" i="14" a="1"/>
  <c r="K94" i="16" a="1"/>
  <c r="K140" i="6" a="1"/>
  <c r="K126" i="8" a="1"/>
  <c r="K99" i="4" a="1"/>
  <c r="K39" i="12" a="1"/>
  <c r="K39" i="16" a="1"/>
  <c r="K111" i="6" a="1"/>
  <c r="K64" i="8" a="1"/>
  <c r="K66" i="6" a="1"/>
  <c r="K129" i="2" a="1"/>
  <c r="K5" i="12" a="1"/>
  <c r="K100" i="14" a="1"/>
  <c r="K147" i="2" a="1"/>
  <c r="K51" i="14" a="1"/>
  <c r="K14" i="16" a="1"/>
  <c r="K120" i="16" a="1"/>
  <c r="K149" i="10" a="1"/>
  <c r="K58" i="16" a="1"/>
  <c r="K87" i="10" a="1"/>
  <c r="K119" i="12" a="1"/>
  <c r="K127" i="16" a="1"/>
  <c r="K18" i="6" a="1"/>
  <c r="K113" i="2" a="1"/>
  <c r="K127" i="12" a="1"/>
  <c r="K124" i="8" a="1"/>
  <c r="K48" i="10" a="1"/>
  <c r="K12" i="14" a="1"/>
  <c r="K98" i="16" a="1"/>
  <c r="K97" i="12" a="1"/>
  <c r="K15" i="6" a="1"/>
  <c r="K109" i="6" a="1"/>
  <c r="K125" i="6" a="1"/>
  <c r="K15" i="4" a="1"/>
  <c r="K85" i="10" a="1"/>
  <c r="K66" i="16" a="1"/>
  <c r="K21" i="14" a="1"/>
  <c r="K131" i="10" a="1"/>
  <c r="K110" i="14" a="1"/>
  <c r="K24" i="10" a="1"/>
  <c r="K21" i="6" a="1"/>
  <c r="K61" i="16" a="1"/>
  <c r="K90" i="10" a="1"/>
  <c r="K154" i="14" a="1"/>
  <c r="K122" i="8" a="1"/>
  <c r="K22" i="12" a="1"/>
  <c r="K43" i="16" a="1"/>
  <c r="K156" i="8" a="1"/>
  <c r="K140" i="4" a="1"/>
  <c r="K83" i="2" a="1"/>
  <c r="K18" i="14" a="1"/>
  <c r="K119" i="6" a="1"/>
  <c r="K156" i="10" a="1"/>
  <c r="K49" i="16" a="1"/>
  <c r="K19" i="8" a="1"/>
  <c r="K118" i="16" a="1"/>
  <c r="K154" i="8" a="1"/>
  <c r="K61" i="2" a="1"/>
  <c r="K81" i="12" a="1"/>
  <c r="K143" i="4" a="1"/>
  <c r="K80" i="12" a="1"/>
  <c r="K11" i="12" a="1"/>
  <c r="K72" i="4" a="1"/>
  <c r="K35" i="16" a="1"/>
  <c r="K4" i="6" a="1"/>
  <c r="K19" i="6" a="1"/>
  <c r="K2" i="2" a="1"/>
  <c r="K51" i="8" a="1"/>
  <c r="K33" i="16" a="1"/>
  <c r="K50" i="6" a="1"/>
  <c r="K41" i="12" a="1"/>
  <c r="K18" i="2" a="1"/>
  <c r="K11" i="10" a="1"/>
  <c r="K139" i="2" a="1"/>
  <c r="K116" i="8" a="1"/>
  <c r="K7" i="14" a="1"/>
  <c r="K56" i="8" a="1"/>
  <c r="K125" i="14" a="1"/>
  <c r="K107" i="2" a="1"/>
  <c r="K82" i="4" a="1"/>
  <c r="K145" i="2" a="1"/>
  <c r="K44" i="10" a="1"/>
  <c r="K120" i="4" a="1"/>
  <c r="K82" i="6" a="1"/>
  <c r="K85" i="12" a="1"/>
  <c r="K8" i="6" a="1"/>
  <c r="K38" i="6" a="1"/>
  <c r="K28" i="4" a="1"/>
  <c r="K107" i="12" a="1"/>
  <c r="K129" i="12" a="1"/>
  <c r="K104" i="2" a="1"/>
  <c r="K15" i="14" a="1"/>
  <c r="K96" i="2" a="1"/>
  <c r="K10" i="10" a="1"/>
  <c r="K120" i="2" a="1"/>
  <c r="K81" i="4" a="1"/>
  <c r="K146" i="2" a="1"/>
  <c r="K21" i="10" a="1"/>
  <c r="K56" i="16" a="1"/>
  <c r="K11" i="14" a="1"/>
  <c r="K121" i="10" a="1"/>
  <c r="K87" i="14" a="1"/>
  <c r="K13" i="10" a="1"/>
  <c r="K11" i="6" a="1"/>
  <c r="K38" i="16" a="1"/>
  <c r="K2" i="10" a="1"/>
  <c r="K118" i="14" a="1"/>
  <c r="K101" i="8" a="1"/>
  <c r="K9" i="12" a="1"/>
  <c r="K30" i="16" a="1"/>
  <c r="K144" i="8" a="1"/>
  <c r="K129" i="4" a="1"/>
  <c r="K73" i="2" a="1"/>
  <c r="K4" i="14" a="1"/>
  <c r="K96" i="6" a="1"/>
  <c r="K143" i="10" a="1"/>
  <c r="K32" i="16" a="1"/>
  <c r="K146" i="6" a="1"/>
  <c r="K91" i="14" a="1"/>
  <c r="K51" i="10" a="1"/>
  <c r="K73" i="8" a="1"/>
  <c r="K25" i="16" a="1"/>
  <c r="K101" i="6" a="1"/>
  <c r="K100" i="16" a="1"/>
  <c r="K17" i="16" a="1"/>
  <c r="K74" i="6" a="1"/>
  <c r="K23" i="2" a="1"/>
  <c r="K150" i="16" a="1"/>
  <c r="K42" i="8" a="1"/>
  <c r="K144" i="4" a="1"/>
  <c r="K16" i="10" a="1"/>
  <c r="K45" i="10" a="1"/>
  <c r="K130" i="4" a="1"/>
  <c r="K115" i="16" a="1"/>
  <c r="K5" i="4" a="1"/>
  <c r="K129" i="10" a="1"/>
  <c r="K156" i="2" a="1"/>
  <c r="K111" i="12" a="1"/>
  <c r="K105" i="10" a="1"/>
  <c r="K8" i="8" a="1"/>
  <c r="K147" i="16" a="1"/>
  <c r="K94" i="12" a="1"/>
  <c r="K76" i="10" a="1"/>
  <c r="K117" i="8" a="1"/>
  <c r="K55" i="6" a="1"/>
  <c r="K45" i="2" a="1"/>
  <c r="K142" i="12" a="1"/>
  <c r="K114" i="8" a="1"/>
  <c r="K24" i="4" a="1"/>
  <c r="K38" i="14" a="1"/>
  <c r="K4" i="10" a="1"/>
  <c r="K17" i="12" a="1"/>
  <c r="K38" i="12" a="1"/>
  <c r="K6" i="6" a="1"/>
  <c r="K71" i="12" a="1"/>
  <c r="K80" i="4" a="1"/>
  <c r="K112" i="10" a="1"/>
  <c r="K41" i="16" a="1"/>
  <c r="K60" i="2" a="1"/>
  <c r="K9" i="6" a="1"/>
  <c r="K109" i="4" a="1"/>
  <c r="K6" i="10" a="1"/>
  <c r="K89" i="16" a="1"/>
  <c r="K65" i="10" a="1"/>
  <c r="K64" i="14" a="1"/>
  <c r="K72" i="14" a="1"/>
  <c r="K145" i="12" a="1"/>
  <c r="K79" i="16" a="1"/>
  <c r="K4" i="8" a="1"/>
  <c r="K32" i="4" a="1"/>
  <c r="K36" i="2" a="1"/>
  <c r="K77" i="16" a="1"/>
  <c r="K138" i="12" a="1"/>
  <c r="K117" i="4" a="1"/>
  <c r="K13" i="4" a="1"/>
  <c r="K39" i="8" a="1"/>
  <c r="K79" i="8" a="1"/>
  <c r="K51" i="16" a="1"/>
  <c r="K126" i="12" a="1"/>
  <c r="K115" i="14" a="1"/>
  <c r="K29" i="10" a="1"/>
  <c r="K98" i="12" a="1"/>
  <c r="K80" i="16" a="1"/>
  <c r="K139" i="14" a="1"/>
  <c r="K34" i="4" a="1"/>
  <c r="K49" i="4" a="1"/>
  <c r="K143" i="12" a="1"/>
  <c r="K139" i="6" a="1"/>
  <c r="K60" i="16" a="1"/>
  <c r="K107" i="14" a="1"/>
  <c r="K5" i="14" a="1"/>
  <c r="K31" i="6" a="1"/>
  <c r="K35" i="12" a="1"/>
  <c r="K84" i="4" a="1"/>
  <c r="K30" i="14" a="1"/>
  <c r="K148" i="2" a="1"/>
  <c r="K63" i="16" a="1"/>
  <c r="K37" i="10" a="1"/>
  <c r="K35" i="6" a="1"/>
  <c r="K4" i="4" a="1"/>
  <c r="K79" i="12" a="1"/>
  <c r="K5" i="8" a="1"/>
  <c r="K69" i="16" a="1"/>
  <c r="K140" i="10" a="1"/>
  <c r="K22" i="6" a="1"/>
  <c r="K97" i="8" a="1"/>
  <c r="K137" i="12" a="1"/>
  <c r="K122" i="10" a="1"/>
  <c r="K131" i="12" a="1"/>
  <c r="K101" i="16" a="1"/>
  <c r="K136" i="2" a="1"/>
  <c r="K37" i="4" a="1"/>
  <c r="K93" i="14" a="1"/>
  <c r="K118" i="2" a="1"/>
  <c r="K134" i="8" a="1"/>
  <c r="K48" i="6" a="1"/>
  <c r="K41" i="14" a="1"/>
  <c r="K41" i="10" a="1"/>
  <c r="K52" i="8" a="1"/>
  <c r="K2" i="16" a="1"/>
  <c r="K140" i="16" a="1"/>
  <c r="K87" i="16" a="1"/>
  <c r="K88" i="14" a="1"/>
  <c r="K63" i="6" a="1"/>
  <c r="K13" i="2" a="1"/>
  <c r="K134" i="16" a="1"/>
  <c r="K18" i="8" a="1"/>
  <c r="K131" i="4" a="1"/>
  <c r="K109" i="8" a="1"/>
  <c r="K151" i="16" a="1"/>
  <c r="K101" i="4" a="1"/>
  <c r="K29" i="16" a="1"/>
  <c r="K122" i="2" a="1"/>
  <c r="K133" i="8" a="1"/>
  <c r="K108" i="2" a="1"/>
  <c r="K90" i="12" a="1"/>
  <c r="K68" i="8" a="1"/>
  <c r="K78" i="16" a="1"/>
  <c r="K54" i="16" a="1"/>
  <c r="K145" i="10" a="1"/>
  <c r="K22" i="10" a="1"/>
  <c r="K85" i="8" a="1"/>
  <c r="K68" i="16" a="1"/>
  <c r="K8" i="2" a="1"/>
  <c r="K139" i="16" a="1"/>
  <c r="K76" i="6" a="1"/>
  <c r="K121" i="2" a="1"/>
  <c r="K141" i="12" a="1"/>
  <c r="K110" i="6" a="1"/>
  <c r="K137" i="6" a="1"/>
  <c r="K55" i="10" a="1"/>
  <c r="K66" i="8" a="1"/>
  <c r="K60" i="8" a="1"/>
  <c r="K119" i="2" a="1"/>
  <c r="K60" i="6" a="1"/>
  <c r="K135" i="6" a="1"/>
  <c r="K9" i="2" a="1"/>
  <c r="K148" i="4" a="1"/>
  <c r="K156" i="12" a="1"/>
  <c r="K146" i="14" a="1"/>
  <c r="K98" i="14" a="1"/>
  <c r="K144" i="14" a="1"/>
  <c r="K151" i="4" a="1"/>
  <c r="K107" i="16" a="1"/>
  <c r="K75" i="4" a="1"/>
  <c r="K12" i="16" a="1"/>
  <c r="K69" i="8" a="1"/>
  <c r="K24" i="14" a="1"/>
  <c r="K103" i="6" a="1"/>
  <c r="K134" i="6" a="1"/>
  <c r="K155" i="14" a="1"/>
  <c r="K134" i="2" a="1"/>
  <c r="K98" i="4" a="1"/>
  <c r="K5" i="6" a="1"/>
  <c r="K123" i="4" a="1"/>
  <c r="K91" i="16" a="1"/>
  <c r="K79" i="4" a="1"/>
  <c r="K66" i="2" a="1"/>
  <c r="K21" i="8" a="1"/>
  <c r="K146" i="12" a="1"/>
  <c r="K123" i="14" a="1"/>
  <c r="K75" i="14" a="1"/>
  <c r="K103" i="14" a="1"/>
  <c r="K33" i="14" a="1"/>
  <c r="K99" i="16" a="1"/>
  <c r="K13" i="16" a="1"/>
  <c r="K33" i="8" a="1"/>
  <c r="K37" i="6" a="1"/>
  <c r="K110" i="12" a="1"/>
  <c r="K89" i="14" a="1"/>
  <c r="K81" i="2" a="1"/>
  <c r="K105" i="2" a="1"/>
  <c r="K93" i="4" a="1"/>
  <c r="K148" i="14" a="1"/>
  <c r="K18" i="7" a="1"/>
  <c r="K52" i="14" a="1"/>
  <c r="K60" i="14" a="1"/>
  <c r="K107" i="4" a="1"/>
  <c r="K83" i="14" a="1"/>
  <c r="K133" i="12" a="1"/>
  <c r="K139" i="4" a="1"/>
  <c r="K85" i="4" a="1"/>
  <c r="K97" i="4" a="1"/>
  <c r="K119" i="4" a="1"/>
  <c r="K108" i="12" a="1"/>
  <c r="K99" i="10" a="1"/>
  <c r="K62" i="14" a="1"/>
  <c r="K70" i="2" a="1"/>
  <c r="K21" i="4" a="1"/>
  <c r="K28" i="14" a="1"/>
  <c r="K59" i="14" a="1"/>
  <c r="K63" i="12" a="1"/>
  <c r="K95" i="4" a="1"/>
  <c r="K23" i="16" a="1"/>
  <c r="K129" i="6" a="1"/>
  <c r="K147" i="10" a="1"/>
  <c r="K105" i="4" a="1"/>
  <c r="K148" i="6" a="1"/>
  <c r="K106" i="6" a="1"/>
  <c r="K48" i="4" a="1"/>
  <c r="K10" i="12" a="1"/>
  <c r="K113" i="8" a="1"/>
  <c r="K152" i="6" a="1"/>
  <c r="K100" i="4" a="1"/>
  <c r="K90" i="2" a="1"/>
  <c r="K18" i="5" a="1"/>
  <c r="K36" i="14" a="1"/>
  <c r="K102" i="14" a="1"/>
  <c r="K152" i="16" a="1"/>
  <c r="K45" i="12" a="1"/>
  <c r="K145" i="16" a="1"/>
  <c r="K123" i="12" a="1"/>
  <c r="K58" i="2" a="1"/>
  <c r="K20" i="16" a="1"/>
  <c r="K17" i="4" a="1"/>
  <c r="K106" i="12" a="1"/>
  <c r="K112" i="12" a="1"/>
  <c r="K13" i="14" a="1"/>
  <c r="K73" i="4" a="1"/>
  <c r="K14" i="14" a="1"/>
  <c r="K150" i="10" a="1"/>
  <c r="K95" i="12" a="1"/>
  <c r="K107" i="6" a="1"/>
  <c r="K68" i="4" a="1"/>
  <c r="K117" i="10" a="1"/>
  <c r="K51" i="12" a="1"/>
  <c r="K30" i="2" a="1"/>
  <c r="K31" i="14" a="1"/>
  <c r="K109" i="16" a="1"/>
  <c r="K31" i="8" a="1"/>
  <c r="K134" i="14" a="1"/>
  <c r="K45" i="16" a="1"/>
  <c r="K3" i="16" a="1"/>
  <c r="K74" i="14" a="1"/>
  <c r="K7" i="6" a="1"/>
  <c r="K3" i="2" a="1"/>
  <c r="K121" i="16" a="1"/>
  <c r="K135" i="16" a="1"/>
  <c r="K89" i="4" a="1"/>
  <c r="K92" i="8" a="1"/>
  <c r="K64" i="16" a="1"/>
  <c r="K88" i="4" a="1"/>
  <c r="K97" i="14" a="1"/>
  <c r="K110" i="2" a="1"/>
  <c r="K71" i="8" a="1"/>
  <c r="K64" i="2" a="1"/>
  <c r="K112" i="8" a="1"/>
  <c r="K147" i="6" a="1"/>
  <c r="K34" i="16" a="1"/>
  <c r="K70" i="14" a="1"/>
  <c r="K118" i="10" a="1"/>
  <c r="K26" i="8" a="1"/>
  <c r="K57" i="8" a="1"/>
  <c r="K37" i="16" a="1"/>
  <c r="K86" i="14" a="1"/>
  <c r="K147" i="14" a="1"/>
  <c r="K38" i="4" a="1"/>
  <c r="K57" i="14" a="1"/>
  <c r="K142" i="10" a="1"/>
  <c r="K39" i="6" a="1"/>
  <c r="K65" i="6" a="1"/>
  <c r="K121" i="8" a="1"/>
  <c r="K77" i="14" a="1"/>
  <c r="K27" i="6" a="1"/>
  <c r="K49" i="6" a="1"/>
  <c r="K16" i="9" a="1"/>
  <c r="K10" i="8" a="1"/>
  <c r="K22" i="16" a="1"/>
  <c r="K46" i="14" a="1"/>
  <c r="K153" i="16" a="1"/>
  <c r="K67" i="16" a="1"/>
  <c r="K63" i="8" a="1"/>
  <c r="K74" i="4" a="1"/>
  <c r="K45" i="14" a="1"/>
  <c r="K72" i="2" a="1"/>
  <c r="K73" i="6" a="1"/>
  <c r="K31" i="2" a="1"/>
  <c r="K68" i="6" a="1"/>
  <c r="K25" i="14" a="1"/>
  <c r="K36" i="8" a="1"/>
  <c r="K56" i="14" a="1"/>
  <c r="K81" i="8" a="1"/>
  <c r="K90" i="14" a="1"/>
  <c r="K95" i="10" a="1"/>
  <c r="K152" i="4" a="1"/>
  <c r="K117" i="6" a="1"/>
  <c r="K102" i="6" a="1"/>
  <c r="K95" i="14" a="1"/>
  <c r="K118" i="4" a="1"/>
  <c r="K92" i="16" a="1"/>
  <c r="K137" i="2" a="1"/>
  <c r="K80" i="14" a="1"/>
  <c r="K45" i="4" a="1"/>
  <c r="K61" i="12" a="1"/>
  <c r="K102" i="16" a="1"/>
  <c r="K29" i="8" a="1"/>
  <c r="K154" i="4" a="1"/>
  <c r="K3" i="14" a="1"/>
  <c r="K2" i="8" a="1"/>
  <c r="K104" i="6" a="1"/>
  <c r="K20" i="14" a="1"/>
  <c r="K42" i="14" a="1"/>
  <c r="K20" i="2" a="1"/>
  <c r="K128" i="2" a="1"/>
  <c r="K152" i="12" a="1"/>
  <c r="K136" i="12" a="1"/>
  <c r="K91" i="6" a="1"/>
  <c r="K57" i="16" a="1"/>
  <c r="K125" i="2" a="1"/>
  <c r="K28" i="12" a="1"/>
  <c r="K11" i="8" a="1"/>
  <c r="K28" i="8" a="1"/>
  <c r="K22" i="14" a="1"/>
  <c r="K72" i="16" a="1"/>
  <c r="K32" i="12" a="1"/>
  <c r="K3" i="4" a="1"/>
  <c r="K149" i="12" a="1"/>
  <c r="K17" i="6" a="1"/>
  <c r="K41" i="6" a="1"/>
  <c r="K39" i="14" a="1"/>
  <c r="K104" i="12" a="1"/>
  <c r="K66" i="14" a="1"/>
  <c r="K19" i="4" a="1"/>
  <c r="K20" i="12" a="1"/>
  <c r="K138" i="2" a="1"/>
  <c r="K116" i="2" a="1"/>
  <c r="K40" i="8" a="1"/>
  <c r="K121" i="12" a="1"/>
  <c r="K21" i="2" a="1"/>
  <c r="K14" i="8" a="1"/>
  <c r="K116" i="12" a="1"/>
  <c r="K16" i="14" a="1"/>
  <c r="K91" i="12" a="1"/>
  <c r="K150" i="14" a="1"/>
  <c r="K100" i="6" a="1"/>
  <c r="K130" i="10" a="1"/>
  <c r="K70" i="4" a="1"/>
  <c r="K126" i="6" a="1"/>
  <c r="K154" i="10" a="1"/>
  <c r="K7" i="4" a="1"/>
  <c r="K36" i="10" a="1"/>
  <c r="K127" i="4" a="1"/>
  <c r="K80" i="6" a="1"/>
  <c r="K15" i="12" a="1"/>
  <c r="K58" i="14" a="1"/>
  <c r="K25" i="6" a="1"/>
  <c r="K156" i="4" a="1"/>
  <c r="K148" i="10" a="1"/>
  <c r="K82" i="14" a="1"/>
  <c r="K72" i="6" a="1"/>
  <c r="K138" i="8" a="1"/>
  <c r="K17" i="10" a="1"/>
  <c r="K59" i="10" a="1"/>
  <c r="K35" i="2" a="1"/>
  <c r="K16" i="16" a="1"/>
  <c r="K115" i="10" a="1"/>
  <c r="K103" i="10" a="1"/>
  <c r="K80" i="10" a="1"/>
  <c r="K143" i="6" a="1"/>
  <c r="K14" i="10" a="1"/>
  <c r="K78" i="8" a="1"/>
  <c r="K111" i="2" a="1"/>
  <c r="K74" i="2" a="1"/>
  <c r="K59" i="4" a="1"/>
  <c r="K53" i="6" a="1"/>
  <c r="K47" i="2" a="1"/>
  <c r="K111" i="8" a="1"/>
  <c r="K38" i="2" a="1"/>
  <c r="K50" i="10" a="1"/>
  <c r="K89" i="2" a="1"/>
  <c r="K83" i="12" a="1"/>
  <c r="K85" i="2" a="1"/>
  <c r="K105" i="6" a="1"/>
  <c r="K11" i="2" a="1"/>
  <c r="K71" i="2" a="1"/>
  <c r="K135" i="8" a="1"/>
  <c r="K52" i="16" a="1"/>
  <c r="K46" i="10" a="1"/>
  <c r="K146" i="8" a="1"/>
  <c r="K54" i="10" a="1"/>
  <c r="K131" i="6" a="1"/>
  <c r="K131" i="8" a="1"/>
  <c r="K99" i="2" a="1"/>
  <c r="K11" i="16" a="1"/>
  <c r="K96" i="10" a="1"/>
  <c r="K121" i="4" a="1"/>
  <c r="K32" i="2" a="1"/>
  <c r="K88" i="8" a="1"/>
  <c r="K78" i="6" a="1"/>
  <c r="K68" i="2" a="1"/>
  <c r="K106" i="2" a="1"/>
  <c r="K13" i="6" a="1"/>
  <c r="K138" i="16" a="1"/>
  <c r="K62" i="16" a="1"/>
  <c r="K54" i="12" a="1"/>
  <c r="K23" i="6" a="1"/>
  <c r="K10" i="2" a="1"/>
  <c r="K141" i="10" a="1"/>
  <c r="K85" i="16" a="1"/>
  <c r="K34" i="10" a="1"/>
  <c r="K114" i="10" a="1"/>
  <c r="K133" i="16" a="1"/>
  <c r="K148" i="16" a="1"/>
  <c r="K83" i="4" a="1"/>
  <c r="K74" i="16" a="1"/>
  <c r="K64" i="6" a="1"/>
  <c r="K116" i="4" a="1"/>
  <c r="K53" i="2" a="1"/>
  <c r="K97" i="10" a="1"/>
  <c r="K55" i="16" a="1"/>
  <c r="K104" i="14" a="1"/>
  <c r="K93" i="10" a="1"/>
  <c r="K26" i="10" a="1"/>
  <c r="K106" i="4" a="1"/>
  <c r="K43" i="2" a="1"/>
  <c r="K82" i="10" a="1"/>
  <c r="K155" i="10" a="1"/>
  <c r="K62" i="2" a="1"/>
  <c r="K13" i="12" a="1"/>
  <c r="K10" i="4" a="1"/>
  <c r="K139" i="8" a="1"/>
  <c r="K142" i="14" a="1"/>
  <c r="K111" i="16" a="1"/>
  <c r="K108" i="16" a="1"/>
  <c r="K90" i="4" a="1"/>
  <c r="K81" i="10" a="1"/>
  <c r="K27" i="10" a="1"/>
  <c r="K151" i="12" a="1"/>
  <c r="K28" i="16" a="1"/>
  <c r="K105" i="14" a="1"/>
  <c r="K7" i="2" a="1"/>
  <c r="K34" i="14" a="1"/>
  <c r="K32" i="14" a="1"/>
  <c r="K59" i="12" a="1"/>
  <c r="K16" i="3" a="1"/>
  <c r="K95" i="8" a="1"/>
  <c r="K80" i="2" a="1"/>
  <c r="K68" i="14" a="1"/>
  <c r="K72" i="10" a="1"/>
  <c r="K37" i="8" a="1"/>
  <c r="K124" i="6" a="1"/>
  <c r="K61" i="10" a="1"/>
  <c r="K46" i="4" a="1"/>
  <c r="K62" i="12" a="1"/>
  <c r="K76" i="8" a="1"/>
  <c r="K84" i="12" a="1"/>
  <c r="K34" i="12" a="1"/>
  <c r="K48" i="8" a="1"/>
  <c r="K20" i="6" a="1"/>
  <c r="K19" i="16" a="1"/>
  <c r="K58" i="12" a="1"/>
  <c r="K72" i="12" a="1"/>
  <c r="K101" i="12" a="1"/>
  <c r="K154" i="16" a="1"/>
  <c r="K82" i="12" a="1"/>
  <c r="K30" i="6" a="1"/>
  <c r="K155" i="4" a="1"/>
  <c r="K125" i="12" a="1"/>
  <c r="K108" i="14" a="1"/>
  <c r="K93" i="8" a="1"/>
  <c r="K78" i="12" a="1"/>
  <c r="K141" i="16" a="1"/>
  <c r="K8" i="12" a="1"/>
  <c r="K133" i="10" a="1"/>
  <c r="K115" i="4" a="1"/>
  <c r="K128" i="4" a="1"/>
  <c r="K127" i="10" a="1"/>
  <c r="K150" i="8" a="1"/>
  <c r="K100" i="2" a="1"/>
  <c r="K86" i="10" a="1"/>
  <c r="K78" i="4" a="1"/>
  <c r="K89" i="10" a="1"/>
  <c r="K44" i="8" a="1"/>
  <c r="K6" i="16" a="1"/>
  <c r="K49" i="8" a="1"/>
  <c r="K16" i="2" a="1"/>
  <c r="K125" i="4" a="1"/>
  <c r="K155" i="12" a="1"/>
  <c r="K113" i="12" a="1"/>
  <c r="K7" i="16" a="1"/>
  <c r="K88" i="2" a="1"/>
  <c r="K24" i="16" a="1"/>
  <c r="K30" i="4" a="1"/>
  <c r="K91" i="4" a="1"/>
  <c r="K112" i="4" a="1"/>
  <c r="K53" i="8" a="1"/>
  <c r="K111" i="10" a="1"/>
  <c r="K71" i="16" a="1"/>
  <c r="K117" i="14" a="1"/>
  <c r="K92" i="12" a="1"/>
  <c r="K69" i="14" a="1"/>
  <c r="K27" i="2" a="1"/>
  <c r="K114" i="16" a="1"/>
  <c r="K111" i="4" a="1"/>
  <c r="K101" i="10" a="1"/>
  <c r="K135" i="10" a="1"/>
  <c r="K99" i="14" a="1"/>
  <c r="K87" i="12" a="1"/>
  <c r="K151" i="6" a="1"/>
  <c r="K105" i="12" a="1"/>
  <c r="K96" i="4" a="1"/>
  <c r="K53" i="10" a="1"/>
  <c r="K48" i="14" a="1"/>
  <c r="K61" i="8" a="1"/>
  <c r="K142" i="2" a="1"/>
  <c r="K17" i="2" a="1"/>
  <c r="K105" i="8" a="1"/>
  <c r="K93" i="16" a="1"/>
  <c r="K67" i="4" a="1"/>
  <c r="K24" i="2" a="1"/>
  <c r="K86" i="4" a="1"/>
  <c r="K118" i="12" a="1"/>
  <c r="K47" i="10" a="1"/>
  <c r="K112" i="2" a="1"/>
  <c r="K7" i="8" a="1"/>
  <c r="K9" i="10" a="1"/>
  <c r="K89" i="8" a="1"/>
  <c r="K30" i="10" a="1"/>
  <c r="K23" i="14" a="1"/>
  <c r="K85" i="14" a="1"/>
  <c r="K154" i="2" a="1"/>
  <c r="K137" i="8" a="1"/>
  <c r="K86" i="16" a="1"/>
  <c r="K143" i="8" a="1"/>
  <c r="K134" i="12" a="1"/>
  <c r="K3" i="8" a="1"/>
  <c r="K54" i="6" a="1"/>
  <c r="K104" i="10" a="1"/>
  <c r="K144" i="16" a="1"/>
  <c r="K94" i="6" a="1"/>
  <c r="K15" i="8" a="1"/>
  <c r="K101" i="2" a="1"/>
  <c r="K97" i="16" a="1"/>
  <c r="K70" i="8" a="1"/>
  <c r="K117" i="12" a="1"/>
  <c r="K114" i="6" a="1"/>
  <c r="K38" i="10" a="1"/>
  <c r="K77" i="6" a="1"/>
  <c r="K122" i="16" a="1"/>
  <c r="K8" i="14" a="1"/>
  <c r="K46" i="16" a="1"/>
  <c r="K47" i="8" a="1"/>
  <c r="K11" i="4" a="1"/>
  <c r="K61" i="4" a="1"/>
  <c r="K113" i="16" a="1"/>
  <c r="K114" i="4" a="1"/>
  <c r="K2" i="4" a="1"/>
  <c r="K56" i="2" a="1"/>
  <c r="K151" i="2" a="1"/>
  <c r="K43" i="4" a="1"/>
  <c r="K151" i="14" a="1"/>
  <c r="K35" i="10" a="1"/>
  <c r="K125" i="8" a="1"/>
  <c r="K40" i="10" a="1"/>
  <c r="K62" i="4" a="1"/>
  <c r="K23" i="8" a="1"/>
  <c r="K116" i="6" a="1"/>
  <c r="K49" i="2" a="1"/>
  <c r="K27" i="14" a="1"/>
  <c r="K128" i="16" a="1"/>
  <c r="K52" i="4" a="1"/>
  <c r="K5" i="2" a="1"/>
  <c r="K138" i="4" a="1"/>
  <c r="K34" i="8" a="1"/>
  <c r="K71" i="4" a="1"/>
  <c r="K118" i="6" a="1"/>
  <c r="K54" i="2" a="1"/>
  <c r="K134" i="4" a="1"/>
  <c r="K64" i="4" a="1"/>
  <c r="K145" i="14" a="1"/>
  <c r="K22" i="8" a="1"/>
  <c r="K22" i="4" a="1"/>
  <c r="K44" i="4" a="1"/>
  <c r="K141" i="14" a="1"/>
  <c r="K147" i="8" a="1"/>
  <c r="K104" i="8" a="1"/>
  <c r="K15" i="10" a="1"/>
  <c r="K51" i="4" a="1"/>
  <c r="K155" i="6" a="1"/>
  <c r="K87" i="6" a="1"/>
  <c r="K37" i="2" a="1"/>
  <c r="K77" i="10" a="1"/>
  <c r="K59" i="16" a="1"/>
  <c r="K140" i="2" a="1"/>
  <c r="K119" i="14" a="1"/>
  <c r="K104" i="4" a="1"/>
  <c r="K142" i="4" a="1"/>
  <c r="K117" i="2" a="1"/>
  <c r="K46" i="6" a="1"/>
  <c r="K129" i="16" a="1"/>
  <c r="K108" i="4" a="1"/>
  <c r="K131" i="2" a="1"/>
  <c r="K49" i="10" a="1"/>
  <c r="K34" i="6" a="1"/>
  <c r="K122" i="6" a="1"/>
  <c r="K39" i="2" a="1"/>
  <c r="K131" i="14" a="1"/>
  <c r="K136" i="8" a="1"/>
  <c r="K83" i="8" a="1"/>
  <c r="K3" i="10" a="1"/>
  <c r="K40" i="4" a="1"/>
  <c r="K40" i="14" a="1"/>
  <c r="K45" i="6" a="1"/>
  <c r="K79" i="14" a="1"/>
  <c r="K152" i="8" a="1"/>
  <c r="K10" i="16" a="1"/>
  <c r="K92" i="2" a="1"/>
  <c r="K88" i="12" a="1"/>
  <c r="K141" i="2" a="1"/>
  <c r="K94" i="4" a="1"/>
  <c r="K55" i="2" a="1"/>
  <c r="K132" i="4" a="1"/>
  <c r="K132" i="2" a="1"/>
  <c r="K115" i="2" a="1"/>
  <c r="K119" i="16" a="1"/>
  <c r="K88" i="16" a="1"/>
  <c r="K42" i="2" a="1"/>
  <c r="K145" i="4" a="1"/>
  <c r="K2" i="12" a="1"/>
  <c r="K96" i="12" a="1"/>
  <c r="K115" i="8" a="1"/>
  <c r="K62" i="8" a="1"/>
  <c r="K132" i="8" a="1"/>
  <c r="K8" i="4" a="1"/>
  <c r="K43" i="12" a="1"/>
  <c r="K32" i="6" a="1"/>
  <c r="K130" i="12" a="1"/>
  <c r="K90" i="8" a="1"/>
  <c r="K122" i="14" a="1"/>
  <c r="K44" i="14" a="1"/>
  <c r="K58" i="10" a="1"/>
  <c r="K109" i="2" a="1"/>
  <c r="K25" i="4" a="1"/>
  <c r="K15" i="2" a="1"/>
  <c r="K63" i="4" a="1"/>
  <c r="K126" i="14" a="1"/>
  <c r="K57" i="2" a="1"/>
  <c r="K113" i="14" a="1"/>
  <c r="K38" i="8" a="1"/>
  <c r="K5" i="16" a="1"/>
  <c r="K59" i="2" a="1"/>
  <c r="K83" i="6" a="1"/>
  <c r="K86" i="12" a="1"/>
  <c r="K94" i="8" a="1"/>
  <c r="K41" i="8" a="1"/>
  <c r="K120" i="8" a="1"/>
  <c r="K153" i="2" a="1"/>
  <c r="K29" i="12" a="1"/>
  <c r="K82" i="16" a="1"/>
  <c r="K44" i="12" a="1"/>
  <c r="K75" i="8" a="1"/>
  <c r="K96" i="14" a="1"/>
  <c r="K60" i="12" a="1"/>
  <c r="K149" i="8" a="1"/>
  <c r="K79" i="2" a="1"/>
  <c r="K18" i="16" a="1"/>
  <c r="K110" i="16" a="1"/>
  <c r="K39" i="4" a="1"/>
  <c r="K43" i="10" a="1"/>
  <c r="K138" i="14" a="1"/>
  <c r="K122" i="12" a="1"/>
  <c r="K127" i="14" a="1"/>
  <c r="K112" i="14" a="1"/>
  <c r="K4" i="12" a="1"/>
  <c r="K54" i="14" a="1"/>
  <c r="K46" i="12" a="1"/>
  <c r="K146" i="4" a="1"/>
  <c r="K20" i="8" a="1"/>
  <c r="K24" i="8" a="1"/>
  <c r="K103" i="2" a="1"/>
  <c r="K100" i="10" a="1"/>
  <c r="K65" i="16" a="1"/>
  <c r="K113" i="10" a="1"/>
  <c r="K45" i="8" a="1"/>
  <c r="K76" i="14" a="1"/>
  <c r="K125" i="10" a="1"/>
  <c r="K110" i="8" a="1"/>
  <c r="K4" i="2" a="1"/>
  <c r="K67" i="14" a="1"/>
  <c r="K130" i="14" a="1"/>
  <c r="K14" i="4" a="1"/>
  <c r="K109" i="14" a="1"/>
  <c r="K77" i="4" a="1"/>
  <c r="K23" i="12" a="1"/>
  <c r="K139" i="10" a="1"/>
  <c r="K120" i="12" a="1"/>
  <c r="K93" i="6" a="1"/>
  <c r="K54" i="8" a="1"/>
  <c r="K151" i="10" a="1"/>
  <c r="K136" i="4" a="1"/>
  <c r="K154" i="6" a="1"/>
  <c r="K156" i="6" a="1"/>
  <c r="K93" i="2" a="1"/>
  <c r="K60" i="10" a="1"/>
  <c r="K152" i="14" a="1"/>
  <c r="K132" i="10" a="1"/>
  <c r="K141" i="6" a="1"/>
  <c r="K139" i="12" a="1"/>
  <c r="K86" i="8" a="1"/>
  <c r="K103" i="4" a="1"/>
  <c r="K123" i="16" a="1"/>
  <c r="K144" i="10" a="1"/>
  <c r="K55" i="12" a="1"/>
  <c r="K130" i="2" a="1"/>
  <c r="K70" i="12" a="1"/>
  <c r="K84" i="2" a="1"/>
  <c r="K98" i="6" a="1"/>
  <c r="K72" i="8" a="1"/>
  <c r="K136" i="6" a="1"/>
  <c r="K106" i="14" a="1"/>
  <c r="K126" i="4" a="1"/>
  <c r="K63" i="2" a="1"/>
  <c r="K135" i="14" a="1"/>
  <c r="K20" i="10" a="1"/>
  <c r="K150" i="6" a="1"/>
  <c r="K132" i="12" a="1"/>
  <c r="K8" i="10" a="1"/>
  <c r="K106" i="8" a="1"/>
  <c r="K50" i="4" a="1"/>
  <c r="K130" i="6" a="1"/>
  <c r="K27" i="4" a="1"/>
  <c r="K42" i="6" a="1"/>
  <c r="K109" i="12" a="1"/>
  <c r="K151" i="8" a="1"/>
  <c r="K91" i="8" a="1"/>
  <c r="K9" i="16" a="1"/>
  <c r="K153" i="6" a="1"/>
  <c r="K130" i="16" a="1"/>
  <c r="K41" i="2" a="1"/>
  <c r="K73" i="10" a="1"/>
  <c r="K55" i="8" a="1"/>
  <c r="K91" i="10" a="1"/>
  <c r="K27" i="12" a="1"/>
  <c r="K33" i="2" a="1"/>
  <c r="K63" i="10" a="1"/>
  <c r="K102" i="10" a="1"/>
  <c r="K150" i="4" a="1"/>
  <c r="K103" i="12" a="1"/>
  <c r="K14" i="12" a="1"/>
  <c r="K127" i="8" a="1"/>
  <c r="K32" i="8" a="1"/>
  <c r="K120" i="14" a="1"/>
  <c r="K67" i="8" a="1"/>
  <c r="K42" i="10" a="1"/>
  <c r="K9" i="14" a="1"/>
  <c r="K58" i="4" a="1"/>
  <c r="K71" i="10" a="1"/>
  <c r="K56" i="4" a="1"/>
  <c r="K75" i="12" a="1"/>
  <c r="K64" i="12" a="1"/>
  <c r="K17" i="8" a="1"/>
  <c r="K89" i="6" a="1"/>
  <c r="K27" i="8" a="1"/>
  <c r="K7" i="10" a="1"/>
  <c r="K33" i="12" a="1"/>
  <c r="K82" i="8" a="1"/>
  <c r="K47" i="12" a="1"/>
  <c r="K50" i="2" a="1"/>
  <c r="K37" i="14" a="1"/>
  <c r="K52" i="2" a="1"/>
  <c r="K17" i="14" a="1"/>
  <c r="K105" i="16" a="1"/>
  <c r="K153" i="14" a="1"/>
  <c r="K76" i="16" a="1"/>
  <c r="K124" i="12" a="1"/>
  <c r="K80" i="8" a="1"/>
  <c r="K32" i="10" a="1"/>
  <c r="K34" i="2" a="1"/>
  <c r="K67" i="6" a="1"/>
  <c r="K14" i="6" a="1"/>
  <c r="K152" i="2" a="1"/>
  <c r="K55" i="14" a="1"/>
  <c r="K84" i="16" a="1"/>
  <c r="K21" i="12" a="1"/>
  <c r="K58" i="6" a="1"/>
  <c r="K99" i="6" a="1"/>
  <c r="K68" i="12" a="1"/>
  <c r="K18" i="10" a="1"/>
  <c r="K25" i="12" a="1"/>
  <c r="K110" i="4" a="1"/>
  <c r="K133" i="4" a="1"/>
  <c r="K135" i="4" a="1"/>
  <c r="K78" i="14" a="1"/>
  <c r="K148" i="8" a="1"/>
  <c r="K69" i="10" a="1"/>
  <c r="K36" i="16" a="1"/>
  <c r="K89" i="12" a="1"/>
  <c r="K35" i="8" a="1"/>
  <c r="K2" i="6" a="1"/>
  <c r="K53" i="4" a="1"/>
  <c r="K41" i="4" a="1"/>
  <c r="K149" i="4" a="1"/>
  <c r="K109" i="10" a="1"/>
  <c r="K26" i="16" a="1"/>
  <c r="K65" i="12" a="1"/>
  <c r="K126" i="10" a="1"/>
  <c r="K12" i="8" a="1"/>
  <c r="K134" i="10" a="1"/>
  <c r="K98" i="10" a="1"/>
  <c r="K102" i="4" a="1"/>
  <c r="K86" i="2" a="1"/>
  <c r="K88" i="6" a="1"/>
  <c r="K130" i="8" a="1"/>
  <c r="K145" i="8" a="1"/>
  <c r="K84" i="14" a="1"/>
  <c r="K103" i="8" a="1"/>
  <c r="K69" i="2" a="1"/>
  <c r="K155" i="2" a="1"/>
  <c r="K67" i="2" a="1"/>
  <c r="K43" i="14" a="1"/>
  <c r="K21" i="10" l="1"/>
  <c r="K16" i="9"/>
  <c r="K21" i="8"/>
  <c r="K18" i="7"/>
  <c r="K17" i="6"/>
  <c r="K18" i="5"/>
  <c r="K17" i="4"/>
  <c r="K16" i="3"/>
  <c r="K14" i="2"/>
  <c r="K3" i="7"/>
  <c r="K53" i="8"/>
  <c r="K10" i="2"/>
  <c r="K54" i="8"/>
  <c r="K54" i="14"/>
  <c r="K83" i="6"/>
  <c r="K146" i="2"/>
  <c r="K2" i="12"/>
  <c r="K39" i="2"/>
  <c r="K97" i="8"/>
  <c r="K147" i="2"/>
  <c r="K150" i="2"/>
  <c r="K98" i="8"/>
  <c r="K107" i="14"/>
  <c r="K21" i="4"/>
  <c r="K121" i="6"/>
  <c r="K128" i="8"/>
  <c r="K148" i="14"/>
  <c r="K66" i="2"/>
  <c r="K148" i="4"/>
  <c r="K135" i="6"/>
  <c r="K41" i="16"/>
  <c r="K44" i="4"/>
  <c r="K23" i="6"/>
  <c r="K52" i="16"/>
  <c r="K43" i="14"/>
  <c r="K81" i="4"/>
  <c r="K109" i="10"/>
  <c r="K93" i="8"/>
  <c r="K55" i="14"/>
  <c r="K96" i="8"/>
  <c r="K52" i="12"/>
  <c r="K147" i="4"/>
  <c r="K153" i="14"/>
  <c r="K124" i="6"/>
  <c r="K23" i="4"/>
  <c r="K102" i="12"/>
  <c r="K7" i="8"/>
  <c r="K103" i="12"/>
  <c r="K105" i="12"/>
  <c r="K25" i="6"/>
  <c r="K14" i="8"/>
  <c r="K149" i="12"/>
  <c r="K152" i="12"/>
  <c r="K79" i="4"/>
  <c r="K49" i="6"/>
  <c r="K120" i="2"/>
  <c r="K60" i="6"/>
  <c r="K112" i="10"/>
  <c r="K111" i="4"/>
  <c r="K100" i="14"/>
  <c r="K90" i="6"/>
  <c r="K3" i="12"/>
  <c r="K112" i="4"/>
  <c r="K106" i="14"/>
  <c r="K40" i="2"/>
  <c r="K113" i="4"/>
  <c r="K93" i="6"/>
  <c r="K4" i="12"/>
  <c r="K59" i="2"/>
  <c r="K145" i="4"/>
  <c r="K122" i="6"/>
  <c r="K22" i="4"/>
  <c r="K54" i="12"/>
  <c r="K135" i="8"/>
  <c r="K67" i="2"/>
  <c r="K10" i="10"/>
  <c r="K22" i="6"/>
  <c r="K90" i="2"/>
  <c r="K51" i="16"/>
  <c r="K54" i="4"/>
  <c r="K25" i="10"/>
  <c r="K91" i="2"/>
  <c r="K65" i="10"/>
  <c r="K91" i="16"/>
  <c r="K55" i="4"/>
  <c r="K67" i="10"/>
  <c r="K9" i="2"/>
  <c r="K119" i="2"/>
  <c r="K80" i="4"/>
  <c r="K44" i="8"/>
  <c r="K69" i="10"/>
  <c r="K8" i="14"/>
  <c r="K105" i="16"/>
  <c r="K137" i="8"/>
  <c r="K59" i="12"/>
  <c r="K96" i="2"/>
  <c r="K90" i="4"/>
  <c r="K55" i="8"/>
  <c r="K26" i="10"/>
  <c r="K5" i="12"/>
  <c r="K4" i="16"/>
  <c r="K57" i="4"/>
  <c r="K91" i="4"/>
  <c r="K136" i="6"/>
  <c r="K99" i="8"/>
  <c r="K28" i="10"/>
  <c r="K120" i="12"/>
  <c r="K58" i="14"/>
  <c r="K60" i="16"/>
  <c r="K70" i="2"/>
  <c r="K128" i="2"/>
  <c r="K123" i="4"/>
  <c r="K27" i="6"/>
  <c r="K60" i="8"/>
  <c r="K71" i="12"/>
  <c r="K15" i="14"/>
  <c r="K112" i="14"/>
  <c r="K5" i="16"/>
  <c r="K42" i="2"/>
  <c r="K129" i="2"/>
  <c r="K92" i="4"/>
  <c r="K124" i="4"/>
  <c r="K34" i="6"/>
  <c r="K22" i="8"/>
  <c r="K100" i="8"/>
  <c r="K74" i="10"/>
  <c r="K62" i="16"/>
  <c r="K71" i="2"/>
  <c r="K155" i="2"/>
  <c r="K61" i="4"/>
  <c r="K148" i="8"/>
  <c r="K72" i="12"/>
  <c r="K17" i="14"/>
  <c r="K20" i="16"/>
  <c r="K21" i="2"/>
  <c r="K104" i="2"/>
  <c r="K3" i="4"/>
  <c r="K93" i="4"/>
  <c r="K5" i="6"/>
  <c r="K66" i="6"/>
  <c r="K155" i="8"/>
  <c r="K88" i="10"/>
  <c r="K77" i="14"/>
  <c r="K66" i="8"/>
  <c r="K136" i="10"/>
  <c r="K65" i="4"/>
  <c r="K6" i="6"/>
  <c r="K37" i="8"/>
  <c r="K32" i="14"/>
  <c r="K24" i="2"/>
  <c r="K10" i="4"/>
  <c r="K42" i="6"/>
  <c r="K150" i="6"/>
  <c r="K72" i="8"/>
  <c r="K139" i="10"/>
  <c r="K129" i="12"/>
  <c r="K127" i="14"/>
  <c r="K38" i="8"/>
  <c r="K88" i="16"/>
  <c r="K82" i="2"/>
  <c r="K12" i="6"/>
  <c r="K113" i="6"/>
  <c r="K49" i="10"/>
  <c r="K140" i="10"/>
  <c r="K137" i="16"/>
  <c r="K42" i="4"/>
  <c r="K100" i="4"/>
  <c r="K79" i="8"/>
  <c r="K89" i="16"/>
  <c r="K117" i="6"/>
  <c r="K121" i="8"/>
  <c r="K55" i="10"/>
  <c r="K38" i="12"/>
  <c r="K145" i="14"/>
  <c r="K138" i="16"/>
  <c r="K107" i="12"/>
  <c r="K11" i="2"/>
  <c r="K69" i="2"/>
  <c r="K149" i="4"/>
  <c r="K26" i="6"/>
  <c r="K62" i="6"/>
  <c r="K119" i="10"/>
  <c r="K108" i="14"/>
  <c r="K152" i="2"/>
  <c r="K95" i="6"/>
  <c r="K141" i="8"/>
  <c r="K101" i="2"/>
  <c r="K154" i="2"/>
  <c r="K58" i="4"/>
  <c r="K150" i="4"/>
  <c r="K73" i="10"/>
  <c r="K15" i="12"/>
  <c r="K121" i="12"/>
  <c r="K62" i="14"/>
  <c r="K20" i="2"/>
  <c r="K28" i="4"/>
  <c r="K152" i="4"/>
  <c r="K65" i="6"/>
  <c r="K137" i="6"/>
  <c r="K64" i="8"/>
  <c r="K33" i="10"/>
  <c r="K124" i="10"/>
  <c r="K17" i="12"/>
  <c r="K114" i="16"/>
  <c r="K44" i="2"/>
  <c r="K102" i="2"/>
  <c r="K30" i="4"/>
  <c r="K98" i="6"/>
  <c r="K23" i="12"/>
  <c r="K122" i="12"/>
  <c r="K113" i="14"/>
  <c r="K119" i="16"/>
  <c r="K131" i="2"/>
  <c r="K64" i="4"/>
  <c r="K125" i="4"/>
  <c r="K38" i="6"/>
  <c r="K105" i="6"/>
  <c r="K103" i="8"/>
  <c r="K69" i="16"/>
  <c r="K51" i="2"/>
  <c r="K9" i="4"/>
  <c r="K75" i="6"/>
  <c r="K139" i="6"/>
  <c r="K32" i="12"/>
  <c r="K128" i="12"/>
  <c r="K70" i="16"/>
  <c r="K105" i="2"/>
  <c r="K98" i="4"/>
  <c r="K39" i="6"/>
  <c r="K110" i="6"/>
  <c r="K4" i="10"/>
  <c r="K89" i="10"/>
  <c r="K78" i="14"/>
  <c r="K122" i="16"/>
  <c r="K52" i="2"/>
  <c r="K8" i="6"/>
  <c r="K33" i="12"/>
  <c r="K34" i="14"/>
  <c r="K67" i="4"/>
  <c r="K111" i="6"/>
  <c r="K135" i="2"/>
  <c r="K43" i="6"/>
  <c r="K151" i="6"/>
  <c r="K93" i="10"/>
  <c r="K37" i="12"/>
  <c r="K35" i="14"/>
  <c r="K24" i="16"/>
  <c r="K84" i="2"/>
  <c r="K77" i="4"/>
  <c r="K80" i="6"/>
  <c r="K152" i="6"/>
  <c r="K39" i="8"/>
  <c r="K6" i="10"/>
  <c r="K95" i="10"/>
  <c r="K142" i="10"/>
  <c r="K85" i="12"/>
  <c r="K141" i="12"/>
  <c r="K38" i="14"/>
  <c r="K138" i="14"/>
  <c r="K39" i="16"/>
  <c r="K6" i="2"/>
  <c r="K29" i="2"/>
  <c r="K57" i="2"/>
  <c r="K115" i="2"/>
  <c r="K144" i="2"/>
  <c r="K12" i="4"/>
  <c r="K108" i="4"/>
  <c r="K134" i="4"/>
  <c r="K13" i="6"/>
  <c r="K85" i="2"/>
  <c r="K43" i="4"/>
  <c r="K78" i="4"/>
  <c r="K135" i="4"/>
  <c r="K14" i="6"/>
  <c r="K48" i="6"/>
  <c r="K82" i="6"/>
  <c r="K5" i="8"/>
  <c r="K40" i="8"/>
  <c r="K99" i="10"/>
  <c r="K39" i="12"/>
  <c r="K100" i="12"/>
  <c r="K144" i="12"/>
  <c r="K42" i="14"/>
  <c r="K90" i="14"/>
  <c r="K40" i="16"/>
  <c r="K90" i="16"/>
  <c r="K57" i="14"/>
  <c r="K121" i="2"/>
  <c r="K24" i="4"/>
  <c r="K15" i="8"/>
  <c r="K72" i="10"/>
  <c r="K9" i="14"/>
  <c r="K108" i="16"/>
  <c r="K41" i="2"/>
  <c r="K27" i="4"/>
  <c r="K120" i="4"/>
  <c r="K64" i="6"/>
  <c r="K70" i="12"/>
  <c r="K109" i="14"/>
  <c r="K77" i="2"/>
  <c r="K31" i="4"/>
  <c r="K25" i="8"/>
  <c r="K43" i="10"/>
  <c r="K126" i="14"/>
  <c r="K21" i="16"/>
  <c r="K22" i="2"/>
  <c r="K132" i="2"/>
  <c r="K127" i="4"/>
  <c r="K113" i="8"/>
  <c r="K72" i="16"/>
  <c r="K81" i="2"/>
  <c r="K134" i="2"/>
  <c r="K38" i="4"/>
  <c r="K76" i="6"/>
  <c r="K114" i="8"/>
  <c r="K44" i="10"/>
  <c r="K129" i="16"/>
  <c r="K54" i="2"/>
  <c r="K106" i="2"/>
  <c r="K99" i="4"/>
  <c r="K118" i="8"/>
  <c r="K5" i="10"/>
  <c r="K83" i="12"/>
  <c r="K84" i="14"/>
  <c r="K28" i="2"/>
  <c r="K114" i="2"/>
  <c r="K11" i="4"/>
  <c r="K133" i="4"/>
  <c r="K77" i="6"/>
  <c r="K84" i="12"/>
  <c r="K85" i="14"/>
  <c r="K7" i="2"/>
  <c r="K30" i="2"/>
  <c r="K58" i="2"/>
  <c r="K116" i="2"/>
  <c r="K145" i="2"/>
  <c r="K13" i="4"/>
  <c r="K109" i="4"/>
  <c r="K81" i="8"/>
  <c r="K126" i="8"/>
  <c r="K56" i="10"/>
  <c r="K92" i="14"/>
  <c r="K147" i="14"/>
  <c r="K139" i="16"/>
  <c r="K48" i="12"/>
  <c r="K74" i="12"/>
  <c r="K142" i="12"/>
  <c r="K93" i="16"/>
  <c r="K130" i="16"/>
  <c r="K27" i="2"/>
  <c r="K88" i="2"/>
  <c r="K130" i="2"/>
  <c r="K14" i="4"/>
  <c r="K39" i="4"/>
  <c r="K63" i="4"/>
  <c r="K82" i="4"/>
  <c r="K132" i="4"/>
  <c r="K46" i="6"/>
  <c r="K118" i="6"/>
  <c r="K140" i="6"/>
  <c r="K43" i="8"/>
  <c r="K74" i="8"/>
  <c r="K134" i="8"/>
  <c r="K36" i="10"/>
  <c r="K70" i="10"/>
  <c r="K137" i="10"/>
  <c r="K10" i="12"/>
  <c r="K108" i="12"/>
  <c r="K20" i="14"/>
  <c r="K56" i="14"/>
  <c r="K86" i="14"/>
  <c r="K8" i="2"/>
  <c r="K45" i="2"/>
  <c r="K68" i="2"/>
  <c r="K89" i="2"/>
  <c r="K107" i="2"/>
  <c r="K151" i="2"/>
  <c r="K41" i="4"/>
  <c r="K110" i="4"/>
  <c r="K153" i="4"/>
  <c r="K24" i="6"/>
  <c r="K47" i="6"/>
  <c r="K67" i="6"/>
  <c r="K94" i="6"/>
  <c r="K149" i="6"/>
  <c r="K102" i="8"/>
  <c r="K7" i="10"/>
  <c r="K42" i="10"/>
  <c r="K102" i="10"/>
  <c r="K13" i="12"/>
  <c r="K51" i="12"/>
  <c r="K79" i="12"/>
  <c r="K143" i="12"/>
  <c r="K22" i="14"/>
  <c r="K89" i="14"/>
  <c r="K125" i="14"/>
  <c r="K155" i="14"/>
  <c r="K37" i="16"/>
  <c r="K68" i="16"/>
  <c r="K94" i="16"/>
  <c r="K131" i="16"/>
  <c r="K141" i="4"/>
  <c r="K55" i="6"/>
  <c r="K130" i="6"/>
  <c r="K84" i="8"/>
  <c r="K142" i="8"/>
  <c r="K20" i="10"/>
  <c r="K55" i="12"/>
  <c r="K130" i="14"/>
  <c r="K110" i="16"/>
  <c r="K15" i="2"/>
  <c r="K55" i="2"/>
  <c r="K117" i="2"/>
  <c r="K71" i="4"/>
  <c r="K78" i="6"/>
  <c r="K56" i="8"/>
  <c r="K50" i="10"/>
  <c r="K117" i="10"/>
  <c r="K123" i="12"/>
  <c r="K132" i="14"/>
  <c r="K42" i="16"/>
  <c r="K97" i="2"/>
  <c r="K138" i="2"/>
  <c r="K119" i="4"/>
  <c r="K33" i="6"/>
  <c r="K56" i="6"/>
  <c r="K104" i="6"/>
  <c r="K134" i="6"/>
  <c r="K57" i="8"/>
  <c r="K85" i="8"/>
  <c r="K117" i="8"/>
  <c r="K145" i="8"/>
  <c r="K86" i="10"/>
  <c r="K25" i="12"/>
  <c r="K58" i="12"/>
  <c r="K7" i="14"/>
  <c r="K37" i="14"/>
  <c r="K68" i="14"/>
  <c r="K105" i="14"/>
  <c r="K136" i="14"/>
  <c r="K44" i="16"/>
  <c r="K83" i="16"/>
  <c r="K111" i="16"/>
  <c r="K153" i="6"/>
  <c r="K75" i="10"/>
  <c r="K24" i="12"/>
  <c r="K104" i="14"/>
  <c r="K74" i="16"/>
  <c r="K35" i="2"/>
  <c r="K4" i="4"/>
  <c r="K48" i="4"/>
  <c r="K117" i="4"/>
  <c r="K9" i="6"/>
  <c r="K103" i="6"/>
  <c r="K26" i="8"/>
  <c r="K116" i="8"/>
  <c r="K22" i="10"/>
  <c r="K76" i="10"/>
  <c r="K144" i="10"/>
  <c r="K57" i="12"/>
  <c r="K93" i="12"/>
  <c r="K154" i="12"/>
  <c r="K67" i="14"/>
  <c r="K18" i="16"/>
  <c r="K142" i="16"/>
  <c r="K76" i="2"/>
  <c r="K25" i="4"/>
  <c r="K94" i="4"/>
  <c r="K142" i="4"/>
  <c r="K34" i="8"/>
  <c r="K16" i="2"/>
  <c r="K38" i="2"/>
  <c r="K56" i="2"/>
  <c r="K100" i="2"/>
  <c r="K118" i="2"/>
  <c r="K139" i="2"/>
  <c r="K7" i="4"/>
  <c r="K49" i="4"/>
  <c r="K97" i="4"/>
  <c r="K10" i="6"/>
  <c r="K59" i="6"/>
  <c r="K79" i="6"/>
  <c r="K2" i="8"/>
  <c r="K36" i="8"/>
  <c r="K23" i="10"/>
  <c r="K52" i="10"/>
  <c r="K118" i="10"/>
  <c r="K145" i="10"/>
  <c r="K94" i="12"/>
  <c r="K125" i="12"/>
  <c r="K19" i="16"/>
  <c r="K144" i="16"/>
  <c r="K27" i="8"/>
  <c r="K67" i="8"/>
  <c r="K105" i="8"/>
  <c r="K11" i="10"/>
  <c r="K87" i="12"/>
  <c r="K69" i="14"/>
  <c r="K7" i="16"/>
  <c r="K53" i="16"/>
  <c r="K75" i="16"/>
  <c r="K95" i="16"/>
  <c r="K123" i="16"/>
  <c r="K4" i="2"/>
  <c r="K46" i="2"/>
  <c r="K94" i="2"/>
  <c r="K68" i="4"/>
  <c r="K35" i="6"/>
  <c r="K106" i="6"/>
  <c r="K28" i="8"/>
  <c r="K110" i="12"/>
  <c r="K24" i="14"/>
  <c r="K70" i="14"/>
  <c r="K54" i="16"/>
  <c r="K147" i="16"/>
  <c r="K18" i="2"/>
  <c r="K79" i="2"/>
  <c r="K109" i="2"/>
  <c r="K141" i="2"/>
  <c r="K16" i="4"/>
  <c r="K35" i="4"/>
  <c r="K69" i="4"/>
  <c r="K104" i="4"/>
  <c r="K138" i="4"/>
  <c r="K36" i="6"/>
  <c r="K69" i="6"/>
  <c r="K88" i="8"/>
  <c r="K111" i="8"/>
  <c r="K130" i="8"/>
  <c r="K150" i="8"/>
  <c r="K18" i="10"/>
  <c r="K38" i="10"/>
  <c r="K59" i="10"/>
  <c r="K154" i="10"/>
  <c r="K20" i="12"/>
  <c r="K41" i="12"/>
  <c r="K138" i="12"/>
  <c r="K3" i="14"/>
  <c r="K25" i="14"/>
  <c r="K50" i="14"/>
  <c r="K94" i="14"/>
  <c r="K140" i="14"/>
  <c r="K34" i="16"/>
  <c r="K78" i="16"/>
  <c r="K103" i="16"/>
  <c r="K124" i="16"/>
  <c r="K8" i="8"/>
  <c r="K104" i="10"/>
  <c r="K23" i="14"/>
  <c r="K28" i="16"/>
  <c r="K17" i="2"/>
  <c r="K62" i="2"/>
  <c r="K50" i="4"/>
  <c r="K83" i="4"/>
  <c r="K103" i="4"/>
  <c r="K50" i="6"/>
  <c r="K110" i="8"/>
  <c r="K149" i="8"/>
  <c r="K58" i="10"/>
  <c r="K153" i="10"/>
  <c r="K40" i="12"/>
  <c r="K49" i="14"/>
  <c r="K93" i="14"/>
  <c r="K145" i="16"/>
  <c r="K78" i="2"/>
  <c r="K126" i="2"/>
  <c r="K34" i="4"/>
  <c r="K85" i="4"/>
  <c r="K154" i="4"/>
  <c r="K68" i="6"/>
  <c r="K147" i="6"/>
  <c r="K68" i="8"/>
  <c r="K105" i="10"/>
  <c r="K88" i="12"/>
  <c r="K119" i="14"/>
  <c r="K33" i="16"/>
  <c r="K5" i="2"/>
  <c r="K32" i="2"/>
  <c r="K47" i="2"/>
  <c r="K65" i="2"/>
  <c r="K95" i="2"/>
  <c r="K127" i="2"/>
  <c r="K2" i="4"/>
  <c r="K53" i="4"/>
  <c r="K87" i="4"/>
  <c r="K122" i="4"/>
  <c r="K155" i="4"/>
  <c r="K20" i="6"/>
  <c r="K54" i="6"/>
  <c r="K89" i="6"/>
  <c r="K107" i="6"/>
  <c r="K126" i="6"/>
  <c r="K148" i="6"/>
  <c r="K11" i="8"/>
  <c r="K29" i="8"/>
  <c r="K51" i="8"/>
  <c r="K69" i="8"/>
  <c r="K112" i="8"/>
  <c r="K85" i="10"/>
  <c r="K106" i="10"/>
  <c r="K128" i="10"/>
  <c r="K69" i="12"/>
  <c r="K90" i="12"/>
  <c r="K111" i="12"/>
  <c r="K53" i="14"/>
  <c r="K73" i="14"/>
  <c r="K120" i="14"/>
  <c r="K142" i="14"/>
  <c r="K9" i="16"/>
  <c r="K55" i="16"/>
  <c r="K148" i="16"/>
  <c r="K86" i="8"/>
  <c r="K125" i="10"/>
  <c r="K60" i="12"/>
  <c r="K44" i="14"/>
  <c r="K2" i="2"/>
  <c r="K92" i="2"/>
  <c r="K140" i="2"/>
  <c r="K15" i="4"/>
  <c r="K137" i="4"/>
  <c r="K87" i="8"/>
  <c r="K129" i="8"/>
  <c r="K17" i="10"/>
  <c r="K37" i="10"/>
  <c r="K18" i="12"/>
  <c r="K2" i="14"/>
  <c r="K139" i="14"/>
  <c r="K77" i="16"/>
  <c r="K102" i="16"/>
  <c r="K31" i="2"/>
  <c r="K64" i="2"/>
  <c r="K108" i="2"/>
  <c r="K156" i="2"/>
  <c r="K52" i="4"/>
  <c r="K121" i="4"/>
  <c r="K19" i="6"/>
  <c r="K53" i="6"/>
  <c r="K88" i="6"/>
  <c r="K125" i="6"/>
  <c r="K9" i="8"/>
  <c r="K50" i="8"/>
  <c r="K84" i="10"/>
  <c r="K127" i="10"/>
  <c r="K68" i="12"/>
  <c r="K8" i="16"/>
  <c r="K19" i="2"/>
  <c r="K34" i="2"/>
  <c r="K50" i="2"/>
  <c r="K80" i="2"/>
  <c r="K112" i="2"/>
  <c r="K142" i="2"/>
  <c r="K37" i="4"/>
  <c r="K70" i="4"/>
  <c r="K105" i="4"/>
  <c r="K139" i="4"/>
  <c r="K4" i="6"/>
  <c r="K37" i="6"/>
  <c r="K73" i="6"/>
  <c r="K109" i="6"/>
  <c r="K127" i="6"/>
  <c r="K13" i="8"/>
  <c r="K30" i="8"/>
  <c r="K71" i="8"/>
  <c r="K133" i="8"/>
  <c r="K19" i="10"/>
  <c r="K108" i="10"/>
  <c r="K129" i="10"/>
  <c r="K155" i="10"/>
  <c r="K92" i="12"/>
  <c r="K113" i="12"/>
  <c r="K139" i="12"/>
  <c r="K76" i="14"/>
  <c r="K96" i="14"/>
  <c r="K122" i="14"/>
  <c r="K10" i="16"/>
  <c r="K35" i="16"/>
  <c r="K59" i="16"/>
  <c r="K128" i="16"/>
  <c r="K149" i="16"/>
  <c r="K16" i="8"/>
  <c r="K12" i="10"/>
  <c r="K62" i="10"/>
  <c r="K96" i="10"/>
  <c r="K95" i="12"/>
  <c r="K114" i="14"/>
  <c r="K47" i="16"/>
  <c r="K63" i="16"/>
  <c r="K80" i="16"/>
  <c r="K36" i="2"/>
  <c r="K60" i="2"/>
  <c r="K72" i="2"/>
  <c r="K110" i="2"/>
  <c r="K122" i="2"/>
  <c r="K5" i="4"/>
  <c r="K59" i="4"/>
  <c r="K72" i="4"/>
  <c r="K114" i="4"/>
  <c r="K128" i="4"/>
  <c r="K15" i="6"/>
  <c r="K28" i="6"/>
  <c r="K70" i="6"/>
  <c r="K84" i="6"/>
  <c r="K99" i="6"/>
  <c r="K114" i="6"/>
  <c r="K128" i="6"/>
  <c r="K142" i="6"/>
  <c r="K3" i="8"/>
  <c r="K17" i="8"/>
  <c r="K32" i="8"/>
  <c r="K61" i="8"/>
  <c r="K91" i="8"/>
  <c r="K106" i="8"/>
  <c r="K138" i="8"/>
  <c r="K130" i="10"/>
  <c r="K147" i="10"/>
  <c r="K11" i="12"/>
  <c r="K28" i="12"/>
  <c r="K61" i="12"/>
  <c r="K97" i="12"/>
  <c r="K114" i="12"/>
  <c r="K150" i="12"/>
  <c r="K10" i="14"/>
  <c r="K45" i="14"/>
  <c r="K97" i="14"/>
  <c r="K133" i="14"/>
  <c r="K149" i="14"/>
  <c r="K29" i="16"/>
  <c r="K115" i="16"/>
  <c r="K133" i="16"/>
  <c r="K141" i="6"/>
  <c r="K45" i="8"/>
  <c r="K75" i="8"/>
  <c r="K90" i="8"/>
  <c r="K152" i="8"/>
  <c r="K77" i="10"/>
  <c r="K80" i="12"/>
  <c r="K27" i="14"/>
  <c r="K11" i="16"/>
  <c r="K98" i="16"/>
  <c r="K12" i="2"/>
  <c r="K25" i="2"/>
  <c r="K48" i="2"/>
  <c r="K74" i="2"/>
  <c r="K86" i="2"/>
  <c r="K98" i="2"/>
  <c r="K124" i="2"/>
  <c r="K136" i="2"/>
  <c r="K148" i="2"/>
  <c r="K19" i="4"/>
  <c r="K32" i="4"/>
  <c r="K45" i="4"/>
  <c r="K74" i="4"/>
  <c r="K88" i="4"/>
  <c r="K101" i="4"/>
  <c r="K130" i="4"/>
  <c r="K143" i="4"/>
  <c r="K2" i="6"/>
  <c r="K30" i="6"/>
  <c r="K44" i="6"/>
  <c r="K57" i="6"/>
  <c r="K86" i="6"/>
  <c r="K145" i="6"/>
  <c r="K48" i="8"/>
  <c r="K76" i="8"/>
  <c r="K123" i="8"/>
  <c r="K153" i="8"/>
  <c r="K30" i="10"/>
  <c r="K47" i="10"/>
  <c r="K63" i="10"/>
  <c r="K82" i="10"/>
  <c r="K97" i="10"/>
  <c r="K114" i="10"/>
  <c r="K132" i="10"/>
  <c r="K150" i="10"/>
  <c r="K45" i="12"/>
  <c r="K81" i="12"/>
  <c r="K98" i="12"/>
  <c r="K133" i="12"/>
  <c r="K12" i="14"/>
  <c r="K29" i="14"/>
  <c r="K47" i="14"/>
  <c r="K65" i="14"/>
  <c r="K80" i="14"/>
  <c r="K12" i="16"/>
  <c r="K31" i="16"/>
  <c r="K48" i="16"/>
  <c r="K64" i="16"/>
  <c r="K151" i="16"/>
  <c r="K45" i="10"/>
  <c r="K113" i="10"/>
  <c r="K44" i="12"/>
  <c r="K130" i="12"/>
  <c r="K79" i="14"/>
  <c r="K37" i="2"/>
  <c r="K49" i="2"/>
  <c r="K61" i="2"/>
  <c r="K99" i="2"/>
  <c r="K111" i="2"/>
  <c r="K149" i="2"/>
  <c r="K6" i="4"/>
  <c r="K47" i="4"/>
  <c r="K60" i="4"/>
  <c r="K102" i="4"/>
  <c r="K115" i="4"/>
  <c r="K3" i="6"/>
  <c r="K16" i="6"/>
  <c r="K58" i="6"/>
  <c r="K72" i="6"/>
  <c r="K100" i="6"/>
  <c r="K129" i="6"/>
  <c r="K4" i="8"/>
  <c r="K33" i="8"/>
  <c r="K63" i="8"/>
  <c r="K92" i="8"/>
  <c r="K109" i="8"/>
  <c r="K154" i="8"/>
  <c r="K16" i="10"/>
  <c r="K32" i="10"/>
  <c r="K48" i="10"/>
  <c r="K116" i="10"/>
  <c r="K152" i="10"/>
  <c r="K12" i="12"/>
  <c r="K47" i="12"/>
  <c r="K64" i="12"/>
  <c r="K99" i="12"/>
  <c r="K115" i="12"/>
  <c r="K151" i="12"/>
  <c r="K48" i="14"/>
  <c r="K99" i="14"/>
  <c r="K117" i="14"/>
  <c r="K135" i="14"/>
  <c r="K152" i="14"/>
  <c r="K65" i="16"/>
  <c r="K82" i="16"/>
  <c r="K101" i="16"/>
  <c r="K118" i="16"/>
  <c r="K152" i="16"/>
  <c r="K29" i="10"/>
  <c r="K63" i="14"/>
  <c r="K26" i="2"/>
  <c r="K75" i="2"/>
  <c r="K87" i="2"/>
  <c r="K125" i="2"/>
  <c r="K137" i="2"/>
  <c r="K20" i="4"/>
  <c r="K33" i="4"/>
  <c r="K75" i="4"/>
  <c r="K89" i="4"/>
  <c r="K131" i="4"/>
  <c r="K144" i="4"/>
  <c r="K32" i="6"/>
  <c r="K45" i="6"/>
  <c r="K87" i="6"/>
  <c r="K116" i="6"/>
  <c r="K146" i="6"/>
  <c r="K19" i="8"/>
  <c r="K49" i="8"/>
  <c r="K78" i="8"/>
  <c r="K124" i="8"/>
  <c r="K140" i="8"/>
  <c r="K64" i="10"/>
  <c r="K83" i="10"/>
  <c r="K98" i="10"/>
  <c r="K133" i="10"/>
  <c r="K31" i="12"/>
  <c r="K67" i="12"/>
  <c r="K82" i="12"/>
  <c r="K117" i="12"/>
  <c r="K134" i="12"/>
  <c r="K14" i="14"/>
  <c r="K30" i="14"/>
  <c r="K66" i="14"/>
  <c r="K83" i="14"/>
  <c r="K13" i="16"/>
  <c r="K32" i="16"/>
  <c r="K49" i="16"/>
  <c r="K67" i="16"/>
  <c r="K135" i="16"/>
  <c r="K92" i="6"/>
  <c r="K115" i="6"/>
  <c r="K138" i="6"/>
  <c r="K6" i="8"/>
  <c r="K18" i="8"/>
  <c r="K42" i="8"/>
  <c r="K65" i="8"/>
  <c r="K77" i="8"/>
  <c r="K89" i="8"/>
  <c r="K127" i="8"/>
  <c r="K139" i="8"/>
  <c r="K151" i="8"/>
  <c r="K8" i="10"/>
  <c r="K34" i="10"/>
  <c r="K60" i="10"/>
  <c r="K100" i="10"/>
  <c r="K143" i="10"/>
  <c r="K156" i="10"/>
  <c r="K29" i="12"/>
  <c r="K43" i="12"/>
  <c r="K127" i="12"/>
  <c r="K140" i="12"/>
  <c r="K153" i="12"/>
  <c r="K26" i="14"/>
  <c r="K40" i="14"/>
  <c r="K82" i="14"/>
  <c r="K124" i="14"/>
  <c r="K137" i="14"/>
  <c r="K150" i="14"/>
  <c r="K23" i="16"/>
  <c r="K79" i="16"/>
  <c r="K92" i="16"/>
  <c r="K107" i="16"/>
  <c r="K121" i="16"/>
  <c r="K134" i="16"/>
  <c r="K150" i="16"/>
  <c r="K96" i="6"/>
  <c r="K119" i="6"/>
  <c r="K155" i="6"/>
  <c r="K23" i="8"/>
  <c r="K46" i="8"/>
  <c r="K58" i="8"/>
  <c r="K107" i="8"/>
  <c r="K119" i="8"/>
  <c r="K131" i="8"/>
  <c r="K14" i="10"/>
  <c r="K39" i="10"/>
  <c r="K78" i="10"/>
  <c r="K134" i="10"/>
  <c r="K8" i="12"/>
  <c r="K21" i="12"/>
  <c r="K34" i="12"/>
  <c r="K62" i="12"/>
  <c r="K75" i="12"/>
  <c r="K118" i="12"/>
  <c r="K131" i="12"/>
  <c r="K4" i="14"/>
  <c r="K18" i="14"/>
  <c r="K102" i="14"/>
  <c r="K115" i="14"/>
  <c r="K128" i="14"/>
  <c r="K143" i="14"/>
  <c r="K156" i="14"/>
  <c r="K15" i="16"/>
  <c r="K57" i="16"/>
  <c r="K99" i="16"/>
  <c r="K112" i="16"/>
  <c r="K125" i="16"/>
  <c r="K153" i="16"/>
  <c r="K3" i="2"/>
  <c r="K13" i="2"/>
  <c r="K23" i="2"/>
  <c r="K33" i="2"/>
  <c r="K43" i="2"/>
  <c r="K53" i="2"/>
  <c r="K63" i="2"/>
  <c r="K73" i="2"/>
  <c r="K83" i="2"/>
  <c r="K93" i="2"/>
  <c r="K103" i="2"/>
  <c r="K113" i="2"/>
  <c r="K123" i="2"/>
  <c r="K133" i="2"/>
  <c r="K143" i="2"/>
  <c r="K153" i="2"/>
  <c r="K8" i="4"/>
  <c r="K18" i="4"/>
  <c r="K29" i="4"/>
  <c r="K40" i="4"/>
  <c r="K51" i="4"/>
  <c r="K62" i="4"/>
  <c r="K73" i="4"/>
  <c r="K84" i="4"/>
  <c r="K95" i="4"/>
  <c r="K107" i="4"/>
  <c r="K118" i="4"/>
  <c r="K129" i="4"/>
  <c r="K140" i="4"/>
  <c r="K151" i="4"/>
  <c r="K7" i="6"/>
  <c r="K18" i="6"/>
  <c r="K29" i="6"/>
  <c r="K40" i="6"/>
  <c r="K52" i="6"/>
  <c r="K63" i="6"/>
  <c r="K74" i="6"/>
  <c r="K85" i="6"/>
  <c r="K108" i="6"/>
  <c r="K131" i="6"/>
  <c r="K143" i="6"/>
  <c r="K12" i="8"/>
  <c r="K35" i="8"/>
  <c r="K47" i="8"/>
  <c r="K70" i="8"/>
  <c r="K82" i="8"/>
  <c r="K95" i="8"/>
  <c r="K144" i="8"/>
  <c r="K156" i="8"/>
  <c r="K27" i="10"/>
  <c r="K53" i="10"/>
  <c r="K66" i="10"/>
  <c r="K94" i="10"/>
  <c r="K107" i="10"/>
  <c r="K120" i="10"/>
  <c r="K135" i="10"/>
  <c r="K148" i="10"/>
  <c r="K49" i="12"/>
  <c r="K77" i="12"/>
  <c r="K91" i="12"/>
  <c r="K104" i="12"/>
  <c r="K145" i="12"/>
  <c r="K33" i="14"/>
  <c r="K46" i="14"/>
  <c r="K74" i="14"/>
  <c r="K88" i="14"/>
  <c r="K17" i="16"/>
  <c r="K30" i="16"/>
  <c r="K43" i="16"/>
  <c r="K71" i="16"/>
  <c r="K85" i="16"/>
  <c r="K127" i="16"/>
  <c r="K97" i="6"/>
  <c r="K120" i="6"/>
  <c r="K132" i="6"/>
  <c r="K156" i="6"/>
  <c r="K24" i="8"/>
  <c r="K59" i="8"/>
  <c r="K108" i="8"/>
  <c r="K120" i="8"/>
  <c r="K132" i="8"/>
  <c r="K3" i="10"/>
  <c r="K15" i="10"/>
  <c r="K40" i="10"/>
  <c r="K54" i="10"/>
  <c r="K80" i="10"/>
  <c r="K122" i="10"/>
  <c r="K9" i="12"/>
  <c r="K22" i="12"/>
  <c r="K35" i="12"/>
  <c r="K63" i="12"/>
  <c r="K119" i="12"/>
  <c r="K147" i="12"/>
  <c r="K6" i="14"/>
  <c r="K19" i="14"/>
  <c r="K60" i="14"/>
  <c r="K103" i="14"/>
  <c r="K116" i="14"/>
  <c r="K129" i="14"/>
  <c r="K144" i="14"/>
  <c r="K3" i="16"/>
  <c r="K87" i="16"/>
  <c r="K100" i="16"/>
  <c r="K113" i="16"/>
  <c r="K141" i="16"/>
  <c r="K154" i="16"/>
  <c r="K80" i="8"/>
  <c r="K101" i="8"/>
  <c r="K122" i="8"/>
  <c r="K143" i="8"/>
  <c r="K9" i="10"/>
  <c r="K87" i="10"/>
  <c r="K110" i="10"/>
  <c r="K123" i="10"/>
  <c r="K146" i="10"/>
  <c r="K14" i="12"/>
  <c r="K27" i="12"/>
  <c r="K50" i="12"/>
  <c r="K73" i="12"/>
  <c r="K109" i="12"/>
  <c r="K132" i="12"/>
  <c r="K155" i="12"/>
  <c r="K13" i="14"/>
  <c r="K36" i="14"/>
  <c r="K59" i="14"/>
  <c r="K72" i="14"/>
  <c r="K95" i="14"/>
  <c r="K118" i="14"/>
  <c r="K154" i="14"/>
  <c r="K22" i="16"/>
  <c r="K45" i="16"/>
  <c r="K58" i="16"/>
  <c r="K81" i="16"/>
  <c r="K104" i="16"/>
  <c r="K117" i="16"/>
  <c r="K140" i="16"/>
  <c r="K101" i="6"/>
  <c r="K112" i="6"/>
  <c r="K133" i="6"/>
  <c r="K154" i="6"/>
  <c r="K20" i="8"/>
  <c r="K41" i="8"/>
  <c r="K62" i="8"/>
  <c r="K83" i="8"/>
  <c r="K104" i="8"/>
  <c r="K125" i="8"/>
  <c r="K146" i="8"/>
  <c r="K2" i="10"/>
  <c r="K90" i="10"/>
  <c r="K103" i="10"/>
  <c r="K126" i="10"/>
  <c r="K149" i="10"/>
  <c r="K7" i="12"/>
  <c r="K30" i="12"/>
  <c r="K53" i="12"/>
  <c r="K89" i="12"/>
  <c r="K112" i="12"/>
  <c r="K135" i="12"/>
  <c r="K148" i="12"/>
  <c r="K16" i="14"/>
  <c r="K39" i="14"/>
  <c r="K52" i="14"/>
  <c r="K75" i="14"/>
  <c r="K98" i="14"/>
  <c r="K134" i="14"/>
  <c r="K2" i="16"/>
  <c r="K25" i="16"/>
  <c r="K38" i="16"/>
  <c r="K61" i="16"/>
  <c r="K84" i="16"/>
  <c r="K97" i="16"/>
  <c r="K120" i="16"/>
  <c r="K143" i="16"/>
  <c r="K26" i="4"/>
  <c r="K36" i="4"/>
  <c r="K46" i="4"/>
  <c r="K56" i="4"/>
  <c r="K66" i="4"/>
  <c r="K76" i="4"/>
  <c r="K86" i="4"/>
  <c r="K96" i="4"/>
  <c r="K106" i="4"/>
  <c r="K116" i="4"/>
  <c r="K126" i="4"/>
  <c r="K136" i="4"/>
  <c r="K146" i="4"/>
  <c r="K156" i="4"/>
  <c r="K11" i="6"/>
  <c r="K21" i="6"/>
  <c r="K31" i="6"/>
  <c r="K41" i="6"/>
  <c r="K51" i="6"/>
  <c r="K61" i="6"/>
  <c r="K71" i="6"/>
  <c r="K81" i="6"/>
  <c r="K91" i="6"/>
  <c r="K102" i="6"/>
  <c r="K123" i="6"/>
  <c r="K144" i="6"/>
  <c r="K10" i="8"/>
  <c r="K31" i="8"/>
  <c r="K52" i="8"/>
  <c r="K73" i="8"/>
  <c r="K94" i="8"/>
  <c r="K115" i="8"/>
  <c r="K136" i="8"/>
  <c r="K147" i="8"/>
  <c r="K13" i="10"/>
  <c r="K24" i="10"/>
  <c r="K35" i="10"/>
  <c r="K46" i="10"/>
  <c r="K57" i="10"/>
  <c r="K68" i="10"/>
  <c r="K79" i="10"/>
  <c r="K92" i="10"/>
  <c r="K115" i="10"/>
  <c r="K138" i="10"/>
  <c r="K19" i="12"/>
  <c r="K42" i="12"/>
  <c r="K65" i="12"/>
  <c r="K78" i="12"/>
  <c r="K101" i="12"/>
  <c r="K124" i="12"/>
  <c r="K137" i="12"/>
  <c r="K5" i="14"/>
  <c r="K28" i="14"/>
  <c r="K64" i="14"/>
  <c r="K87" i="14"/>
  <c r="K110" i="14"/>
  <c r="K123" i="14"/>
  <c r="K146" i="14"/>
  <c r="K14" i="16"/>
  <c r="K27" i="16"/>
  <c r="K50" i="16"/>
  <c r="K73" i="16"/>
  <c r="K109" i="16"/>
  <c r="K132" i="16"/>
  <c r="K155" i="16"/>
  <c r="K31" i="10"/>
  <c r="K41" i="10"/>
  <c r="K51" i="10"/>
  <c r="K61" i="10"/>
  <c r="K71" i="10"/>
  <c r="K81" i="10"/>
  <c r="K91" i="10"/>
  <c r="K101" i="10"/>
  <c r="K111" i="10"/>
  <c r="K121" i="10"/>
  <c r="K131" i="10"/>
  <c r="K141" i="10"/>
  <c r="K151" i="10"/>
  <c r="K6" i="12"/>
  <c r="K16" i="12"/>
  <c r="K26" i="12"/>
  <c r="K36" i="12"/>
  <c r="K46" i="12"/>
  <c r="K56" i="12"/>
  <c r="K66" i="12"/>
  <c r="K76" i="12"/>
  <c r="K86" i="12"/>
  <c r="K96" i="12"/>
  <c r="K106" i="12"/>
  <c r="K116" i="12"/>
  <c r="K126" i="12"/>
  <c r="K136" i="12"/>
  <c r="K146" i="12"/>
  <c r="K156" i="12"/>
  <c r="K11" i="14"/>
  <c r="K21" i="14"/>
  <c r="K31" i="14"/>
  <c r="K41" i="14"/>
  <c r="K51" i="14"/>
  <c r="K61" i="14"/>
  <c r="K71" i="14"/>
  <c r="K81" i="14"/>
  <c r="K91" i="14"/>
  <c r="K101" i="14"/>
  <c r="K111" i="14"/>
  <c r="K121" i="14"/>
  <c r="K131" i="14"/>
  <c r="K141" i="14"/>
  <c r="K151" i="14"/>
  <c r="K6" i="16"/>
  <c r="K16" i="16"/>
  <c r="K26" i="16"/>
  <c r="K36" i="16"/>
  <c r="K46" i="16"/>
  <c r="K56" i="16"/>
  <c r="K66" i="16"/>
  <c r="K76" i="16"/>
  <c r="K86" i="16"/>
  <c r="K96" i="16"/>
  <c r="K106" i="16"/>
  <c r="K116" i="16"/>
  <c r="K126" i="16"/>
  <c r="K136" i="16"/>
  <c r="K146" i="16"/>
  <c r="K156" i="16"/>
  <c r="G97" i="16"/>
  <c r="J95" i="16"/>
  <c r="G5" i="16"/>
  <c r="J2" i="16"/>
  <c r="J96" i="16"/>
  <c r="J4" i="16"/>
  <c r="J69" i="16"/>
  <c r="J68" i="16"/>
  <c r="J67" i="16"/>
  <c r="J65" i="16"/>
  <c r="G35" i="16"/>
  <c r="J34" i="16"/>
  <c r="J66" i="16"/>
  <c r="G70" i="16"/>
  <c r="G129" i="16"/>
  <c r="J128" i="16"/>
  <c r="J127" i="16"/>
  <c r="G72" i="15"/>
  <c r="J70" i="15"/>
  <c r="J69" i="15"/>
  <c r="J68" i="15"/>
  <c r="J67" i="15"/>
  <c r="J129" i="15"/>
  <c r="J38" i="15"/>
  <c r="J65" i="15"/>
  <c r="G130" i="15"/>
  <c r="J34" i="15"/>
  <c r="J98" i="15"/>
  <c r="J66" i="15"/>
  <c r="J35" i="15"/>
  <c r="J126" i="15"/>
  <c r="J128" i="15"/>
  <c r="G40" i="15"/>
  <c r="J37" i="15"/>
  <c r="G5" i="15"/>
  <c r="J2" i="15"/>
  <c r="J4" i="15"/>
  <c r="J36" i="15"/>
  <c r="G100" i="15"/>
  <c r="G130" i="14"/>
  <c r="G97" i="14"/>
  <c r="J95" i="14"/>
  <c r="J96" i="14"/>
  <c r="G6" i="14"/>
  <c r="J5" i="14" s="1"/>
  <c r="G35" i="14"/>
  <c r="J33" i="14"/>
  <c r="J128" i="14"/>
  <c r="J4" i="14"/>
  <c r="J126" i="14"/>
  <c r="J127" i="14"/>
  <c r="J64" i="14"/>
  <c r="J65" i="14"/>
  <c r="J2" i="14"/>
  <c r="G66" i="14"/>
  <c r="G67" i="13"/>
  <c r="J66" i="13"/>
  <c r="J64" i="13"/>
  <c r="G38" i="13"/>
  <c r="J37" i="13" s="1"/>
  <c r="G5" i="13"/>
  <c r="J2" i="13"/>
  <c r="J4" i="13"/>
  <c r="G97" i="13"/>
  <c r="J95" i="13"/>
  <c r="J96" i="13"/>
  <c r="J3" i="13"/>
  <c r="J35" i="13"/>
  <c r="G129" i="13"/>
  <c r="J128" i="13"/>
  <c r="J34" i="13"/>
  <c r="J127" i="13"/>
  <c r="G37" i="12"/>
  <c r="G99" i="12"/>
  <c r="J98" i="12"/>
  <c r="J2" i="12"/>
  <c r="G5" i="12"/>
  <c r="J4" i="12" s="1"/>
  <c r="G128" i="12"/>
  <c r="J126" i="12"/>
  <c r="J127" i="12"/>
  <c r="J3" i="12"/>
  <c r="J64" i="12"/>
  <c r="G66" i="12"/>
  <c r="J65" i="12"/>
  <c r="J34" i="12"/>
  <c r="J96" i="12"/>
  <c r="G5" i="11"/>
  <c r="J4" i="11"/>
  <c r="G36" i="11"/>
  <c r="J35" i="11" s="1"/>
  <c r="G128" i="11"/>
  <c r="J126" i="11"/>
  <c r="G99" i="11"/>
  <c r="J98" i="11"/>
  <c r="J2" i="11"/>
  <c r="J3" i="11"/>
  <c r="J64" i="11"/>
  <c r="J33" i="11"/>
  <c r="J65" i="11"/>
  <c r="G67" i="11"/>
  <c r="J34" i="11"/>
  <c r="J96" i="11"/>
  <c r="G68" i="10"/>
  <c r="G129" i="10"/>
  <c r="J126" i="10"/>
  <c r="J128" i="10"/>
  <c r="J5" i="10"/>
  <c r="G6" i="10"/>
  <c r="G97" i="10"/>
  <c r="J95" i="10"/>
  <c r="J96" i="10"/>
  <c r="G35" i="10"/>
  <c r="J33" i="10"/>
  <c r="J34" i="10"/>
  <c r="J4" i="10"/>
  <c r="J127" i="10"/>
  <c r="J65" i="10"/>
  <c r="J3" i="10"/>
  <c r="G128" i="9"/>
  <c r="J127" i="9" s="1"/>
  <c r="G66" i="9"/>
  <c r="G4" i="9"/>
  <c r="J3" i="9" s="1"/>
  <c r="G100" i="9"/>
  <c r="J64" i="9"/>
  <c r="J96" i="9"/>
  <c r="J98" i="9"/>
  <c r="J36" i="9"/>
  <c r="G38" i="9"/>
  <c r="G4" i="8"/>
  <c r="J3" i="8"/>
  <c r="G35" i="8"/>
  <c r="J34" i="8"/>
  <c r="J33" i="8"/>
  <c r="G129" i="8"/>
  <c r="J128" i="8"/>
  <c r="G97" i="8"/>
  <c r="J96" i="8"/>
  <c r="J126" i="8"/>
  <c r="J127" i="8"/>
  <c r="G66" i="8"/>
  <c r="J95" i="8"/>
  <c r="G36" i="7"/>
  <c r="J35" i="7"/>
  <c r="J34" i="7"/>
  <c r="J100" i="7"/>
  <c r="G129" i="7"/>
  <c r="J128" i="7"/>
  <c r="J127" i="7"/>
  <c r="G4" i="7"/>
  <c r="J3" i="7" s="1"/>
  <c r="G102" i="7"/>
  <c r="G67" i="7"/>
  <c r="J64" i="7"/>
  <c r="J65" i="7"/>
  <c r="J99" i="7"/>
  <c r="J98" i="7"/>
  <c r="G35" i="6"/>
  <c r="J34" i="6"/>
  <c r="J33" i="6"/>
  <c r="G97" i="6"/>
  <c r="J96" i="6"/>
  <c r="G4" i="6"/>
  <c r="J2" i="6" s="1"/>
  <c r="J3" i="6"/>
  <c r="G66" i="6"/>
  <c r="J95" i="6"/>
  <c r="G128" i="6"/>
  <c r="J126" i="6" s="1"/>
  <c r="G101" i="5"/>
  <c r="J100" i="5"/>
  <c r="G37" i="5"/>
  <c r="J36" i="5"/>
  <c r="J127" i="5"/>
  <c r="J35" i="5"/>
  <c r="J5" i="5"/>
  <c r="G67" i="5"/>
  <c r="J66" i="5"/>
  <c r="J4" i="5"/>
  <c r="J99" i="5"/>
  <c r="J98" i="5"/>
  <c r="G6" i="5"/>
  <c r="J2" i="5"/>
  <c r="J3" i="5"/>
  <c r="J64" i="5"/>
  <c r="G128" i="5"/>
  <c r="J96" i="5"/>
  <c r="J34" i="5"/>
  <c r="G100" i="4"/>
  <c r="G35" i="4"/>
  <c r="J33" i="4"/>
  <c r="J66" i="4"/>
  <c r="G4" i="4"/>
  <c r="J3" i="4"/>
  <c r="G68" i="4"/>
  <c r="J98" i="4"/>
  <c r="J34" i="4"/>
  <c r="J127" i="4"/>
  <c r="J97" i="4"/>
  <c r="G129" i="4"/>
  <c r="J128" i="4"/>
  <c r="J96" i="4"/>
  <c r="G38" i="3"/>
  <c r="J37" i="3"/>
  <c r="J36" i="3"/>
  <c r="G97" i="3"/>
  <c r="J95" i="3"/>
  <c r="G5" i="3"/>
  <c r="J96" i="3"/>
  <c r="G68" i="3"/>
  <c r="J3" i="3"/>
  <c r="G129" i="3"/>
  <c r="J127" i="3"/>
  <c r="J34" i="3"/>
  <c r="J66" i="3"/>
  <c r="J126" i="3"/>
  <c r="J35" i="3"/>
  <c r="J65" i="3"/>
  <c r="G35" i="2"/>
  <c r="J34" i="2"/>
  <c r="J33" i="2"/>
  <c r="G4" i="2"/>
  <c r="J66" i="2"/>
  <c r="G68" i="2"/>
  <c r="G97" i="2"/>
  <c r="J96" i="2"/>
  <c r="G128" i="2"/>
  <c r="J64" i="2"/>
  <c r="J65" i="2"/>
  <c r="G128" i="1"/>
  <c r="J127" i="1" s="1"/>
  <c r="G97" i="1"/>
  <c r="J95" i="1"/>
  <c r="J96" i="1"/>
  <c r="G66" i="1"/>
  <c r="G36" i="1"/>
  <c r="J34" i="1"/>
  <c r="J33" i="1"/>
  <c r="G6" i="1"/>
  <c r="J4" i="1"/>
  <c r="K37" i="11" a="1"/>
  <c r="K45" i="15" a="1"/>
  <c r="K121" i="5" a="1"/>
  <c r="K20" i="5" a="1"/>
  <c r="K92" i="9" a="1"/>
  <c r="K50" i="11" a="1"/>
  <c r="K137" i="11" a="1"/>
  <c r="K133" i="3" a="1"/>
  <c r="K67" i="9" a="1"/>
  <c r="K82" i="13" a="1"/>
  <c r="K116" i="9" a="1"/>
  <c r="K101" i="7" a="1"/>
  <c r="K85" i="13" a="1"/>
  <c r="K20" i="3" a="1"/>
  <c r="K62" i="13" a="1"/>
  <c r="K73" i="11" a="1"/>
  <c r="K117" i="3" a="1"/>
  <c r="K62" i="15" a="1"/>
  <c r="K140" i="11" a="1"/>
  <c r="K55" i="7" a="1"/>
  <c r="K15" i="7" a="1"/>
  <c r="K10" i="3" a="1"/>
  <c r="K60" i="13" a="1"/>
  <c r="K16" i="11" a="1"/>
  <c r="K78" i="13" a="1"/>
  <c r="K127" i="1" a="1"/>
  <c r="K154" i="11" a="1"/>
  <c r="K36" i="7" a="1"/>
  <c r="K6" i="3" a="1"/>
  <c r="K111" i="15" a="1"/>
  <c r="K118" i="5" a="1"/>
  <c r="K104" i="7" a="1"/>
  <c r="K95" i="9" a="1"/>
  <c r="K68" i="11" a="1"/>
  <c r="K131" i="11" a="1"/>
  <c r="K3" i="1" a="1"/>
  <c r="K151" i="5" a="1"/>
  <c r="K124" i="7" a="1"/>
  <c r="K82" i="9" a="1"/>
  <c r="K118" i="7" a="1"/>
  <c r="K72" i="15" a="1"/>
  <c r="K70" i="3" a="1"/>
  <c r="K44" i="9" a="1"/>
  <c r="K116" i="13" a="1"/>
  <c r="K108" i="7" a="1"/>
  <c r="K14" i="9" a="1"/>
  <c r="K131" i="15" a="1"/>
  <c r="K115" i="7" a="1"/>
  <c r="K122" i="11" a="1"/>
  <c r="K136" i="9" a="1"/>
  <c r="K44" i="11" a="1"/>
  <c r="K11" i="13" a="1"/>
  <c r="K30" i="5" a="1"/>
  <c r="K79" i="11" a="1"/>
  <c r="K120" i="13" a="1"/>
  <c r="K110" i="11" a="1"/>
  <c r="K70" i="11" a="1"/>
  <c r="K122" i="15" a="1"/>
  <c r="K4" i="11" a="1"/>
  <c r="K69" i="9" a="1"/>
  <c r="K153" i="13" a="1"/>
  <c r="K37" i="13" a="1"/>
  <c r="K107" i="15" a="1"/>
  <c r="K126" i="9" a="1"/>
  <c r="K65" i="15" a="1"/>
  <c r="K91" i="15" a="1"/>
  <c r="K95" i="13" a="1"/>
  <c r="K140" i="13" a="1"/>
  <c r="K9" i="7" a="1"/>
  <c r="K57" i="7" a="1"/>
  <c r="K47" i="9" a="1"/>
  <c r="K120" i="11" a="1"/>
  <c r="K21" i="15" a="1"/>
  <c r="K102" i="5" a="1"/>
  <c r="K59" i="9" a="1"/>
  <c r="K155" i="11" a="1"/>
  <c r="K58" i="13" a="1"/>
  <c r="K139" i="13" a="1"/>
  <c r="K59" i="3" a="1"/>
  <c r="K79" i="13" a="1"/>
  <c r="K151" i="3" a="1"/>
  <c r="K98" i="7" a="1"/>
  <c r="K75" i="11" a="1"/>
  <c r="K15" i="3" a="1"/>
  <c r="K99" i="11" a="1"/>
  <c r="K93" i="15" a="1"/>
  <c r="K148" i="13" a="1"/>
  <c r="K2" i="3" a="1"/>
  <c r="K108" i="3" a="1"/>
  <c r="K56" i="9" a="1"/>
  <c r="K105" i="9" a="1"/>
  <c r="K16" i="13" a="1"/>
  <c r="K29" i="9" a="1"/>
  <c r="K18" i="15" a="1"/>
  <c r="K69" i="13" a="1"/>
  <c r="K42" i="13" a="1"/>
  <c r="K62" i="9" a="1"/>
  <c r="K56" i="7" a="1"/>
  <c r="K28" i="5" a="1"/>
  <c r="K20" i="9" a="1"/>
  <c r="K24" i="15" a="1"/>
  <c r="K99" i="9" a="1"/>
  <c r="K52" i="5" a="1"/>
  <c r="K85" i="11" a="1"/>
  <c r="K83" i="9" a="1"/>
  <c r="K146" i="15" a="1"/>
  <c r="K13" i="5" a="1"/>
  <c r="K84" i="15" a="1"/>
  <c r="K134" i="11" a="1"/>
  <c r="K89" i="15" a="1"/>
  <c r="K55" i="13" a="1"/>
  <c r="K77" i="15" a="1"/>
  <c r="K139" i="9" a="1"/>
  <c r="K84" i="5" a="1"/>
  <c r="K132" i="11" a="1"/>
  <c r="K35" i="7" a="1"/>
  <c r="K47" i="3" a="1"/>
  <c r="K60" i="5" a="1"/>
  <c r="K35" i="9" a="1"/>
  <c r="K17" i="15" a="1"/>
  <c r="K56" i="13" a="1"/>
  <c r="K19" i="15" a="1"/>
  <c r="K132" i="7" a="1"/>
  <c r="K65" i="11" a="1"/>
  <c r="K92" i="3" a="1"/>
  <c r="K117" i="5" a="1"/>
  <c r="K101" i="5" a="1"/>
  <c r="K79" i="5" a="1"/>
  <c r="K150" i="7" a="1"/>
  <c r="K143" i="9" a="1"/>
  <c r="K51" i="15" a="1"/>
  <c r="K47" i="11" a="1"/>
  <c r="K151" i="15" a="1"/>
  <c r="K79" i="3" a="1"/>
  <c r="K22" i="15" a="1"/>
  <c r="K94" i="15" a="1"/>
  <c r="K103" i="5" a="1"/>
  <c r="K124" i="3" a="1"/>
  <c r="K94" i="7" a="1"/>
  <c r="K77" i="3" a="1"/>
  <c r="K15" i="9" a="1"/>
  <c r="K90" i="15" a="1"/>
  <c r="K89" i="7" a="1"/>
  <c r="K85" i="5" a="1"/>
  <c r="K23" i="13" a="1"/>
  <c r="K123" i="3" a="1"/>
  <c r="K13" i="9" a="1"/>
  <c r="K47" i="15" a="1"/>
  <c r="K102" i="7" a="1"/>
  <c r="K139" i="11" a="1"/>
  <c r="K84" i="9" a="1"/>
  <c r="K69" i="5" a="1"/>
  <c r="K51" i="3" a="1"/>
  <c r="K101" i="3" a="1"/>
  <c r="K33" i="11" a="1"/>
  <c r="K90" i="7" a="1"/>
  <c r="K80" i="3" a="1"/>
  <c r="K34" i="5" a="1"/>
  <c r="K119" i="5" a="1"/>
  <c r="K68" i="13" a="1"/>
  <c r="K2" i="1" a="1"/>
  <c r="K54" i="5" a="1"/>
  <c r="K68" i="9" a="1"/>
  <c r="K2" i="5" a="1"/>
  <c r="K91" i="11" a="1"/>
  <c r="K102" i="13" a="1"/>
  <c r="K90" i="9" a="1"/>
  <c r="K50" i="15" a="1"/>
  <c r="K9" i="5" a="1"/>
  <c r="K51" i="13" a="1"/>
  <c r="K31" i="5" a="1"/>
  <c r="K130" i="7" a="1"/>
  <c r="K60" i="9" a="1"/>
  <c r="K42" i="11" a="1"/>
  <c r="K24" i="13" a="1"/>
  <c r="K80" i="7" a="1"/>
  <c r="K155" i="5" a="1"/>
  <c r="K37" i="15" a="1"/>
  <c r="K74" i="13" a="1"/>
  <c r="K74" i="15" a="1"/>
  <c r="K53" i="15" a="1"/>
  <c r="K135" i="9" a="1"/>
  <c r="K150" i="5" a="1"/>
  <c r="K111" i="3" a="1"/>
  <c r="K14" i="15" a="1"/>
  <c r="K84" i="11" a="1"/>
  <c r="K129" i="13" a="1"/>
  <c r="K112" i="5" a="1"/>
  <c r="K27" i="13" a="1"/>
  <c r="K62" i="11" a="1"/>
  <c r="K71" i="7" a="1"/>
  <c r="K138" i="7" a="1"/>
  <c r="K3" i="15" a="1"/>
  <c r="K37" i="9" a="1"/>
  <c r="K51" i="7" a="1"/>
  <c r="K149" i="11" a="1"/>
  <c r="K102" i="9" a="1"/>
  <c r="K45" i="13" a="1"/>
  <c r="K109" i="7" a="1"/>
  <c r="K13" i="11" a="1"/>
  <c r="K111" i="7" a="1"/>
  <c r="K89" i="5" a="1"/>
  <c r="K122" i="13" a="1"/>
  <c r="K95" i="1" a="1"/>
  <c r="K80" i="11" a="1"/>
  <c r="K134" i="7" a="1"/>
  <c r="K4" i="15" a="1"/>
  <c r="K40" i="11" a="1"/>
  <c r="K116" i="15" a="1"/>
  <c r="K152" i="9" a="1"/>
  <c r="K91" i="3" a="1"/>
  <c r="K136" i="15" a="1"/>
  <c r="K5" i="7" a="1"/>
  <c r="K103" i="11" a="1"/>
  <c r="K129" i="3" a="1"/>
  <c r="K155" i="13" a="1"/>
  <c r="K105" i="5" a="1"/>
  <c r="K39" i="9" a="1"/>
  <c r="K142" i="3" a="1"/>
  <c r="K2" i="9" a="1"/>
  <c r="K128" i="9" a="1"/>
  <c r="K28" i="7" a="1"/>
  <c r="K83" i="15" a="1"/>
  <c r="K140" i="7" a="1"/>
  <c r="K72" i="13" a="1"/>
  <c r="K133" i="15" a="1"/>
  <c r="K134" i="5" a="1"/>
  <c r="K111" i="13" a="1"/>
  <c r="K76" i="7" a="1"/>
  <c r="K59" i="15" a="1"/>
  <c r="K147" i="3" a="1"/>
  <c r="K109" i="15" a="1"/>
  <c r="K86" i="7" a="1"/>
  <c r="K65" i="5" a="1"/>
  <c r="K90" i="13" a="1"/>
  <c r="K4" i="13" a="1"/>
  <c r="K138" i="5" a="1"/>
  <c r="K34" i="11" a="1"/>
  <c r="K122" i="5" a="1"/>
  <c r="K41" i="15" a="1"/>
  <c r="K94" i="13" a="1"/>
  <c r="K126" i="11" a="1"/>
  <c r="K7" i="3" a="1"/>
  <c r="K72" i="3" a="1"/>
  <c r="K74" i="3" a="1"/>
  <c r="K126" i="13" a="1"/>
  <c r="K142" i="9" a="1"/>
  <c r="K99" i="7" a="1"/>
  <c r="K33" i="5" a="1"/>
  <c r="K57" i="9" a="1"/>
  <c r="K83" i="11" a="1"/>
  <c r="K20" i="13" a="1"/>
  <c r="K135" i="3" a="1"/>
  <c r="K104" i="13" a="1"/>
  <c r="K68" i="7" a="1"/>
  <c r="K31" i="15" a="1"/>
  <c r="K152" i="7" a="1"/>
  <c r="K113" i="13" a="1"/>
  <c r="K28" i="13" a="1"/>
  <c r="K141" i="7" a="1"/>
  <c r="K88" i="11" a="1"/>
  <c r="K53" i="5" a="1"/>
  <c r="K154" i="5" a="1"/>
  <c r="K72" i="11" a="1"/>
  <c r="K106" i="11" a="1"/>
  <c r="K3" i="5" a="1"/>
  <c r="K74" i="5" a="1"/>
  <c r="K30" i="7" a="1"/>
  <c r="K91" i="7" a="1"/>
  <c r="K89" i="11" a="1"/>
  <c r="K136" i="7" a="1"/>
  <c r="K85" i="3" a="1"/>
  <c r="K60" i="7" a="1"/>
  <c r="K25" i="3" a="1"/>
  <c r="K111" i="11" a="1"/>
  <c r="K98" i="3" a="1"/>
  <c r="K19" i="5" a="1"/>
  <c r="K43" i="3" a="1"/>
  <c r="K45" i="3" a="1"/>
  <c r="K141" i="5" a="1"/>
  <c r="K94" i="3" a="1"/>
  <c r="K13" i="13" a="1"/>
  <c r="K57" i="11" a="1"/>
  <c r="K137" i="3" a="1"/>
  <c r="K91" i="13" a="1"/>
  <c r="K113" i="7" a="1"/>
  <c r="K147" i="9" a="1"/>
  <c r="K37" i="7" a="1"/>
  <c r="K113" i="3" a="1"/>
  <c r="K144" i="9" a="1"/>
  <c r="K5" i="15" a="1"/>
  <c r="K137" i="7" a="1"/>
  <c r="K33" i="9" a="1"/>
  <c r="K131" i="7" a="1"/>
  <c r="K17" i="9" a="1"/>
  <c r="K20" i="15" a="1"/>
  <c r="K97" i="11" a="1"/>
  <c r="K5" i="3" a="1"/>
  <c r="K124" i="11" a="1"/>
  <c r="K62" i="7" a="1"/>
  <c r="K118" i="15" a="1"/>
  <c r="K122" i="7" a="1"/>
  <c r="K64" i="9" a="1"/>
  <c r="K49" i="13" a="1"/>
  <c r="K156" i="3" a="1"/>
  <c r="K71" i="11" a="1"/>
  <c r="K11" i="11" a="1"/>
  <c r="K22" i="11" a="1"/>
  <c r="K132" i="15" a="1"/>
  <c r="K110" i="7" a="1"/>
  <c r="K52" i="11" a="1"/>
  <c r="K41" i="13" a="1"/>
  <c r="K151" i="9" a="1"/>
  <c r="K86" i="5" a="1"/>
  <c r="K56" i="11" a="1"/>
  <c r="K25" i="15" a="1"/>
  <c r="K13" i="7" a="1"/>
  <c r="K100" i="15" a="1"/>
  <c r="K6" i="7" a="1"/>
  <c r="K118" i="3" a="1"/>
  <c r="K12" i="5" a="1"/>
  <c r="K106" i="13" a="1"/>
  <c r="K11" i="3" a="1"/>
  <c r="K6" i="9" a="1"/>
  <c r="K43" i="15" a="1"/>
  <c r="K152" i="3" a="1"/>
  <c r="K143" i="13" a="1"/>
  <c r="K125" i="7" a="1"/>
  <c r="K118" i="9" a="1"/>
  <c r="K152" i="15" a="1"/>
  <c r="K83" i="5" a="1"/>
  <c r="K82" i="15" a="1"/>
  <c r="K91" i="9" a="1"/>
  <c r="K60" i="3" a="1"/>
  <c r="K139" i="5" a="1"/>
  <c r="K98" i="13" a="1"/>
  <c r="K121" i="11" a="1"/>
  <c r="K48" i="11" a="1"/>
  <c r="K73" i="9" a="1"/>
  <c r="K87" i="7" a="1"/>
  <c r="K73" i="15" a="1"/>
  <c r="K155" i="15" a="1"/>
  <c r="K133" i="11" a="1"/>
  <c r="K88" i="9" a="1"/>
  <c r="K64" i="11" a="1"/>
  <c r="K34" i="15" a="1"/>
  <c r="K122" i="3" a="1"/>
  <c r="K81" i="7" a="1"/>
  <c r="K115" i="13" a="1"/>
  <c r="K8" i="7" a="1"/>
  <c r="K10" i="15" a="1"/>
  <c r="K109" i="13" a="1"/>
  <c r="K51" i="9" a="1"/>
  <c r="K39" i="11" a="1"/>
  <c r="K79" i="7" a="1"/>
  <c r="K54" i="11" a="1"/>
  <c r="K150" i="13" a="1"/>
  <c r="K62" i="3" a="1"/>
  <c r="K119" i="15" a="1"/>
  <c r="K98" i="5" a="1"/>
  <c r="K61" i="7" a="1"/>
  <c r="K23" i="5" a="1"/>
  <c r="K50" i="7" a="1"/>
  <c r="K61" i="11" a="1"/>
  <c r="K112" i="9" a="1"/>
  <c r="K85" i="9" a="1"/>
  <c r="K21" i="9" a="1"/>
  <c r="K42" i="15" a="1"/>
  <c r="K40" i="15" a="1"/>
  <c r="K3" i="11" a="1"/>
  <c r="K141" i="11" a="1"/>
  <c r="K110" i="9" a="1"/>
  <c r="K58" i="9" a="1"/>
  <c r="K138" i="15" a="1"/>
  <c r="K19" i="7" a="1"/>
  <c r="K12" i="15" a="1"/>
  <c r="K39" i="13" a="1"/>
  <c r="K36" i="15" a="1"/>
  <c r="K43" i="13" a="1"/>
  <c r="K8" i="5" a="1"/>
  <c r="K39" i="15" a="1"/>
  <c r="K4" i="5" a="1"/>
  <c r="K112" i="3" a="1"/>
  <c r="K54" i="3" a="1"/>
  <c r="K44" i="7" a="1"/>
  <c r="K97" i="13" a="1"/>
  <c r="K110" i="15" a="1"/>
  <c r="K137" i="13" a="1"/>
  <c r="K82" i="3" a="1"/>
  <c r="K64" i="3" a="1"/>
  <c r="K107" i="13" a="1"/>
  <c r="K84" i="7" a="1"/>
  <c r="K41" i="11" a="1"/>
  <c r="K17" i="5" a="1"/>
  <c r="K66" i="13" a="1"/>
  <c r="K58" i="11" a="1"/>
  <c r="K66" i="15" a="1"/>
  <c r="K71" i="13" a="1"/>
  <c r="K10" i="9" a="1"/>
  <c r="K75" i="9" a="1"/>
  <c r="K16" i="5" a="1"/>
  <c r="K57" i="3" a="1"/>
  <c r="K17" i="3" a="1"/>
  <c r="K94" i="5" a="1"/>
  <c r="K67" i="5" a="1"/>
  <c r="K68" i="3" a="1"/>
  <c r="K110" i="5" a="1"/>
  <c r="K101" i="13" a="1"/>
  <c r="K133" i="5" a="1"/>
  <c r="K84" i="13" a="1"/>
  <c r="K70" i="15" a="1"/>
  <c r="K7" i="9" a="1"/>
  <c r="K87" i="3" a="1"/>
  <c r="K27" i="5" a="1"/>
  <c r="K134" i="3" a="1"/>
  <c r="K61" i="13" a="1"/>
  <c r="K35" i="15" a="1"/>
  <c r="K99" i="15" a="1"/>
  <c r="K66" i="9" a="1"/>
  <c r="K88" i="3" a="1"/>
  <c r="K108" i="13" a="1"/>
  <c r="K143" i="3" a="1"/>
  <c r="K38" i="15" a="1"/>
  <c r="K46" i="9" a="1"/>
  <c r="K8" i="11" a="1"/>
  <c r="K36" i="9" a="1"/>
  <c r="K115" i="15" a="1"/>
  <c r="K152" i="13" a="1"/>
  <c r="K115" i="11" a="1"/>
  <c r="K30" i="9" a="1"/>
  <c r="K127" i="13" a="1"/>
  <c r="K103" i="9" a="1"/>
  <c r="K4" i="9" a="1"/>
  <c r="K143" i="5" a="1"/>
  <c r="K75" i="7" a="1"/>
  <c r="K41" i="3" a="1"/>
  <c r="K67" i="3" a="1"/>
  <c r="K56" i="5" a="1"/>
  <c r="K67" i="7" a="1"/>
  <c r="K150" i="9" a="1"/>
  <c r="K121" i="3" a="1"/>
  <c r="K63" i="9" a="1"/>
  <c r="K64" i="13" a="1"/>
  <c r="K6" i="15" a="1"/>
  <c r="K52" i="3" a="1"/>
  <c r="K83" i="7" a="1"/>
  <c r="K137" i="5" a="1"/>
  <c r="K74" i="7" a="1"/>
  <c r="K20" i="11" a="1"/>
  <c r="K135" i="7" a="1"/>
  <c r="K100" i="13" a="1"/>
  <c r="K15" i="13" a="1"/>
  <c r="K116" i="3" a="1"/>
  <c r="K93" i="13" a="1"/>
  <c r="K112" i="15" a="1"/>
  <c r="K103" i="7" a="1"/>
  <c r="K56" i="15" a="1"/>
  <c r="K103" i="15" a="1"/>
  <c r="K87" i="9" a="1"/>
  <c r="K153" i="11" a="1"/>
  <c r="K32" i="13" a="1"/>
  <c r="K155" i="3" a="1"/>
  <c r="K93" i="3" a="1"/>
  <c r="K100" i="5" a="1"/>
  <c r="K90" i="5" a="1"/>
  <c r="K30" i="15" a="1"/>
  <c r="K86" i="15" a="1"/>
  <c r="K124" i="13" a="1"/>
  <c r="K36" i="13" a="1"/>
  <c r="K129" i="11" a="1"/>
  <c r="K72" i="9" a="1"/>
  <c r="K136" i="3" a="1"/>
  <c r="K63" i="13" a="1"/>
  <c r="K145" i="3" a="1"/>
  <c r="K150" i="15" a="1"/>
  <c r="K80" i="13" a="1"/>
  <c r="K149" i="15" a="1"/>
  <c r="K79" i="15" a="1"/>
  <c r="K71" i="5" a="1"/>
  <c r="K114" i="11" a="1"/>
  <c r="K112" i="13" a="1"/>
  <c r="K144" i="15" a="1"/>
  <c r="K120" i="15" a="1"/>
  <c r="K107" i="9" a="1"/>
  <c r="K44" i="5" a="1"/>
  <c r="K48" i="5" a="1"/>
  <c r="K145" i="13" a="1"/>
  <c r="K53" i="3" a="1"/>
  <c r="K82" i="11" a="1"/>
  <c r="K50" i="5" a="1"/>
  <c r="K81" i="3" a="1"/>
  <c r="K109" i="9" a="1"/>
  <c r="K46" i="13" a="1"/>
  <c r="K76" i="13" a="1"/>
  <c r="K142" i="13" a="1"/>
  <c r="K18" i="11" a="1"/>
  <c r="K18" i="13" a="1"/>
  <c r="K7" i="5" a="1"/>
  <c r="K21" i="13" a="1"/>
  <c r="K32" i="3" a="1"/>
  <c r="K36" i="11" a="1"/>
  <c r="K135" i="11" a="1"/>
  <c r="K30" i="3" a="1"/>
  <c r="K71" i="9" a="1"/>
  <c r="K104" i="3" a="1"/>
  <c r="K29" i="11" a="1"/>
  <c r="K154" i="3" a="1"/>
  <c r="K52" i="15" a="1"/>
  <c r="K49" i="15" a="1"/>
  <c r="K156" i="11" a="1"/>
  <c r="K2" i="15" a="1"/>
  <c r="K18" i="3" a="1"/>
  <c r="K71" i="15" a="1"/>
  <c r="K33" i="13" a="1"/>
  <c r="K117" i="9" a="1"/>
  <c r="K81" i="5" a="1"/>
  <c r="K38" i="9" a="1"/>
  <c r="K32" i="7" a="1"/>
  <c r="K78" i="7" a="1"/>
  <c r="K48" i="9" a="1"/>
  <c r="K59" i="11" a="1"/>
  <c r="K26" i="9" a="1"/>
  <c r="K156" i="9" a="1"/>
  <c r="K86" i="11" a="1"/>
  <c r="K119" i="3" a="1"/>
  <c r="K148" i="9" a="1"/>
  <c r="K108" i="15" a="1"/>
  <c r="K42" i="5" a="1"/>
  <c r="K15" i="11" a="1"/>
  <c r="K40" i="13" a="1"/>
  <c r="K150" i="11" a="1"/>
  <c r="K102" i="3" a="1"/>
  <c r="K139" i="15" a="1"/>
  <c r="K58" i="5" a="1"/>
  <c r="K116" i="5" a="1"/>
  <c r="K78" i="15" a="1"/>
  <c r="K57" i="15" a="1"/>
  <c r="K86" i="3" a="1"/>
  <c r="K145" i="5" a="1"/>
  <c r="K23" i="15" a="1"/>
  <c r="K142" i="11" a="1"/>
  <c r="K65" i="3" a="1"/>
  <c r="K32" i="15" a="1"/>
  <c r="K141" i="9" a="1"/>
  <c r="K50" i="9" a="1"/>
  <c r="K87" i="5" a="1"/>
  <c r="K87" i="15" a="1"/>
  <c r="K81" i="13" a="1"/>
  <c r="K55" i="3" a="1"/>
  <c r="K109" i="5" a="1"/>
  <c r="K128" i="13" a="1"/>
  <c r="K115" i="5" a="1"/>
  <c r="K119" i="7" a="1"/>
  <c r="K106" i="3" a="1"/>
  <c r="K125" i="13" a="1"/>
  <c r="K141" i="13" a="1"/>
  <c r="K152" i="11" a="1"/>
  <c r="K9" i="15" a="1"/>
  <c r="K125" i="9" a="1"/>
  <c r="K104" i="15" a="1"/>
  <c r="K44" i="15" a="1"/>
  <c r="K136" i="5" a="1"/>
  <c r="K46" i="5" a="1"/>
  <c r="K31" i="11" a="1"/>
  <c r="K130" i="13" a="1"/>
  <c r="K148" i="11" a="1"/>
  <c r="K9" i="11" a="1"/>
  <c r="K52" i="9" a="1"/>
  <c r="K123" i="5" a="1"/>
  <c r="K144" i="7" a="1"/>
  <c r="K49" i="9" a="1"/>
  <c r="K75" i="15" a="1"/>
  <c r="K87" i="13" a="1"/>
  <c r="K141" i="15" a="1"/>
  <c r="K146" i="13" a="1"/>
  <c r="K140" i="3" a="1"/>
  <c r="K12" i="7" a="1"/>
  <c r="K96" i="5" a="1"/>
  <c r="K27" i="7" a="1"/>
  <c r="K48" i="3" a="1"/>
  <c r="K154" i="9" a="1"/>
  <c r="K81" i="11" a="1"/>
  <c r="K93" i="11" a="1"/>
  <c r="K54" i="9" a="1"/>
  <c r="K3" i="9" a="1"/>
  <c r="K106" i="9" a="1"/>
  <c r="K79" i="9" a="1"/>
  <c r="K75" i="3" a="1"/>
  <c r="K140" i="9" a="1"/>
  <c r="K19" i="11" a="1"/>
  <c r="K14" i="3" a="1"/>
  <c r="K85" i="7" a="1"/>
  <c r="K89" i="9" a="1"/>
  <c r="K131" i="5" a="1"/>
  <c r="K111" i="9" a="1"/>
  <c r="K22" i="13" a="1"/>
  <c r="K41" i="9" a="1"/>
  <c r="K103" i="3" a="1"/>
  <c r="K84" i="3" a="1"/>
  <c r="K35" i="11" a="1"/>
  <c r="K52" i="13" a="1"/>
  <c r="K58" i="15" a="1"/>
  <c r="K16" i="15" a="1"/>
  <c r="K144" i="11" a="1"/>
  <c r="K41" i="7" a="1"/>
  <c r="K121" i="7" a="1"/>
  <c r="K6" i="13" a="1"/>
  <c r="K53" i="13" a="1"/>
  <c r="K5" i="13" a="1"/>
  <c r="K148" i="3" a="1"/>
  <c r="K131" i="13" a="1"/>
  <c r="K26" i="3" a="1"/>
  <c r="K114" i="7" a="1"/>
  <c r="K31" i="3" a="1"/>
  <c r="K47" i="13" a="1"/>
  <c r="K143" i="15" a="1"/>
  <c r="K120" i="5" a="1"/>
  <c r="K144" i="3" a="1"/>
  <c r="K59" i="7" a="1"/>
  <c r="K128" i="3" a="1"/>
  <c r="K46" i="3" a="1"/>
  <c r="K128" i="5" a="1"/>
  <c r="K65" i="9" a="1"/>
  <c r="K125" i="11" a="1"/>
  <c r="K115" i="9" a="1"/>
  <c r="K33" i="15" a="1"/>
  <c r="K62" i="5" a="1"/>
  <c r="K77" i="5" a="1"/>
  <c r="K66" i="3" a="1"/>
  <c r="K69" i="3" a="1"/>
  <c r="K102" i="15" a="1"/>
  <c r="K121" i="13" a="1"/>
  <c r="K117" i="7" a="1"/>
  <c r="K96" i="13" a="1"/>
  <c r="K107" i="5" a="1"/>
  <c r="K86" i="9" a="1"/>
  <c r="K116" i="7" a="1"/>
  <c r="K88" i="7" a="1"/>
  <c r="K28" i="15" a="1"/>
  <c r="K70" i="13" a="1"/>
  <c r="K10" i="7" a="1"/>
  <c r="K98" i="9" a="1"/>
  <c r="K53" i="11" a="1"/>
  <c r="K4" i="7" a="1"/>
  <c r="K123" i="11" a="1"/>
  <c r="K13" i="15" a="1"/>
  <c r="K40" i="3" a="1"/>
  <c r="K100" i="11" a="1"/>
  <c r="K104" i="11" a="1"/>
  <c r="K137" i="9" a="1"/>
  <c r="K118" i="11" a="1"/>
  <c r="K101" i="11" a="1"/>
  <c r="K24" i="5" a="1"/>
  <c r="K74" i="9" a="1"/>
  <c r="K145" i="15" a="1"/>
  <c r="K51" i="5" a="1"/>
  <c r="K130" i="11" a="1"/>
  <c r="K88" i="15" a="1"/>
  <c r="K7" i="15" a="1"/>
  <c r="K116" i="11" a="1"/>
  <c r="K151" i="7" a="1"/>
  <c r="K8" i="9" a="1"/>
  <c r="K54" i="7" a="1"/>
  <c r="K144" i="5" a="1"/>
  <c r="K45" i="9" a="1"/>
  <c r="K132" i="5" a="1"/>
  <c r="K65" i="7" a="1"/>
  <c r="K20" i="7" a="1"/>
  <c r="K39" i="5" a="1"/>
  <c r="K41" i="5" a="1"/>
  <c r="K110" i="13" a="1"/>
  <c r="K58" i="3" a="1"/>
  <c r="K93" i="5" a="1"/>
  <c r="K2" i="11" a="1"/>
  <c r="K147" i="7" a="1"/>
  <c r="K145" i="7" a="1"/>
  <c r="K125" i="3" a="1"/>
  <c r="K83" i="3" a="1"/>
  <c r="K77" i="11" a="1"/>
  <c r="K82" i="7" a="1"/>
  <c r="K7" i="13" a="1"/>
  <c r="K53" i="7" a="1"/>
  <c r="K81" i="15" a="1"/>
  <c r="K14" i="5" a="1"/>
  <c r="K126" i="3" a="1"/>
  <c r="K95" i="5" a="1"/>
  <c r="K28" i="9" a="1"/>
  <c r="K5" i="11" a="1"/>
  <c r="K117" i="13" a="1"/>
  <c r="K89" i="3" a="1"/>
  <c r="K154" i="15" a="1"/>
  <c r="K99" i="3" a="1"/>
  <c r="K120" i="9" a="1"/>
  <c r="K147" i="15" a="1"/>
  <c r="K138" i="11" a="1"/>
  <c r="K73" i="13" a="1"/>
  <c r="K97" i="5" a="1"/>
  <c r="K4" i="3" a="1"/>
  <c r="K97" i="9" a="1"/>
  <c r="K39" i="3" a="1"/>
  <c r="K93" i="7" a="1"/>
  <c r="K90" i="11" a="1"/>
  <c r="K148" i="15" a="1"/>
  <c r="K45" i="7" a="1"/>
  <c r="K142" i="15" a="1"/>
  <c r="K113" i="11" a="1"/>
  <c r="K104" i="9" a="1"/>
  <c r="K147" i="5" a="1"/>
  <c r="K26" i="13" a="1"/>
  <c r="K38" i="3" a="1"/>
  <c r="K32" i="11" a="1"/>
  <c r="K26" i="5" a="1"/>
  <c r="K14" i="13" a="1"/>
  <c r="K123" i="7" a="1"/>
  <c r="K139" i="3" a="1"/>
  <c r="K26" i="7" a="1"/>
  <c r="K40" i="7" a="1"/>
  <c r="K48" i="15" a="1"/>
  <c r="K33" i="1" a="1"/>
  <c r="K16" i="7" a="1"/>
  <c r="K90" i="3" a="1"/>
  <c r="K4" i="1" a="1"/>
  <c r="K123" i="9" a="1"/>
  <c r="K120" i="7" a="1"/>
  <c r="K48" i="13" a="1"/>
  <c r="K21" i="7" a="1"/>
  <c r="K34" i="3" a="1"/>
  <c r="K76" i="3" a="1"/>
  <c r="K31" i="7" a="1"/>
  <c r="K12" i="9" a="1"/>
  <c r="K66" i="5" a="1"/>
  <c r="K32" i="5" a="1"/>
  <c r="K27" i="15" a="1"/>
  <c r="K89" i="13" a="1"/>
  <c r="K5" i="9" a="1"/>
  <c r="K134" i="15" a="1"/>
  <c r="K109" i="3" a="1"/>
  <c r="K76" i="5" a="1"/>
  <c r="K55" i="11" a="1"/>
  <c r="K113" i="5" a="1"/>
  <c r="K35" i="13" a="1"/>
  <c r="K68" i="5" a="1"/>
  <c r="K101" i="15" a="1"/>
  <c r="K150" i="3" a="1"/>
  <c r="K105" i="11" a="1"/>
  <c r="K155" i="9" a="1"/>
  <c r="K118" i="13" a="1"/>
  <c r="K17" i="7" a="1"/>
  <c r="K74" i="11" a="1"/>
  <c r="K31" i="13" a="1"/>
  <c r="K63" i="15" a="1"/>
  <c r="K108" i="11" a="1"/>
  <c r="K66" i="7" a="1"/>
  <c r="K105" i="7" a="1"/>
  <c r="K117" i="15" a="1"/>
  <c r="K105" i="13" a="1"/>
  <c r="K138" i="3" a="1"/>
  <c r="K22" i="9" a="1"/>
  <c r="K80" i="15" a="1"/>
  <c r="K34" i="7" a="1"/>
  <c r="K55" i="15" a="1"/>
  <c r="K25" i="5" a="1"/>
  <c r="K54" i="15" a="1"/>
  <c r="K46" i="11" a="1"/>
  <c r="K81" i="9" a="1"/>
  <c r="K12" i="3" a="1"/>
  <c r="K78" i="9" a="1"/>
  <c r="K61" i="15" a="1"/>
  <c r="K59" i="13" a="1"/>
  <c r="K31" i="9" a="1"/>
  <c r="K82" i="5" a="1"/>
  <c r="K17" i="11" a="1"/>
  <c r="K11" i="9" a="1"/>
  <c r="K149" i="7" a="1"/>
  <c r="K132" i="13" a="1"/>
  <c r="K59" i="5" a="1"/>
  <c r="K12" i="13" a="1"/>
  <c r="K67" i="13" a="1"/>
  <c r="K77" i="7" a="1"/>
  <c r="K36" i="3" a="1"/>
  <c r="K39" i="7" a="1"/>
  <c r="K71" i="3" a="1"/>
  <c r="K19" i="13" a="1"/>
  <c r="K5" i="5" a="1"/>
  <c r="K134" i="13" a="1"/>
  <c r="K146" i="5" a="1"/>
  <c r="K72" i="7" a="1"/>
  <c r="K19" i="9" a="1"/>
  <c r="K149" i="9" a="1"/>
  <c r="K10" i="13" a="1"/>
  <c r="K123" i="15" a="1"/>
  <c r="K29" i="13" a="1"/>
  <c r="K3" i="13" a="1"/>
  <c r="K60" i="11" a="1"/>
  <c r="K92" i="7" a="1"/>
  <c r="K70" i="7" a="1"/>
  <c r="K80" i="9" a="1"/>
  <c r="K129" i="5" a="1"/>
  <c r="K132" i="9" a="1"/>
  <c r="K140" i="5" a="1"/>
  <c r="K8" i="13" a="1"/>
  <c r="K124" i="15" a="1"/>
  <c r="K7" i="7" a="1"/>
  <c r="K106" i="15" a="1"/>
  <c r="K83" i="13" a="1"/>
  <c r="K47" i="7" a="1"/>
  <c r="K92" i="13" a="1"/>
  <c r="K93" i="9" a="1"/>
  <c r="K112" i="7" a="1"/>
  <c r="K73" i="7" a="1"/>
  <c r="K67" i="15" a="1"/>
  <c r="K111" i="5" a="1"/>
  <c r="K24" i="9" a="1"/>
  <c r="K21" i="3" a="1"/>
  <c r="K30" i="11" a="1"/>
  <c r="K63" i="3" a="1"/>
  <c r="K143" i="11" a="1"/>
  <c r="K133" i="13" a="1"/>
  <c r="K75" i="5" a="1"/>
  <c r="K29" i="3" a="1"/>
  <c r="K88" i="13" a="1"/>
  <c r="K12" i="11" a="1"/>
  <c r="K92" i="15" a="1"/>
  <c r="K57" i="5" a="1"/>
  <c r="K114" i="5" a="1"/>
  <c r="K104" i="5" a="1"/>
  <c r="K22" i="5" a="1"/>
  <c r="K153" i="3" a="1"/>
  <c r="K23" i="9" a="1"/>
  <c r="K70" i="9" a="1"/>
  <c r="K35" i="3" a="1"/>
  <c r="K124" i="9" a="1"/>
  <c r="K153" i="9" a="1"/>
  <c r="K61" i="5" a="1"/>
  <c r="K156" i="7" a="1"/>
  <c r="K110" i="3" a="1"/>
  <c r="K107" i="7" a="1"/>
  <c r="K22" i="3" a="1"/>
  <c r="K78" i="3" a="1"/>
  <c r="K131" i="3" a="1"/>
  <c r="K66" i="11" a="1"/>
  <c r="K9" i="9" a="1"/>
  <c r="K18" i="9" a="1"/>
  <c r="K27" i="3" a="1"/>
  <c r="K108" i="9" a="1"/>
  <c r="K149" i="3" a="1"/>
  <c r="K47" i="5" a="1"/>
  <c r="K22" i="7" a="1"/>
  <c r="K42" i="9" a="1"/>
  <c r="K133" i="7" a="1"/>
  <c r="K135" i="15" a="1"/>
  <c r="K155" i="7" a="1"/>
  <c r="K28" i="11" a="1"/>
  <c r="K6" i="11" a="1"/>
  <c r="K69" i="15" a="1"/>
  <c r="K146" i="7" a="1"/>
  <c r="K152" i="5" a="1"/>
  <c r="K10" i="5" a="1"/>
  <c r="K52" i="7" a="1"/>
  <c r="K27" i="11" a="1"/>
  <c r="K24" i="7" a="1"/>
  <c r="K123" i="13" a="1"/>
  <c r="K97" i="3" a="1"/>
  <c r="K108" i="5" a="1"/>
  <c r="K29" i="7" a="1"/>
  <c r="K23" i="7" a="1"/>
  <c r="K151" i="11" a="1"/>
  <c r="K8" i="15" a="1"/>
  <c r="K94" i="11" a="1"/>
  <c r="K124" i="5" a="1"/>
  <c r="K33" i="7" a="1"/>
  <c r="K25" i="13" a="1"/>
  <c r="K109" i="11" a="1"/>
  <c r="K145" i="9" a="1"/>
  <c r="K113" i="9" a="1"/>
  <c r="K73" i="5" a="1"/>
  <c r="K40" i="5" a="1"/>
  <c r="K154" i="13" a="1"/>
  <c r="K107" i="11" a="1"/>
  <c r="K51" i="11" a="1"/>
  <c r="K43" i="11" a="1"/>
  <c r="K44" i="3" a="1"/>
  <c r="K102" i="11" a="1"/>
  <c r="K148" i="5" a="1"/>
  <c r="K63" i="11" a="1"/>
  <c r="K88" i="5" a="1"/>
  <c r="K137" i="15" a="1"/>
  <c r="K92" i="11" a="1"/>
  <c r="K64" i="5" a="1"/>
  <c r="K130" i="15" a="1"/>
  <c r="K100" i="7" a="1"/>
  <c r="K55" i="9" a="1"/>
  <c r="K114" i="3" a="1"/>
  <c r="K42" i="3" a="1"/>
  <c r="K60" i="15" a="1"/>
  <c r="K142" i="7" a="1"/>
  <c r="K153" i="15" a="1"/>
  <c r="K100" i="3" a="1"/>
  <c r="K38" i="5" a="1"/>
  <c r="K64" i="7" a="1"/>
  <c r="K43" i="5" a="1"/>
  <c r="K122" i="9" a="1"/>
  <c r="K38" i="11" a="1"/>
  <c r="K9" i="13" a="1"/>
  <c r="K80" i="5" a="1"/>
  <c r="K17" i="13" a="1"/>
  <c r="K14" i="7" a="1"/>
  <c r="K34" i="13" a="1"/>
  <c r="K146" i="3" a="1"/>
  <c r="K64" i="15" a="1"/>
  <c r="K99" i="13" a="1"/>
  <c r="K68" i="15" a="1"/>
  <c r="K32" i="9" a="1"/>
  <c r="K23" i="3" a="1"/>
  <c r="K156" i="13" a="1"/>
  <c r="K103" i="13" a="1"/>
  <c r="K37" i="5" a="1"/>
  <c r="K153" i="7" a="1"/>
  <c r="K77" i="13" a="1"/>
  <c r="K125" i="5" a="1"/>
  <c r="K2" i="7" a="1"/>
  <c r="K136" i="13" a="1"/>
  <c r="K112" i="11" a="1"/>
  <c r="K46" i="7" a="1"/>
  <c r="K78" i="11" a="1"/>
  <c r="K135" i="5" a="1"/>
  <c r="K131" i="9" a="1"/>
  <c r="K129" i="9" a="1"/>
  <c r="K85" i="15" a="1"/>
  <c r="K30" i="13" a="1"/>
  <c r="K125" i="15" a="1"/>
  <c r="K49" i="7" a="1"/>
  <c r="K156" i="5" a="1"/>
  <c r="K50" i="3" a="1"/>
  <c r="K10" i="11" a="1"/>
  <c r="K72" i="5" a="1"/>
  <c r="K63" i="7" a="1"/>
  <c r="K43" i="9" a="1"/>
  <c r="K13" i="3" a="1"/>
  <c r="K49" i="11" a="1"/>
  <c r="K69" i="11" a="1"/>
  <c r="K14" i="11" a="1"/>
  <c r="K105" i="15" a="1"/>
  <c r="K92" i="5" a="1"/>
  <c r="K9" i="3" a="1"/>
  <c r="K19" i="3" a="1"/>
  <c r="K56" i="3" a="1"/>
  <c r="K140" i="15" a="1"/>
  <c r="K130" i="5" a="1"/>
  <c r="K120" i="3" a="1"/>
  <c r="K114" i="15" a="1"/>
  <c r="K73" i="3" a="1"/>
  <c r="K69" i="7" a="1"/>
  <c r="K26" i="11" a="1"/>
  <c r="K78" i="5" a="1"/>
  <c r="K43" i="7" a="1"/>
  <c r="K42" i="7" a="1"/>
  <c r="K11" i="7" a="1"/>
  <c r="K34" i="9" a="1"/>
  <c r="K61" i="3" a="1"/>
  <c r="K146" i="11" a="1"/>
  <c r="K45" i="11" a="1"/>
  <c r="K44" i="13" a="1"/>
  <c r="K77" i="9" a="1"/>
  <c r="K36" i="5" a="1"/>
  <c r="K139" i="7" a="1"/>
  <c r="K99" i="5" a="1"/>
  <c r="K142" i="5" a="1"/>
  <c r="K147" i="11" a="1"/>
  <c r="K49" i="3" a="1"/>
  <c r="K98" i="11" a="1"/>
  <c r="K132" i="3" a="1"/>
  <c r="K153" i="5" a="1"/>
  <c r="K107" i="3" a="1"/>
  <c r="K151" i="13" a="1"/>
  <c r="K76" i="11" a="1"/>
  <c r="K133" i="9" a="1"/>
  <c r="K6" i="5" a="1"/>
  <c r="K121" i="9" a="1"/>
  <c r="K138" i="9" a="1"/>
  <c r="K87" i="11" a="1"/>
  <c r="K58" i="7" a="1"/>
  <c r="K24" i="11" a="1"/>
  <c r="K114" i="9" a="1"/>
  <c r="K127" i="9" a="1"/>
  <c r="K138" i="13" a="1"/>
  <c r="K119" i="13" a="1"/>
  <c r="K149" i="13" a="1"/>
  <c r="K57" i="13" a="1"/>
  <c r="K29" i="15" a="1"/>
  <c r="K8" i="3" a="1"/>
  <c r="K2" i="13" a="1"/>
  <c r="K38" i="7" a="1"/>
  <c r="K25" i="9" a="1"/>
  <c r="K114" i="13" a="1"/>
  <c r="K21" i="11" a="1"/>
  <c r="K23" i="11" a="1"/>
  <c r="K11" i="5" a="1"/>
  <c r="K100" i="9" a="1"/>
  <c r="K63" i="5" a="1"/>
  <c r="K35" i="5" a="1"/>
  <c r="K53" i="9" a="1"/>
  <c r="K33" i="3" a="1"/>
  <c r="K28" i="3" a="1"/>
  <c r="K119" i="11" a="1"/>
  <c r="K76" i="15" a="1"/>
  <c r="K15" i="15" a="1"/>
  <c r="K156" i="15" a="1"/>
  <c r="K143" i="7" a="1"/>
  <c r="K94" i="9" a="1"/>
  <c r="K55" i="5" a="1"/>
  <c r="K106" i="7" a="1"/>
  <c r="K145" i="11" a="1"/>
  <c r="K24" i="3" a="1"/>
  <c r="K67" i="11" a="1"/>
  <c r="K113" i="15" a="1"/>
  <c r="K15" i="5" a="1"/>
  <c r="K61" i="9" a="1"/>
  <c r="K117" i="11" a="1"/>
  <c r="K86" i="13" a="1"/>
  <c r="K27" i="9" a="1"/>
  <c r="K121" i="15" a="1"/>
  <c r="K54" i="13" a="1"/>
  <c r="K134" i="9" a="1"/>
  <c r="K144" i="13" a="1"/>
  <c r="K26" i="15" a="1"/>
  <c r="K106" i="5" a="1"/>
  <c r="K96" i="1" a="1"/>
  <c r="K21" i="5" a="1"/>
  <c r="K119" i="9" a="1"/>
  <c r="K91" i="5" a="1"/>
  <c r="K101" i="9" a="1"/>
  <c r="K148" i="7" a="1"/>
  <c r="K154" i="7" a="1"/>
  <c r="K40" i="9" a="1"/>
  <c r="K136" i="11" a="1"/>
  <c r="K146" i="9" a="1"/>
  <c r="K7" i="11" a="1"/>
  <c r="K105" i="3" a="1"/>
  <c r="K65" i="13" a="1"/>
  <c r="K96" i="9" a="1"/>
  <c r="K127" i="5" a="1"/>
  <c r="K49" i="5" a="1"/>
  <c r="K29" i="5" a="1"/>
  <c r="K147" i="13" a="1"/>
  <c r="K50" i="13" a="1"/>
  <c r="K25" i="7" a="1"/>
  <c r="K38" i="13" a="1"/>
  <c r="K34" i="1" a="1"/>
  <c r="K135" i="13" a="1"/>
  <c r="K149" i="5" a="1"/>
  <c r="K76" i="9" a="1"/>
  <c r="K70" i="5" a="1"/>
  <c r="K141" i="3" a="1"/>
  <c r="K130" i="9" a="1"/>
  <c r="K45" i="5" a="1"/>
  <c r="K25" i="11" a="1"/>
  <c r="K130" i="3" a="1"/>
  <c r="K48" i="7" a="1"/>
  <c r="K115" i="3" a="1"/>
  <c r="K75" i="13" a="1"/>
  <c r="K37" i="3" a="1"/>
  <c r="K3" i="3" a="1"/>
  <c r="K11" i="15" a="1"/>
  <c r="K46" i="15" a="1"/>
  <c r="K104" i="13" l="1"/>
  <c r="K79" i="3"/>
  <c r="K61" i="9"/>
  <c r="K6" i="9"/>
  <c r="K14" i="3"/>
  <c r="K24" i="7"/>
  <c r="K145" i="15"/>
  <c r="K116" i="7"/>
  <c r="K104" i="11"/>
  <c r="K22" i="3"/>
  <c r="K113" i="15"/>
  <c r="K32" i="9"/>
  <c r="K100" i="5"/>
  <c r="K84" i="11"/>
  <c r="K61" i="11"/>
  <c r="K39" i="3"/>
  <c r="K40" i="13"/>
  <c r="K88" i="3"/>
  <c r="K125" i="5"/>
  <c r="K65" i="13"/>
  <c r="K46" i="15"/>
  <c r="K77" i="7"/>
  <c r="K29" i="15"/>
  <c r="K14" i="9"/>
  <c r="K89" i="13"/>
  <c r="K140" i="13"/>
  <c r="K2" i="15"/>
  <c r="K38" i="3"/>
  <c r="K31" i="15"/>
  <c r="K86" i="11"/>
  <c r="K75" i="13"/>
  <c r="K53" i="3"/>
  <c r="K66" i="9"/>
  <c r="K141" i="5"/>
  <c r="K60" i="7"/>
  <c r="K33" i="3"/>
  <c r="B33" i="3" s="1"/>
  <c r="C33" i="3" s="1"/>
  <c r="K41" i="3"/>
  <c r="K49" i="3"/>
  <c r="K43" i="7"/>
  <c r="K84" i="9"/>
  <c r="K80" i="7"/>
  <c r="K62" i="15"/>
  <c r="K32" i="15"/>
  <c r="K156" i="5"/>
  <c r="K73" i="7"/>
  <c r="K143" i="11"/>
  <c r="K69" i="3"/>
  <c r="K37" i="11"/>
  <c r="K55" i="3"/>
  <c r="K6" i="3"/>
  <c r="K115" i="3"/>
  <c r="K9" i="9"/>
  <c r="K52" i="7"/>
  <c r="K53" i="15"/>
  <c r="K123" i="15"/>
  <c r="K74" i="5"/>
  <c r="K110" i="7"/>
  <c r="K19" i="11"/>
  <c r="K152" i="11"/>
  <c r="K148" i="7"/>
  <c r="K89" i="9"/>
  <c r="K121" i="3"/>
  <c r="K104" i="7"/>
  <c r="K19" i="7"/>
  <c r="K44" i="7"/>
  <c r="K99" i="15"/>
  <c r="K17" i="5"/>
  <c r="K50" i="7"/>
  <c r="K102" i="7"/>
  <c r="K81" i="9"/>
  <c r="K96" i="5"/>
  <c r="K107" i="3"/>
  <c r="K80" i="11"/>
  <c r="K14" i="7"/>
  <c r="K124" i="13"/>
  <c r="K120" i="3"/>
  <c r="K43" i="9"/>
  <c r="K54" i="11"/>
  <c r="K54" i="5"/>
  <c r="K136" i="3"/>
  <c r="K10" i="7"/>
  <c r="K146" i="11"/>
  <c r="K32" i="7"/>
  <c r="K100" i="7"/>
  <c r="K104" i="3"/>
  <c r="K82" i="13"/>
  <c r="K11" i="13"/>
  <c r="K98" i="7"/>
  <c r="K41" i="9"/>
  <c r="K114" i="11"/>
  <c r="K25" i="3"/>
  <c r="K127" i="9"/>
  <c r="K109" i="11"/>
  <c r="K49" i="15"/>
  <c r="K46" i="5"/>
  <c r="K83" i="7"/>
  <c r="K125" i="3"/>
  <c r="K35" i="11"/>
  <c r="K151" i="3"/>
  <c r="K12" i="9"/>
  <c r="K53" i="13"/>
  <c r="K44" i="11"/>
  <c r="K98" i="11"/>
  <c r="K125" i="11"/>
  <c r="K88" i="9"/>
  <c r="K16" i="15"/>
  <c r="K92" i="3"/>
  <c r="K144" i="9"/>
  <c r="K33" i="7"/>
  <c r="B33" i="7" s="1"/>
  <c r="C33" i="7" s="1"/>
  <c r="K30" i="13"/>
  <c r="K36" i="5"/>
  <c r="K102" i="11"/>
  <c r="K116" i="13"/>
  <c r="K52" i="9"/>
  <c r="K67" i="15"/>
  <c r="K16" i="13"/>
  <c r="K133" i="13"/>
  <c r="K129" i="5"/>
  <c r="K136" i="15"/>
  <c r="K145" i="3"/>
  <c r="K35" i="13"/>
  <c r="K4" i="3"/>
  <c r="K85" i="5"/>
  <c r="K84" i="3"/>
  <c r="K101" i="15"/>
  <c r="K35" i="5"/>
  <c r="K6" i="7"/>
  <c r="K116" i="15"/>
  <c r="B95" i="4"/>
  <c r="C95" i="4" s="1"/>
  <c r="K71" i="13"/>
  <c r="K8" i="3"/>
  <c r="K120" i="5"/>
  <c r="K87" i="3"/>
  <c r="K103" i="9"/>
  <c r="K66" i="7"/>
  <c r="K65" i="11"/>
  <c r="K96" i="13"/>
  <c r="K149" i="3"/>
  <c r="K20" i="15"/>
  <c r="K94" i="3"/>
  <c r="K100" i="3"/>
  <c r="K13" i="5"/>
  <c r="K73" i="5"/>
  <c r="K118" i="3"/>
  <c r="K88" i="11"/>
  <c r="K136" i="13"/>
  <c r="K76" i="13"/>
  <c r="K52" i="15"/>
  <c r="K7" i="3"/>
  <c r="K72" i="15"/>
  <c r="K120" i="11"/>
  <c r="K56" i="7"/>
  <c r="K24" i="13"/>
  <c r="K59" i="7"/>
  <c r="K114" i="13"/>
  <c r="K78" i="13"/>
  <c r="K19" i="5"/>
  <c r="K29" i="7"/>
  <c r="K124" i="3"/>
  <c r="K94" i="11"/>
  <c r="K42" i="9"/>
  <c r="K97" i="9"/>
  <c r="K30" i="5"/>
  <c r="K78" i="15"/>
  <c r="K73" i="3"/>
  <c r="K134" i="11"/>
  <c r="K69" i="9"/>
  <c r="K36" i="9"/>
  <c r="K20" i="9"/>
  <c r="K5" i="7"/>
  <c r="K108" i="7"/>
  <c r="K37" i="13"/>
  <c r="K86" i="7"/>
  <c r="K139" i="3"/>
  <c r="K107" i="9"/>
  <c r="K44" i="13"/>
  <c r="K147" i="3"/>
  <c r="K43" i="11"/>
  <c r="K11" i="9"/>
  <c r="K120" i="13"/>
  <c r="K70" i="3"/>
  <c r="K134" i="9"/>
  <c r="K137" i="9"/>
  <c r="K130" i="11"/>
  <c r="K85" i="11"/>
  <c r="K118" i="13"/>
  <c r="K76" i="3"/>
  <c r="K90" i="3"/>
  <c r="K13" i="3"/>
  <c r="K144" i="11"/>
  <c r="K68" i="15"/>
  <c r="K31" i="3"/>
  <c r="K22" i="13"/>
  <c r="K119" i="11"/>
  <c r="K81" i="13"/>
  <c r="B126" i="4"/>
  <c r="C126" i="4" s="1"/>
  <c r="K54" i="7"/>
  <c r="K111" i="7"/>
  <c r="K105" i="13"/>
  <c r="K23" i="3"/>
  <c r="K25" i="5"/>
  <c r="K92" i="5"/>
  <c r="K105" i="11"/>
  <c r="K136" i="11"/>
  <c r="K74" i="13"/>
  <c r="K26" i="5"/>
  <c r="K30" i="9"/>
  <c r="K36" i="11"/>
  <c r="K112" i="15"/>
  <c r="K49" i="5"/>
  <c r="K100" i="15"/>
  <c r="K150" i="13"/>
  <c r="K65" i="15"/>
  <c r="K138" i="9"/>
  <c r="K59" i="15"/>
  <c r="K114" i="9"/>
  <c r="K127" i="5"/>
  <c r="K53" i="7"/>
  <c r="K87" i="5"/>
  <c r="K36" i="13"/>
  <c r="K125" i="15"/>
  <c r="K70" i="11"/>
  <c r="K72" i="13"/>
  <c r="K18" i="9"/>
  <c r="K4" i="7"/>
  <c r="K47" i="13"/>
  <c r="K61" i="3"/>
  <c r="K133" i="5"/>
  <c r="K34" i="11"/>
  <c r="K77" i="9"/>
  <c r="K19" i="13"/>
  <c r="K146" i="3"/>
  <c r="K67" i="5"/>
  <c r="K90" i="13"/>
  <c r="K130" i="3"/>
  <c r="K100" i="9"/>
  <c r="K140" i="7"/>
  <c r="K7" i="13"/>
  <c r="K14" i="15"/>
  <c r="K42" i="13"/>
  <c r="K9" i="11"/>
  <c r="K111" i="3"/>
  <c r="K72" i="5"/>
  <c r="K146" i="5"/>
  <c r="K68" i="9"/>
  <c r="K154" i="11"/>
  <c r="K38" i="9"/>
  <c r="K64" i="5"/>
  <c r="K114" i="15"/>
  <c r="K76" i="9"/>
  <c r="K79" i="5"/>
  <c r="K132" i="13"/>
  <c r="K17" i="7"/>
  <c r="K21" i="15"/>
  <c r="K42" i="5"/>
  <c r="K17" i="13"/>
  <c r="K93" i="3"/>
  <c r="K31" i="11"/>
  <c r="K105" i="3"/>
  <c r="K83" i="9"/>
  <c r="K89" i="15"/>
  <c r="K58" i="5"/>
  <c r="K99" i="5"/>
  <c r="K109" i="15"/>
  <c r="K31" i="13"/>
  <c r="K59" i="5"/>
  <c r="K134" i="13"/>
  <c r="K51" i="3"/>
  <c r="K72" i="7"/>
  <c r="K59" i="11"/>
  <c r="K105" i="15"/>
  <c r="K63" i="13"/>
  <c r="K7" i="7"/>
  <c r="K98" i="5"/>
  <c r="K63" i="7"/>
  <c r="K43" i="5"/>
  <c r="K15" i="3"/>
  <c r="K27" i="9"/>
  <c r="K60" i="3"/>
  <c r="K123" i="13"/>
  <c r="K121" i="9"/>
  <c r="K122" i="13"/>
  <c r="K140" i="15"/>
  <c r="K83" i="11"/>
  <c r="K28" i="3"/>
  <c r="K34" i="3"/>
  <c r="K34" i="9"/>
  <c r="K28" i="7"/>
  <c r="K109" i="13"/>
  <c r="K119" i="5"/>
  <c r="K2" i="11"/>
  <c r="K38" i="7"/>
  <c r="K126" i="3"/>
  <c r="K78" i="9"/>
  <c r="K15" i="7"/>
  <c r="K122" i="7"/>
  <c r="K83" i="5"/>
  <c r="K98" i="3"/>
  <c r="K136" i="9"/>
  <c r="K129" i="9"/>
  <c r="K152" i="15"/>
  <c r="K46" i="13"/>
  <c r="K55" i="7"/>
  <c r="K138" i="3"/>
  <c r="K101" i="7"/>
  <c r="K21" i="5"/>
  <c r="K149" i="5"/>
  <c r="K89" i="7"/>
  <c r="K13" i="9"/>
  <c r="K64" i="3"/>
  <c r="B64" i="3" s="1"/>
  <c r="C64" i="3" s="1"/>
  <c r="K128" i="13"/>
  <c r="K103" i="7"/>
  <c r="K12" i="3"/>
  <c r="K132" i="7"/>
  <c r="K56" i="11"/>
  <c r="K110" i="5"/>
  <c r="K93" i="7"/>
  <c r="K62" i="3"/>
  <c r="K119" i="9"/>
  <c r="K81" i="15"/>
  <c r="K76" i="11"/>
  <c r="K40" i="15"/>
  <c r="K29" i="3"/>
  <c r="K45" i="7"/>
  <c r="K132" i="5"/>
  <c r="K17" i="11"/>
  <c r="K17" i="15"/>
  <c r="K145" i="5"/>
  <c r="K85" i="3"/>
  <c r="K5" i="13"/>
  <c r="K35" i="3"/>
  <c r="K55" i="15"/>
  <c r="K104" i="5"/>
  <c r="K154" i="7"/>
  <c r="K79" i="11"/>
  <c r="K74" i="15"/>
  <c r="K21" i="3"/>
  <c r="K84" i="5"/>
  <c r="K97" i="5"/>
  <c r="K135" i="5"/>
  <c r="K22" i="11"/>
  <c r="K145" i="9"/>
  <c r="K68" i="7"/>
  <c r="K123" i="5"/>
  <c r="K74" i="11"/>
  <c r="K147" i="9"/>
  <c r="K117" i="13"/>
  <c r="K78" i="3"/>
  <c r="K109" i="5"/>
  <c r="K147" i="5"/>
  <c r="K150" i="15"/>
  <c r="K87" i="11"/>
  <c r="K156" i="11"/>
  <c r="K78" i="7"/>
  <c r="K62" i="7"/>
  <c r="K72" i="9"/>
  <c r="K115" i="7"/>
  <c r="K41" i="7"/>
  <c r="K84" i="15"/>
  <c r="K66" i="11"/>
  <c r="K62" i="11"/>
  <c r="K51" i="13"/>
  <c r="K152" i="13"/>
  <c r="K122" i="3"/>
  <c r="K83" i="13"/>
  <c r="K10" i="15"/>
  <c r="K10" i="13"/>
  <c r="K71" i="15"/>
  <c r="K11" i="5"/>
  <c r="K5" i="3"/>
  <c r="K13" i="13"/>
  <c r="K120" i="9"/>
  <c r="K66" i="15"/>
  <c r="K87" i="9"/>
  <c r="K67" i="9"/>
  <c r="K63" i="9"/>
  <c r="K114" i="5"/>
  <c r="K155" i="5"/>
  <c r="K90" i="5"/>
  <c r="K125" i="13"/>
  <c r="K77" i="15"/>
  <c r="K131" i="13"/>
  <c r="K50" i="3"/>
  <c r="K137" i="13"/>
  <c r="K38" i="15"/>
  <c r="K117" i="7"/>
  <c r="K60" i="13"/>
  <c r="K121" i="5"/>
  <c r="K156" i="13"/>
  <c r="K108" i="5"/>
  <c r="K12" i="5"/>
  <c r="K6" i="5"/>
  <c r="K92" i="15"/>
  <c r="K61" i="5"/>
  <c r="K98" i="13"/>
  <c r="K66" i="3"/>
  <c r="K142" i="7"/>
  <c r="K113" i="5"/>
  <c r="K136" i="5"/>
  <c r="K57" i="15"/>
  <c r="K32" i="13"/>
  <c r="K24" i="9"/>
  <c r="K6" i="11"/>
  <c r="K89" i="3"/>
  <c r="K49" i="9"/>
  <c r="K149" i="7"/>
  <c r="K106" i="7"/>
  <c r="K23" i="7"/>
  <c r="K37" i="15"/>
  <c r="K43" i="13"/>
  <c r="K81" i="7"/>
  <c r="K113" i="3"/>
  <c r="K147" i="7"/>
  <c r="K147" i="15"/>
  <c r="K73" i="11"/>
  <c r="K107" i="5"/>
  <c r="K47" i="7"/>
  <c r="K36" i="3"/>
  <c r="K118" i="7"/>
  <c r="K117" i="9"/>
  <c r="K51" i="7"/>
  <c r="K4" i="13"/>
  <c r="K138" i="7"/>
  <c r="K126" i="13"/>
  <c r="B126" i="13" s="1"/>
  <c r="C126" i="13" s="1"/>
  <c r="K26" i="3"/>
  <c r="K42" i="15"/>
  <c r="K122" i="11"/>
  <c r="K71" i="5"/>
  <c r="K139" i="13"/>
  <c r="K52" i="3"/>
  <c r="K23" i="13"/>
  <c r="K38" i="13"/>
  <c r="K30" i="7"/>
  <c r="K135" i="9"/>
  <c r="K102" i="3"/>
  <c r="K74" i="7"/>
  <c r="K41" i="5"/>
  <c r="K2" i="13"/>
  <c r="K148" i="5"/>
  <c r="K22" i="7"/>
  <c r="K59" i="13"/>
  <c r="K20" i="11"/>
  <c r="K11" i="15"/>
  <c r="K12" i="7"/>
  <c r="K20" i="5"/>
  <c r="K9" i="7"/>
  <c r="K42" i="3"/>
  <c r="K148" i="11"/>
  <c r="K143" i="3"/>
  <c r="K116" i="5"/>
  <c r="K61" i="15"/>
  <c r="K115" i="11"/>
  <c r="K19" i="15"/>
  <c r="K31" i="5"/>
  <c r="K141" i="13"/>
  <c r="K49" i="11"/>
  <c r="K37" i="3"/>
  <c r="K126" i="9"/>
  <c r="K69" i="5"/>
  <c r="K115" i="15"/>
  <c r="K131" i="3"/>
  <c r="K25" i="11"/>
  <c r="K15" i="5"/>
  <c r="K114" i="7"/>
  <c r="K91" i="7"/>
  <c r="K104" i="9"/>
  <c r="K42" i="11"/>
  <c r="K97" i="11"/>
  <c r="K8" i="11"/>
  <c r="K108" i="9"/>
  <c r="K56" i="13"/>
  <c r="K111" i="13"/>
  <c r="K142" i="15"/>
  <c r="K58" i="13"/>
  <c r="K33" i="9"/>
  <c r="B33" i="9" s="1"/>
  <c r="C33" i="9" s="1"/>
  <c r="K106" i="13"/>
  <c r="K116" i="9"/>
  <c r="K80" i="13"/>
  <c r="K46" i="7"/>
  <c r="K120" i="7"/>
  <c r="K5" i="11"/>
  <c r="K114" i="3"/>
  <c r="K153" i="9"/>
  <c r="K86" i="15"/>
  <c r="K57" i="5"/>
  <c r="K50" i="9"/>
  <c r="K69" i="13"/>
  <c r="K15" i="13"/>
  <c r="K64" i="9"/>
  <c r="K18" i="3"/>
  <c r="K75" i="7"/>
  <c r="K63" i="11"/>
  <c r="K77" i="5"/>
  <c r="K6" i="13"/>
  <c r="K10" i="5"/>
  <c r="K139" i="7"/>
  <c r="K137" i="15"/>
  <c r="K130" i="9"/>
  <c r="K60" i="5"/>
  <c r="K14" i="5"/>
  <c r="K102" i="13"/>
  <c r="K81" i="3"/>
  <c r="K77" i="13"/>
  <c r="K51" i="15"/>
  <c r="K87" i="13"/>
  <c r="K134" i="3"/>
  <c r="K57" i="7"/>
  <c r="K154" i="15"/>
  <c r="K47" i="11"/>
  <c r="K16" i="5"/>
  <c r="K64" i="11"/>
  <c r="K103" i="13"/>
  <c r="K68" i="3"/>
  <c r="K92" i="13"/>
  <c r="K69" i="7"/>
  <c r="K60" i="9"/>
  <c r="K95" i="13"/>
  <c r="K156" i="7"/>
  <c r="K40" i="9"/>
  <c r="K74" i="9"/>
  <c r="K112" i="9"/>
  <c r="K65" i="5"/>
  <c r="K25" i="9"/>
  <c r="K60" i="11"/>
  <c r="K28" i="11"/>
  <c r="K33" i="13"/>
  <c r="B33" i="13" s="1"/>
  <c r="C33" i="13" s="1"/>
  <c r="K153" i="13"/>
  <c r="K41" i="13"/>
  <c r="K91" i="13"/>
  <c r="K67" i="7"/>
  <c r="K13" i="7"/>
  <c r="K32" i="3"/>
  <c r="K144" i="5"/>
  <c r="B64" i="10"/>
  <c r="C64" i="10" s="1"/>
  <c r="K110" i="13"/>
  <c r="K123" i="9"/>
  <c r="K64" i="7"/>
  <c r="K72" i="3"/>
  <c r="K92" i="7"/>
  <c r="K109" i="7"/>
  <c r="K94" i="5"/>
  <c r="K48" i="15"/>
  <c r="K106" i="11"/>
  <c r="K101" i="3"/>
  <c r="K70" i="9"/>
  <c r="K96" i="9"/>
  <c r="K121" i="13"/>
  <c r="K155" i="13"/>
  <c r="K154" i="3"/>
  <c r="K112" i="7"/>
  <c r="K133" i="11"/>
  <c r="K151" i="5"/>
  <c r="K143" i="13"/>
  <c r="K75" i="5"/>
  <c r="K47" i="9"/>
  <c r="K40" i="7"/>
  <c r="K69" i="15"/>
  <c r="K94" i="13"/>
  <c r="K95" i="5"/>
  <c r="B95" i="5" s="1"/>
  <c r="C95" i="5" s="1"/>
  <c r="K39" i="7"/>
  <c r="K10" i="9"/>
  <c r="K131" i="9"/>
  <c r="K35" i="7"/>
  <c r="K143" i="15"/>
  <c r="K142" i="5"/>
  <c r="K137" i="3"/>
  <c r="K34" i="15"/>
  <c r="K110" i="9"/>
  <c r="K149" i="15"/>
  <c r="K7" i="9"/>
  <c r="K105" i="5"/>
  <c r="K56" i="5"/>
  <c r="K11" i="3"/>
  <c r="K10" i="3"/>
  <c r="K63" i="15"/>
  <c r="K33" i="15"/>
  <c r="B33" i="15" s="1"/>
  <c r="C33" i="15" s="1"/>
  <c r="K45" i="15"/>
  <c r="K26" i="11"/>
  <c r="K150" i="11"/>
  <c r="K91" i="3"/>
  <c r="K12" i="13"/>
  <c r="K88" i="7"/>
  <c r="K118" i="15"/>
  <c r="K128" i="5"/>
  <c r="K88" i="15"/>
  <c r="K71" i="9"/>
  <c r="K144" i="15"/>
  <c r="K47" i="5"/>
  <c r="K148" i="9"/>
  <c r="K54" i="15"/>
  <c r="K146" i="7"/>
  <c r="K100" i="13"/>
  <c r="K75" i="3"/>
  <c r="K111" i="5"/>
  <c r="K141" i="11"/>
  <c r="K139" i="15"/>
  <c r="K146" i="13"/>
  <c r="K82" i="5"/>
  <c r="K81" i="11"/>
  <c r="K82" i="15"/>
  <c r="K117" i="3"/>
  <c r="K35" i="9"/>
  <c r="K80" i="15"/>
  <c r="K71" i="3"/>
  <c r="K39" i="9"/>
  <c r="K151" i="15"/>
  <c r="K106" i="5"/>
  <c r="K67" i="13"/>
  <c r="K19" i="9"/>
  <c r="K11" i="11"/>
  <c r="K13" i="15"/>
  <c r="K142" i="9"/>
  <c r="K29" i="9"/>
  <c r="K3" i="15"/>
  <c r="K108" i="3"/>
  <c r="K99" i="13"/>
  <c r="K85" i="13"/>
  <c r="K57" i="11"/>
  <c r="K90" i="15"/>
  <c r="K46" i="9"/>
  <c r="K140" i="5"/>
  <c r="K135" i="13"/>
  <c r="K150" i="5"/>
  <c r="K9" i="15"/>
  <c r="K80" i="9"/>
  <c r="K12" i="11"/>
  <c r="K58" i="7"/>
  <c r="K109" i="9"/>
  <c r="K144" i="3"/>
  <c r="K77" i="3"/>
  <c r="K27" i="15"/>
  <c r="K152" i="9"/>
  <c r="K80" i="3"/>
  <c r="K47" i="15"/>
  <c r="K141" i="9"/>
  <c r="K150" i="7"/>
  <c r="K143" i="5"/>
  <c r="K20" i="7"/>
  <c r="K31" i="7"/>
  <c r="K3" i="3"/>
  <c r="K142" i="3"/>
  <c r="K121" i="15"/>
  <c r="K116" i="11"/>
  <c r="K16" i="7"/>
  <c r="K145" i="11"/>
  <c r="K84" i="7"/>
  <c r="K28" i="15"/>
  <c r="K139" i="5"/>
  <c r="K102" i="15"/>
  <c r="K2" i="1"/>
  <c r="K126" i="11"/>
  <c r="K149" i="13"/>
  <c r="K39" i="15"/>
  <c r="K80" i="5"/>
  <c r="K82" i="7"/>
  <c r="K23" i="5"/>
  <c r="K132" i="11"/>
  <c r="K54" i="13"/>
  <c r="K48" i="5"/>
  <c r="K119" i="15"/>
  <c r="K148" i="3"/>
  <c r="K58" i="9"/>
  <c r="B95" i="12"/>
  <c r="C95" i="12" s="1"/>
  <c r="K41" i="15"/>
  <c r="K103" i="3"/>
  <c r="K51" i="9"/>
  <c r="K22" i="15"/>
  <c r="K131" i="5"/>
  <c r="K10" i="11"/>
  <c r="K98" i="9"/>
  <c r="K54" i="3"/>
  <c r="K106" i="15"/>
  <c r="K33" i="5"/>
  <c r="B33" i="5" s="1"/>
  <c r="C33" i="5" s="1"/>
  <c r="K45" i="5"/>
  <c r="K73" i="15"/>
  <c r="K45" i="3"/>
  <c r="K16" i="11"/>
  <c r="K86" i="5"/>
  <c r="K58" i="15"/>
  <c r="K2" i="9"/>
  <c r="K110" i="3"/>
  <c r="K139" i="11"/>
  <c r="K97" i="3"/>
  <c r="K51" i="5"/>
  <c r="K26" i="7"/>
  <c r="K134" i="7"/>
  <c r="K88" i="5"/>
  <c r="K148" i="13"/>
  <c r="K155" i="7"/>
  <c r="K140" i="9"/>
  <c r="K113" i="13"/>
  <c r="K90" i="7"/>
  <c r="K124" i="7"/>
  <c r="K34" i="5"/>
  <c r="K119" i="3"/>
  <c r="K152" i="3"/>
  <c r="K51" i="11"/>
  <c r="K8" i="7"/>
  <c r="K21" i="11"/>
  <c r="K89" i="5"/>
  <c r="K78" i="11"/>
  <c r="K23" i="15"/>
  <c r="K56" i="9"/>
  <c r="K100" i="11"/>
  <c r="K25" i="13"/>
  <c r="K149" i="11"/>
  <c r="K130" i="5"/>
  <c r="K153" i="11"/>
  <c r="K135" i="15"/>
  <c r="K127" i="13"/>
  <c r="K32" i="5"/>
  <c r="K28" i="5"/>
  <c r="K79" i="15"/>
  <c r="K20" i="3"/>
  <c r="K75" i="9"/>
  <c r="K8" i="15"/>
  <c r="K140" i="3"/>
  <c r="K17" i="9"/>
  <c r="K12" i="15"/>
  <c r="K89" i="11"/>
  <c r="K82" i="9"/>
  <c r="K138" i="11"/>
  <c r="K55" i="5"/>
  <c r="K79" i="9"/>
  <c r="K101" i="13"/>
  <c r="K123" i="3"/>
  <c r="K118" i="5"/>
  <c r="K71" i="11"/>
  <c r="K107" i="7"/>
  <c r="K144" i="7"/>
  <c r="K58" i="3"/>
  <c r="K29" i="13"/>
  <c r="K120" i="15"/>
  <c r="K153" i="7"/>
  <c r="K124" i="9"/>
  <c r="K83" i="15"/>
  <c r="K103" i="11"/>
  <c r="K56" i="15"/>
  <c r="K14" i="11"/>
  <c r="K155" i="9"/>
  <c r="K21" i="7"/>
  <c r="K46" i="3"/>
  <c r="K133" i="15"/>
  <c r="K21" i="13"/>
  <c r="K121" i="7"/>
  <c r="K70" i="7"/>
  <c r="K145" i="13"/>
  <c r="B2" i="10"/>
  <c r="C2" i="10" s="1"/>
  <c r="K48" i="13"/>
  <c r="K92" i="11"/>
  <c r="K40" i="11"/>
  <c r="K88" i="13"/>
  <c r="K29" i="11"/>
  <c r="K53" i="9"/>
  <c r="K150" i="9"/>
  <c r="B64" i="4"/>
  <c r="C64" i="4" s="1"/>
  <c r="K24" i="11"/>
  <c r="K7" i="15"/>
  <c r="K90" i="11"/>
  <c r="K110" i="11"/>
  <c r="K55" i="9"/>
  <c r="K48" i="9"/>
  <c r="K5" i="5"/>
  <c r="K44" i="3"/>
  <c r="K8" i="9"/>
  <c r="K155" i="11"/>
  <c r="K48" i="7"/>
  <c r="K54" i="9"/>
  <c r="K4" i="11"/>
  <c r="K82" i="11"/>
  <c r="K108" i="13"/>
  <c r="K36" i="15"/>
  <c r="K102" i="5"/>
  <c r="K141" i="7"/>
  <c r="K91" i="9"/>
  <c r="K112" i="11"/>
  <c r="K9" i="13"/>
  <c r="K6" i="15"/>
  <c r="K34" i="13"/>
  <c r="K64" i="15"/>
  <c r="B64" i="15" s="1"/>
  <c r="C64" i="15" s="1"/>
  <c r="K18" i="13"/>
  <c r="K49" i="7"/>
  <c r="K93" i="11"/>
  <c r="K103" i="15"/>
  <c r="K85" i="9"/>
  <c r="K124" i="15"/>
  <c r="K32" i="11"/>
  <c r="K61" i="7"/>
  <c r="K156" i="3"/>
  <c r="K3" i="13"/>
  <c r="K95" i="9"/>
  <c r="B95" i="9" s="1"/>
  <c r="C95" i="9" s="1"/>
  <c r="K5" i="15"/>
  <c r="K35" i="15"/>
  <c r="K107" i="11"/>
  <c r="K22" i="9"/>
  <c r="K39" i="13"/>
  <c r="K133" i="7"/>
  <c r="K24" i="5"/>
  <c r="K40" i="3"/>
  <c r="K34" i="7"/>
  <c r="K151" i="7"/>
  <c r="K24" i="3"/>
  <c r="K55" i="13"/>
  <c r="K101" i="5"/>
  <c r="K62" i="13"/>
  <c r="K27" i="11"/>
  <c r="K38" i="11"/>
  <c r="K112" i="3"/>
  <c r="K107" i="13"/>
  <c r="K15" i="11"/>
  <c r="K128" i="3"/>
  <c r="K45" i="9"/>
  <c r="K153" i="5"/>
  <c r="K2" i="7"/>
  <c r="K37" i="7"/>
  <c r="K26" i="9"/>
  <c r="K128" i="9"/>
  <c r="K50" i="15"/>
  <c r="K44" i="5"/>
  <c r="K58" i="11"/>
  <c r="K59" i="3"/>
  <c r="K94" i="9"/>
  <c r="K85" i="7"/>
  <c r="K111" i="9"/>
  <c r="K67" i="11"/>
  <c r="K3" i="9"/>
  <c r="K101" i="11"/>
  <c r="K73" i="13"/>
  <c r="K43" i="15"/>
  <c r="K29" i="5"/>
  <c r="K131" i="7"/>
  <c r="K154" i="9"/>
  <c r="K7" i="11"/>
  <c r="K68" i="13"/>
  <c r="K76" i="15"/>
  <c r="K48" i="11"/>
  <c r="K14" i="13"/>
  <c r="K153" i="15"/>
  <c r="K30" i="15"/>
  <c r="K112" i="5"/>
  <c r="K156" i="15"/>
  <c r="K66" i="5"/>
  <c r="K48" i="3"/>
  <c r="K82" i="3"/>
  <c r="K52" i="13"/>
  <c r="K31" i="9"/>
  <c r="K37" i="5"/>
  <c r="K97" i="13"/>
  <c r="K132" i="9"/>
  <c r="K112" i="13"/>
  <c r="K62" i="9"/>
  <c r="K39" i="5"/>
  <c r="K44" i="9"/>
  <c r="K124" i="5"/>
  <c r="K27" i="13"/>
  <c r="K77" i="11"/>
  <c r="K81" i="5"/>
  <c r="K70" i="15"/>
  <c r="K56" i="3"/>
  <c r="K123" i="7"/>
  <c r="K27" i="7"/>
  <c r="K20" i="13"/>
  <c r="K93" i="5"/>
  <c r="K129" i="3"/>
  <c r="K117" i="5"/>
  <c r="K116" i="3"/>
  <c r="K106" i="3"/>
  <c r="K86" i="9"/>
  <c r="K3" i="1"/>
  <c r="K122" i="5"/>
  <c r="K113" i="7"/>
  <c r="K145" i="7"/>
  <c r="K87" i="7"/>
  <c r="K104" i="15"/>
  <c r="K131" i="15"/>
  <c r="K18" i="11"/>
  <c r="K149" i="9"/>
  <c r="K65" i="7"/>
  <c r="K133" i="9"/>
  <c r="K146" i="9"/>
  <c r="K140" i="11"/>
  <c r="K8" i="13"/>
  <c r="K78" i="5"/>
  <c r="K135" i="7"/>
  <c r="K101" i="9"/>
  <c r="K52" i="11"/>
  <c r="K64" i="13"/>
  <c r="K148" i="15"/>
  <c r="K138" i="5"/>
  <c r="K125" i="7"/>
  <c r="K23" i="9"/>
  <c r="K129" i="11"/>
  <c r="K93" i="13"/>
  <c r="K138" i="15"/>
  <c r="K143" i="9"/>
  <c r="K73" i="9"/>
  <c r="K132" i="3"/>
  <c r="K99" i="9"/>
  <c r="K130" i="15"/>
  <c r="K134" i="5"/>
  <c r="K108" i="11"/>
  <c r="K15" i="15"/>
  <c r="K137" i="5"/>
  <c r="K30" i="11"/>
  <c r="K22" i="5"/>
  <c r="K136" i="7"/>
  <c r="K138" i="13"/>
  <c r="K17" i="3"/>
  <c r="K133" i="3"/>
  <c r="K37" i="9"/>
  <c r="B126" i="16"/>
  <c r="C126" i="16" s="1"/>
  <c r="K19" i="3"/>
  <c r="K21" i="9"/>
  <c r="K4" i="15"/>
  <c r="K117" i="15"/>
  <c r="K151" i="13"/>
  <c r="K76" i="5"/>
  <c r="K28" i="9"/>
  <c r="K111" i="11"/>
  <c r="K26" i="13"/>
  <c r="K93" i="15"/>
  <c r="K63" i="3"/>
  <c r="K71" i="7"/>
  <c r="K39" i="11"/>
  <c r="K91" i="5"/>
  <c r="K105" i="9"/>
  <c r="K151" i="11"/>
  <c r="K61" i="13"/>
  <c r="K85" i="15"/>
  <c r="K65" i="3"/>
  <c r="K109" i="3"/>
  <c r="K103" i="5"/>
  <c r="K105" i="7"/>
  <c r="K113" i="9"/>
  <c r="K46" i="11"/>
  <c r="K154" i="13"/>
  <c r="K4" i="5"/>
  <c r="K152" i="7"/>
  <c r="K110" i="15"/>
  <c r="K11" i="7"/>
  <c r="K93" i="9"/>
  <c r="K33" i="11"/>
  <c r="K150" i="3"/>
  <c r="K59" i="9"/>
  <c r="K155" i="3"/>
  <c r="K123" i="11"/>
  <c r="K91" i="11"/>
  <c r="K75" i="11"/>
  <c r="K137" i="11"/>
  <c r="K27" i="5"/>
  <c r="K45" i="11"/>
  <c r="K155" i="15"/>
  <c r="K130" i="7"/>
  <c r="K57" i="13"/>
  <c r="K7" i="5"/>
  <c r="K23" i="11"/>
  <c r="K108" i="15"/>
  <c r="K9" i="3"/>
  <c r="K151" i="9"/>
  <c r="K141" i="3"/>
  <c r="K139" i="9"/>
  <c r="K134" i="15"/>
  <c r="K50" i="11"/>
  <c r="K53" i="5"/>
  <c r="K135" i="11"/>
  <c r="K4" i="9"/>
  <c r="K25" i="15"/>
  <c r="K70" i="5"/>
  <c r="K13" i="11"/>
  <c r="K86" i="13"/>
  <c r="K137" i="7"/>
  <c r="K50" i="13"/>
  <c r="B64" i="16"/>
  <c r="C64" i="16" s="1"/>
  <c r="K52" i="5"/>
  <c r="K5" i="9"/>
  <c r="K147" i="13"/>
  <c r="K24" i="15"/>
  <c r="K2" i="3"/>
  <c r="B2" i="3" s="1"/>
  <c r="C2" i="3" s="1"/>
  <c r="K2" i="5"/>
  <c r="K42" i="7"/>
  <c r="K102" i="9"/>
  <c r="K113" i="11"/>
  <c r="K84" i="13"/>
  <c r="K146" i="15"/>
  <c r="K83" i="3"/>
  <c r="K72" i="11"/>
  <c r="K111" i="15"/>
  <c r="K86" i="3"/>
  <c r="K63" i="5"/>
  <c r="K119" i="7"/>
  <c r="K57" i="9"/>
  <c r="K124" i="11"/>
  <c r="K142" i="13"/>
  <c r="K91" i="15"/>
  <c r="K74" i="3"/>
  <c r="K9" i="5"/>
  <c r="K43" i="3"/>
  <c r="K152" i="5"/>
  <c r="K76" i="7"/>
  <c r="K125" i="9"/>
  <c r="K55" i="11"/>
  <c r="K45" i="13"/>
  <c r="K122" i="15"/>
  <c r="K3" i="5"/>
  <c r="K99" i="7"/>
  <c r="K118" i="9"/>
  <c r="K92" i="9"/>
  <c r="K118" i="11"/>
  <c r="K49" i="13"/>
  <c r="K87" i="15"/>
  <c r="K141" i="15"/>
  <c r="K60" i="15"/>
  <c r="K70" i="13"/>
  <c r="K115" i="9"/>
  <c r="K66" i="13"/>
  <c r="K121" i="11"/>
  <c r="K131" i="11"/>
  <c r="K142" i="11"/>
  <c r="K8" i="5"/>
  <c r="K99" i="11"/>
  <c r="K117" i="11"/>
  <c r="K69" i="11"/>
  <c r="K53" i="11"/>
  <c r="K68" i="5"/>
  <c r="K40" i="5"/>
  <c r="K50" i="5"/>
  <c r="K75" i="15"/>
  <c r="K144" i="13"/>
  <c r="K79" i="7"/>
  <c r="K28" i="13"/>
  <c r="K99" i="3"/>
  <c r="K122" i="9"/>
  <c r="K57" i="3"/>
  <c r="K90" i="9"/>
  <c r="K27" i="3"/>
  <c r="K156" i="9"/>
  <c r="K143" i="7"/>
  <c r="K153" i="3"/>
  <c r="K62" i="5"/>
  <c r="K94" i="7"/>
  <c r="K115" i="13"/>
  <c r="K135" i="3"/>
  <c r="K115" i="5"/>
  <c r="K68" i="11"/>
  <c r="K47" i="3"/>
  <c r="K36" i="7"/>
  <c r="K3" i="11"/>
  <c r="K79" i="13"/>
  <c r="K67" i="3"/>
  <c r="K18" i="15"/>
  <c r="K106" i="9"/>
  <c r="K130" i="13"/>
  <c r="B33" i="12"/>
  <c r="C33" i="12" s="1"/>
  <c r="K65" i="9"/>
  <c r="K41" i="11"/>
  <c r="K129" i="13"/>
  <c r="K44" i="15"/>
  <c r="K30" i="3"/>
  <c r="K38" i="5"/>
  <c r="K147" i="11"/>
  <c r="K119" i="13"/>
  <c r="K26" i="15"/>
  <c r="K154" i="5"/>
  <c r="K25" i="7"/>
  <c r="K15" i="9"/>
  <c r="K94" i="15"/>
  <c r="K132" i="15"/>
  <c r="K107" i="15"/>
  <c r="G98" i="16"/>
  <c r="J33" i="16"/>
  <c r="G36" i="16"/>
  <c r="J35" i="16"/>
  <c r="G130" i="16"/>
  <c r="G6" i="16"/>
  <c r="G71" i="16"/>
  <c r="B98" i="15"/>
  <c r="C98" i="15" s="1"/>
  <c r="G101" i="15"/>
  <c r="J100" i="15"/>
  <c r="G6" i="15"/>
  <c r="B96" i="15"/>
  <c r="C96" i="15" s="1"/>
  <c r="B95" i="15"/>
  <c r="C95" i="15" s="1"/>
  <c r="J99" i="15"/>
  <c r="B97" i="15"/>
  <c r="C97" i="15" s="1"/>
  <c r="G41" i="15"/>
  <c r="J72" i="15"/>
  <c r="G73" i="15"/>
  <c r="J71" i="15"/>
  <c r="J39" i="15"/>
  <c r="G131" i="15"/>
  <c r="J130" i="15"/>
  <c r="G98" i="14"/>
  <c r="J97" i="14"/>
  <c r="G131" i="14"/>
  <c r="J130" i="14"/>
  <c r="G67" i="14"/>
  <c r="J129" i="14"/>
  <c r="G36" i="14"/>
  <c r="J35" i="14"/>
  <c r="J34" i="14"/>
  <c r="G7" i="14"/>
  <c r="J6" i="14"/>
  <c r="G98" i="13"/>
  <c r="J97" i="13" s="1"/>
  <c r="G68" i="13"/>
  <c r="G6" i="13"/>
  <c r="G130" i="13"/>
  <c r="J129" i="13" s="1"/>
  <c r="G39" i="13"/>
  <c r="G38" i="12"/>
  <c r="J37" i="12" s="1"/>
  <c r="G129" i="12"/>
  <c r="J128" i="12"/>
  <c r="G6" i="12"/>
  <c r="J5" i="12" s="1"/>
  <c r="G100" i="12"/>
  <c r="J36" i="12"/>
  <c r="G67" i="12"/>
  <c r="J66" i="12"/>
  <c r="G129" i="11"/>
  <c r="J128" i="11"/>
  <c r="G100" i="11"/>
  <c r="G37" i="11"/>
  <c r="G6" i="11"/>
  <c r="J127" i="11"/>
  <c r="G68" i="11"/>
  <c r="J66" i="11"/>
  <c r="B95" i="11"/>
  <c r="C95" i="11" s="1"/>
  <c r="G7" i="10"/>
  <c r="G130" i="10"/>
  <c r="J129" i="10" s="1"/>
  <c r="J68" i="10"/>
  <c r="G69" i="10"/>
  <c r="G36" i="10"/>
  <c r="J35" i="10" s="1"/>
  <c r="G98" i="10"/>
  <c r="J67" i="10"/>
  <c r="G101" i="9"/>
  <c r="J100" i="9"/>
  <c r="J99" i="9"/>
  <c r="G5" i="9"/>
  <c r="J4" i="9"/>
  <c r="J2" i="9"/>
  <c r="G67" i="9"/>
  <c r="J66" i="9"/>
  <c r="J126" i="9"/>
  <c r="G39" i="9"/>
  <c r="J38" i="9"/>
  <c r="J65" i="9"/>
  <c r="G129" i="9"/>
  <c r="J128" i="9"/>
  <c r="J37" i="9"/>
  <c r="G67" i="8"/>
  <c r="J66" i="8"/>
  <c r="J65" i="8"/>
  <c r="G36" i="8"/>
  <c r="J35" i="8"/>
  <c r="G5" i="8"/>
  <c r="J4" i="8"/>
  <c r="J64" i="8"/>
  <c r="G98" i="8"/>
  <c r="J97" i="8"/>
  <c r="G130" i="8"/>
  <c r="J2" i="8"/>
  <c r="B97" i="7"/>
  <c r="C97" i="7" s="1"/>
  <c r="B126" i="7"/>
  <c r="C126" i="7" s="1"/>
  <c r="B96" i="7"/>
  <c r="C96" i="7" s="1"/>
  <c r="B95" i="7"/>
  <c r="C95" i="7" s="1"/>
  <c r="G103" i="7"/>
  <c r="G37" i="7"/>
  <c r="J36" i="7"/>
  <c r="G5" i="7"/>
  <c r="J4" i="7"/>
  <c r="J2" i="7"/>
  <c r="G130" i="7"/>
  <c r="J101" i="7"/>
  <c r="G68" i="7"/>
  <c r="J67" i="7" s="1"/>
  <c r="J66" i="7"/>
  <c r="J127" i="6"/>
  <c r="G98" i="6"/>
  <c r="J97" i="6"/>
  <c r="G67" i="6"/>
  <c r="J66" i="6"/>
  <c r="J65" i="6"/>
  <c r="G5" i="6"/>
  <c r="J4" i="6"/>
  <c r="G129" i="6"/>
  <c r="J64" i="6"/>
  <c r="G36" i="6"/>
  <c r="J35" i="6"/>
  <c r="G129" i="5"/>
  <c r="J128" i="5"/>
  <c r="G102" i="5"/>
  <c r="G38" i="5"/>
  <c r="J37" i="5" s="1"/>
  <c r="G7" i="5"/>
  <c r="J6" i="5"/>
  <c r="G68" i="5"/>
  <c r="J126" i="5"/>
  <c r="G69" i="4"/>
  <c r="J68" i="4"/>
  <c r="G5" i="4"/>
  <c r="J4" i="4"/>
  <c r="J2" i="4"/>
  <c r="G101" i="4"/>
  <c r="J100" i="4" s="1"/>
  <c r="J99" i="4"/>
  <c r="J35" i="4"/>
  <c r="G36" i="4"/>
  <c r="J67" i="4"/>
  <c r="G130" i="4"/>
  <c r="J129" i="4" s="1"/>
  <c r="J129" i="3"/>
  <c r="G130" i="3"/>
  <c r="J128" i="3"/>
  <c r="G69" i="3"/>
  <c r="J68" i="3"/>
  <c r="J67" i="3"/>
  <c r="G6" i="3"/>
  <c r="J4" i="3"/>
  <c r="G98" i="3"/>
  <c r="J97" i="3" s="1"/>
  <c r="G39" i="3"/>
  <c r="J38" i="3"/>
  <c r="G5" i="2"/>
  <c r="J4" i="2"/>
  <c r="G129" i="2"/>
  <c r="J128" i="2"/>
  <c r="G69" i="2"/>
  <c r="J68" i="2"/>
  <c r="J127" i="2"/>
  <c r="J3" i="2"/>
  <c r="J126" i="2"/>
  <c r="J97" i="2"/>
  <c r="G98" i="2"/>
  <c r="J95" i="2"/>
  <c r="J67" i="2"/>
  <c r="J2" i="2"/>
  <c r="G36" i="2"/>
  <c r="J35" i="2"/>
  <c r="K127" i="1"/>
  <c r="G129" i="1"/>
  <c r="J128" i="1" s="1"/>
  <c r="J126" i="1"/>
  <c r="K96" i="1"/>
  <c r="K95" i="1"/>
  <c r="G98" i="1"/>
  <c r="J97" i="1"/>
  <c r="G67" i="1"/>
  <c r="J66" i="1"/>
  <c r="J65" i="1"/>
  <c r="J64" i="1"/>
  <c r="K34" i="1"/>
  <c r="K33" i="1"/>
  <c r="J36" i="1"/>
  <c r="G37" i="1"/>
  <c r="J35" i="1"/>
  <c r="K4" i="1"/>
  <c r="G7" i="1"/>
  <c r="J6" i="1" s="1"/>
  <c r="J5" i="1"/>
  <c r="K36" i="1" a="1"/>
  <c r="K5" i="1" a="1"/>
  <c r="K35" i="1" a="1"/>
  <c r="K66" i="1" a="1"/>
  <c r="K65" i="1" a="1"/>
  <c r="K6" i="1" a="1"/>
  <c r="K97" i="1" a="1"/>
  <c r="K64" i="1" a="1"/>
  <c r="K126" i="1" a="1"/>
  <c r="K128" i="1" a="1"/>
  <c r="B4" i="15" l="1"/>
  <c r="C4" i="15" s="1"/>
  <c r="B98" i="12"/>
  <c r="C98" i="12" s="1"/>
  <c r="B98" i="9"/>
  <c r="C98" i="9" s="1"/>
  <c r="B96" i="4"/>
  <c r="C96" i="4" s="1"/>
  <c r="B97" i="9"/>
  <c r="C97" i="9" s="1"/>
  <c r="B34" i="7"/>
  <c r="C34" i="7" s="1"/>
  <c r="B3" i="3"/>
  <c r="C3" i="3" s="1"/>
  <c r="B35" i="15"/>
  <c r="C35" i="15" s="1"/>
  <c r="B127" i="4"/>
  <c r="C127" i="4" s="1"/>
  <c r="B66" i="13"/>
  <c r="C66" i="13" s="1"/>
  <c r="B4" i="16"/>
  <c r="C4" i="16" s="1"/>
  <c r="B3" i="10"/>
  <c r="C3" i="10" s="1"/>
  <c r="B127" i="16"/>
  <c r="C127" i="16" s="1"/>
  <c r="B34" i="13"/>
  <c r="C34" i="13" s="1"/>
  <c r="B65" i="3"/>
  <c r="C65" i="3" s="1"/>
  <c r="B66" i="5"/>
  <c r="C66" i="5" s="1"/>
  <c r="B37" i="13"/>
  <c r="C37" i="13" s="1"/>
  <c r="B97" i="5"/>
  <c r="C97" i="5" s="1"/>
  <c r="B65" i="4"/>
  <c r="C65" i="4" s="1"/>
  <c r="B5" i="10"/>
  <c r="C5" i="10" s="1"/>
  <c r="B34" i="9"/>
  <c r="C34" i="9" s="1"/>
  <c r="B97" i="11"/>
  <c r="C97" i="11" s="1"/>
  <c r="B98" i="11"/>
  <c r="C98" i="11" s="1"/>
  <c r="B38" i="15"/>
  <c r="C38" i="15" s="1"/>
  <c r="B35" i="9"/>
  <c r="C35" i="9" s="1"/>
  <c r="B66" i="4"/>
  <c r="C66" i="4" s="1"/>
  <c r="B36" i="13"/>
  <c r="C36" i="13" s="1"/>
  <c r="B66" i="10"/>
  <c r="C66" i="10" s="1"/>
  <c r="B97" i="12"/>
  <c r="C97" i="12" s="1"/>
  <c r="B36" i="9"/>
  <c r="C36" i="9" s="1"/>
  <c r="B35" i="12"/>
  <c r="C35" i="12" s="1"/>
  <c r="B66" i="15"/>
  <c r="C66" i="15" s="1"/>
  <c r="B4" i="1"/>
  <c r="C4" i="1" s="1"/>
  <c r="B35" i="16"/>
  <c r="C35" i="16" s="1"/>
  <c r="G99" i="16"/>
  <c r="J98" i="16"/>
  <c r="J97" i="16"/>
  <c r="B68" i="16"/>
  <c r="C68" i="16" s="1"/>
  <c r="B95" i="16"/>
  <c r="C95" i="16" s="1"/>
  <c r="B96" i="16"/>
  <c r="C96" i="16" s="1"/>
  <c r="B3" i="16"/>
  <c r="C3" i="16" s="1"/>
  <c r="B2" i="16"/>
  <c r="C2" i="16" s="1"/>
  <c r="B36" i="15"/>
  <c r="C36" i="15" s="1"/>
  <c r="B69" i="15"/>
  <c r="C69" i="15" s="1"/>
  <c r="G131" i="16"/>
  <c r="B128" i="16"/>
  <c r="C128" i="16" s="1"/>
  <c r="B69" i="16"/>
  <c r="C69" i="16" s="1"/>
  <c r="G72" i="16"/>
  <c r="J71" i="16"/>
  <c r="J70" i="16"/>
  <c r="B66" i="16"/>
  <c r="C66" i="16" s="1"/>
  <c r="B34" i="12"/>
  <c r="C34" i="12" s="1"/>
  <c r="B67" i="15"/>
  <c r="C67" i="15" s="1"/>
  <c r="J129" i="16"/>
  <c r="B67" i="16"/>
  <c r="C67" i="16" s="1"/>
  <c r="G7" i="16"/>
  <c r="J6" i="16"/>
  <c r="J5" i="16"/>
  <c r="B129" i="15"/>
  <c r="C129" i="15" s="1"/>
  <c r="B96" i="12"/>
  <c r="C96" i="12" s="1"/>
  <c r="B65" i="16"/>
  <c r="C65" i="16" s="1"/>
  <c r="G37" i="16"/>
  <c r="J36" i="16"/>
  <c r="B130" i="15"/>
  <c r="C130" i="15" s="1"/>
  <c r="B39" i="15"/>
  <c r="C39" i="15" s="1"/>
  <c r="G42" i="15"/>
  <c r="J41" i="15"/>
  <c r="J40" i="15"/>
  <c r="B128" i="15"/>
  <c r="C128" i="15" s="1"/>
  <c r="B68" i="15"/>
  <c r="C68" i="15" s="1"/>
  <c r="B34" i="15"/>
  <c r="C34" i="15" s="1"/>
  <c r="B65" i="15"/>
  <c r="C65" i="15" s="1"/>
  <c r="G7" i="15"/>
  <c r="J5" i="15"/>
  <c r="B5" i="14"/>
  <c r="C5" i="14" s="1"/>
  <c r="G102" i="15"/>
  <c r="J101" i="15" s="1"/>
  <c r="B3" i="15"/>
  <c r="C3" i="15" s="1"/>
  <c r="B2" i="15"/>
  <c r="C2" i="15" s="1"/>
  <c r="G132" i="15"/>
  <c r="B70" i="15"/>
  <c r="C70" i="15" s="1"/>
  <c r="G74" i="15"/>
  <c r="J73" i="15"/>
  <c r="B127" i="15"/>
  <c r="C127" i="15" s="1"/>
  <c r="B126" i="15"/>
  <c r="C126" i="15" s="1"/>
  <c r="B37" i="15"/>
  <c r="C37" i="15" s="1"/>
  <c r="B6" i="14"/>
  <c r="C6" i="14" s="1"/>
  <c r="B97" i="14"/>
  <c r="C97" i="14" s="1"/>
  <c r="B129" i="14"/>
  <c r="C129" i="14" s="1"/>
  <c r="B34" i="14"/>
  <c r="C34" i="14" s="1"/>
  <c r="B3" i="14"/>
  <c r="C3" i="14" s="1"/>
  <c r="B2" i="14"/>
  <c r="C2" i="14" s="1"/>
  <c r="G68" i="14"/>
  <c r="B100" i="7"/>
  <c r="C100" i="7" s="1"/>
  <c r="B4" i="12"/>
  <c r="C4" i="12" s="1"/>
  <c r="G132" i="14"/>
  <c r="J131" i="14" s="1"/>
  <c r="G99" i="14"/>
  <c r="G37" i="14"/>
  <c r="J36" i="14"/>
  <c r="B33" i="14"/>
  <c r="C33" i="14" s="1"/>
  <c r="B95" i="14"/>
  <c r="C95" i="14" s="1"/>
  <c r="B96" i="14"/>
  <c r="C96" i="14" s="1"/>
  <c r="B127" i="14"/>
  <c r="C127" i="14" s="1"/>
  <c r="B126" i="14"/>
  <c r="C126" i="14" s="1"/>
  <c r="B128" i="14"/>
  <c r="C128" i="14" s="1"/>
  <c r="B65" i="14"/>
  <c r="C65" i="14" s="1"/>
  <c r="B64" i="14"/>
  <c r="C64" i="14" s="1"/>
  <c r="B4" i="14"/>
  <c r="C4" i="14" s="1"/>
  <c r="J7" i="14"/>
  <c r="G8" i="14"/>
  <c r="J66" i="14"/>
  <c r="B129" i="13"/>
  <c r="C129" i="13" s="1"/>
  <c r="B97" i="13"/>
  <c r="C97" i="13" s="1"/>
  <c r="G69" i="13"/>
  <c r="J68" i="13"/>
  <c r="B65" i="13"/>
  <c r="C65" i="13" s="1"/>
  <c r="B64" i="13"/>
  <c r="C64" i="13" s="1"/>
  <c r="G40" i="13"/>
  <c r="J39" i="13"/>
  <c r="B35" i="13"/>
  <c r="C35" i="13" s="1"/>
  <c r="G7" i="13"/>
  <c r="J6" i="13" s="1"/>
  <c r="B3" i="13"/>
  <c r="C3" i="13" s="1"/>
  <c r="B2" i="13"/>
  <c r="C2" i="13" s="1"/>
  <c r="J67" i="13"/>
  <c r="J38" i="13"/>
  <c r="B128" i="10"/>
  <c r="C128" i="10" s="1"/>
  <c r="J5" i="13"/>
  <c r="B96" i="13"/>
  <c r="C96" i="13" s="1"/>
  <c r="B95" i="13"/>
  <c r="C95" i="13" s="1"/>
  <c r="B4" i="13"/>
  <c r="C4" i="13" s="1"/>
  <c r="G99" i="13"/>
  <c r="J98" i="13"/>
  <c r="B128" i="13"/>
  <c r="C128" i="13" s="1"/>
  <c r="G131" i="13"/>
  <c r="J130" i="13"/>
  <c r="B127" i="13"/>
  <c r="C127" i="13" s="1"/>
  <c r="B5" i="12"/>
  <c r="C5" i="12" s="1"/>
  <c r="B128" i="12"/>
  <c r="C128" i="12" s="1"/>
  <c r="B66" i="12"/>
  <c r="C66" i="12" s="1"/>
  <c r="G101" i="12"/>
  <c r="J100" i="12"/>
  <c r="B126" i="12"/>
  <c r="C126" i="12" s="1"/>
  <c r="B127" i="12"/>
  <c r="C127" i="12" s="1"/>
  <c r="G39" i="12"/>
  <c r="J38" i="12"/>
  <c r="G68" i="12"/>
  <c r="B64" i="12"/>
  <c r="C64" i="12" s="1"/>
  <c r="B65" i="12"/>
  <c r="C65" i="12" s="1"/>
  <c r="B4" i="11"/>
  <c r="C4" i="11" s="1"/>
  <c r="G7" i="12"/>
  <c r="J6" i="12"/>
  <c r="B35" i="5"/>
  <c r="C35" i="5" s="1"/>
  <c r="B96" i="11"/>
  <c r="C96" i="11" s="1"/>
  <c r="B35" i="11"/>
  <c r="C35" i="11" s="1"/>
  <c r="J99" i="12"/>
  <c r="B3" i="12"/>
  <c r="C3" i="12" s="1"/>
  <c r="B2" i="12"/>
  <c r="C2" i="12" s="1"/>
  <c r="G130" i="12"/>
  <c r="B66" i="11"/>
  <c r="C66" i="11" s="1"/>
  <c r="B127" i="11"/>
  <c r="C127" i="11" s="1"/>
  <c r="G101" i="11"/>
  <c r="J100" i="11"/>
  <c r="J99" i="11"/>
  <c r="G69" i="11"/>
  <c r="J68" i="11"/>
  <c r="J67" i="11"/>
  <c r="G7" i="11"/>
  <c r="J6" i="11"/>
  <c r="B126" i="11"/>
  <c r="C126" i="11" s="1"/>
  <c r="G38" i="11"/>
  <c r="J129" i="11"/>
  <c r="G130" i="11"/>
  <c r="B65" i="11"/>
  <c r="C65" i="11" s="1"/>
  <c r="B64" i="11"/>
  <c r="C64" i="11" s="1"/>
  <c r="J5" i="11"/>
  <c r="B3" i="11"/>
  <c r="C3" i="11" s="1"/>
  <c r="B2" i="11"/>
  <c r="C2" i="11" s="1"/>
  <c r="B34" i="11"/>
  <c r="C34" i="11" s="1"/>
  <c r="B33" i="11"/>
  <c r="C33" i="11" s="1"/>
  <c r="B128" i="7"/>
  <c r="C128" i="7" s="1"/>
  <c r="J36" i="11"/>
  <c r="B65" i="10"/>
  <c r="C65" i="10" s="1"/>
  <c r="B129" i="10"/>
  <c r="C129" i="10" s="1"/>
  <c r="B35" i="10"/>
  <c r="C35" i="10" s="1"/>
  <c r="B96" i="10"/>
  <c r="C96" i="10" s="1"/>
  <c r="B95" i="10"/>
  <c r="C95" i="10" s="1"/>
  <c r="G99" i="10"/>
  <c r="J97" i="10"/>
  <c r="B4" i="10"/>
  <c r="C4" i="10" s="1"/>
  <c r="G8" i="10"/>
  <c r="J7" i="10"/>
  <c r="B127" i="10"/>
  <c r="C127" i="10" s="1"/>
  <c r="B126" i="10"/>
  <c r="C126" i="10" s="1"/>
  <c r="B5" i="5"/>
  <c r="C5" i="5" s="1"/>
  <c r="B99" i="7"/>
  <c r="C99" i="7" s="1"/>
  <c r="G37" i="10"/>
  <c r="G131" i="10"/>
  <c r="J130" i="10" s="1"/>
  <c r="J6" i="10"/>
  <c r="B99" i="5"/>
  <c r="C99" i="5" s="1"/>
  <c r="G70" i="10"/>
  <c r="J69" i="10"/>
  <c r="B34" i="10"/>
  <c r="C34" i="10" s="1"/>
  <c r="B33" i="10"/>
  <c r="C33" i="10" s="1"/>
  <c r="B37" i="9"/>
  <c r="C37" i="9" s="1"/>
  <c r="B65" i="9"/>
  <c r="C65" i="9" s="1"/>
  <c r="B4" i="9"/>
  <c r="C4" i="9" s="1"/>
  <c r="B99" i="9"/>
  <c r="C99" i="9" s="1"/>
  <c r="B128" i="9"/>
  <c r="C128" i="9" s="1"/>
  <c r="G68" i="9"/>
  <c r="B34" i="5"/>
  <c r="C34" i="5" s="1"/>
  <c r="G6" i="9"/>
  <c r="J5" i="9" s="1"/>
  <c r="G102" i="9"/>
  <c r="B100" i="5"/>
  <c r="C100" i="5" s="1"/>
  <c r="G130" i="9"/>
  <c r="B64" i="9"/>
  <c r="C64" i="9" s="1"/>
  <c r="B96" i="9"/>
  <c r="C96" i="9" s="1"/>
  <c r="G40" i="9"/>
  <c r="B4" i="8"/>
  <c r="C4" i="8" s="1"/>
  <c r="B97" i="8"/>
  <c r="C97" i="8" s="1"/>
  <c r="B35" i="8"/>
  <c r="C35" i="8" s="1"/>
  <c r="G37" i="8"/>
  <c r="J36" i="8"/>
  <c r="B95" i="8"/>
  <c r="C95" i="8" s="1"/>
  <c r="B96" i="8"/>
  <c r="C96" i="8" s="1"/>
  <c r="G131" i="8"/>
  <c r="J130" i="8"/>
  <c r="B127" i="8"/>
  <c r="C127" i="8" s="1"/>
  <c r="B126" i="8"/>
  <c r="C126" i="8" s="1"/>
  <c r="G6" i="8"/>
  <c r="J5" i="8" s="1"/>
  <c r="G68" i="8"/>
  <c r="B33" i="8"/>
  <c r="C33" i="8" s="1"/>
  <c r="B34" i="8"/>
  <c r="C34" i="8" s="1"/>
  <c r="J129" i="8"/>
  <c r="B127" i="7"/>
  <c r="C127" i="7" s="1"/>
  <c r="G99" i="8"/>
  <c r="J98" i="8"/>
  <c r="B128" i="8"/>
  <c r="C128" i="8" s="1"/>
  <c r="B101" i="7"/>
  <c r="C101" i="7" s="1"/>
  <c r="B4" i="7"/>
  <c r="C4" i="7" s="1"/>
  <c r="B66" i="7"/>
  <c r="C66" i="7" s="1"/>
  <c r="B36" i="7"/>
  <c r="C36" i="7" s="1"/>
  <c r="G131" i="7"/>
  <c r="J130" i="7"/>
  <c r="G6" i="7"/>
  <c r="J5" i="7" s="1"/>
  <c r="J129" i="7"/>
  <c r="B98" i="7"/>
  <c r="C98" i="7" s="1"/>
  <c r="G69" i="7"/>
  <c r="J68" i="7"/>
  <c r="B65" i="7"/>
  <c r="C65" i="7" s="1"/>
  <c r="B64" i="7"/>
  <c r="C64" i="7" s="1"/>
  <c r="B35" i="7"/>
  <c r="C35" i="7" s="1"/>
  <c r="G104" i="7"/>
  <c r="J102" i="7"/>
  <c r="G38" i="7"/>
  <c r="B4" i="6"/>
  <c r="C4" i="6" s="1"/>
  <c r="B127" i="6"/>
  <c r="C127" i="6" s="1"/>
  <c r="B97" i="6"/>
  <c r="C97" i="6" s="1"/>
  <c r="B35" i="6"/>
  <c r="C35" i="6" s="1"/>
  <c r="B98" i="4"/>
  <c r="C98" i="4" s="1"/>
  <c r="B95" i="6"/>
  <c r="C95" i="6" s="1"/>
  <c r="B96" i="6"/>
  <c r="C96" i="6" s="1"/>
  <c r="G130" i="6"/>
  <c r="G99" i="6"/>
  <c r="J98" i="6"/>
  <c r="B33" i="6"/>
  <c r="C33" i="6" s="1"/>
  <c r="B34" i="6"/>
  <c r="C34" i="6" s="1"/>
  <c r="G37" i="6"/>
  <c r="J36" i="6" s="1"/>
  <c r="G6" i="6"/>
  <c r="J5" i="6" s="1"/>
  <c r="B3" i="6"/>
  <c r="C3" i="6" s="1"/>
  <c r="B2" i="6"/>
  <c r="C2" i="6" s="1"/>
  <c r="G68" i="6"/>
  <c r="J67" i="6" s="1"/>
  <c r="B35" i="3"/>
  <c r="C35" i="3" s="1"/>
  <c r="J128" i="6"/>
  <c r="B126" i="6"/>
  <c r="C126" i="6" s="1"/>
  <c r="B37" i="5"/>
  <c r="C37" i="5" s="1"/>
  <c r="B128" i="5"/>
  <c r="C128" i="5" s="1"/>
  <c r="B6" i="5"/>
  <c r="C6" i="5" s="1"/>
  <c r="G130" i="5"/>
  <c r="B3" i="5"/>
  <c r="C3" i="5" s="1"/>
  <c r="B2" i="5"/>
  <c r="C2" i="5" s="1"/>
  <c r="B4" i="5"/>
  <c r="C4" i="5" s="1"/>
  <c r="G69" i="5"/>
  <c r="J68" i="5"/>
  <c r="B98" i="5"/>
  <c r="C98" i="5" s="1"/>
  <c r="G39" i="5"/>
  <c r="B65" i="5"/>
  <c r="C65" i="5" s="1"/>
  <c r="B64" i="5"/>
  <c r="C64" i="5" s="1"/>
  <c r="B36" i="3"/>
  <c r="C36" i="3" s="1"/>
  <c r="G103" i="5"/>
  <c r="J102" i="5"/>
  <c r="B36" i="5"/>
  <c r="C36" i="5" s="1"/>
  <c r="J67" i="5"/>
  <c r="B96" i="5"/>
  <c r="C96" i="5" s="1"/>
  <c r="G8" i="5"/>
  <c r="J101" i="5"/>
  <c r="B129" i="4"/>
  <c r="C129" i="4" s="1"/>
  <c r="B4" i="4"/>
  <c r="C4" i="4" s="1"/>
  <c r="B67" i="4"/>
  <c r="C67" i="4" s="1"/>
  <c r="B35" i="4"/>
  <c r="C35" i="4" s="1"/>
  <c r="G6" i="4"/>
  <c r="J5" i="4" s="1"/>
  <c r="B33" i="4"/>
  <c r="C33" i="4" s="1"/>
  <c r="B34" i="4"/>
  <c r="C34" i="4" s="1"/>
  <c r="G37" i="4"/>
  <c r="J36" i="4" s="1"/>
  <c r="B97" i="4"/>
  <c r="C97" i="4" s="1"/>
  <c r="G102" i="4"/>
  <c r="J101" i="4"/>
  <c r="G131" i="4"/>
  <c r="J130" i="4"/>
  <c r="G70" i="4"/>
  <c r="B128" i="4"/>
  <c r="C128" i="4" s="1"/>
  <c r="B34" i="3"/>
  <c r="C34" i="3" s="1"/>
  <c r="B97" i="3"/>
  <c r="C97" i="3" s="1"/>
  <c r="B4" i="3"/>
  <c r="C4" i="3" s="1"/>
  <c r="B128" i="3"/>
  <c r="C128" i="3" s="1"/>
  <c r="B67" i="3"/>
  <c r="C67" i="3" s="1"/>
  <c r="G70" i="3"/>
  <c r="B66" i="3"/>
  <c r="C66" i="3" s="1"/>
  <c r="G131" i="3"/>
  <c r="J130" i="3"/>
  <c r="B127" i="3"/>
  <c r="C127" i="3" s="1"/>
  <c r="B126" i="3"/>
  <c r="C126" i="3" s="1"/>
  <c r="G7" i="3"/>
  <c r="J6" i="3" s="1"/>
  <c r="J5" i="3"/>
  <c r="G40" i="3"/>
  <c r="G99" i="3"/>
  <c r="J98" i="3"/>
  <c r="B37" i="3"/>
  <c r="C37" i="3" s="1"/>
  <c r="B95" i="3"/>
  <c r="C95" i="3" s="1"/>
  <c r="B96" i="3"/>
  <c r="C96" i="3" s="1"/>
  <c r="B97" i="2"/>
  <c r="C97" i="2" s="1"/>
  <c r="G70" i="2"/>
  <c r="J69" i="2" s="1"/>
  <c r="G6" i="2"/>
  <c r="J5" i="2" s="1"/>
  <c r="G37" i="2"/>
  <c r="B33" i="2"/>
  <c r="C33" i="2" s="1"/>
  <c r="B34" i="2"/>
  <c r="C34" i="2" s="1"/>
  <c r="B65" i="2"/>
  <c r="C65" i="2" s="1"/>
  <c r="B64" i="2"/>
  <c r="C64" i="2" s="1"/>
  <c r="G130" i="2"/>
  <c r="J129" i="2" s="1"/>
  <c r="G99" i="2"/>
  <c r="J98" i="2"/>
  <c r="B66" i="2"/>
  <c r="C66" i="2" s="1"/>
  <c r="K128" i="1"/>
  <c r="B128" i="1" s="1"/>
  <c r="C128" i="1" s="1"/>
  <c r="K126" i="1"/>
  <c r="G130" i="1"/>
  <c r="J129" i="1" s="1"/>
  <c r="K97" i="1"/>
  <c r="B97" i="1" s="1"/>
  <c r="C97" i="1" s="1"/>
  <c r="G99" i="1"/>
  <c r="B95" i="1"/>
  <c r="C95" i="1" s="1"/>
  <c r="B96" i="1"/>
  <c r="C96" i="1" s="1"/>
  <c r="K64" i="1"/>
  <c r="K65" i="1"/>
  <c r="K66" i="1"/>
  <c r="G68" i="1"/>
  <c r="K36" i="1"/>
  <c r="K35" i="1"/>
  <c r="B35" i="1" s="1"/>
  <c r="C35" i="1" s="1"/>
  <c r="B34" i="1"/>
  <c r="C34" i="1" s="1"/>
  <c r="B33" i="1"/>
  <c r="C33" i="1" s="1"/>
  <c r="G38" i="1"/>
  <c r="J37" i="1" s="1"/>
  <c r="K6" i="1"/>
  <c r="K5" i="1"/>
  <c r="K37" i="1" a="1"/>
  <c r="K129" i="1" a="1"/>
  <c r="B72" i="15" l="1"/>
  <c r="C72" i="15" s="1"/>
  <c r="B100" i="15"/>
  <c r="C100" i="15" s="1"/>
  <c r="B71" i="15"/>
  <c r="C71" i="15" s="1"/>
  <c r="B99" i="15"/>
  <c r="C99" i="15" s="1"/>
  <c r="B130" i="14"/>
  <c r="C130" i="14" s="1"/>
  <c r="B5" i="1"/>
  <c r="C5" i="1" s="1"/>
  <c r="G132" i="16"/>
  <c r="G8" i="16"/>
  <c r="J7" i="16"/>
  <c r="J130" i="16"/>
  <c r="G38" i="16"/>
  <c r="J99" i="16"/>
  <c r="G100" i="16"/>
  <c r="G73" i="16"/>
  <c r="B34" i="16"/>
  <c r="C34" i="16" s="1"/>
  <c r="B33" i="16"/>
  <c r="C33" i="16" s="1"/>
  <c r="B101" i="15"/>
  <c r="C101" i="15" s="1"/>
  <c r="B73" i="15"/>
  <c r="C73" i="15" s="1"/>
  <c r="B41" i="15"/>
  <c r="C41" i="15" s="1"/>
  <c r="G75" i="15"/>
  <c r="J74" i="15"/>
  <c r="G103" i="15"/>
  <c r="J102" i="15" s="1"/>
  <c r="G133" i="15"/>
  <c r="J132" i="15" s="1"/>
  <c r="G8" i="15"/>
  <c r="J7" i="15" s="1"/>
  <c r="J131" i="15"/>
  <c r="G43" i="15"/>
  <c r="J6" i="15"/>
  <c r="B131" i="14"/>
  <c r="C131" i="14" s="1"/>
  <c r="B7" i="14"/>
  <c r="C7" i="14" s="1"/>
  <c r="B36" i="14"/>
  <c r="C36" i="14" s="1"/>
  <c r="G69" i="14"/>
  <c r="J68" i="14"/>
  <c r="J67" i="14"/>
  <c r="G100" i="14"/>
  <c r="G133" i="14"/>
  <c r="J132" i="14"/>
  <c r="G38" i="14"/>
  <c r="J37" i="14" s="1"/>
  <c r="B35" i="14"/>
  <c r="C35" i="14" s="1"/>
  <c r="G9" i="14"/>
  <c r="J8" i="14"/>
  <c r="J98" i="14"/>
  <c r="G41" i="13"/>
  <c r="J40" i="13" s="1"/>
  <c r="G70" i="13"/>
  <c r="G8" i="13"/>
  <c r="J7" i="13" s="1"/>
  <c r="G100" i="13"/>
  <c r="J99" i="13" s="1"/>
  <c r="G132" i="13"/>
  <c r="B38" i="12"/>
  <c r="C38" i="12" s="1"/>
  <c r="B6" i="12"/>
  <c r="C6" i="12" s="1"/>
  <c r="G40" i="12"/>
  <c r="G131" i="12"/>
  <c r="J130" i="12"/>
  <c r="G8" i="12"/>
  <c r="J7" i="12" s="1"/>
  <c r="B37" i="12"/>
  <c r="C37" i="12" s="1"/>
  <c r="B36" i="12"/>
  <c r="C36" i="12" s="1"/>
  <c r="G69" i="12"/>
  <c r="J68" i="12"/>
  <c r="J101" i="12"/>
  <c r="G102" i="12"/>
  <c r="J67" i="12"/>
  <c r="J129" i="12"/>
  <c r="B68" i="2"/>
  <c r="C68" i="2" s="1"/>
  <c r="B128" i="11"/>
  <c r="C128" i="11" s="1"/>
  <c r="B129" i="11"/>
  <c r="C129" i="11" s="1"/>
  <c r="B67" i="11"/>
  <c r="C67" i="11" s="1"/>
  <c r="G102" i="11"/>
  <c r="G39" i="11"/>
  <c r="J38" i="11"/>
  <c r="J37" i="11"/>
  <c r="G8" i="11"/>
  <c r="J7" i="11" s="1"/>
  <c r="J69" i="11"/>
  <c r="G70" i="11"/>
  <c r="B100" i="9"/>
  <c r="C100" i="9" s="1"/>
  <c r="G131" i="11"/>
  <c r="J130" i="11"/>
  <c r="B130" i="10"/>
  <c r="C130" i="10" s="1"/>
  <c r="B69" i="10"/>
  <c r="C69" i="10" s="1"/>
  <c r="G9" i="10"/>
  <c r="J8" i="10"/>
  <c r="G38" i="10"/>
  <c r="J37" i="10"/>
  <c r="G100" i="10"/>
  <c r="J36" i="10"/>
  <c r="B68" i="10"/>
  <c r="C68" i="10" s="1"/>
  <c r="B67" i="10"/>
  <c r="C67" i="10" s="1"/>
  <c r="J70" i="10"/>
  <c r="G71" i="10"/>
  <c r="G132" i="10"/>
  <c r="J131" i="10" s="1"/>
  <c r="J98" i="10"/>
  <c r="B5" i="9"/>
  <c r="C5" i="9" s="1"/>
  <c r="G69" i="9"/>
  <c r="J68" i="9"/>
  <c r="G41" i="9"/>
  <c r="G131" i="9"/>
  <c r="J130" i="9"/>
  <c r="B66" i="9"/>
  <c r="C66" i="9" s="1"/>
  <c r="J39" i="9"/>
  <c r="J129" i="9"/>
  <c r="G103" i="9"/>
  <c r="J102" i="9"/>
  <c r="B38" i="9"/>
  <c r="C38" i="9" s="1"/>
  <c r="G7" i="9"/>
  <c r="J67" i="9"/>
  <c r="B127" i="9"/>
  <c r="C127" i="9" s="1"/>
  <c r="B126" i="9"/>
  <c r="C126" i="9" s="1"/>
  <c r="J101" i="9"/>
  <c r="B3" i="9"/>
  <c r="C3" i="9" s="1"/>
  <c r="B2" i="9"/>
  <c r="C2" i="9" s="1"/>
  <c r="B5" i="8"/>
  <c r="C5" i="8" s="1"/>
  <c r="B98" i="8"/>
  <c r="C98" i="8" s="1"/>
  <c r="B36" i="8"/>
  <c r="C36" i="8" s="1"/>
  <c r="G38" i="8"/>
  <c r="G69" i="8"/>
  <c r="J68" i="8"/>
  <c r="J67" i="8"/>
  <c r="B67" i="7"/>
  <c r="C67" i="7" s="1"/>
  <c r="G132" i="8"/>
  <c r="J99" i="8"/>
  <c r="G100" i="8"/>
  <c r="B3" i="8"/>
  <c r="C3" i="8" s="1"/>
  <c r="B2" i="8"/>
  <c r="C2" i="8" s="1"/>
  <c r="G7" i="8"/>
  <c r="J6" i="8"/>
  <c r="B66" i="8"/>
  <c r="C66" i="8" s="1"/>
  <c r="B65" i="8"/>
  <c r="C65" i="8" s="1"/>
  <c r="B64" i="8"/>
  <c r="C64" i="8" s="1"/>
  <c r="B5" i="7"/>
  <c r="C5" i="7" s="1"/>
  <c r="B68" i="7"/>
  <c r="C68" i="7" s="1"/>
  <c r="B102" i="7"/>
  <c r="C102" i="7" s="1"/>
  <c r="G105" i="7"/>
  <c r="J104" i="7"/>
  <c r="B3" i="7"/>
  <c r="C3" i="7" s="1"/>
  <c r="B2" i="7"/>
  <c r="C2" i="7" s="1"/>
  <c r="G7" i="7"/>
  <c r="J6" i="7"/>
  <c r="G132" i="7"/>
  <c r="J103" i="7"/>
  <c r="J69" i="7"/>
  <c r="G70" i="7"/>
  <c r="G39" i="7"/>
  <c r="J38" i="7"/>
  <c r="J37" i="7"/>
  <c r="B4" i="2"/>
  <c r="C4" i="2" s="1"/>
  <c r="B66" i="6"/>
  <c r="C66" i="6" s="1"/>
  <c r="B67" i="6"/>
  <c r="C67" i="6" s="1"/>
  <c r="B5" i="6"/>
  <c r="C5" i="6" s="1"/>
  <c r="B36" i="6"/>
  <c r="C36" i="6" s="1"/>
  <c r="B98" i="6"/>
  <c r="C98" i="6" s="1"/>
  <c r="B128" i="6"/>
  <c r="C128" i="6" s="1"/>
  <c r="B65" i="6"/>
  <c r="C65" i="6" s="1"/>
  <c r="B64" i="6"/>
  <c r="C64" i="6" s="1"/>
  <c r="G100" i="6"/>
  <c r="J99" i="6" s="1"/>
  <c r="G69" i="6"/>
  <c r="J68" i="6"/>
  <c r="G131" i="6"/>
  <c r="J130" i="6"/>
  <c r="G38" i="6"/>
  <c r="J129" i="6"/>
  <c r="G7" i="6"/>
  <c r="J6" i="6"/>
  <c r="G9" i="5"/>
  <c r="J8" i="5"/>
  <c r="G131" i="5"/>
  <c r="J130" i="5"/>
  <c r="B100" i="4"/>
  <c r="C100" i="4" s="1"/>
  <c r="J129" i="5"/>
  <c r="B127" i="5"/>
  <c r="C127" i="5" s="1"/>
  <c r="B126" i="5"/>
  <c r="C126" i="5" s="1"/>
  <c r="G40" i="5"/>
  <c r="J69" i="5"/>
  <c r="G70" i="5"/>
  <c r="J7" i="5"/>
  <c r="G104" i="5"/>
  <c r="J103" i="5" s="1"/>
  <c r="B36" i="1"/>
  <c r="C36" i="1" s="1"/>
  <c r="J38" i="5"/>
  <c r="B5" i="4"/>
  <c r="C5" i="4" s="1"/>
  <c r="B36" i="4"/>
  <c r="C36" i="4" s="1"/>
  <c r="B101" i="4"/>
  <c r="C101" i="4" s="1"/>
  <c r="B130" i="4"/>
  <c r="C130" i="4" s="1"/>
  <c r="G71" i="4"/>
  <c r="J70" i="4"/>
  <c r="J69" i="4"/>
  <c r="B99" i="4"/>
  <c r="C99" i="4" s="1"/>
  <c r="B68" i="4"/>
  <c r="C68" i="4" s="1"/>
  <c r="G38" i="4"/>
  <c r="J37" i="4" s="1"/>
  <c r="B68" i="3"/>
  <c r="C68" i="3" s="1"/>
  <c r="G132" i="4"/>
  <c r="J131" i="4" s="1"/>
  <c r="G7" i="4"/>
  <c r="B3" i="4"/>
  <c r="C3" i="4" s="1"/>
  <c r="B2" i="4"/>
  <c r="C2" i="4" s="1"/>
  <c r="G103" i="4"/>
  <c r="B129" i="3"/>
  <c r="C129" i="3" s="1"/>
  <c r="B98" i="3"/>
  <c r="C98" i="3" s="1"/>
  <c r="B130" i="3"/>
  <c r="C130" i="3" s="1"/>
  <c r="G100" i="3"/>
  <c r="J99" i="3"/>
  <c r="G41" i="3"/>
  <c r="G71" i="3"/>
  <c r="J70" i="3"/>
  <c r="J39" i="3"/>
  <c r="G132" i="3"/>
  <c r="J131" i="3" s="1"/>
  <c r="J69" i="3"/>
  <c r="G8" i="3"/>
  <c r="J7" i="3" s="1"/>
  <c r="B38" i="3"/>
  <c r="C38" i="3" s="1"/>
  <c r="B67" i="2"/>
  <c r="C67" i="2" s="1"/>
  <c r="B69" i="2"/>
  <c r="C69" i="2" s="1"/>
  <c r="B5" i="2"/>
  <c r="C5" i="2" s="1"/>
  <c r="B129" i="2"/>
  <c r="C129" i="2" s="1"/>
  <c r="B98" i="2"/>
  <c r="C98" i="2" s="1"/>
  <c r="B3" i="2"/>
  <c r="C3" i="2" s="1"/>
  <c r="B2" i="2"/>
  <c r="C2" i="2" s="1"/>
  <c r="G100" i="2"/>
  <c r="J99" i="2" s="1"/>
  <c r="B96" i="2"/>
  <c r="C96" i="2" s="1"/>
  <c r="B95" i="2"/>
  <c r="C95" i="2" s="1"/>
  <c r="B35" i="2"/>
  <c r="C35" i="2" s="1"/>
  <c r="B128" i="2"/>
  <c r="C128" i="2" s="1"/>
  <c r="J37" i="2"/>
  <c r="G38" i="2"/>
  <c r="G7" i="2"/>
  <c r="J6" i="2"/>
  <c r="G71" i="2"/>
  <c r="J70" i="2" s="1"/>
  <c r="G131" i="2"/>
  <c r="J130" i="2"/>
  <c r="B127" i="2"/>
  <c r="C127" i="2" s="1"/>
  <c r="B126" i="2"/>
  <c r="C126" i="2" s="1"/>
  <c r="J36" i="2"/>
  <c r="K129" i="1"/>
  <c r="B129" i="1" s="1"/>
  <c r="C129" i="1" s="1"/>
  <c r="J130" i="1"/>
  <c r="G131" i="1"/>
  <c r="B126" i="1"/>
  <c r="C126" i="1" s="1"/>
  <c r="B127" i="1"/>
  <c r="C127" i="1" s="1"/>
  <c r="G100" i="1"/>
  <c r="J99" i="1"/>
  <c r="J98" i="1"/>
  <c r="G69" i="1"/>
  <c r="J68" i="1"/>
  <c r="J67" i="1"/>
  <c r="B66" i="1"/>
  <c r="C66" i="1" s="1"/>
  <c r="B65" i="1"/>
  <c r="C65" i="1" s="1"/>
  <c r="B64" i="1"/>
  <c r="C64" i="1" s="1"/>
  <c r="K37" i="1"/>
  <c r="B37" i="1" s="1"/>
  <c r="C37" i="1" s="1"/>
  <c r="G39" i="1"/>
  <c r="J38" i="1" s="1"/>
  <c r="J2" i="1"/>
  <c r="K67" i="1" a="1"/>
  <c r="K98" i="1" a="1"/>
  <c r="K68" i="1" a="1"/>
  <c r="K130" i="1" a="1"/>
  <c r="K38" i="1" a="1"/>
  <c r="K99" i="1" a="1"/>
  <c r="B6" i="1" l="1"/>
  <c r="C6" i="1" s="1"/>
  <c r="B6" i="3"/>
  <c r="C6" i="3" s="1"/>
  <c r="B40" i="15"/>
  <c r="C40" i="15" s="1"/>
  <c r="B99" i="16"/>
  <c r="C99" i="16" s="1"/>
  <c r="B130" i="16"/>
  <c r="C130" i="16" s="1"/>
  <c r="B7" i="16"/>
  <c r="C7" i="16" s="1"/>
  <c r="G39" i="16"/>
  <c r="J38" i="16" s="1"/>
  <c r="G133" i="16"/>
  <c r="J132" i="16"/>
  <c r="J37" i="16"/>
  <c r="G9" i="16"/>
  <c r="J8" i="16"/>
  <c r="J131" i="16"/>
  <c r="B71" i="16"/>
  <c r="C71" i="16" s="1"/>
  <c r="B70" i="16"/>
  <c r="C70" i="16" s="1"/>
  <c r="B98" i="16"/>
  <c r="C98" i="16" s="1"/>
  <c r="B97" i="16"/>
  <c r="C97" i="16" s="1"/>
  <c r="G74" i="16"/>
  <c r="J73" i="16"/>
  <c r="J72" i="16"/>
  <c r="B36" i="16"/>
  <c r="C36" i="16" s="1"/>
  <c r="B129" i="16"/>
  <c r="C129" i="16" s="1"/>
  <c r="G101" i="16"/>
  <c r="J100" i="16"/>
  <c r="B6" i="16"/>
  <c r="C6" i="16" s="1"/>
  <c r="B5" i="16"/>
  <c r="C5" i="16" s="1"/>
  <c r="B102" i="15"/>
  <c r="C102" i="15" s="1"/>
  <c r="B6" i="15"/>
  <c r="C6" i="15" s="1"/>
  <c r="G76" i="15"/>
  <c r="J75" i="15"/>
  <c r="B5" i="15"/>
  <c r="C5" i="15" s="1"/>
  <c r="G44" i="15"/>
  <c r="J43" i="15"/>
  <c r="G104" i="15"/>
  <c r="J103" i="15"/>
  <c r="J42" i="15"/>
  <c r="G9" i="15"/>
  <c r="J8" i="15"/>
  <c r="G134" i="15"/>
  <c r="J133" i="15" s="1"/>
  <c r="B37" i="14"/>
  <c r="C37" i="14" s="1"/>
  <c r="B132" i="14"/>
  <c r="C132" i="14" s="1"/>
  <c r="B8" i="14"/>
  <c r="C8" i="14" s="1"/>
  <c r="B67" i="14"/>
  <c r="C67" i="14" s="1"/>
  <c r="G101" i="14"/>
  <c r="J100" i="14"/>
  <c r="B66" i="14"/>
  <c r="C66" i="14" s="1"/>
  <c r="G70" i="14"/>
  <c r="G10" i="14"/>
  <c r="J9" i="14" s="1"/>
  <c r="G39" i="14"/>
  <c r="J38" i="14"/>
  <c r="G134" i="14"/>
  <c r="J99" i="14"/>
  <c r="B7" i="13"/>
  <c r="C7" i="13" s="1"/>
  <c r="B40" i="13"/>
  <c r="C40" i="13" s="1"/>
  <c r="B99" i="13"/>
  <c r="C99" i="13" s="1"/>
  <c r="B39" i="13"/>
  <c r="C39" i="13" s="1"/>
  <c r="B38" i="13"/>
  <c r="C38" i="13" s="1"/>
  <c r="B130" i="13"/>
  <c r="C130" i="13" s="1"/>
  <c r="G133" i="13"/>
  <c r="J132" i="13"/>
  <c r="G9" i="13"/>
  <c r="J8" i="13" s="1"/>
  <c r="G71" i="13"/>
  <c r="J70" i="13"/>
  <c r="J131" i="13"/>
  <c r="B68" i="13"/>
  <c r="C68" i="13" s="1"/>
  <c r="B67" i="13"/>
  <c r="C67" i="13" s="1"/>
  <c r="G101" i="13"/>
  <c r="J100" i="13"/>
  <c r="J69" i="13"/>
  <c r="G42" i="13"/>
  <c r="J41" i="13"/>
  <c r="B6" i="13"/>
  <c r="C6" i="13" s="1"/>
  <c r="B5" i="13"/>
  <c r="C5" i="13" s="1"/>
  <c r="B98" i="13"/>
  <c r="C98" i="13" s="1"/>
  <c r="B7" i="12"/>
  <c r="C7" i="12" s="1"/>
  <c r="B101" i="12"/>
  <c r="C101" i="12" s="1"/>
  <c r="G132" i="12"/>
  <c r="J131" i="12" s="1"/>
  <c r="B100" i="12"/>
  <c r="C100" i="12" s="1"/>
  <c r="B99" i="12"/>
  <c r="C99" i="12" s="1"/>
  <c r="G70" i="12"/>
  <c r="G9" i="12"/>
  <c r="J8" i="12"/>
  <c r="G41" i="12"/>
  <c r="J39" i="12"/>
  <c r="G103" i="12"/>
  <c r="J102" i="12"/>
  <c r="B7" i="11"/>
  <c r="C7" i="11" s="1"/>
  <c r="B37" i="11"/>
  <c r="C37" i="11" s="1"/>
  <c r="B69" i="11"/>
  <c r="C69" i="11" s="1"/>
  <c r="B130" i="11"/>
  <c r="C130" i="11" s="1"/>
  <c r="G132" i="11"/>
  <c r="B6" i="11"/>
  <c r="C6" i="11" s="1"/>
  <c r="B5" i="11"/>
  <c r="C5" i="11" s="1"/>
  <c r="G40" i="11"/>
  <c r="G103" i="11"/>
  <c r="J102" i="11"/>
  <c r="B36" i="11"/>
  <c r="C36" i="11" s="1"/>
  <c r="B100" i="11"/>
  <c r="C100" i="11" s="1"/>
  <c r="B99" i="11"/>
  <c r="C99" i="11" s="1"/>
  <c r="B68" i="11"/>
  <c r="C68" i="11" s="1"/>
  <c r="G9" i="11"/>
  <c r="J8" i="11"/>
  <c r="J101" i="11"/>
  <c r="G71" i="11"/>
  <c r="J70" i="11"/>
  <c r="B131" i="10"/>
  <c r="C131" i="10" s="1"/>
  <c r="B8" i="10"/>
  <c r="C8" i="10" s="1"/>
  <c r="B70" i="10"/>
  <c r="C70" i="10" s="1"/>
  <c r="G10" i="10"/>
  <c r="J9" i="10" s="1"/>
  <c r="G101" i="10"/>
  <c r="J100" i="10"/>
  <c r="B7" i="10"/>
  <c r="C7" i="10" s="1"/>
  <c r="B6" i="10"/>
  <c r="C6" i="10" s="1"/>
  <c r="J99" i="10"/>
  <c r="G39" i="10"/>
  <c r="J38" i="10" s="1"/>
  <c r="B97" i="10"/>
  <c r="C97" i="10" s="1"/>
  <c r="G133" i="10"/>
  <c r="J132" i="10"/>
  <c r="G72" i="10"/>
  <c r="G104" i="9"/>
  <c r="G70" i="9"/>
  <c r="J69" i="9" s="1"/>
  <c r="G8" i="9"/>
  <c r="G132" i="9"/>
  <c r="J41" i="9"/>
  <c r="G42" i="9"/>
  <c r="J40" i="9"/>
  <c r="J6" i="9"/>
  <c r="B99" i="8"/>
  <c r="C99" i="8" s="1"/>
  <c r="B6" i="8"/>
  <c r="C6" i="8" s="1"/>
  <c r="G133" i="8"/>
  <c r="J132" i="8"/>
  <c r="J131" i="8"/>
  <c r="G70" i="8"/>
  <c r="J69" i="8" s="1"/>
  <c r="G39" i="8"/>
  <c r="J38" i="8"/>
  <c r="J37" i="8"/>
  <c r="B130" i="8"/>
  <c r="C130" i="8" s="1"/>
  <c r="B129" i="8"/>
  <c r="C129" i="8" s="1"/>
  <c r="J7" i="8"/>
  <c r="G8" i="8"/>
  <c r="G101" i="8"/>
  <c r="J100" i="8"/>
  <c r="B6" i="7"/>
  <c r="C6" i="7" s="1"/>
  <c r="B69" i="7"/>
  <c r="C69" i="7" s="1"/>
  <c r="G106" i="7"/>
  <c r="J105" i="7"/>
  <c r="G133" i="7"/>
  <c r="G8" i="7"/>
  <c r="J7" i="7" s="1"/>
  <c r="G40" i="7"/>
  <c r="G71" i="7"/>
  <c r="J70" i="7"/>
  <c r="B130" i="7"/>
  <c r="C130" i="7" s="1"/>
  <c r="B129" i="7"/>
  <c r="C129" i="7" s="1"/>
  <c r="J131" i="7"/>
  <c r="B99" i="6"/>
  <c r="C99" i="6" s="1"/>
  <c r="B68" i="6"/>
  <c r="C68" i="6" s="1"/>
  <c r="B6" i="6"/>
  <c r="C6" i="6" s="1"/>
  <c r="B129" i="6"/>
  <c r="C129" i="6" s="1"/>
  <c r="G132" i="6"/>
  <c r="G8" i="6"/>
  <c r="G70" i="6"/>
  <c r="J69" i="6" s="1"/>
  <c r="G101" i="6"/>
  <c r="J100" i="6"/>
  <c r="G39" i="6"/>
  <c r="J38" i="6"/>
  <c r="J37" i="6"/>
  <c r="B103" i="5"/>
  <c r="C103" i="5" s="1"/>
  <c r="B69" i="5"/>
  <c r="C69" i="5" s="1"/>
  <c r="G41" i="5"/>
  <c r="J40" i="5"/>
  <c r="G132" i="5"/>
  <c r="G10" i="5"/>
  <c r="B102" i="5"/>
  <c r="C102" i="5" s="1"/>
  <c r="B101" i="5"/>
  <c r="C101" i="5" s="1"/>
  <c r="G71" i="5"/>
  <c r="B68" i="5"/>
  <c r="C68" i="5" s="1"/>
  <c r="B67" i="5"/>
  <c r="C67" i="5" s="1"/>
  <c r="J39" i="5"/>
  <c r="G105" i="5"/>
  <c r="J104" i="5"/>
  <c r="B131" i="4"/>
  <c r="C131" i="4" s="1"/>
  <c r="B37" i="4"/>
  <c r="C37" i="4" s="1"/>
  <c r="G8" i="4"/>
  <c r="J7" i="4" s="1"/>
  <c r="G104" i="4"/>
  <c r="J102" i="4"/>
  <c r="J6" i="4"/>
  <c r="G133" i="4"/>
  <c r="J132" i="4"/>
  <c r="B5" i="3"/>
  <c r="C5" i="3" s="1"/>
  <c r="G39" i="4"/>
  <c r="J38" i="4"/>
  <c r="G72" i="4"/>
  <c r="J71" i="4"/>
  <c r="B131" i="3"/>
  <c r="C131" i="3" s="1"/>
  <c r="B7" i="3"/>
  <c r="C7" i="3" s="1"/>
  <c r="B99" i="3"/>
  <c r="C99" i="3" s="1"/>
  <c r="J71" i="3"/>
  <c r="G72" i="3"/>
  <c r="G42" i="3"/>
  <c r="J41" i="3"/>
  <c r="G133" i="3"/>
  <c r="J132" i="3"/>
  <c r="J40" i="3"/>
  <c r="G101" i="3"/>
  <c r="J100" i="3"/>
  <c r="G9" i="3"/>
  <c r="J8" i="3" s="1"/>
  <c r="B99" i="2"/>
  <c r="C99" i="2" s="1"/>
  <c r="B70" i="2"/>
  <c r="C70" i="2" s="1"/>
  <c r="B130" i="2"/>
  <c r="C130" i="2" s="1"/>
  <c r="G72" i="2"/>
  <c r="G132" i="2"/>
  <c r="G8" i="2"/>
  <c r="G101" i="2"/>
  <c r="J100" i="2"/>
  <c r="G39" i="2"/>
  <c r="J38" i="2"/>
  <c r="K130" i="1"/>
  <c r="B130" i="1" s="1"/>
  <c r="C130" i="1" s="1"/>
  <c r="G132" i="1"/>
  <c r="K98" i="1"/>
  <c r="K99" i="1"/>
  <c r="G101" i="1"/>
  <c r="K67" i="1"/>
  <c r="K68" i="1"/>
  <c r="G70" i="1"/>
  <c r="K38" i="1"/>
  <c r="B38" i="1" s="1"/>
  <c r="C38" i="1" s="1"/>
  <c r="G40" i="1"/>
  <c r="J39" i="1"/>
  <c r="K39" i="1" a="1"/>
  <c r="B104" i="7" l="1"/>
  <c r="C104" i="7" s="1"/>
  <c r="B131" i="16"/>
  <c r="C131" i="16" s="1"/>
  <c r="B8" i="16"/>
  <c r="C8" i="16" s="1"/>
  <c r="G10" i="16"/>
  <c r="G134" i="16"/>
  <c r="J133" i="16"/>
  <c r="G75" i="16"/>
  <c r="J74" i="16"/>
  <c r="J101" i="16"/>
  <c r="G102" i="16"/>
  <c r="B7" i="15"/>
  <c r="C7" i="15" s="1"/>
  <c r="G40" i="16"/>
  <c r="J39" i="16"/>
  <c r="B133" i="15"/>
  <c r="C133" i="15" s="1"/>
  <c r="B103" i="15"/>
  <c r="C103" i="15" s="1"/>
  <c r="B75" i="15"/>
  <c r="C75" i="15" s="1"/>
  <c r="B8" i="15"/>
  <c r="C8" i="15" s="1"/>
  <c r="G45" i="15"/>
  <c r="J44" i="15" s="1"/>
  <c r="G77" i="15"/>
  <c r="J76" i="15" s="1"/>
  <c r="G10" i="15"/>
  <c r="J9" i="15" s="1"/>
  <c r="G105" i="15"/>
  <c r="B132" i="15"/>
  <c r="C132" i="15" s="1"/>
  <c r="B131" i="15"/>
  <c r="C131" i="15" s="1"/>
  <c r="G135" i="15"/>
  <c r="J134" i="15"/>
  <c r="B74" i="15"/>
  <c r="C74" i="15" s="1"/>
  <c r="B9" i="14"/>
  <c r="C9" i="14" s="1"/>
  <c r="B100" i="14"/>
  <c r="C100" i="14" s="1"/>
  <c r="B38" i="14"/>
  <c r="C38" i="14" s="1"/>
  <c r="G71" i="14"/>
  <c r="J70" i="14"/>
  <c r="G135" i="14"/>
  <c r="J134" i="14"/>
  <c r="J69" i="14"/>
  <c r="J133" i="14"/>
  <c r="B98" i="14"/>
  <c r="C98" i="14" s="1"/>
  <c r="J10" i="14"/>
  <c r="G11" i="14"/>
  <c r="G102" i="14"/>
  <c r="B68" i="14"/>
  <c r="C68" i="14" s="1"/>
  <c r="J39" i="14"/>
  <c r="G40" i="14"/>
  <c r="B8" i="13"/>
  <c r="C8" i="13" s="1"/>
  <c r="B100" i="13"/>
  <c r="C100" i="13" s="1"/>
  <c r="G134" i="13"/>
  <c r="J133" i="13"/>
  <c r="G102" i="13"/>
  <c r="J101" i="13"/>
  <c r="G72" i="13"/>
  <c r="G43" i="13"/>
  <c r="J42" i="13"/>
  <c r="G10" i="13"/>
  <c r="J9" i="13"/>
  <c r="B131" i="12"/>
  <c r="C131" i="12" s="1"/>
  <c r="B8" i="12"/>
  <c r="C8" i="12" s="1"/>
  <c r="B102" i="12"/>
  <c r="C102" i="12" s="1"/>
  <c r="G42" i="12"/>
  <c r="J41" i="12" s="1"/>
  <c r="G104" i="12"/>
  <c r="J103" i="12" s="1"/>
  <c r="G10" i="12"/>
  <c r="J9" i="12" s="1"/>
  <c r="G71" i="12"/>
  <c r="J70" i="12"/>
  <c r="B68" i="12"/>
  <c r="C68" i="12" s="1"/>
  <c r="B67" i="12"/>
  <c r="C67" i="12" s="1"/>
  <c r="J69" i="12"/>
  <c r="G133" i="12"/>
  <c r="J132" i="12"/>
  <c r="B130" i="12"/>
  <c r="C130" i="12" s="1"/>
  <c r="B129" i="12"/>
  <c r="C129" i="12" s="1"/>
  <c r="J40" i="12"/>
  <c r="B70" i="11"/>
  <c r="C70" i="11" s="1"/>
  <c r="B8" i="11"/>
  <c r="C8" i="11" s="1"/>
  <c r="G104" i="11"/>
  <c r="G72" i="11"/>
  <c r="G133" i="11"/>
  <c r="J132" i="11"/>
  <c r="G41" i="11"/>
  <c r="J40" i="11"/>
  <c r="J131" i="11"/>
  <c r="G10" i="11"/>
  <c r="B38" i="11"/>
  <c r="C38" i="11" s="1"/>
  <c r="J39" i="11"/>
  <c r="B9" i="10"/>
  <c r="C9" i="10" s="1"/>
  <c r="B38" i="10"/>
  <c r="C38" i="10" s="1"/>
  <c r="B132" i="10"/>
  <c r="C132" i="10" s="1"/>
  <c r="G40" i="10"/>
  <c r="J39" i="10"/>
  <c r="G73" i="10"/>
  <c r="J72" i="10" s="1"/>
  <c r="B37" i="10"/>
  <c r="C37" i="10" s="1"/>
  <c r="B36" i="10"/>
  <c r="C36" i="10" s="1"/>
  <c r="G102" i="10"/>
  <c r="J101" i="10"/>
  <c r="J71" i="10"/>
  <c r="J133" i="10"/>
  <c r="G134" i="10"/>
  <c r="G11" i="10"/>
  <c r="J10" i="10"/>
  <c r="B98" i="10"/>
  <c r="C98" i="10" s="1"/>
  <c r="B69" i="9"/>
  <c r="C69" i="9" s="1"/>
  <c r="B40" i="9"/>
  <c r="C40" i="9" s="1"/>
  <c r="G105" i="9"/>
  <c r="J104" i="9" s="1"/>
  <c r="G133" i="9"/>
  <c r="J132" i="9"/>
  <c r="G9" i="9"/>
  <c r="J8" i="9"/>
  <c r="J7" i="9"/>
  <c r="B39" i="9"/>
  <c r="C39" i="9" s="1"/>
  <c r="J131" i="9"/>
  <c r="G71" i="9"/>
  <c r="J70" i="9"/>
  <c r="B102" i="9"/>
  <c r="C102" i="9" s="1"/>
  <c r="B101" i="9"/>
  <c r="C101" i="9" s="1"/>
  <c r="B130" i="9"/>
  <c r="C130" i="9" s="1"/>
  <c r="B129" i="9"/>
  <c r="C129" i="9" s="1"/>
  <c r="J103" i="9"/>
  <c r="B68" i="9"/>
  <c r="C68" i="9" s="1"/>
  <c r="B67" i="9"/>
  <c r="C67" i="9" s="1"/>
  <c r="G43" i="9"/>
  <c r="B69" i="8"/>
  <c r="C69" i="8" s="1"/>
  <c r="B100" i="8"/>
  <c r="C100" i="8" s="1"/>
  <c r="B7" i="8"/>
  <c r="C7" i="8" s="1"/>
  <c r="G40" i="8"/>
  <c r="G134" i="8"/>
  <c r="G102" i="8"/>
  <c r="B103" i="7"/>
  <c r="C103" i="7" s="1"/>
  <c r="B68" i="8"/>
  <c r="C68" i="8" s="1"/>
  <c r="B67" i="8"/>
  <c r="C67" i="8" s="1"/>
  <c r="G71" i="8"/>
  <c r="J70" i="8"/>
  <c r="G9" i="8"/>
  <c r="J8" i="8"/>
  <c r="B7" i="7"/>
  <c r="C7" i="7" s="1"/>
  <c r="B105" i="7"/>
  <c r="C105" i="7" s="1"/>
  <c r="B70" i="7"/>
  <c r="C70" i="7" s="1"/>
  <c r="G41" i="7"/>
  <c r="J40" i="7"/>
  <c r="G107" i="7"/>
  <c r="B38" i="7"/>
  <c r="C38" i="7" s="1"/>
  <c r="B37" i="7"/>
  <c r="C37" i="7" s="1"/>
  <c r="G72" i="7"/>
  <c r="J39" i="7"/>
  <c r="G9" i="7"/>
  <c r="J8" i="7"/>
  <c r="G134" i="7"/>
  <c r="J133" i="7" s="1"/>
  <c r="J132" i="7"/>
  <c r="B130" i="6"/>
  <c r="C130" i="6" s="1"/>
  <c r="B69" i="6"/>
  <c r="C69" i="6" s="1"/>
  <c r="B100" i="6"/>
  <c r="C100" i="6" s="1"/>
  <c r="G71" i="6"/>
  <c r="J70" i="6"/>
  <c r="J101" i="6"/>
  <c r="G102" i="6"/>
  <c r="G133" i="6"/>
  <c r="J132" i="6"/>
  <c r="G9" i="6"/>
  <c r="J8" i="6"/>
  <c r="J7" i="6"/>
  <c r="J131" i="6"/>
  <c r="J39" i="6"/>
  <c r="G40" i="6"/>
  <c r="B39" i="5"/>
  <c r="C39" i="5" s="1"/>
  <c r="B104" i="5"/>
  <c r="C104" i="5" s="1"/>
  <c r="G72" i="5"/>
  <c r="J71" i="5" s="1"/>
  <c r="G11" i="5"/>
  <c r="J9" i="5"/>
  <c r="G133" i="5"/>
  <c r="J132" i="5"/>
  <c r="B38" i="5"/>
  <c r="C38" i="5" s="1"/>
  <c r="B8" i="5"/>
  <c r="C8" i="5" s="1"/>
  <c r="B7" i="5"/>
  <c r="C7" i="5" s="1"/>
  <c r="B130" i="5"/>
  <c r="C130" i="5" s="1"/>
  <c r="B129" i="5"/>
  <c r="C129" i="5" s="1"/>
  <c r="J131" i="5"/>
  <c r="G42" i="5"/>
  <c r="G106" i="5"/>
  <c r="J105" i="5"/>
  <c r="J70" i="5"/>
  <c r="B132" i="4"/>
  <c r="C132" i="4" s="1"/>
  <c r="B38" i="4"/>
  <c r="C38" i="4" s="1"/>
  <c r="G105" i="4"/>
  <c r="J104" i="4"/>
  <c r="G9" i="4"/>
  <c r="J8" i="4"/>
  <c r="B70" i="4"/>
  <c r="C70" i="4" s="1"/>
  <c r="B69" i="4"/>
  <c r="C69" i="4" s="1"/>
  <c r="G134" i="4"/>
  <c r="J133" i="4"/>
  <c r="J103" i="4"/>
  <c r="J72" i="4"/>
  <c r="G73" i="4"/>
  <c r="J39" i="4"/>
  <c r="G40" i="4"/>
  <c r="B8" i="3"/>
  <c r="C8" i="3" s="1"/>
  <c r="B100" i="3"/>
  <c r="C100" i="3" s="1"/>
  <c r="B132" i="3"/>
  <c r="C132" i="3" s="1"/>
  <c r="B71" i="3"/>
  <c r="C71" i="3" s="1"/>
  <c r="G134" i="3"/>
  <c r="G43" i="3"/>
  <c r="G73" i="3"/>
  <c r="J72" i="3" s="1"/>
  <c r="B70" i="3"/>
  <c r="C70" i="3" s="1"/>
  <c r="B69" i="3"/>
  <c r="C69" i="3" s="1"/>
  <c r="J101" i="3"/>
  <c r="G102" i="3"/>
  <c r="B39" i="3"/>
  <c r="C39" i="3" s="1"/>
  <c r="J9" i="3"/>
  <c r="G10" i="3"/>
  <c r="B38" i="2"/>
  <c r="C38" i="2" s="1"/>
  <c r="B100" i="2"/>
  <c r="C100" i="2" s="1"/>
  <c r="G133" i="2"/>
  <c r="J132" i="2"/>
  <c r="J131" i="2"/>
  <c r="J101" i="2"/>
  <c r="G102" i="2"/>
  <c r="G9" i="2"/>
  <c r="J8" i="2"/>
  <c r="G73" i="2"/>
  <c r="J72" i="2" s="1"/>
  <c r="J7" i="2"/>
  <c r="J71" i="2"/>
  <c r="B6" i="2"/>
  <c r="C6" i="2" s="1"/>
  <c r="B37" i="2"/>
  <c r="C37" i="2" s="1"/>
  <c r="B36" i="2"/>
  <c r="C36" i="2" s="1"/>
  <c r="G40" i="2"/>
  <c r="G133" i="1"/>
  <c r="J131" i="1"/>
  <c r="G102" i="1"/>
  <c r="J101" i="1"/>
  <c r="J100" i="1"/>
  <c r="B99" i="1"/>
  <c r="C99" i="1" s="1"/>
  <c r="B98" i="1"/>
  <c r="C98" i="1" s="1"/>
  <c r="G71" i="1"/>
  <c r="J70" i="1"/>
  <c r="J69" i="1"/>
  <c r="B68" i="1"/>
  <c r="C68" i="1" s="1"/>
  <c r="B67" i="1"/>
  <c r="C67" i="1" s="1"/>
  <c r="K39" i="1"/>
  <c r="B39" i="1" s="1"/>
  <c r="C39" i="1" s="1"/>
  <c r="G41" i="1"/>
  <c r="B3" i="1"/>
  <c r="C3" i="1" s="1"/>
  <c r="K101" i="1" a="1"/>
  <c r="K100" i="1" a="1"/>
  <c r="K70" i="1" a="1"/>
  <c r="K69" i="1" a="1"/>
  <c r="K131" i="1" a="1"/>
  <c r="B133" i="16" l="1"/>
  <c r="C133" i="16" s="1"/>
  <c r="B101" i="16"/>
  <c r="C101" i="16" s="1"/>
  <c r="B74" i="16"/>
  <c r="C74" i="16" s="1"/>
  <c r="B39" i="16"/>
  <c r="C39" i="16" s="1"/>
  <c r="G11" i="16"/>
  <c r="G135" i="16"/>
  <c r="J134" i="16" s="1"/>
  <c r="B38" i="16"/>
  <c r="C38" i="16" s="1"/>
  <c r="B37" i="16"/>
  <c r="C37" i="16" s="1"/>
  <c r="J9" i="16"/>
  <c r="B73" i="16"/>
  <c r="C73" i="16" s="1"/>
  <c r="B72" i="16"/>
  <c r="C72" i="16" s="1"/>
  <c r="B132" i="16"/>
  <c r="C132" i="16" s="1"/>
  <c r="G76" i="16"/>
  <c r="J75" i="16"/>
  <c r="B100" i="16"/>
  <c r="C100" i="16" s="1"/>
  <c r="G41" i="16"/>
  <c r="G103" i="16"/>
  <c r="J102" i="16"/>
  <c r="B9" i="15"/>
  <c r="C9" i="15" s="1"/>
  <c r="B76" i="15"/>
  <c r="C76" i="15" s="1"/>
  <c r="B44" i="15"/>
  <c r="C44" i="15" s="1"/>
  <c r="B134" i="15"/>
  <c r="C134" i="15" s="1"/>
  <c r="G136" i="15"/>
  <c r="J135" i="15"/>
  <c r="B99" i="14"/>
  <c r="C99" i="14" s="1"/>
  <c r="G106" i="15"/>
  <c r="J105" i="15"/>
  <c r="G11" i="15"/>
  <c r="G78" i="15"/>
  <c r="J77" i="15"/>
  <c r="G46" i="15"/>
  <c r="J45" i="15"/>
  <c r="B43" i="15"/>
  <c r="C43" i="15" s="1"/>
  <c r="B42" i="15"/>
  <c r="C42" i="15" s="1"/>
  <c r="B100" i="10"/>
  <c r="C100" i="10" s="1"/>
  <c r="J104" i="15"/>
  <c r="B10" i="14"/>
  <c r="C10" i="14" s="1"/>
  <c r="B39" i="14"/>
  <c r="C39" i="14" s="1"/>
  <c r="G41" i="14"/>
  <c r="G72" i="14"/>
  <c r="G103" i="14"/>
  <c r="J102" i="14"/>
  <c r="J101" i="14"/>
  <c r="G136" i="14"/>
  <c r="G12" i="14"/>
  <c r="J11" i="14"/>
  <c r="B42" i="13"/>
  <c r="C42" i="13" s="1"/>
  <c r="B101" i="13"/>
  <c r="C101" i="13" s="1"/>
  <c r="B9" i="13"/>
  <c r="C9" i="13" s="1"/>
  <c r="B133" i="13"/>
  <c r="C133" i="13" s="1"/>
  <c r="G73" i="13"/>
  <c r="J72" i="13"/>
  <c r="G103" i="13"/>
  <c r="J102" i="13" s="1"/>
  <c r="J71" i="13"/>
  <c r="G135" i="13"/>
  <c r="B132" i="13"/>
  <c r="C132" i="13" s="1"/>
  <c r="B131" i="13"/>
  <c r="C131" i="13" s="1"/>
  <c r="B70" i="13"/>
  <c r="C70" i="13" s="1"/>
  <c r="B69" i="13"/>
  <c r="C69" i="13" s="1"/>
  <c r="G11" i="13"/>
  <c r="J10" i="13"/>
  <c r="G44" i="13"/>
  <c r="J43" i="13"/>
  <c r="B41" i="13"/>
  <c r="C41" i="13" s="1"/>
  <c r="B103" i="12"/>
  <c r="C103" i="12" s="1"/>
  <c r="B9" i="12"/>
  <c r="C9" i="12" s="1"/>
  <c r="B132" i="12"/>
  <c r="C132" i="12" s="1"/>
  <c r="B41" i="12"/>
  <c r="C41" i="12" s="1"/>
  <c r="G72" i="12"/>
  <c r="J71" i="12" s="1"/>
  <c r="G134" i="12"/>
  <c r="G105" i="12"/>
  <c r="J104" i="12"/>
  <c r="G43" i="12"/>
  <c r="B39" i="12"/>
  <c r="C39" i="12" s="1"/>
  <c r="G11" i="12"/>
  <c r="J10" i="12"/>
  <c r="G73" i="11"/>
  <c r="J72" i="11"/>
  <c r="B102" i="11"/>
  <c r="C102" i="11" s="1"/>
  <c r="B101" i="11"/>
  <c r="C101" i="11" s="1"/>
  <c r="G11" i="11"/>
  <c r="J10" i="11"/>
  <c r="G42" i="11"/>
  <c r="G105" i="11"/>
  <c r="J104" i="11"/>
  <c r="J133" i="11"/>
  <c r="G134" i="11"/>
  <c r="J103" i="11"/>
  <c r="J9" i="11"/>
  <c r="J71" i="11"/>
  <c r="B133" i="10"/>
  <c r="C133" i="10" s="1"/>
  <c r="B101" i="10"/>
  <c r="C101" i="10" s="1"/>
  <c r="B10" i="10"/>
  <c r="C10" i="10" s="1"/>
  <c r="B39" i="10"/>
  <c r="C39" i="10" s="1"/>
  <c r="G41" i="10"/>
  <c r="J40" i="10"/>
  <c r="G12" i="10"/>
  <c r="J11" i="10"/>
  <c r="G74" i="10"/>
  <c r="J73" i="10"/>
  <c r="B99" i="10"/>
  <c r="C99" i="10" s="1"/>
  <c r="J102" i="10"/>
  <c r="G103" i="10"/>
  <c r="G135" i="10"/>
  <c r="J134" i="10" s="1"/>
  <c r="B70" i="9"/>
  <c r="C70" i="9" s="1"/>
  <c r="B6" i="9"/>
  <c r="C6" i="9" s="1"/>
  <c r="G44" i="9"/>
  <c r="J43" i="9"/>
  <c r="G10" i="9"/>
  <c r="J9" i="9" s="1"/>
  <c r="G106" i="9"/>
  <c r="J105" i="9"/>
  <c r="B41" i="9"/>
  <c r="C41" i="9" s="1"/>
  <c r="G72" i="9"/>
  <c r="J71" i="9" s="1"/>
  <c r="J42" i="9"/>
  <c r="G134" i="9"/>
  <c r="B8" i="8"/>
  <c r="C8" i="8" s="1"/>
  <c r="B70" i="8"/>
  <c r="C70" i="8" s="1"/>
  <c r="G135" i="8"/>
  <c r="J134" i="8"/>
  <c r="G41" i="8"/>
  <c r="J40" i="8"/>
  <c r="B38" i="8"/>
  <c r="C38" i="8" s="1"/>
  <c r="B37" i="8"/>
  <c r="C37" i="8" s="1"/>
  <c r="G103" i="8"/>
  <c r="J102" i="8"/>
  <c r="J101" i="8"/>
  <c r="J133" i="8"/>
  <c r="J39" i="8"/>
  <c r="G10" i="8"/>
  <c r="J9" i="8" s="1"/>
  <c r="B132" i="8"/>
  <c r="C132" i="8" s="1"/>
  <c r="B131" i="8"/>
  <c r="C131" i="8" s="1"/>
  <c r="G72" i="8"/>
  <c r="J71" i="8" s="1"/>
  <c r="B8" i="7"/>
  <c r="C8" i="7" s="1"/>
  <c r="G108" i="7"/>
  <c r="J107" i="7"/>
  <c r="G73" i="7"/>
  <c r="G42" i="7"/>
  <c r="J41" i="7"/>
  <c r="B131" i="7"/>
  <c r="C131" i="7" s="1"/>
  <c r="J71" i="7"/>
  <c r="J106" i="7"/>
  <c r="G135" i="7"/>
  <c r="J134" i="7"/>
  <c r="G10" i="7"/>
  <c r="B101" i="6"/>
  <c r="C101" i="6" s="1"/>
  <c r="B70" i="6"/>
  <c r="C70" i="6" s="1"/>
  <c r="B39" i="6"/>
  <c r="C39" i="6" s="1"/>
  <c r="G72" i="6"/>
  <c r="J71" i="6" s="1"/>
  <c r="G103" i="6"/>
  <c r="J102" i="6"/>
  <c r="G41" i="6"/>
  <c r="J40" i="6"/>
  <c r="B38" i="6"/>
  <c r="C38" i="6" s="1"/>
  <c r="B37" i="6"/>
  <c r="C37" i="6" s="1"/>
  <c r="G10" i="6"/>
  <c r="G134" i="6"/>
  <c r="G134" i="5"/>
  <c r="G12" i="5"/>
  <c r="J11" i="5"/>
  <c r="J10" i="5"/>
  <c r="G43" i="5"/>
  <c r="J42" i="5"/>
  <c r="J41" i="5"/>
  <c r="J106" i="5"/>
  <c r="G107" i="5"/>
  <c r="G73" i="5"/>
  <c r="J72" i="5"/>
  <c r="B40" i="5"/>
  <c r="C40" i="5" s="1"/>
  <c r="B103" i="4"/>
  <c r="C103" i="4" s="1"/>
  <c r="B72" i="4"/>
  <c r="C72" i="4" s="1"/>
  <c r="B8" i="4"/>
  <c r="C8" i="4" s="1"/>
  <c r="B39" i="4"/>
  <c r="C39" i="4" s="1"/>
  <c r="J134" i="4"/>
  <c r="G135" i="4"/>
  <c r="G106" i="4"/>
  <c r="J105" i="4"/>
  <c r="B7" i="4"/>
  <c r="C7" i="4" s="1"/>
  <c r="B6" i="4"/>
  <c r="C6" i="4" s="1"/>
  <c r="G10" i="4"/>
  <c r="J9" i="4"/>
  <c r="J40" i="4"/>
  <c r="G41" i="4"/>
  <c r="B71" i="4"/>
  <c r="C71" i="4" s="1"/>
  <c r="B102" i="4"/>
  <c r="C102" i="4" s="1"/>
  <c r="G74" i="4"/>
  <c r="J73" i="4"/>
  <c r="B72" i="3"/>
  <c r="C72" i="3" s="1"/>
  <c r="B101" i="3"/>
  <c r="C101" i="3" s="1"/>
  <c r="B9" i="3"/>
  <c r="C9" i="3" s="1"/>
  <c r="B41" i="3"/>
  <c r="C41" i="3" s="1"/>
  <c r="G74" i="3"/>
  <c r="J73" i="3"/>
  <c r="G44" i="3"/>
  <c r="J42" i="3"/>
  <c r="G135" i="3"/>
  <c r="J134" i="3"/>
  <c r="J133" i="3"/>
  <c r="G11" i="3"/>
  <c r="J10" i="3"/>
  <c r="B40" i="3"/>
  <c r="C40" i="3" s="1"/>
  <c r="G103" i="3"/>
  <c r="J102" i="3"/>
  <c r="B101" i="2"/>
  <c r="C101" i="2" s="1"/>
  <c r="G103" i="2"/>
  <c r="J102" i="2"/>
  <c r="G41" i="2"/>
  <c r="J40" i="2"/>
  <c r="J39" i="2"/>
  <c r="G74" i="2"/>
  <c r="J73" i="2"/>
  <c r="J9" i="2"/>
  <c r="G10" i="2"/>
  <c r="G134" i="2"/>
  <c r="K131" i="1"/>
  <c r="G134" i="1"/>
  <c r="J133" i="1"/>
  <c r="J132" i="1"/>
  <c r="K100" i="1"/>
  <c r="K101" i="1"/>
  <c r="G103" i="1"/>
  <c r="K69" i="1"/>
  <c r="K70" i="1"/>
  <c r="G72" i="1"/>
  <c r="G42" i="1"/>
  <c r="J41" i="1"/>
  <c r="J40" i="1"/>
  <c r="G8" i="1"/>
  <c r="K132" i="1" a="1"/>
  <c r="K41" i="1" a="1"/>
  <c r="K40" i="1" a="1"/>
  <c r="K133" i="1" a="1"/>
  <c r="B134" i="16" l="1"/>
  <c r="C134" i="16" s="1"/>
  <c r="B75" i="16"/>
  <c r="C75" i="16" s="1"/>
  <c r="G12" i="16"/>
  <c r="J11" i="16"/>
  <c r="G104" i="16"/>
  <c r="J103" i="16"/>
  <c r="G42" i="16"/>
  <c r="G77" i="16"/>
  <c r="J76" i="16" s="1"/>
  <c r="G136" i="16"/>
  <c r="J135" i="16"/>
  <c r="J40" i="16"/>
  <c r="J10" i="16"/>
  <c r="B77" i="15"/>
  <c r="C77" i="15" s="1"/>
  <c r="B135" i="15"/>
  <c r="C135" i="15" s="1"/>
  <c r="B45" i="15"/>
  <c r="C45" i="15" s="1"/>
  <c r="G79" i="15"/>
  <c r="G12" i="15"/>
  <c r="J11" i="15"/>
  <c r="G137" i="15"/>
  <c r="J136" i="15" s="1"/>
  <c r="J10" i="15"/>
  <c r="J106" i="15"/>
  <c r="G107" i="15"/>
  <c r="G47" i="15"/>
  <c r="B11" i="14"/>
  <c r="C11" i="14" s="1"/>
  <c r="G42" i="14"/>
  <c r="B134" i="14"/>
  <c r="C134" i="14" s="1"/>
  <c r="B133" i="14"/>
  <c r="C133" i="14" s="1"/>
  <c r="G104" i="14"/>
  <c r="J103" i="14" s="1"/>
  <c r="G73" i="14"/>
  <c r="J72" i="14"/>
  <c r="J40" i="14"/>
  <c r="G13" i="14"/>
  <c r="J12" i="14"/>
  <c r="J136" i="14"/>
  <c r="G137" i="14"/>
  <c r="J71" i="14"/>
  <c r="J135" i="14"/>
  <c r="B70" i="14"/>
  <c r="C70" i="14" s="1"/>
  <c r="B69" i="14"/>
  <c r="C69" i="14" s="1"/>
  <c r="B102" i="13"/>
  <c r="C102" i="13" s="1"/>
  <c r="B10" i="13"/>
  <c r="C10" i="13" s="1"/>
  <c r="B43" i="13"/>
  <c r="C43" i="13" s="1"/>
  <c r="G136" i="13"/>
  <c r="J135" i="13"/>
  <c r="G45" i="13"/>
  <c r="J44" i="13" s="1"/>
  <c r="B8" i="9"/>
  <c r="C8" i="9" s="1"/>
  <c r="G12" i="13"/>
  <c r="J11" i="13"/>
  <c r="J134" i="13"/>
  <c r="J103" i="13"/>
  <c r="G104" i="13"/>
  <c r="G74" i="13"/>
  <c r="J73" i="13"/>
  <c r="B71" i="12"/>
  <c r="C71" i="12" s="1"/>
  <c r="B104" i="12"/>
  <c r="C104" i="12" s="1"/>
  <c r="B10" i="12"/>
  <c r="C10" i="12" s="1"/>
  <c r="G44" i="12"/>
  <c r="J43" i="12"/>
  <c r="G106" i="12"/>
  <c r="J105" i="12"/>
  <c r="G135" i="12"/>
  <c r="J134" i="12"/>
  <c r="J133" i="12"/>
  <c r="B70" i="12"/>
  <c r="C70" i="12" s="1"/>
  <c r="B69" i="12"/>
  <c r="C69" i="12" s="1"/>
  <c r="G73" i="12"/>
  <c r="B40" i="12"/>
  <c r="C40" i="12" s="1"/>
  <c r="G12" i="12"/>
  <c r="J11" i="12"/>
  <c r="J42" i="12"/>
  <c r="B133" i="11"/>
  <c r="C133" i="11" s="1"/>
  <c r="B40" i="11"/>
  <c r="C40" i="11" s="1"/>
  <c r="B39" i="11"/>
  <c r="C39" i="11" s="1"/>
  <c r="G106" i="11"/>
  <c r="J105" i="11" s="1"/>
  <c r="G43" i="11"/>
  <c r="J42" i="11"/>
  <c r="G74" i="11"/>
  <c r="J73" i="11"/>
  <c r="J41" i="11"/>
  <c r="G12" i="11"/>
  <c r="J11" i="11"/>
  <c r="B133" i="7"/>
  <c r="C133" i="7" s="1"/>
  <c r="B7" i="9"/>
  <c r="C7" i="9" s="1"/>
  <c r="G135" i="11"/>
  <c r="J134" i="11"/>
  <c r="B132" i="11"/>
  <c r="C132" i="11" s="1"/>
  <c r="B131" i="11"/>
  <c r="C131" i="11" s="1"/>
  <c r="B134" i="10"/>
  <c r="C134" i="10" s="1"/>
  <c r="B11" i="10"/>
  <c r="C11" i="10" s="1"/>
  <c r="B73" i="10"/>
  <c r="C73" i="10" s="1"/>
  <c r="B102" i="10"/>
  <c r="C102" i="10" s="1"/>
  <c r="G75" i="10"/>
  <c r="J74" i="10"/>
  <c r="B72" i="10"/>
  <c r="C72" i="10" s="1"/>
  <c r="B71" i="10"/>
  <c r="C71" i="10" s="1"/>
  <c r="G136" i="10"/>
  <c r="J135" i="10"/>
  <c r="G13" i="10"/>
  <c r="J12" i="10"/>
  <c r="J41" i="10"/>
  <c r="G42" i="10"/>
  <c r="G104" i="10"/>
  <c r="J103" i="10" s="1"/>
  <c r="B71" i="9"/>
  <c r="C71" i="9" s="1"/>
  <c r="B9" i="9"/>
  <c r="C9" i="9" s="1"/>
  <c r="B105" i="9"/>
  <c r="C105" i="9" s="1"/>
  <c r="G45" i="9"/>
  <c r="J44" i="9" s="1"/>
  <c r="B104" i="9"/>
  <c r="C104" i="9" s="1"/>
  <c r="B103" i="9"/>
  <c r="C103" i="9" s="1"/>
  <c r="G107" i="9"/>
  <c r="G135" i="9"/>
  <c r="J134" i="9"/>
  <c r="J133" i="9"/>
  <c r="G11" i="9"/>
  <c r="B132" i="9"/>
  <c r="C132" i="9" s="1"/>
  <c r="B131" i="9"/>
  <c r="C131" i="9" s="1"/>
  <c r="G73" i="9"/>
  <c r="J72" i="9"/>
  <c r="B9" i="8"/>
  <c r="C9" i="8" s="1"/>
  <c r="B71" i="8"/>
  <c r="C71" i="8" s="1"/>
  <c r="G42" i="8"/>
  <c r="G73" i="8"/>
  <c r="J72" i="8"/>
  <c r="G136" i="8"/>
  <c r="J135" i="8"/>
  <c r="G11" i="8"/>
  <c r="J103" i="8"/>
  <c r="G104" i="8"/>
  <c r="B132" i="7"/>
  <c r="C132" i="7" s="1"/>
  <c r="B41" i="7"/>
  <c r="C41" i="7" s="1"/>
  <c r="B134" i="7"/>
  <c r="C134" i="7" s="1"/>
  <c r="G74" i="7"/>
  <c r="J73" i="7"/>
  <c r="J72" i="7"/>
  <c r="G43" i="7"/>
  <c r="J42" i="7" s="1"/>
  <c r="G136" i="7"/>
  <c r="J135" i="7"/>
  <c r="B40" i="7"/>
  <c r="C40" i="7" s="1"/>
  <c r="B39" i="7"/>
  <c r="C39" i="7" s="1"/>
  <c r="J108" i="7"/>
  <c r="G109" i="7"/>
  <c r="G11" i="7"/>
  <c r="J10" i="7" s="1"/>
  <c r="J9" i="7"/>
  <c r="B71" i="6"/>
  <c r="C71" i="6" s="1"/>
  <c r="B102" i="6"/>
  <c r="C102" i="6" s="1"/>
  <c r="B40" i="6"/>
  <c r="C40" i="6" s="1"/>
  <c r="G104" i="6"/>
  <c r="B132" i="6"/>
  <c r="C132" i="6" s="1"/>
  <c r="B131" i="6"/>
  <c r="C131" i="6" s="1"/>
  <c r="G135" i="6"/>
  <c r="J134" i="6"/>
  <c r="J133" i="6"/>
  <c r="B8" i="6"/>
  <c r="C8" i="6" s="1"/>
  <c r="B7" i="6"/>
  <c r="C7" i="6" s="1"/>
  <c r="G42" i="6"/>
  <c r="G73" i="6"/>
  <c r="J72" i="6"/>
  <c r="G11" i="6"/>
  <c r="J10" i="6"/>
  <c r="J9" i="6"/>
  <c r="B72" i="5"/>
  <c r="C72" i="5" s="1"/>
  <c r="B106" i="5"/>
  <c r="C106" i="5" s="1"/>
  <c r="B10" i="5"/>
  <c r="C10" i="5" s="1"/>
  <c r="G44" i="5"/>
  <c r="J43" i="5"/>
  <c r="G13" i="5"/>
  <c r="J12" i="5" s="1"/>
  <c r="G135" i="5"/>
  <c r="J134" i="5"/>
  <c r="B71" i="5"/>
  <c r="C71" i="5" s="1"/>
  <c r="B70" i="5"/>
  <c r="C70" i="5" s="1"/>
  <c r="B105" i="5"/>
  <c r="C105" i="5" s="1"/>
  <c r="G74" i="5"/>
  <c r="J73" i="5"/>
  <c r="J133" i="5"/>
  <c r="B132" i="5"/>
  <c r="C132" i="5" s="1"/>
  <c r="B131" i="5"/>
  <c r="C131" i="5" s="1"/>
  <c r="B9" i="5"/>
  <c r="C9" i="5" s="1"/>
  <c r="G108" i="5"/>
  <c r="J107" i="5"/>
  <c r="B40" i="4"/>
  <c r="C40" i="4" s="1"/>
  <c r="B134" i="4"/>
  <c r="C134" i="4" s="1"/>
  <c r="B9" i="4"/>
  <c r="C9" i="4" s="1"/>
  <c r="B105" i="4"/>
  <c r="C105" i="4" s="1"/>
  <c r="J74" i="4"/>
  <c r="G75" i="4"/>
  <c r="B133" i="4"/>
  <c r="C133" i="4" s="1"/>
  <c r="G11" i="4"/>
  <c r="G107" i="4"/>
  <c r="G136" i="4"/>
  <c r="G42" i="4"/>
  <c r="J41" i="4"/>
  <c r="B104" i="4"/>
  <c r="C104" i="4" s="1"/>
  <c r="B73" i="3"/>
  <c r="C73" i="3" s="1"/>
  <c r="B102" i="3"/>
  <c r="C102" i="3" s="1"/>
  <c r="G12" i="3"/>
  <c r="J11" i="3"/>
  <c r="G136" i="3"/>
  <c r="J135" i="3"/>
  <c r="G45" i="3"/>
  <c r="G75" i="3"/>
  <c r="G104" i="3"/>
  <c r="J103" i="3" s="1"/>
  <c r="J43" i="3"/>
  <c r="B9" i="2"/>
  <c r="C9" i="2" s="1"/>
  <c r="B73" i="2"/>
  <c r="C73" i="2" s="1"/>
  <c r="B102" i="2"/>
  <c r="C102" i="2" s="1"/>
  <c r="B132" i="2"/>
  <c r="C132" i="2" s="1"/>
  <c r="B131" i="2"/>
  <c r="C131" i="2" s="1"/>
  <c r="B8" i="2"/>
  <c r="C8" i="2" s="1"/>
  <c r="B7" i="2"/>
  <c r="C7" i="2" s="1"/>
  <c r="G135" i="2"/>
  <c r="J134" i="2"/>
  <c r="G75" i="2"/>
  <c r="J74" i="2"/>
  <c r="G42" i="2"/>
  <c r="J103" i="2"/>
  <c r="G104" i="2"/>
  <c r="J133" i="2"/>
  <c r="B72" i="2"/>
  <c r="C72" i="2" s="1"/>
  <c r="B71" i="2"/>
  <c r="C71" i="2" s="1"/>
  <c r="G11" i="2"/>
  <c r="J10" i="2"/>
  <c r="K132" i="1"/>
  <c r="B132" i="1" s="1"/>
  <c r="C132" i="1" s="1"/>
  <c r="K133" i="1"/>
  <c r="G135" i="1"/>
  <c r="J134" i="1" s="1"/>
  <c r="B131" i="1"/>
  <c r="C131" i="1" s="1"/>
  <c r="G104" i="1"/>
  <c r="J103" i="1"/>
  <c r="J102" i="1"/>
  <c r="B101" i="1"/>
  <c r="C101" i="1" s="1"/>
  <c r="B100" i="1"/>
  <c r="C100" i="1" s="1"/>
  <c r="G73" i="1"/>
  <c r="J72" i="1"/>
  <c r="J71" i="1"/>
  <c r="B70" i="1"/>
  <c r="C70" i="1" s="1"/>
  <c r="B69" i="1"/>
  <c r="C69" i="1" s="1"/>
  <c r="K41" i="1"/>
  <c r="K40" i="1"/>
  <c r="G43" i="1"/>
  <c r="J42" i="1"/>
  <c r="G9" i="1"/>
  <c r="J7" i="1"/>
  <c r="J8" i="1"/>
  <c r="K71" i="1" a="1"/>
  <c r="K7" i="1" a="1"/>
  <c r="K72" i="1" a="1"/>
  <c r="K103" i="1" a="1"/>
  <c r="K42" i="1" a="1"/>
  <c r="K102" i="1" a="1"/>
  <c r="K8" i="1" a="1"/>
  <c r="K134" i="1" a="1"/>
  <c r="B76" i="16" l="1"/>
  <c r="C76" i="16" s="1"/>
  <c r="B10" i="16"/>
  <c r="C10" i="16" s="1"/>
  <c r="B135" i="16"/>
  <c r="C135" i="16" s="1"/>
  <c r="B103" i="16"/>
  <c r="C103" i="16" s="1"/>
  <c r="G137" i="16"/>
  <c r="J136" i="16"/>
  <c r="G43" i="16"/>
  <c r="B102" i="16"/>
  <c r="C102" i="16" s="1"/>
  <c r="B9" i="16"/>
  <c r="C9" i="16" s="1"/>
  <c r="G78" i="16"/>
  <c r="J77" i="16" s="1"/>
  <c r="G13" i="16"/>
  <c r="J41" i="16"/>
  <c r="G105" i="16"/>
  <c r="B136" i="15"/>
  <c r="C136" i="15" s="1"/>
  <c r="B106" i="15"/>
  <c r="C106" i="15" s="1"/>
  <c r="G48" i="15"/>
  <c r="J47" i="15"/>
  <c r="G138" i="15"/>
  <c r="J137" i="15"/>
  <c r="G80" i="15"/>
  <c r="B105" i="15"/>
  <c r="C105" i="15" s="1"/>
  <c r="B104" i="15"/>
  <c r="C104" i="15" s="1"/>
  <c r="J46" i="15"/>
  <c r="J12" i="15"/>
  <c r="G13" i="15"/>
  <c r="J78" i="15"/>
  <c r="G108" i="15"/>
  <c r="J107" i="15"/>
  <c r="B103" i="14"/>
  <c r="C103" i="14" s="1"/>
  <c r="B12" i="14"/>
  <c r="C12" i="14" s="1"/>
  <c r="G14" i="14"/>
  <c r="J13" i="14"/>
  <c r="G138" i="14"/>
  <c r="J137" i="14"/>
  <c r="G43" i="14"/>
  <c r="J42" i="14"/>
  <c r="G74" i="14"/>
  <c r="J73" i="14"/>
  <c r="G105" i="14"/>
  <c r="J104" i="14"/>
  <c r="J41" i="14"/>
  <c r="B102" i="14"/>
  <c r="C102" i="14" s="1"/>
  <c r="B101" i="14"/>
  <c r="C101" i="14" s="1"/>
  <c r="B44" i="13"/>
  <c r="C44" i="13" s="1"/>
  <c r="B73" i="13"/>
  <c r="C73" i="13" s="1"/>
  <c r="B103" i="13"/>
  <c r="C103" i="13" s="1"/>
  <c r="G13" i="13"/>
  <c r="J12" i="13" s="1"/>
  <c r="G75" i="13"/>
  <c r="B72" i="13"/>
  <c r="C72" i="13" s="1"/>
  <c r="B71" i="13"/>
  <c r="C71" i="13" s="1"/>
  <c r="G137" i="13"/>
  <c r="J136" i="13"/>
  <c r="G105" i="13"/>
  <c r="J104" i="13"/>
  <c r="G46" i="13"/>
  <c r="J45" i="13" s="1"/>
  <c r="B105" i="12"/>
  <c r="C105" i="12" s="1"/>
  <c r="B11" i="12"/>
  <c r="C11" i="12" s="1"/>
  <c r="G13" i="12"/>
  <c r="G45" i="12"/>
  <c r="J44" i="12" s="1"/>
  <c r="G74" i="12"/>
  <c r="J73" i="12"/>
  <c r="G136" i="12"/>
  <c r="J135" i="12"/>
  <c r="J106" i="12"/>
  <c r="G107" i="12"/>
  <c r="J72" i="12"/>
  <c r="B105" i="11"/>
  <c r="C105" i="11" s="1"/>
  <c r="B73" i="11"/>
  <c r="C73" i="11" s="1"/>
  <c r="B134" i="11"/>
  <c r="C134" i="11" s="1"/>
  <c r="B11" i="11"/>
  <c r="C11" i="11" s="1"/>
  <c r="B104" i="11"/>
  <c r="C104" i="11" s="1"/>
  <c r="B103" i="11"/>
  <c r="C103" i="11" s="1"/>
  <c r="G44" i="11"/>
  <c r="J43" i="11"/>
  <c r="G136" i="11"/>
  <c r="J135" i="11"/>
  <c r="B10" i="11"/>
  <c r="C10" i="11" s="1"/>
  <c r="B9" i="11"/>
  <c r="C9" i="11" s="1"/>
  <c r="G13" i="11"/>
  <c r="G75" i="11"/>
  <c r="J74" i="11" s="1"/>
  <c r="G107" i="11"/>
  <c r="B72" i="11"/>
  <c r="C72" i="11" s="1"/>
  <c r="B71" i="11"/>
  <c r="C71" i="11" s="1"/>
  <c r="B103" i="10"/>
  <c r="C103" i="10" s="1"/>
  <c r="B41" i="10"/>
  <c r="C41" i="10" s="1"/>
  <c r="B135" i="10"/>
  <c r="C135" i="10" s="1"/>
  <c r="B74" i="10"/>
  <c r="C74" i="10" s="1"/>
  <c r="G76" i="10"/>
  <c r="J75" i="10"/>
  <c r="G137" i="10"/>
  <c r="G105" i="10"/>
  <c r="G14" i="10"/>
  <c r="J13" i="10"/>
  <c r="B40" i="10"/>
  <c r="C40" i="10" s="1"/>
  <c r="G43" i="10"/>
  <c r="J42" i="10"/>
  <c r="B44" i="9"/>
  <c r="C44" i="9" s="1"/>
  <c r="B72" i="9"/>
  <c r="C72" i="9" s="1"/>
  <c r="G136" i="9"/>
  <c r="J135" i="9"/>
  <c r="G108" i="9"/>
  <c r="J107" i="9"/>
  <c r="J106" i="9"/>
  <c r="G12" i="9"/>
  <c r="J11" i="9"/>
  <c r="J10" i="9"/>
  <c r="G46" i="9"/>
  <c r="G74" i="9"/>
  <c r="J73" i="9"/>
  <c r="B43" i="9"/>
  <c r="C43" i="9" s="1"/>
  <c r="B42" i="9"/>
  <c r="C42" i="9" s="1"/>
  <c r="B72" i="8"/>
  <c r="C72" i="8" s="1"/>
  <c r="B135" i="8"/>
  <c r="C135" i="8" s="1"/>
  <c r="B103" i="8"/>
  <c r="C103" i="8" s="1"/>
  <c r="B40" i="8"/>
  <c r="C40" i="8" s="1"/>
  <c r="B39" i="8"/>
  <c r="C39" i="8" s="1"/>
  <c r="G105" i="8"/>
  <c r="J104" i="8"/>
  <c r="B102" i="8"/>
  <c r="C102" i="8" s="1"/>
  <c r="B101" i="8"/>
  <c r="C101" i="8" s="1"/>
  <c r="G12" i="8"/>
  <c r="J11" i="8"/>
  <c r="G137" i="8"/>
  <c r="J42" i="8"/>
  <c r="G43" i="8"/>
  <c r="G74" i="8"/>
  <c r="J73" i="8"/>
  <c r="J41" i="8"/>
  <c r="B134" i="8"/>
  <c r="C134" i="8" s="1"/>
  <c r="B133" i="8"/>
  <c r="C133" i="8" s="1"/>
  <c r="J10" i="8"/>
  <c r="B42" i="7"/>
  <c r="C42" i="7" s="1"/>
  <c r="B135" i="7"/>
  <c r="C135" i="7" s="1"/>
  <c r="B108" i="7"/>
  <c r="C108" i="7" s="1"/>
  <c r="G75" i="7"/>
  <c r="J74" i="7"/>
  <c r="B107" i="7"/>
  <c r="C107" i="7" s="1"/>
  <c r="B106" i="7"/>
  <c r="C106" i="7" s="1"/>
  <c r="G137" i="7"/>
  <c r="J109" i="7"/>
  <c r="G110" i="7"/>
  <c r="B71" i="7"/>
  <c r="C71" i="7" s="1"/>
  <c r="G44" i="7"/>
  <c r="J43" i="7"/>
  <c r="G12" i="7"/>
  <c r="J11" i="7"/>
  <c r="B72" i="6"/>
  <c r="C72" i="6" s="1"/>
  <c r="G105" i="6"/>
  <c r="J104" i="6"/>
  <c r="J42" i="6"/>
  <c r="G43" i="6"/>
  <c r="G12" i="6"/>
  <c r="J11" i="6"/>
  <c r="J103" i="6"/>
  <c r="J41" i="6"/>
  <c r="G74" i="6"/>
  <c r="J73" i="6"/>
  <c r="G136" i="6"/>
  <c r="J135" i="6"/>
  <c r="B12" i="5"/>
  <c r="C12" i="5" s="1"/>
  <c r="B43" i="5"/>
  <c r="C43" i="5" s="1"/>
  <c r="G136" i="5"/>
  <c r="J135" i="5"/>
  <c r="G45" i="5"/>
  <c r="J44" i="5" s="1"/>
  <c r="B11" i="5"/>
  <c r="C11" i="5" s="1"/>
  <c r="G14" i="5"/>
  <c r="J13" i="5"/>
  <c r="J108" i="5"/>
  <c r="G109" i="5"/>
  <c r="G75" i="5"/>
  <c r="B42" i="5"/>
  <c r="C42" i="5" s="1"/>
  <c r="B41" i="5"/>
  <c r="C41" i="5" s="1"/>
  <c r="B41" i="4"/>
  <c r="C41" i="4" s="1"/>
  <c r="B74" i="4"/>
  <c r="C74" i="4" s="1"/>
  <c r="G108" i="4"/>
  <c r="J107" i="4"/>
  <c r="G43" i="4"/>
  <c r="J42" i="4"/>
  <c r="G12" i="4"/>
  <c r="J11" i="4"/>
  <c r="G137" i="4"/>
  <c r="J136" i="4"/>
  <c r="B73" i="4"/>
  <c r="C73" i="4" s="1"/>
  <c r="J106" i="4"/>
  <c r="J10" i="4"/>
  <c r="G76" i="4"/>
  <c r="J75" i="4"/>
  <c r="J135" i="4"/>
  <c r="B103" i="3"/>
  <c r="C103" i="3" s="1"/>
  <c r="B11" i="3"/>
  <c r="C11" i="3" s="1"/>
  <c r="B135" i="3"/>
  <c r="C135" i="3" s="1"/>
  <c r="B43" i="3"/>
  <c r="C43" i="3" s="1"/>
  <c r="G76" i="3"/>
  <c r="J75" i="3" s="1"/>
  <c r="G46" i="3"/>
  <c r="J45" i="3"/>
  <c r="B42" i="3"/>
  <c r="C42" i="3" s="1"/>
  <c r="G13" i="3"/>
  <c r="J12" i="3" s="1"/>
  <c r="B134" i="3"/>
  <c r="C134" i="3" s="1"/>
  <c r="B133" i="3"/>
  <c r="C133" i="3" s="1"/>
  <c r="G105" i="3"/>
  <c r="J104" i="3"/>
  <c r="J74" i="3"/>
  <c r="J44" i="3"/>
  <c r="G137" i="3"/>
  <c r="B10" i="3"/>
  <c r="C10" i="3" s="1"/>
  <c r="B10" i="2"/>
  <c r="C10" i="2" s="1"/>
  <c r="B74" i="2"/>
  <c r="C74" i="2" s="1"/>
  <c r="B103" i="2"/>
  <c r="C103" i="2" s="1"/>
  <c r="G12" i="2"/>
  <c r="J11" i="2"/>
  <c r="G43" i="2"/>
  <c r="J42" i="2"/>
  <c r="G136" i="2"/>
  <c r="J135" i="2"/>
  <c r="B40" i="2"/>
  <c r="C40" i="2" s="1"/>
  <c r="B39" i="2"/>
  <c r="C39" i="2" s="1"/>
  <c r="J41" i="2"/>
  <c r="G76" i="2"/>
  <c r="G105" i="2"/>
  <c r="J104" i="2"/>
  <c r="K134" i="1"/>
  <c r="B134" i="1" s="1"/>
  <c r="C134" i="1" s="1"/>
  <c r="G136" i="1"/>
  <c r="J135" i="1" s="1"/>
  <c r="B133" i="1"/>
  <c r="C133" i="1" s="1"/>
  <c r="K102" i="1"/>
  <c r="K103" i="1"/>
  <c r="G105" i="1"/>
  <c r="J104" i="1"/>
  <c r="K71" i="1"/>
  <c r="K72" i="1"/>
  <c r="G74" i="1"/>
  <c r="J73" i="1"/>
  <c r="K42" i="1"/>
  <c r="B42" i="1" s="1"/>
  <c r="C42" i="1" s="1"/>
  <c r="G44" i="1"/>
  <c r="J43" i="1"/>
  <c r="B41" i="1"/>
  <c r="C41" i="1" s="1"/>
  <c r="B40" i="1"/>
  <c r="C40" i="1" s="1"/>
  <c r="K7" i="1"/>
  <c r="G10" i="1"/>
  <c r="K8" i="1"/>
  <c r="K43" i="1" a="1"/>
  <c r="K73" i="1" a="1"/>
  <c r="K104" i="1" a="1"/>
  <c r="K135" i="1" a="1"/>
  <c r="B7" i="1" l="1"/>
  <c r="C7" i="1" s="1"/>
  <c r="B77" i="16"/>
  <c r="C77" i="16" s="1"/>
  <c r="B41" i="16"/>
  <c r="C41" i="16" s="1"/>
  <c r="B136" i="16"/>
  <c r="C136" i="16" s="1"/>
  <c r="G44" i="16"/>
  <c r="J43" i="16"/>
  <c r="J42" i="16"/>
  <c r="B40" i="16"/>
  <c r="C40" i="16" s="1"/>
  <c r="G14" i="16"/>
  <c r="B11" i="16"/>
  <c r="C11" i="16" s="1"/>
  <c r="G79" i="16"/>
  <c r="G138" i="16"/>
  <c r="J137" i="16"/>
  <c r="G106" i="16"/>
  <c r="J105" i="16"/>
  <c r="J104" i="16"/>
  <c r="J12" i="16"/>
  <c r="B137" i="15"/>
  <c r="C137" i="15" s="1"/>
  <c r="B12" i="15"/>
  <c r="C12" i="15" s="1"/>
  <c r="G81" i="15"/>
  <c r="J80" i="15"/>
  <c r="G109" i="15"/>
  <c r="J79" i="15"/>
  <c r="G139" i="15"/>
  <c r="J138" i="15" s="1"/>
  <c r="G49" i="15"/>
  <c r="J48" i="15" s="1"/>
  <c r="G14" i="15"/>
  <c r="J13" i="15"/>
  <c r="B11" i="15"/>
  <c r="C11" i="15" s="1"/>
  <c r="B10" i="15"/>
  <c r="C10" i="15" s="1"/>
  <c r="B73" i="14"/>
  <c r="C73" i="14" s="1"/>
  <c r="B41" i="14"/>
  <c r="C41" i="14" s="1"/>
  <c r="B137" i="14"/>
  <c r="C137" i="14" s="1"/>
  <c r="B13" i="14"/>
  <c r="C13" i="14" s="1"/>
  <c r="B104" i="14"/>
  <c r="C104" i="14" s="1"/>
  <c r="G75" i="14"/>
  <c r="J74" i="14"/>
  <c r="G44" i="14"/>
  <c r="J43" i="14"/>
  <c r="B136" i="14"/>
  <c r="C136" i="14" s="1"/>
  <c r="B135" i="14"/>
  <c r="C135" i="14" s="1"/>
  <c r="G139" i="14"/>
  <c r="J138" i="14" s="1"/>
  <c r="B40" i="14"/>
  <c r="C40" i="14" s="1"/>
  <c r="G15" i="14"/>
  <c r="B72" i="14"/>
  <c r="C72" i="14" s="1"/>
  <c r="B71" i="14"/>
  <c r="C71" i="14" s="1"/>
  <c r="G106" i="14"/>
  <c r="J105" i="14"/>
  <c r="B12" i="13"/>
  <c r="C12" i="13" s="1"/>
  <c r="B45" i="13"/>
  <c r="C45" i="13" s="1"/>
  <c r="B136" i="13"/>
  <c r="C136" i="13" s="1"/>
  <c r="B135" i="13"/>
  <c r="C135" i="13" s="1"/>
  <c r="B134" i="13"/>
  <c r="C134" i="13" s="1"/>
  <c r="G76" i="13"/>
  <c r="J75" i="13"/>
  <c r="J74" i="13"/>
  <c r="B11" i="13"/>
  <c r="C11" i="13" s="1"/>
  <c r="G138" i="13"/>
  <c r="G14" i="13"/>
  <c r="J13" i="13"/>
  <c r="G47" i="13"/>
  <c r="J46" i="13"/>
  <c r="G106" i="13"/>
  <c r="J105" i="13"/>
  <c r="B44" i="12"/>
  <c r="C44" i="12" s="1"/>
  <c r="B135" i="12"/>
  <c r="C135" i="12" s="1"/>
  <c r="G75" i="12"/>
  <c r="G137" i="12"/>
  <c r="J136" i="12"/>
  <c r="G14" i="12"/>
  <c r="J13" i="12"/>
  <c r="B43" i="12"/>
  <c r="C43" i="12" s="1"/>
  <c r="B42" i="12"/>
  <c r="C42" i="12" s="1"/>
  <c r="J12" i="12"/>
  <c r="G108" i="12"/>
  <c r="J107" i="12"/>
  <c r="G46" i="12"/>
  <c r="J45" i="12"/>
  <c r="B134" i="12"/>
  <c r="C134" i="12" s="1"/>
  <c r="B133" i="12"/>
  <c r="C133" i="12" s="1"/>
  <c r="B74" i="11"/>
  <c r="C74" i="11" s="1"/>
  <c r="B43" i="11"/>
  <c r="C43" i="11" s="1"/>
  <c r="B135" i="11"/>
  <c r="C135" i="11" s="1"/>
  <c r="G137" i="11"/>
  <c r="J136" i="11"/>
  <c r="G45" i="11"/>
  <c r="B42" i="11"/>
  <c r="C42" i="11" s="1"/>
  <c r="B41" i="11"/>
  <c r="C41" i="11" s="1"/>
  <c r="G108" i="11"/>
  <c r="J107" i="11"/>
  <c r="G76" i="11"/>
  <c r="J75" i="11"/>
  <c r="G14" i="11"/>
  <c r="J13" i="11"/>
  <c r="J106" i="11"/>
  <c r="J12" i="11"/>
  <c r="B13" i="10"/>
  <c r="C13" i="10" s="1"/>
  <c r="B42" i="10"/>
  <c r="C42" i="10" s="1"/>
  <c r="B75" i="10"/>
  <c r="C75" i="10" s="1"/>
  <c r="G106" i="10"/>
  <c r="J105" i="10" s="1"/>
  <c r="J104" i="10"/>
  <c r="B12" i="10"/>
  <c r="C12" i="10" s="1"/>
  <c r="G15" i="10"/>
  <c r="G138" i="10"/>
  <c r="J137" i="10"/>
  <c r="J136" i="10"/>
  <c r="G77" i="10"/>
  <c r="J76" i="10"/>
  <c r="G44" i="10"/>
  <c r="B73" i="9"/>
  <c r="C73" i="9" s="1"/>
  <c r="B135" i="9"/>
  <c r="C135" i="9" s="1"/>
  <c r="G47" i="9"/>
  <c r="J46" i="9" s="1"/>
  <c r="G13" i="9"/>
  <c r="J12" i="9"/>
  <c r="G137" i="9"/>
  <c r="J136" i="9"/>
  <c r="G75" i="9"/>
  <c r="B134" i="9"/>
  <c r="C134" i="9" s="1"/>
  <c r="B133" i="9"/>
  <c r="C133" i="9" s="1"/>
  <c r="G109" i="9"/>
  <c r="J45" i="9"/>
  <c r="B73" i="8"/>
  <c r="C73" i="8" s="1"/>
  <c r="B104" i="8"/>
  <c r="C104" i="8" s="1"/>
  <c r="G138" i="8"/>
  <c r="J137" i="8"/>
  <c r="G13" i="8"/>
  <c r="J12" i="8"/>
  <c r="G106" i="8"/>
  <c r="J105" i="8"/>
  <c r="G75" i="8"/>
  <c r="G44" i="8"/>
  <c r="J136" i="8"/>
  <c r="B74" i="7"/>
  <c r="C74" i="7" s="1"/>
  <c r="B109" i="7"/>
  <c r="C109" i="7" s="1"/>
  <c r="B11" i="7"/>
  <c r="C11" i="7" s="1"/>
  <c r="B43" i="7"/>
  <c r="C43" i="7" s="1"/>
  <c r="G138" i="7"/>
  <c r="J137" i="7"/>
  <c r="G76" i="7"/>
  <c r="J75" i="7"/>
  <c r="B10" i="7"/>
  <c r="C10" i="7" s="1"/>
  <c r="B9" i="7"/>
  <c r="C9" i="7" s="1"/>
  <c r="B73" i="7"/>
  <c r="C73" i="7" s="1"/>
  <c r="J136" i="7"/>
  <c r="B72" i="7"/>
  <c r="C72" i="7" s="1"/>
  <c r="G13" i="7"/>
  <c r="J12" i="7"/>
  <c r="G45" i="7"/>
  <c r="G111" i="7"/>
  <c r="J110" i="7" s="1"/>
  <c r="B11" i="6"/>
  <c r="C11" i="6" s="1"/>
  <c r="B73" i="6"/>
  <c r="C73" i="6" s="1"/>
  <c r="B135" i="6"/>
  <c r="C135" i="6" s="1"/>
  <c r="J74" i="6"/>
  <c r="G75" i="6"/>
  <c r="G44" i="6"/>
  <c r="J43" i="6"/>
  <c r="B134" i="6"/>
  <c r="C134" i="6" s="1"/>
  <c r="B133" i="6"/>
  <c r="C133" i="6" s="1"/>
  <c r="G13" i="6"/>
  <c r="G137" i="6"/>
  <c r="J136" i="6"/>
  <c r="G106" i="6"/>
  <c r="J105" i="6"/>
  <c r="B10" i="6"/>
  <c r="C10" i="6" s="1"/>
  <c r="B9" i="6"/>
  <c r="C9" i="6" s="1"/>
  <c r="B44" i="5"/>
  <c r="C44" i="5" s="1"/>
  <c r="B13" i="5"/>
  <c r="C13" i="5" s="1"/>
  <c r="B108" i="5"/>
  <c r="C108" i="5" s="1"/>
  <c r="B135" i="5"/>
  <c r="C135" i="5" s="1"/>
  <c r="G137" i="5"/>
  <c r="J136" i="5"/>
  <c r="B134" i="5"/>
  <c r="C134" i="5" s="1"/>
  <c r="B133" i="5"/>
  <c r="C133" i="5" s="1"/>
  <c r="B73" i="5"/>
  <c r="C73" i="5" s="1"/>
  <c r="B107" i="5"/>
  <c r="C107" i="5" s="1"/>
  <c r="G15" i="5"/>
  <c r="J14" i="5" s="1"/>
  <c r="G46" i="5"/>
  <c r="G76" i="5"/>
  <c r="J75" i="5"/>
  <c r="J74" i="5"/>
  <c r="G110" i="5"/>
  <c r="J109" i="5"/>
  <c r="B42" i="4"/>
  <c r="C42" i="4" s="1"/>
  <c r="G44" i="4"/>
  <c r="J43" i="4"/>
  <c r="G13" i="4"/>
  <c r="J12" i="4"/>
  <c r="J108" i="4"/>
  <c r="G109" i="4"/>
  <c r="G77" i="4"/>
  <c r="J76" i="4" s="1"/>
  <c r="G138" i="4"/>
  <c r="J137" i="4"/>
  <c r="B12" i="3"/>
  <c r="C12" i="3" s="1"/>
  <c r="G47" i="3"/>
  <c r="J46" i="3" s="1"/>
  <c r="J137" i="3"/>
  <c r="G138" i="3"/>
  <c r="G14" i="3"/>
  <c r="J13" i="3"/>
  <c r="G77" i="3"/>
  <c r="J76" i="3" s="1"/>
  <c r="J136" i="3"/>
  <c r="G106" i="3"/>
  <c r="J105" i="3"/>
  <c r="B11" i="2"/>
  <c r="C11" i="2" s="1"/>
  <c r="B104" i="2"/>
  <c r="C104" i="2" s="1"/>
  <c r="B135" i="2"/>
  <c r="C135" i="2" s="1"/>
  <c r="G137" i="2"/>
  <c r="J136" i="2"/>
  <c r="J12" i="2"/>
  <c r="G13" i="2"/>
  <c r="G106" i="2"/>
  <c r="B134" i="2"/>
  <c r="C134" i="2" s="1"/>
  <c r="B133" i="2"/>
  <c r="C133" i="2" s="1"/>
  <c r="J76" i="2"/>
  <c r="G77" i="2"/>
  <c r="G44" i="2"/>
  <c r="J43" i="2"/>
  <c r="J75" i="2"/>
  <c r="K135" i="1"/>
  <c r="B135" i="1" s="1"/>
  <c r="C135" i="1" s="1"/>
  <c r="G137" i="1"/>
  <c r="J136" i="1"/>
  <c r="K104" i="1"/>
  <c r="B104" i="1" s="1"/>
  <c r="C104" i="1" s="1"/>
  <c r="G106" i="1"/>
  <c r="J105" i="1"/>
  <c r="B103" i="1"/>
  <c r="C103" i="1" s="1"/>
  <c r="B102" i="1"/>
  <c r="C102" i="1" s="1"/>
  <c r="K73" i="1"/>
  <c r="B73" i="1" s="1"/>
  <c r="C73" i="1" s="1"/>
  <c r="G75" i="1"/>
  <c r="B72" i="1"/>
  <c r="C72" i="1" s="1"/>
  <c r="B71" i="1"/>
  <c r="C71" i="1" s="1"/>
  <c r="K43" i="1"/>
  <c r="B43" i="1" s="1"/>
  <c r="C43" i="1" s="1"/>
  <c r="G45" i="1"/>
  <c r="J44" i="1"/>
  <c r="G11" i="1"/>
  <c r="J10" i="1"/>
  <c r="J9" i="1"/>
  <c r="K105" i="1" a="1"/>
  <c r="K44" i="1" a="1"/>
  <c r="K136" i="1" a="1"/>
  <c r="K10" i="1" a="1"/>
  <c r="K9" i="1" a="1"/>
  <c r="B8" i="1" l="1"/>
  <c r="C8" i="1" s="1"/>
  <c r="B42" i="16"/>
  <c r="C42" i="16" s="1"/>
  <c r="B137" i="16"/>
  <c r="C137" i="16" s="1"/>
  <c r="G80" i="16"/>
  <c r="J79" i="16"/>
  <c r="G15" i="16"/>
  <c r="G107" i="16"/>
  <c r="J13" i="16"/>
  <c r="G45" i="16"/>
  <c r="J44" i="16" s="1"/>
  <c r="J78" i="16"/>
  <c r="G139" i="16"/>
  <c r="B48" i="15"/>
  <c r="C48" i="15" s="1"/>
  <c r="B138" i="15"/>
  <c r="C138" i="15" s="1"/>
  <c r="B79" i="15"/>
  <c r="C79" i="15" s="1"/>
  <c r="G110" i="15"/>
  <c r="G82" i="15"/>
  <c r="J81" i="15"/>
  <c r="B47" i="15"/>
  <c r="C47" i="15" s="1"/>
  <c r="B46" i="15"/>
  <c r="C46" i="15" s="1"/>
  <c r="G50" i="15"/>
  <c r="G140" i="15"/>
  <c r="J139" i="15"/>
  <c r="J108" i="15"/>
  <c r="G15" i="15"/>
  <c r="B78" i="15"/>
  <c r="C78" i="15" s="1"/>
  <c r="B107" i="15"/>
  <c r="C107" i="15" s="1"/>
  <c r="B138" i="14"/>
  <c r="C138" i="14" s="1"/>
  <c r="B43" i="14"/>
  <c r="C43" i="14" s="1"/>
  <c r="B105" i="14"/>
  <c r="C105" i="14" s="1"/>
  <c r="B74" i="14"/>
  <c r="C74" i="14" s="1"/>
  <c r="G107" i="14"/>
  <c r="G76" i="14"/>
  <c r="J75" i="14"/>
  <c r="G16" i="14"/>
  <c r="J15" i="14"/>
  <c r="B42" i="14"/>
  <c r="C42" i="14" s="1"/>
  <c r="G140" i="14"/>
  <c r="J139" i="14"/>
  <c r="G45" i="14"/>
  <c r="J14" i="14"/>
  <c r="B46" i="13"/>
  <c r="C46" i="13" s="1"/>
  <c r="B13" i="13"/>
  <c r="C13" i="13" s="1"/>
  <c r="B105" i="13"/>
  <c r="C105" i="13" s="1"/>
  <c r="G139" i="13"/>
  <c r="J138" i="13" s="1"/>
  <c r="G48" i="13"/>
  <c r="J47" i="13"/>
  <c r="G15" i="13"/>
  <c r="J14" i="13" s="1"/>
  <c r="B104" i="13"/>
  <c r="C104" i="13" s="1"/>
  <c r="J137" i="13"/>
  <c r="J76" i="13"/>
  <c r="G77" i="13"/>
  <c r="G107" i="13"/>
  <c r="B45" i="12"/>
  <c r="C45" i="12" s="1"/>
  <c r="B107" i="12"/>
  <c r="C107" i="12" s="1"/>
  <c r="G76" i="12"/>
  <c r="J75" i="12" s="1"/>
  <c r="B73" i="12"/>
  <c r="C73" i="12" s="1"/>
  <c r="B72" i="12"/>
  <c r="C72" i="12" s="1"/>
  <c r="G15" i="12"/>
  <c r="G138" i="12"/>
  <c r="J137" i="12"/>
  <c r="B106" i="12"/>
  <c r="C106" i="12" s="1"/>
  <c r="J74" i="12"/>
  <c r="G47" i="12"/>
  <c r="J46" i="12" s="1"/>
  <c r="G109" i="12"/>
  <c r="B136" i="11"/>
  <c r="C136" i="11" s="1"/>
  <c r="G138" i="11"/>
  <c r="G77" i="11"/>
  <c r="G109" i="11"/>
  <c r="J108" i="11" s="1"/>
  <c r="G46" i="11"/>
  <c r="J45" i="11"/>
  <c r="J14" i="11"/>
  <c r="G15" i="11"/>
  <c r="J44" i="11"/>
  <c r="B76" i="10"/>
  <c r="C76" i="10" s="1"/>
  <c r="G16" i="10"/>
  <c r="J15" i="10"/>
  <c r="G45" i="10"/>
  <c r="J43" i="10"/>
  <c r="G139" i="10"/>
  <c r="J138" i="10" s="1"/>
  <c r="J14" i="10"/>
  <c r="J106" i="10"/>
  <c r="G107" i="10"/>
  <c r="G78" i="10"/>
  <c r="B136" i="9"/>
  <c r="C136" i="9" s="1"/>
  <c r="B12" i="9"/>
  <c r="C12" i="9" s="1"/>
  <c r="G138" i="9"/>
  <c r="J137" i="9"/>
  <c r="G110" i="9"/>
  <c r="J109" i="9"/>
  <c r="J108" i="9"/>
  <c r="G76" i="9"/>
  <c r="J75" i="9"/>
  <c r="J74" i="9"/>
  <c r="G14" i="9"/>
  <c r="J13" i="9"/>
  <c r="G48" i="9"/>
  <c r="J47" i="9"/>
  <c r="B11" i="9"/>
  <c r="C11" i="9" s="1"/>
  <c r="B10" i="9"/>
  <c r="C10" i="9" s="1"/>
  <c r="B107" i="9"/>
  <c r="C107" i="9" s="1"/>
  <c r="B106" i="9"/>
  <c r="C106" i="9" s="1"/>
  <c r="B105" i="8"/>
  <c r="C105" i="8" s="1"/>
  <c r="B12" i="8"/>
  <c r="C12" i="8" s="1"/>
  <c r="G76" i="8"/>
  <c r="J75" i="8"/>
  <c r="G139" i="8"/>
  <c r="J74" i="8"/>
  <c r="G107" i="8"/>
  <c r="J106" i="8" s="1"/>
  <c r="G14" i="8"/>
  <c r="J13" i="8"/>
  <c r="J44" i="8"/>
  <c r="G45" i="8"/>
  <c r="B42" i="8"/>
  <c r="C42" i="8" s="1"/>
  <c r="B41" i="8"/>
  <c r="C41" i="8" s="1"/>
  <c r="J43" i="8"/>
  <c r="B11" i="8"/>
  <c r="C11" i="8" s="1"/>
  <c r="B10" i="8"/>
  <c r="C10" i="8" s="1"/>
  <c r="B110" i="7"/>
  <c r="C110" i="7" s="1"/>
  <c r="B75" i="7"/>
  <c r="C75" i="7" s="1"/>
  <c r="B12" i="7"/>
  <c r="C12" i="7" s="1"/>
  <c r="G77" i="7"/>
  <c r="J76" i="7" s="1"/>
  <c r="G112" i="7"/>
  <c r="J111" i="7"/>
  <c r="G46" i="7"/>
  <c r="J45" i="7"/>
  <c r="G14" i="7"/>
  <c r="J13" i="7"/>
  <c r="J138" i="7"/>
  <c r="G139" i="7"/>
  <c r="J44" i="7"/>
  <c r="B74" i="6"/>
  <c r="C74" i="6" s="1"/>
  <c r="B136" i="6"/>
  <c r="C136" i="6" s="1"/>
  <c r="B43" i="6"/>
  <c r="C43" i="6" s="1"/>
  <c r="B105" i="6"/>
  <c r="C105" i="6" s="1"/>
  <c r="G45" i="6"/>
  <c r="J44" i="6" s="1"/>
  <c r="G107" i="6"/>
  <c r="J106" i="6" s="1"/>
  <c r="G14" i="6"/>
  <c r="J13" i="6"/>
  <c r="B42" i="6"/>
  <c r="C42" i="6" s="1"/>
  <c r="B41" i="6"/>
  <c r="C41" i="6" s="1"/>
  <c r="B104" i="6"/>
  <c r="C104" i="6" s="1"/>
  <c r="B103" i="6"/>
  <c r="C103" i="6" s="1"/>
  <c r="G76" i="6"/>
  <c r="J75" i="6"/>
  <c r="G138" i="6"/>
  <c r="J137" i="6"/>
  <c r="J12" i="6"/>
  <c r="B14" i="5"/>
  <c r="C14" i="5" s="1"/>
  <c r="B109" i="5"/>
  <c r="C109" i="5" s="1"/>
  <c r="G47" i="5"/>
  <c r="J46" i="5" s="1"/>
  <c r="G111" i="5"/>
  <c r="G77" i="5"/>
  <c r="G16" i="5"/>
  <c r="J15" i="5"/>
  <c r="G138" i="5"/>
  <c r="J45" i="5"/>
  <c r="B76" i="4"/>
  <c r="C76" i="4" s="1"/>
  <c r="B12" i="4"/>
  <c r="C12" i="4" s="1"/>
  <c r="B43" i="4"/>
  <c r="C43" i="4" s="1"/>
  <c r="B137" i="4"/>
  <c r="C137" i="4" s="1"/>
  <c r="B108" i="4"/>
  <c r="C108" i="4" s="1"/>
  <c r="G14" i="4"/>
  <c r="J13" i="4"/>
  <c r="B11" i="4"/>
  <c r="C11" i="4" s="1"/>
  <c r="B10" i="4"/>
  <c r="C10" i="4" s="1"/>
  <c r="B136" i="4"/>
  <c r="C136" i="4" s="1"/>
  <c r="B135" i="4"/>
  <c r="C135" i="4" s="1"/>
  <c r="G110" i="4"/>
  <c r="J109" i="4"/>
  <c r="B107" i="4"/>
  <c r="C107" i="4" s="1"/>
  <c r="B106" i="4"/>
  <c r="C106" i="4" s="1"/>
  <c r="J138" i="4"/>
  <c r="G139" i="4"/>
  <c r="G78" i="4"/>
  <c r="J77" i="4" s="1"/>
  <c r="G45" i="4"/>
  <c r="J44" i="4" s="1"/>
  <c r="B75" i="4"/>
  <c r="C75" i="4" s="1"/>
  <c r="B45" i="3"/>
  <c r="C45" i="3" s="1"/>
  <c r="B46" i="3"/>
  <c r="C46" i="3" s="1"/>
  <c r="B76" i="3"/>
  <c r="C76" i="3" s="1"/>
  <c r="B13" i="3"/>
  <c r="C13" i="3" s="1"/>
  <c r="B105" i="3"/>
  <c r="C105" i="3" s="1"/>
  <c r="G139" i="3"/>
  <c r="G107" i="3"/>
  <c r="G78" i="3"/>
  <c r="G15" i="3"/>
  <c r="J14" i="3"/>
  <c r="G48" i="3"/>
  <c r="B104" i="3"/>
  <c r="C104" i="3" s="1"/>
  <c r="B75" i="3"/>
  <c r="C75" i="3" s="1"/>
  <c r="B74" i="3"/>
  <c r="C74" i="3" s="1"/>
  <c r="B44" i="3"/>
  <c r="C44" i="3" s="1"/>
  <c r="B12" i="2"/>
  <c r="C12" i="2" s="1"/>
  <c r="G107" i="2"/>
  <c r="J105" i="2"/>
  <c r="G138" i="2"/>
  <c r="J137" i="2"/>
  <c r="G14" i="2"/>
  <c r="J13" i="2"/>
  <c r="G45" i="2"/>
  <c r="G78" i="2"/>
  <c r="J77" i="2"/>
  <c r="B42" i="2"/>
  <c r="C42" i="2" s="1"/>
  <c r="B41" i="2"/>
  <c r="C41" i="2" s="1"/>
  <c r="K136" i="1"/>
  <c r="B136" i="1" s="1"/>
  <c r="C136" i="1" s="1"/>
  <c r="J137" i="1"/>
  <c r="G138" i="1"/>
  <c r="K105" i="1"/>
  <c r="B105" i="1" s="1"/>
  <c r="C105" i="1" s="1"/>
  <c r="G107" i="1"/>
  <c r="J106" i="1"/>
  <c r="G76" i="1"/>
  <c r="J75" i="1"/>
  <c r="J74" i="1"/>
  <c r="K44" i="1"/>
  <c r="B44" i="1" s="1"/>
  <c r="C44" i="1" s="1"/>
  <c r="G46" i="1"/>
  <c r="K10" i="1"/>
  <c r="K9" i="1"/>
  <c r="G12" i="1"/>
  <c r="J11" i="1" s="1"/>
  <c r="K11" i="1" a="1"/>
  <c r="K74" i="1" a="1"/>
  <c r="K75" i="1" a="1"/>
  <c r="K106" i="1" a="1"/>
  <c r="K137" i="1" a="1"/>
  <c r="B9" i="1" l="1"/>
  <c r="C9" i="1" s="1"/>
  <c r="B44" i="16"/>
  <c r="C44" i="16" s="1"/>
  <c r="B13" i="16"/>
  <c r="C13" i="16" s="1"/>
  <c r="G108" i="16"/>
  <c r="J107" i="16"/>
  <c r="G140" i="16"/>
  <c r="J139" i="16"/>
  <c r="J106" i="16"/>
  <c r="G16" i="16"/>
  <c r="J15" i="16"/>
  <c r="G81" i="16"/>
  <c r="J80" i="16" s="1"/>
  <c r="B12" i="16"/>
  <c r="C12" i="16" s="1"/>
  <c r="G46" i="16"/>
  <c r="J45" i="16"/>
  <c r="B105" i="16"/>
  <c r="C105" i="16" s="1"/>
  <c r="B104" i="16"/>
  <c r="C104" i="16" s="1"/>
  <c r="B43" i="16"/>
  <c r="C43" i="16" s="1"/>
  <c r="J14" i="16"/>
  <c r="J138" i="16"/>
  <c r="B139" i="15"/>
  <c r="C139" i="15" s="1"/>
  <c r="B81" i="15"/>
  <c r="C81" i="15" s="1"/>
  <c r="G51" i="15"/>
  <c r="J50" i="15"/>
  <c r="J49" i="15"/>
  <c r="G16" i="15"/>
  <c r="J15" i="15"/>
  <c r="B80" i="15"/>
  <c r="C80" i="15" s="1"/>
  <c r="B13" i="15"/>
  <c r="C13" i="15" s="1"/>
  <c r="G141" i="15"/>
  <c r="G83" i="15"/>
  <c r="J82" i="15"/>
  <c r="J110" i="15"/>
  <c r="G111" i="15"/>
  <c r="J109" i="15"/>
  <c r="J14" i="15"/>
  <c r="B75" i="14"/>
  <c r="C75" i="14" s="1"/>
  <c r="B139" i="14"/>
  <c r="C139" i="14" s="1"/>
  <c r="G141" i="14"/>
  <c r="J140" i="14" s="1"/>
  <c r="G77" i="14"/>
  <c r="J76" i="14" s="1"/>
  <c r="G17" i="14"/>
  <c r="G108" i="14"/>
  <c r="J107" i="14"/>
  <c r="G46" i="14"/>
  <c r="J45" i="14"/>
  <c r="J106" i="14"/>
  <c r="J44" i="14"/>
  <c r="B14" i="13"/>
  <c r="C14" i="13" s="1"/>
  <c r="B47" i="13"/>
  <c r="C47" i="13" s="1"/>
  <c r="B76" i="13"/>
  <c r="C76" i="13" s="1"/>
  <c r="G108" i="13"/>
  <c r="J107" i="13"/>
  <c r="B75" i="13"/>
  <c r="C75" i="13" s="1"/>
  <c r="B74" i="13"/>
  <c r="C74" i="13" s="1"/>
  <c r="G49" i="13"/>
  <c r="J48" i="13"/>
  <c r="J106" i="13"/>
  <c r="G78" i="13"/>
  <c r="J15" i="13"/>
  <c r="G16" i="13"/>
  <c r="G140" i="13"/>
  <c r="B46" i="12"/>
  <c r="C46" i="12" s="1"/>
  <c r="G139" i="12"/>
  <c r="J138" i="12" s="1"/>
  <c r="B137" i="12"/>
  <c r="C137" i="12" s="1"/>
  <c r="G16" i="12"/>
  <c r="J15" i="12"/>
  <c r="G77" i="12"/>
  <c r="J76" i="12" s="1"/>
  <c r="G110" i="12"/>
  <c r="J109" i="12"/>
  <c r="J14" i="12"/>
  <c r="J108" i="12"/>
  <c r="G48" i="12"/>
  <c r="J47" i="12"/>
  <c r="B136" i="12"/>
  <c r="C136" i="12" s="1"/>
  <c r="B13" i="12"/>
  <c r="C13" i="12" s="1"/>
  <c r="B12" i="12"/>
  <c r="C12" i="12" s="1"/>
  <c r="B108" i="11"/>
  <c r="C108" i="11" s="1"/>
  <c r="B14" i="11"/>
  <c r="C14" i="11" s="1"/>
  <c r="G47" i="11"/>
  <c r="G139" i="11"/>
  <c r="B13" i="11"/>
  <c r="C13" i="11" s="1"/>
  <c r="B12" i="11"/>
  <c r="C12" i="11" s="1"/>
  <c r="B75" i="11"/>
  <c r="C75" i="11" s="1"/>
  <c r="G110" i="11"/>
  <c r="G78" i="11"/>
  <c r="J77" i="11"/>
  <c r="J76" i="11"/>
  <c r="J137" i="11"/>
  <c r="G16" i="11"/>
  <c r="J15" i="11"/>
  <c r="B107" i="11"/>
  <c r="C107" i="11" s="1"/>
  <c r="B106" i="11"/>
  <c r="C106" i="11" s="1"/>
  <c r="B138" i="10"/>
  <c r="C138" i="10" s="1"/>
  <c r="B106" i="10"/>
  <c r="C106" i="10" s="1"/>
  <c r="G79" i="10"/>
  <c r="B105" i="10"/>
  <c r="C105" i="10" s="1"/>
  <c r="B104" i="10"/>
  <c r="C104" i="10" s="1"/>
  <c r="G140" i="10"/>
  <c r="G46" i="10"/>
  <c r="J45" i="10"/>
  <c r="J77" i="10"/>
  <c r="B137" i="10"/>
  <c r="C137" i="10" s="1"/>
  <c r="B136" i="10"/>
  <c r="C136" i="10" s="1"/>
  <c r="J44" i="10"/>
  <c r="G17" i="10"/>
  <c r="J16" i="10" s="1"/>
  <c r="G108" i="10"/>
  <c r="B13" i="9"/>
  <c r="C13" i="9" s="1"/>
  <c r="B47" i="9"/>
  <c r="C47" i="9" s="1"/>
  <c r="B137" i="9"/>
  <c r="C137" i="9" s="1"/>
  <c r="G77" i="9"/>
  <c r="J76" i="9" s="1"/>
  <c r="G15" i="9"/>
  <c r="G139" i="9"/>
  <c r="J138" i="9" s="1"/>
  <c r="B46" i="9"/>
  <c r="C46" i="9" s="1"/>
  <c r="B45" i="9"/>
  <c r="C45" i="9" s="1"/>
  <c r="G111" i="9"/>
  <c r="G49" i="9"/>
  <c r="J48" i="9" s="1"/>
  <c r="B106" i="8"/>
  <c r="C106" i="8" s="1"/>
  <c r="G140" i="8"/>
  <c r="J139" i="8"/>
  <c r="G15" i="8"/>
  <c r="B137" i="8"/>
  <c r="C137" i="8" s="1"/>
  <c r="B136" i="8"/>
  <c r="C136" i="8" s="1"/>
  <c r="G108" i="8"/>
  <c r="J107" i="8"/>
  <c r="J138" i="8"/>
  <c r="J76" i="8"/>
  <c r="G77" i="8"/>
  <c r="G46" i="8"/>
  <c r="J45" i="8"/>
  <c r="B76" i="7"/>
  <c r="C76" i="7" s="1"/>
  <c r="B13" i="7"/>
  <c r="C13" i="7" s="1"/>
  <c r="B111" i="7"/>
  <c r="C111" i="7" s="1"/>
  <c r="G47" i="7"/>
  <c r="G113" i="7"/>
  <c r="J112" i="7"/>
  <c r="G78" i="7"/>
  <c r="J77" i="7"/>
  <c r="G140" i="7"/>
  <c r="J139" i="7"/>
  <c r="B137" i="7"/>
  <c r="C137" i="7" s="1"/>
  <c r="B136" i="7"/>
  <c r="C136" i="7" s="1"/>
  <c r="G15" i="7"/>
  <c r="J14" i="7" s="1"/>
  <c r="B44" i="6"/>
  <c r="C44" i="6" s="1"/>
  <c r="B106" i="6"/>
  <c r="C106" i="6" s="1"/>
  <c r="B137" i="6"/>
  <c r="C137" i="6" s="1"/>
  <c r="B75" i="6"/>
  <c r="C75" i="6" s="1"/>
  <c r="G139" i="6"/>
  <c r="J138" i="6" s="1"/>
  <c r="G108" i="6"/>
  <c r="J107" i="6"/>
  <c r="G46" i="6"/>
  <c r="J45" i="6"/>
  <c r="J14" i="6"/>
  <c r="G15" i="6"/>
  <c r="J76" i="6"/>
  <c r="G77" i="6"/>
  <c r="B15" i="5"/>
  <c r="C15" i="5" s="1"/>
  <c r="G17" i="5"/>
  <c r="B136" i="5"/>
  <c r="C136" i="5" s="1"/>
  <c r="G139" i="5"/>
  <c r="J138" i="5" s="1"/>
  <c r="G78" i="5"/>
  <c r="J77" i="5"/>
  <c r="J76" i="5"/>
  <c r="G112" i="5"/>
  <c r="J111" i="5"/>
  <c r="J110" i="5"/>
  <c r="G48" i="5"/>
  <c r="J47" i="5"/>
  <c r="B75" i="5"/>
  <c r="C75" i="5" s="1"/>
  <c r="B74" i="5"/>
  <c r="C74" i="5" s="1"/>
  <c r="J137" i="5"/>
  <c r="B77" i="4"/>
  <c r="C77" i="4" s="1"/>
  <c r="B44" i="4"/>
  <c r="C44" i="4" s="1"/>
  <c r="B109" i="4"/>
  <c r="C109" i="4" s="1"/>
  <c r="B138" i="4"/>
  <c r="C138" i="4" s="1"/>
  <c r="G46" i="4"/>
  <c r="J45" i="4"/>
  <c r="G140" i="4"/>
  <c r="J139" i="4" s="1"/>
  <c r="J14" i="4"/>
  <c r="G15" i="4"/>
  <c r="G111" i="4"/>
  <c r="J110" i="4"/>
  <c r="G79" i="4"/>
  <c r="J78" i="4"/>
  <c r="B14" i="3"/>
  <c r="C14" i="3" s="1"/>
  <c r="G79" i="3"/>
  <c r="J78" i="3" s="1"/>
  <c r="J77" i="3"/>
  <c r="G108" i="3"/>
  <c r="J107" i="3"/>
  <c r="G49" i="3"/>
  <c r="J48" i="3" s="1"/>
  <c r="G16" i="3"/>
  <c r="J106" i="3"/>
  <c r="G140" i="3"/>
  <c r="J139" i="3"/>
  <c r="J138" i="3"/>
  <c r="B137" i="3"/>
  <c r="C137" i="3" s="1"/>
  <c r="B136" i="3"/>
  <c r="C136" i="3" s="1"/>
  <c r="J47" i="3"/>
  <c r="B77" i="2"/>
  <c r="C77" i="2" s="1"/>
  <c r="B13" i="2"/>
  <c r="C13" i="2" s="1"/>
  <c r="B137" i="2"/>
  <c r="C137" i="2" s="1"/>
  <c r="G46" i="2"/>
  <c r="J45" i="2"/>
  <c r="J14" i="2"/>
  <c r="G15" i="2"/>
  <c r="G108" i="2"/>
  <c r="J107" i="2"/>
  <c r="G79" i="2"/>
  <c r="B76" i="2"/>
  <c r="C76" i="2" s="1"/>
  <c r="B75" i="2"/>
  <c r="C75" i="2" s="1"/>
  <c r="G139" i="2"/>
  <c r="B136" i="2"/>
  <c r="C136" i="2" s="1"/>
  <c r="J44" i="2"/>
  <c r="J106" i="2"/>
  <c r="B43" i="2"/>
  <c r="C43" i="2" s="1"/>
  <c r="K137" i="1"/>
  <c r="B137" i="1" s="1"/>
  <c r="C137" i="1" s="1"/>
  <c r="G139" i="1"/>
  <c r="K106" i="1"/>
  <c r="B106" i="1" s="1"/>
  <c r="C106" i="1" s="1"/>
  <c r="G108" i="1"/>
  <c r="J107" i="1"/>
  <c r="K74" i="1"/>
  <c r="K75" i="1"/>
  <c r="G77" i="1"/>
  <c r="G47" i="1"/>
  <c r="J46" i="1"/>
  <c r="J45" i="1"/>
  <c r="K11" i="1"/>
  <c r="J12" i="1"/>
  <c r="G13" i="1"/>
  <c r="K107" i="1" a="1"/>
  <c r="K46" i="1" a="1"/>
  <c r="K12" i="1" a="1"/>
  <c r="K45" i="1" a="1"/>
  <c r="B10" i="1" l="1"/>
  <c r="C10" i="1" s="1"/>
  <c r="B11" i="1"/>
  <c r="C11" i="1" s="1"/>
  <c r="B80" i="16"/>
  <c r="C80" i="16" s="1"/>
  <c r="B45" i="16"/>
  <c r="C45" i="16" s="1"/>
  <c r="B79" i="16"/>
  <c r="C79" i="16" s="1"/>
  <c r="B78" i="16"/>
  <c r="C78" i="16" s="1"/>
  <c r="G17" i="16"/>
  <c r="J16" i="16"/>
  <c r="G82" i="16"/>
  <c r="J81" i="16"/>
  <c r="G141" i="16"/>
  <c r="J140" i="16"/>
  <c r="G109" i="16"/>
  <c r="G47" i="16"/>
  <c r="J46" i="16"/>
  <c r="B109" i="15"/>
  <c r="C109" i="15" s="1"/>
  <c r="B82" i="15"/>
  <c r="C82" i="15" s="1"/>
  <c r="G142" i="15"/>
  <c r="J141" i="15"/>
  <c r="G112" i="15"/>
  <c r="J111" i="15"/>
  <c r="G84" i="15"/>
  <c r="J140" i="15"/>
  <c r="J16" i="15"/>
  <c r="G17" i="15"/>
  <c r="G52" i="15"/>
  <c r="J51" i="15"/>
  <c r="B108" i="15"/>
  <c r="C108" i="15" s="1"/>
  <c r="B140" i="14"/>
  <c r="C140" i="14" s="1"/>
  <c r="B76" i="14"/>
  <c r="C76" i="14" s="1"/>
  <c r="G18" i="14"/>
  <c r="J17" i="14"/>
  <c r="J16" i="14"/>
  <c r="G142" i="14"/>
  <c r="J141" i="14"/>
  <c r="B15" i="14"/>
  <c r="C15" i="14" s="1"/>
  <c r="B14" i="14"/>
  <c r="C14" i="14" s="1"/>
  <c r="G109" i="14"/>
  <c r="J108" i="14" s="1"/>
  <c r="G78" i="14"/>
  <c r="J77" i="14"/>
  <c r="G47" i="14"/>
  <c r="J46" i="14" s="1"/>
  <c r="B48" i="13"/>
  <c r="C48" i="13" s="1"/>
  <c r="B15" i="13"/>
  <c r="C15" i="13" s="1"/>
  <c r="G141" i="13"/>
  <c r="J140" i="13"/>
  <c r="B138" i="13"/>
  <c r="C138" i="13" s="1"/>
  <c r="B137" i="13"/>
  <c r="C137" i="13" s="1"/>
  <c r="J139" i="13"/>
  <c r="G79" i="13"/>
  <c r="J78" i="13"/>
  <c r="J77" i="13"/>
  <c r="G50" i="13"/>
  <c r="J49" i="13" s="1"/>
  <c r="J108" i="13"/>
  <c r="G109" i="13"/>
  <c r="G17" i="13"/>
  <c r="B138" i="12"/>
  <c r="C138" i="12" s="1"/>
  <c r="B76" i="12"/>
  <c r="C76" i="12" s="1"/>
  <c r="B47" i="12"/>
  <c r="C47" i="12" s="1"/>
  <c r="G111" i="12"/>
  <c r="G17" i="12"/>
  <c r="G49" i="12"/>
  <c r="B75" i="12"/>
  <c r="C75" i="12" s="1"/>
  <c r="B74" i="12"/>
  <c r="C74" i="12" s="1"/>
  <c r="G140" i="12"/>
  <c r="J139" i="12"/>
  <c r="G78" i="12"/>
  <c r="J77" i="12"/>
  <c r="B15" i="11"/>
  <c r="C15" i="11" s="1"/>
  <c r="G111" i="11"/>
  <c r="G48" i="11"/>
  <c r="J47" i="11"/>
  <c r="B45" i="11"/>
  <c r="C45" i="11" s="1"/>
  <c r="B44" i="11"/>
  <c r="C44" i="11" s="1"/>
  <c r="J46" i="11"/>
  <c r="G79" i="11"/>
  <c r="G140" i="11"/>
  <c r="J138" i="11"/>
  <c r="G17" i="11"/>
  <c r="J109" i="11"/>
  <c r="B16" i="10"/>
  <c r="C16" i="10" s="1"/>
  <c r="G47" i="10"/>
  <c r="J46" i="10"/>
  <c r="G80" i="10"/>
  <c r="J79" i="10"/>
  <c r="B43" i="10"/>
  <c r="C43" i="10" s="1"/>
  <c r="G141" i="10"/>
  <c r="J140" i="10"/>
  <c r="G109" i="10"/>
  <c r="J108" i="10"/>
  <c r="J107" i="10"/>
  <c r="B15" i="10"/>
  <c r="C15" i="10" s="1"/>
  <c r="B14" i="10"/>
  <c r="C14" i="10" s="1"/>
  <c r="G18" i="10"/>
  <c r="J17" i="10" s="1"/>
  <c r="J139" i="10"/>
  <c r="J78" i="10"/>
  <c r="B48" i="9"/>
  <c r="C48" i="9" s="1"/>
  <c r="B138" i="9"/>
  <c r="C138" i="9" s="1"/>
  <c r="B76" i="9"/>
  <c r="C76" i="9" s="1"/>
  <c r="G16" i="9"/>
  <c r="J15" i="9"/>
  <c r="J14" i="9"/>
  <c r="G112" i="9"/>
  <c r="G140" i="9"/>
  <c r="J139" i="9"/>
  <c r="G50" i="9"/>
  <c r="B75" i="9"/>
  <c r="C75" i="9" s="1"/>
  <c r="B74" i="9"/>
  <c r="C74" i="9" s="1"/>
  <c r="J110" i="9"/>
  <c r="B109" i="9"/>
  <c r="C109" i="9" s="1"/>
  <c r="B108" i="9"/>
  <c r="C108" i="9" s="1"/>
  <c r="G78" i="9"/>
  <c r="J77" i="9"/>
  <c r="B107" i="8"/>
  <c r="C107" i="8" s="1"/>
  <c r="B76" i="8"/>
  <c r="C76" i="8" s="1"/>
  <c r="G16" i="8"/>
  <c r="J15" i="8"/>
  <c r="J14" i="8"/>
  <c r="G141" i="8"/>
  <c r="J140" i="8" s="1"/>
  <c r="B75" i="8"/>
  <c r="C75" i="8" s="1"/>
  <c r="B74" i="8"/>
  <c r="C74" i="8" s="1"/>
  <c r="G47" i="8"/>
  <c r="J46" i="8" s="1"/>
  <c r="B13" i="8"/>
  <c r="C13" i="8" s="1"/>
  <c r="G109" i="8"/>
  <c r="J108" i="8" s="1"/>
  <c r="B44" i="8"/>
  <c r="C44" i="8" s="1"/>
  <c r="B43" i="8"/>
  <c r="C43" i="8" s="1"/>
  <c r="G78" i="8"/>
  <c r="J77" i="8"/>
  <c r="B14" i="7"/>
  <c r="C14" i="7" s="1"/>
  <c r="B77" i="7"/>
  <c r="C77" i="7" s="1"/>
  <c r="B112" i="7"/>
  <c r="C112" i="7" s="1"/>
  <c r="B139" i="7"/>
  <c r="C139" i="7" s="1"/>
  <c r="G141" i="7"/>
  <c r="G48" i="7"/>
  <c r="J47" i="7"/>
  <c r="G114" i="7"/>
  <c r="G79" i="7"/>
  <c r="J78" i="7" s="1"/>
  <c r="J46" i="7"/>
  <c r="B138" i="7"/>
  <c r="C138" i="7" s="1"/>
  <c r="G16" i="7"/>
  <c r="J15" i="7"/>
  <c r="B45" i="7"/>
  <c r="C45" i="7" s="1"/>
  <c r="B44" i="7"/>
  <c r="C44" i="7" s="1"/>
  <c r="B138" i="6"/>
  <c r="C138" i="6" s="1"/>
  <c r="B45" i="6"/>
  <c r="C45" i="6" s="1"/>
  <c r="B107" i="6"/>
  <c r="C107" i="6" s="1"/>
  <c r="B14" i="6"/>
  <c r="C14" i="6" s="1"/>
  <c r="B13" i="6"/>
  <c r="C13" i="6" s="1"/>
  <c r="B12" i="6"/>
  <c r="C12" i="6" s="1"/>
  <c r="G78" i="6"/>
  <c r="J77" i="6"/>
  <c r="J46" i="6"/>
  <c r="G47" i="6"/>
  <c r="G109" i="6"/>
  <c r="J108" i="6" s="1"/>
  <c r="G140" i="6"/>
  <c r="J139" i="6"/>
  <c r="G16" i="6"/>
  <c r="J15" i="6"/>
  <c r="B47" i="5"/>
  <c r="C47" i="5" s="1"/>
  <c r="G113" i="5"/>
  <c r="J112" i="5"/>
  <c r="G18" i="5"/>
  <c r="J17" i="5"/>
  <c r="G49" i="5"/>
  <c r="J48" i="5" s="1"/>
  <c r="B46" i="5"/>
  <c r="C46" i="5" s="1"/>
  <c r="B45" i="5"/>
  <c r="C45" i="5" s="1"/>
  <c r="G79" i="5"/>
  <c r="G140" i="5"/>
  <c r="J139" i="5"/>
  <c r="J16" i="5"/>
  <c r="B139" i="4"/>
  <c r="C139" i="4" s="1"/>
  <c r="B14" i="4"/>
  <c r="C14" i="4" s="1"/>
  <c r="B78" i="4"/>
  <c r="C78" i="4" s="1"/>
  <c r="B110" i="4"/>
  <c r="C110" i="4" s="1"/>
  <c r="G16" i="4"/>
  <c r="J15" i="4"/>
  <c r="G47" i="4"/>
  <c r="J46" i="4" s="1"/>
  <c r="G112" i="4"/>
  <c r="J111" i="4" s="1"/>
  <c r="G80" i="4"/>
  <c r="J79" i="4"/>
  <c r="G141" i="4"/>
  <c r="J140" i="4"/>
  <c r="B13" i="4"/>
  <c r="C13" i="4" s="1"/>
  <c r="G17" i="3"/>
  <c r="G141" i="3"/>
  <c r="J15" i="3"/>
  <c r="G50" i="3"/>
  <c r="G109" i="3"/>
  <c r="G80" i="3"/>
  <c r="J79" i="3"/>
  <c r="B14" i="2"/>
  <c r="C14" i="2" s="1"/>
  <c r="G80" i="2"/>
  <c r="J79" i="2"/>
  <c r="G109" i="2"/>
  <c r="G47" i="2"/>
  <c r="J46" i="2" s="1"/>
  <c r="J78" i="2"/>
  <c r="G16" i="2"/>
  <c r="J15" i="2"/>
  <c r="G140" i="2"/>
  <c r="J139" i="2"/>
  <c r="J138" i="2"/>
  <c r="B105" i="2"/>
  <c r="C105" i="2" s="1"/>
  <c r="G140" i="1"/>
  <c r="J138" i="1"/>
  <c r="K107" i="1"/>
  <c r="B107" i="1" s="1"/>
  <c r="C107" i="1" s="1"/>
  <c r="G109" i="1"/>
  <c r="J108" i="1"/>
  <c r="G78" i="1"/>
  <c r="J77" i="1"/>
  <c r="J76" i="1"/>
  <c r="B75" i="1"/>
  <c r="C75" i="1" s="1"/>
  <c r="B74" i="1"/>
  <c r="C74" i="1" s="1"/>
  <c r="K45" i="1"/>
  <c r="K46" i="1"/>
  <c r="G48" i="1"/>
  <c r="K12" i="1"/>
  <c r="G14" i="1"/>
  <c r="J13" i="1" s="1"/>
  <c r="K138" i="1" a="1"/>
  <c r="K108" i="1" a="1"/>
  <c r="K13" i="1" a="1"/>
  <c r="K77" i="1" a="1"/>
  <c r="K76" i="1" a="1"/>
  <c r="B15" i="16" l="1"/>
  <c r="C15" i="16" s="1"/>
  <c r="B45" i="10"/>
  <c r="C45" i="10" s="1"/>
  <c r="B14" i="16"/>
  <c r="C14" i="16" s="1"/>
  <c r="B12" i="1"/>
  <c r="C12" i="1" s="1"/>
  <c r="B81" i="16"/>
  <c r="C81" i="16" s="1"/>
  <c r="B46" i="16"/>
  <c r="C46" i="16" s="1"/>
  <c r="B16" i="16"/>
  <c r="C16" i="16" s="1"/>
  <c r="B140" i="16"/>
  <c r="C140" i="16" s="1"/>
  <c r="G110" i="16"/>
  <c r="J109" i="16"/>
  <c r="B139" i="16"/>
  <c r="C139" i="16" s="1"/>
  <c r="B138" i="16"/>
  <c r="C138" i="16" s="1"/>
  <c r="J108" i="16"/>
  <c r="B107" i="16"/>
  <c r="C107" i="16" s="1"/>
  <c r="B106" i="16"/>
  <c r="C106" i="16" s="1"/>
  <c r="G18" i="16"/>
  <c r="J17" i="16" s="1"/>
  <c r="G83" i="16"/>
  <c r="J82" i="16"/>
  <c r="G48" i="16"/>
  <c r="J47" i="16"/>
  <c r="G142" i="16"/>
  <c r="J141" i="16"/>
  <c r="B51" i="15"/>
  <c r="C51" i="15" s="1"/>
  <c r="G113" i="15"/>
  <c r="J112" i="15"/>
  <c r="B50" i="15"/>
  <c r="C50" i="15" s="1"/>
  <c r="B49" i="15"/>
  <c r="C49" i="15" s="1"/>
  <c r="G53" i="15"/>
  <c r="J52" i="15"/>
  <c r="G85" i="15"/>
  <c r="J84" i="15"/>
  <c r="J83" i="15"/>
  <c r="G143" i="15"/>
  <c r="J142" i="15"/>
  <c r="B15" i="15"/>
  <c r="C15" i="15" s="1"/>
  <c r="B14" i="15"/>
  <c r="C14" i="15" s="1"/>
  <c r="B110" i="15"/>
  <c r="C110" i="15" s="1"/>
  <c r="G18" i="15"/>
  <c r="J17" i="15"/>
  <c r="B16" i="15"/>
  <c r="C16" i="15" s="1"/>
  <c r="B108" i="14"/>
  <c r="C108" i="14" s="1"/>
  <c r="B46" i="14"/>
  <c r="C46" i="14" s="1"/>
  <c r="B141" i="14"/>
  <c r="C141" i="14" s="1"/>
  <c r="B45" i="14"/>
  <c r="C45" i="14" s="1"/>
  <c r="B44" i="14"/>
  <c r="C44" i="14" s="1"/>
  <c r="G110" i="14"/>
  <c r="J109" i="14"/>
  <c r="G143" i="14"/>
  <c r="J142" i="14" s="1"/>
  <c r="G19" i="14"/>
  <c r="J18" i="14" s="1"/>
  <c r="B107" i="14"/>
  <c r="C107" i="14" s="1"/>
  <c r="B106" i="14"/>
  <c r="C106" i="14" s="1"/>
  <c r="G48" i="14"/>
  <c r="J47" i="14"/>
  <c r="G79" i="14"/>
  <c r="J78" i="14" s="1"/>
  <c r="B49" i="13"/>
  <c r="C49" i="13" s="1"/>
  <c r="B108" i="13"/>
  <c r="C108" i="13" s="1"/>
  <c r="G80" i="13"/>
  <c r="J79" i="13"/>
  <c r="G18" i="13"/>
  <c r="J17" i="13"/>
  <c r="G142" i="13"/>
  <c r="J141" i="13"/>
  <c r="J16" i="13"/>
  <c r="B107" i="13"/>
  <c r="C107" i="13" s="1"/>
  <c r="B106" i="13"/>
  <c r="C106" i="13" s="1"/>
  <c r="G51" i="13"/>
  <c r="J50" i="13"/>
  <c r="B44" i="10"/>
  <c r="C44" i="10" s="1"/>
  <c r="G110" i="13"/>
  <c r="B77" i="12"/>
  <c r="C77" i="12" s="1"/>
  <c r="B139" i="12"/>
  <c r="C139" i="12" s="1"/>
  <c r="G18" i="12"/>
  <c r="J17" i="12"/>
  <c r="B15" i="12"/>
  <c r="C15" i="12" s="1"/>
  <c r="B14" i="12"/>
  <c r="C14" i="12" s="1"/>
  <c r="G50" i="12"/>
  <c r="J49" i="12"/>
  <c r="J48" i="12"/>
  <c r="G112" i="12"/>
  <c r="J111" i="12"/>
  <c r="B109" i="12"/>
  <c r="C109" i="12" s="1"/>
  <c r="B108" i="12"/>
  <c r="C108" i="12" s="1"/>
  <c r="J16" i="12"/>
  <c r="J110" i="12"/>
  <c r="G79" i="12"/>
  <c r="J78" i="12" s="1"/>
  <c r="B107" i="2"/>
  <c r="C107" i="2" s="1"/>
  <c r="G141" i="12"/>
  <c r="B138" i="11"/>
  <c r="C138" i="11" s="1"/>
  <c r="G49" i="11"/>
  <c r="J48" i="11" s="1"/>
  <c r="G112" i="11"/>
  <c r="J111" i="11"/>
  <c r="G18" i="11"/>
  <c r="J17" i="11"/>
  <c r="B137" i="11"/>
  <c r="C137" i="11" s="1"/>
  <c r="G80" i="11"/>
  <c r="J79" i="11"/>
  <c r="J16" i="11"/>
  <c r="J140" i="11"/>
  <c r="G141" i="11"/>
  <c r="B77" i="11"/>
  <c r="C77" i="11" s="1"/>
  <c r="B76" i="11"/>
  <c r="C76" i="11" s="1"/>
  <c r="J78" i="11"/>
  <c r="J110" i="11"/>
  <c r="J139" i="11"/>
  <c r="B17" i="10"/>
  <c r="C17" i="10" s="1"/>
  <c r="G142" i="10"/>
  <c r="J141" i="10"/>
  <c r="G81" i="10"/>
  <c r="G110" i="10"/>
  <c r="G19" i="10"/>
  <c r="J18" i="10"/>
  <c r="G48" i="10"/>
  <c r="J47" i="10"/>
  <c r="B77" i="10"/>
  <c r="C77" i="10" s="1"/>
  <c r="B139" i="9"/>
  <c r="C139" i="9" s="1"/>
  <c r="B77" i="9"/>
  <c r="C77" i="9" s="1"/>
  <c r="G51" i="9"/>
  <c r="J50" i="9"/>
  <c r="G113" i="9"/>
  <c r="J112" i="9"/>
  <c r="G141" i="9"/>
  <c r="J49" i="9"/>
  <c r="J111" i="9"/>
  <c r="G79" i="9"/>
  <c r="G17" i="9"/>
  <c r="B46" i="8"/>
  <c r="C46" i="8" s="1"/>
  <c r="B140" i="8"/>
  <c r="C140" i="8" s="1"/>
  <c r="B108" i="8"/>
  <c r="C108" i="8" s="1"/>
  <c r="B77" i="8"/>
  <c r="C77" i="8" s="1"/>
  <c r="G17" i="8"/>
  <c r="B139" i="8"/>
  <c r="C139" i="8" s="1"/>
  <c r="B138" i="8"/>
  <c r="C138" i="8" s="1"/>
  <c r="G142" i="8"/>
  <c r="J141" i="8"/>
  <c r="G48" i="8"/>
  <c r="G79" i="8"/>
  <c r="G110" i="8"/>
  <c r="J109" i="8"/>
  <c r="B45" i="8"/>
  <c r="C45" i="8" s="1"/>
  <c r="B78" i="7"/>
  <c r="C78" i="7" s="1"/>
  <c r="B15" i="7"/>
  <c r="C15" i="7" s="1"/>
  <c r="G142" i="7"/>
  <c r="J141" i="7"/>
  <c r="G115" i="7"/>
  <c r="J114" i="7"/>
  <c r="J140" i="7"/>
  <c r="G80" i="7"/>
  <c r="J79" i="7" s="1"/>
  <c r="J113" i="7"/>
  <c r="G49" i="7"/>
  <c r="G17" i="7"/>
  <c r="B108" i="6"/>
  <c r="C108" i="6" s="1"/>
  <c r="B46" i="6"/>
  <c r="C46" i="6" s="1"/>
  <c r="B15" i="6"/>
  <c r="C15" i="6" s="1"/>
  <c r="B139" i="6"/>
  <c r="C139" i="6" s="1"/>
  <c r="B77" i="6"/>
  <c r="C77" i="6" s="1"/>
  <c r="G79" i="6"/>
  <c r="J78" i="6" s="1"/>
  <c r="G17" i="6"/>
  <c r="B76" i="6"/>
  <c r="C76" i="6" s="1"/>
  <c r="G110" i="6"/>
  <c r="J109" i="6"/>
  <c r="G48" i="6"/>
  <c r="J47" i="6"/>
  <c r="G141" i="6"/>
  <c r="B48" i="5"/>
  <c r="C48" i="5" s="1"/>
  <c r="B139" i="5"/>
  <c r="C139" i="5" s="1"/>
  <c r="G19" i="5"/>
  <c r="B111" i="5"/>
  <c r="C111" i="5" s="1"/>
  <c r="B110" i="5"/>
  <c r="C110" i="5" s="1"/>
  <c r="G50" i="5"/>
  <c r="J49" i="5"/>
  <c r="G114" i="5"/>
  <c r="J113" i="5"/>
  <c r="B77" i="5"/>
  <c r="C77" i="5" s="1"/>
  <c r="B76" i="5"/>
  <c r="C76" i="5" s="1"/>
  <c r="G141" i="5"/>
  <c r="B138" i="5"/>
  <c r="C138" i="5" s="1"/>
  <c r="B137" i="5"/>
  <c r="C137" i="5" s="1"/>
  <c r="G80" i="5"/>
  <c r="J79" i="5"/>
  <c r="J78" i="5"/>
  <c r="B46" i="4"/>
  <c r="C46" i="4" s="1"/>
  <c r="B111" i="4"/>
  <c r="C111" i="4" s="1"/>
  <c r="B140" i="4"/>
  <c r="C140" i="4" s="1"/>
  <c r="B79" i="4"/>
  <c r="C79" i="4" s="1"/>
  <c r="G113" i="4"/>
  <c r="J112" i="4"/>
  <c r="G48" i="4"/>
  <c r="J47" i="4"/>
  <c r="G81" i="4"/>
  <c r="J16" i="4"/>
  <c r="G17" i="4"/>
  <c r="G142" i="4"/>
  <c r="J141" i="4"/>
  <c r="B45" i="4"/>
  <c r="C45" i="4" s="1"/>
  <c r="B79" i="3"/>
  <c r="C79" i="3" s="1"/>
  <c r="G142" i="3"/>
  <c r="J141" i="3"/>
  <c r="G18" i="3"/>
  <c r="J17" i="3"/>
  <c r="B48" i="3"/>
  <c r="C48" i="3" s="1"/>
  <c r="B47" i="3"/>
  <c r="C47" i="3" s="1"/>
  <c r="G81" i="3"/>
  <c r="G110" i="3"/>
  <c r="J109" i="3"/>
  <c r="G51" i="3"/>
  <c r="J50" i="3"/>
  <c r="J49" i="3"/>
  <c r="J140" i="3"/>
  <c r="J16" i="3"/>
  <c r="B78" i="3"/>
  <c r="C78" i="3" s="1"/>
  <c r="B77" i="3"/>
  <c r="C77" i="3" s="1"/>
  <c r="B107" i="3"/>
  <c r="C107" i="3" s="1"/>
  <c r="B106" i="3"/>
  <c r="C106" i="3" s="1"/>
  <c r="B139" i="3"/>
  <c r="C139" i="3" s="1"/>
  <c r="B138" i="3"/>
  <c r="C138" i="3" s="1"/>
  <c r="J108" i="3"/>
  <c r="B106" i="2"/>
  <c r="C106" i="2" s="1"/>
  <c r="B46" i="2"/>
  <c r="C46" i="2" s="1"/>
  <c r="B15" i="2"/>
  <c r="C15" i="2" s="1"/>
  <c r="B45" i="2"/>
  <c r="C45" i="2" s="1"/>
  <c r="B44" i="2"/>
  <c r="C44" i="2" s="1"/>
  <c r="G110" i="2"/>
  <c r="J109" i="2"/>
  <c r="J16" i="2"/>
  <c r="G17" i="2"/>
  <c r="J108" i="2"/>
  <c r="G48" i="2"/>
  <c r="J80" i="2"/>
  <c r="G81" i="2"/>
  <c r="G141" i="2"/>
  <c r="J140" i="2" s="1"/>
  <c r="K138" i="1"/>
  <c r="G141" i="1"/>
  <c r="J140" i="1" s="1"/>
  <c r="J139" i="1"/>
  <c r="K108" i="1"/>
  <c r="B108" i="1" s="1"/>
  <c r="C108" i="1" s="1"/>
  <c r="G110" i="1"/>
  <c r="K76" i="1"/>
  <c r="K77" i="1"/>
  <c r="G79" i="1"/>
  <c r="J48" i="1"/>
  <c r="G49" i="1"/>
  <c r="J47" i="1"/>
  <c r="B46" i="1"/>
  <c r="C46" i="1" s="1"/>
  <c r="B45" i="1"/>
  <c r="C45" i="1" s="1"/>
  <c r="K13" i="1"/>
  <c r="G15" i="1"/>
  <c r="J14" i="1"/>
  <c r="K139" i="1" a="1"/>
  <c r="K47" i="1" a="1"/>
  <c r="K140" i="1" a="1"/>
  <c r="K14" i="1" a="1"/>
  <c r="K48" i="1" a="1"/>
  <c r="B13" i="1" l="1"/>
  <c r="C13" i="1" s="1"/>
  <c r="B17" i="16"/>
  <c r="C17" i="16" s="1"/>
  <c r="B141" i="16"/>
  <c r="C141" i="16" s="1"/>
  <c r="B82" i="16"/>
  <c r="C82" i="16" s="1"/>
  <c r="B79" i="10"/>
  <c r="C79" i="10" s="1"/>
  <c r="G49" i="16"/>
  <c r="G19" i="16"/>
  <c r="J18" i="16"/>
  <c r="G143" i="16"/>
  <c r="J142" i="16" s="1"/>
  <c r="G111" i="16"/>
  <c r="G84" i="16"/>
  <c r="B52" i="15"/>
  <c r="C52" i="15" s="1"/>
  <c r="B112" i="15"/>
  <c r="C112" i="15" s="1"/>
  <c r="B142" i="15"/>
  <c r="C142" i="15" s="1"/>
  <c r="G86" i="15"/>
  <c r="J85" i="15" s="1"/>
  <c r="G54" i="15"/>
  <c r="G114" i="15"/>
  <c r="B141" i="15"/>
  <c r="C141" i="15" s="1"/>
  <c r="B140" i="15"/>
  <c r="C140" i="15" s="1"/>
  <c r="G19" i="15"/>
  <c r="B111" i="15"/>
  <c r="C111" i="15" s="1"/>
  <c r="G144" i="15"/>
  <c r="B142" i="14"/>
  <c r="C142" i="14" s="1"/>
  <c r="B78" i="14"/>
  <c r="C78" i="14" s="1"/>
  <c r="B18" i="14"/>
  <c r="C18" i="14" s="1"/>
  <c r="B109" i="14"/>
  <c r="C109" i="14" s="1"/>
  <c r="B47" i="14"/>
  <c r="C47" i="14" s="1"/>
  <c r="G49" i="14"/>
  <c r="B77" i="14"/>
  <c r="C77" i="14" s="1"/>
  <c r="B17" i="14"/>
  <c r="C17" i="14" s="1"/>
  <c r="B16" i="14"/>
  <c r="C16" i="14" s="1"/>
  <c r="G20" i="14"/>
  <c r="J19" i="14"/>
  <c r="G144" i="14"/>
  <c r="G111" i="14"/>
  <c r="G80" i="14"/>
  <c r="J79" i="14"/>
  <c r="B141" i="13"/>
  <c r="C141" i="13" s="1"/>
  <c r="B50" i="13"/>
  <c r="C50" i="13" s="1"/>
  <c r="B79" i="13"/>
  <c r="C79" i="13" s="1"/>
  <c r="G19" i="13"/>
  <c r="J18" i="13"/>
  <c r="G143" i="13"/>
  <c r="J142" i="13" s="1"/>
  <c r="G111" i="13"/>
  <c r="J110" i="13"/>
  <c r="J109" i="13"/>
  <c r="G52" i="13"/>
  <c r="B78" i="13"/>
  <c r="C78" i="13" s="1"/>
  <c r="B77" i="13"/>
  <c r="C77" i="13" s="1"/>
  <c r="G81" i="13"/>
  <c r="J80" i="13"/>
  <c r="B140" i="13"/>
  <c r="C140" i="13" s="1"/>
  <c r="B139" i="13"/>
  <c r="C139" i="13" s="1"/>
  <c r="B78" i="12"/>
  <c r="C78" i="12" s="1"/>
  <c r="G142" i="12"/>
  <c r="J141" i="12"/>
  <c r="G113" i="12"/>
  <c r="J112" i="12"/>
  <c r="G51" i="12"/>
  <c r="J50" i="12"/>
  <c r="J140" i="12"/>
  <c r="G19" i="12"/>
  <c r="J18" i="12" s="1"/>
  <c r="G80" i="12"/>
  <c r="J79" i="12"/>
  <c r="B48" i="11"/>
  <c r="C48" i="11" s="1"/>
  <c r="B139" i="11"/>
  <c r="C139" i="11" s="1"/>
  <c r="B110" i="11"/>
  <c r="C110" i="11" s="1"/>
  <c r="G19" i="11"/>
  <c r="B109" i="11"/>
  <c r="C109" i="11" s="1"/>
  <c r="G81" i="11"/>
  <c r="J80" i="11" s="1"/>
  <c r="G142" i="11"/>
  <c r="J141" i="11"/>
  <c r="B47" i="11"/>
  <c r="C47" i="11" s="1"/>
  <c r="B46" i="11"/>
  <c r="C46" i="11" s="1"/>
  <c r="G113" i="11"/>
  <c r="J112" i="11"/>
  <c r="G50" i="11"/>
  <c r="J49" i="11"/>
  <c r="B18" i="10"/>
  <c r="C18" i="10" s="1"/>
  <c r="B141" i="10"/>
  <c r="C141" i="10" s="1"/>
  <c r="B47" i="10"/>
  <c r="C47" i="10" s="1"/>
  <c r="G111" i="10"/>
  <c r="J110" i="10"/>
  <c r="B78" i="10"/>
  <c r="C78" i="10" s="1"/>
  <c r="B140" i="10"/>
  <c r="C140" i="10" s="1"/>
  <c r="B139" i="10"/>
  <c r="C139" i="10" s="1"/>
  <c r="G20" i="10"/>
  <c r="J19" i="10"/>
  <c r="B108" i="10"/>
  <c r="C108" i="10" s="1"/>
  <c r="B107" i="10"/>
  <c r="C107" i="10" s="1"/>
  <c r="G49" i="10"/>
  <c r="J109" i="10"/>
  <c r="G82" i="10"/>
  <c r="J81" i="10"/>
  <c r="J80" i="10"/>
  <c r="G143" i="10"/>
  <c r="J142" i="10"/>
  <c r="B46" i="10"/>
  <c r="C46" i="10" s="1"/>
  <c r="G142" i="9"/>
  <c r="J141" i="9" s="1"/>
  <c r="G52" i="9"/>
  <c r="J51" i="9"/>
  <c r="J140" i="9"/>
  <c r="G18" i="9"/>
  <c r="J17" i="9"/>
  <c r="B110" i="9"/>
  <c r="C110" i="9" s="1"/>
  <c r="G80" i="9"/>
  <c r="J79" i="9"/>
  <c r="J78" i="9"/>
  <c r="G114" i="9"/>
  <c r="J16" i="9"/>
  <c r="B15" i="9"/>
  <c r="C15" i="9" s="1"/>
  <c r="B14" i="9"/>
  <c r="C14" i="9" s="1"/>
  <c r="B141" i="8"/>
  <c r="C141" i="8" s="1"/>
  <c r="B109" i="8"/>
  <c r="C109" i="8" s="1"/>
  <c r="G143" i="8"/>
  <c r="G111" i="8"/>
  <c r="J110" i="8" s="1"/>
  <c r="B15" i="8"/>
  <c r="C15" i="8" s="1"/>
  <c r="B14" i="8"/>
  <c r="C14" i="8" s="1"/>
  <c r="G80" i="8"/>
  <c r="J79" i="8"/>
  <c r="G49" i="8"/>
  <c r="J48" i="8" s="1"/>
  <c r="G18" i="8"/>
  <c r="J78" i="8"/>
  <c r="J16" i="8"/>
  <c r="J47" i="8"/>
  <c r="B79" i="7"/>
  <c r="C79" i="7" s="1"/>
  <c r="G50" i="7"/>
  <c r="G116" i="7"/>
  <c r="G81" i="7"/>
  <c r="J80" i="7"/>
  <c r="G18" i="7"/>
  <c r="J17" i="7"/>
  <c r="B47" i="7"/>
  <c r="C47" i="7" s="1"/>
  <c r="B46" i="7"/>
  <c r="C46" i="7" s="1"/>
  <c r="J48" i="7"/>
  <c r="J16" i="7"/>
  <c r="G143" i="7"/>
  <c r="J142" i="7"/>
  <c r="B78" i="6"/>
  <c r="C78" i="6" s="1"/>
  <c r="B109" i="6"/>
  <c r="C109" i="6" s="1"/>
  <c r="B47" i="6"/>
  <c r="C47" i="6" s="1"/>
  <c r="G111" i="6"/>
  <c r="G142" i="6"/>
  <c r="J141" i="6"/>
  <c r="G18" i="6"/>
  <c r="J17" i="6"/>
  <c r="J140" i="6"/>
  <c r="J16" i="6"/>
  <c r="G80" i="6"/>
  <c r="J79" i="6"/>
  <c r="J48" i="6"/>
  <c r="G49" i="6"/>
  <c r="B49" i="5"/>
  <c r="C49" i="5" s="1"/>
  <c r="B113" i="5"/>
  <c r="C113" i="5" s="1"/>
  <c r="G51" i="5"/>
  <c r="J50" i="5"/>
  <c r="G115" i="5"/>
  <c r="J114" i="5"/>
  <c r="G81" i="5"/>
  <c r="J80" i="5" s="1"/>
  <c r="G20" i="5"/>
  <c r="J18" i="5"/>
  <c r="G142" i="5"/>
  <c r="J141" i="5"/>
  <c r="J140" i="5"/>
  <c r="B17" i="5"/>
  <c r="C17" i="5" s="1"/>
  <c r="B16" i="5"/>
  <c r="C16" i="5" s="1"/>
  <c r="B112" i="5"/>
  <c r="C112" i="5" s="1"/>
  <c r="B47" i="4"/>
  <c r="C47" i="4" s="1"/>
  <c r="B16" i="4"/>
  <c r="C16" i="4" s="1"/>
  <c r="G82" i="4"/>
  <c r="J81" i="4"/>
  <c r="J80" i="4"/>
  <c r="G18" i="4"/>
  <c r="J17" i="4" s="1"/>
  <c r="G49" i="4"/>
  <c r="G114" i="4"/>
  <c r="J113" i="4"/>
  <c r="B15" i="4"/>
  <c r="C15" i="4" s="1"/>
  <c r="G143" i="4"/>
  <c r="G82" i="3"/>
  <c r="J81" i="3"/>
  <c r="G19" i="3"/>
  <c r="G143" i="3"/>
  <c r="G52" i="3"/>
  <c r="G111" i="3"/>
  <c r="J110" i="3" s="1"/>
  <c r="J80" i="3"/>
  <c r="B15" i="3"/>
  <c r="C15" i="3" s="1"/>
  <c r="B140" i="2"/>
  <c r="C140" i="2" s="1"/>
  <c r="B16" i="2"/>
  <c r="C16" i="2" s="1"/>
  <c r="G49" i="2"/>
  <c r="G111" i="2"/>
  <c r="J110" i="2" s="1"/>
  <c r="G82" i="2"/>
  <c r="B139" i="2"/>
  <c r="C139" i="2" s="1"/>
  <c r="B138" i="2"/>
  <c r="C138" i="2" s="1"/>
  <c r="B79" i="2"/>
  <c r="C79" i="2" s="1"/>
  <c r="B78" i="2"/>
  <c r="C78" i="2" s="1"/>
  <c r="G18" i="2"/>
  <c r="J17" i="2"/>
  <c r="G142" i="2"/>
  <c r="J141" i="2"/>
  <c r="J47" i="2"/>
  <c r="K140" i="1"/>
  <c r="K139" i="1"/>
  <c r="G142" i="1"/>
  <c r="B138" i="1"/>
  <c r="C138" i="1" s="1"/>
  <c r="G111" i="1"/>
  <c r="J110" i="1"/>
  <c r="J109" i="1"/>
  <c r="G80" i="1"/>
  <c r="J79" i="1"/>
  <c r="J78" i="1"/>
  <c r="B77" i="1"/>
  <c r="C77" i="1" s="1"/>
  <c r="B76" i="1"/>
  <c r="C76" i="1" s="1"/>
  <c r="K47" i="1"/>
  <c r="K48" i="1"/>
  <c r="G50" i="1"/>
  <c r="J49" i="1"/>
  <c r="K14" i="1"/>
  <c r="G16" i="1"/>
  <c r="J15" i="1"/>
  <c r="K49" i="1" a="1"/>
  <c r="K110" i="1" a="1"/>
  <c r="K15" i="1" a="1"/>
  <c r="K79" i="1" a="1"/>
  <c r="K109" i="1" a="1"/>
  <c r="K78" i="1" a="1"/>
  <c r="B112" i="9" l="1"/>
  <c r="C112" i="9" s="1"/>
  <c r="B14" i="1"/>
  <c r="C14" i="1" s="1"/>
  <c r="B142" i="16"/>
  <c r="C142" i="16" s="1"/>
  <c r="B18" i="16"/>
  <c r="C18" i="16" s="1"/>
  <c r="G20" i="16"/>
  <c r="J19" i="16"/>
  <c r="G85" i="16"/>
  <c r="J84" i="16"/>
  <c r="G144" i="16"/>
  <c r="G50" i="16"/>
  <c r="J49" i="16"/>
  <c r="J48" i="16"/>
  <c r="J83" i="16"/>
  <c r="B47" i="16"/>
  <c r="C47" i="16" s="1"/>
  <c r="G112" i="16"/>
  <c r="B109" i="16"/>
  <c r="C109" i="16" s="1"/>
  <c r="B108" i="16"/>
  <c r="C108" i="16" s="1"/>
  <c r="J110" i="16"/>
  <c r="B85" i="15"/>
  <c r="C85" i="15" s="1"/>
  <c r="G55" i="15"/>
  <c r="J54" i="15"/>
  <c r="G145" i="15"/>
  <c r="J144" i="15"/>
  <c r="B84" i="15"/>
  <c r="C84" i="15" s="1"/>
  <c r="B83" i="15"/>
  <c r="C83" i="15" s="1"/>
  <c r="G20" i="15"/>
  <c r="J18" i="15"/>
  <c r="G115" i="15"/>
  <c r="J114" i="15"/>
  <c r="J113" i="15"/>
  <c r="J53" i="15"/>
  <c r="J86" i="15"/>
  <c r="G87" i="15"/>
  <c r="J143" i="15"/>
  <c r="B17" i="15"/>
  <c r="C17" i="15" s="1"/>
  <c r="B79" i="14"/>
  <c r="C79" i="14" s="1"/>
  <c r="B19" i="14"/>
  <c r="C19" i="14" s="1"/>
  <c r="G112" i="14"/>
  <c r="G50" i="14"/>
  <c r="J49" i="14"/>
  <c r="J110" i="14"/>
  <c r="G145" i="14"/>
  <c r="J144" i="14"/>
  <c r="G21" i="14"/>
  <c r="J20" i="14"/>
  <c r="J48" i="14"/>
  <c r="G81" i="14"/>
  <c r="J143" i="14"/>
  <c r="B142" i="13"/>
  <c r="C142" i="13" s="1"/>
  <c r="B18" i="13"/>
  <c r="C18" i="13" s="1"/>
  <c r="B80" i="13"/>
  <c r="C80" i="13" s="1"/>
  <c r="G53" i="13"/>
  <c r="J52" i="13"/>
  <c r="G82" i="13"/>
  <c r="J81" i="13"/>
  <c r="B17" i="13"/>
  <c r="C17" i="13" s="1"/>
  <c r="B16" i="13"/>
  <c r="C16" i="13" s="1"/>
  <c r="G144" i="13"/>
  <c r="J143" i="13"/>
  <c r="J19" i="13"/>
  <c r="G20" i="13"/>
  <c r="G112" i="13"/>
  <c r="J51" i="13"/>
  <c r="B18" i="12"/>
  <c r="C18" i="12" s="1"/>
  <c r="B112" i="12"/>
  <c r="C112" i="12" s="1"/>
  <c r="B79" i="12"/>
  <c r="C79" i="12" s="1"/>
  <c r="G52" i="12"/>
  <c r="J51" i="12" s="1"/>
  <c r="B111" i="12"/>
  <c r="C111" i="12" s="1"/>
  <c r="B110" i="12"/>
  <c r="C110" i="12" s="1"/>
  <c r="G20" i="12"/>
  <c r="G143" i="12"/>
  <c r="G114" i="12"/>
  <c r="J113" i="12"/>
  <c r="B17" i="12"/>
  <c r="C17" i="12" s="1"/>
  <c r="B16" i="12"/>
  <c r="C16" i="12" s="1"/>
  <c r="B49" i="12"/>
  <c r="C49" i="12" s="1"/>
  <c r="B48" i="12"/>
  <c r="C48" i="12" s="1"/>
  <c r="G81" i="12"/>
  <c r="B80" i="11"/>
  <c r="C80" i="11" s="1"/>
  <c r="B49" i="11"/>
  <c r="C49" i="11" s="1"/>
  <c r="B112" i="11"/>
  <c r="C112" i="11" s="1"/>
  <c r="G82" i="11"/>
  <c r="J81" i="11" s="1"/>
  <c r="G20" i="11"/>
  <c r="J19" i="11"/>
  <c r="B79" i="11"/>
  <c r="C79" i="11" s="1"/>
  <c r="B78" i="11"/>
  <c r="C78" i="11" s="1"/>
  <c r="G114" i="11"/>
  <c r="J113" i="11"/>
  <c r="B140" i="11"/>
  <c r="C140" i="11" s="1"/>
  <c r="J18" i="11"/>
  <c r="B17" i="11"/>
  <c r="C17" i="11" s="1"/>
  <c r="B16" i="11"/>
  <c r="C16" i="11" s="1"/>
  <c r="G51" i="11"/>
  <c r="J50" i="11"/>
  <c r="B111" i="11"/>
  <c r="C111" i="11" s="1"/>
  <c r="B140" i="1"/>
  <c r="C140" i="1" s="1"/>
  <c r="G143" i="11"/>
  <c r="J142" i="11" s="1"/>
  <c r="B19" i="10"/>
  <c r="C19" i="10" s="1"/>
  <c r="G144" i="10"/>
  <c r="G83" i="10"/>
  <c r="J82" i="10" s="1"/>
  <c r="G112" i="10"/>
  <c r="J111" i="10"/>
  <c r="G21" i="10"/>
  <c r="J20" i="10"/>
  <c r="B111" i="9"/>
  <c r="C111" i="9" s="1"/>
  <c r="G50" i="10"/>
  <c r="J49" i="10"/>
  <c r="B139" i="1"/>
  <c r="C139" i="1" s="1"/>
  <c r="B17" i="3"/>
  <c r="C17" i="3" s="1"/>
  <c r="J48" i="10"/>
  <c r="B51" i="9"/>
  <c r="C51" i="9" s="1"/>
  <c r="G19" i="9"/>
  <c r="J18" i="9" s="1"/>
  <c r="G53" i="9"/>
  <c r="J52" i="9"/>
  <c r="G143" i="9"/>
  <c r="G115" i="9"/>
  <c r="J114" i="9"/>
  <c r="J113" i="9"/>
  <c r="B50" i="9"/>
  <c r="C50" i="9" s="1"/>
  <c r="B49" i="9"/>
  <c r="C49" i="9" s="1"/>
  <c r="J80" i="9"/>
  <c r="G81" i="9"/>
  <c r="B110" i="8"/>
  <c r="C110" i="8" s="1"/>
  <c r="G19" i="8"/>
  <c r="G144" i="8"/>
  <c r="J142" i="8"/>
  <c r="G50" i="8"/>
  <c r="G81" i="8"/>
  <c r="J80" i="8" s="1"/>
  <c r="J111" i="8"/>
  <c r="G112" i="8"/>
  <c r="J17" i="8"/>
  <c r="B80" i="7"/>
  <c r="C80" i="7" s="1"/>
  <c r="B142" i="7"/>
  <c r="C142" i="7" s="1"/>
  <c r="G117" i="7"/>
  <c r="J116" i="7"/>
  <c r="G51" i="7"/>
  <c r="J50" i="7"/>
  <c r="J115" i="7"/>
  <c r="J49" i="7"/>
  <c r="G144" i="7"/>
  <c r="B141" i="7"/>
  <c r="C141" i="7" s="1"/>
  <c r="B140" i="7"/>
  <c r="C140" i="7" s="1"/>
  <c r="J18" i="7"/>
  <c r="G19" i="7"/>
  <c r="G82" i="7"/>
  <c r="J81" i="7"/>
  <c r="B114" i="7"/>
  <c r="C114" i="7" s="1"/>
  <c r="B113" i="7"/>
  <c r="C113" i="7" s="1"/>
  <c r="B79" i="6"/>
  <c r="C79" i="6" s="1"/>
  <c r="B48" i="6"/>
  <c r="C48" i="6" s="1"/>
  <c r="J80" i="6"/>
  <c r="G81" i="6"/>
  <c r="G112" i="6"/>
  <c r="J110" i="6"/>
  <c r="G50" i="6"/>
  <c r="J49" i="6" s="1"/>
  <c r="G19" i="6"/>
  <c r="J142" i="6"/>
  <c r="G143" i="6"/>
  <c r="B80" i="5"/>
  <c r="C80" i="5" s="1"/>
  <c r="B50" i="5"/>
  <c r="C50" i="5" s="1"/>
  <c r="B114" i="5"/>
  <c r="C114" i="5" s="1"/>
  <c r="G21" i="5"/>
  <c r="J20" i="5"/>
  <c r="J19" i="5"/>
  <c r="G116" i="5"/>
  <c r="B79" i="5"/>
  <c r="C79" i="5" s="1"/>
  <c r="B78" i="5"/>
  <c r="C78" i="5" s="1"/>
  <c r="J142" i="5"/>
  <c r="G143" i="5"/>
  <c r="G82" i="5"/>
  <c r="J81" i="5"/>
  <c r="G52" i="5"/>
  <c r="B17" i="4"/>
  <c r="C17" i="4" s="1"/>
  <c r="B113" i="4"/>
  <c r="C113" i="4" s="1"/>
  <c r="G115" i="4"/>
  <c r="J114" i="4"/>
  <c r="G83" i="4"/>
  <c r="J82" i="4"/>
  <c r="G50" i="4"/>
  <c r="J48" i="4"/>
  <c r="G19" i="4"/>
  <c r="J18" i="4"/>
  <c r="B112" i="4"/>
  <c r="C112" i="4" s="1"/>
  <c r="G144" i="4"/>
  <c r="J142" i="4"/>
  <c r="B141" i="4"/>
  <c r="C141" i="4" s="1"/>
  <c r="B110" i="3"/>
  <c r="C110" i="3" s="1"/>
  <c r="G20" i="3"/>
  <c r="G144" i="3"/>
  <c r="J143" i="3" s="1"/>
  <c r="B50" i="3"/>
  <c r="C50" i="3" s="1"/>
  <c r="B49" i="3"/>
  <c r="C49" i="3" s="1"/>
  <c r="B141" i="3"/>
  <c r="C141" i="3" s="1"/>
  <c r="B140" i="3"/>
  <c r="C140" i="3" s="1"/>
  <c r="G53" i="3"/>
  <c r="J142" i="3"/>
  <c r="J18" i="3"/>
  <c r="G83" i="3"/>
  <c r="J82" i="3"/>
  <c r="B16" i="3"/>
  <c r="C16" i="3" s="1"/>
  <c r="G112" i="3"/>
  <c r="J111" i="3"/>
  <c r="B109" i="3"/>
  <c r="C109" i="3" s="1"/>
  <c r="B108" i="3"/>
  <c r="C108" i="3" s="1"/>
  <c r="J51" i="3"/>
  <c r="B110" i="2"/>
  <c r="C110" i="2" s="1"/>
  <c r="B141" i="2"/>
  <c r="C141" i="2" s="1"/>
  <c r="B17" i="2"/>
  <c r="C17" i="2" s="1"/>
  <c r="G83" i="2"/>
  <c r="J82" i="2"/>
  <c r="G50" i="2"/>
  <c r="G112" i="2"/>
  <c r="J111" i="2"/>
  <c r="J48" i="2"/>
  <c r="G143" i="2"/>
  <c r="B80" i="2"/>
  <c r="C80" i="2" s="1"/>
  <c r="J81" i="2"/>
  <c r="J18" i="2"/>
  <c r="G19" i="2"/>
  <c r="B109" i="2"/>
  <c r="C109" i="2" s="1"/>
  <c r="B108" i="2"/>
  <c r="C108" i="2" s="1"/>
  <c r="G143" i="1"/>
  <c r="J141" i="1"/>
  <c r="K109" i="1"/>
  <c r="K110" i="1"/>
  <c r="G112" i="1"/>
  <c r="K78" i="1"/>
  <c r="K79" i="1"/>
  <c r="G81" i="1"/>
  <c r="K49" i="1"/>
  <c r="B49" i="1" s="1"/>
  <c r="C49" i="1" s="1"/>
  <c r="G51" i="1"/>
  <c r="J50" i="1"/>
  <c r="B48" i="1"/>
  <c r="C48" i="1" s="1"/>
  <c r="B47" i="1"/>
  <c r="C47" i="1" s="1"/>
  <c r="K15" i="1"/>
  <c r="G17" i="1"/>
  <c r="K141" i="1" a="1"/>
  <c r="K50" i="1" a="1"/>
  <c r="B15" i="1" l="1"/>
  <c r="C15" i="1" s="1"/>
  <c r="G51" i="16"/>
  <c r="J50" i="16"/>
  <c r="G21" i="16"/>
  <c r="J20" i="16"/>
  <c r="G145" i="16"/>
  <c r="J144" i="16"/>
  <c r="J143" i="16"/>
  <c r="G86" i="16"/>
  <c r="G113" i="16"/>
  <c r="J111" i="16"/>
  <c r="B86" i="15"/>
  <c r="C86" i="15" s="1"/>
  <c r="G116" i="15"/>
  <c r="J115" i="15" s="1"/>
  <c r="G88" i="15"/>
  <c r="G56" i="15"/>
  <c r="G21" i="15"/>
  <c r="J20" i="15"/>
  <c r="J19" i="15"/>
  <c r="G146" i="15"/>
  <c r="J145" i="15" s="1"/>
  <c r="B20" i="14"/>
  <c r="C20" i="14" s="1"/>
  <c r="G113" i="14"/>
  <c r="J112" i="14"/>
  <c r="G51" i="14"/>
  <c r="J50" i="14"/>
  <c r="J111" i="14"/>
  <c r="G146" i="14"/>
  <c r="J145" i="14" s="1"/>
  <c r="G82" i="14"/>
  <c r="J81" i="14" s="1"/>
  <c r="J21" i="14"/>
  <c r="G22" i="14"/>
  <c r="J80" i="14"/>
  <c r="B143" i="13"/>
  <c r="C143" i="13" s="1"/>
  <c r="B19" i="13"/>
  <c r="C19" i="13" s="1"/>
  <c r="G113" i="13"/>
  <c r="J112" i="13"/>
  <c r="G83" i="13"/>
  <c r="J82" i="13"/>
  <c r="G54" i="13"/>
  <c r="J111" i="13"/>
  <c r="B110" i="13"/>
  <c r="C110" i="13" s="1"/>
  <c r="B109" i="13"/>
  <c r="C109" i="13" s="1"/>
  <c r="G145" i="13"/>
  <c r="G21" i="13"/>
  <c r="J20" i="13"/>
  <c r="B113" i="12"/>
  <c r="C113" i="12" s="1"/>
  <c r="G82" i="12"/>
  <c r="J81" i="12"/>
  <c r="B51" i="12"/>
  <c r="C51" i="12" s="1"/>
  <c r="G21" i="12"/>
  <c r="J20" i="12"/>
  <c r="J80" i="12"/>
  <c r="B50" i="12"/>
  <c r="C50" i="12" s="1"/>
  <c r="G144" i="12"/>
  <c r="J143" i="12"/>
  <c r="J142" i="12"/>
  <c r="J19" i="12"/>
  <c r="B141" i="12"/>
  <c r="C141" i="12" s="1"/>
  <c r="B140" i="12"/>
  <c r="C140" i="12" s="1"/>
  <c r="G53" i="12"/>
  <c r="J52" i="12"/>
  <c r="G115" i="12"/>
  <c r="J114" i="12"/>
  <c r="B142" i="11"/>
  <c r="C142" i="11" s="1"/>
  <c r="B81" i="11"/>
  <c r="C81" i="11" s="1"/>
  <c r="B113" i="11"/>
  <c r="C113" i="11" s="1"/>
  <c r="B50" i="11"/>
  <c r="C50" i="11" s="1"/>
  <c r="G52" i="11"/>
  <c r="J51" i="11"/>
  <c r="G115" i="11"/>
  <c r="G83" i="11"/>
  <c r="J82" i="11"/>
  <c r="G144" i="11"/>
  <c r="G21" i="11"/>
  <c r="J20" i="11"/>
  <c r="B141" i="11"/>
  <c r="C141" i="11" s="1"/>
  <c r="B82" i="10"/>
  <c r="C82" i="10" s="1"/>
  <c r="B111" i="10"/>
  <c r="C111" i="10" s="1"/>
  <c r="B20" i="10"/>
  <c r="C20" i="10" s="1"/>
  <c r="G145" i="10"/>
  <c r="J144" i="10"/>
  <c r="B110" i="10"/>
  <c r="C110" i="10" s="1"/>
  <c r="B109" i="10"/>
  <c r="C109" i="10" s="1"/>
  <c r="G22" i="10"/>
  <c r="J21" i="10" s="1"/>
  <c r="G113" i="10"/>
  <c r="J112" i="10"/>
  <c r="B81" i="10"/>
  <c r="C81" i="10" s="1"/>
  <c r="B80" i="10"/>
  <c r="C80" i="10" s="1"/>
  <c r="G51" i="10"/>
  <c r="J50" i="10"/>
  <c r="G84" i="10"/>
  <c r="J143" i="10"/>
  <c r="B142" i="10"/>
  <c r="C142" i="10" s="1"/>
  <c r="B18" i="9"/>
  <c r="C18" i="9" s="1"/>
  <c r="B80" i="9"/>
  <c r="C80" i="9" s="1"/>
  <c r="B52" i="9"/>
  <c r="C52" i="9" s="1"/>
  <c r="G116" i="9"/>
  <c r="J115" i="9" s="1"/>
  <c r="B79" i="9"/>
  <c r="C79" i="9" s="1"/>
  <c r="B78" i="9"/>
  <c r="C78" i="9" s="1"/>
  <c r="G144" i="9"/>
  <c r="G82" i="9"/>
  <c r="J81" i="9"/>
  <c r="B17" i="9"/>
  <c r="C17" i="9" s="1"/>
  <c r="B16" i="9"/>
  <c r="C16" i="9" s="1"/>
  <c r="J142" i="9"/>
  <c r="J53" i="9"/>
  <c r="G54" i="9"/>
  <c r="B141" i="9"/>
  <c r="C141" i="9" s="1"/>
  <c r="B140" i="9"/>
  <c r="C140" i="9" s="1"/>
  <c r="G20" i="9"/>
  <c r="B80" i="8"/>
  <c r="C80" i="8" s="1"/>
  <c r="B17" i="8"/>
  <c r="C17" i="8" s="1"/>
  <c r="B111" i="8"/>
  <c r="C111" i="8" s="1"/>
  <c r="G51" i="8"/>
  <c r="J50" i="8"/>
  <c r="G20" i="8"/>
  <c r="J19" i="8" s="1"/>
  <c r="J18" i="8"/>
  <c r="B79" i="8"/>
  <c r="C79" i="8" s="1"/>
  <c r="B78" i="8"/>
  <c r="C78" i="8" s="1"/>
  <c r="G113" i="8"/>
  <c r="J112" i="8"/>
  <c r="G82" i="8"/>
  <c r="J81" i="8"/>
  <c r="J49" i="8"/>
  <c r="G145" i="8"/>
  <c r="J144" i="8"/>
  <c r="J143" i="8"/>
  <c r="B48" i="8"/>
  <c r="C48" i="8" s="1"/>
  <c r="B47" i="8"/>
  <c r="C47" i="8" s="1"/>
  <c r="B16" i="8"/>
  <c r="C16" i="8" s="1"/>
  <c r="B81" i="7"/>
  <c r="C81" i="7" s="1"/>
  <c r="B18" i="7"/>
  <c r="C18" i="7" s="1"/>
  <c r="G145" i="7"/>
  <c r="J144" i="7"/>
  <c r="G52" i="7"/>
  <c r="J51" i="7"/>
  <c r="G118" i="7"/>
  <c r="B48" i="7"/>
  <c r="C48" i="7" s="1"/>
  <c r="J143" i="7"/>
  <c r="B17" i="7"/>
  <c r="C17" i="7" s="1"/>
  <c r="B16" i="7"/>
  <c r="C16" i="7" s="1"/>
  <c r="G83" i="7"/>
  <c r="J82" i="7"/>
  <c r="G20" i="7"/>
  <c r="J19" i="7" s="1"/>
  <c r="B49" i="6"/>
  <c r="C49" i="6" s="1"/>
  <c r="B80" i="6"/>
  <c r="C80" i="6" s="1"/>
  <c r="B142" i="6"/>
  <c r="C142" i="6" s="1"/>
  <c r="G20" i="6"/>
  <c r="G113" i="6"/>
  <c r="J112" i="6"/>
  <c r="G82" i="6"/>
  <c r="J81" i="6"/>
  <c r="J18" i="6"/>
  <c r="G51" i="6"/>
  <c r="J50" i="6"/>
  <c r="B17" i="6"/>
  <c r="C17" i="6" s="1"/>
  <c r="B16" i="6"/>
  <c r="C16" i="6" s="1"/>
  <c r="G144" i="6"/>
  <c r="J143" i="6" s="1"/>
  <c r="B141" i="6"/>
  <c r="C141" i="6" s="1"/>
  <c r="B140" i="6"/>
  <c r="C140" i="6" s="1"/>
  <c r="J111" i="6"/>
  <c r="B142" i="5"/>
  <c r="C142" i="5" s="1"/>
  <c r="B81" i="5"/>
  <c r="C81" i="5" s="1"/>
  <c r="B19" i="5"/>
  <c r="C19" i="5" s="1"/>
  <c r="G117" i="5"/>
  <c r="J116" i="5"/>
  <c r="G53" i="5"/>
  <c r="J52" i="5"/>
  <c r="J115" i="5"/>
  <c r="G22" i="5"/>
  <c r="J21" i="5" s="1"/>
  <c r="J51" i="5"/>
  <c r="B141" i="5"/>
  <c r="C141" i="5" s="1"/>
  <c r="B140" i="5"/>
  <c r="C140" i="5" s="1"/>
  <c r="G83" i="5"/>
  <c r="J82" i="5"/>
  <c r="B18" i="5"/>
  <c r="C18" i="5" s="1"/>
  <c r="G144" i="5"/>
  <c r="B18" i="4"/>
  <c r="C18" i="4" s="1"/>
  <c r="B82" i="4"/>
  <c r="C82" i="4" s="1"/>
  <c r="G145" i="4"/>
  <c r="J144" i="4"/>
  <c r="G51" i="4"/>
  <c r="J50" i="4"/>
  <c r="G116" i="4"/>
  <c r="B81" i="4"/>
  <c r="C81" i="4" s="1"/>
  <c r="B80" i="4"/>
  <c r="C80" i="4" s="1"/>
  <c r="G20" i="4"/>
  <c r="J49" i="4"/>
  <c r="G84" i="4"/>
  <c r="J143" i="4"/>
  <c r="B111" i="3"/>
  <c r="C111" i="3" s="1"/>
  <c r="B82" i="3"/>
  <c r="C82" i="3" s="1"/>
  <c r="G54" i="3"/>
  <c r="J53" i="3" s="1"/>
  <c r="B81" i="3"/>
  <c r="C81" i="3" s="1"/>
  <c r="B80" i="3"/>
  <c r="C80" i="3" s="1"/>
  <c r="G84" i="3"/>
  <c r="J83" i="3" s="1"/>
  <c r="J52" i="3"/>
  <c r="G145" i="3"/>
  <c r="J144" i="3" s="1"/>
  <c r="G113" i="3"/>
  <c r="J112" i="3"/>
  <c r="G21" i="3"/>
  <c r="J20" i="3" s="1"/>
  <c r="J19" i="3"/>
  <c r="B48" i="2"/>
  <c r="C48" i="2" s="1"/>
  <c r="B18" i="2"/>
  <c r="C18" i="2" s="1"/>
  <c r="B111" i="2"/>
  <c r="C111" i="2" s="1"/>
  <c r="G144" i="2"/>
  <c r="J143" i="2"/>
  <c r="G51" i="2"/>
  <c r="J50" i="2"/>
  <c r="J49" i="2"/>
  <c r="G20" i="2"/>
  <c r="J19" i="2"/>
  <c r="J142" i="2"/>
  <c r="G113" i="2"/>
  <c r="J112" i="2"/>
  <c r="J83" i="2"/>
  <c r="G84" i="2"/>
  <c r="B47" i="2"/>
  <c r="C47" i="2" s="1"/>
  <c r="K141" i="1"/>
  <c r="G144" i="1"/>
  <c r="J143" i="1" s="1"/>
  <c r="J142" i="1"/>
  <c r="G113" i="1"/>
  <c r="J112" i="1"/>
  <c r="J111" i="1"/>
  <c r="B110" i="1"/>
  <c r="C110" i="1" s="1"/>
  <c r="B109" i="1"/>
  <c r="C109" i="1" s="1"/>
  <c r="G82" i="1"/>
  <c r="J80" i="1"/>
  <c r="B79" i="1"/>
  <c r="C79" i="1" s="1"/>
  <c r="B78" i="1"/>
  <c r="C78" i="1" s="1"/>
  <c r="K50" i="1"/>
  <c r="B50" i="1" s="1"/>
  <c r="C50" i="1" s="1"/>
  <c r="G52" i="1"/>
  <c r="G18" i="1"/>
  <c r="J16" i="1"/>
  <c r="K143" i="1" a="1"/>
  <c r="K112" i="1" a="1"/>
  <c r="K80" i="1" a="1"/>
  <c r="K16" i="1" a="1"/>
  <c r="K111" i="1" a="1"/>
  <c r="K142" i="1" a="1"/>
  <c r="B50" i="7" l="1"/>
  <c r="C50" i="7" s="1"/>
  <c r="B111" i="16"/>
  <c r="C111" i="16" s="1"/>
  <c r="B50" i="16"/>
  <c r="C50" i="16" s="1"/>
  <c r="G52" i="16"/>
  <c r="J51" i="16" s="1"/>
  <c r="B110" i="16"/>
  <c r="C110" i="16" s="1"/>
  <c r="B20" i="16"/>
  <c r="C20" i="16" s="1"/>
  <c r="G114" i="16"/>
  <c r="J113" i="16"/>
  <c r="G146" i="16"/>
  <c r="B19" i="16"/>
  <c r="C19" i="16" s="1"/>
  <c r="B49" i="16"/>
  <c r="C49" i="16" s="1"/>
  <c r="B48" i="16"/>
  <c r="C48" i="16" s="1"/>
  <c r="G87" i="16"/>
  <c r="J85" i="16"/>
  <c r="G22" i="16"/>
  <c r="J21" i="16" s="1"/>
  <c r="J112" i="16"/>
  <c r="B84" i="16"/>
  <c r="C84" i="16" s="1"/>
  <c r="B83" i="16"/>
  <c r="C83" i="16" s="1"/>
  <c r="B145" i="15"/>
  <c r="C145" i="15" s="1"/>
  <c r="B115" i="15"/>
  <c r="C115" i="15" s="1"/>
  <c r="G89" i="15"/>
  <c r="J88" i="15"/>
  <c r="J87" i="15"/>
  <c r="B114" i="15"/>
  <c r="C114" i="15" s="1"/>
  <c r="B113" i="15"/>
  <c r="C113" i="15" s="1"/>
  <c r="B144" i="15"/>
  <c r="C144" i="15" s="1"/>
  <c r="B143" i="15"/>
  <c r="C143" i="15" s="1"/>
  <c r="G22" i="15"/>
  <c r="J56" i="15"/>
  <c r="G57" i="15"/>
  <c r="J55" i="15"/>
  <c r="G117" i="15"/>
  <c r="J116" i="15"/>
  <c r="B18" i="15"/>
  <c r="C18" i="15" s="1"/>
  <c r="B54" i="15"/>
  <c r="C54" i="15" s="1"/>
  <c r="B53" i="15"/>
  <c r="C53" i="15" s="1"/>
  <c r="G147" i="15"/>
  <c r="J146" i="15"/>
  <c r="B145" i="14"/>
  <c r="C145" i="14" s="1"/>
  <c r="B111" i="14"/>
  <c r="C111" i="14" s="1"/>
  <c r="B110" i="14"/>
  <c r="C110" i="14" s="1"/>
  <c r="G83" i="14"/>
  <c r="J82" i="14"/>
  <c r="G114" i="14"/>
  <c r="J113" i="14"/>
  <c r="B144" i="14"/>
  <c r="C144" i="14" s="1"/>
  <c r="B143" i="14"/>
  <c r="C143" i="14" s="1"/>
  <c r="G147" i="14"/>
  <c r="G23" i="14"/>
  <c r="J22" i="14"/>
  <c r="G52" i="14"/>
  <c r="J51" i="14" s="1"/>
  <c r="B49" i="14"/>
  <c r="C49" i="14" s="1"/>
  <c r="B48" i="14"/>
  <c r="C48" i="14" s="1"/>
  <c r="B82" i="13"/>
  <c r="C82" i="13" s="1"/>
  <c r="B20" i="13"/>
  <c r="C20" i="13" s="1"/>
  <c r="G22" i="13"/>
  <c r="J21" i="13" s="1"/>
  <c r="G146" i="13"/>
  <c r="J145" i="13" s="1"/>
  <c r="G55" i="13"/>
  <c r="J54" i="13"/>
  <c r="J53" i="13"/>
  <c r="G84" i="13"/>
  <c r="J83" i="13" s="1"/>
  <c r="B52" i="13"/>
  <c r="C52" i="13" s="1"/>
  <c r="B51" i="13"/>
  <c r="C51" i="13" s="1"/>
  <c r="B81" i="13"/>
  <c r="C81" i="13" s="1"/>
  <c r="G114" i="13"/>
  <c r="J113" i="13"/>
  <c r="J144" i="13"/>
  <c r="B52" i="12"/>
  <c r="C52" i="12" s="1"/>
  <c r="G22" i="12"/>
  <c r="J21" i="12" s="1"/>
  <c r="G116" i="12"/>
  <c r="J115" i="12" s="1"/>
  <c r="G54" i="12"/>
  <c r="J53" i="12" s="1"/>
  <c r="G83" i="12"/>
  <c r="J82" i="12"/>
  <c r="G145" i="12"/>
  <c r="J144" i="12"/>
  <c r="B51" i="11"/>
  <c r="C51" i="11" s="1"/>
  <c r="B20" i="11"/>
  <c r="C20" i="11" s="1"/>
  <c r="B82" i="11"/>
  <c r="C82" i="11" s="1"/>
  <c r="G145" i="11"/>
  <c r="J144" i="11"/>
  <c r="G116" i="11"/>
  <c r="G53" i="11"/>
  <c r="J52" i="11"/>
  <c r="G84" i="11"/>
  <c r="J114" i="11"/>
  <c r="B19" i="11"/>
  <c r="C19" i="11" s="1"/>
  <c r="B18" i="11"/>
  <c r="C18" i="11" s="1"/>
  <c r="G22" i="11"/>
  <c r="J143" i="11"/>
  <c r="B21" i="10"/>
  <c r="C21" i="10" s="1"/>
  <c r="B112" i="10"/>
  <c r="C112" i="10" s="1"/>
  <c r="B50" i="10"/>
  <c r="C50" i="10" s="1"/>
  <c r="G146" i="10"/>
  <c r="J145" i="10" s="1"/>
  <c r="G85" i="10"/>
  <c r="J84" i="10"/>
  <c r="J83" i="10"/>
  <c r="G52" i="10"/>
  <c r="B49" i="10"/>
  <c r="C49" i="10" s="1"/>
  <c r="B48" i="10"/>
  <c r="C48" i="10" s="1"/>
  <c r="G114" i="10"/>
  <c r="J113" i="10"/>
  <c r="G23" i="10"/>
  <c r="J22" i="10"/>
  <c r="B115" i="9"/>
  <c r="C115" i="9" s="1"/>
  <c r="B81" i="9"/>
  <c r="C81" i="9" s="1"/>
  <c r="B53" i="9"/>
  <c r="C53" i="9" s="1"/>
  <c r="G145" i="9"/>
  <c r="J144" i="9"/>
  <c r="B114" i="9"/>
  <c r="C114" i="9" s="1"/>
  <c r="B113" i="9"/>
  <c r="C113" i="9" s="1"/>
  <c r="G117" i="9"/>
  <c r="J116" i="9"/>
  <c r="G83" i="9"/>
  <c r="J82" i="9"/>
  <c r="J143" i="9"/>
  <c r="G55" i="9"/>
  <c r="J54" i="9"/>
  <c r="G21" i="9"/>
  <c r="J20" i="9"/>
  <c r="J19" i="9"/>
  <c r="B81" i="8"/>
  <c r="C81" i="8" s="1"/>
  <c r="B112" i="8"/>
  <c r="C112" i="8" s="1"/>
  <c r="B143" i="8"/>
  <c r="C143" i="8" s="1"/>
  <c r="G83" i="8"/>
  <c r="J82" i="8"/>
  <c r="B49" i="7"/>
  <c r="C49" i="7" s="1"/>
  <c r="G114" i="8"/>
  <c r="G52" i="8"/>
  <c r="J51" i="8"/>
  <c r="G146" i="8"/>
  <c r="B142" i="8"/>
  <c r="C142" i="8" s="1"/>
  <c r="G21" i="8"/>
  <c r="J20" i="8"/>
  <c r="B19" i="7"/>
  <c r="C19" i="7" s="1"/>
  <c r="B51" i="7"/>
  <c r="C51" i="7" s="1"/>
  <c r="G53" i="7"/>
  <c r="J52" i="7"/>
  <c r="G84" i="7"/>
  <c r="G119" i="7"/>
  <c r="J118" i="7"/>
  <c r="G146" i="7"/>
  <c r="J117" i="7"/>
  <c r="G21" i="7"/>
  <c r="J20" i="7"/>
  <c r="B116" i="7"/>
  <c r="C116" i="7" s="1"/>
  <c r="B115" i="7"/>
  <c r="C115" i="7" s="1"/>
  <c r="B143" i="6"/>
  <c r="C143" i="6" s="1"/>
  <c r="B50" i="6"/>
  <c r="C50" i="6" s="1"/>
  <c r="B81" i="6"/>
  <c r="C81" i="6" s="1"/>
  <c r="B111" i="6"/>
  <c r="C111" i="6" s="1"/>
  <c r="G52" i="6"/>
  <c r="J51" i="6"/>
  <c r="G114" i="6"/>
  <c r="J113" i="6" s="1"/>
  <c r="B110" i="6"/>
  <c r="C110" i="6" s="1"/>
  <c r="G83" i="6"/>
  <c r="J82" i="6"/>
  <c r="J144" i="6"/>
  <c r="G145" i="6"/>
  <c r="G21" i="6"/>
  <c r="J20" i="6"/>
  <c r="J19" i="6"/>
  <c r="B21" i="5"/>
  <c r="C21" i="5" s="1"/>
  <c r="B82" i="5"/>
  <c r="C82" i="5" s="1"/>
  <c r="G23" i="5"/>
  <c r="J22" i="5"/>
  <c r="G145" i="5"/>
  <c r="G54" i="5"/>
  <c r="J53" i="5" s="1"/>
  <c r="J143" i="5"/>
  <c r="J117" i="5"/>
  <c r="G118" i="5"/>
  <c r="B20" i="5"/>
  <c r="C20" i="5" s="1"/>
  <c r="G84" i="5"/>
  <c r="B143" i="4"/>
  <c r="C143" i="4" s="1"/>
  <c r="G21" i="4"/>
  <c r="J20" i="4"/>
  <c r="J19" i="4"/>
  <c r="G117" i="4"/>
  <c r="J116" i="4"/>
  <c r="J115" i="4"/>
  <c r="G85" i="4"/>
  <c r="J84" i="4"/>
  <c r="J83" i="4"/>
  <c r="B114" i="4"/>
  <c r="C114" i="4" s="1"/>
  <c r="B48" i="4"/>
  <c r="C48" i="4" s="1"/>
  <c r="G52" i="4"/>
  <c r="J51" i="4"/>
  <c r="G146" i="4"/>
  <c r="J145" i="4" s="1"/>
  <c r="B142" i="4"/>
  <c r="C142" i="4" s="1"/>
  <c r="B144" i="3"/>
  <c r="C144" i="3" s="1"/>
  <c r="B83" i="3"/>
  <c r="C83" i="3" s="1"/>
  <c r="B112" i="3"/>
  <c r="C112" i="3" s="1"/>
  <c r="G146" i="3"/>
  <c r="G22" i="3"/>
  <c r="B51" i="3"/>
  <c r="C51" i="3" s="1"/>
  <c r="G55" i="3"/>
  <c r="J54" i="3"/>
  <c r="B18" i="3"/>
  <c r="C18" i="3" s="1"/>
  <c r="B143" i="3"/>
  <c r="C143" i="3" s="1"/>
  <c r="B142" i="3"/>
  <c r="C142" i="3" s="1"/>
  <c r="G85" i="3"/>
  <c r="J84" i="3"/>
  <c r="J113" i="3"/>
  <c r="G114" i="3"/>
  <c r="B112" i="2"/>
  <c r="C112" i="2" s="1"/>
  <c r="B19" i="2"/>
  <c r="C19" i="2" s="1"/>
  <c r="B83" i="2"/>
  <c r="C83" i="2" s="1"/>
  <c r="G114" i="2"/>
  <c r="J113" i="2"/>
  <c r="G21" i="2"/>
  <c r="J20" i="2"/>
  <c r="G52" i="2"/>
  <c r="J51" i="2"/>
  <c r="J144" i="2"/>
  <c r="G145" i="2"/>
  <c r="B82" i="2"/>
  <c r="C82" i="2" s="1"/>
  <c r="B81" i="2"/>
  <c r="C81" i="2" s="1"/>
  <c r="G85" i="2"/>
  <c r="J84" i="2"/>
  <c r="K143" i="1"/>
  <c r="K142" i="1"/>
  <c r="G145" i="1"/>
  <c r="J144" i="1"/>
  <c r="B141" i="1"/>
  <c r="C141" i="1" s="1"/>
  <c r="K111" i="1"/>
  <c r="K112" i="1"/>
  <c r="G114" i="1"/>
  <c r="J113" i="1"/>
  <c r="K80" i="1"/>
  <c r="G83" i="1"/>
  <c r="J82" i="1"/>
  <c r="J81" i="1"/>
  <c r="G53" i="1"/>
  <c r="J51" i="1"/>
  <c r="K16" i="1"/>
  <c r="G19" i="1"/>
  <c r="J18" i="1" s="1"/>
  <c r="J17" i="1"/>
  <c r="K82" i="1" a="1"/>
  <c r="K144" i="1" a="1"/>
  <c r="K113" i="1" a="1"/>
  <c r="K51" i="1" a="1"/>
  <c r="K18" i="1" a="1"/>
  <c r="K81" i="1" a="1"/>
  <c r="K17" i="1" a="1"/>
  <c r="B20" i="15" l="1"/>
  <c r="C20" i="15" s="1"/>
  <c r="B16" i="1"/>
  <c r="C16" i="1" s="1"/>
  <c r="B21" i="16"/>
  <c r="C21" i="16" s="1"/>
  <c r="B51" i="16"/>
  <c r="C51" i="16" s="1"/>
  <c r="B112" i="16"/>
  <c r="C112" i="16" s="1"/>
  <c r="B19" i="15"/>
  <c r="C19" i="15" s="1"/>
  <c r="G88" i="16"/>
  <c r="J87" i="16"/>
  <c r="B144" i="16"/>
  <c r="C144" i="16" s="1"/>
  <c r="B143" i="16"/>
  <c r="C143" i="16" s="1"/>
  <c r="G147" i="16"/>
  <c r="J86" i="16"/>
  <c r="J145" i="16"/>
  <c r="G53" i="16"/>
  <c r="G115" i="16"/>
  <c r="J114" i="16"/>
  <c r="G23" i="16"/>
  <c r="J22" i="16"/>
  <c r="B146" i="15"/>
  <c r="C146" i="15" s="1"/>
  <c r="B116" i="15"/>
  <c r="C116" i="15" s="1"/>
  <c r="B50" i="2"/>
  <c r="C50" i="2" s="1"/>
  <c r="B143" i="1"/>
  <c r="C143" i="1" s="1"/>
  <c r="G23" i="15"/>
  <c r="J22" i="15"/>
  <c r="J21" i="15"/>
  <c r="G148" i="15"/>
  <c r="G90" i="15"/>
  <c r="G118" i="15"/>
  <c r="G58" i="15"/>
  <c r="B51" i="14"/>
  <c r="C51" i="14" s="1"/>
  <c r="B82" i="14"/>
  <c r="C82" i="14" s="1"/>
  <c r="B22" i="14"/>
  <c r="C22" i="14" s="1"/>
  <c r="B113" i="14"/>
  <c r="C113" i="14" s="1"/>
  <c r="G148" i="14"/>
  <c r="B21" i="14"/>
  <c r="C21" i="14" s="1"/>
  <c r="G24" i="14"/>
  <c r="B112" i="14"/>
  <c r="C112" i="14" s="1"/>
  <c r="G115" i="14"/>
  <c r="J114" i="14"/>
  <c r="B19" i="8"/>
  <c r="C19" i="8" s="1"/>
  <c r="B50" i="14"/>
  <c r="C50" i="14" s="1"/>
  <c r="J83" i="14"/>
  <c r="G84" i="14"/>
  <c r="G53" i="14"/>
  <c r="J52" i="14"/>
  <c r="B81" i="14"/>
  <c r="C81" i="14" s="1"/>
  <c r="B80" i="14"/>
  <c r="C80" i="14" s="1"/>
  <c r="J146" i="14"/>
  <c r="B83" i="13"/>
  <c r="C83" i="13" s="1"/>
  <c r="B21" i="13"/>
  <c r="C21" i="13" s="1"/>
  <c r="B113" i="13"/>
  <c r="C113" i="13" s="1"/>
  <c r="G115" i="13"/>
  <c r="J114" i="13"/>
  <c r="G56" i="13"/>
  <c r="J55" i="13"/>
  <c r="G147" i="13"/>
  <c r="J146" i="13"/>
  <c r="G85" i="13"/>
  <c r="G23" i="13"/>
  <c r="J22" i="13"/>
  <c r="B112" i="13"/>
  <c r="C112" i="13" s="1"/>
  <c r="B111" i="13"/>
  <c r="C111" i="13" s="1"/>
  <c r="B53" i="12"/>
  <c r="C53" i="12" s="1"/>
  <c r="B115" i="12"/>
  <c r="C115" i="12" s="1"/>
  <c r="B21" i="12"/>
  <c r="C21" i="12" s="1"/>
  <c r="B144" i="12"/>
  <c r="C144" i="12" s="1"/>
  <c r="G117" i="12"/>
  <c r="J116" i="12"/>
  <c r="G23" i="12"/>
  <c r="J22" i="12"/>
  <c r="B143" i="12"/>
  <c r="C143" i="12" s="1"/>
  <c r="B142" i="12"/>
  <c r="C142" i="12" s="1"/>
  <c r="G55" i="12"/>
  <c r="J54" i="12"/>
  <c r="G146" i="12"/>
  <c r="G84" i="12"/>
  <c r="J83" i="12" s="1"/>
  <c r="B20" i="12"/>
  <c r="C20" i="12" s="1"/>
  <c r="B19" i="12"/>
  <c r="C19" i="12" s="1"/>
  <c r="B81" i="12"/>
  <c r="C81" i="12" s="1"/>
  <c r="B80" i="12"/>
  <c r="C80" i="12" s="1"/>
  <c r="B114" i="12"/>
  <c r="C114" i="12" s="1"/>
  <c r="B52" i="11"/>
  <c r="C52" i="11" s="1"/>
  <c r="G85" i="11"/>
  <c r="J84" i="11"/>
  <c r="G54" i="11"/>
  <c r="G146" i="11"/>
  <c r="G23" i="11"/>
  <c r="J22" i="11"/>
  <c r="G117" i="11"/>
  <c r="J116" i="11"/>
  <c r="J21" i="11"/>
  <c r="J83" i="11"/>
  <c r="J115" i="11"/>
  <c r="B145" i="10"/>
  <c r="C145" i="10" s="1"/>
  <c r="B22" i="10"/>
  <c r="C22" i="10" s="1"/>
  <c r="B113" i="10"/>
  <c r="C113" i="10" s="1"/>
  <c r="B50" i="4"/>
  <c r="C50" i="4" s="1"/>
  <c r="G24" i="10"/>
  <c r="J23" i="10" s="1"/>
  <c r="G53" i="10"/>
  <c r="J52" i="10"/>
  <c r="B144" i="10"/>
  <c r="C144" i="10" s="1"/>
  <c r="B143" i="10"/>
  <c r="C143" i="10" s="1"/>
  <c r="J51" i="10"/>
  <c r="G86" i="10"/>
  <c r="J85" i="10"/>
  <c r="G147" i="10"/>
  <c r="B144" i="4"/>
  <c r="C144" i="4" s="1"/>
  <c r="G115" i="10"/>
  <c r="B116" i="9"/>
  <c r="C116" i="9" s="1"/>
  <c r="B143" i="9"/>
  <c r="C143" i="9" s="1"/>
  <c r="B82" i="9"/>
  <c r="C82" i="9" s="1"/>
  <c r="B54" i="9"/>
  <c r="C54" i="9" s="1"/>
  <c r="B18" i="8"/>
  <c r="C18" i="8" s="1"/>
  <c r="G146" i="9"/>
  <c r="B142" i="9"/>
  <c r="C142" i="9" s="1"/>
  <c r="G84" i="9"/>
  <c r="J117" i="9"/>
  <c r="G118" i="9"/>
  <c r="J21" i="9"/>
  <c r="G22" i="9"/>
  <c r="G56" i="9"/>
  <c r="B20" i="8"/>
  <c r="C20" i="8" s="1"/>
  <c r="B51" i="8"/>
  <c r="C51" i="8" s="1"/>
  <c r="B82" i="8"/>
  <c r="C82" i="8" s="1"/>
  <c r="G115" i="8"/>
  <c r="J114" i="8"/>
  <c r="G84" i="8"/>
  <c r="J113" i="8"/>
  <c r="G22" i="8"/>
  <c r="G147" i="8"/>
  <c r="J146" i="8"/>
  <c r="G53" i="8"/>
  <c r="B50" i="8"/>
  <c r="C50" i="8" s="1"/>
  <c r="B49" i="8"/>
  <c r="C49" i="8" s="1"/>
  <c r="B144" i="8"/>
  <c r="C144" i="8" s="1"/>
  <c r="J145" i="8"/>
  <c r="B52" i="7"/>
  <c r="C52" i="7" s="1"/>
  <c r="B20" i="7"/>
  <c r="C20" i="7" s="1"/>
  <c r="G120" i="7"/>
  <c r="G85" i="7"/>
  <c r="J84" i="7"/>
  <c r="G22" i="7"/>
  <c r="B144" i="7"/>
  <c r="C144" i="7" s="1"/>
  <c r="B143" i="7"/>
  <c r="C143" i="7" s="1"/>
  <c r="G147" i="7"/>
  <c r="J146" i="7"/>
  <c r="J145" i="7"/>
  <c r="J83" i="7"/>
  <c r="G54" i="7"/>
  <c r="J53" i="7" s="1"/>
  <c r="B20" i="3"/>
  <c r="C20" i="3" s="1"/>
  <c r="B82" i="7"/>
  <c r="C82" i="7" s="1"/>
  <c r="B113" i="6"/>
  <c r="C113" i="6" s="1"/>
  <c r="B19" i="6"/>
  <c r="C19" i="6" s="1"/>
  <c r="B144" i="6"/>
  <c r="C144" i="6" s="1"/>
  <c r="B82" i="6"/>
  <c r="C82" i="6" s="1"/>
  <c r="B18" i="6"/>
  <c r="C18" i="6" s="1"/>
  <c r="G115" i="6"/>
  <c r="J114" i="6"/>
  <c r="G53" i="6"/>
  <c r="J52" i="6"/>
  <c r="B112" i="6"/>
  <c r="C112" i="6" s="1"/>
  <c r="J21" i="6"/>
  <c r="G22" i="6"/>
  <c r="G84" i="6"/>
  <c r="G146" i="6"/>
  <c r="B53" i="5"/>
  <c r="C53" i="5" s="1"/>
  <c r="B117" i="5"/>
  <c r="C117" i="5" s="1"/>
  <c r="B22" i="5"/>
  <c r="C22" i="5" s="1"/>
  <c r="G146" i="5"/>
  <c r="J144" i="5"/>
  <c r="B116" i="5"/>
  <c r="C116" i="5" s="1"/>
  <c r="B115" i="5"/>
  <c r="C115" i="5" s="1"/>
  <c r="G55" i="5"/>
  <c r="J54" i="5"/>
  <c r="G24" i="5"/>
  <c r="J23" i="5" s="1"/>
  <c r="B49" i="4"/>
  <c r="C49" i="4" s="1"/>
  <c r="G85" i="5"/>
  <c r="J84" i="5"/>
  <c r="J83" i="5"/>
  <c r="B52" i="5"/>
  <c r="C52" i="5" s="1"/>
  <c r="B51" i="5"/>
  <c r="C51" i="5" s="1"/>
  <c r="B53" i="3"/>
  <c r="C53" i="3" s="1"/>
  <c r="G119" i="5"/>
  <c r="J118" i="5"/>
  <c r="B145" i="4"/>
  <c r="C145" i="4" s="1"/>
  <c r="B51" i="4"/>
  <c r="C51" i="4" s="1"/>
  <c r="G22" i="4"/>
  <c r="J21" i="4" s="1"/>
  <c r="G86" i="4"/>
  <c r="J85" i="4" s="1"/>
  <c r="B52" i="3"/>
  <c r="C52" i="3" s="1"/>
  <c r="G53" i="4"/>
  <c r="J52" i="4"/>
  <c r="J117" i="4"/>
  <c r="G118" i="4"/>
  <c r="G147" i="4"/>
  <c r="J146" i="4"/>
  <c r="B54" i="3"/>
  <c r="C54" i="3" s="1"/>
  <c r="B113" i="3"/>
  <c r="C113" i="3" s="1"/>
  <c r="G23" i="3"/>
  <c r="J22" i="3"/>
  <c r="G147" i="3"/>
  <c r="J146" i="3"/>
  <c r="G115" i="3"/>
  <c r="J114" i="3"/>
  <c r="G86" i="3"/>
  <c r="J85" i="3"/>
  <c r="J55" i="3"/>
  <c r="G56" i="3"/>
  <c r="J21" i="3"/>
  <c r="J145" i="3"/>
  <c r="B19" i="3"/>
  <c r="C19" i="3" s="1"/>
  <c r="B20" i="2"/>
  <c r="C20" i="2" s="1"/>
  <c r="B51" i="2"/>
  <c r="C51" i="2" s="1"/>
  <c r="B113" i="2"/>
  <c r="C113" i="2" s="1"/>
  <c r="B84" i="2"/>
  <c r="C84" i="2" s="1"/>
  <c r="B144" i="2"/>
  <c r="C144" i="2" s="1"/>
  <c r="G115" i="2"/>
  <c r="J114" i="2"/>
  <c r="G53" i="2"/>
  <c r="J52" i="2"/>
  <c r="B49" i="2"/>
  <c r="C49" i="2" s="1"/>
  <c r="G86" i="2"/>
  <c r="B143" i="2"/>
  <c r="C143" i="2" s="1"/>
  <c r="B142" i="2"/>
  <c r="C142" i="2" s="1"/>
  <c r="J145" i="2"/>
  <c r="G146" i="2"/>
  <c r="G22" i="2"/>
  <c r="K144" i="1"/>
  <c r="B144" i="1" s="1"/>
  <c r="C144" i="1" s="1"/>
  <c r="G146" i="1"/>
  <c r="J145" i="1" s="1"/>
  <c r="B142" i="1"/>
  <c r="C142" i="1" s="1"/>
  <c r="K113" i="1"/>
  <c r="B113" i="1" s="1"/>
  <c r="C113" i="1" s="1"/>
  <c r="G115" i="1"/>
  <c r="B112" i="1"/>
  <c r="C112" i="1" s="1"/>
  <c r="B111" i="1"/>
  <c r="C111" i="1" s="1"/>
  <c r="K81" i="1"/>
  <c r="B81" i="1" s="1"/>
  <c r="C81" i="1" s="1"/>
  <c r="K82" i="1"/>
  <c r="G84" i="1"/>
  <c r="B80" i="1"/>
  <c r="C80" i="1" s="1"/>
  <c r="K51" i="1"/>
  <c r="G54" i="1"/>
  <c r="J53" i="1"/>
  <c r="J52" i="1"/>
  <c r="K18" i="1"/>
  <c r="K17" i="1"/>
  <c r="G20" i="1"/>
  <c r="K145" i="1" a="1"/>
  <c r="K52" i="1" a="1"/>
  <c r="K53" i="1" a="1"/>
  <c r="B17" i="1" l="1"/>
  <c r="C17" i="1" s="1"/>
  <c r="B86" i="16"/>
  <c r="C86" i="16" s="1"/>
  <c r="B22" i="16"/>
  <c r="C22" i="16" s="1"/>
  <c r="B114" i="16"/>
  <c r="C114" i="16" s="1"/>
  <c r="B85" i="16"/>
  <c r="C85" i="16" s="1"/>
  <c r="G116" i="16"/>
  <c r="G89" i="16"/>
  <c r="J88" i="16" s="1"/>
  <c r="B113" i="16"/>
  <c r="C113" i="16" s="1"/>
  <c r="G54" i="16"/>
  <c r="J147" i="16"/>
  <c r="G148" i="16"/>
  <c r="J146" i="16"/>
  <c r="G24" i="16"/>
  <c r="J52" i="16"/>
  <c r="G149" i="15"/>
  <c r="J148" i="15"/>
  <c r="G59" i="15"/>
  <c r="J58" i="15"/>
  <c r="B56" i="15"/>
  <c r="C56" i="15" s="1"/>
  <c r="B55" i="15"/>
  <c r="C55" i="15" s="1"/>
  <c r="G119" i="15"/>
  <c r="J118" i="15"/>
  <c r="J117" i="15"/>
  <c r="B88" i="15"/>
  <c r="C88" i="15" s="1"/>
  <c r="B87" i="15"/>
  <c r="C87" i="15" s="1"/>
  <c r="G91" i="15"/>
  <c r="J90" i="15"/>
  <c r="J147" i="15"/>
  <c r="G24" i="15"/>
  <c r="J57" i="15"/>
  <c r="J89" i="15"/>
  <c r="B52" i="14"/>
  <c r="C52" i="14" s="1"/>
  <c r="B83" i="14"/>
  <c r="C83" i="14" s="1"/>
  <c r="B114" i="14"/>
  <c r="C114" i="14" s="1"/>
  <c r="G85" i="14"/>
  <c r="J84" i="14"/>
  <c r="G25" i="14"/>
  <c r="J24" i="14"/>
  <c r="J23" i="14"/>
  <c r="G149" i="14"/>
  <c r="J148" i="14"/>
  <c r="J147" i="14"/>
  <c r="J115" i="14"/>
  <c r="G116" i="14"/>
  <c r="G54" i="14"/>
  <c r="B114" i="13"/>
  <c r="C114" i="13" s="1"/>
  <c r="B22" i="13"/>
  <c r="C22" i="13" s="1"/>
  <c r="B146" i="13"/>
  <c r="C146" i="13" s="1"/>
  <c r="B55" i="13"/>
  <c r="C55" i="13" s="1"/>
  <c r="G86" i="13"/>
  <c r="J85" i="13" s="1"/>
  <c r="G57" i="13"/>
  <c r="J56" i="13"/>
  <c r="B145" i="13"/>
  <c r="C145" i="13" s="1"/>
  <c r="B144" i="13"/>
  <c r="C144" i="13" s="1"/>
  <c r="G148" i="13"/>
  <c r="J147" i="13" s="1"/>
  <c r="B54" i="13"/>
  <c r="C54" i="13" s="1"/>
  <c r="B53" i="13"/>
  <c r="C53" i="13" s="1"/>
  <c r="G24" i="13"/>
  <c r="G116" i="13"/>
  <c r="J115" i="13" s="1"/>
  <c r="J84" i="13"/>
  <c r="B83" i="12"/>
  <c r="C83" i="12" s="1"/>
  <c r="B54" i="12"/>
  <c r="C54" i="12" s="1"/>
  <c r="B22" i="12"/>
  <c r="C22" i="12" s="1"/>
  <c r="G56" i="12"/>
  <c r="G24" i="12"/>
  <c r="J23" i="12" s="1"/>
  <c r="B82" i="12"/>
  <c r="C82" i="12" s="1"/>
  <c r="G118" i="12"/>
  <c r="J117" i="12" s="1"/>
  <c r="G85" i="12"/>
  <c r="J84" i="12"/>
  <c r="G147" i="12"/>
  <c r="J146" i="12"/>
  <c r="J145" i="12"/>
  <c r="B115" i="11"/>
  <c r="C115" i="11" s="1"/>
  <c r="G55" i="11"/>
  <c r="J54" i="11"/>
  <c r="B114" i="11"/>
  <c r="C114" i="11" s="1"/>
  <c r="G86" i="11"/>
  <c r="B144" i="11"/>
  <c r="C144" i="11" s="1"/>
  <c r="B143" i="11"/>
  <c r="C143" i="11" s="1"/>
  <c r="J117" i="11"/>
  <c r="G118" i="11"/>
  <c r="G24" i="11"/>
  <c r="J23" i="11" s="1"/>
  <c r="G147" i="11"/>
  <c r="J146" i="11"/>
  <c r="J145" i="11"/>
  <c r="J53" i="11"/>
  <c r="B23" i="10"/>
  <c r="C23" i="10" s="1"/>
  <c r="B85" i="10"/>
  <c r="C85" i="10" s="1"/>
  <c r="G54" i="10"/>
  <c r="J53" i="10" s="1"/>
  <c r="G116" i="10"/>
  <c r="J115" i="10" s="1"/>
  <c r="G148" i="10"/>
  <c r="J147" i="10"/>
  <c r="B84" i="10"/>
  <c r="C84" i="10" s="1"/>
  <c r="B83" i="10"/>
  <c r="C83" i="10" s="1"/>
  <c r="J146" i="10"/>
  <c r="J24" i="10"/>
  <c r="G25" i="10"/>
  <c r="J114" i="10"/>
  <c r="G87" i="10"/>
  <c r="J86" i="10"/>
  <c r="B117" i="9"/>
  <c r="C117" i="9" s="1"/>
  <c r="B21" i="9"/>
  <c r="C21" i="9" s="1"/>
  <c r="G85" i="9"/>
  <c r="J84" i="9"/>
  <c r="G57" i="9"/>
  <c r="B20" i="9"/>
  <c r="C20" i="9" s="1"/>
  <c r="B19" i="9"/>
  <c r="C19" i="9" s="1"/>
  <c r="J55" i="9"/>
  <c r="G23" i="9"/>
  <c r="J22" i="9"/>
  <c r="J83" i="9"/>
  <c r="G147" i="9"/>
  <c r="J146" i="9"/>
  <c r="B144" i="9"/>
  <c r="C144" i="9" s="1"/>
  <c r="J145" i="9"/>
  <c r="G119" i="9"/>
  <c r="J118" i="9" s="1"/>
  <c r="G116" i="8"/>
  <c r="G54" i="8"/>
  <c r="J53" i="8" s="1"/>
  <c r="G85" i="8"/>
  <c r="J84" i="8"/>
  <c r="G148" i="8"/>
  <c r="G23" i="8"/>
  <c r="J22" i="8"/>
  <c r="J21" i="8"/>
  <c r="J83" i="8"/>
  <c r="J52" i="8"/>
  <c r="B53" i="7"/>
  <c r="C53" i="7" s="1"/>
  <c r="G86" i="7"/>
  <c r="G121" i="7"/>
  <c r="J120" i="7"/>
  <c r="G23" i="7"/>
  <c r="J22" i="7"/>
  <c r="J119" i="7"/>
  <c r="B118" i="7"/>
  <c r="C118" i="7" s="1"/>
  <c r="B117" i="7"/>
  <c r="C117" i="7" s="1"/>
  <c r="J21" i="7"/>
  <c r="J147" i="7"/>
  <c r="G148" i="7"/>
  <c r="G55" i="7"/>
  <c r="J54" i="7"/>
  <c r="B114" i="6"/>
  <c r="C114" i="6" s="1"/>
  <c r="B52" i="6"/>
  <c r="C52" i="6" s="1"/>
  <c r="B21" i="6"/>
  <c r="C21" i="6" s="1"/>
  <c r="G23" i="6"/>
  <c r="J22" i="6"/>
  <c r="G116" i="6"/>
  <c r="G147" i="6"/>
  <c r="J146" i="6"/>
  <c r="G85" i="6"/>
  <c r="J84" i="6"/>
  <c r="J53" i="6"/>
  <c r="G54" i="6"/>
  <c r="J145" i="6"/>
  <c r="J83" i="6"/>
  <c r="B20" i="6"/>
  <c r="C20" i="6" s="1"/>
  <c r="B51" i="6"/>
  <c r="C51" i="6" s="1"/>
  <c r="B23" i="5"/>
  <c r="C23" i="5" s="1"/>
  <c r="B54" i="5"/>
  <c r="C54" i="5" s="1"/>
  <c r="B118" i="5"/>
  <c r="C118" i="5" s="1"/>
  <c r="G56" i="5"/>
  <c r="G25" i="5"/>
  <c r="J24" i="5"/>
  <c r="G147" i="5"/>
  <c r="J146" i="5"/>
  <c r="J145" i="5"/>
  <c r="J85" i="5"/>
  <c r="G86" i="5"/>
  <c r="B143" i="5"/>
  <c r="C143" i="5" s="1"/>
  <c r="G120" i="5"/>
  <c r="J119" i="5" s="1"/>
  <c r="B85" i="4"/>
  <c r="C85" i="4" s="1"/>
  <c r="B21" i="4"/>
  <c r="C21" i="4" s="1"/>
  <c r="B146" i="4"/>
  <c r="C146" i="4" s="1"/>
  <c r="B52" i="4"/>
  <c r="C52" i="4" s="1"/>
  <c r="B117" i="4"/>
  <c r="C117" i="4" s="1"/>
  <c r="J53" i="4"/>
  <c r="G54" i="4"/>
  <c r="B20" i="4"/>
  <c r="C20" i="4" s="1"/>
  <c r="B19" i="4"/>
  <c r="C19" i="4" s="1"/>
  <c r="G148" i="4"/>
  <c r="G119" i="4"/>
  <c r="J118" i="4"/>
  <c r="B84" i="4"/>
  <c r="C84" i="4" s="1"/>
  <c r="B83" i="4"/>
  <c r="C83" i="4" s="1"/>
  <c r="G87" i="4"/>
  <c r="G23" i="4"/>
  <c r="J22" i="4"/>
  <c r="B116" i="4"/>
  <c r="C116" i="4" s="1"/>
  <c r="B115" i="4"/>
  <c r="C115" i="4" s="1"/>
  <c r="B55" i="3"/>
  <c r="C55" i="3" s="1"/>
  <c r="B85" i="3"/>
  <c r="C85" i="3" s="1"/>
  <c r="B114" i="3"/>
  <c r="C114" i="3" s="1"/>
  <c r="G87" i="3"/>
  <c r="B84" i="3"/>
  <c r="C84" i="3" s="1"/>
  <c r="G116" i="3"/>
  <c r="G148" i="3"/>
  <c r="J147" i="3"/>
  <c r="G24" i="3"/>
  <c r="J23" i="3"/>
  <c r="G57" i="3"/>
  <c r="J56" i="3"/>
  <c r="B114" i="2"/>
  <c r="C114" i="2" s="1"/>
  <c r="B52" i="2"/>
  <c r="C52" i="2" s="1"/>
  <c r="B145" i="2"/>
  <c r="C145" i="2" s="1"/>
  <c r="G87" i="2"/>
  <c r="J86" i="2"/>
  <c r="G54" i="2"/>
  <c r="J53" i="2" s="1"/>
  <c r="J115" i="2"/>
  <c r="G116" i="2"/>
  <c r="G23" i="2"/>
  <c r="J22" i="2"/>
  <c r="J21" i="2"/>
  <c r="G147" i="2"/>
  <c r="J85" i="2"/>
  <c r="K145" i="1"/>
  <c r="B145" i="1" s="1"/>
  <c r="C145" i="1" s="1"/>
  <c r="G147" i="1"/>
  <c r="G116" i="1"/>
  <c r="J115" i="1"/>
  <c r="J114" i="1"/>
  <c r="G85" i="1"/>
  <c r="J84" i="1"/>
  <c r="J83" i="1"/>
  <c r="B82" i="1"/>
  <c r="C82" i="1" s="1"/>
  <c r="K52" i="1"/>
  <c r="B52" i="1" s="1"/>
  <c r="C52" i="1" s="1"/>
  <c r="K53" i="1"/>
  <c r="G55" i="1"/>
  <c r="B51" i="1"/>
  <c r="C51" i="1" s="1"/>
  <c r="G21" i="1"/>
  <c r="J19" i="1"/>
  <c r="K114" i="1" a="1"/>
  <c r="K84" i="1" a="1"/>
  <c r="K83" i="1" a="1"/>
  <c r="K19" i="1" a="1"/>
  <c r="K115" i="1" a="1"/>
  <c r="B18" i="1" l="1"/>
  <c r="C18" i="1" s="1"/>
  <c r="B87" i="16"/>
  <c r="C87" i="16" s="1"/>
  <c r="B88" i="16"/>
  <c r="C88" i="16" s="1"/>
  <c r="B146" i="16"/>
  <c r="C146" i="16" s="1"/>
  <c r="G117" i="16"/>
  <c r="J116" i="16"/>
  <c r="G25" i="16"/>
  <c r="J23" i="16"/>
  <c r="G55" i="16"/>
  <c r="J54" i="16"/>
  <c r="J53" i="16"/>
  <c r="G90" i="16"/>
  <c r="J89" i="16"/>
  <c r="J115" i="16"/>
  <c r="G149" i="16"/>
  <c r="J148" i="16"/>
  <c r="B145" i="16"/>
  <c r="C145" i="16" s="1"/>
  <c r="G92" i="15"/>
  <c r="J91" i="15"/>
  <c r="G60" i="15"/>
  <c r="J59" i="15"/>
  <c r="G25" i="15"/>
  <c r="J24" i="15"/>
  <c r="J119" i="15"/>
  <c r="G120" i="15"/>
  <c r="G150" i="15"/>
  <c r="J23" i="15"/>
  <c r="B22" i="15"/>
  <c r="C22" i="15" s="1"/>
  <c r="B21" i="15"/>
  <c r="C21" i="15" s="1"/>
  <c r="B84" i="14"/>
  <c r="C84" i="14" s="1"/>
  <c r="B115" i="14"/>
  <c r="C115" i="14" s="1"/>
  <c r="G26" i="14"/>
  <c r="B146" i="14"/>
  <c r="C146" i="14" s="1"/>
  <c r="G86" i="14"/>
  <c r="G55" i="14"/>
  <c r="J54" i="14"/>
  <c r="J149" i="14"/>
  <c r="G150" i="14"/>
  <c r="J53" i="14"/>
  <c r="G117" i="14"/>
  <c r="J116" i="14"/>
  <c r="B147" i="13"/>
  <c r="C147" i="13" s="1"/>
  <c r="B115" i="13"/>
  <c r="C115" i="13" s="1"/>
  <c r="B56" i="13"/>
  <c r="C56" i="13" s="1"/>
  <c r="G58" i="13"/>
  <c r="J57" i="13"/>
  <c r="G87" i="13"/>
  <c r="J86" i="13"/>
  <c r="G117" i="13"/>
  <c r="G25" i="13"/>
  <c r="G149" i="13"/>
  <c r="J23" i="13"/>
  <c r="B117" i="12"/>
  <c r="C117" i="12" s="1"/>
  <c r="B23" i="12"/>
  <c r="C23" i="12" s="1"/>
  <c r="B84" i="12"/>
  <c r="C84" i="12" s="1"/>
  <c r="G57" i="12"/>
  <c r="J56" i="12"/>
  <c r="B116" i="12"/>
  <c r="C116" i="12" s="1"/>
  <c r="G86" i="12"/>
  <c r="G119" i="12"/>
  <c r="J118" i="12"/>
  <c r="G25" i="12"/>
  <c r="J55" i="12"/>
  <c r="G148" i="12"/>
  <c r="B23" i="11"/>
  <c r="C23" i="11" s="1"/>
  <c r="B117" i="11"/>
  <c r="C117" i="11" s="1"/>
  <c r="B84" i="11"/>
  <c r="C84" i="11" s="1"/>
  <c r="B83" i="11"/>
  <c r="C83" i="11" s="1"/>
  <c r="G87" i="11"/>
  <c r="J86" i="11"/>
  <c r="J85" i="11"/>
  <c r="G56" i="11"/>
  <c r="J55" i="11" s="1"/>
  <c r="B116" i="11"/>
  <c r="C116" i="11" s="1"/>
  <c r="G148" i="11"/>
  <c r="G25" i="11"/>
  <c r="J24" i="11"/>
  <c r="G119" i="11"/>
  <c r="J118" i="11"/>
  <c r="B22" i="11"/>
  <c r="C22" i="11" s="1"/>
  <c r="B21" i="11"/>
  <c r="C21" i="11" s="1"/>
  <c r="B53" i="10"/>
  <c r="C53" i="10" s="1"/>
  <c r="B24" i="10"/>
  <c r="C24" i="10" s="1"/>
  <c r="B86" i="10"/>
  <c r="C86" i="10" s="1"/>
  <c r="G88" i="10"/>
  <c r="G117" i="10"/>
  <c r="J116" i="10"/>
  <c r="G55" i="10"/>
  <c r="J54" i="10"/>
  <c r="B52" i="10"/>
  <c r="C52" i="10" s="1"/>
  <c r="B51" i="10"/>
  <c r="C51" i="10" s="1"/>
  <c r="G149" i="10"/>
  <c r="J148" i="10"/>
  <c r="G26" i="10"/>
  <c r="J25" i="10"/>
  <c r="B118" i="9"/>
  <c r="C118" i="9" s="1"/>
  <c r="B22" i="9"/>
  <c r="C22" i="9" s="1"/>
  <c r="G24" i="9"/>
  <c r="J23" i="9" s="1"/>
  <c r="G58" i="9"/>
  <c r="G120" i="9"/>
  <c r="G86" i="9"/>
  <c r="J56" i="9"/>
  <c r="J147" i="9"/>
  <c r="G148" i="9"/>
  <c r="G149" i="8"/>
  <c r="J148" i="8"/>
  <c r="G86" i="8"/>
  <c r="G24" i="8"/>
  <c r="J147" i="8"/>
  <c r="G117" i="8"/>
  <c r="J116" i="8"/>
  <c r="G55" i="8"/>
  <c r="B146" i="8"/>
  <c r="C146" i="8" s="1"/>
  <c r="B145" i="8"/>
  <c r="C145" i="8" s="1"/>
  <c r="J115" i="8"/>
  <c r="B114" i="8"/>
  <c r="C114" i="8" s="1"/>
  <c r="B113" i="8"/>
  <c r="C113" i="8" s="1"/>
  <c r="B54" i="7"/>
  <c r="C54" i="7" s="1"/>
  <c r="B147" i="7"/>
  <c r="C147" i="7" s="1"/>
  <c r="G24" i="7"/>
  <c r="G122" i="7"/>
  <c r="J121" i="7"/>
  <c r="B84" i="7"/>
  <c r="C84" i="7" s="1"/>
  <c r="B83" i="7"/>
  <c r="C83" i="7" s="1"/>
  <c r="G149" i="7"/>
  <c r="G87" i="7"/>
  <c r="J85" i="7"/>
  <c r="B146" i="7"/>
  <c r="C146" i="7" s="1"/>
  <c r="B145" i="7"/>
  <c r="C145" i="7" s="1"/>
  <c r="G56" i="7"/>
  <c r="B53" i="6"/>
  <c r="C53" i="6" s="1"/>
  <c r="B22" i="6"/>
  <c r="C22" i="6" s="1"/>
  <c r="G148" i="6"/>
  <c r="J147" i="6" s="1"/>
  <c r="G117" i="6"/>
  <c r="J116" i="6"/>
  <c r="G24" i="6"/>
  <c r="G86" i="6"/>
  <c r="J115" i="6"/>
  <c r="G55" i="6"/>
  <c r="J54" i="6"/>
  <c r="B119" i="5"/>
  <c r="C119" i="5" s="1"/>
  <c r="B24" i="5"/>
  <c r="C24" i="5" s="1"/>
  <c r="B85" i="5"/>
  <c r="C85" i="5" s="1"/>
  <c r="G148" i="5"/>
  <c r="G26" i="5"/>
  <c r="B84" i="5"/>
  <c r="C84" i="5" s="1"/>
  <c r="B83" i="5"/>
  <c r="C83" i="5" s="1"/>
  <c r="B144" i="5"/>
  <c r="C144" i="5" s="1"/>
  <c r="G87" i="5"/>
  <c r="G57" i="5"/>
  <c r="J56" i="5"/>
  <c r="J55" i="5"/>
  <c r="G121" i="5"/>
  <c r="J120" i="5" s="1"/>
  <c r="B118" i="4"/>
  <c r="C118" i="4" s="1"/>
  <c r="B53" i="4"/>
  <c r="C53" i="4" s="1"/>
  <c r="G88" i="4"/>
  <c r="J87" i="4"/>
  <c r="J86" i="4"/>
  <c r="G120" i="4"/>
  <c r="G149" i="4"/>
  <c r="J148" i="4" s="1"/>
  <c r="G55" i="4"/>
  <c r="J54" i="4"/>
  <c r="J23" i="4"/>
  <c r="G24" i="4"/>
  <c r="J147" i="4"/>
  <c r="B23" i="3"/>
  <c r="C23" i="3" s="1"/>
  <c r="B147" i="3"/>
  <c r="C147" i="3" s="1"/>
  <c r="B56" i="3"/>
  <c r="C56" i="3" s="1"/>
  <c r="G117" i="3"/>
  <c r="J116" i="3"/>
  <c r="J115" i="3"/>
  <c r="G149" i="3"/>
  <c r="J148" i="3"/>
  <c r="G88" i="3"/>
  <c r="B22" i="3"/>
  <c r="C22" i="3" s="1"/>
  <c r="B21" i="3"/>
  <c r="C21" i="3" s="1"/>
  <c r="J86" i="3"/>
  <c r="B146" i="3"/>
  <c r="C146" i="3" s="1"/>
  <c r="B145" i="3"/>
  <c r="C145" i="3" s="1"/>
  <c r="G58" i="3"/>
  <c r="J57" i="3"/>
  <c r="G25" i="3"/>
  <c r="B53" i="2"/>
  <c r="C53" i="2" s="1"/>
  <c r="B115" i="2"/>
  <c r="C115" i="2" s="1"/>
  <c r="G117" i="2"/>
  <c r="J116" i="2"/>
  <c r="G148" i="2"/>
  <c r="G24" i="2"/>
  <c r="G55" i="2"/>
  <c r="J54" i="2"/>
  <c r="J87" i="2"/>
  <c r="G88" i="2"/>
  <c r="J146" i="2"/>
  <c r="G148" i="1"/>
  <c r="J146" i="1"/>
  <c r="K114" i="1"/>
  <c r="K115" i="1"/>
  <c r="G117" i="1"/>
  <c r="K83" i="1"/>
  <c r="K84" i="1"/>
  <c r="G86" i="1"/>
  <c r="G56" i="1"/>
  <c r="J55" i="1"/>
  <c r="J54" i="1"/>
  <c r="B53" i="1"/>
  <c r="C53" i="1" s="1"/>
  <c r="K19" i="1"/>
  <c r="G22" i="1"/>
  <c r="J20" i="1"/>
  <c r="K55" i="1" a="1"/>
  <c r="K20" i="1" a="1"/>
  <c r="K54" i="1" a="1"/>
  <c r="K146" i="1" a="1"/>
  <c r="B148" i="14" l="1"/>
  <c r="C148" i="14" s="1"/>
  <c r="B89" i="16"/>
  <c r="C89" i="16" s="1"/>
  <c r="B148" i="16"/>
  <c r="C148" i="16" s="1"/>
  <c r="B54" i="16"/>
  <c r="C54" i="16" s="1"/>
  <c r="G91" i="16"/>
  <c r="J90" i="16"/>
  <c r="G26" i="16"/>
  <c r="J25" i="16"/>
  <c r="G150" i="16"/>
  <c r="B147" i="16"/>
  <c r="C147" i="16" s="1"/>
  <c r="J117" i="16"/>
  <c r="G118" i="16"/>
  <c r="B147" i="14"/>
  <c r="C147" i="14" s="1"/>
  <c r="B52" i="16"/>
  <c r="C52" i="16" s="1"/>
  <c r="G56" i="16"/>
  <c r="J55" i="16" s="1"/>
  <c r="J24" i="16"/>
  <c r="B59" i="15"/>
  <c r="C59" i="15" s="1"/>
  <c r="B119" i="15"/>
  <c r="C119" i="15" s="1"/>
  <c r="B91" i="15"/>
  <c r="C91" i="15" s="1"/>
  <c r="G61" i="15"/>
  <c r="J60" i="15" s="1"/>
  <c r="G93" i="15"/>
  <c r="G151" i="15"/>
  <c r="J149" i="15"/>
  <c r="G26" i="15"/>
  <c r="B58" i="15"/>
  <c r="C58" i="15" s="1"/>
  <c r="B57" i="15"/>
  <c r="C57" i="15" s="1"/>
  <c r="B118" i="15"/>
  <c r="C118" i="15" s="1"/>
  <c r="B117" i="15"/>
  <c r="C117" i="15" s="1"/>
  <c r="B90" i="15"/>
  <c r="C90" i="15" s="1"/>
  <c r="B89" i="15"/>
  <c r="C89" i="15" s="1"/>
  <c r="G121" i="15"/>
  <c r="J120" i="15" s="1"/>
  <c r="B148" i="15"/>
  <c r="C148" i="15" s="1"/>
  <c r="B147" i="15"/>
  <c r="C147" i="15" s="1"/>
  <c r="B116" i="14"/>
  <c r="C116" i="14" s="1"/>
  <c r="B149" i="14"/>
  <c r="C149" i="14" s="1"/>
  <c r="G27" i="14"/>
  <c r="J26" i="14"/>
  <c r="G87" i="14"/>
  <c r="J86" i="14"/>
  <c r="G118" i="14"/>
  <c r="G56" i="14"/>
  <c r="J55" i="14" s="1"/>
  <c r="J85" i="14"/>
  <c r="J25" i="14"/>
  <c r="B24" i="14"/>
  <c r="C24" i="14" s="1"/>
  <c r="B23" i="14"/>
  <c r="C23" i="14" s="1"/>
  <c r="G151" i="14"/>
  <c r="J150" i="14"/>
  <c r="B57" i="13"/>
  <c r="C57" i="13" s="1"/>
  <c r="B86" i="13"/>
  <c r="C86" i="13" s="1"/>
  <c r="G26" i="13"/>
  <c r="J25" i="13"/>
  <c r="B85" i="13"/>
  <c r="C85" i="13" s="1"/>
  <c r="B84" i="13"/>
  <c r="C84" i="13" s="1"/>
  <c r="J24" i="13"/>
  <c r="G118" i="13"/>
  <c r="J117" i="13"/>
  <c r="J116" i="13"/>
  <c r="G88" i="13"/>
  <c r="J87" i="13"/>
  <c r="G59" i="13"/>
  <c r="G150" i="13"/>
  <c r="J149" i="13"/>
  <c r="J148" i="13"/>
  <c r="B118" i="12"/>
  <c r="C118" i="12" s="1"/>
  <c r="G58" i="12"/>
  <c r="J57" i="12" s="1"/>
  <c r="G149" i="12"/>
  <c r="J148" i="12"/>
  <c r="G87" i="12"/>
  <c r="J86" i="12"/>
  <c r="J147" i="12"/>
  <c r="B146" i="12"/>
  <c r="C146" i="12" s="1"/>
  <c r="B145" i="12"/>
  <c r="C145" i="12" s="1"/>
  <c r="G120" i="12"/>
  <c r="G26" i="12"/>
  <c r="J85" i="12"/>
  <c r="J24" i="12"/>
  <c r="B55" i="11"/>
  <c r="C55" i="11" s="1"/>
  <c r="B118" i="11"/>
  <c r="C118" i="11" s="1"/>
  <c r="B24" i="11"/>
  <c r="C24" i="11" s="1"/>
  <c r="G88" i="11"/>
  <c r="J87" i="11" s="1"/>
  <c r="G120" i="11"/>
  <c r="G26" i="11"/>
  <c r="B146" i="11"/>
  <c r="C146" i="11" s="1"/>
  <c r="B145" i="11"/>
  <c r="C145" i="11" s="1"/>
  <c r="G149" i="11"/>
  <c r="J148" i="11"/>
  <c r="B54" i="11"/>
  <c r="C54" i="11" s="1"/>
  <c r="B53" i="11"/>
  <c r="C53" i="11" s="1"/>
  <c r="B146" i="5"/>
  <c r="C146" i="5" s="1"/>
  <c r="J147" i="11"/>
  <c r="G57" i="11"/>
  <c r="J56" i="11"/>
  <c r="B116" i="10"/>
  <c r="C116" i="10" s="1"/>
  <c r="B54" i="10"/>
  <c r="C54" i="10" s="1"/>
  <c r="B25" i="10"/>
  <c r="C25" i="10" s="1"/>
  <c r="G118" i="10"/>
  <c r="J117" i="10" s="1"/>
  <c r="B115" i="10"/>
  <c r="C115" i="10" s="1"/>
  <c r="B114" i="10"/>
  <c r="C114" i="10" s="1"/>
  <c r="G27" i="10"/>
  <c r="G56" i="10"/>
  <c r="G89" i="10"/>
  <c r="J88" i="10"/>
  <c r="J87" i="10"/>
  <c r="B147" i="10"/>
  <c r="C147" i="10" s="1"/>
  <c r="B146" i="10"/>
  <c r="C146" i="10" s="1"/>
  <c r="G150" i="10"/>
  <c r="B23" i="9"/>
  <c r="C23" i="9" s="1"/>
  <c r="B147" i="9"/>
  <c r="C147" i="9" s="1"/>
  <c r="B56" i="9"/>
  <c r="C56" i="9" s="1"/>
  <c r="G87" i="9"/>
  <c r="J86" i="9"/>
  <c r="G121" i="9"/>
  <c r="J120" i="9" s="1"/>
  <c r="J85" i="9"/>
  <c r="G25" i="9"/>
  <c r="J24" i="9"/>
  <c r="B55" i="9"/>
  <c r="C55" i="9" s="1"/>
  <c r="G149" i="9"/>
  <c r="J148" i="9"/>
  <c r="B146" i="9"/>
  <c r="C146" i="9" s="1"/>
  <c r="B145" i="9"/>
  <c r="C145" i="9" s="1"/>
  <c r="J119" i="9"/>
  <c r="G59" i="9"/>
  <c r="J58" i="9"/>
  <c r="J57" i="9"/>
  <c r="B84" i="9"/>
  <c r="C84" i="9" s="1"/>
  <c r="B83" i="9"/>
  <c r="C83" i="9" s="1"/>
  <c r="G56" i="8"/>
  <c r="G118" i="8"/>
  <c r="G87" i="8"/>
  <c r="J86" i="8"/>
  <c r="B22" i="8"/>
  <c r="C22" i="8" s="1"/>
  <c r="B21" i="8"/>
  <c r="C21" i="8" s="1"/>
  <c r="G25" i="8"/>
  <c r="J24" i="8"/>
  <c r="J23" i="8"/>
  <c r="J85" i="8"/>
  <c r="J149" i="8"/>
  <c r="G150" i="8"/>
  <c r="B53" i="8"/>
  <c r="C53" i="8" s="1"/>
  <c r="B52" i="8"/>
  <c r="C52" i="8" s="1"/>
  <c r="B84" i="8"/>
  <c r="C84" i="8" s="1"/>
  <c r="B83" i="8"/>
  <c r="C83" i="8" s="1"/>
  <c r="J54" i="8"/>
  <c r="B121" i="7"/>
  <c r="C121" i="7" s="1"/>
  <c r="G150" i="7"/>
  <c r="J149" i="7" s="1"/>
  <c r="G57" i="7"/>
  <c r="J56" i="7" s="1"/>
  <c r="B120" i="7"/>
  <c r="C120" i="7" s="1"/>
  <c r="B119" i="7"/>
  <c r="C119" i="7" s="1"/>
  <c r="G25" i="7"/>
  <c r="J24" i="7"/>
  <c r="J55" i="7"/>
  <c r="G88" i="7"/>
  <c r="J148" i="7"/>
  <c r="G123" i="7"/>
  <c r="J122" i="7" s="1"/>
  <c r="J23" i="7"/>
  <c r="B145" i="5"/>
  <c r="C145" i="5" s="1"/>
  <c r="J86" i="7"/>
  <c r="B22" i="7"/>
  <c r="C22" i="7" s="1"/>
  <c r="B21" i="7"/>
  <c r="C21" i="7" s="1"/>
  <c r="B147" i="6"/>
  <c r="C147" i="6" s="1"/>
  <c r="B54" i="6"/>
  <c r="C54" i="6" s="1"/>
  <c r="G25" i="6"/>
  <c r="J24" i="6"/>
  <c r="B84" i="6"/>
  <c r="C84" i="6" s="1"/>
  <c r="B83" i="6"/>
  <c r="C83" i="6" s="1"/>
  <c r="G87" i="6"/>
  <c r="J86" i="6"/>
  <c r="G118" i="6"/>
  <c r="J117" i="6" s="1"/>
  <c r="B146" i="6"/>
  <c r="C146" i="6" s="1"/>
  <c r="B145" i="6"/>
  <c r="C145" i="6" s="1"/>
  <c r="J85" i="6"/>
  <c r="J23" i="6"/>
  <c r="G56" i="6"/>
  <c r="G149" i="6"/>
  <c r="J148" i="6"/>
  <c r="B120" i="5"/>
  <c r="C120" i="5" s="1"/>
  <c r="G88" i="5"/>
  <c r="G27" i="5"/>
  <c r="J26" i="5"/>
  <c r="J25" i="5"/>
  <c r="G149" i="5"/>
  <c r="J148" i="5"/>
  <c r="G122" i="5"/>
  <c r="J121" i="5"/>
  <c r="J147" i="5"/>
  <c r="J57" i="5"/>
  <c r="G58" i="5"/>
  <c r="J86" i="5"/>
  <c r="B23" i="4"/>
  <c r="C23" i="4" s="1"/>
  <c r="B54" i="4"/>
  <c r="C54" i="4" s="1"/>
  <c r="G25" i="4"/>
  <c r="J24" i="4"/>
  <c r="G56" i="4"/>
  <c r="J55" i="4"/>
  <c r="G150" i="4"/>
  <c r="G121" i="4"/>
  <c r="J120" i="4" s="1"/>
  <c r="J119" i="4"/>
  <c r="J88" i="4"/>
  <c r="G89" i="4"/>
  <c r="B22" i="4"/>
  <c r="C22" i="4" s="1"/>
  <c r="B57" i="3"/>
  <c r="C57" i="3" s="1"/>
  <c r="J25" i="3"/>
  <c r="G26" i="3"/>
  <c r="G89" i="3"/>
  <c r="J88" i="3"/>
  <c r="J24" i="3"/>
  <c r="G118" i="3"/>
  <c r="J117" i="3" s="1"/>
  <c r="J87" i="3"/>
  <c r="J149" i="3"/>
  <c r="G150" i="3"/>
  <c r="G59" i="3"/>
  <c r="B54" i="2"/>
  <c r="C54" i="2" s="1"/>
  <c r="B116" i="2"/>
  <c r="C116" i="2" s="1"/>
  <c r="B87" i="2"/>
  <c r="C87" i="2" s="1"/>
  <c r="G25" i="2"/>
  <c r="J24" i="2"/>
  <c r="G149" i="2"/>
  <c r="J148" i="2"/>
  <c r="B22" i="2"/>
  <c r="C22" i="2" s="1"/>
  <c r="B21" i="2"/>
  <c r="C21" i="2" s="1"/>
  <c r="J147" i="2"/>
  <c r="B86" i="2"/>
  <c r="C86" i="2" s="1"/>
  <c r="B85" i="2"/>
  <c r="C85" i="2" s="1"/>
  <c r="J55" i="2"/>
  <c r="G56" i="2"/>
  <c r="G118" i="2"/>
  <c r="J88" i="2"/>
  <c r="G89" i="2"/>
  <c r="J23" i="2"/>
  <c r="K146" i="1"/>
  <c r="G149" i="1"/>
  <c r="J148" i="1"/>
  <c r="J147" i="1"/>
  <c r="G118" i="1"/>
  <c r="J117" i="1"/>
  <c r="J116" i="1"/>
  <c r="B115" i="1"/>
  <c r="C115" i="1" s="1"/>
  <c r="B114" i="1"/>
  <c r="C114" i="1" s="1"/>
  <c r="G87" i="1"/>
  <c r="J86" i="1"/>
  <c r="J85" i="1"/>
  <c r="B84" i="1"/>
  <c r="C84" i="1" s="1"/>
  <c r="B83" i="1"/>
  <c r="C83" i="1" s="1"/>
  <c r="K54" i="1"/>
  <c r="K55" i="1"/>
  <c r="G57" i="1"/>
  <c r="K20" i="1"/>
  <c r="G23" i="1"/>
  <c r="J21" i="1"/>
  <c r="B19" i="1"/>
  <c r="C19" i="1" s="1"/>
  <c r="K85" i="1" a="1"/>
  <c r="K147" i="1" a="1"/>
  <c r="K21" i="1" a="1"/>
  <c r="K86" i="1" a="1"/>
  <c r="K117" i="1" a="1"/>
  <c r="K148" i="1" a="1"/>
  <c r="K116" i="1" a="1"/>
  <c r="B20" i="1" l="1"/>
  <c r="C20" i="1" s="1"/>
  <c r="B55" i="16"/>
  <c r="C55" i="16" s="1"/>
  <c r="B117" i="16"/>
  <c r="C117" i="16" s="1"/>
  <c r="B90" i="16"/>
  <c r="C90" i="16" s="1"/>
  <c r="G151" i="16"/>
  <c r="J150" i="16"/>
  <c r="J149" i="16"/>
  <c r="B116" i="16"/>
  <c r="C116" i="16" s="1"/>
  <c r="B115" i="16"/>
  <c r="C115" i="16" s="1"/>
  <c r="B53" i="16"/>
  <c r="C53" i="16" s="1"/>
  <c r="G27" i="16"/>
  <c r="J26" i="16" s="1"/>
  <c r="J56" i="16"/>
  <c r="G57" i="16"/>
  <c r="G92" i="16"/>
  <c r="J91" i="16"/>
  <c r="B23" i="16"/>
  <c r="C23" i="16" s="1"/>
  <c r="G119" i="16"/>
  <c r="J118" i="16"/>
  <c r="B60" i="15"/>
  <c r="C60" i="15" s="1"/>
  <c r="B120" i="15"/>
  <c r="C120" i="15" s="1"/>
  <c r="G152" i="15"/>
  <c r="J151" i="15"/>
  <c r="J150" i="15"/>
  <c r="B24" i="15"/>
  <c r="C24" i="15" s="1"/>
  <c r="B23" i="15"/>
  <c r="C23" i="15" s="1"/>
  <c r="G27" i="15"/>
  <c r="J25" i="15"/>
  <c r="G122" i="15"/>
  <c r="J121" i="15"/>
  <c r="G94" i="15"/>
  <c r="J94" i="15" s="1"/>
  <c r="J93" i="15"/>
  <c r="J92" i="15"/>
  <c r="G62" i="15"/>
  <c r="J61" i="15"/>
  <c r="B55" i="14"/>
  <c r="C55" i="14" s="1"/>
  <c r="B150" i="14"/>
  <c r="C150" i="14" s="1"/>
  <c r="G119" i="14"/>
  <c r="J118" i="14"/>
  <c r="G152" i="14"/>
  <c r="J151" i="14"/>
  <c r="B54" i="14"/>
  <c r="C54" i="14" s="1"/>
  <c r="B53" i="14"/>
  <c r="C53" i="14" s="1"/>
  <c r="G57" i="14"/>
  <c r="J56" i="14"/>
  <c r="J117" i="14"/>
  <c r="G88" i="14"/>
  <c r="G28" i="14"/>
  <c r="J27" i="14"/>
  <c r="B87" i="13"/>
  <c r="C87" i="13" s="1"/>
  <c r="B24" i="13"/>
  <c r="C24" i="13" s="1"/>
  <c r="G89" i="13"/>
  <c r="J88" i="13" s="1"/>
  <c r="G27" i="13"/>
  <c r="J26" i="13"/>
  <c r="B23" i="13"/>
  <c r="C23" i="13" s="1"/>
  <c r="G60" i="13"/>
  <c r="J59" i="13"/>
  <c r="G119" i="13"/>
  <c r="G151" i="13"/>
  <c r="J150" i="13"/>
  <c r="J58" i="13"/>
  <c r="B57" i="12"/>
  <c r="C57" i="12" s="1"/>
  <c r="G121" i="12"/>
  <c r="J120" i="12"/>
  <c r="G150" i="12"/>
  <c r="B56" i="12"/>
  <c r="C56" i="12" s="1"/>
  <c r="B55" i="12"/>
  <c r="C55" i="12" s="1"/>
  <c r="G88" i="12"/>
  <c r="G59" i="12"/>
  <c r="J58" i="12"/>
  <c r="G27" i="12"/>
  <c r="J26" i="12"/>
  <c r="J119" i="12"/>
  <c r="J25" i="12"/>
  <c r="B87" i="11"/>
  <c r="C87" i="11" s="1"/>
  <c r="B56" i="11"/>
  <c r="C56" i="11" s="1"/>
  <c r="G27" i="11"/>
  <c r="J26" i="11"/>
  <c r="G58" i="11"/>
  <c r="G150" i="11"/>
  <c r="J149" i="11" s="1"/>
  <c r="G121" i="11"/>
  <c r="J120" i="11"/>
  <c r="J119" i="11"/>
  <c r="B86" i="11"/>
  <c r="C86" i="11" s="1"/>
  <c r="B85" i="11"/>
  <c r="C85" i="11" s="1"/>
  <c r="J25" i="11"/>
  <c r="G89" i="11"/>
  <c r="J88" i="11"/>
  <c r="B117" i="10"/>
  <c r="C117" i="10" s="1"/>
  <c r="G57" i="10"/>
  <c r="J56" i="10" s="1"/>
  <c r="G28" i="10"/>
  <c r="J27" i="10"/>
  <c r="J55" i="10"/>
  <c r="J26" i="10"/>
  <c r="G151" i="10"/>
  <c r="J150" i="10"/>
  <c r="B148" i="10"/>
  <c r="C148" i="10" s="1"/>
  <c r="J149" i="10"/>
  <c r="G90" i="10"/>
  <c r="J89" i="10"/>
  <c r="G119" i="10"/>
  <c r="J118" i="10"/>
  <c r="B148" i="9"/>
  <c r="C148" i="9" s="1"/>
  <c r="B24" i="9"/>
  <c r="C24" i="9" s="1"/>
  <c r="G150" i="9"/>
  <c r="J149" i="9" s="1"/>
  <c r="G88" i="9"/>
  <c r="J87" i="9" s="1"/>
  <c r="G26" i="9"/>
  <c r="J25" i="9" s="1"/>
  <c r="G60" i="9"/>
  <c r="J59" i="9"/>
  <c r="G122" i="9"/>
  <c r="J121" i="9"/>
  <c r="G57" i="8"/>
  <c r="J56" i="8"/>
  <c r="G26" i="8"/>
  <c r="G119" i="8"/>
  <c r="J118" i="8"/>
  <c r="G88" i="8"/>
  <c r="J87" i="8" s="1"/>
  <c r="J117" i="8"/>
  <c r="J55" i="8"/>
  <c r="B116" i="8"/>
  <c r="C116" i="8" s="1"/>
  <c r="B115" i="8"/>
  <c r="C115" i="8" s="1"/>
  <c r="G151" i="8"/>
  <c r="J150" i="8"/>
  <c r="B148" i="8"/>
  <c r="C148" i="8" s="1"/>
  <c r="B147" i="8"/>
  <c r="C147" i="8" s="1"/>
  <c r="B122" i="7"/>
  <c r="C122" i="7" s="1"/>
  <c r="B86" i="7"/>
  <c r="C86" i="7" s="1"/>
  <c r="G89" i="7"/>
  <c r="J88" i="7"/>
  <c r="G26" i="7"/>
  <c r="J87" i="7"/>
  <c r="G58" i="7"/>
  <c r="J57" i="7"/>
  <c r="G124" i="7"/>
  <c r="G151" i="7"/>
  <c r="J150" i="7"/>
  <c r="B85" i="7"/>
  <c r="C85" i="7" s="1"/>
  <c r="B117" i="6"/>
  <c r="C117" i="6" s="1"/>
  <c r="B148" i="6"/>
  <c r="C148" i="6" s="1"/>
  <c r="J87" i="6"/>
  <c r="G88" i="6"/>
  <c r="G26" i="6"/>
  <c r="J25" i="6" s="1"/>
  <c r="G119" i="6"/>
  <c r="J118" i="6"/>
  <c r="G57" i="6"/>
  <c r="J56" i="6"/>
  <c r="B116" i="6"/>
  <c r="C116" i="6" s="1"/>
  <c r="B115" i="6"/>
  <c r="C115" i="6" s="1"/>
  <c r="J149" i="6"/>
  <c r="G150" i="6"/>
  <c r="J55" i="6"/>
  <c r="B57" i="5"/>
  <c r="C57" i="5" s="1"/>
  <c r="B121" i="5"/>
  <c r="C121" i="5" s="1"/>
  <c r="G123" i="5"/>
  <c r="J122" i="5" s="1"/>
  <c r="G28" i="5"/>
  <c r="J27" i="5"/>
  <c r="G89" i="5"/>
  <c r="J88" i="5"/>
  <c r="G150" i="5"/>
  <c r="J149" i="5" s="1"/>
  <c r="B56" i="5"/>
  <c r="C56" i="5" s="1"/>
  <c r="B55" i="5"/>
  <c r="C55" i="5" s="1"/>
  <c r="J87" i="5"/>
  <c r="G59" i="5"/>
  <c r="J58" i="5"/>
  <c r="B24" i="4"/>
  <c r="C24" i="4" s="1"/>
  <c r="B55" i="4"/>
  <c r="C55" i="4" s="1"/>
  <c r="B88" i="4"/>
  <c r="C88" i="4" s="1"/>
  <c r="G151" i="4"/>
  <c r="J150" i="4"/>
  <c r="J149" i="4"/>
  <c r="B148" i="4"/>
  <c r="C148" i="4" s="1"/>
  <c r="B147" i="4"/>
  <c r="C147" i="4" s="1"/>
  <c r="B87" i="4"/>
  <c r="C87" i="4" s="1"/>
  <c r="B86" i="4"/>
  <c r="C86" i="4" s="1"/>
  <c r="G26" i="4"/>
  <c r="J25" i="4"/>
  <c r="G122" i="4"/>
  <c r="J121" i="4"/>
  <c r="G57" i="4"/>
  <c r="G90" i="4"/>
  <c r="J89" i="4"/>
  <c r="B117" i="3"/>
  <c r="C117" i="3" s="1"/>
  <c r="B149" i="3"/>
  <c r="C149" i="3" s="1"/>
  <c r="G27" i="3"/>
  <c r="J26" i="3" s="1"/>
  <c r="G60" i="3"/>
  <c r="J59" i="3"/>
  <c r="B86" i="3"/>
  <c r="C86" i="3" s="1"/>
  <c r="B148" i="3"/>
  <c r="C148" i="3" s="1"/>
  <c r="G90" i="3"/>
  <c r="J58" i="3"/>
  <c r="B116" i="3"/>
  <c r="C116" i="3" s="1"/>
  <c r="B115" i="3"/>
  <c r="C115" i="3" s="1"/>
  <c r="G119" i="3"/>
  <c r="J118" i="3"/>
  <c r="G151" i="3"/>
  <c r="J150" i="3" s="1"/>
  <c r="B55" i="2"/>
  <c r="C55" i="2" s="1"/>
  <c r="B147" i="2"/>
  <c r="C147" i="2" s="1"/>
  <c r="B88" i="2"/>
  <c r="C88" i="2" s="1"/>
  <c r="G90" i="2"/>
  <c r="J89" i="2"/>
  <c r="G26" i="2"/>
  <c r="J25" i="2" s="1"/>
  <c r="J149" i="2"/>
  <c r="G150" i="2"/>
  <c r="G119" i="2"/>
  <c r="J117" i="2"/>
  <c r="B146" i="2"/>
  <c r="C146" i="2" s="1"/>
  <c r="G57" i="2"/>
  <c r="J56" i="2"/>
  <c r="K147" i="1"/>
  <c r="B147" i="1" s="1"/>
  <c r="C147" i="1" s="1"/>
  <c r="K148" i="1"/>
  <c r="G150" i="1"/>
  <c r="J149" i="1" s="1"/>
  <c r="B146" i="1"/>
  <c r="C146" i="1" s="1"/>
  <c r="K116" i="1"/>
  <c r="K117" i="1"/>
  <c r="G119" i="1"/>
  <c r="K85" i="1"/>
  <c r="K86" i="1"/>
  <c r="G88" i="1"/>
  <c r="G58" i="1"/>
  <c r="J57" i="1"/>
  <c r="J56" i="1"/>
  <c r="B55" i="1"/>
  <c r="C55" i="1" s="1"/>
  <c r="B54" i="1"/>
  <c r="C54" i="1" s="1"/>
  <c r="K21" i="1"/>
  <c r="G24" i="1"/>
  <c r="J23" i="1"/>
  <c r="J22" i="1"/>
  <c r="K56" i="1" a="1"/>
  <c r="K149" i="1" a="1"/>
  <c r="K22" i="1" a="1"/>
  <c r="K57" i="1" a="1"/>
  <c r="K23" i="1" a="1"/>
  <c r="B25" i="16" l="1"/>
  <c r="C25" i="16" s="1"/>
  <c r="B21" i="1"/>
  <c r="C21" i="1" s="1"/>
  <c r="B24" i="16"/>
  <c r="C24" i="16" s="1"/>
  <c r="B26" i="16"/>
  <c r="C26" i="16" s="1"/>
  <c r="B91" i="16"/>
  <c r="C91" i="16" s="1"/>
  <c r="B118" i="16"/>
  <c r="C118" i="16" s="1"/>
  <c r="B56" i="16"/>
  <c r="C56" i="16" s="1"/>
  <c r="G120" i="16"/>
  <c r="J119" i="16"/>
  <c r="G93" i="16"/>
  <c r="G28" i="16"/>
  <c r="J27" i="16"/>
  <c r="G152" i="16"/>
  <c r="J151" i="16"/>
  <c r="G58" i="16"/>
  <c r="J57" i="16"/>
  <c r="B94" i="15"/>
  <c r="C94" i="15" s="1"/>
  <c r="B150" i="15"/>
  <c r="C150" i="15" s="1"/>
  <c r="B61" i="15"/>
  <c r="C61" i="15" s="1"/>
  <c r="B149" i="15"/>
  <c r="C149" i="15" s="1"/>
  <c r="G28" i="15"/>
  <c r="J27" i="15"/>
  <c r="G153" i="15"/>
  <c r="J152" i="15" s="1"/>
  <c r="G63" i="15"/>
  <c r="J63" i="15" s="1"/>
  <c r="J122" i="15"/>
  <c r="G123" i="15"/>
  <c r="J26" i="15"/>
  <c r="B151" i="14"/>
  <c r="C151" i="14" s="1"/>
  <c r="B56" i="14"/>
  <c r="C56" i="14" s="1"/>
  <c r="G153" i="14"/>
  <c r="J152" i="14" s="1"/>
  <c r="G120" i="14"/>
  <c r="G29" i="14"/>
  <c r="J28" i="14"/>
  <c r="G89" i="14"/>
  <c r="B86" i="14"/>
  <c r="C86" i="14" s="1"/>
  <c r="B85" i="14"/>
  <c r="C85" i="14" s="1"/>
  <c r="B26" i="14"/>
  <c r="C26" i="14" s="1"/>
  <c r="B25" i="14"/>
  <c r="C25" i="14" s="1"/>
  <c r="J87" i="14"/>
  <c r="G58" i="14"/>
  <c r="J57" i="14" s="1"/>
  <c r="B88" i="13"/>
  <c r="C88" i="13" s="1"/>
  <c r="B26" i="13"/>
  <c r="C26" i="13" s="1"/>
  <c r="B150" i="13"/>
  <c r="C150" i="13" s="1"/>
  <c r="B25" i="13"/>
  <c r="C25" i="13" s="1"/>
  <c r="B149" i="13"/>
  <c r="C149" i="13" s="1"/>
  <c r="B148" i="13"/>
  <c r="C148" i="13" s="1"/>
  <c r="B117" i="13"/>
  <c r="C117" i="13" s="1"/>
  <c r="B116" i="13"/>
  <c r="C116" i="13" s="1"/>
  <c r="G120" i="13"/>
  <c r="G61" i="13"/>
  <c r="G28" i="13"/>
  <c r="J27" i="13"/>
  <c r="G90" i="13"/>
  <c r="J89" i="13"/>
  <c r="G152" i="13"/>
  <c r="J151" i="13"/>
  <c r="J118" i="13"/>
  <c r="B58" i="12"/>
  <c r="C58" i="12" s="1"/>
  <c r="B26" i="12"/>
  <c r="C26" i="12" s="1"/>
  <c r="B24" i="12"/>
  <c r="C24" i="12" s="1"/>
  <c r="B86" i="12"/>
  <c r="C86" i="12" s="1"/>
  <c r="B85" i="12"/>
  <c r="C85" i="12" s="1"/>
  <c r="G60" i="12"/>
  <c r="J59" i="12"/>
  <c r="G89" i="12"/>
  <c r="J88" i="12"/>
  <c r="J87" i="12"/>
  <c r="G122" i="12"/>
  <c r="J121" i="12"/>
  <c r="B148" i="12"/>
  <c r="C148" i="12" s="1"/>
  <c r="B147" i="12"/>
  <c r="C147" i="12" s="1"/>
  <c r="G151" i="12"/>
  <c r="J150" i="12"/>
  <c r="J149" i="12"/>
  <c r="G28" i="12"/>
  <c r="J27" i="12"/>
  <c r="B149" i="11"/>
  <c r="C149" i="11" s="1"/>
  <c r="B88" i="11"/>
  <c r="C88" i="11" s="1"/>
  <c r="B148" i="11"/>
  <c r="C148" i="11" s="1"/>
  <c r="B147" i="11"/>
  <c r="C147" i="11" s="1"/>
  <c r="G59" i="11"/>
  <c r="G90" i="11"/>
  <c r="J89" i="11"/>
  <c r="G122" i="11"/>
  <c r="G151" i="11"/>
  <c r="J57" i="11"/>
  <c r="G28" i="11"/>
  <c r="J27" i="11"/>
  <c r="B118" i="10"/>
  <c r="C118" i="10" s="1"/>
  <c r="B89" i="10"/>
  <c r="C89" i="10" s="1"/>
  <c r="G152" i="10"/>
  <c r="J151" i="10"/>
  <c r="G29" i="10"/>
  <c r="G120" i="10"/>
  <c r="J119" i="10"/>
  <c r="B88" i="10"/>
  <c r="C88" i="10" s="1"/>
  <c r="B87" i="10"/>
  <c r="C87" i="10" s="1"/>
  <c r="G58" i="10"/>
  <c r="J57" i="10"/>
  <c r="G91" i="10"/>
  <c r="J90" i="10"/>
  <c r="B87" i="9"/>
  <c r="C87" i="9" s="1"/>
  <c r="B25" i="9"/>
  <c r="C25" i="9" s="1"/>
  <c r="B149" i="9"/>
  <c r="C149" i="9" s="1"/>
  <c r="B121" i="9"/>
  <c r="C121" i="9" s="1"/>
  <c r="B59" i="9"/>
  <c r="C59" i="9" s="1"/>
  <c r="B86" i="9"/>
  <c r="C86" i="9" s="1"/>
  <c r="B85" i="9"/>
  <c r="C85" i="9" s="1"/>
  <c r="B120" i="9"/>
  <c r="C120" i="9" s="1"/>
  <c r="B119" i="9"/>
  <c r="C119" i="9" s="1"/>
  <c r="B58" i="9"/>
  <c r="C58" i="9" s="1"/>
  <c r="G89" i="9"/>
  <c r="J88" i="9"/>
  <c r="G123" i="9"/>
  <c r="G61" i="9"/>
  <c r="J26" i="9"/>
  <c r="G27" i="9"/>
  <c r="G151" i="9"/>
  <c r="J150" i="9"/>
  <c r="B57" i="9"/>
  <c r="C57" i="9" s="1"/>
  <c r="B87" i="8"/>
  <c r="C87" i="8" s="1"/>
  <c r="B55" i="8"/>
  <c r="C55" i="8" s="1"/>
  <c r="B150" i="8"/>
  <c r="C150" i="8" s="1"/>
  <c r="G27" i="8"/>
  <c r="J26" i="8"/>
  <c r="J25" i="8"/>
  <c r="B149" i="8"/>
  <c r="C149" i="8" s="1"/>
  <c r="G152" i="8"/>
  <c r="J151" i="8"/>
  <c r="G120" i="8"/>
  <c r="J119" i="8" s="1"/>
  <c r="B54" i="8"/>
  <c r="C54" i="8" s="1"/>
  <c r="G89" i="8"/>
  <c r="G58" i="8"/>
  <c r="J57" i="8" s="1"/>
  <c r="B86" i="8"/>
  <c r="C86" i="8" s="1"/>
  <c r="B85" i="8"/>
  <c r="C85" i="8" s="1"/>
  <c r="B24" i="8"/>
  <c r="C24" i="8" s="1"/>
  <c r="B23" i="8"/>
  <c r="C23" i="8" s="1"/>
  <c r="B87" i="7"/>
  <c r="C87" i="7" s="1"/>
  <c r="B150" i="7"/>
  <c r="C150" i="7" s="1"/>
  <c r="B57" i="7"/>
  <c r="C57" i="7" s="1"/>
  <c r="G125" i="7"/>
  <c r="J125" i="7" s="1"/>
  <c r="B149" i="7"/>
  <c r="C149" i="7" s="1"/>
  <c r="B148" i="7"/>
  <c r="C148" i="7" s="1"/>
  <c r="G27" i="7"/>
  <c r="B24" i="7"/>
  <c r="C24" i="7" s="1"/>
  <c r="B23" i="7"/>
  <c r="C23" i="7" s="1"/>
  <c r="G152" i="7"/>
  <c r="J151" i="7"/>
  <c r="G59" i="7"/>
  <c r="J58" i="7" s="1"/>
  <c r="J25" i="7"/>
  <c r="G90" i="7"/>
  <c r="J89" i="7"/>
  <c r="B56" i="7"/>
  <c r="C56" i="7" s="1"/>
  <c r="B55" i="7"/>
  <c r="C55" i="7" s="1"/>
  <c r="J123" i="7"/>
  <c r="B25" i="6"/>
  <c r="C25" i="6" s="1"/>
  <c r="B118" i="6"/>
  <c r="C118" i="6" s="1"/>
  <c r="B149" i="6"/>
  <c r="C149" i="6" s="1"/>
  <c r="G120" i="6"/>
  <c r="J119" i="6" s="1"/>
  <c r="G27" i="6"/>
  <c r="J26" i="6"/>
  <c r="B24" i="6"/>
  <c r="C24" i="6" s="1"/>
  <c r="B23" i="6"/>
  <c r="C23" i="6" s="1"/>
  <c r="G58" i="6"/>
  <c r="J57" i="6" s="1"/>
  <c r="B86" i="6"/>
  <c r="C86" i="6" s="1"/>
  <c r="B85" i="6"/>
  <c r="C85" i="6" s="1"/>
  <c r="G89" i="6"/>
  <c r="J88" i="6"/>
  <c r="G151" i="6"/>
  <c r="J150" i="6"/>
  <c r="B122" i="5"/>
  <c r="C122" i="5" s="1"/>
  <c r="B149" i="5"/>
  <c r="C149" i="5" s="1"/>
  <c r="B27" i="5"/>
  <c r="C27" i="5" s="1"/>
  <c r="G60" i="5"/>
  <c r="G151" i="5"/>
  <c r="J150" i="5"/>
  <c r="G90" i="5"/>
  <c r="J89" i="5"/>
  <c r="G124" i="5"/>
  <c r="J123" i="5"/>
  <c r="B148" i="5"/>
  <c r="C148" i="5" s="1"/>
  <c r="B147" i="5"/>
  <c r="C147" i="5" s="1"/>
  <c r="G29" i="5"/>
  <c r="B86" i="5"/>
  <c r="C86" i="5" s="1"/>
  <c r="B88" i="3"/>
  <c r="C88" i="3" s="1"/>
  <c r="B26" i="5"/>
  <c r="C26" i="5" s="1"/>
  <c r="B25" i="5"/>
  <c r="C25" i="5" s="1"/>
  <c r="B25" i="4"/>
  <c r="C25" i="4" s="1"/>
  <c r="B121" i="4"/>
  <c r="C121" i="4" s="1"/>
  <c r="G27" i="4"/>
  <c r="J26" i="4"/>
  <c r="G91" i="4"/>
  <c r="J90" i="4"/>
  <c r="G58" i="4"/>
  <c r="J57" i="4"/>
  <c r="B120" i="4"/>
  <c r="C120" i="4" s="1"/>
  <c r="B119" i="4"/>
  <c r="C119" i="4" s="1"/>
  <c r="B87" i="3"/>
  <c r="C87" i="3" s="1"/>
  <c r="J56" i="4"/>
  <c r="G152" i="4"/>
  <c r="J151" i="4"/>
  <c r="G123" i="4"/>
  <c r="J122" i="4" s="1"/>
  <c r="B26" i="3"/>
  <c r="C26" i="3" s="1"/>
  <c r="B150" i="3"/>
  <c r="C150" i="3" s="1"/>
  <c r="B118" i="3"/>
  <c r="C118" i="3" s="1"/>
  <c r="G120" i="3"/>
  <c r="J119" i="3" s="1"/>
  <c r="B25" i="3"/>
  <c r="C25" i="3" s="1"/>
  <c r="B24" i="3"/>
  <c r="C24" i="3" s="1"/>
  <c r="G28" i="3"/>
  <c r="J27" i="3"/>
  <c r="G91" i="3"/>
  <c r="J90" i="3"/>
  <c r="J60" i="3"/>
  <c r="G61" i="3"/>
  <c r="G152" i="3"/>
  <c r="J151" i="3"/>
  <c r="J89" i="3"/>
  <c r="B25" i="2"/>
  <c r="C25" i="2" s="1"/>
  <c r="B56" i="2"/>
  <c r="C56" i="2" s="1"/>
  <c r="B149" i="2"/>
  <c r="C149" i="2" s="1"/>
  <c r="B89" i="2"/>
  <c r="C89" i="2" s="1"/>
  <c r="G151" i="2"/>
  <c r="J150" i="2"/>
  <c r="B24" i="2"/>
  <c r="C24" i="2" s="1"/>
  <c r="B23" i="2"/>
  <c r="C23" i="2" s="1"/>
  <c r="G58" i="2"/>
  <c r="J57" i="2" s="1"/>
  <c r="G91" i="2"/>
  <c r="J90" i="2"/>
  <c r="G120" i="2"/>
  <c r="B148" i="2"/>
  <c r="C148" i="2" s="1"/>
  <c r="J118" i="2"/>
  <c r="G27" i="2"/>
  <c r="J26" i="2"/>
  <c r="K149" i="1"/>
  <c r="B149" i="1" s="1"/>
  <c r="C149" i="1" s="1"/>
  <c r="G151" i="1"/>
  <c r="J150" i="1" s="1"/>
  <c r="B148" i="1"/>
  <c r="C148" i="1" s="1"/>
  <c r="G120" i="1"/>
  <c r="J119" i="1"/>
  <c r="J118" i="1"/>
  <c r="B117" i="1"/>
  <c r="C117" i="1" s="1"/>
  <c r="B116" i="1"/>
  <c r="C116" i="1" s="1"/>
  <c r="G89" i="1"/>
  <c r="J88" i="1"/>
  <c r="J87" i="1"/>
  <c r="B86" i="1"/>
  <c r="C86" i="1" s="1"/>
  <c r="B85" i="1"/>
  <c r="C85" i="1" s="1"/>
  <c r="K56" i="1"/>
  <c r="K57" i="1"/>
  <c r="G59" i="1"/>
  <c r="J58" i="1"/>
  <c r="K23" i="1"/>
  <c r="K22" i="1"/>
  <c r="G25" i="1"/>
  <c r="J24" i="1"/>
  <c r="K118" i="1" a="1"/>
  <c r="K88" i="1" a="1"/>
  <c r="K150" i="1" a="1"/>
  <c r="K24" i="1" a="1"/>
  <c r="K87" i="1" a="1"/>
  <c r="K119" i="1" a="1"/>
  <c r="K58" i="1" a="1"/>
  <c r="B22" i="1" l="1"/>
  <c r="C22" i="1" s="1"/>
  <c r="B151" i="16"/>
  <c r="C151" i="16" s="1"/>
  <c r="B119" i="16"/>
  <c r="C119" i="16" s="1"/>
  <c r="B57" i="16"/>
  <c r="C57" i="16" s="1"/>
  <c r="B27" i="16"/>
  <c r="C27" i="16" s="1"/>
  <c r="G153" i="16"/>
  <c r="J152" i="16"/>
  <c r="G121" i="16"/>
  <c r="J120" i="16"/>
  <c r="G29" i="16"/>
  <c r="J28" i="16"/>
  <c r="G94" i="16"/>
  <c r="J94" i="16" s="1"/>
  <c r="J93" i="16"/>
  <c r="G59" i="16"/>
  <c r="B150" i="16"/>
  <c r="C150" i="16" s="1"/>
  <c r="B149" i="16"/>
  <c r="C149" i="16" s="1"/>
  <c r="J92" i="16"/>
  <c r="B152" i="15"/>
  <c r="C152" i="15" s="1"/>
  <c r="B26" i="15"/>
  <c r="C26" i="15" s="1"/>
  <c r="B122" i="15"/>
  <c r="C122" i="15" s="1"/>
  <c r="G29" i="15"/>
  <c r="J28" i="15"/>
  <c r="B25" i="15"/>
  <c r="C25" i="15" s="1"/>
  <c r="G124" i="15"/>
  <c r="J123" i="15"/>
  <c r="G154" i="15"/>
  <c r="J153" i="15"/>
  <c r="B93" i="15"/>
  <c r="C93" i="15" s="1"/>
  <c r="B92" i="15"/>
  <c r="C92" i="15" s="1"/>
  <c r="B151" i="15"/>
  <c r="C151" i="15" s="1"/>
  <c r="J62" i="15"/>
  <c r="B25" i="12"/>
  <c r="C25" i="12" s="1"/>
  <c r="B121" i="15"/>
  <c r="C121" i="15" s="1"/>
  <c r="B152" i="14"/>
  <c r="C152" i="14" s="1"/>
  <c r="B57" i="14"/>
  <c r="C57" i="14" s="1"/>
  <c r="B28" i="14"/>
  <c r="C28" i="14" s="1"/>
  <c r="G30" i="14"/>
  <c r="J29" i="14"/>
  <c r="G121" i="14"/>
  <c r="J120" i="14"/>
  <c r="B27" i="14"/>
  <c r="C27" i="14" s="1"/>
  <c r="B118" i="14"/>
  <c r="C118" i="14" s="1"/>
  <c r="B117" i="14"/>
  <c r="C117" i="14" s="1"/>
  <c r="G59" i="14"/>
  <c r="J58" i="14" s="1"/>
  <c r="G90" i="14"/>
  <c r="J89" i="14"/>
  <c r="J88" i="14"/>
  <c r="J119" i="14"/>
  <c r="G154" i="14"/>
  <c r="J153" i="14"/>
  <c r="B27" i="13"/>
  <c r="C27" i="13" s="1"/>
  <c r="B89" i="13"/>
  <c r="C89" i="13" s="1"/>
  <c r="B151" i="13"/>
  <c r="C151" i="13" s="1"/>
  <c r="G62" i="13"/>
  <c r="J61" i="13" s="1"/>
  <c r="G121" i="13"/>
  <c r="J120" i="13" s="1"/>
  <c r="J119" i="13"/>
  <c r="G153" i="13"/>
  <c r="J152" i="13"/>
  <c r="J60" i="13"/>
  <c r="G29" i="13"/>
  <c r="B59" i="13"/>
  <c r="C59" i="13" s="1"/>
  <c r="B58" i="13"/>
  <c r="C58" i="13" s="1"/>
  <c r="G91" i="13"/>
  <c r="J90" i="13"/>
  <c r="B59" i="12"/>
  <c r="C59" i="12" s="1"/>
  <c r="B27" i="12"/>
  <c r="C27" i="12" s="1"/>
  <c r="B121" i="12"/>
  <c r="C121" i="12" s="1"/>
  <c r="G90" i="12"/>
  <c r="J89" i="12"/>
  <c r="G29" i="12"/>
  <c r="J28" i="12"/>
  <c r="G152" i="12"/>
  <c r="J151" i="12"/>
  <c r="G61" i="12"/>
  <c r="G123" i="12"/>
  <c r="B120" i="12"/>
  <c r="C120" i="12" s="1"/>
  <c r="B119" i="12"/>
  <c r="C119" i="12" s="1"/>
  <c r="B89" i="11"/>
  <c r="C89" i="11" s="1"/>
  <c r="B27" i="11"/>
  <c r="C27" i="11" s="1"/>
  <c r="G29" i="11"/>
  <c r="B26" i="11"/>
  <c r="C26" i="11" s="1"/>
  <c r="B25" i="11"/>
  <c r="C25" i="11" s="1"/>
  <c r="G123" i="11"/>
  <c r="G91" i="11"/>
  <c r="J90" i="11" s="1"/>
  <c r="J121" i="11"/>
  <c r="B120" i="11"/>
  <c r="C120" i="11" s="1"/>
  <c r="B119" i="11"/>
  <c r="C119" i="11" s="1"/>
  <c r="B88" i="5"/>
  <c r="C88" i="5" s="1"/>
  <c r="G152" i="11"/>
  <c r="J151" i="11"/>
  <c r="G60" i="11"/>
  <c r="J59" i="11"/>
  <c r="J58" i="11"/>
  <c r="J150" i="11"/>
  <c r="B119" i="10"/>
  <c r="C119" i="10" s="1"/>
  <c r="B151" i="10"/>
  <c r="C151" i="10" s="1"/>
  <c r="B57" i="10"/>
  <c r="C57" i="10" s="1"/>
  <c r="B90" i="10"/>
  <c r="C90" i="10" s="1"/>
  <c r="G92" i="10"/>
  <c r="J91" i="10"/>
  <c r="B56" i="10"/>
  <c r="C56" i="10" s="1"/>
  <c r="B55" i="10"/>
  <c r="C55" i="10" s="1"/>
  <c r="G30" i="10"/>
  <c r="G153" i="10"/>
  <c r="B150" i="10"/>
  <c r="C150" i="10" s="1"/>
  <c r="B149" i="10"/>
  <c r="C149" i="10" s="1"/>
  <c r="G59" i="10"/>
  <c r="J58" i="10"/>
  <c r="B27" i="10"/>
  <c r="C27" i="10" s="1"/>
  <c r="B26" i="10"/>
  <c r="C26" i="10" s="1"/>
  <c r="G121" i="10"/>
  <c r="J120" i="10" s="1"/>
  <c r="J28" i="10"/>
  <c r="B88" i="9"/>
  <c r="C88" i="9" s="1"/>
  <c r="B150" i="9"/>
  <c r="C150" i="9" s="1"/>
  <c r="B26" i="9"/>
  <c r="C26" i="9" s="1"/>
  <c r="G152" i="9"/>
  <c r="J151" i="9"/>
  <c r="G124" i="9"/>
  <c r="J123" i="9"/>
  <c r="G28" i="9"/>
  <c r="J27" i="9"/>
  <c r="J122" i="9"/>
  <c r="G90" i="9"/>
  <c r="J89" i="9"/>
  <c r="G62" i="9"/>
  <c r="J61" i="9"/>
  <c r="J60" i="9"/>
  <c r="B119" i="8"/>
  <c r="C119" i="8" s="1"/>
  <c r="B57" i="8"/>
  <c r="C57" i="8" s="1"/>
  <c r="B151" i="8"/>
  <c r="C151" i="8" s="1"/>
  <c r="G153" i="8"/>
  <c r="J152" i="8" s="1"/>
  <c r="B118" i="8"/>
  <c r="C118" i="8" s="1"/>
  <c r="B117" i="8"/>
  <c r="C117" i="8" s="1"/>
  <c r="G90" i="8"/>
  <c r="J89" i="8"/>
  <c r="G28" i="8"/>
  <c r="J27" i="8"/>
  <c r="J58" i="8"/>
  <c r="G59" i="8"/>
  <c r="J88" i="8"/>
  <c r="B56" i="8"/>
  <c r="C56" i="8" s="1"/>
  <c r="G121" i="8"/>
  <c r="J120" i="8"/>
  <c r="B88" i="7"/>
  <c r="C88" i="7" s="1"/>
  <c r="B58" i="7"/>
  <c r="C58" i="7" s="1"/>
  <c r="B151" i="7"/>
  <c r="C151" i="7" s="1"/>
  <c r="G153" i="7"/>
  <c r="J124" i="7"/>
  <c r="G28" i="7"/>
  <c r="J27" i="7"/>
  <c r="J26" i="7"/>
  <c r="G91" i="7"/>
  <c r="J90" i="7"/>
  <c r="G60" i="7"/>
  <c r="J59" i="7"/>
  <c r="B57" i="6"/>
  <c r="C57" i="6" s="1"/>
  <c r="B119" i="6"/>
  <c r="C119" i="6" s="1"/>
  <c r="B88" i="6"/>
  <c r="C88" i="6" s="1"/>
  <c r="B26" i="6"/>
  <c r="C26" i="6" s="1"/>
  <c r="G28" i="6"/>
  <c r="J27" i="6"/>
  <c r="G152" i="6"/>
  <c r="J151" i="6"/>
  <c r="B56" i="6"/>
  <c r="C56" i="6" s="1"/>
  <c r="B55" i="6"/>
  <c r="C55" i="6" s="1"/>
  <c r="G121" i="6"/>
  <c r="J120" i="6"/>
  <c r="G59" i="6"/>
  <c r="G90" i="6"/>
  <c r="J89" i="6" s="1"/>
  <c r="B87" i="6"/>
  <c r="C87" i="6" s="1"/>
  <c r="B87" i="5"/>
  <c r="C87" i="5" s="1"/>
  <c r="B150" i="5"/>
  <c r="C150" i="5" s="1"/>
  <c r="B123" i="5"/>
  <c r="C123" i="5" s="1"/>
  <c r="G61" i="5"/>
  <c r="G125" i="5"/>
  <c r="J125" i="5" s="1"/>
  <c r="G91" i="5"/>
  <c r="J90" i="5"/>
  <c r="G152" i="5"/>
  <c r="J151" i="5"/>
  <c r="G30" i="5"/>
  <c r="J29" i="5"/>
  <c r="B58" i="5"/>
  <c r="C58" i="5" s="1"/>
  <c r="J59" i="5"/>
  <c r="J28" i="5"/>
  <c r="B122" i="4"/>
  <c r="C122" i="4" s="1"/>
  <c r="B26" i="4"/>
  <c r="C26" i="4" s="1"/>
  <c r="B151" i="4"/>
  <c r="C151" i="4" s="1"/>
  <c r="B90" i="4"/>
  <c r="C90" i="4" s="1"/>
  <c r="G59" i="4"/>
  <c r="J58" i="4"/>
  <c r="G28" i="4"/>
  <c r="J27" i="4"/>
  <c r="G124" i="4"/>
  <c r="J123" i="4" s="1"/>
  <c r="B89" i="4"/>
  <c r="C89" i="4" s="1"/>
  <c r="B150" i="4"/>
  <c r="C150" i="4" s="1"/>
  <c r="B149" i="4"/>
  <c r="C149" i="4" s="1"/>
  <c r="G92" i="4"/>
  <c r="J91" i="4"/>
  <c r="G153" i="4"/>
  <c r="J152" i="4"/>
  <c r="B119" i="3"/>
  <c r="C119" i="3" s="1"/>
  <c r="B27" i="3"/>
  <c r="C27" i="3" s="1"/>
  <c r="B60" i="3"/>
  <c r="C60" i="3" s="1"/>
  <c r="G92" i="3"/>
  <c r="G29" i="3"/>
  <c r="J28" i="3"/>
  <c r="B59" i="3"/>
  <c r="C59" i="3" s="1"/>
  <c r="B58" i="3"/>
  <c r="C58" i="3" s="1"/>
  <c r="G153" i="3"/>
  <c r="J152" i="3"/>
  <c r="G121" i="3"/>
  <c r="J120" i="3"/>
  <c r="G62" i="3"/>
  <c r="J61" i="3"/>
  <c r="B57" i="2"/>
  <c r="C57" i="2" s="1"/>
  <c r="B90" i="2"/>
  <c r="C90" i="2" s="1"/>
  <c r="B118" i="2"/>
  <c r="C118" i="2" s="1"/>
  <c r="B26" i="2"/>
  <c r="C26" i="2" s="1"/>
  <c r="B150" i="2"/>
  <c r="C150" i="2" s="1"/>
  <c r="G92" i="2"/>
  <c r="J91" i="2"/>
  <c r="G59" i="2"/>
  <c r="J58" i="2"/>
  <c r="G121" i="2"/>
  <c r="J120" i="2"/>
  <c r="G152" i="2"/>
  <c r="J151" i="2"/>
  <c r="G28" i="2"/>
  <c r="J27" i="2"/>
  <c r="B117" i="2"/>
  <c r="C117" i="2" s="1"/>
  <c r="J119" i="2"/>
  <c r="K150" i="1"/>
  <c r="B150" i="1" s="1"/>
  <c r="C150" i="1" s="1"/>
  <c r="G152" i="1"/>
  <c r="J151" i="1"/>
  <c r="K118" i="1"/>
  <c r="K119" i="1"/>
  <c r="G121" i="1"/>
  <c r="J120" i="1"/>
  <c r="K87" i="1"/>
  <c r="K88" i="1"/>
  <c r="G90" i="1"/>
  <c r="J89" i="1"/>
  <c r="K58" i="1"/>
  <c r="B58" i="1" s="1"/>
  <c r="C58" i="1" s="1"/>
  <c r="G60" i="1"/>
  <c r="B57" i="1"/>
  <c r="C57" i="1" s="1"/>
  <c r="B56" i="1"/>
  <c r="C56" i="1" s="1"/>
  <c r="K24" i="1"/>
  <c r="J25" i="1"/>
  <c r="G26" i="1"/>
  <c r="K89" i="1" a="1"/>
  <c r="K120" i="1" a="1"/>
  <c r="K25" i="1" a="1"/>
  <c r="K151" i="1" a="1"/>
  <c r="B23" i="1" l="1"/>
  <c r="C23" i="1" s="1"/>
  <c r="B24" i="1"/>
  <c r="C24" i="1" s="1"/>
  <c r="B94" i="16"/>
  <c r="C94" i="16" s="1"/>
  <c r="B28" i="16"/>
  <c r="C28" i="16" s="1"/>
  <c r="G122" i="16"/>
  <c r="J121" i="16"/>
  <c r="G154" i="16"/>
  <c r="J153" i="16"/>
  <c r="G30" i="16"/>
  <c r="J29" i="16"/>
  <c r="G60" i="16"/>
  <c r="J59" i="16"/>
  <c r="J58" i="16"/>
  <c r="B28" i="15"/>
  <c r="C28" i="15" s="1"/>
  <c r="B123" i="15"/>
  <c r="C123" i="15" s="1"/>
  <c r="B153" i="15"/>
  <c r="C153" i="15" s="1"/>
  <c r="G155" i="15"/>
  <c r="J154" i="15" s="1"/>
  <c r="G30" i="15"/>
  <c r="J29" i="15"/>
  <c r="B27" i="15"/>
  <c r="C27" i="15" s="1"/>
  <c r="G125" i="15"/>
  <c r="J125" i="15" s="1"/>
  <c r="B58" i="14"/>
  <c r="C58" i="14" s="1"/>
  <c r="B153" i="14"/>
  <c r="C153" i="14" s="1"/>
  <c r="B88" i="14"/>
  <c r="C88" i="14" s="1"/>
  <c r="B29" i="14"/>
  <c r="C29" i="14" s="1"/>
  <c r="G31" i="14"/>
  <c r="B87" i="14"/>
  <c r="C87" i="14" s="1"/>
  <c r="G122" i="14"/>
  <c r="J121" i="14"/>
  <c r="G60" i="14"/>
  <c r="J154" i="14"/>
  <c r="G155" i="14"/>
  <c r="G91" i="14"/>
  <c r="B152" i="13"/>
  <c r="C152" i="13" s="1"/>
  <c r="B90" i="13"/>
  <c r="C90" i="13" s="1"/>
  <c r="G92" i="13"/>
  <c r="J91" i="13"/>
  <c r="G30" i="13"/>
  <c r="J29" i="13"/>
  <c r="J28" i="13"/>
  <c r="G154" i="13"/>
  <c r="J153" i="13"/>
  <c r="G122" i="13"/>
  <c r="G63" i="13"/>
  <c r="J63" i="13" s="1"/>
  <c r="J62" i="13"/>
  <c r="B118" i="13"/>
  <c r="C118" i="13" s="1"/>
  <c r="B151" i="12"/>
  <c r="C151" i="12" s="1"/>
  <c r="B28" i="12"/>
  <c r="C28" i="12" s="1"/>
  <c r="B89" i="12"/>
  <c r="C89" i="12" s="1"/>
  <c r="G30" i="12"/>
  <c r="J29" i="12"/>
  <c r="G91" i="12"/>
  <c r="G124" i="12"/>
  <c r="J123" i="12"/>
  <c r="B150" i="12"/>
  <c r="C150" i="12" s="1"/>
  <c r="B149" i="12"/>
  <c r="C149" i="12" s="1"/>
  <c r="J122" i="12"/>
  <c r="G62" i="12"/>
  <c r="G153" i="12"/>
  <c r="J152" i="12"/>
  <c r="J60" i="12"/>
  <c r="B88" i="12"/>
  <c r="C88" i="12" s="1"/>
  <c r="B87" i="12"/>
  <c r="C87" i="12" s="1"/>
  <c r="B90" i="11"/>
  <c r="C90" i="11" s="1"/>
  <c r="B58" i="11"/>
  <c r="C58" i="11" s="1"/>
  <c r="G124" i="11"/>
  <c r="J123" i="11"/>
  <c r="G61" i="11"/>
  <c r="G30" i="11"/>
  <c r="J29" i="11"/>
  <c r="G153" i="11"/>
  <c r="J152" i="11"/>
  <c r="B57" i="11"/>
  <c r="C57" i="11" s="1"/>
  <c r="G92" i="11"/>
  <c r="J91" i="11"/>
  <c r="J122" i="11"/>
  <c r="J28" i="11"/>
  <c r="B120" i="10"/>
  <c r="C120" i="10" s="1"/>
  <c r="B58" i="10"/>
  <c r="C58" i="10" s="1"/>
  <c r="B91" i="10"/>
  <c r="C91" i="10" s="1"/>
  <c r="G31" i="10"/>
  <c r="J30" i="10" s="1"/>
  <c r="G93" i="10"/>
  <c r="G60" i="10"/>
  <c r="J59" i="10"/>
  <c r="G154" i="10"/>
  <c r="J153" i="10"/>
  <c r="J152" i="10"/>
  <c r="J29" i="10"/>
  <c r="G122" i="10"/>
  <c r="J121" i="10"/>
  <c r="B151" i="9"/>
  <c r="C151" i="9" s="1"/>
  <c r="B89" i="9"/>
  <c r="C89" i="9" s="1"/>
  <c r="B27" i="9"/>
  <c r="C27" i="9" s="1"/>
  <c r="G125" i="9"/>
  <c r="J125" i="9" s="1"/>
  <c r="G29" i="9"/>
  <c r="J28" i="9"/>
  <c r="G63" i="9"/>
  <c r="J63" i="9" s="1"/>
  <c r="G153" i="9"/>
  <c r="J152" i="9" s="1"/>
  <c r="G91" i="9"/>
  <c r="J90" i="9"/>
  <c r="B152" i="8"/>
  <c r="C152" i="8" s="1"/>
  <c r="B27" i="8"/>
  <c r="C27" i="8" s="1"/>
  <c r="B58" i="8"/>
  <c r="C58" i="8" s="1"/>
  <c r="B120" i="8"/>
  <c r="C120" i="8" s="1"/>
  <c r="J90" i="8"/>
  <c r="G91" i="8"/>
  <c r="G122" i="8"/>
  <c r="J121" i="8"/>
  <c r="B26" i="8"/>
  <c r="C26" i="8" s="1"/>
  <c r="B25" i="8"/>
  <c r="C25" i="8" s="1"/>
  <c r="G29" i="8"/>
  <c r="G154" i="8"/>
  <c r="J153" i="8"/>
  <c r="G60" i="8"/>
  <c r="J59" i="8"/>
  <c r="B90" i="7"/>
  <c r="C90" i="7" s="1"/>
  <c r="B125" i="7"/>
  <c r="C125" i="7" s="1"/>
  <c r="B26" i="7"/>
  <c r="C26" i="7" s="1"/>
  <c r="B59" i="7"/>
  <c r="C59" i="7" s="1"/>
  <c r="B123" i="7"/>
  <c r="C123" i="7" s="1"/>
  <c r="G92" i="7"/>
  <c r="J91" i="7"/>
  <c r="G29" i="7"/>
  <c r="G154" i="7"/>
  <c r="J153" i="7"/>
  <c r="B25" i="7"/>
  <c r="C25" i="7" s="1"/>
  <c r="J60" i="7"/>
  <c r="G61" i="7"/>
  <c r="J152" i="7"/>
  <c r="B89" i="7"/>
  <c r="C89" i="7" s="1"/>
  <c r="B89" i="6"/>
  <c r="C89" i="6" s="1"/>
  <c r="B120" i="6"/>
  <c r="C120" i="6" s="1"/>
  <c r="B27" i="6"/>
  <c r="C27" i="6" s="1"/>
  <c r="B151" i="6"/>
  <c r="C151" i="6" s="1"/>
  <c r="G153" i="6"/>
  <c r="J152" i="6"/>
  <c r="G60" i="6"/>
  <c r="J59" i="6"/>
  <c r="G122" i="6"/>
  <c r="J121" i="6"/>
  <c r="G29" i="6"/>
  <c r="J28" i="6"/>
  <c r="J90" i="6"/>
  <c r="G91" i="6"/>
  <c r="J58" i="6"/>
  <c r="B150" i="6"/>
  <c r="C150" i="6" s="1"/>
  <c r="B90" i="5"/>
  <c r="C90" i="5" s="1"/>
  <c r="G153" i="5"/>
  <c r="J152" i="5"/>
  <c r="G92" i="5"/>
  <c r="J91" i="5"/>
  <c r="J124" i="5"/>
  <c r="G31" i="5"/>
  <c r="G62" i="5"/>
  <c r="J61" i="5"/>
  <c r="J60" i="5"/>
  <c r="B89" i="5"/>
  <c r="C89" i="5" s="1"/>
  <c r="B123" i="4"/>
  <c r="C123" i="4" s="1"/>
  <c r="B152" i="4"/>
  <c r="C152" i="4" s="1"/>
  <c r="B58" i="4"/>
  <c r="C58" i="4" s="1"/>
  <c r="B91" i="4"/>
  <c r="C91" i="4" s="1"/>
  <c r="G29" i="4"/>
  <c r="J28" i="4"/>
  <c r="G60" i="4"/>
  <c r="J59" i="4"/>
  <c r="G154" i="4"/>
  <c r="J153" i="4"/>
  <c r="B57" i="4"/>
  <c r="C57" i="4" s="1"/>
  <c r="B56" i="4"/>
  <c r="C56" i="4" s="1"/>
  <c r="G93" i="4"/>
  <c r="J92" i="4" s="1"/>
  <c r="G125" i="4"/>
  <c r="J125" i="4" s="1"/>
  <c r="B152" i="3"/>
  <c r="C152" i="3" s="1"/>
  <c r="B61" i="3"/>
  <c r="C61" i="3" s="1"/>
  <c r="B120" i="3"/>
  <c r="C120" i="3" s="1"/>
  <c r="B28" i="3"/>
  <c r="C28" i="3" s="1"/>
  <c r="G154" i="3"/>
  <c r="J153" i="3"/>
  <c r="J29" i="3"/>
  <c r="G30" i="3"/>
  <c r="G63" i="3"/>
  <c r="J63" i="3" s="1"/>
  <c r="J62" i="3"/>
  <c r="G93" i="3"/>
  <c r="J92" i="3" s="1"/>
  <c r="J91" i="3"/>
  <c r="G122" i="3"/>
  <c r="J121" i="3"/>
  <c r="B90" i="3"/>
  <c r="C90" i="3" s="1"/>
  <c r="B89" i="3"/>
  <c r="C89" i="3" s="1"/>
  <c r="B151" i="3"/>
  <c r="C151" i="3" s="1"/>
  <c r="B151" i="2"/>
  <c r="C151" i="2" s="1"/>
  <c r="B91" i="2"/>
  <c r="C91" i="2" s="1"/>
  <c r="G153" i="2"/>
  <c r="J152" i="2"/>
  <c r="G122" i="2"/>
  <c r="G60" i="2"/>
  <c r="J59" i="2"/>
  <c r="J92" i="2"/>
  <c r="G93" i="2"/>
  <c r="G29" i="2"/>
  <c r="J28" i="2" s="1"/>
  <c r="K151" i="1"/>
  <c r="B151" i="1" s="1"/>
  <c r="C151" i="1" s="1"/>
  <c r="G153" i="1"/>
  <c r="J152" i="1"/>
  <c r="K120" i="1"/>
  <c r="B120" i="1" s="1"/>
  <c r="C120" i="1" s="1"/>
  <c r="G122" i="1"/>
  <c r="J121" i="1"/>
  <c r="B119" i="1"/>
  <c r="C119" i="1" s="1"/>
  <c r="B118" i="1"/>
  <c r="C118" i="1" s="1"/>
  <c r="K89" i="1"/>
  <c r="B89" i="1" s="1"/>
  <c r="C89" i="1" s="1"/>
  <c r="G91" i="1"/>
  <c r="B88" i="1"/>
  <c r="C88" i="1" s="1"/>
  <c r="B87" i="1"/>
  <c r="C87" i="1" s="1"/>
  <c r="G61" i="1"/>
  <c r="J60" i="1"/>
  <c r="J59" i="1"/>
  <c r="K25" i="1"/>
  <c r="G27" i="1"/>
  <c r="J26" i="1"/>
  <c r="K59" i="1" a="1"/>
  <c r="K121" i="1" a="1"/>
  <c r="K26" i="1" a="1"/>
  <c r="K60" i="1" a="1"/>
  <c r="K152" i="1" a="1"/>
  <c r="B120" i="13" l="1"/>
  <c r="C120" i="13" s="1"/>
  <c r="B25" i="1"/>
  <c r="C25" i="1" s="1"/>
  <c r="B153" i="16"/>
  <c r="C153" i="16" s="1"/>
  <c r="B121" i="16"/>
  <c r="C121" i="16" s="1"/>
  <c r="G31" i="16"/>
  <c r="J30" i="16" s="1"/>
  <c r="G155" i="16"/>
  <c r="G123" i="16"/>
  <c r="J122" i="16" s="1"/>
  <c r="B93" i="16"/>
  <c r="C93" i="16" s="1"/>
  <c r="B92" i="16"/>
  <c r="C92" i="16" s="1"/>
  <c r="B152" i="16"/>
  <c r="C152" i="16" s="1"/>
  <c r="G61" i="16"/>
  <c r="B120" i="16"/>
  <c r="C120" i="16" s="1"/>
  <c r="B154" i="15"/>
  <c r="C154" i="15" s="1"/>
  <c r="B29" i="15"/>
  <c r="C29" i="15" s="1"/>
  <c r="G31" i="15"/>
  <c r="J124" i="15"/>
  <c r="B63" i="15"/>
  <c r="C63" i="15" s="1"/>
  <c r="B62" i="15"/>
  <c r="C62" i="15" s="1"/>
  <c r="G156" i="15"/>
  <c r="J156" i="15" s="1"/>
  <c r="J155" i="15"/>
  <c r="B121" i="14"/>
  <c r="C121" i="14" s="1"/>
  <c r="B154" i="14"/>
  <c r="C154" i="14" s="1"/>
  <c r="G123" i="14"/>
  <c r="G92" i="14"/>
  <c r="J91" i="14"/>
  <c r="J90" i="14"/>
  <c r="B120" i="14"/>
  <c r="C120" i="14" s="1"/>
  <c r="B119" i="14"/>
  <c r="C119" i="14" s="1"/>
  <c r="G61" i="14"/>
  <c r="J60" i="14" s="1"/>
  <c r="B89" i="14"/>
  <c r="C89" i="14" s="1"/>
  <c r="G156" i="14"/>
  <c r="J156" i="14" s="1"/>
  <c r="J155" i="14"/>
  <c r="G32" i="14"/>
  <c r="J32" i="14" s="1"/>
  <c r="J31" i="14"/>
  <c r="J30" i="14"/>
  <c r="J59" i="14"/>
  <c r="B91" i="13"/>
  <c r="C91" i="13" s="1"/>
  <c r="B153" i="13"/>
  <c r="C153" i="13" s="1"/>
  <c r="B63" i="13"/>
  <c r="C63" i="13" s="1"/>
  <c r="G155" i="13"/>
  <c r="J154" i="13" s="1"/>
  <c r="B61" i="13"/>
  <c r="C61" i="13" s="1"/>
  <c r="B60" i="13"/>
  <c r="C60" i="13" s="1"/>
  <c r="G123" i="13"/>
  <c r="G31" i="13"/>
  <c r="J30" i="13" s="1"/>
  <c r="J92" i="13"/>
  <c r="G93" i="13"/>
  <c r="B119" i="13"/>
  <c r="C119" i="13" s="1"/>
  <c r="J121" i="13"/>
  <c r="B152" i="12"/>
  <c r="C152" i="12" s="1"/>
  <c r="B29" i="12"/>
  <c r="C29" i="12" s="1"/>
  <c r="G92" i="12"/>
  <c r="J91" i="12"/>
  <c r="G31" i="12"/>
  <c r="B124" i="7"/>
  <c r="C124" i="7" s="1"/>
  <c r="G154" i="12"/>
  <c r="J153" i="12"/>
  <c r="J90" i="12"/>
  <c r="B120" i="2"/>
  <c r="C120" i="2" s="1"/>
  <c r="G63" i="12"/>
  <c r="J63" i="12" s="1"/>
  <c r="G125" i="12"/>
  <c r="J125" i="12" s="1"/>
  <c r="J61" i="12"/>
  <c r="B152" i="11"/>
  <c r="C152" i="11" s="1"/>
  <c r="B91" i="11"/>
  <c r="C91" i="11" s="1"/>
  <c r="G62" i="11"/>
  <c r="J61" i="11"/>
  <c r="J60" i="11"/>
  <c r="B59" i="11"/>
  <c r="C59" i="11" s="1"/>
  <c r="G93" i="11"/>
  <c r="J92" i="11" s="1"/>
  <c r="B121" i="11"/>
  <c r="C121" i="11" s="1"/>
  <c r="G154" i="11"/>
  <c r="J153" i="11"/>
  <c r="G31" i="11"/>
  <c r="G125" i="11"/>
  <c r="J125" i="11" s="1"/>
  <c r="B151" i="11"/>
  <c r="C151" i="11" s="1"/>
  <c r="B150" i="11"/>
  <c r="C150" i="11" s="1"/>
  <c r="B59" i="10"/>
  <c r="C59" i="10" s="1"/>
  <c r="B121" i="10"/>
  <c r="C121" i="10" s="1"/>
  <c r="G94" i="10"/>
  <c r="J94" i="10" s="1"/>
  <c r="B28" i="10"/>
  <c r="C28" i="10" s="1"/>
  <c r="J92" i="10"/>
  <c r="G123" i="10"/>
  <c r="J122" i="10" s="1"/>
  <c r="J154" i="10"/>
  <c r="G155" i="10"/>
  <c r="G61" i="10"/>
  <c r="J60" i="10" s="1"/>
  <c r="G32" i="10"/>
  <c r="J32" i="10" s="1"/>
  <c r="J31" i="10"/>
  <c r="B152" i="9"/>
  <c r="C152" i="9" s="1"/>
  <c r="B90" i="9"/>
  <c r="C90" i="9" s="1"/>
  <c r="B28" i="9"/>
  <c r="C28" i="9" s="1"/>
  <c r="G30" i="9"/>
  <c r="J29" i="9"/>
  <c r="J62" i="9"/>
  <c r="J124" i="9"/>
  <c r="G154" i="9"/>
  <c r="J153" i="9"/>
  <c r="B61" i="9"/>
  <c r="C61" i="9" s="1"/>
  <c r="B60" i="9"/>
  <c r="C60" i="9" s="1"/>
  <c r="G92" i="9"/>
  <c r="J91" i="9"/>
  <c r="B123" i="9"/>
  <c r="C123" i="9" s="1"/>
  <c r="B122" i="9"/>
  <c r="C122" i="9" s="1"/>
  <c r="B90" i="8"/>
  <c r="C90" i="8" s="1"/>
  <c r="B59" i="8"/>
  <c r="C59" i="8" s="1"/>
  <c r="B121" i="8"/>
  <c r="C121" i="8" s="1"/>
  <c r="B153" i="8"/>
  <c r="C153" i="8" s="1"/>
  <c r="G30" i="8"/>
  <c r="J29" i="8"/>
  <c r="G123" i="8"/>
  <c r="J122" i="8" s="1"/>
  <c r="G92" i="8"/>
  <c r="J91" i="8"/>
  <c r="G61" i="8"/>
  <c r="B89" i="8"/>
  <c r="C89" i="8" s="1"/>
  <c r="B88" i="8"/>
  <c r="C88" i="8" s="1"/>
  <c r="J154" i="8"/>
  <c r="G155" i="8"/>
  <c r="J28" i="8"/>
  <c r="B91" i="7"/>
  <c r="C91" i="7" s="1"/>
  <c r="B60" i="7"/>
  <c r="C60" i="7" s="1"/>
  <c r="G30" i="7"/>
  <c r="J29" i="7"/>
  <c r="G155" i="7"/>
  <c r="B27" i="7"/>
  <c r="C27" i="7" s="1"/>
  <c r="J28" i="7"/>
  <c r="G93" i="7"/>
  <c r="J92" i="7" s="1"/>
  <c r="G62" i="7"/>
  <c r="J61" i="7"/>
  <c r="B121" i="6"/>
  <c r="C121" i="6" s="1"/>
  <c r="B90" i="6"/>
  <c r="C90" i="6" s="1"/>
  <c r="B28" i="6"/>
  <c r="C28" i="6" s="1"/>
  <c r="B152" i="6"/>
  <c r="C152" i="6" s="1"/>
  <c r="G123" i="6"/>
  <c r="G154" i="6"/>
  <c r="J153" i="6"/>
  <c r="G30" i="6"/>
  <c r="J29" i="6"/>
  <c r="J60" i="6"/>
  <c r="G61" i="6"/>
  <c r="G92" i="6"/>
  <c r="J91" i="6"/>
  <c r="B91" i="5"/>
  <c r="C91" i="5" s="1"/>
  <c r="B152" i="5"/>
  <c r="C152" i="5" s="1"/>
  <c r="G32" i="5"/>
  <c r="J32" i="5" s="1"/>
  <c r="J31" i="5"/>
  <c r="G93" i="5"/>
  <c r="B29" i="5"/>
  <c r="C29" i="5" s="1"/>
  <c r="B28" i="5"/>
  <c r="C28" i="5" s="1"/>
  <c r="B59" i="5"/>
  <c r="C59" i="5" s="1"/>
  <c r="G63" i="5"/>
  <c r="J63" i="5" s="1"/>
  <c r="J30" i="5"/>
  <c r="G154" i="5"/>
  <c r="J153" i="5"/>
  <c r="B151" i="5"/>
  <c r="C151" i="5" s="1"/>
  <c r="B92" i="4"/>
  <c r="C92" i="4" s="1"/>
  <c r="B59" i="4"/>
  <c r="C59" i="4" s="1"/>
  <c r="B28" i="4"/>
  <c r="C28" i="4" s="1"/>
  <c r="B153" i="4"/>
  <c r="C153" i="4" s="1"/>
  <c r="G30" i="4"/>
  <c r="J29" i="4"/>
  <c r="J124" i="4"/>
  <c r="G94" i="4"/>
  <c r="J94" i="4" s="1"/>
  <c r="J93" i="4"/>
  <c r="G155" i="4"/>
  <c r="J154" i="4" s="1"/>
  <c r="B119" i="2"/>
  <c r="C119" i="2" s="1"/>
  <c r="G61" i="4"/>
  <c r="B27" i="4"/>
  <c r="C27" i="4" s="1"/>
  <c r="B63" i="3"/>
  <c r="C63" i="3" s="1"/>
  <c r="B121" i="3"/>
  <c r="C121" i="3" s="1"/>
  <c r="B29" i="3"/>
  <c r="C29" i="3" s="1"/>
  <c r="G31" i="3"/>
  <c r="J30" i="3"/>
  <c r="G155" i="3"/>
  <c r="G94" i="3"/>
  <c r="J94" i="3" s="1"/>
  <c r="J93" i="3"/>
  <c r="G123" i="3"/>
  <c r="B28" i="2"/>
  <c r="C28" i="2" s="1"/>
  <c r="B92" i="2"/>
  <c r="C92" i="2" s="1"/>
  <c r="B152" i="2"/>
  <c r="C152" i="2" s="1"/>
  <c r="B59" i="2"/>
  <c r="C59" i="2" s="1"/>
  <c r="G61" i="2"/>
  <c r="G123" i="2"/>
  <c r="J122" i="2" s="1"/>
  <c r="B58" i="2"/>
  <c r="C58" i="2" s="1"/>
  <c r="J121" i="2"/>
  <c r="G30" i="2"/>
  <c r="J29" i="2"/>
  <c r="B27" i="2"/>
  <c r="C27" i="2" s="1"/>
  <c r="G154" i="2"/>
  <c r="J153" i="2"/>
  <c r="G94" i="2"/>
  <c r="J94" i="2" s="1"/>
  <c r="J93" i="2"/>
  <c r="K152" i="1"/>
  <c r="B152" i="1" s="1"/>
  <c r="C152" i="1" s="1"/>
  <c r="G154" i="1"/>
  <c r="J153" i="1"/>
  <c r="K121" i="1"/>
  <c r="B121" i="1" s="1"/>
  <c r="C121" i="1" s="1"/>
  <c r="G123" i="1"/>
  <c r="G92" i="1"/>
  <c r="J91" i="1"/>
  <c r="J90" i="1"/>
  <c r="K59" i="1"/>
  <c r="K60" i="1"/>
  <c r="G62" i="1"/>
  <c r="K26" i="1"/>
  <c r="J27" i="1"/>
  <c r="G28" i="1"/>
  <c r="K90" i="1" a="1"/>
  <c r="K153" i="1" a="1"/>
  <c r="K91" i="1" a="1"/>
  <c r="K27" i="1" a="1"/>
  <c r="B61" i="5" l="1"/>
  <c r="C61" i="5" s="1"/>
  <c r="B123" i="11"/>
  <c r="C123" i="11" s="1"/>
  <c r="B30" i="10"/>
  <c r="C30" i="10" s="1"/>
  <c r="B26" i="1"/>
  <c r="C26" i="1" s="1"/>
  <c r="B122" i="16"/>
  <c r="C122" i="16" s="1"/>
  <c r="B30" i="16"/>
  <c r="C30" i="16" s="1"/>
  <c r="G156" i="16"/>
  <c r="J156" i="16" s="1"/>
  <c r="J155" i="16"/>
  <c r="J154" i="16"/>
  <c r="G124" i="16"/>
  <c r="J123" i="16"/>
  <c r="B59" i="16"/>
  <c r="C59" i="16" s="1"/>
  <c r="B58" i="16"/>
  <c r="C58" i="16" s="1"/>
  <c r="G62" i="16"/>
  <c r="J61" i="16"/>
  <c r="J60" i="16"/>
  <c r="G32" i="16"/>
  <c r="J32" i="16" s="1"/>
  <c r="B29" i="16"/>
  <c r="C29" i="16" s="1"/>
  <c r="B156" i="15"/>
  <c r="C156" i="15" s="1"/>
  <c r="G32" i="15"/>
  <c r="J32" i="15" s="1"/>
  <c r="J31" i="15"/>
  <c r="J30" i="15"/>
  <c r="B32" i="14"/>
  <c r="C32" i="14" s="1"/>
  <c r="B156" i="14"/>
  <c r="C156" i="14" s="1"/>
  <c r="G93" i="14"/>
  <c r="G124" i="14"/>
  <c r="J123" i="14"/>
  <c r="J122" i="14"/>
  <c r="G62" i="14"/>
  <c r="B30" i="13"/>
  <c r="C30" i="13" s="1"/>
  <c r="B154" i="13"/>
  <c r="C154" i="13" s="1"/>
  <c r="G124" i="13"/>
  <c r="J123" i="13" s="1"/>
  <c r="G94" i="13"/>
  <c r="J94" i="13" s="1"/>
  <c r="J93" i="13"/>
  <c r="G32" i="13"/>
  <c r="J32" i="13" s="1"/>
  <c r="J31" i="13"/>
  <c r="J122" i="13"/>
  <c r="G156" i="13"/>
  <c r="J156" i="13" s="1"/>
  <c r="J155" i="13"/>
  <c r="B29" i="13"/>
  <c r="C29" i="13" s="1"/>
  <c r="B28" i="13"/>
  <c r="C28" i="13" s="1"/>
  <c r="B62" i="13"/>
  <c r="C62" i="13" s="1"/>
  <c r="B153" i="12"/>
  <c r="C153" i="12" s="1"/>
  <c r="B61" i="12"/>
  <c r="C61" i="12" s="1"/>
  <c r="G155" i="12"/>
  <c r="G32" i="12"/>
  <c r="J32" i="12" s="1"/>
  <c r="J31" i="12"/>
  <c r="B123" i="12"/>
  <c r="C123" i="12" s="1"/>
  <c r="B122" i="12"/>
  <c r="C122" i="12" s="1"/>
  <c r="B122" i="11"/>
  <c r="C122" i="11" s="1"/>
  <c r="J124" i="12"/>
  <c r="J92" i="12"/>
  <c r="G93" i="12"/>
  <c r="J30" i="12"/>
  <c r="J62" i="12"/>
  <c r="B60" i="12"/>
  <c r="C60" i="12" s="1"/>
  <c r="B92" i="11"/>
  <c r="C92" i="11" s="1"/>
  <c r="B153" i="11"/>
  <c r="C153" i="11" s="1"/>
  <c r="G63" i="11"/>
  <c r="J63" i="11" s="1"/>
  <c r="G32" i="11"/>
  <c r="J32" i="11" s="1"/>
  <c r="J31" i="11"/>
  <c r="J124" i="11"/>
  <c r="B29" i="11"/>
  <c r="C29" i="11" s="1"/>
  <c r="B28" i="11"/>
  <c r="C28" i="11" s="1"/>
  <c r="J30" i="11"/>
  <c r="G94" i="11"/>
  <c r="J94" i="11" s="1"/>
  <c r="B29" i="10"/>
  <c r="C29" i="10" s="1"/>
  <c r="G155" i="11"/>
  <c r="B60" i="10"/>
  <c r="C60" i="10" s="1"/>
  <c r="B122" i="10"/>
  <c r="C122" i="10" s="1"/>
  <c r="B32" i="10"/>
  <c r="C32" i="10" s="1"/>
  <c r="B154" i="10"/>
  <c r="C154" i="10" s="1"/>
  <c r="B153" i="10"/>
  <c r="C153" i="10" s="1"/>
  <c r="B152" i="10"/>
  <c r="C152" i="10" s="1"/>
  <c r="G124" i="10"/>
  <c r="J123" i="10" s="1"/>
  <c r="J93" i="10"/>
  <c r="G62" i="10"/>
  <c r="G156" i="10"/>
  <c r="J156" i="10" s="1"/>
  <c r="J155" i="10"/>
  <c r="B153" i="9"/>
  <c r="C153" i="9" s="1"/>
  <c r="B91" i="9"/>
  <c r="C91" i="9" s="1"/>
  <c r="B29" i="9"/>
  <c r="C29" i="9" s="1"/>
  <c r="G155" i="9"/>
  <c r="J154" i="9" s="1"/>
  <c r="G93" i="9"/>
  <c r="J92" i="9" s="1"/>
  <c r="G31" i="9"/>
  <c r="B122" i="8"/>
  <c r="C122" i="8" s="1"/>
  <c r="B91" i="8"/>
  <c r="C91" i="8" s="1"/>
  <c r="B154" i="8"/>
  <c r="C154" i="8" s="1"/>
  <c r="G62" i="8"/>
  <c r="J61" i="8"/>
  <c r="J60" i="8"/>
  <c r="G124" i="8"/>
  <c r="J123" i="8"/>
  <c r="G31" i="8"/>
  <c r="J30" i="8" s="1"/>
  <c r="B60" i="5"/>
  <c r="C60" i="5" s="1"/>
  <c r="G156" i="8"/>
  <c r="J156" i="8" s="1"/>
  <c r="G93" i="8"/>
  <c r="J92" i="8" s="1"/>
  <c r="B92" i="7"/>
  <c r="C92" i="7" s="1"/>
  <c r="B61" i="7"/>
  <c r="C61" i="7" s="1"/>
  <c r="G31" i="7"/>
  <c r="J30" i="7" s="1"/>
  <c r="G156" i="7"/>
  <c r="J156" i="7" s="1"/>
  <c r="J155" i="7"/>
  <c r="G63" i="7"/>
  <c r="J63" i="7" s="1"/>
  <c r="J154" i="7"/>
  <c r="G94" i="7"/>
  <c r="J94" i="7" s="1"/>
  <c r="J93" i="7"/>
  <c r="B153" i="7"/>
  <c r="C153" i="7" s="1"/>
  <c r="B152" i="7"/>
  <c r="C152" i="7" s="1"/>
  <c r="B60" i="6"/>
  <c r="C60" i="6" s="1"/>
  <c r="B153" i="6"/>
  <c r="C153" i="6" s="1"/>
  <c r="B29" i="6"/>
  <c r="C29" i="6" s="1"/>
  <c r="G155" i="6"/>
  <c r="J154" i="6" s="1"/>
  <c r="B59" i="6"/>
  <c r="C59" i="6" s="1"/>
  <c r="B58" i="6"/>
  <c r="C58" i="6" s="1"/>
  <c r="G31" i="6"/>
  <c r="G124" i="6"/>
  <c r="J123" i="6"/>
  <c r="J92" i="6"/>
  <c r="G93" i="6"/>
  <c r="J122" i="6"/>
  <c r="G62" i="6"/>
  <c r="J61" i="6" s="1"/>
  <c r="B153" i="5"/>
  <c r="C153" i="5" s="1"/>
  <c r="B32" i="5"/>
  <c r="C32" i="5" s="1"/>
  <c r="J62" i="5"/>
  <c r="G94" i="5"/>
  <c r="J94" i="5" s="1"/>
  <c r="J93" i="5"/>
  <c r="B125" i="5"/>
  <c r="C125" i="5" s="1"/>
  <c r="B124" i="5"/>
  <c r="C124" i="5" s="1"/>
  <c r="J92" i="5"/>
  <c r="G155" i="5"/>
  <c r="J154" i="5" s="1"/>
  <c r="B154" i="4"/>
  <c r="C154" i="4" s="1"/>
  <c r="B29" i="4"/>
  <c r="C29" i="4" s="1"/>
  <c r="B94" i="4"/>
  <c r="C94" i="4" s="1"/>
  <c r="G156" i="4"/>
  <c r="J156" i="4" s="1"/>
  <c r="J155" i="4"/>
  <c r="J61" i="4"/>
  <c r="G62" i="4"/>
  <c r="G31" i="4"/>
  <c r="B62" i="3"/>
  <c r="C62" i="3" s="1"/>
  <c r="J60" i="4"/>
  <c r="B30" i="3"/>
  <c r="C30" i="3" s="1"/>
  <c r="B94" i="3"/>
  <c r="C94" i="3" s="1"/>
  <c r="B153" i="3"/>
  <c r="C153" i="3" s="1"/>
  <c r="G124" i="3"/>
  <c r="J123" i="3"/>
  <c r="B92" i="3"/>
  <c r="C92" i="3" s="1"/>
  <c r="B91" i="3"/>
  <c r="C91" i="3" s="1"/>
  <c r="G156" i="3"/>
  <c r="J156" i="3" s="1"/>
  <c r="J155" i="3"/>
  <c r="J154" i="3"/>
  <c r="G32" i="3"/>
  <c r="J32" i="3" s="1"/>
  <c r="J31" i="3"/>
  <c r="J122" i="3"/>
  <c r="B153" i="2"/>
  <c r="C153" i="2" s="1"/>
  <c r="B94" i="2"/>
  <c r="C94" i="2" s="1"/>
  <c r="J30" i="2"/>
  <c r="G31" i="2"/>
  <c r="G62" i="2"/>
  <c r="J61" i="2"/>
  <c r="G124" i="2"/>
  <c r="J123" i="2"/>
  <c r="J60" i="2"/>
  <c r="J154" i="2"/>
  <c r="G155" i="2"/>
  <c r="K153" i="1"/>
  <c r="B153" i="1" s="1"/>
  <c r="C153" i="1" s="1"/>
  <c r="J154" i="1"/>
  <c r="G155" i="1"/>
  <c r="G124" i="1"/>
  <c r="J123" i="1"/>
  <c r="J122" i="1"/>
  <c r="K90" i="1"/>
  <c r="K91" i="1"/>
  <c r="G93" i="1"/>
  <c r="G63" i="1"/>
  <c r="J63" i="1" s="1"/>
  <c r="J62" i="1"/>
  <c r="J61" i="1"/>
  <c r="B60" i="1"/>
  <c r="C60" i="1" s="1"/>
  <c r="B59" i="1"/>
  <c r="C59" i="1" s="1"/>
  <c r="K27" i="1"/>
  <c r="G29" i="1"/>
  <c r="K61" i="1" a="1"/>
  <c r="K154" i="1" a="1"/>
  <c r="K122" i="1" a="1"/>
  <c r="K123" i="1" a="1"/>
  <c r="K63" i="1" a="1"/>
  <c r="K62" i="1" a="1"/>
  <c r="B155" i="15" l="1"/>
  <c r="C155" i="15" s="1"/>
  <c r="B27" i="1"/>
  <c r="C27" i="1" s="1"/>
  <c r="B156" i="16"/>
  <c r="C156" i="16" s="1"/>
  <c r="B123" i="16"/>
  <c r="C123" i="16" s="1"/>
  <c r="G125" i="16"/>
  <c r="J125" i="16" s="1"/>
  <c r="G63" i="16"/>
  <c r="J63" i="16" s="1"/>
  <c r="J31" i="16"/>
  <c r="B32" i="15"/>
  <c r="C32" i="15" s="1"/>
  <c r="B155" i="14"/>
  <c r="C155" i="14" s="1"/>
  <c r="B125" i="15"/>
  <c r="C125" i="15" s="1"/>
  <c r="B124" i="15"/>
  <c r="C124" i="15" s="1"/>
  <c r="G94" i="14"/>
  <c r="J94" i="14" s="1"/>
  <c r="J93" i="14"/>
  <c r="G125" i="14"/>
  <c r="J125" i="14" s="1"/>
  <c r="J92" i="14"/>
  <c r="B60" i="14"/>
  <c r="C60" i="14" s="1"/>
  <c r="B59" i="14"/>
  <c r="C59" i="14" s="1"/>
  <c r="B91" i="14"/>
  <c r="C91" i="14" s="1"/>
  <c r="B90" i="14"/>
  <c r="C90" i="14" s="1"/>
  <c r="G63" i="14"/>
  <c r="J63" i="14" s="1"/>
  <c r="B31" i="14"/>
  <c r="C31" i="14" s="1"/>
  <c r="B30" i="14"/>
  <c r="C30" i="14" s="1"/>
  <c r="J61" i="14"/>
  <c r="B32" i="13"/>
  <c r="C32" i="13" s="1"/>
  <c r="B122" i="13"/>
  <c r="C122" i="13" s="1"/>
  <c r="B94" i="13"/>
  <c r="C94" i="13" s="1"/>
  <c r="B156" i="13"/>
  <c r="C156" i="13" s="1"/>
  <c r="B92" i="13"/>
  <c r="C92" i="13" s="1"/>
  <c r="B121" i="13"/>
  <c r="C121" i="13" s="1"/>
  <c r="G125" i="13"/>
  <c r="J125" i="13" s="1"/>
  <c r="B32" i="12"/>
  <c r="C32" i="12" s="1"/>
  <c r="B63" i="12"/>
  <c r="C63" i="12" s="1"/>
  <c r="B92" i="12"/>
  <c r="C92" i="12" s="1"/>
  <c r="G156" i="12"/>
  <c r="J156" i="12" s="1"/>
  <c r="J155" i="12"/>
  <c r="J154" i="12"/>
  <c r="B91" i="12"/>
  <c r="C91" i="12" s="1"/>
  <c r="B90" i="12"/>
  <c r="C90" i="12" s="1"/>
  <c r="G94" i="12"/>
  <c r="J94" i="12" s="1"/>
  <c r="J93" i="12"/>
  <c r="B32" i="11"/>
  <c r="C32" i="11" s="1"/>
  <c r="G156" i="11"/>
  <c r="J156" i="11" s="1"/>
  <c r="J155" i="11"/>
  <c r="J154" i="11"/>
  <c r="B61" i="11"/>
  <c r="C61" i="11" s="1"/>
  <c r="B60" i="11"/>
  <c r="C60" i="11" s="1"/>
  <c r="J62" i="11"/>
  <c r="J93" i="11"/>
  <c r="B123" i="10"/>
  <c r="C123" i="10" s="1"/>
  <c r="B94" i="10"/>
  <c r="C94" i="10" s="1"/>
  <c r="B156" i="10"/>
  <c r="C156" i="10" s="1"/>
  <c r="G63" i="10"/>
  <c r="J63" i="10" s="1"/>
  <c r="J62" i="10"/>
  <c r="B31" i="10"/>
  <c r="C31" i="10" s="1"/>
  <c r="B92" i="10"/>
  <c r="C92" i="10" s="1"/>
  <c r="G125" i="10"/>
  <c r="J125" i="10" s="1"/>
  <c r="J124" i="10"/>
  <c r="J61" i="10"/>
  <c r="B92" i="9"/>
  <c r="C92" i="9" s="1"/>
  <c r="B154" i="9"/>
  <c r="C154" i="9" s="1"/>
  <c r="G32" i="9"/>
  <c r="J32" i="9" s="1"/>
  <c r="J31" i="9"/>
  <c r="J30" i="9"/>
  <c r="B125" i="9"/>
  <c r="C125" i="9" s="1"/>
  <c r="B124" i="9"/>
  <c r="C124" i="9" s="1"/>
  <c r="G94" i="9"/>
  <c r="J94" i="9" s="1"/>
  <c r="J93" i="9"/>
  <c r="G156" i="9"/>
  <c r="J156" i="9" s="1"/>
  <c r="J155" i="9"/>
  <c r="B63" i="9"/>
  <c r="C63" i="9" s="1"/>
  <c r="B62" i="9"/>
  <c r="C62" i="9" s="1"/>
  <c r="B92" i="8"/>
  <c r="C92" i="8" s="1"/>
  <c r="B123" i="8"/>
  <c r="C123" i="8" s="1"/>
  <c r="G63" i="8"/>
  <c r="J63" i="8" s="1"/>
  <c r="G32" i="8"/>
  <c r="J32" i="8" s="1"/>
  <c r="J31" i="8"/>
  <c r="G125" i="8"/>
  <c r="J125" i="8" s="1"/>
  <c r="B29" i="8"/>
  <c r="C29" i="8" s="1"/>
  <c r="B28" i="8"/>
  <c r="C28" i="8" s="1"/>
  <c r="G94" i="8"/>
  <c r="J94" i="8" s="1"/>
  <c r="J93" i="8"/>
  <c r="J155" i="8"/>
  <c r="B30" i="7"/>
  <c r="C30" i="7" s="1"/>
  <c r="B94" i="7"/>
  <c r="C94" i="7" s="1"/>
  <c r="B156" i="7"/>
  <c r="C156" i="7" s="1"/>
  <c r="J62" i="7"/>
  <c r="G32" i="7"/>
  <c r="J32" i="7" s="1"/>
  <c r="J31" i="7"/>
  <c r="B29" i="7"/>
  <c r="C29" i="7" s="1"/>
  <c r="B28" i="7"/>
  <c r="C28" i="7" s="1"/>
  <c r="B154" i="6"/>
  <c r="C154" i="6" s="1"/>
  <c r="B61" i="6"/>
  <c r="C61" i="6" s="1"/>
  <c r="B92" i="6"/>
  <c r="C92" i="6" s="1"/>
  <c r="G32" i="6"/>
  <c r="J32" i="6" s="1"/>
  <c r="J31" i="6"/>
  <c r="J30" i="6"/>
  <c r="G63" i="6"/>
  <c r="J63" i="6" s="1"/>
  <c r="G125" i="6"/>
  <c r="J125" i="6" s="1"/>
  <c r="B91" i="6"/>
  <c r="C91" i="6" s="1"/>
  <c r="G156" i="6"/>
  <c r="J156" i="6" s="1"/>
  <c r="J155" i="6"/>
  <c r="G94" i="6"/>
  <c r="J94" i="6" s="1"/>
  <c r="J93" i="6"/>
  <c r="B154" i="5"/>
  <c r="C154" i="5" s="1"/>
  <c r="B94" i="5"/>
  <c r="C94" i="5" s="1"/>
  <c r="B93" i="3"/>
  <c r="C93" i="3" s="1"/>
  <c r="B31" i="5"/>
  <c r="C31" i="5" s="1"/>
  <c r="B30" i="5"/>
  <c r="C30" i="5" s="1"/>
  <c r="G156" i="5"/>
  <c r="J156" i="5" s="1"/>
  <c r="J155" i="5"/>
  <c r="B156" i="4"/>
  <c r="C156" i="4" s="1"/>
  <c r="G32" i="4"/>
  <c r="J32" i="4" s="1"/>
  <c r="J31" i="4"/>
  <c r="G63" i="4"/>
  <c r="J63" i="4" s="1"/>
  <c r="J30" i="4"/>
  <c r="B125" i="4"/>
  <c r="C125" i="4" s="1"/>
  <c r="B124" i="4"/>
  <c r="C124" i="4" s="1"/>
  <c r="B93" i="4"/>
  <c r="C93" i="4" s="1"/>
  <c r="B32" i="3"/>
  <c r="C32" i="3" s="1"/>
  <c r="B156" i="3"/>
  <c r="C156" i="3" s="1"/>
  <c r="G125" i="3"/>
  <c r="J125" i="3" s="1"/>
  <c r="J124" i="3"/>
  <c r="B154" i="2"/>
  <c r="C154" i="2" s="1"/>
  <c r="B30" i="2"/>
  <c r="C30" i="2" s="1"/>
  <c r="B123" i="2"/>
  <c r="C123" i="2" s="1"/>
  <c r="J62" i="2"/>
  <c r="G63" i="2"/>
  <c r="J63" i="2" s="1"/>
  <c r="G32" i="2"/>
  <c r="J32" i="2" s="1"/>
  <c r="J31" i="2"/>
  <c r="B29" i="2"/>
  <c r="C29" i="2" s="1"/>
  <c r="B122" i="2"/>
  <c r="C122" i="2" s="1"/>
  <c r="B121" i="2"/>
  <c r="C121" i="2" s="1"/>
  <c r="G125" i="2"/>
  <c r="J125" i="2" s="1"/>
  <c r="B93" i="2"/>
  <c r="C93" i="2" s="1"/>
  <c r="G156" i="2"/>
  <c r="J156" i="2" s="1"/>
  <c r="J155" i="2"/>
  <c r="K154" i="1"/>
  <c r="B154" i="1" s="1"/>
  <c r="C154" i="1" s="1"/>
  <c r="G156" i="1"/>
  <c r="J156" i="1" s="1"/>
  <c r="J155" i="1"/>
  <c r="K122" i="1"/>
  <c r="K123" i="1"/>
  <c r="G125" i="1"/>
  <c r="J125" i="1" s="1"/>
  <c r="G94" i="1"/>
  <c r="J94" i="1" s="1"/>
  <c r="J93" i="1"/>
  <c r="J92" i="1"/>
  <c r="B91" i="1"/>
  <c r="C91" i="1" s="1"/>
  <c r="B90" i="1"/>
  <c r="C90" i="1" s="1"/>
  <c r="K61" i="1"/>
  <c r="K62" i="1"/>
  <c r="B63" i="1" s="1"/>
  <c r="C63" i="1" s="1"/>
  <c r="K63" i="1"/>
  <c r="G30" i="1"/>
  <c r="J28" i="1"/>
  <c r="K125" i="1" a="1"/>
  <c r="K28" i="1" a="1"/>
  <c r="K93" i="1" a="1"/>
  <c r="K92" i="1" a="1"/>
  <c r="K94" i="1" a="1"/>
  <c r="K155" i="1" a="1"/>
  <c r="K156" i="1" a="1"/>
  <c r="B93" i="13" l="1"/>
  <c r="C93" i="13" s="1"/>
  <c r="B123" i="13"/>
  <c r="C123" i="13" s="1"/>
  <c r="B62" i="12"/>
  <c r="C62" i="12" s="1"/>
  <c r="B61" i="16"/>
  <c r="C61" i="16" s="1"/>
  <c r="B60" i="16"/>
  <c r="C60" i="16" s="1"/>
  <c r="J62" i="16"/>
  <c r="J124" i="16"/>
  <c r="B155" i="16"/>
  <c r="C155" i="16" s="1"/>
  <c r="B154" i="16"/>
  <c r="C154" i="16" s="1"/>
  <c r="B155" i="13"/>
  <c r="C155" i="13" s="1"/>
  <c r="B31" i="15"/>
  <c r="C31" i="15" s="1"/>
  <c r="B30" i="15"/>
  <c r="C30" i="15" s="1"/>
  <c r="B94" i="14"/>
  <c r="C94" i="14" s="1"/>
  <c r="J62" i="14"/>
  <c r="J124" i="14"/>
  <c r="B31" i="13"/>
  <c r="C31" i="13" s="1"/>
  <c r="B123" i="14"/>
  <c r="C123" i="14" s="1"/>
  <c r="B122" i="14"/>
  <c r="C122" i="14" s="1"/>
  <c r="J124" i="13"/>
  <c r="B156" i="12"/>
  <c r="C156" i="12" s="1"/>
  <c r="B94" i="12"/>
  <c r="C94" i="12" s="1"/>
  <c r="B93" i="10"/>
  <c r="C93" i="10" s="1"/>
  <c r="B31" i="12"/>
  <c r="C31" i="12" s="1"/>
  <c r="B30" i="12"/>
  <c r="C30" i="12" s="1"/>
  <c r="B125" i="12"/>
  <c r="C125" i="12" s="1"/>
  <c r="B124" i="12"/>
  <c r="C124" i="12" s="1"/>
  <c r="B155" i="10"/>
  <c r="C155" i="10" s="1"/>
  <c r="B156" i="11"/>
  <c r="C156" i="11" s="1"/>
  <c r="B31" i="11"/>
  <c r="C31" i="11" s="1"/>
  <c r="B30" i="11"/>
  <c r="C30" i="11" s="1"/>
  <c r="B125" i="11"/>
  <c r="C125" i="11" s="1"/>
  <c r="B124" i="11"/>
  <c r="C124" i="11" s="1"/>
  <c r="B63" i="10"/>
  <c r="C63" i="10" s="1"/>
  <c r="B125" i="10"/>
  <c r="C125" i="10" s="1"/>
  <c r="B156" i="9"/>
  <c r="C156" i="9" s="1"/>
  <c r="B32" i="9"/>
  <c r="C32" i="9" s="1"/>
  <c r="B94" i="9"/>
  <c r="C94" i="9" s="1"/>
  <c r="B32" i="8"/>
  <c r="C32" i="8" s="1"/>
  <c r="B94" i="8"/>
  <c r="C94" i="8" s="1"/>
  <c r="J124" i="8"/>
  <c r="J62" i="8"/>
  <c r="B61" i="8"/>
  <c r="C61" i="8" s="1"/>
  <c r="B60" i="8"/>
  <c r="C60" i="8" s="1"/>
  <c r="B93" i="7"/>
  <c r="C93" i="7" s="1"/>
  <c r="B30" i="8"/>
  <c r="C30" i="8" s="1"/>
  <c r="B32" i="7"/>
  <c r="C32" i="7" s="1"/>
  <c r="B155" i="7"/>
  <c r="C155" i="7" s="1"/>
  <c r="B154" i="7"/>
  <c r="C154" i="7" s="1"/>
  <c r="B32" i="6"/>
  <c r="C32" i="6" s="1"/>
  <c r="B94" i="6"/>
  <c r="C94" i="6" s="1"/>
  <c r="B156" i="6"/>
  <c r="C156" i="6" s="1"/>
  <c r="J62" i="6"/>
  <c r="B123" i="6"/>
  <c r="C123" i="6" s="1"/>
  <c r="B122" i="6"/>
  <c r="C122" i="6" s="1"/>
  <c r="J124" i="6"/>
  <c r="B156" i="5"/>
  <c r="C156" i="5" s="1"/>
  <c r="B93" i="5"/>
  <c r="C93" i="5" s="1"/>
  <c r="B92" i="5"/>
  <c r="C92" i="5" s="1"/>
  <c r="B63" i="5"/>
  <c r="C63" i="5" s="1"/>
  <c r="B62" i="5"/>
  <c r="C62" i="5" s="1"/>
  <c r="B155" i="4"/>
  <c r="C155" i="4" s="1"/>
  <c r="B32" i="4"/>
  <c r="C32" i="4" s="1"/>
  <c r="J62" i="4"/>
  <c r="B61" i="4"/>
  <c r="C61" i="4" s="1"/>
  <c r="B60" i="4"/>
  <c r="C60" i="4" s="1"/>
  <c r="B31" i="3"/>
  <c r="C31" i="3" s="1"/>
  <c r="B125" i="3"/>
  <c r="C125" i="3" s="1"/>
  <c r="B155" i="3"/>
  <c r="C155" i="3" s="1"/>
  <c r="B154" i="3"/>
  <c r="C154" i="3" s="1"/>
  <c r="B123" i="3"/>
  <c r="C123" i="3" s="1"/>
  <c r="B122" i="3"/>
  <c r="C122" i="3" s="1"/>
  <c r="B32" i="2"/>
  <c r="C32" i="2" s="1"/>
  <c r="B63" i="2"/>
  <c r="C63" i="2" s="1"/>
  <c r="B156" i="2"/>
  <c r="C156" i="2" s="1"/>
  <c r="J124" i="2"/>
  <c r="B61" i="2"/>
  <c r="C61" i="2" s="1"/>
  <c r="B60" i="2"/>
  <c r="C60" i="2" s="1"/>
  <c r="K155" i="1"/>
  <c r="B156" i="1" s="1"/>
  <c r="C156" i="1" s="1"/>
  <c r="K156" i="1"/>
  <c r="K125" i="1"/>
  <c r="J124" i="1"/>
  <c r="B123" i="1"/>
  <c r="C123" i="1" s="1"/>
  <c r="B122" i="1"/>
  <c r="C122" i="1" s="1"/>
  <c r="K92" i="1"/>
  <c r="K93" i="1"/>
  <c r="B94" i="1" s="1"/>
  <c r="C94" i="1" s="1"/>
  <c r="K94" i="1"/>
  <c r="B62" i="1"/>
  <c r="C62" i="1" s="1"/>
  <c r="B61" i="1"/>
  <c r="C61" i="1" s="1"/>
  <c r="K28" i="1"/>
  <c r="G31" i="1"/>
  <c r="J30" i="1"/>
  <c r="J29" i="1"/>
  <c r="K29" i="1" a="1"/>
  <c r="K30" i="1" a="1"/>
  <c r="K124" i="1" a="1"/>
  <c r="B124" i="10" l="1"/>
  <c r="C124" i="10" s="1"/>
  <c r="B28" i="1"/>
  <c r="C28" i="1" s="1"/>
  <c r="B93" i="12"/>
  <c r="C93" i="12" s="1"/>
  <c r="B32" i="16"/>
  <c r="C32" i="16" s="1"/>
  <c r="B31" i="16"/>
  <c r="C31" i="16" s="1"/>
  <c r="B63" i="14"/>
  <c r="C63" i="14" s="1"/>
  <c r="B61" i="14"/>
  <c r="C61" i="14" s="1"/>
  <c r="B93" i="14"/>
  <c r="C93" i="14" s="1"/>
  <c r="B92" i="14"/>
  <c r="C92" i="14" s="1"/>
  <c r="B93" i="9"/>
  <c r="C93" i="9" s="1"/>
  <c r="B155" i="12"/>
  <c r="C155" i="12" s="1"/>
  <c r="B154" i="12"/>
  <c r="C154" i="12" s="1"/>
  <c r="B94" i="11"/>
  <c r="C94" i="11" s="1"/>
  <c r="B93" i="11"/>
  <c r="C93" i="11" s="1"/>
  <c r="B155" i="9"/>
  <c r="C155" i="9" s="1"/>
  <c r="B155" i="11"/>
  <c r="C155" i="11" s="1"/>
  <c r="B154" i="11"/>
  <c r="C154" i="11" s="1"/>
  <c r="B63" i="11"/>
  <c r="C63" i="11" s="1"/>
  <c r="B62" i="11"/>
  <c r="C62" i="11" s="1"/>
  <c r="B31" i="7"/>
  <c r="C31" i="7" s="1"/>
  <c r="B62" i="10"/>
  <c r="C62" i="10" s="1"/>
  <c r="B61" i="10"/>
  <c r="C61" i="10" s="1"/>
  <c r="B31" i="9"/>
  <c r="C31" i="9" s="1"/>
  <c r="B30" i="9"/>
  <c r="C30" i="9" s="1"/>
  <c r="B31" i="8"/>
  <c r="C31" i="8" s="1"/>
  <c r="B155" i="5"/>
  <c r="C155" i="5" s="1"/>
  <c r="B156" i="8"/>
  <c r="C156" i="8" s="1"/>
  <c r="B155" i="8"/>
  <c r="C155" i="8" s="1"/>
  <c r="B93" i="8"/>
  <c r="C93" i="8" s="1"/>
  <c r="B31" i="2"/>
  <c r="C31" i="2" s="1"/>
  <c r="B93" i="6"/>
  <c r="C93" i="6" s="1"/>
  <c r="B63" i="7"/>
  <c r="C63" i="7" s="1"/>
  <c r="B62" i="7"/>
  <c r="C62" i="7" s="1"/>
  <c r="B31" i="6"/>
  <c r="C31" i="6" s="1"/>
  <c r="B30" i="6"/>
  <c r="C30" i="6" s="1"/>
  <c r="B155" i="6"/>
  <c r="C155" i="6" s="1"/>
  <c r="B62" i="2"/>
  <c r="C62" i="2" s="1"/>
  <c r="B124" i="3"/>
  <c r="C124" i="3" s="1"/>
  <c r="B155" i="2"/>
  <c r="C155" i="2" s="1"/>
  <c r="B31" i="4"/>
  <c r="C31" i="4" s="1"/>
  <c r="B30" i="4"/>
  <c r="C30" i="4" s="1"/>
  <c r="B155" i="1"/>
  <c r="C155" i="1" s="1"/>
  <c r="K124" i="1"/>
  <c r="B93" i="1"/>
  <c r="C93" i="1" s="1"/>
  <c r="B92" i="1"/>
  <c r="C92" i="1" s="1"/>
  <c r="K30" i="1"/>
  <c r="K29" i="1"/>
  <c r="J31" i="1"/>
  <c r="G32" i="1"/>
  <c r="J32" i="1" s="1"/>
  <c r="K31" i="1" a="1"/>
  <c r="K32" i="1" a="1"/>
  <c r="B62" i="14" l="1"/>
  <c r="C62" i="14" s="1"/>
  <c r="B29" i="1"/>
  <c r="C29" i="1" s="1"/>
  <c r="B63" i="16"/>
  <c r="C63" i="16" s="1"/>
  <c r="B62" i="16"/>
  <c r="C62" i="16" s="1"/>
  <c r="B125" i="16"/>
  <c r="C125" i="16" s="1"/>
  <c r="B124" i="16"/>
  <c r="C124" i="16" s="1"/>
  <c r="B125" i="14"/>
  <c r="C125" i="14" s="1"/>
  <c r="B124" i="14"/>
  <c r="C124" i="14" s="1"/>
  <c r="B125" i="13"/>
  <c r="C125" i="13" s="1"/>
  <c r="B124" i="13"/>
  <c r="C124" i="13" s="1"/>
  <c r="B125" i="8"/>
  <c r="C125" i="8" s="1"/>
  <c r="B124" i="8"/>
  <c r="C124" i="8" s="1"/>
  <c r="B63" i="8"/>
  <c r="C63" i="8" s="1"/>
  <c r="B62" i="8"/>
  <c r="C62" i="8" s="1"/>
  <c r="B125" i="6"/>
  <c r="C125" i="6" s="1"/>
  <c r="B124" i="6"/>
  <c r="C124" i="6" s="1"/>
  <c r="B63" i="6"/>
  <c r="C63" i="6" s="1"/>
  <c r="B62" i="6"/>
  <c r="C62" i="6" s="1"/>
  <c r="B63" i="4"/>
  <c r="C63" i="4" s="1"/>
  <c r="B62" i="4"/>
  <c r="C62" i="4" s="1"/>
  <c r="B125" i="2"/>
  <c r="C125" i="2" s="1"/>
  <c r="B124" i="2"/>
  <c r="C124" i="2" s="1"/>
  <c r="B125" i="1"/>
  <c r="C125" i="1" s="1"/>
  <c r="B124" i="1"/>
  <c r="C124" i="1" s="1"/>
  <c r="K31" i="1"/>
  <c r="K32" i="1"/>
  <c r="B30" i="1" l="1"/>
  <c r="C30" i="1" s="1"/>
  <c r="B32" i="1"/>
  <c r="C32" i="1" s="1"/>
  <c r="B31" i="1" l="1"/>
  <c r="C3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<sst xmlns="http://schemas.openxmlformats.org/spreadsheetml/2006/main" count="5146" uniqueCount="31">
  <si>
    <t>Scenario</t>
  </si>
  <si>
    <t>Volume</t>
  </si>
  <si>
    <t>Herhalingstijd</t>
  </si>
  <si>
    <t>Ov.Freq</t>
  </si>
  <si>
    <t>Zichtjaar</t>
  </si>
  <si>
    <t>corner</t>
  </si>
  <si>
    <t>lower</t>
  </si>
  <si>
    <t>center</t>
  </si>
  <si>
    <t>upper</t>
  </si>
  <si>
    <t>GL</t>
  </si>
  <si>
    <t>WL</t>
  </si>
  <si>
    <t>GH</t>
  </si>
  <si>
    <t>WH</t>
  </si>
  <si>
    <t>Bovengrens</t>
  </si>
  <si>
    <t>DUUR</t>
  </si>
  <si>
    <t>KANS</t>
  </si>
  <si>
    <t>KANSCORR</t>
  </si>
  <si>
    <t>KLIMAATSCENARIO</t>
  </si>
  <si>
    <t>SEIZOEN</t>
  </si>
  <si>
    <t>winter</t>
  </si>
  <si>
    <t>USE</t>
  </si>
  <si>
    <t>zomer</t>
  </si>
  <si>
    <t>VOLUME</t>
  </si>
  <si>
    <t>STOWA2019_HUIDIG</t>
  </si>
  <si>
    <t>STOWA2019_2030_CENTER</t>
  </si>
  <si>
    <t>STOWA2019_2030_UPPER</t>
  </si>
  <si>
    <t>STOWA2019_2030_LOWER</t>
  </si>
  <si>
    <t>STOWA2019_2050GL_CENTER</t>
  </si>
  <si>
    <t>STOWA2019_2050GH_CENTER</t>
  </si>
  <si>
    <t>STOWA2019_2050WL_CENTER</t>
  </si>
  <si>
    <t>STOWA2019_2050WH_CENTER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</si>
</sst>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sheetMetadata" Target="metadata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2000"/>
              <a:t>24  uur, zomer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'2014 ZOMER'!$H$1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'2014 ZOMER'!$K$2:$K$31</c:f>
              <c:numCache>
                <c:formatCode>General</c:formatCode>
                <c:ptCount val="30"/>
                <c:pt idx="0">
                  <c:v>6.7554707557999943E-2</c:v>
                </c:pt>
                <c:pt idx="1">
                  <c:v>9.7349782996224654E-2</c:v>
                </c:pt>
                <c:pt idx="2">
                  <c:v>0.19212626160207871</c:v>
                </c:pt>
                <c:pt idx="3">
                  <c:v>0.3577490949484286</c:v>
                </c:pt>
                <c:pt idx="4">
                  <c:v>0.6342908507456485</c:v>
                </c:pt>
                <c:pt idx="5">
                  <c:v>1.0783579040676472</c:v>
                </c:pt>
                <c:pt idx="6">
                  <c:v>1.7685041126014305</c:v>
                </c:pt>
                <c:pt idx="7">
                  <c:v>2.8102976133714779</c:v>
                </c:pt>
                <c:pt idx="8">
                  <c:v>4.3435569146961592</c:v>
                </c:pt>
                <c:pt idx="9">
                  <c:v>6.5501672310607457</c:v>
                </c:pt>
                <c:pt idx="10">
                  <c:v>9.6629484089408866</c:v>
                </c:pt>
                <c:pt idx="11">
                  <c:v>13.976488439118112</c:v>
                </c:pt>
                <c:pt idx="12">
                  <c:v>19.857781648529802</c:v>
                </c:pt>
                <c:pt idx="13">
                  <c:v>27.76112932598123</c:v>
                </c:pt>
                <c:pt idx="14">
                  <c:v>38.241213534055838</c:v>
                </c:pt>
                <c:pt idx="15">
                  <c:v>51.969862887065169</c:v>
                </c:pt>
                <c:pt idx="16">
                  <c:v>69.755863029448577</c:v>
                </c:pt>
                <c:pt idx="17">
                  <c:v>92.56165275335286</c:v>
                </c:pt>
                <c:pt idx="18">
                  <c:v>121.52886009251968</c:v>
                </c:pt>
                <c:pt idx="19">
                  <c:v>158.00035893404382</c:v>
                </c:pt>
                <c:pt idx="20">
                  <c:v>203.5484849188102</c:v>
                </c:pt>
                <c:pt idx="21">
                  <c:v>259.99789919090267</c:v>
                </c:pt>
                <c:pt idx="22">
                  <c:v>329.46451529521158</c:v>
                </c:pt>
                <c:pt idx="23">
                  <c:v>414.38117821605846</c:v>
                </c:pt>
                <c:pt idx="24">
                  <c:v>517.54512801657881</c:v>
                </c:pt>
                <c:pt idx="25">
                  <c:v>642.1420307315525</c:v>
                </c:pt>
                <c:pt idx="26">
                  <c:v>791.79691398143643</c:v>
                </c:pt>
                <c:pt idx="27">
                  <c:v>970.61641596211564</c:v>
                </c:pt>
                <c:pt idx="28">
                  <c:v>1183.2363313595829</c:v>
                </c:pt>
                <c:pt idx="29">
                  <c:v>1434.8651089204716</c:v>
                </c:pt>
              </c:numCache>
            </c:numRef>
          </c:xVal>
          <c:yVal>
            <c:numRef>
              <c:f>'2014 ZOMER'!$G$2:$G$31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9B-4581-ADC2-6BD28A8CBD92}"/>
            </c:ext>
          </c:extLst>
        </c:ser>
        <c:ser>
          <c:idx val="1"/>
          <c:order val="1"/>
          <c:tx>
            <c:v>2030 center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'2030 ZOMER center'!$K$2:$K$31</c:f>
              <c:numCache>
                <c:formatCode>General</c:formatCode>
                <c:ptCount val="30"/>
                <c:pt idx="0">
                  <c:v>6.6496191472509014E-2</c:v>
                </c:pt>
                <c:pt idx="1">
                  <c:v>9.425340258846468E-2</c:v>
                </c:pt>
                <c:pt idx="2">
                  <c:v>0.18104808530285235</c:v>
                </c:pt>
                <c:pt idx="3">
                  <c:v>0.32988200144645863</c:v>
                </c:pt>
                <c:pt idx="4">
                  <c:v>0.57442564195166057</c:v>
                </c:pt>
                <c:pt idx="5">
                  <c:v>0.9618827007810814</c:v>
                </c:pt>
                <c:pt idx="6">
                  <c:v>1.5566039976542478</c:v>
                </c:pt>
                <c:pt idx="7">
                  <c:v>2.4452823157062036</c:v>
                </c:pt>
                <c:pt idx="8">
                  <c:v>3.7412200601471772</c:v>
                </c:pt>
                <c:pt idx="9">
                  <c:v>5.5911478381446704</c:v>
                </c:pt>
                <c:pt idx="10">
                  <c:v>8.1818145609126898</c:v>
                </c:pt>
                <c:pt idx="11">
                  <c:v>11.748207842416555</c:v>
                </c:pt>
                <c:pt idx="12">
                  <c:v>16.582321890271945</c:v>
                </c:pt>
                <c:pt idx="13">
                  <c:v>23.043261626968217</c:v>
                </c:pt>
                <c:pt idx="14">
                  <c:v>31.568465927853463</c:v>
                </c:pt>
                <c:pt idx="15">
                  <c:v>42.68579706527153</c:v>
                </c:pt>
                <c:pt idx="16">
                  <c:v>57.02877195687482</c:v>
                </c:pt>
                <c:pt idx="17">
                  <c:v>75.349056177042456</c:v>
                </c:pt>
                <c:pt idx="18">
                  <c:v>98.535930702245068</c:v>
                </c:pt>
                <c:pt idx="19">
                  <c:v>127.63284870679009</c:v>
                </c:pt>
                <c:pt idx="20">
                  <c:v>163.85879889918888</c:v>
                </c:pt>
                <c:pt idx="21">
                  <c:v>208.62524866973993</c:v>
                </c:pt>
                <c:pt idx="22">
                  <c:v>263.56580726277491</c:v>
                </c:pt>
                <c:pt idx="23">
                  <c:v>330.55727904575463</c:v>
                </c:pt>
                <c:pt idx="24">
                  <c:v>411.74512089420392</c:v>
                </c:pt>
                <c:pt idx="25">
                  <c:v>509.58217217897129</c:v>
                </c:pt>
                <c:pt idx="26">
                  <c:v>626.84582263809295</c:v>
                </c:pt>
                <c:pt idx="27">
                  <c:v>766.6802412618232</c:v>
                </c:pt>
                <c:pt idx="28">
                  <c:v>932.62977838093343</c:v>
                </c:pt>
                <c:pt idx="29">
                  <c:v>1128.6710776211191</c:v>
                </c:pt>
              </c:numCache>
            </c:numRef>
          </c:xVal>
          <c:yVal>
            <c:numRef>
              <c:f>'2030 ZOMER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9B-4581-ADC2-6BD28A8CBD92}"/>
            </c:ext>
          </c:extLst>
        </c:ser>
        <c:ser>
          <c:idx val="2"/>
          <c:order val="2"/>
          <c:tx>
            <c:v>2050 GH center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'2050GH ZOMER center'!$K$2:$K$31</c:f>
              <c:numCache>
                <c:formatCode>General</c:formatCode>
                <c:ptCount val="30"/>
                <c:pt idx="0">
                  <c:v>6.4260348349620119E-2</c:v>
                </c:pt>
                <c:pt idx="1">
                  <c:v>9.1232878850479773E-2</c:v>
                </c:pt>
                <c:pt idx="2">
                  <c:v>0.17566134777137202</c:v>
                </c:pt>
                <c:pt idx="3">
                  <c:v>0.3205854400431577</c:v>
                </c:pt>
                <c:pt idx="4">
                  <c:v>0.55892124741875493</c:v>
                </c:pt>
                <c:pt idx="5">
                  <c:v>0.93684321057155096</c:v>
                </c:pt>
                <c:pt idx="6">
                  <c:v>1.5172906698722248</c:v>
                </c:pt>
                <c:pt idx="7">
                  <c:v>2.3851533489969503</c:v>
                </c:pt>
                <c:pt idx="8">
                  <c:v>3.6513864646424636</c:v>
                </c:pt>
                <c:pt idx="9">
                  <c:v>5.4597336457630457</c:v>
                </c:pt>
                <c:pt idx="10">
                  <c:v>7.9932031166283206</c:v>
                </c:pt>
                <c:pt idx="11">
                  <c:v>11.482141749246118</c:v>
                </c:pt>
                <c:pt idx="12">
                  <c:v>16.212853237060898</c:v>
                </c:pt>
                <c:pt idx="13">
                  <c:v>22.537529459749553</c:v>
                </c:pt>
                <c:pt idx="14">
                  <c:v>30.885284109378603</c:v>
                </c:pt>
                <c:pt idx="15">
                  <c:v>41.774038978266461</c:v>
                </c:pt>
                <c:pt idx="16">
                  <c:v>55.825504288785758</c:v>
                </c:pt>
                <c:pt idx="17">
                  <c:v>73.777462868068952</c:v>
                </c:pt>
                <c:pt idx="18">
                  <c:v>96.502922231721271</c:v>
                </c:pt>
                <c:pt idx="19">
                  <c:v>125.02639998999589</c:v>
                </c:pt>
                <c:pt idx="20">
                  <c:v>160.54494552124041</c:v>
                </c:pt>
                <c:pt idx="21">
                  <c:v>204.44480009673069</c:v>
                </c:pt>
                <c:pt idx="22">
                  <c:v>258.33060092716568</c:v>
                </c:pt>
                <c:pt idx="23">
                  <c:v>324.04609144610237</c:v>
                </c:pt>
                <c:pt idx="24">
                  <c:v>403.69917135286505</c:v>
                </c:pt>
                <c:pt idx="25">
                  <c:v>499.70004384518211</c:v>
                </c:pt>
                <c:pt idx="26">
                  <c:v>614.77807891144857</c:v>
                </c:pt>
                <c:pt idx="27">
                  <c:v>752.02340665205941</c:v>
                </c:pt>
                <c:pt idx="28">
                  <c:v>914.91979632694029</c:v>
                </c:pt>
                <c:pt idx="29">
                  <c:v>1107.3762556463905</c:v>
                </c:pt>
              </c:numCache>
            </c:numRef>
          </c:xVal>
          <c:yVal>
            <c:numRef>
              <c:f>'2050GH ZOMER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9B-4581-ADC2-6BD28A8CBD92}"/>
            </c:ext>
          </c:extLst>
        </c:ser>
        <c:ser>
          <c:idx val="3"/>
          <c:order val="3"/>
          <c:tx>
            <c:v>2050 GL center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'2050GL ZOMER center'!$K$2:$K$31</c:f>
              <c:numCache>
                <c:formatCode>General</c:formatCode>
                <c:ptCount val="30"/>
                <c:pt idx="0">
                  <c:v>6.5194412228586809E-2</c:v>
                </c:pt>
                <c:pt idx="1">
                  <c:v>9.2610566188864457E-2</c:v>
                </c:pt>
                <c:pt idx="2">
                  <c:v>0.17850594683947954</c:v>
                </c:pt>
                <c:pt idx="3">
                  <c:v>0.32609276768554568</c:v>
                </c:pt>
                <c:pt idx="4">
                  <c:v>0.56900894683029402</c:v>
                </c:pt>
                <c:pt idx="5">
                  <c:v>0.95447008144654577</c:v>
                </c:pt>
                <c:pt idx="6">
                  <c:v>1.5468884051811391</c:v>
                </c:pt>
                <c:pt idx="7">
                  <c:v>2.4330729210685602</c:v>
                </c:pt>
                <c:pt idx="8">
                  <c:v>3.726698454349227</c:v>
                </c:pt>
                <c:pt idx="9">
                  <c:v>5.574958983992544</c:v>
                </c:pt>
                <c:pt idx="10">
                  <c:v>8.1653396486833945</c:v>
                </c:pt>
                <c:pt idx="11">
                  <c:v>11.733886517248427</c:v>
                </c:pt>
                <c:pt idx="12">
                  <c:v>16.574053531931764</c:v>
                </c:pt>
                <c:pt idx="13">
                  <c:v>23.046903862644797</c:v>
                </c:pt>
                <c:pt idx="14">
                  <c:v>31.592443540846823</c:v>
                </c:pt>
                <c:pt idx="15">
                  <c:v>42.741827775091906</c:v>
                </c:pt>
                <c:pt idx="16">
                  <c:v>57.132768200960669</c:v>
                </c:pt>
                <c:pt idx="17">
                  <c:v>75.522123960370763</c:v>
                </c:pt>
                <c:pt idx="18">
                  <c:v>98.80561290819017</c:v>
                </c:pt>
                <c:pt idx="19">
                  <c:v>128.03550893156566</c:v>
                </c:pt>
                <c:pt idx="20">
                  <c:v>164.43735897843464</c:v>
                </c:pt>
                <c:pt idx="21">
                  <c:v>209.43686557865726</c:v>
                </c:pt>
                <c:pt idx="22">
                  <c:v>264.68015969151213</c:v>
                </c:pt>
                <c:pt idx="23">
                  <c:v>332.05995050125722</c:v>
                </c:pt>
                <c:pt idx="24">
                  <c:v>413.74286543691204</c:v>
                </c:pt>
                <c:pt idx="25">
                  <c:v>512.1958230085188</c:v>
                </c:pt>
                <c:pt idx="26">
                  <c:v>630.22909276796395</c:v>
                </c:pt>
                <c:pt idx="27">
                  <c:v>771.01328521080416</c:v>
                </c:pt>
                <c:pt idx="28">
                  <c:v>938.12605634197621</c:v>
                </c:pt>
                <c:pt idx="29">
                  <c:v>1135.5819655991802</c:v>
                </c:pt>
              </c:numCache>
            </c:numRef>
          </c:xVal>
          <c:yVal>
            <c:numRef>
              <c:f>'2050GL ZOMER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9B-4581-ADC2-6BD28A8CBD92}"/>
            </c:ext>
          </c:extLst>
        </c:ser>
        <c:ser>
          <c:idx val="4"/>
          <c:order val="4"/>
          <c:tx>
            <c:v>2050 WH center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'2050WH ZOMER center'!$K$2:$K$31</c:f>
              <c:numCache>
                <c:formatCode>General</c:formatCode>
                <c:ptCount val="30"/>
                <c:pt idx="0">
                  <c:v>6.1565512112955863E-2</c:v>
                </c:pt>
                <c:pt idx="1">
                  <c:v>8.6907925136509953E-2</c:v>
                </c:pt>
                <c:pt idx="2">
                  <c:v>0.16568129742810109</c:v>
                </c:pt>
                <c:pt idx="3">
                  <c:v>0.29988809010933071</c:v>
                </c:pt>
                <c:pt idx="4">
                  <c:v>0.51919079835387849</c:v>
                </c:pt>
                <c:pt idx="5">
                  <c:v>0.86500623431987222</c:v>
                </c:pt>
                <c:pt idx="6">
                  <c:v>1.3936373811149783</c:v>
                </c:pt>
                <c:pt idx="7">
                  <c:v>2.1806835429440139</c:v>
                </c:pt>
                <c:pt idx="8">
                  <c:v>3.324757556618573</c:v>
                </c:pt>
                <c:pt idx="9">
                  <c:v>4.953264298261943</c:v>
                </c:pt>
                <c:pt idx="10">
                  <c:v>7.2281295322974035</c:v>
                </c:pt>
                <c:pt idx="11">
                  <c:v>10.352503629364186</c:v>
                </c:pt>
                <c:pt idx="12">
                  <c:v>14.578674338941886</c:v>
                </c:pt>
                <c:pt idx="13">
                  <c:v>20.216403185791702</c:v>
                </c:pt>
                <c:pt idx="14">
                  <c:v>27.642286745327997</c:v>
                </c:pt>
                <c:pt idx="15">
                  <c:v>37.311345251227209</c:v>
                </c:pt>
                <c:pt idx="16">
                  <c:v>49.766911967110602</c:v>
                </c:pt>
                <c:pt idx="17">
                  <c:v>65.656031909048295</c:v>
                </c:pt>
                <c:pt idx="18">
                  <c:v>85.740426010600757</c:v>
                </c:pt>
                <c:pt idx="19">
                  <c:v>110.91502179555633</c:v>
                </c:pt>
                <c:pt idx="20">
                  <c:v>142.22297690187548</c:v>
                </c:pt>
                <c:pt idx="21">
                  <c:v>180.87431051750158</c:v>
                </c:pt>
                <c:pt idx="22">
                  <c:v>228.26561684918371</c:v>
                </c:pt>
                <c:pt idx="23">
                  <c:v>286.00133938672548</c:v>
                </c:pt>
                <c:pt idx="24">
                  <c:v>355.91667276561151</c:v>
                </c:pt>
                <c:pt idx="25">
                  <c:v>440.10215961962081</c:v>
                </c:pt>
                <c:pt idx="26">
                  <c:v>540.93005038893568</c:v>
                </c:pt>
                <c:pt idx="27">
                  <c:v>661.08249460891761</c:v>
                </c:pt>
                <c:pt idx="28">
                  <c:v>803.57745213763258</c:v>
                </c:pt>
                <c:pt idx="29">
                  <c:v>971.81700269907344</c:v>
                </c:pt>
              </c:numCache>
            </c:numRef>
          </c:xVal>
          <c:yVal>
            <c:numRef>
              <c:f>'2050WH ZOMER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29B-4581-ADC2-6BD28A8CBD92}"/>
            </c:ext>
          </c:extLst>
        </c:ser>
        <c:ser>
          <c:idx val="5"/>
          <c:order val="5"/>
          <c:tx>
            <c:v>2050 WL center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'2050WL ZOMER center'!$K$2:$K$31</c:f>
              <c:numCache>
                <c:formatCode>General</c:formatCode>
                <c:ptCount val="30"/>
                <c:pt idx="0">
                  <c:v>6.1625673478569259E-2</c:v>
                </c:pt>
                <c:pt idx="1">
                  <c:v>8.5785758635209181E-2</c:v>
                </c:pt>
                <c:pt idx="2">
                  <c:v>0.15983302872175451</c:v>
                </c:pt>
                <c:pt idx="3">
                  <c:v>0.28401522196986773</c:v>
                </c:pt>
                <c:pt idx="4">
                  <c:v>0.48420590421434756</c:v>
                </c:pt>
                <c:pt idx="5">
                  <c:v>0.79625863232353711</c:v>
                </c:pt>
                <c:pt idx="6">
                  <c:v>1.2684520166169775</c:v>
                </c:pt>
                <c:pt idx="7">
                  <c:v>1.9652359471629852</c:v>
                </c:pt>
                <c:pt idx="8">
                  <c:v>2.9701772434035925</c:v>
                </c:pt>
                <c:pt idx="9">
                  <c:v>4.3906436478140751</c:v>
                </c:pt>
                <c:pt idx="10">
                  <c:v>6.3624508100222457</c:v>
                </c:pt>
                <c:pt idx="11">
                  <c:v>9.0552580974115049</c:v>
                </c:pt>
                <c:pt idx="12">
                  <c:v>12.67895166181145</c:v>
                </c:pt>
                <c:pt idx="13">
                  <c:v>17.49032067510359</c:v>
                </c:pt>
                <c:pt idx="14">
                  <c:v>23.800544763783286</c:v>
                </c:pt>
                <c:pt idx="15">
                  <c:v>31.984526643153512</c:v>
                </c:pt>
                <c:pt idx="16">
                  <c:v>42.488664858876326</c:v>
                </c:pt>
                <c:pt idx="17">
                  <c:v>55.843299770081387</c:v>
                </c:pt>
                <c:pt idx="18">
                  <c:v>72.671227270000372</c:v>
                </c:pt>
                <c:pt idx="19">
                  <c:v>93.702643945183922</c:v>
                </c:pt>
                <c:pt idx="20">
                  <c:v>119.78695516650239</c:v>
                </c:pt>
                <c:pt idx="21">
                  <c:v>151.90758249356611</c:v>
                </c:pt>
                <c:pt idx="22">
                  <c:v>191.197584073841</c:v>
                </c:pt>
                <c:pt idx="23">
                  <c:v>238.95649517284423</c:v>
                </c:pt>
                <c:pt idx="24">
                  <c:v>296.66844033264942</c:v>
                </c:pt>
                <c:pt idx="25">
                  <c:v>366.02156910127377</c:v>
                </c:pt>
                <c:pt idx="26">
                  <c:v>448.9288677095916</c:v>
                </c:pt>
                <c:pt idx="27">
                  <c:v>547.5503994959405</c:v>
                </c:pt>
                <c:pt idx="28">
                  <c:v>664.31343934680001</c:v>
                </c:pt>
                <c:pt idx="29">
                  <c:v>801.95167855518207</c:v>
                </c:pt>
              </c:numCache>
            </c:numRef>
          </c:xVal>
          <c:yVal>
            <c:numRef>
              <c:f>'2050WL ZOMER center'!$G$2:$G$31</c:f>
              <c:numCache>
                <c:formatCode>General</c:formatCode>
                <c:ptCount val="3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29B-4581-ADC2-6BD28A8CB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333248"/>
        <c:axId val="626333576"/>
      </c:scatterChart>
      <c:valAx>
        <c:axId val="626333248"/>
        <c:scaling>
          <c:logBase val="10"/>
          <c:orientation val="minMax"/>
          <c:max val="1000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100"/>
                  <a:t>Herhalingstijd (jaren)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6333576"/>
        <c:crosses val="autoZero"/>
        <c:crossBetween val="midCat"/>
      </c:valAx>
      <c:valAx>
        <c:axId val="626333576"/>
        <c:scaling>
          <c:orientation val="minMax"/>
          <c:max val="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/>
                  <a:t>Volume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26333248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560028-6850-4B45-A333-07433B41CA0A}">
  <sheetPr codeName="Grafiek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952500</xdr:colOff>
          <xdr:row>3</xdr:row>
          <xdr:rowOff>0</xdr:rowOff>
        </xdr:from>
        <xdr:to>
          <xdr:col>12</xdr:col>
          <xdr:colOff>411480</xdr:colOff>
          <xdr:row>6</xdr:row>
          <xdr:rowOff>22860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084EC-CBB1-454B-A73E-0D7510D9349B}">
  <sheetPr codeName="Blad1"/>
  <dimension ref="A1:L156"/>
  <sheetViews>
    <sheetView tabSelected="1" workbookViewId="0">
      <selection activeCell="L12" sqref="L12"/>
    </sheetView>
  </sheetViews>
  <sheetFormatPr defaultRowHeight="14.4" x14ac:dyDescent="0.3"/>
  <cols>
    <col min="1" max="1" width="8" customWidth="1"/>
    <col min="2" max="2" width="10.5546875" bestFit="1" customWidth="1"/>
    <col min="3" max="3" width="12" bestFit="1" customWidth="1"/>
    <col min="4" max="4" width="18.44140625" bestFit="1" customWidth="1"/>
    <col min="5" max="5" width="18.21875" customWidth="1"/>
    <col min="6" max="6" width="4.21875" bestFit="1" customWidth="1"/>
    <col min="7" max="7" width="8" bestFit="1" customWidth="1"/>
    <col min="8" max="8" width="13.109375" customWidth="1"/>
    <col min="9" max="9" width="21" customWidth="1"/>
    <col min="10" max="10" width="11.4414062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22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343.04577391091277</v>
      </c>
      <c r="C2">
        <f>B2</f>
        <v>343.04577391091277</v>
      </c>
      <c r="D2" t="s">
        <v>23</v>
      </c>
      <c r="E2" t="s">
        <v>21</v>
      </c>
      <c r="F2">
        <v>1</v>
      </c>
      <c r="G2">
        <v>10</v>
      </c>
      <c r="I2">
        <v>2014</v>
      </c>
      <c r="J2">
        <f>AVERAGE(G2:G4)</f>
        <v>15</v>
      </c>
      <c r="K2" cm="1">
        <f t="array" ref="K2">STOWA2019_JAARROND_T(A2*60,J2,I2,"","")</f>
        <v>6.7554707557999943E-2</v>
      </c>
      <c r="L2">
        <f>1/K2 * 12/8</f>
        <v>22.204226089087221</v>
      </c>
    </row>
    <row r="3" spans="1:12" x14ac:dyDescent="0.3">
      <c r="A3">
        <v>24</v>
      </c>
      <c r="B3">
        <f t="shared" ref="B3:B7" si="0">L2-L3</f>
        <v>6.7958712491162707</v>
      </c>
      <c r="C3">
        <f t="shared" ref="C3:C156" si="1">B3</f>
        <v>6.7958712491162707</v>
      </c>
      <c r="D3" t="s">
        <v>23</v>
      </c>
      <c r="E3" t="s">
        <v>21</v>
      </c>
      <c r="F3">
        <v>1</v>
      </c>
      <c r="G3">
        <f t="shared" ref="G3:G7" si="2">G2+5</f>
        <v>15</v>
      </c>
      <c r="I3">
        <v>2014</v>
      </c>
      <c r="J3">
        <f t="shared" ref="J3:J7" si="3">AVERAGE(G3:G4)</f>
        <v>17.5</v>
      </c>
      <c r="K3" cm="1">
        <f t="array" ref="K3">STOWA2019_JAARROND_T(A3*60,J3,I3,"","")</f>
        <v>9.7349782996224654E-2</v>
      </c>
      <c r="L3">
        <f t="shared" ref="L3:L66" si="4">1/K3 * 12/8</f>
        <v>15.408354839970951</v>
      </c>
    </row>
    <row r="4" spans="1:12" x14ac:dyDescent="0.3">
      <c r="A4">
        <v>24</v>
      </c>
      <c r="B4">
        <f t="shared" si="0"/>
        <v>7.6009890613835491</v>
      </c>
      <c r="C4">
        <f t="shared" si="1"/>
        <v>7.6009890613835491</v>
      </c>
      <c r="D4" t="s">
        <v>23</v>
      </c>
      <c r="E4" t="s">
        <v>21</v>
      </c>
      <c r="F4">
        <v>1</v>
      </c>
      <c r="G4">
        <f t="shared" si="2"/>
        <v>20</v>
      </c>
      <c r="I4">
        <v>2014</v>
      </c>
      <c r="J4">
        <f t="shared" si="3"/>
        <v>22.5</v>
      </c>
      <c r="K4" cm="1">
        <f t="array" ref="K4">STOWA2019_JAARROND_T(A4*60,J4,I4,"","")</f>
        <v>0.19212626160207871</v>
      </c>
      <c r="L4">
        <f t="shared" si="4"/>
        <v>7.8073657785874016</v>
      </c>
    </row>
    <row r="5" spans="1:12" x14ac:dyDescent="0.3">
      <c r="A5">
        <v>24</v>
      </c>
      <c r="B5">
        <f t="shared" si="0"/>
        <v>3.6144830538491801</v>
      </c>
      <c r="C5">
        <f t="shared" si="1"/>
        <v>3.6144830538491801</v>
      </c>
      <c r="D5" t="s">
        <v>23</v>
      </c>
      <c r="E5" t="s">
        <v>21</v>
      </c>
      <c r="F5">
        <v>1</v>
      </c>
      <c r="G5">
        <f t="shared" si="2"/>
        <v>25</v>
      </c>
      <c r="I5">
        <v>2014</v>
      </c>
      <c r="J5">
        <f t="shared" si="3"/>
        <v>27.5</v>
      </c>
      <c r="K5" cm="1">
        <f t="array" ref="K5">STOWA2019_JAARROND_T(A5*60,J5,I5,"","")</f>
        <v>0.3577490949484286</v>
      </c>
      <c r="L5">
        <f t="shared" si="4"/>
        <v>4.1928827247382214</v>
      </c>
    </row>
    <row r="6" spans="1:12" x14ac:dyDescent="0.3">
      <c r="A6">
        <v>24</v>
      </c>
      <c r="B6">
        <f t="shared" si="0"/>
        <v>1.8280370104469679</v>
      </c>
      <c r="C6">
        <f t="shared" si="1"/>
        <v>1.8280370104469679</v>
      </c>
      <c r="D6" t="s">
        <v>23</v>
      </c>
      <c r="E6" t="s">
        <v>21</v>
      </c>
      <c r="F6">
        <v>1</v>
      </c>
      <c r="G6">
        <f t="shared" si="2"/>
        <v>30</v>
      </c>
      <c r="I6">
        <v>2014</v>
      </c>
      <c r="J6">
        <f t="shared" si="3"/>
        <v>32.5</v>
      </c>
      <c r="K6" cm="1">
        <f t="array" ref="K6">STOWA2019_JAARROND_T(A6*60,J6,I6,"","")</f>
        <v>0.6342908507456485</v>
      </c>
      <c r="L6">
        <f t="shared" si="4"/>
        <v>2.3648457142912536</v>
      </c>
    </row>
    <row r="7" spans="1:12" x14ac:dyDescent="0.3">
      <c r="A7">
        <v>24</v>
      </c>
      <c r="B7">
        <f t="shared" si="0"/>
        <v>0.97384186080078727</v>
      </c>
      <c r="C7">
        <f t="shared" si="1"/>
        <v>0.97384186080078727</v>
      </c>
      <c r="D7" t="s">
        <v>23</v>
      </c>
      <c r="E7" t="s">
        <v>21</v>
      </c>
      <c r="F7">
        <v>1</v>
      </c>
      <c r="G7">
        <f t="shared" si="2"/>
        <v>35</v>
      </c>
      <c r="I7">
        <v>2014</v>
      </c>
      <c r="J7">
        <f t="shared" si="3"/>
        <v>37.5</v>
      </c>
      <c r="K7" cm="1">
        <f t="array" ref="K7">STOWA2019_JAARROND_T(A7*60,J7,I7,"","")</f>
        <v>1.0783579040676472</v>
      </c>
      <c r="L7">
        <f t="shared" si="4"/>
        <v>1.3910038534904663</v>
      </c>
    </row>
    <row r="8" spans="1:12" x14ac:dyDescent="0.3">
      <c r="A8">
        <v>24</v>
      </c>
      <c r="B8">
        <f>L7-L8</f>
        <v>0.5428294052029059</v>
      </c>
      <c r="C8">
        <f t="shared" si="1"/>
        <v>0.5428294052029059</v>
      </c>
      <c r="D8" t="s">
        <v>23</v>
      </c>
      <c r="E8" t="s">
        <v>21</v>
      </c>
      <c r="F8">
        <v>1</v>
      </c>
      <c r="G8">
        <f>G7+5</f>
        <v>40</v>
      </c>
      <c r="I8">
        <v>2014</v>
      </c>
      <c r="J8">
        <f>AVERAGE(G8:G9)</f>
        <v>42.5</v>
      </c>
      <c r="K8" cm="1">
        <f t="array" ref="K8">STOWA2019_JAARROND_T(A8*60,J8,I8,"","")</f>
        <v>1.7685041126014305</v>
      </c>
      <c r="L8">
        <f t="shared" si="4"/>
        <v>0.84817444828756039</v>
      </c>
    </row>
    <row r="9" spans="1:12" x14ac:dyDescent="0.3">
      <c r="A9">
        <v>24</v>
      </c>
      <c r="B9">
        <f t="shared" ref="B9:B31" si="5">L8-L9</f>
        <v>0.31442314989732711</v>
      </c>
      <c r="C9">
        <f t="shared" si="1"/>
        <v>0.31442314989732711</v>
      </c>
      <c r="D9" t="s">
        <v>23</v>
      </c>
      <c r="E9" t="s">
        <v>21</v>
      </c>
      <c r="F9">
        <v>1</v>
      </c>
      <c r="G9">
        <f t="shared" ref="G9:G31" si="6">G8+5</f>
        <v>45</v>
      </c>
      <c r="I9">
        <v>2014</v>
      </c>
      <c r="J9">
        <f t="shared" ref="J9:J31" si="7">AVERAGE(G9:G10)</f>
        <v>47.5</v>
      </c>
      <c r="K9" cm="1">
        <f t="array" ref="K9">STOWA2019_JAARROND_T(A9*60,J9,I9,"","")</f>
        <v>2.8102976133714779</v>
      </c>
      <c r="L9">
        <f t="shared" si="4"/>
        <v>0.53375129839023328</v>
      </c>
    </row>
    <row r="10" spans="1:12" x14ac:dyDescent="0.3">
      <c r="A10">
        <v>24</v>
      </c>
      <c r="B10">
        <f t="shared" si="5"/>
        <v>0.18841220661389629</v>
      </c>
      <c r="C10">
        <f t="shared" si="1"/>
        <v>0.18841220661389629</v>
      </c>
      <c r="D10" t="s">
        <v>23</v>
      </c>
      <c r="E10" t="s">
        <v>21</v>
      </c>
      <c r="F10">
        <v>1</v>
      </c>
      <c r="G10">
        <f t="shared" si="6"/>
        <v>50</v>
      </c>
      <c r="I10">
        <v>2014</v>
      </c>
      <c r="J10">
        <f t="shared" si="7"/>
        <v>52.5</v>
      </c>
      <c r="K10" cm="1">
        <f t="array" ref="K10">STOWA2019_JAARROND_T(A10*60,J10,I10,"","")</f>
        <v>4.3435569146961592</v>
      </c>
      <c r="L10">
        <f t="shared" si="4"/>
        <v>0.34533909177633698</v>
      </c>
    </row>
    <row r="11" spans="1:12" x14ac:dyDescent="0.3">
      <c r="A11">
        <v>24</v>
      </c>
      <c r="B11">
        <f t="shared" si="5"/>
        <v>0.1163373049384325</v>
      </c>
      <c r="C11">
        <f t="shared" si="1"/>
        <v>0.1163373049384325</v>
      </c>
      <c r="D11" t="s">
        <v>23</v>
      </c>
      <c r="E11" t="s">
        <v>21</v>
      </c>
      <c r="F11">
        <v>1</v>
      </c>
      <c r="G11">
        <f t="shared" si="6"/>
        <v>55</v>
      </c>
      <c r="I11">
        <v>2014</v>
      </c>
      <c r="J11">
        <f t="shared" si="7"/>
        <v>57.5</v>
      </c>
      <c r="K11" cm="1">
        <f t="array" ref="K11">STOWA2019_JAARROND_T(A11*60,J11,I11,"","")</f>
        <v>6.5501672310607457</v>
      </c>
      <c r="L11">
        <f t="shared" si="4"/>
        <v>0.22900178683790448</v>
      </c>
    </row>
    <row r="12" spans="1:12" x14ac:dyDescent="0.3">
      <c r="A12">
        <v>24</v>
      </c>
      <c r="B12">
        <f t="shared" si="5"/>
        <v>7.3769663419747028E-2</v>
      </c>
      <c r="C12">
        <f t="shared" si="1"/>
        <v>7.3769663419747028E-2</v>
      </c>
      <c r="D12" t="s">
        <v>23</v>
      </c>
      <c r="E12" t="s">
        <v>21</v>
      </c>
      <c r="F12">
        <v>1</v>
      </c>
      <c r="G12">
        <f t="shared" si="6"/>
        <v>60</v>
      </c>
      <c r="I12">
        <v>2014</v>
      </c>
      <c r="J12">
        <f t="shared" si="7"/>
        <v>62.5</v>
      </c>
      <c r="K12" cm="1">
        <f t="array" ref="K12">STOWA2019_JAARROND_T(A12*60,J12,I12,"","")</f>
        <v>9.6629484089408866</v>
      </c>
      <c r="L12">
        <f t="shared" si="4"/>
        <v>0.15523212341815745</v>
      </c>
    </row>
    <row r="13" spans="1:12" x14ac:dyDescent="0.3">
      <c r="A13">
        <v>24</v>
      </c>
      <c r="B13">
        <f t="shared" si="5"/>
        <v>4.7909028169015822E-2</v>
      </c>
      <c r="C13">
        <f t="shared" si="1"/>
        <v>4.7909028169015822E-2</v>
      </c>
      <c r="D13" t="s">
        <v>23</v>
      </c>
      <c r="E13" t="s">
        <v>21</v>
      </c>
      <c r="F13">
        <v>1</v>
      </c>
      <c r="G13">
        <f t="shared" si="6"/>
        <v>65</v>
      </c>
      <c r="I13">
        <v>2014</v>
      </c>
      <c r="J13">
        <f t="shared" si="7"/>
        <v>67.5</v>
      </c>
      <c r="K13" cm="1">
        <f t="array" ref="K13">STOWA2019_JAARROND_T(A13*60,J13,I13,"","")</f>
        <v>13.976488439118112</v>
      </c>
      <c r="L13">
        <f t="shared" si="4"/>
        <v>0.10732309524914163</v>
      </c>
    </row>
    <row r="14" spans="1:12" x14ac:dyDescent="0.3">
      <c r="A14">
        <v>24</v>
      </c>
      <c r="B14">
        <f t="shared" si="5"/>
        <v>3.1785956884491789E-2</v>
      </c>
      <c r="C14">
        <f t="shared" si="1"/>
        <v>3.1785956884491789E-2</v>
      </c>
      <c r="D14" t="s">
        <v>23</v>
      </c>
      <c r="E14" t="s">
        <v>21</v>
      </c>
      <c r="F14">
        <v>1</v>
      </c>
      <c r="G14">
        <f t="shared" si="6"/>
        <v>70</v>
      </c>
      <c r="I14">
        <v>2014</v>
      </c>
      <c r="J14">
        <f t="shared" si="7"/>
        <v>72.5</v>
      </c>
      <c r="K14" cm="1">
        <f t="array" ref="K14">STOWA2019_JAARROND_T(A14*60,J14,I14,"","")</f>
        <v>19.857781648529802</v>
      </c>
      <c r="L14">
        <f t="shared" si="4"/>
        <v>7.5537138364649842E-2</v>
      </c>
    </row>
    <row r="15" spans="1:12" x14ac:dyDescent="0.3">
      <c r="A15">
        <v>24</v>
      </c>
      <c r="B15">
        <f t="shared" si="5"/>
        <v>2.1504754365193016E-2</v>
      </c>
      <c r="C15">
        <f t="shared" si="1"/>
        <v>2.1504754365193016E-2</v>
      </c>
      <c r="D15" t="s">
        <v>23</v>
      </c>
      <c r="E15" t="s">
        <v>21</v>
      </c>
      <c r="F15">
        <v>1</v>
      </c>
      <c r="G15">
        <f t="shared" si="6"/>
        <v>75</v>
      </c>
      <c r="I15">
        <v>2014</v>
      </c>
      <c r="J15">
        <f t="shared" si="7"/>
        <v>77.5</v>
      </c>
      <c r="K15" cm="1">
        <f t="array" ref="K15">STOWA2019_JAARROND_T(A15*60,J15,I15,"","")</f>
        <v>27.76112932598123</v>
      </c>
      <c r="L15">
        <f t="shared" si="4"/>
        <v>5.4032383999456826E-2</v>
      </c>
    </row>
    <row r="16" spans="1:12" x14ac:dyDescent="0.3">
      <c r="A16">
        <v>24</v>
      </c>
      <c r="B16">
        <f t="shared" si="5"/>
        <v>1.4807687359948508E-2</v>
      </c>
      <c r="C16">
        <f t="shared" si="1"/>
        <v>1.4807687359948508E-2</v>
      </c>
      <c r="D16" t="s">
        <v>23</v>
      </c>
      <c r="E16" t="s">
        <v>21</v>
      </c>
      <c r="F16">
        <v>1</v>
      </c>
      <c r="G16">
        <f t="shared" si="6"/>
        <v>80</v>
      </c>
      <c r="I16">
        <v>2014</v>
      </c>
      <c r="J16">
        <f t="shared" si="7"/>
        <v>82.5</v>
      </c>
      <c r="K16" cm="1">
        <f t="array" ref="K16">STOWA2019_JAARROND_T(A16*60,J16,I16,"","")</f>
        <v>38.241213534055838</v>
      </c>
      <c r="L16">
        <f t="shared" si="4"/>
        <v>3.9224696639508318E-2</v>
      </c>
    </row>
    <row r="17" spans="1:12" x14ac:dyDescent="0.3">
      <c r="A17">
        <v>24</v>
      </c>
      <c r="B17">
        <f t="shared" si="5"/>
        <v>1.036181502560788E-2</v>
      </c>
      <c r="C17">
        <f t="shared" si="1"/>
        <v>1.036181502560788E-2</v>
      </c>
      <c r="D17" t="s">
        <v>23</v>
      </c>
      <c r="E17" t="s">
        <v>21</v>
      </c>
      <c r="F17">
        <v>1</v>
      </c>
      <c r="G17">
        <f t="shared" si="6"/>
        <v>85</v>
      </c>
      <c r="I17">
        <v>2014</v>
      </c>
      <c r="J17">
        <f t="shared" si="7"/>
        <v>87.5</v>
      </c>
      <c r="K17" cm="1">
        <f t="array" ref="K17">STOWA2019_JAARROND_T(A17*60,J17,I17,"","")</f>
        <v>51.969862887065169</v>
      </c>
      <c r="L17">
        <f t="shared" si="4"/>
        <v>2.8862881613900437E-2</v>
      </c>
    </row>
    <row r="18" spans="1:12" x14ac:dyDescent="0.3">
      <c r="A18">
        <v>24</v>
      </c>
      <c r="B18">
        <f t="shared" si="5"/>
        <v>7.3593128118522068E-3</v>
      </c>
      <c r="C18">
        <f t="shared" si="1"/>
        <v>7.3593128118522068E-3</v>
      </c>
      <c r="D18" t="s">
        <v>23</v>
      </c>
      <c r="E18" t="s">
        <v>21</v>
      </c>
      <c r="F18">
        <v>1</v>
      </c>
      <c r="G18">
        <f t="shared" si="6"/>
        <v>90</v>
      </c>
      <c r="I18">
        <v>2014</v>
      </c>
      <c r="J18">
        <f t="shared" si="7"/>
        <v>92.5</v>
      </c>
      <c r="K18" cm="1">
        <f t="array" ref="K18">STOWA2019_JAARROND_T(A18*60,J18,I18,"","")</f>
        <v>69.755863029448577</v>
      </c>
      <c r="L18">
        <f t="shared" si="4"/>
        <v>2.1503568802048231E-2</v>
      </c>
    </row>
    <row r="19" spans="1:12" x14ac:dyDescent="0.3">
      <c r="A19">
        <v>24</v>
      </c>
      <c r="B19">
        <f t="shared" si="5"/>
        <v>5.2981537583365601E-3</v>
      </c>
      <c r="C19">
        <f t="shared" si="1"/>
        <v>5.2981537583365601E-3</v>
      </c>
      <c r="D19" t="s">
        <v>23</v>
      </c>
      <c r="E19" t="s">
        <v>21</v>
      </c>
      <c r="F19">
        <v>1</v>
      </c>
      <c r="G19">
        <f t="shared" si="6"/>
        <v>95</v>
      </c>
      <c r="I19">
        <v>2014</v>
      </c>
      <c r="J19">
        <f t="shared" si="7"/>
        <v>97.5</v>
      </c>
      <c r="K19" cm="1">
        <f t="array" ref="K19">STOWA2019_JAARROND_T(A19*60,J19,I19,"","")</f>
        <v>92.56165275335286</v>
      </c>
      <c r="L19">
        <f t="shared" si="4"/>
        <v>1.620541504371167E-2</v>
      </c>
    </row>
    <row r="20" spans="1:12" x14ac:dyDescent="0.3">
      <c r="A20">
        <v>24</v>
      </c>
      <c r="B20">
        <f t="shared" si="5"/>
        <v>3.8626678241783577E-3</v>
      </c>
      <c r="C20">
        <f t="shared" si="1"/>
        <v>3.8626678241783577E-3</v>
      </c>
      <c r="D20" t="s">
        <v>23</v>
      </c>
      <c r="E20" t="s">
        <v>21</v>
      </c>
      <c r="F20">
        <v>1</v>
      </c>
      <c r="G20">
        <f t="shared" si="6"/>
        <v>100</v>
      </c>
      <c r="I20">
        <v>2014</v>
      </c>
      <c r="J20">
        <f t="shared" si="7"/>
        <v>102.5</v>
      </c>
      <c r="K20" cm="1">
        <f t="array" ref="K20">STOWA2019_JAARROND_T(A20*60,J20,I20,"","")</f>
        <v>121.52886009251968</v>
      </c>
      <c r="L20">
        <f t="shared" si="4"/>
        <v>1.2342747219533313E-2</v>
      </c>
    </row>
    <row r="21" spans="1:12" x14ac:dyDescent="0.3">
      <c r="A21">
        <v>24</v>
      </c>
      <c r="B21">
        <f t="shared" si="5"/>
        <v>2.8490979005076217E-3</v>
      </c>
      <c r="C21">
        <f t="shared" si="1"/>
        <v>2.8490979005076217E-3</v>
      </c>
      <c r="D21" t="s">
        <v>23</v>
      </c>
      <c r="E21" t="s">
        <v>21</v>
      </c>
      <c r="F21">
        <v>1</v>
      </c>
      <c r="G21">
        <f t="shared" si="6"/>
        <v>105</v>
      </c>
      <c r="I21">
        <v>2014</v>
      </c>
      <c r="J21">
        <f t="shared" si="7"/>
        <v>107.5</v>
      </c>
      <c r="K21" cm="1">
        <f t="array" ref="K21">STOWA2019_JAARROND_T(A21*60,J21,I21,"","")</f>
        <v>158.00035893404382</v>
      </c>
      <c r="L21">
        <f t="shared" si="4"/>
        <v>9.4936493190256911E-3</v>
      </c>
    </row>
    <row r="22" spans="1:12" x14ac:dyDescent="0.3">
      <c r="A22">
        <v>24</v>
      </c>
      <c r="B22">
        <f t="shared" si="5"/>
        <v>2.1243977100131846E-3</v>
      </c>
      <c r="C22">
        <f t="shared" si="1"/>
        <v>2.1243977100131846E-3</v>
      </c>
      <c r="D22" t="s">
        <v>23</v>
      </c>
      <c r="E22" t="s">
        <v>21</v>
      </c>
      <c r="F22">
        <v>1</v>
      </c>
      <c r="G22">
        <f t="shared" si="6"/>
        <v>110</v>
      </c>
      <c r="I22">
        <v>2014</v>
      </c>
      <c r="J22">
        <f t="shared" si="7"/>
        <v>112.5</v>
      </c>
      <c r="K22" cm="1">
        <f t="array" ref="K22">STOWA2019_JAARROND_T(A22*60,J22,I22,"","")</f>
        <v>203.5484849188102</v>
      </c>
      <c r="L22">
        <f t="shared" si="4"/>
        <v>7.3692516090125065E-3</v>
      </c>
    </row>
    <row r="23" spans="1:12" x14ac:dyDescent="0.3">
      <c r="A23">
        <v>24</v>
      </c>
      <c r="B23">
        <f t="shared" si="5"/>
        <v>1.5999742238185987E-3</v>
      </c>
      <c r="C23">
        <f t="shared" si="1"/>
        <v>1.5999742238185987E-3</v>
      </c>
      <c r="D23" t="s">
        <v>23</v>
      </c>
      <c r="E23" t="s">
        <v>21</v>
      </c>
      <c r="F23">
        <v>1</v>
      </c>
      <c r="G23">
        <f t="shared" si="6"/>
        <v>115</v>
      </c>
      <c r="I23">
        <v>2014</v>
      </c>
      <c r="J23">
        <f t="shared" si="7"/>
        <v>117.5</v>
      </c>
      <c r="K23" cm="1">
        <f t="array" ref="K23">STOWA2019_JAARROND_T(A23*60,J23,I23,"","")</f>
        <v>259.99789919090267</v>
      </c>
      <c r="L23">
        <f t="shared" si="4"/>
        <v>5.7692773851939078E-3</v>
      </c>
    </row>
    <row r="24" spans="1:12" x14ac:dyDescent="0.3">
      <c r="A24">
        <v>24</v>
      </c>
      <c r="B24">
        <f t="shared" si="5"/>
        <v>1.2164350293002897E-3</v>
      </c>
      <c r="C24">
        <f t="shared" si="1"/>
        <v>1.2164350293002897E-3</v>
      </c>
      <c r="D24" t="s">
        <v>23</v>
      </c>
      <c r="E24" t="s">
        <v>21</v>
      </c>
      <c r="F24">
        <v>1</v>
      </c>
      <c r="G24">
        <f t="shared" si="6"/>
        <v>120</v>
      </c>
      <c r="I24">
        <v>2014</v>
      </c>
      <c r="J24">
        <f t="shared" si="7"/>
        <v>122.5</v>
      </c>
      <c r="K24" cm="1">
        <f t="array" ref="K24">STOWA2019_JAARROND_T(A24*60,J24,I24,"","")</f>
        <v>329.46451529521158</v>
      </c>
      <c r="L24">
        <f t="shared" si="4"/>
        <v>4.552842355893618E-3</v>
      </c>
    </row>
    <row r="25" spans="1:12" x14ac:dyDescent="0.3">
      <c r="A25">
        <v>24</v>
      </c>
      <c r="B25">
        <f t="shared" si="5"/>
        <v>9.3298682467086655E-4</v>
      </c>
      <c r="C25">
        <f t="shared" si="1"/>
        <v>9.3298682467086655E-4</v>
      </c>
      <c r="D25" t="s">
        <v>23</v>
      </c>
      <c r="E25" t="s">
        <v>21</v>
      </c>
      <c r="F25">
        <v>1</v>
      </c>
      <c r="G25">
        <f t="shared" si="6"/>
        <v>125</v>
      </c>
      <c r="I25">
        <v>2014</v>
      </c>
      <c r="J25">
        <f t="shared" si="7"/>
        <v>127.5</v>
      </c>
      <c r="K25" cm="1">
        <f t="array" ref="K25">STOWA2019_JAARROND_T(A25*60,J25,I25,"","")</f>
        <v>414.38117821605846</v>
      </c>
      <c r="L25">
        <f t="shared" si="4"/>
        <v>3.6198555312227515E-3</v>
      </c>
    </row>
    <row r="26" spans="1:12" x14ac:dyDescent="0.3">
      <c r="A26">
        <v>24</v>
      </c>
      <c r="B26">
        <f t="shared" si="5"/>
        <v>7.2155754946308208E-4</v>
      </c>
      <c r="C26">
        <f t="shared" si="1"/>
        <v>7.2155754946308208E-4</v>
      </c>
      <c r="D26" t="s">
        <v>23</v>
      </c>
      <c r="E26" t="s">
        <v>21</v>
      </c>
      <c r="F26">
        <v>1</v>
      </c>
      <c r="G26">
        <f t="shared" si="6"/>
        <v>130</v>
      </c>
      <c r="I26">
        <v>2014</v>
      </c>
      <c r="J26">
        <f t="shared" si="7"/>
        <v>132.5</v>
      </c>
      <c r="K26" cm="1">
        <f t="array" ref="K26">STOWA2019_JAARROND_T(A26*60,J26,I26,"","")</f>
        <v>517.54512801657881</v>
      </c>
      <c r="L26">
        <f t="shared" si="4"/>
        <v>2.8982979817596694E-3</v>
      </c>
    </row>
    <row r="27" spans="1:12" x14ac:dyDescent="0.3">
      <c r="A27">
        <v>24</v>
      </c>
      <c r="B27">
        <f t="shared" si="5"/>
        <v>5.6236616572335855E-4</v>
      </c>
      <c r="C27">
        <f t="shared" si="1"/>
        <v>5.6236616572335855E-4</v>
      </c>
      <c r="D27" t="s">
        <v>23</v>
      </c>
      <c r="E27" t="s">
        <v>21</v>
      </c>
      <c r="F27">
        <v>1</v>
      </c>
      <c r="G27">
        <f t="shared" si="6"/>
        <v>135</v>
      </c>
      <c r="I27">
        <v>2014</v>
      </c>
      <c r="J27">
        <f t="shared" si="7"/>
        <v>137.5</v>
      </c>
      <c r="K27" cm="1">
        <f t="array" ref="K27">STOWA2019_JAARROND_T(A27*60,J27,I27,"","")</f>
        <v>642.1420307315525</v>
      </c>
      <c r="L27">
        <f t="shared" si="4"/>
        <v>2.3359318160363109E-3</v>
      </c>
    </row>
    <row r="28" spans="1:12" x14ac:dyDescent="0.3">
      <c r="A28">
        <v>24</v>
      </c>
      <c r="B28">
        <f t="shared" si="5"/>
        <v>4.4150665029846171E-4</v>
      </c>
      <c r="C28">
        <f t="shared" si="1"/>
        <v>4.4150665029846171E-4</v>
      </c>
      <c r="D28" t="s">
        <v>23</v>
      </c>
      <c r="E28" t="s">
        <v>21</v>
      </c>
      <c r="F28">
        <v>1</v>
      </c>
      <c r="G28">
        <f t="shared" si="6"/>
        <v>140</v>
      </c>
      <c r="I28">
        <v>2014</v>
      </c>
      <c r="J28">
        <f t="shared" si="7"/>
        <v>142.5</v>
      </c>
      <c r="K28" cm="1">
        <f t="array" ref="K28">STOWA2019_JAARROND_T(A28*60,J28,I28,"","")</f>
        <v>791.79691398143643</v>
      </c>
      <c r="L28">
        <f t="shared" si="4"/>
        <v>1.8944251657378492E-3</v>
      </c>
    </row>
    <row r="29" spans="1:12" x14ac:dyDescent="0.3">
      <c r="A29">
        <v>24</v>
      </c>
      <c r="B29">
        <f t="shared" si="5"/>
        <v>3.4901549067776127E-4</v>
      </c>
      <c r="C29">
        <f t="shared" si="1"/>
        <v>3.4901549067776127E-4</v>
      </c>
      <c r="D29" t="s">
        <v>23</v>
      </c>
      <c r="E29" t="s">
        <v>21</v>
      </c>
      <c r="F29">
        <v>1</v>
      </c>
      <c r="G29">
        <f t="shared" si="6"/>
        <v>145</v>
      </c>
      <c r="I29">
        <v>2014</v>
      </c>
      <c r="J29">
        <f t="shared" si="7"/>
        <v>147.5</v>
      </c>
      <c r="K29" cm="1">
        <f t="array" ref="K29">STOWA2019_JAARROND_T(A29*60,J29,I29,"","")</f>
        <v>970.61641596211564</v>
      </c>
      <c r="L29">
        <f t="shared" si="4"/>
        <v>1.5454096750600879E-3</v>
      </c>
    </row>
    <row r="30" spans="1:12" x14ac:dyDescent="0.3">
      <c r="A30">
        <v>24</v>
      </c>
      <c r="B30">
        <f t="shared" si="5"/>
        <v>2.7770012266961673E-4</v>
      </c>
      <c r="C30">
        <f t="shared" si="1"/>
        <v>2.7770012266961673E-4</v>
      </c>
      <c r="D30" t="s">
        <v>23</v>
      </c>
      <c r="E30" t="s">
        <v>21</v>
      </c>
      <c r="F30">
        <v>1</v>
      </c>
      <c r="G30">
        <f t="shared" si="6"/>
        <v>150</v>
      </c>
      <c r="I30">
        <v>2014</v>
      </c>
      <c r="J30">
        <f t="shared" si="7"/>
        <v>152.5</v>
      </c>
      <c r="K30" cm="1">
        <f t="array" ref="K30">STOWA2019_JAARROND_T(A30*60,J30,I30,"","")</f>
        <v>1183.2363313595829</v>
      </c>
      <c r="L30">
        <f t="shared" si="4"/>
        <v>1.2677095523904711E-3</v>
      </c>
    </row>
    <row r="31" spans="1:12" x14ac:dyDescent="0.3">
      <c r="A31">
        <v>24</v>
      </c>
      <c r="B31">
        <f t="shared" si="5"/>
        <v>2.2231511727974999E-4</v>
      </c>
      <c r="C31">
        <f t="shared" si="1"/>
        <v>2.2231511727974999E-4</v>
      </c>
      <c r="D31" t="s">
        <v>23</v>
      </c>
      <c r="E31" t="s">
        <v>21</v>
      </c>
      <c r="F31">
        <v>1</v>
      </c>
      <c r="G31">
        <f t="shared" si="6"/>
        <v>155</v>
      </c>
      <c r="I31">
        <v>2014</v>
      </c>
      <c r="J31">
        <f t="shared" si="7"/>
        <v>157.5</v>
      </c>
      <c r="K31" cm="1">
        <f t="array" ref="K31">STOWA2019_JAARROND_T(A31*60,J31,I31,"","")</f>
        <v>1434.8651089204716</v>
      </c>
      <c r="L31">
        <f t="shared" si="4"/>
        <v>1.0453944351107212E-3</v>
      </c>
    </row>
    <row r="32" spans="1:12" x14ac:dyDescent="0.3">
      <c r="A32">
        <v>24</v>
      </c>
      <c r="B32" s="1">
        <f>L31</f>
        <v>1.0453944351107212E-3</v>
      </c>
      <c r="C32">
        <f t="shared" si="1"/>
        <v>1.0453944351107212E-3</v>
      </c>
      <c r="D32" t="s">
        <v>23</v>
      </c>
      <c r="E32" t="s">
        <v>21</v>
      </c>
      <c r="F32">
        <v>1</v>
      </c>
      <c r="G32">
        <f t="shared" ref="G32" si="8">G31+5</f>
        <v>160</v>
      </c>
      <c r="I32">
        <v>2014</v>
      </c>
      <c r="J32">
        <f>AVERAGE(G32:G33)</f>
        <v>85</v>
      </c>
      <c r="K32" cm="1">
        <f t="array" ref="K32">STOWA2019_JAARROND_T(A32*60,J32,I32,"","")</f>
        <v>44.652552453119853</v>
      </c>
      <c r="L32">
        <f t="shared" si="4"/>
        <v>3.3592704506082399E-2</v>
      </c>
    </row>
    <row r="33" spans="1:12" x14ac:dyDescent="0.3">
      <c r="A33">
        <v>48</v>
      </c>
      <c r="B33" s="1">
        <f>365.25*24/A33 - L33</f>
        <v>143.41070441727072</v>
      </c>
      <c r="C33">
        <f>B33</f>
        <v>143.41070441727072</v>
      </c>
      <c r="D33" t="s">
        <v>23</v>
      </c>
      <c r="E33" t="s">
        <v>21</v>
      </c>
      <c r="F33">
        <v>1</v>
      </c>
      <c r="G33">
        <v>10</v>
      </c>
      <c r="I33">
        <v>2014</v>
      </c>
      <c r="J33">
        <f>AVERAGE(G33:G35)</f>
        <v>15</v>
      </c>
      <c r="K33" cm="1">
        <f t="array" ref="K33">STOWA2019_JAARROND_T(A33*60,J33,I33,"","")</f>
        <v>3.8251356494100275E-2</v>
      </c>
      <c r="L33">
        <f t="shared" si="4"/>
        <v>39.214295582729292</v>
      </c>
    </row>
    <row r="34" spans="1:12" x14ac:dyDescent="0.3">
      <c r="A34">
        <v>48</v>
      </c>
      <c r="B34">
        <f t="shared" ref="B34:B38" si="9">L33-L34</f>
        <v>10.356818774721489</v>
      </c>
      <c r="C34">
        <f t="shared" si="1"/>
        <v>10.356818774721489</v>
      </c>
      <c r="D34" t="s">
        <v>23</v>
      </c>
      <c r="E34" t="s">
        <v>21</v>
      </c>
      <c r="F34">
        <v>1</v>
      </c>
      <c r="G34">
        <f t="shared" ref="G34:G38" si="10">G33+5</f>
        <v>15</v>
      </c>
      <c r="I34">
        <v>2014</v>
      </c>
      <c r="J34">
        <f t="shared" ref="J34:J38" si="11">AVERAGE(G34:G35)</f>
        <v>17.5</v>
      </c>
      <c r="K34" cm="1">
        <f t="array" ref="K34">STOWA2019_JAARROND_T(A34*60,J34,I34,"","")</f>
        <v>5.1979596483077053E-2</v>
      </c>
      <c r="L34">
        <f t="shared" si="4"/>
        <v>28.857476808007803</v>
      </c>
    </row>
    <row r="35" spans="1:12" x14ac:dyDescent="0.3">
      <c r="A35">
        <v>48</v>
      </c>
      <c r="B35">
        <f t="shared" si="9"/>
        <v>12.801643386462533</v>
      </c>
      <c r="C35">
        <f t="shared" si="1"/>
        <v>12.801643386462533</v>
      </c>
      <c r="D35" t="s">
        <v>23</v>
      </c>
      <c r="E35" t="s">
        <v>21</v>
      </c>
      <c r="F35">
        <v>1</v>
      </c>
      <c r="G35">
        <f t="shared" si="10"/>
        <v>20</v>
      </c>
      <c r="I35">
        <v>2014</v>
      </c>
      <c r="J35">
        <f t="shared" si="11"/>
        <v>22.5</v>
      </c>
      <c r="K35" cm="1">
        <f t="array" ref="K35">STOWA2019_JAARROND_T(A35*60,J35,I35,"","")</f>
        <v>9.3423988691060722E-2</v>
      </c>
      <c r="L35">
        <f t="shared" si="4"/>
        <v>16.05583342154527</v>
      </c>
    </row>
    <row r="36" spans="1:12" x14ac:dyDescent="0.3">
      <c r="A36">
        <v>48</v>
      </c>
      <c r="B36">
        <f t="shared" si="9"/>
        <v>6.8251730436032361</v>
      </c>
      <c r="C36">
        <f t="shared" si="1"/>
        <v>6.8251730436032361</v>
      </c>
      <c r="D36" t="s">
        <v>23</v>
      </c>
      <c r="E36" t="s">
        <v>21</v>
      </c>
      <c r="F36">
        <v>1</v>
      </c>
      <c r="G36">
        <f t="shared" si="10"/>
        <v>25</v>
      </c>
      <c r="I36">
        <v>2014</v>
      </c>
      <c r="J36">
        <f t="shared" si="11"/>
        <v>27.5</v>
      </c>
      <c r="K36" cm="1">
        <f t="array" ref="K36">STOWA2019_JAARROND_T(A36*60,J36,I36,"","")</f>
        <v>0.16250191628590971</v>
      </c>
      <c r="L36">
        <f t="shared" si="4"/>
        <v>9.2306603779420335</v>
      </c>
    </row>
    <row r="37" spans="1:12" x14ac:dyDescent="0.3">
      <c r="A37">
        <v>48</v>
      </c>
      <c r="B37">
        <f t="shared" si="9"/>
        <v>3.7661437163559492</v>
      </c>
      <c r="C37">
        <f t="shared" si="1"/>
        <v>3.7661437163559492</v>
      </c>
      <c r="D37" t="s">
        <v>23</v>
      </c>
      <c r="E37" t="s">
        <v>21</v>
      </c>
      <c r="F37">
        <v>1</v>
      </c>
      <c r="G37">
        <f t="shared" si="10"/>
        <v>30</v>
      </c>
      <c r="I37">
        <v>2014</v>
      </c>
      <c r="J37">
        <f t="shared" si="11"/>
        <v>32.5</v>
      </c>
      <c r="K37" cm="1">
        <f t="array" ref="K37">STOWA2019_JAARROND_T(A37*60,J37,I37,"","")</f>
        <v>0.27449820229198874</v>
      </c>
      <c r="L37">
        <f t="shared" si="4"/>
        <v>5.4645166615860843</v>
      </c>
    </row>
    <row r="38" spans="1:12" x14ac:dyDescent="0.3">
      <c r="A38">
        <v>48</v>
      </c>
      <c r="B38">
        <f t="shared" si="9"/>
        <v>2.1431093265693364</v>
      </c>
      <c r="C38">
        <f t="shared" si="1"/>
        <v>2.1431093265693364</v>
      </c>
      <c r="D38" t="s">
        <v>23</v>
      </c>
      <c r="E38" t="s">
        <v>21</v>
      </c>
      <c r="F38">
        <v>1</v>
      </c>
      <c r="G38">
        <f t="shared" si="10"/>
        <v>35</v>
      </c>
      <c r="I38">
        <v>2014</v>
      </c>
      <c r="J38">
        <f t="shared" si="11"/>
        <v>37.5</v>
      </c>
      <c r="K38" cm="1">
        <f t="array" ref="K38">STOWA2019_JAARROND_T(A38*60,J38,I38,"","")</f>
        <v>0.45161579074806146</v>
      </c>
      <c r="L38">
        <f t="shared" si="4"/>
        <v>3.3214073350167479</v>
      </c>
    </row>
    <row r="39" spans="1:12" x14ac:dyDescent="0.3">
      <c r="A39">
        <v>48</v>
      </c>
      <c r="B39">
        <f>L38-L39</f>
        <v>1.2539801401453885</v>
      </c>
      <c r="C39">
        <f t="shared" si="1"/>
        <v>1.2539801401453885</v>
      </c>
      <c r="D39" t="s">
        <v>23</v>
      </c>
      <c r="E39" t="s">
        <v>21</v>
      </c>
      <c r="F39">
        <v>1</v>
      </c>
      <c r="G39">
        <f>G38+5</f>
        <v>40</v>
      </c>
      <c r="I39">
        <v>2014</v>
      </c>
      <c r="J39">
        <f>AVERAGE(G39:G40)</f>
        <v>42.5</v>
      </c>
      <c r="K39" cm="1">
        <f t="array" ref="K39">STOWA2019_JAARROND_T(A39*60,J39,I39,"","")</f>
        <v>0.72553945489400118</v>
      </c>
      <c r="L39">
        <f t="shared" si="4"/>
        <v>2.0674271948713594</v>
      </c>
    </row>
    <row r="40" spans="1:12" x14ac:dyDescent="0.3">
      <c r="A40">
        <v>48</v>
      </c>
      <c r="B40">
        <f t="shared" ref="B40:B62" si="12">L39-L40</f>
        <v>0.75219924718942677</v>
      </c>
      <c r="C40">
        <f t="shared" si="1"/>
        <v>0.75219924718942677</v>
      </c>
      <c r="D40" t="s">
        <v>23</v>
      </c>
      <c r="E40" t="s">
        <v>21</v>
      </c>
      <c r="F40">
        <v>1</v>
      </c>
      <c r="G40">
        <f t="shared" ref="G40:G63" si="13">G39+5</f>
        <v>45</v>
      </c>
      <c r="I40">
        <v>2014</v>
      </c>
      <c r="J40">
        <f t="shared" ref="J40:J62" si="14">AVERAGE(G40:G41)</f>
        <v>47.5</v>
      </c>
      <c r="K40" cm="1">
        <f t="array" ref="K40">STOWA2019_JAARROND_T(A40*60,J40,I40,"","")</f>
        <v>1.1404867138382553</v>
      </c>
      <c r="L40">
        <f t="shared" si="4"/>
        <v>1.3152279476819326</v>
      </c>
    </row>
    <row r="41" spans="1:12" x14ac:dyDescent="0.3">
      <c r="A41">
        <v>48</v>
      </c>
      <c r="B41">
        <f t="shared" si="12"/>
        <v>0.46194883884762705</v>
      </c>
      <c r="C41">
        <f t="shared" si="1"/>
        <v>0.46194883884762705</v>
      </c>
      <c r="D41" t="s">
        <v>23</v>
      </c>
      <c r="E41" t="s">
        <v>21</v>
      </c>
      <c r="F41">
        <v>1</v>
      </c>
      <c r="G41">
        <f t="shared" si="13"/>
        <v>50</v>
      </c>
      <c r="I41">
        <v>2014</v>
      </c>
      <c r="J41">
        <f t="shared" si="14"/>
        <v>52.5</v>
      </c>
      <c r="K41" cm="1">
        <f t="array" ref="K41">STOWA2019_JAARROND_T(A41*60,J41,I41,"","")</f>
        <v>1.7579242061243039</v>
      </c>
      <c r="L41">
        <f t="shared" si="4"/>
        <v>0.85327910883430558</v>
      </c>
    </row>
    <row r="42" spans="1:12" x14ac:dyDescent="0.3">
      <c r="A42">
        <v>48</v>
      </c>
      <c r="B42">
        <f t="shared" si="12"/>
        <v>0.28957878276969828</v>
      </c>
      <c r="C42">
        <f t="shared" si="1"/>
        <v>0.28957878276969828</v>
      </c>
      <c r="D42" t="s">
        <v>23</v>
      </c>
      <c r="E42" t="s">
        <v>21</v>
      </c>
      <c r="F42">
        <v>1</v>
      </c>
      <c r="G42">
        <f t="shared" si="13"/>
        <v>55</v>
      </c>
      <c r="I42">
        <v>2014</v>
      </c>
      <c r="J42">
        <f t="shared" si="14"/>
        <v>57.5</v>
      </c>
      <c r="K42" cm="1">
        <f t="array" ref="K42">STOWA2019_JAARROND_T(A42*60,J42,I42,"","")</f>
        <v>2.660988349025863</v>
      </c>
      <c r="L42">
        <f t="shared" si="4"/>
        <v>0.56370032606460729</v>
      </c>
    </row>
    <row r="43" spans="1:12" x14ac:dyDescent="0.3">
      <c r="A43">
        <v>48</v>
      </c>
      <c r="B43">
        <f t="shared" si="12"/>
        <v>0.1850563132676889</v>
      </c>
      <c r="C43">
        <f t="shared" si="1"/>
        <v>0.1850563132676889</v>
      </c>
      <c r="D43" t="s">
        <v>23</v>
      </c>
      <c r="E43" t="s">
        <v>21</v>
      </c>
      <c r="F43">
        <v>1</v>
      </c>
      <c r="G43">
        <f t="shared" si="13"/>
        <v>60</v>
      </c>
      <c r="I43">
        <v>2014</v>
      </c>
      <c r="J43">
        <f t="shared" si="14"/>
        <v>62.5</v>
      </c>
      <c r="K43" cm="1">
        <f t="array" ref="K43">STOWA2019_JAARROND_T(A43*60,J43,I43,"","")</f>
        <v>3.9615046040738764</v>
      </c>
      <c r="L43">
        <f t="shared" si="4"/>
        <v>0.37864401279691839</v>
      </c>
    </row>
    <row r="44" spans="1:12" x14ac:dyDescent="0.3">
      <c r="A44">
        <v>48</v>
      </c>
      <c r="B44">
        <f t="shared" si="12"/>
        <v>0.12036497863759321</v>
      </c>
      <c r="C44">
        <f t="shared" si="1"/>
        <v>0.12036497863759321</v>
      </c>
      <c r="D44" t="s">
        <v>23</v>
      </c>
      <c r="E44" t="s">
        <v>21</v>
      </c>
      <c r="F44">
        <v>1</v>
      </c>
      <c r="G44">
        <f t="shared" si="13"/>
        <v>65</v>
      </c>
      <c r="I44">
        <v>2014</v>
      </c>
      <c r="J44">
        <f t="shared" si="14"/>
        <v>67.5</v>
      </c>
      <c r="K44" cm="1">
        <f t="array" ref="K44">STOWA2019_JAARROND_T(A44*60,J44,I44,"","")</f>
        <v>5.8076723295886703</v>
      </c>
      <c r="L44">
        <f t="shared" si="4"/>
        <v>0.25827903415932518</v>
      </c>
    </row>
    <row r="45" spans="1:12" x14ac:dyDescent="0.3">
      <c r="A45">
        <v>48</v>
      </c>
      <c r="B45">
        <f t="shared" si="12"/>
        <v>7.9580171954941825E-2</v>
      </c>
      <c r="C45">
        <f t="shared" si="1"/>
        <v>7.9580171954941825E-2</v>
      </c>
      <c r="D45" t="s">
        <v>23</v>
      </c>
      <c r="E45" t="s">
        <v>21</v>
      </c>
      <c r="F45">
        <v>1</v>
      </c>
      <c r="G45">
        <f t="shared" si="13"/>
        <v>70</v>
      </c>
      <c r="I45">
        <v>2014</v>
      </c>
      <c r="J45">
        <f t="shared" si="14"/>
        <v>72.5</v>
      </c>
      <c r="K45" cm="1">
        <f t="array" ref="K45">STOWA2019_JAARROND_T(A45*60,J45,I45,"","")</f>
        <v>8.3940097966846814</v>
      </c>
      <c r="L45">
        <f t="shared" si="4"/>
        <v>0.17869886220438336</v>
      </c>
    </row>
    <row r="46" spans="1:12" x14ac:dyDescent="0.3">
      <c r="A46">
        <v>48</v>
      </c>
      <c r="B46">
        <f t="shared" si="12"/>
        <v>5.3416164411142997E-2</v>
      </c>
      <c r="C46">
        <f t="shared" si="1"/>
        <v>5.3416164411142997E-2</v>
      </c>
      <c r="D46" t="s">
        <v>23</v>
      </c>
      <c r="E46" t="s">
        <v>21</v>
      </c>
      <c r="F46">
        <v>1</v>
      </c>
      <c r="G46">
        <f t="shared" si="13"/>
        <v>75</v>
      </c>
      <c r="I46">
        <v>2014</v>
      </c>
      <c r="J46">
        <f t="shared" si="14"/>
        <v>77.5</v>
      </c>
      <c r="K46" cm="1">
        <f t="array" ref="K46">STOWA2019_JAARROND_T(A46*60,J46,I46,"","")</f>
        <v>11.972922250409367</v>
      </c>
      <c r="L46">
        <f t="shared" si="4"/>
        <v>0.12528269779324036</v>
      </c>
    </row>
    <row r="47" spans="1:12" x14ac:dyDescent="0.3">
      <c r="A47">
        <v>48</v>
      </c>
      <c r="B47">
        <f t="shared" si="12"/>
        <v>3.6363412998513839E-2</v>
      </c>
      <c r="C47">
        <f t="shared" si="1"/>
        <v>3.6363412998513839E-2</v>
      </c>
      <c r="D47" t="s">
        <v>23</v>
      </c>
      <c r="E47" t="s">
        <v>21</v>
      </c>
      <c r="F47">
        <v>1</v>
      </c>
      <c r="G47">
        <f t="shared" si="13"/>
        <v>80</v>
      </c>
      <c r="I47">
        <v>2014</v>
      </c>
      <c r="J47">
        <f t="shared" si="14"/>
        <v>82.5</v>
      </c>
      <c r="K47" cm="1">
        <f t="array" ref="K47">STOWA2019_JAARROND_T(A47*60,J47,I47,"","")</f>
        <v>16.869231499812507</v>
      </c>
      <c r="L47">
        <f t="shared" si="4"/>
        <v>8.8919284794726522E-2</v>
      </c>
    </row>
    <row r="48" spans="1:12" x14ac:dyDescent="0.3">
      <c r="A48">
        <v>48</v>
      </c>
      <c r="B48">
        <f t="shared" si="12"/>
        <v>2.5081867446599126E-2</v>
      </c>
      <c r="C48">
        <f t="shared" si="1"/>
        <v>2.5081867446599126E-2</v>
      </c>
      <c r="D48" t="s">
        <v>23</v>
      </c>
      <c r="E48" t="s">
        <v>21</v>
      </c>
      <c r="F48">
        <v>1</v>
      </c>
      <c r="G48">
        <f t="shared" si="13"/>
        <v>85</v>
      </c>
      <c r="I48">
        <v>2014</v>
      </c>
      <c r="J48">
        <f t="shared" si="14"/>
        <v>87.5</v>
      </c>
      <c r="K48" cm="1">
        <f t="array" ref="K48">STOWA2019_JAARROND_T(A48*60,J48,I48,"","")</f>
        <v>23.497191182092848</v>
      </c>
      <c r="L48">
        <f t="shared" si="4"/>
        <v>6.3837417348127395E-2</v>
      </c>
    </row>
    <row r="49" spans="1:12" x14ac:dyDescent="0.3">
      <c r="A49">
        <v>48</v>
      </c>
      <c r="B49">
        <f t="shared" si="12"/>
        <v>1.7512405581865814E-2</v>
      </c>
      <c r="C49">
        <f t="shared" si="1"/>
        <v>1.7512405581865814E-2</v>
      </c>
      <c r="D49" t="s">
        <v>23</v>
      </c>
      <c r="E49" t="s">
        <v>21</v>
      </c>
      <c r="F49">
        <v>1</v>
      </c>
      <c r="G49">
        <f t="shared" si="13"/>
        <v>90</v>
      </c>
      <c r="I49">
        <v>2014</v>
      </c>
      <c r="J49">
        <f t="shared" si="14"/>
        <v>92.5</v>
      </c>
      <c r="K49" cm="1">
        <f t="array" ref="K49">STOWA2019_JAARROND_T(A49*60,J49,I49,"","")</f>
        <v>32.379916222545837</v>
      </c>
      <c r="L49">
        <f t="shared" si="4"/>
        <v>4.6325011766261581E-2</v>
      </c>
    </row>
    <row r="50" spans="1:12" x14ac:dyDescent="0.3">
      <c r="A50">
        <v>48</v>
      </c>
      <c r="B50">
        <f t="shared" si="12"/>
        <v>1.2368700053343819E-2</v>
      </c>
      <c r="C50">
        <f t="shared" si="1"/>
        <v>1.2368700053343819E-2</v>
      </c>
      <c r="D50" t="s">
        <v>23</v>
      </c>
      <c r="E50" t="s">
        <v>21</v>
      </c>
      <c r="F50">
        <v>1</v>
      </c>
      <c r="G50">
        <f t="shared" si="13"/>
        <v>95</v>
      </c>
      <c r="I50">
        <v>2014</v>
      </c>
      <c r="J50">
        <f t="shared" si="14"/>
        <v>97.5</v>
      </c>
      <c r="K50" cm="1">
        <f t="array" ref="K50">STOWA2019_JAARROND_T(A50*60,J50,I50,"","")</f>
        <v>44.174408948818943</v>
      </c>
      <c r="L50">
        <f t="shared" si="4"/>
        <v>3.3956311712917762E-2</v>
      </c>
    </row>
    <row r="51" spans="1:12" x14ac:dyDescent="0.3">
      <c r="A51">
        <v>48</v>
      </c>
      <c r="B51">
        <f t="shared" si="12"/>
        <v>8.8302179423311866E-3</v>
      </c>
      <c r="C51">
        <f t="shared" si="1"/>
        <v>8.8302179423311866E-3</v>
      </c>
      <c r="D51" t="s">
        <v>23</v>
      </c>
      <c r="E51" t="s">
        <v>21</v>
      </c>
      <c r="F51">
        <v>1</v>
      </c>
      <c r="G51">
        <f t="shared" si="13"/>
        <v>100</v>
      </c>
      <c r="I51">
        <v>2014</v>
      </c>
      <c r="J51">
        <f t="shared" si="14"/>
        <v>102.5</v>
      </c>
      <c r="K51" cm="1">
        <f t="array" ref="K51">STOWA2019_JAARROND_T(A51*60,J51,I51,"","")</f>
        <v>59.698893655962905</v>
      </c>
      <c r="L51">
        <f t="shared" si="4"/>
        <v>2.5126093770586576E-2</v>
      </c>
    </row>
    <row r="52" spans="1:12" x14ac:dyDescent="0.3">
      <c r="A52">
        <v>48</v>
      </c>
      <c r="B52">
        <f t="shared" si="12"/>
        <v>6.3679258713844958E-3</v>
      </c>
      <c r="C52">
        <f t="shared" si="1"/>
        <v>6.3679258713844958E-3</v>
      </c>
      <c r="D52" t="s">
        <v>23</v>
      </c>
      <c r="E52" t="s">
        <v>21</v>
      </c>
      <c r="F52">
        <v>1</v>
      </c>
      <c r="G52">
        <f t="shared" si="13"/>
        <v>105</v>
      </c>
      <c r="I52">
        <v>2014</v>
      </c>
      <c r="J52">
        <f t="shared" si="14"/>
        <v>107.5</v>
      </c>
      <c r="K52" cm="1">
        <f t="array" ref="K52">STOWA2019_JAARROND_T(A52*60,J52,I52,"","")</f>
        <v>79.965165471400113</v>
      </c>
      <c r="L52">
        <f t="shared" si="4"/>
        <v>1.875816789920208E-2</v>
      </c>
    </row>
    <row r="53" spans="1:12" x14ac:dyDescent="0.3">
      <c r="A53">
        <v>48</v>
      </c>
      <c r="B53">
        <f t="shared" si="12"/>
        <v>4.6364020506931697E-3</v>
      </c>
      <c r="C53">
        <f t="shared" si="1"/>
        <v>4.6364020506931697E-3</v>
      </c>
      <c r="D53" t="s">
        <v>23</v>
      </c>
      <c r="E53" t="s">
        <v>21</v>
      </c>
      <c r="F53">
        <v>1</v>
      </c>
      <c r="G53">
        <f t="shared" si="13"/>
        <v>110</v>
      </c>
      <c r="I53">
        <v>2014</v>
      </c>
      <c r="J53">
        <f t="shared" si="14"/>
        <v>112.5</v>
      </c>
      <c r="K53" cm="1">
        <f t="array" ref="K53">STOWA2019_JAARROND_T(A53*60,J53,I53,"","")</f>
        <v>106.21901085821942</v>
      </c>
      <c r="L53">
        <f t="shared" si="4"/>
        <v>1.412176584850891E-2</v>
      </c>
    </row>
    <row r="54" spans="1:12" x14ac:dyDescent="0.3">
      <c r="A54">
        <v>48</v>
      </c>
      <c r="B54">
        <f t="shared" si="12"/>
        <v>3.4060355639018002E-3</v>
      </c>
      <c r="C54">
        <f t="shared" si="1"/>
        <v>3.4060355639018002E-3</v>
      </c>
      <c r="D54" t="s">
        <v>23</v>
      </c>
      <c r="E54" t="s">
        <v>21</v>
      </c>
      <c r="F54">
        <v>1</v>
      </c>
      <c r="G54">
        <f t="shared" si="13"/>
        <v>115</v>
      </c>
      <c r="I54">
        <v>2014</v>
      </c>
      <c r="J54">
        <f t="shared" si="14"/>
        <v>117.5</v>
      </c>
      <c r="K54" cm="1">
        <f t="array" ref="K54">STOWA2019_JAARROND_T(A54*60,J54,I54,"","")</f>
        <v>139.98112682573898</v>
      </c>
      <c r="L54">
        <f t="shared" si="4"/>
        <v>1.071573028460711E-2</v>
      </c>
    </row>
    <row r="55" spans="1:12" x14ac:dyDescent="0.3">
      <c r="A55">
        <v>48</v>
      </c>
      <c r="B55">
        <f t="shared" si="12"/>
        <v>2.5234379492353309E-3</v>
      </c>
      <c r="C55">
        <f t="shared" si="1"/>
        <v>2.5234379492353309E-3</v>
      </c>
      <c r="D55" t="s">
        <v>23</v>
      </c>
      <c r="E55" t="s">
        <v>21</v>
      </c>
      <c r="F55">
        <v>1</v>
      </c>
      <c r="G55">
        <f t="shared" si="13"/>
        <v>120</v>
      </c>
      <c r="I55">
        <v>2014</v>
      </c>
      <c r="J55">
        <f t="shared" si="14"/>
        <v>122.5</v>
      </c>
      <c r="K55" cm="1">
        <f t="array" ref="K55">STOWA2019_JAARROND_T(A55*60,J55,I55,"","")</f>
        <v>183.09893477842152</v>
      </c>
      <c r="L55">
        <f t="shared" si="4"/>
        <v>8.1922923353717793E-3</v>
      </c>
    </row>
    <row r="56" spans="1:12" x14ac:dyDescent="0.3">
      <c r="A56">
        <v>48</v>
      </c>
      <c r="B56">
        <f t="shared" si="12"/>
        <v>1.8847127049978225E-3</v>
      </c>
      <c r="C56">
        <f t="shared" si="1"/>
        <v>1.8847127049978225E-3</v>
      </c>
      <c r="D56" t="s">
        <v>23</v>
      </c>
      <c r="E56" t="s">
        <v>21</v>
      </c>
      <c r="F56">
        <v>1</v>
      </c>
      <c r="G56">
        <f t="shared" si="13"/>
        <v>125</v>
      </c>
      <c r="I56">
        <v>2014</v>
      </c>
      <c r="J56">
        <f t="shared" si="14"/>
        <v>127.5</v>
      </c>
      <c r="K56" cm="1">
        <f t="array" ref="K56">STOWA2019_JAARROND_T(A56*60,J56,I56,"","")</f>
        <v>237.80912614670703</v>
      </c>
      <c r="L56">
        <f t="shared" si="4"/>
        <v>6.3075796303739568E-3</v>
      </c>
    </row>
    <row r="57" spans="1:12" x14ac:dyDescent="0.3">
      <c r="A57">
        <v>48</v>
      </c>
      <c r="B57">
        <f t="shared" si="12"/>
        <v>1.4183413020112511E-3</v>
      </c>
      <c r="C57">
        <f t="shared" si="1"/>
        <v>1.4183413020112511E-3</v>
      </c>
      <c r="D57" t="s">
        <v>23</v>
      </c>
      <c r="E57" t="s">
        <v>21</v>
      </c>
      <c r="F57">
        <v>1</v>
      </c>
      <c r="G57">
        <f t="shared" si="13"/>
        <v>130</v>
      </c>
      <c r="I57">
        <v>2014</v>
      </c>
      <c r="J57">
        <f t="shared" si="14"/>
        <v>132.5</v>
      </c>
      <c r="K57" cm="1">
        <f t="array" ref="K57">STOWA2019_JAARROND_T(A57*60,J57,I57,"","")</f>
        <v>306.7962531706479</v>
      </c>
      <c r="L57">
        <f t="shared" si="4"/>
        <v>4.8892383283627057E-3</v>
      </c>
    </row>
    <row r="58" spans="1:12" x14ac:dyDescent="0.3">
      <c r="A58">
        <v>48</v>
      </c>
      <c r="B58">
        <f t="shared" si="12"/>
        <v>1.0751410932435439E-3</v>
      </c>
      <c r="C58">
        <f t="shared" si="1"/>
        <v>1.0751410932435439E-3</v>
      </c>
      <c r="D58" t="s">
        <v>23</v>
      </c>
      <c r="E58" t="s">
        <v>21</v>
      </c>
      <c r="F58">
        <v>1</v>
      </c>
      <c r="G58">
        <f t="shared" si="13"/>
        <v>135</v>
      </c>
      <c r="I58">
        <v>2014</v>
      </c>
      <c r="J58">
        <f t="shared" si="14"/>
        <v>137.5</v>
      </c>
      <c r="K58" cm="1">
        <f t="array" ref="K58">STOWA2019_JAARROND_T(A58*60,J58,I58,"","")</f>
        <v>393.27786040387514</v>
      </c>
      <c r="L58">
        <f t="shared" si="4"/>
        <v>3.8140972351191618E-3</v>
      </c>
    </row>
    <row r="59" spans="1:12" x14ac:dyDescent="0.3">
      <c r="A59">
        <v>48</v>
      </c>
      <c r="B59">
        <f t="shared" si="12"/>
        <v>8.2061806961915111E-4</v>
      </c>
      <c r="C59">
        <f t="shared" si="1"/>
        <v>8.2061806961915111E-4</v>
      </c>
      <c r="D59" t="s">
        <v>23</v>
      </c>
      <c r="E59" t="s">
        <v>21</v>
      </c>
      <c r="F59">
        <v>1</v>
      </c>
      <c r="G59">
        <f t="shared" si="13"/>
        <v>140</v>
      </c>
      <c r="I59">
        <v>2014</v>
      </c>
      <c r="J59">
        <f t="shared" si="14"/>
        <v>142.5</v>
      </c>
      <c r="K59" cm="1">
        <f t="array" ref="K59">STOWA2019_JAARROND_T(A59*60,J59,I59,"","")</f>
        <v>501.08917318936818</v>
      </c>
      <c r="L59">
        <f t="shared" si="4"/>
        <v>2.9934791655000107E-3</v>
      </c>
    </row>
    <row r="60" spans="1:12" x14ac:dyDescent="0.3">
      <c r="A60">
        <v>48</v>
      </c>
      <c r="B60">
        <f t="shared" si="12"/>
        <v>6.3042318903765767E-4</v>
      </c>
      <c r="C60">
        <f t="shared" si="1"/>
        <v>6.3042318903765767E-4</v>
      </c>
      <c r="D60" t="s">
        <v>23</v>
      </c>
      <c r="E60" t="s">
        <v>21</v>
      </c>
      <c r="F60">
        <v>1</v>
      </c>
      <c r="G60">
        <f t="shared" si="13"/>
        <v>145</v>
      </c>
      <c r="I60">
        <v>2014</v>
      </c>
      <c r="J60">
        <f t="shared" si="14"/>
        <v>147.5</v>
      </c>
      <c r="K60" cm="1">
        <f t="array" ref="K60">STOWA2019_JAARROND_T(A60*60,J60,I60,"","")</f>
        <v>634.7712516931557</v>
      </c>
      <c r="L60">
        <f t="shared" si="4"/>
        <v>2.363055976462353E-3</v>
      </c>
    </row>
    <row r="61" spans="1:12" x14ac:dyDescent="0.3">
      <c r="A61">
        <v>48</v>
      </c>
      <c r="B61">
        <f t="shared" si="12"/>
        <v>4.8734704539047562E-4</v>
      </c>
      <c r="C61">
        <f t="shared" si="1"/>
        <v>4.8734704539047562E-4</v>
      </c>
      <c r="D61" t="s">
        <v>23</v>
      </c>
      <c r="E61" t="s">
        <v>21</v>
      </c>
      <c r="F61">
        <v>1</v>
      </c>
      <c r="G61">
        <f t="shared" si="13"/>
        <v>150</v>
      </c>
      <c r="I61">
        <v>2014</v>
      </c>
      <c r="J61">
        <f t="shared" si="14"/>
        <v>152.5</v>
      </c>
      <c r="K61" cm="1">
        <f t="array" ref="K61">STOWA2019_JAARROND_T(A61*60,J61,I61,"","")</f>
        <v>799.69763706505478</v>
      </c>
      <c r="L61">
        <f t="shared" si="4"/>
        <v>1.8757089310718774E-3</v>
      </c>
    </row>
    <row r="62" spans="1:12" x14ac:dyDescent="0.3">
      <c r="A62">
        <v>48</v>
      </c>
      <c r="B62">
        <f t="shared" si="12"/>
        <v>3.7898567087704194E-4</v>
      </c>
      <c r="C62">
        <f t="shared" si="1"/>
        <v>3.7898567087704194E-4</v>
      </c>
      <c r="D62" t="s">
        <v>23</v>
      </c>
      <c r="E62" t="s">
        <v>21</v>
      </c>
      <c r="F62">
        <v>1</v>
      </c>
      <c r="G62">
        <f t="shared" si="13"/>
        <v>155</v>
      </c>
      <c r="I62">
        <v>2014</v>
      </c>
      <c r="J62">
        <f t="shared" si="14"/>
        <v>157.5</v>
      </c>
      <c r="K62" cm="1">
        <f t="array" ref="K62">STOWA2019_JAARROND_T(A62*60,J62,I62,"","")</f>
        <v>1002.1892756612456</v>
      </c>
      <c r="L62">
        <f t="shared" si="4"/>
        <v>1.4967232601948354E-3</v>
      </c>
    </row>
    <row r="63" spans="1:12" x14ac:dyDescent="0.3">
      <c r="A63">
        <v>48</v>
      </c>
      <c r="B63" s="1">
        <f>L62</f>
        <v>1.4967232601948354E-3</v>
      </c>
      <c r="C63">
        <f t="shared" si="1"/>
        <v>1.4967232601948354E-3</v>
      </c>
      <c r="D63" t="s">
        <v>23</v>
      </c>
      <c r="E63" t="s">
        <v>21</v>
      </c>
      <c r="F63">
        <v>1</v>
      </c>
      <c r="G63">
        <f t="shared" si="13"/>
        <v>160</v>
      </c>
      <c r="I63">
        <v>2014</v>
      </c>
      <c r="J63">
        <f>AVERAGE(G63:G64)</f>
        <v>85</v>
      </c>
      <c r="K63" cm="1">
        <f t="array" ref="K63">STOWA2019_JAARROND_T(A63*60,J63,I63,"","")</f>
        <v>19.936972584353686</v>
      </c>
      <c r="L63">
        <f t="shared" si="4"/>
        <v>7.5237099998682014E-2</v>
      </c>
    </row>
    <row r="64" spans="1:12" x14ac:dyDescent="0.3">
      <c r="A64">
        <v>96</v>
      </c>
      <c r="B64" s="1">
        <f>365.25*24/A64 - L64</f>
        <v>29.849262072478723</v>
      </c>
      <c r="C64">
        <f>B64</f>
        <v>29.849262072478723</v>
      </c>
      <c r="D64" t="s">
        <v>23</v>
      </c>
      <c r="E64" t="s">
        <v>21</v>
      </c>
      <c r="F64">
        <v>1</v>
      </c>
      <c r="G64">
        <v>10</v>
      </c>
      <c r="I64">
        <v>2014</v>
      </c>
      <c r="J64">
        <f>AVERAGE(G64:G66)</f>
        <v>15</v>
      </c>
      <c r="K64" cm="1">
        <f t="array" ref="K64">STOWA2019_JAARROND_T(A64*60,J64,I64,"","")</f>
        <v>2.4404832068379331E-2</v>
      </c>
      <c r="L64">
        <f t="shared" si="4"/>
        <v>61.463237927521277</v>
      </c>
    </row>
    <row r="65" spans="1:12" x14ac:dyDescent="0.3">
      <c r="A65">
        <v>96</v>
      </c>
      <c r="B65">
        <f t="shared" ref="B65:B69" si="15">L64-L65</f>
        <v>12.645327356803193</v>
      </c>
      <c r="C65">
        <f t="shared" si="1"/>
        <v>12.645327356803193</v>
      </c>
      <c r="D65" t="s">
        <v>23</v>
      </c>
      <c r="E65" t="s">
        <v>21</v>
      </c>
      <c r="F65">
        <v>1</v>
      </c>
      <c r="G65">
        <f t="shared" ref="G65:G69" si="16">G64+5</f>
        <v>15</v>
      </c>
      <c r="I65">
        <v>2014</v>
      </c>
      <c r="J65">
        <f t="shared" ref="J65:J69" si="17">AVERAGE(G65:G66)</f>
        <v>17.5</v>
      </c>
      <c r="K65" cm="1">
        <f t="array" ref="K65">STOWA2019_JAARROND_T(A65*60,J65,I65,"","")</f>
        <v>3.0726427707861152E-2</v>
      </c>
      <c r="L65">
        <f t="shared" si="4"/>
        <v>48.817910570718084</v>
      </c>
    </row>
    <row r="66" spans="1:12" x14ac:dyDescent="0.3">
      <c r="A66">
        <v>96</v>
      </c>
      <c r="B66">
        <f t="shared" si="15"/>
        <v>17.762059706329975</v>
      </c>
      <c r="C66">
        <f t="shared" si="1"/>
        <v>17.762059706329975</v>
      </c>
      <c r="D66" t="s">
        <v>23</v>
      </c>
      <c r="E66" t="s">
        <v>21</v>
      </c>
      <c r="F66">
        <v>1</v>
      </c>
      <c r="G66">
        <f t="shared" si="16"/>
        <v>20</v>
      </c>
      <c r="I66">
        <v>2014</v>
      </c>
      <c r="J66">
        <f t="shared" si="17"/>
        <v>22.5</v>
      </c>
      <c r="K66" cm="1">
        <f t="array" ref="K66">STOWA2019_JAARROND_T(A66*60,J66,I66,"","")</f>
        <v>4.8300077384775736E-2</v>
      </c>
      <c r="L66">
        <f t="shared" si="4"/>
        <v>31.055850864388109</v>
      </c>
    </row>
    <row r="67" spans="1:12" x14ac:dyDescent="0.3">
      <c r="A67">
        <v>96</v>
      </c>
      <c r="B67">
        <f t="shared" si="15"/>
        <v>11.086463450214531</v>
      </c>
      <c r="C67">
        <f t="shared" si="1"/>
        <v>11.086463450214531</v>
      </c>
      <c r="D67" t="s">
        <v>23</v>
      </c>
      <c r="E67" t="s">
        <v>21</v>
      </c>
      <c r="F67">
        <v>1</v>
      </c>
      <c r="G67">
        <f t="shared" si="16"/>
        <v>25</v>
      </c>
      <c r="I67">
        <v>2014</v>
      </c>
      <c r="J67">
        <f t="shared" si="17"/>
        <v>27.5</v>
      </c>
      <c r="K67" cm="1">
        <f t="array" ref="K67">STOWA2019_JAARROND_T(A67*60,J67,I67,"","")</f>
        <v>7.5114973178163291E-2</v>
      </c>
      <c r="L67">
        <f t="shared" ref="L67:L130" si="18">1/K67 * 12/8</f>
        <v>19.969387414173578</v>
      </c>
    </row>
    <row r="68" spans="1:12" x14ac:dyDescent="0.3">
      <c r="A68">
        <v>96</v>
      </c>
      <c r="B68">
        <f t="shared" si="15"/>
        <v>6.9970733831838174</v>
      </c>
      <c r="C68">
        <f t="shared" si="1"/>
        <v>6.9970733831838174</v>
      </c>
      <c r="D68" t="s">
        <v>23</v>
      </c>
      <c r="E68" t="s">
        <v>21</v>
      </c>
      <c r="F68">
        <v>1</v>
      </c>
      <c r="G68">
        <f t="shared" si="16"/>
        <v>30</v>
      </c>
      <c r="I68">
        <v>2014</v>
      </c>
      <c r="J68">
        <f t="shared" si="17"/>
        <v>32.5</v>
      </c>
      <c r="K68" cm="1">
        <f t="array" ref="K68">STOWA2019_JAARROND_T(A68*60,J68,I68,"","")</f>
        <v>0.1156308732903495</v>
      </c>
      <c r="L68">
        <f t="shared" si="18"/>
        <v>12.972314030989761</v>
      </c>
    </row>
    <row r="69" spans="1:12" x14ac:dyDescent="0.3">
      <c r="A69">
        <v>96</v>
      </c>
      <c r="B69">
        <f t="shared" si="15"/>
        <v>4.4626972016392568</v>
      </c>
      <c r="C69">
        <f t="shared" si="1"/>
        <v>4.4626972016392568</v>
      </c>
      <c r="D69" t="s">
        <v>23</v>
      </c>
      <c r="E69" t="s">
        <v>21</v>
      </c>
      <c r="F69">
        <v>1</v>
      </c>
      <c r="G69">
        <f t="shared" si="16"/>
        <v>35</v>
      </c>
      <c r="I69">
        <v>2014</v>
      </c>
      <c r="J69">
        <f t="shared" si="17"/>
        <v>37.5</v>
      </c>
      <c r="K69" cm="1">
        <f t="array" ref="K69">STOWA2019_JAARROND_T(A69*60,J69,I69,"","")</f>
        <v>0.17627115651392816</v>
      </c>
      <c r="L69">
        <f t="shared" si="18"/>
        <v>8.5096168293505041</v>
      </c>
    </row>
    <row r="70" spans="1:12" x14ac:dyDescent="0.3">
      <c r="A70">
        <v>96</v>
      </c>
      <c r="B70">
        <f>L69-L70</f>
        <v>2.8751307413347069</v>
      </c>
      <c r="C70">
        <f t="shared" si="1"/>
        <v>2.8751307413347069</v>
      </c>
      <c r="D70" t="s">
        <v>23</v>
      </c>
      <c r="E70" t="s">
        <v>21</v>
      </c>
      <c r="F70">
        <v>1</v>
      </c>
      <c r="G70">
        <f>G69+5</f>
        <v>40</v>
      </c>
      <c r="I70">
        <v>2014</v>
      </c>
      <c r="J70">
        <f>AVERAGE(G70:G71)</f>
        <v>42.5</v>
      </c>
      <c r="K70" cm="1">
        <f t="array" ref="K70">STOWA2019_JAARROND_T(A70*60,J70,I70,"","")</f>
        <v>0.26621771294997199</v>
      </c>
      <c r="L70">
        <f t="shared" si="18"/>
        <v>5.6344860880157972</v>
      </c>
    </row>
    <row r="71" spans="1:12" x14ac:dyDescent="0.3">
      <c r="A71">
        <v>96</v>
      </c>
      <c r="B71">
        <f t="shared" ref="B71:B93" si="19">L70-L71</f>
        <v>1.8703751326138485</v>
      </c>
      <c r="C71">
        <f t="shared" si="1"/>
        <v>1.8703751326138485</v>
      </c>
      <c r="D71" t="s">
        <v>23</v>
      </c>
      <c r="E71" t="s">
        <v>21</v>
      </c>
      <c r="F71">
        <v>1</v>
      </c>
      <c r="G71">
        <f t="shared" ref="G71:G94" si="20">G70+5</f>
        <v>45</v>
      </c>
      <c r="I71">
        <v>2014</v>
      </c>
      <c r="J71">
        <f t="shared" ref="J71:J93" si="21">AVERAGE(G71:G72)</f>
        <v>47.5</v>
      </c>
      <c r="K71" cm="1">
        <f t="array" ref="K71">STOWA2019_JAARROND_T(A71*60,J71,I71,"","")</f>
        <v>0.39850047402224448</v>
      </c>
      <c r="L71">
        <f t="shared" si="18"/>
        <v>3.7641109554019487</v>
      </c>
    </row>
    <row r="72" spans="1:12" x14ac:dyDescent="0.3">
      <c r="A72">
        <v>96</v>
      </c>
      <c r="B72">
        <f t="shared" si="19"/>
        <v>1.2278875204666946</v>
      </c>
      <c r="C72">
        <f t="shared" si="1"/>
        <v>1.2278875204666946</v>
      </c>
      <c r="D72" t="s">
        <v>23</v>
      </c>
      <c r="E72" t="s">
        <v>21</v>
      </c>
      <c r="F72">
        <v>1</v>
      </c>
      <c r="G72">
        <f t="shared" si="20"/>
        <v>50</v>
      </c>
      <c r="I72">
        <v>2014</v>
      </c>
      <c r="J72">
        <f t="shared" si="21"/>
        <v>52.5</v>
      </c>
      <c r="K72" cm="1">
        <f t="array" ref="K72">STOWA2019_JAARROND_T(A72*60,J72,I72,"","")</f>
        <v>0.59143054170158027</v>
      </c>
      <c r="L72">
        <f t="shared" si="18"/>
        <v>2.5362234349352542</v>
      </c>
    </row>
    <row r="73" spans="1:12" x14ac:dyDescent="0.3">
      <c r="A73">
        <v>96</v>
      </c>
      <c r="B73">
        <f t="shared" si="19"/>
        <v>0.81328272038133287</v>
      </c>
      <c r="C73">
        <f t="shared" si="1"/>
        <v>0.81328272038133287</v>
      </c>
      <c r="D73" t="s">
        <v>23</v>
      </c>
      <c r="E73" t="s">
        <v>21</v>
      </c>
      <c r="F73">
        <v>1</v>
      </c>
      <c r="G73">
        <f t="shared" si="20"/>
        <v>55</v>
      </c>
      <c r="I73">
        <v>2014</v>
      </c>
      <c r="J73">
        <f t="shared" si="21"/>
        <v>57.5</v>
      </c>
      <c r="K73" cm="1">
        <f t="array" ref="K73">STOWA2019_JAARROND_T(A73*60,J73,I73,"","")</f>
        <v>0.8706045352166154</v>
      </c>
      <c r="L73">
        <f t="shared" si="18"/>
        <v>1.7229407145539213</v>
      </c>
    </row>
    <row r="74" spans="1:12" x14ac:dyDescent="0.3">
      <c r="A74">
        <v>96</v>
      </c>
      <c r="B74">
        <f t="shared" si="19"/>
        <v>0.54315179560013771</v>
      </c>
      <c r="C74">
        <f t="shared" si="1"/>
        <v>0.54315179560013771</v>
      </c>
      <c r="D74" t="s">
        <v>23</v>
      </c>
      <c r="E74" t="s">
        <v>21</v>
      </c>
      <c r="F74">
        <v>1</v>
      </c>
      <c r="G74">
        <f t="shared" si="20"/>
        <v>60</v>
      </c>
      <c r="I74">
        <v>2014</v>
      </c>
      <c r="J74">
        <f t="shared" si="21"/>
        <v>62.5</v>
      </c>
      <c r="K74" cm="1">
        <f t="array" ref="K74">STOWA2019_JAARROND_T(A74*60,J74,I74,"","")</f>
        <v>1.2714138740429721</v>
      </c>
      <c r="L74">
        <f t="shared" si="18"/>
        <v>1.1797889189537836</v>
      </c>
    </row>
    <row r="75" spans="1:12" x14ac:dyDescent="0.3">
      <c r="A75">
        <v>96</v>
      </c>
      <c r="B75">
        <f t="shared" si="19"/>
        <v>0.3658879353581046</v>
      </c>
      <c r="C75">
        <f t="shared" si="1"/>
        <v>0.3658879353581046</v>
      </c>
      <c r="D75" t="s">
        <v>23</v>
      </c>
      <c r="E75" t="s">
        <v>21</v>
      </c>
      <c r="F75">
        <v>1</v>
      </c>
      <c r="G75">
        <f t="shared" si="20"/>
        <v>65</v>
      </c>
      <c r="I75">
        <v>2014</v>
      </c>
      <c r="J75">
        <f t="shared" si="21"/>
        <v>67.5</v>
      </c>
      <c r="K75" cm="1">
        <f t="array" ref="K75">STOWA2019_JAARROND_T(A75*60,J75,I75,"","")</f>
        <v>1.8429760256256844</v>
      </c>
      <c r="L75">
        <f t="shared" si="18"/>
        <v>0.81390098359567897</v>
      </c>
    </row>
    <row r="76" spans="1:12" x14ac:dyDescent="0.3">
      <c r="A76">
        <v>96</v>
      </c>
      <c r="B76">
        <f t="shared" si="19"/>
        <v>0.24833671297514281</v>
      </c>
      <c r="C76">
        <f t="shared" si="1"/>
        <v>0.24833671297514281</v>
      </c>
      <c r="D76" t="s">
        <v>23</v>
      </c>
      <c r="E76" t="s">
        <v>21</v>
      </c>
      <c r="F76">
        <v>1</v>
      </c>
      <c r="G76">
        <f t="shared" si="20"/>
        <v>70</v>
      </c>
      <c r="I76">
        <v>2014</v>
      </c>
      <c r="J76">
        <f t="shared" si="21"/>
        <v>72.5</v>
      </c>
      <c r="K76" cm="1">
        <f t="array" ref="K76">STOWA2019_JAARROND_T(A76*60,J76,I76,"","")</f>
        <v>2.6522184620223666</v>
      </c>
      <c r="L76">
        <f t="shared" si="18"/>
        <v>0.56556427062053616</v>
      </c>
    </row>
    <row r="77" spans="1:12" x14ac:dyDescent="0.3">
      <c r="A77">
        <v>96</v>
      </c>
      <c r="B77">
        <f t="shared" si="19"/>
        <v>0.16981404198680233</v>
      </c>
      <c r="C77">
        <f t="shared" si="1"/>
        <v>0.16981404198680233</v>
      </c>
      <c r="D77" t="s">
        <v>23</v>
      </c>
      <c r="E77" t="s">
        <v>21</v>
      </c>
      <c r="F77">
        <v>1</v>
      </c>
      <c r="G77">
        <f t="shared" si="20"/>
        <v>75</v>
      </c>
      <c r="I77">
        <v>2014</v>
      </c>
      <c r="J77">
        <f t="shared" si="21"/>
        <v>77.5</v>
      </c>
      <c r="K77" cm="1">
        <f t="array" ref="K77">STOWA2019_JAARROND_T(A77*60,J77,I77,"","")</f>
        <v>3.7902694464094613</v>
      </c>
      <c r="L77">
        <f t="shared" si="18"/>
        <v>0.39575022863373382</v>
      </c>
    </row>
    <row r="78" spans="1:12" x14ac:dyDescent="0.3">
      <c r="A78">
        <v>96</v>
      </c>
      <c r="B78">
        <f t="shared" si="19"/>
        <v>0.11696076742682238</v>
      </c>
      <c r="C78">
        <f t="shared" si="1"/>
        <v>0.11696076742682238</v>
      </c>
      <c r="D78" t="s">
        <v>23</v>
      </c>
      <c r="E78" t="s">
        <v>21</v>
      </c>
      <c r="F78">
        <v>1</v>
      </c>
      <c r="G78">
        <f t="shared" si="20"/>
        <v>80</v>
      </c>
      <c r="I78">
        <v>2014</v>
      </c>
      <c r="J78">
        <f t="shared" si="21"/>
        <v>82.5</v>
      </c>
      <c r="K78" cm="1">
        <f t="array" ref="K78">STOWA2019_JAARROND_T(A78*60,J78,I78,"","")</f>
        <v>5.3804042430668959</v>
      </c>
      <c r="L78">
        <f t="shared" si="18"/>
        <v>0.27878946120691145</v>
      </c>
    </row>
    <row r="79" spans="1:12" x14ac:dyDescent="0.3">
      <c r="A79">
        <v>96</v>
      </c>
      <c r="B79">
        <f t="shared" si="19"/>
        <v>8.1123610199753615E-2</v>
      </c>
      <c r="C79">
        <f t="shared" si="1"/>
        <v>8.1123610199753615E-2</v>
      </c>
      <c r="D79" t="s">
        <v>23</v>
      </c>
      <c r="E79" t="s">
        <v>21</v>
      </c>
      <c r="F79">
        <v>1</v>
      </c>
      <c r="G79">
        <f t="shared" si="20"/>
        <v>85</v>
      </c>
      <c r="I79">
        <v>2014</v>
      </c>
      <c r="J79">
        <f t="shared" si="21"/>
        <v>87.5</v>
      </c>
      <c r="K79" cm="1">
        <f t="array" ref="K79">STOWA2019_JAARROND_T(A79*60,J79,I79,"","")</f>
        <v>7.5885641973923068</v>
      </c>
      <c r="L79">
        <f t="shared" si="18"/>
        <v>0.19766585100715783</v>
      </c>
    </row>
    <row r="80" spans="1:12" x14ac:dyDescent="0.3">
      <c r="A80">
        <v>96</v>
      </c>
      <c r="B80">
        <f t="shared" si="19"/>
        <v>5.6641381470282026E-2</v>
      </c>
      <c r="C80">
        <f t="shared" si="1"/>
        <v>5.6641381470282026E-2</v>
      </c>
      <c r="D80" t="s">
        <v>23</v>
      </c>
      <c r="E80" t="s">
        <v>21</v>
      </c>
      <c r="F80">
        <v>1</v>
      </c>
      <c r="G80">
        <f t="shared" si="20"/>
        <v>90</v>
      </c>
      <c r="I80">
        <v>2014</v>
      </c>
      <c r="J80">
        <f t="shared" si="21"/>
        <v>92.5</v>
      </c>
      <c r="K80" cm="1">
        <f t="array" ref="K80">STOWA2019_JAARROND_T(A80*60,J80,I80,"","")</f>
        <v>10.636451992522986</v>
      </c>
      <c r="L80">
        <f t="shared" si="18"/>
        <v>0.14102446953687581</v>
      </c>
    </row>
    <row r="81" spans="1:12" x14ac:dyDescent="0.3">
      <c r="A81">
        <v>96</v>
      </c>
      <c r="B81">
        <f t="shared" si="19"/>
        <v>3.9804893019825094E-2</v>
      </c>
      <c r="C81">
        <f t="shared" si="1"/>
        <v>3.9804893019825094E-2</v>
      </c>
      <c r="D81" t="s">
        <v>23</v>
      </c>
      <c r="E81" t="s">
        <v>21</v>
      </c>
      <c r="F81">
        <v>1</v>
      </c>
      <c r="G81">
        <f t="shared" si="20"/>
        <v>95</v>
      </c>
      <c r="I81">
        <v>2014</v>
      </c>
      <c r="J81">
        <f t="shared" si="21"/>
        <v>97.5</v>
      </c>
      <c r="K81" cm="1">
        <f t="array" ref="K81">STOWA2019_JAARROND_T(A81*60,J81,I81,"","")</f>
        <v>14.819267691238771</v>
      </c>
      <c r="L81">
        <f t="shared" si="18"/>
        <v>0.10121957651705071</v>
      </c>
    </row>
    <row r="82" spans="1:12" x14ac:dyDescent="0.3">
      <c r="A82">
        <v>96</v>
      </c>
      <c r="B82">
        <f t="shared" si="19"/>
        <v>2.8147614850404845E-2</v>
      </c>
      <c r="C82">
        <f t="shared" si="1"/>
        <v>2.8147614850404845E-2</v>
      </c>
      <c r="D82" t="s">
        <v>23</v>
      </c>
      <c r="E82" t="s">
        <v>21</v>
      </c>
      <c r="F82">
        <v>1</v>
      </c>
      <c r="G82">
        <f t="shared" si="20"/>
        <v>100</v>
      </c>
      <c r="I82">
        <v>2014</v>
      </c>
      <c r="J82">
        <f t="shared" si="21"/>
        <v>102.5</v>
      </c>
      <c r="K82" cm="1">
        <f t="array" ref="K82">STOWA2019_JAARROND_T(A82*60,J82,I82,"","")</f>
        <v>20.527709476898906</v>
      </c>
      <c r="L82">
        <f t="shared" si="18"/>
        <v>7.3071961666645868E-2</v>
      </c>
    </row>
    <row r="83" spans="1:12" x14ac:dyDescent="0.3">
      <c r="A83">
        <v>96</v>
      </c>
      <c r="B83">
        <f t="shared" si="19"/>
        <v>2.0024219834836016E-2</v>
      </c>
      <c r="C83">
        <f t="shared" si="1"/>
        <v>2.0024219834836016E-2</v>
      </c>
      <c r="D83" t="s">
        <v>23</v>
      </c>
      <c r="E83" t="s">
        <v>21</v>
      </c>
      <c r="F83">
        <v>1</v>
      </c>
      <c r="G83">
        <f t="shared" si="20"/>
        <v>105</v>
      </c>
      <c r="I83">
        <v>2014</v>
      </c>
      <c r="J83">
        <f t="shared" si="21"/>
        <v>107.5</v>
      </c>
      <c r="K83" cm="1">
        <f t="array" ref="K83">STOWA2019_JAARROND_T(A83*60,J83,I83,"","")</f>
        <v>28.276415700329235</v>
      </c>
      <c r="L83">
        <f t="shared" si="18"/>
        <v>5.3047741831809853E-2</v>
      </c>
    </row>
    <row r="84" spans="1:12" x14ac:dyDescent="0.3">
      <c r="A84">
        <v>96</v>
      </c>
      <c r="B84">
        <f t="shared" si="19"/>
        <v>1.4328133402562428E-2</v>
      </c>
      <c r="C84">
        <f t="shared" si="1"/>
        <v>1.4328133402562428E-2</v>
      </c>
      <c r="D84" t="s">
        <v>23</v>
      </c>
      <c r="E84" t="s">
        <v>21</v>
      </c>
      <c r="F84">
        <v>1</v>
      </c>
      <c r="G84">
        <f t="shared" si="20"/>
        <v>110</v>
      </c>
      <c r="I84">
        <v>2014</v>
      </c>
      <c r="J84">
        <f t="shared" si="21"/>
        <v>112.5</v>
      </c>
      <c r="K84" cm="1">
        <f t="array" ref="K84">STOWA2019_JAARROND_T(A84*60,J84,I84,"","")</f>
        <v>38.74006119511666</v>
      </c>
      <c r="L84">
        <f t="shared" si="18"/>
        <v>3.8719608429247425E-2</v>
      </c>
    </row>
    <row r="85" spans="1:12" x14ac:dyDescent="0.3">
      <c r="A85">
        <v>96</v>
      </c>
      <c r="B85">
        <f t="shared" si="19"/>
        <v>1.0309811090373731E-2</v>
      </c>
      <c r="C85">
        <f t="shared" si="1"/>
        <v>1.0309811090373731E-2</v>
      </c>
      <c r="D85" t="s">
        <v>23</v>
      </c>
      <c r="E85" t="s">
        <v>21</v>
      </c>
      <c r="F85">
        <v>1</v>
      </c>
      <c r="G85">
        <f t="shared" si="20"/>
        <v>115</v>
      </c>
      <c r="I85">
        <v>2014</v>
      </c>
      <c r="J85">
        <f t="shared" si="21"/>
        <v>117.5</v>
      </c>
      <c r="K85" cm="1">
        <f t="array" ref="K85">STOWA2019_JAARROND_T(A85*60,J85,I85,"","")</f>
        <v>52.798687090510143</v>
      </c>
      <c r="L85">
        <f t="shared" si="18"/>
        <v>2.8409797338873694E-2</v>
      </c>
    </row>
    <row r="86" spans="1:12" x14ac:dyDescent="0.3">
      <c r="A86">
        <v>96</v>
      </c>
      <c r="B86">
        <f t="shared" si="19"/>
        <v>7.4591294941165204E-3</v>
      </c>
      <c r="C86">
        <f t="shared" si="1"/>
        <v>7.4591294941165204E-3</v>
      </c>
      <c r="D86" t="s">
        <v>23</v>
      </c>
      <c r="E86" t="s">
        <v>21</v>
      </c>
      <c r="F86">
        <v>1</v>
      </c>
      <c r="G86">
        <f t="shared" si="20"/>
        <v>120</v>
      </c>
      <c r="I86">
        <v>2014</v>
      </c>
      <c r="J86">
        <f t="shared" si="21"/>
        <v>122.5</v>
      </c>
      <c r="K86" cm="1">
        <f t="array" ref="K86">STOWA2019_JAARROND_T(A86*60,J86,I86,"","")</f>
        <v>71.596762982205817</v>
      </c>
      <c r="L86">
        <f t="shared" si="18"/>
        <v>2.0950667844757173E-2</v>
      </c>
    </row>
    <row r="87" spans="1:12" x14ac:dyDescent="0.3">
      <c r="A87">
        <v>96</v>
      </c>
      <c r="B87">
        <f t="shared" si="19"/>
        <v>5.4247976456053663E-3</v>
      </c>
      <c r="C87">
        <f t="shared" si="1"/>
        <v>5.4247976456053663E-3</v>
      </c>
      <c r="D87" t="s">
        <v>23</v>
      </c>
      <c r="E87" t="s">
        <v>21</v>
      </c>
      <c r="F87">
        <v>1</v>
      </c>
      <c r="G87">
        <f t="shared" si="20"/>
        <v>125</v>
      </c>
      <c r="I87">
        <v>2014</v>
      </c>
      <c r="J87">
        <f t="shared" si="21"/>
        <v>127.5</v>
      </c>
      <c r="K87" cm="1">
        <f t="array" ref="K87">STOWA2019_JAARROND_T(A87*60,J87,I87,"","")</f>
        <v>96.612942189993731</v>
      </c>
      <c r="L87">
        <f t="shared" si="18"/>
        <v>1.5525870199151807E-2</v>
      </c>
    </row>
    <row r="88" spans="1:12" x14ac:dyDescent="0.3">
      <c r="A88">
        <v>96</v>
      </c>
      <c r="B88">
        <f t="shared" si="19"/>
        <v>3.9655719731562962E-3</v>
      </c>
      <c r="C88">
        <f t="shared" si="1"/>
        <v>3.9655719731562962E-3</v>
      </c>
      <c r="D88" t="s">
        <v>23</v>
      </c>
      <c r="E88" t="s">
        <v>21</v>
      </c>
      <c r="F88">
        <v>1</v>
      </c>
      <c r="G88">
        <f t="shared" si="20"/>
        <v>130</v>
      </c>
      <c r="I88">
        <v>2014</v>
      </c>
      <c r="J88">
        <f t="shared" si="21"/>
        <v>132.5</v>
      </c>
      <c r="K88" cm="1">
        <f t="array" ref="K88">STOWA2019_JAARROND_T(A88*60,J88,I88,"","")</f>
        <v>129.75443804961424</v>
      </c>
      <c r="L88">
        <f t="shared" si="18"/>
        <v>1.1560298225995511E-2</v>
      </c>
    </row>
    <row r="89" spans="1:12" x14ac:dyDescent="0.3">
      <c r="A89">
        <v>96</v>
      </c>
      <c r="B89">
        <f t="shared" si="19"/>
        <v>2.9130288170907681E-3</v>
      </c>
      <c r="C89">
        <f t="shared" si="1"/>
        <v>2.9130288170907681E-3</v>
      </c>
      <c r="D89" t="s">
        <v>23</v>
      </c>
      <c r="E89" t="s">
        <v>21</v>
      </c>
      <c r="F89">
        <v>1</v>
      </c>
      <c r="G89">
        <f t="shared" si="20"/>
        <v>135</v>
      </c>
      <c r="I89">
        <v>2014</v>
      </c>
      <c r="J89">
        <f t="shared" si="21"/>
        <v>137.5</v>
      </c>
      <c r="K89" cm="1">
        <f t="array" ref="K89">STOWA2019_JAARROND_T(A89*60,J89,I89,"","")</f>
        <v>173.46516328672925</v>
      </c>
      <c r="L89">
        <f t="shared" si="18"/>
        <v>8.6472694089047425E-3</v>
      </c>
    </row>
    <row r="90" spans="1:12" x14ac:dyDescent="0.3">
      <c r="A90">
        <v>96</v>
      </c>
      <c r="B90">
        <f t="shared" si="19"/>
        <v>2.1501767890449476E-3</v>
      </c>
      <c r="C90">
        <f t="shared" si="1"/>
        <v>2.1501767890449476E-3</v>
      </c>
      <c r="D90" t="s">
        <v>23</v>
      </c>
      <c r="E90" t="s">
        <v>21</v>
      </c>
      <c r="F90">
        <v>1</v>
      </c>
      <c r="G90">
        <f t="shared" si="20"/>
        <v>140</v>
      </c>
      <c r="I90">
        <v>2014</v>
      </c>
      <c r="J90">
        <f t="shared" si="21"/>
        <v>142.5</v>
      </c>
      <c r="K90" cm="1">
        <f t="array" ref="K90">STOWA2019_JAARROND_T(A90*60,J90,I90,"","")</f>
        <v>230.8724975560483</v>
      </c>
      <c r="L90">
        <f t="shared" si="18"/>
        <v>6.4970926198597949E-3</v>
      </c>
    </row>
    <row r="91" spans="1:12" x14ac:dyDescent="0.3">
      <c r="A91">
        <v>96</v>
      </c>
      <c r="B91">
        <f t="shared" si="19"/>
        <v>1.5943821448686554E-3</v>
      </c>
      <c r="C91">
        <f t="shared" si="1"/>
        <v>1.5943821448686554E-3</v>
      </c>
      <c r="D91" t="s">
        <v>23</v>
      </c>
      <c r="E91" t="s">
        <v>21</v>
      </c>
      <c r="F91">
        <v>1</v>
      </c>
      <c r="G91">
        <f t="shared" si="20"/>
        <v>145</v>
      </c>
      <c r="I91">
        <v>2014</v>
      </c>
      <c r="J91">
        <f t="shared" si="21"/>
        <v>147.5</v>
      </c>
      <c r="K91" cm="1">
        <f t="array" ref="K91">STOWA2019_JAARROND_T(A91*60,J91,I91,"","")</f>
        <v>305.95320846530524</v>
      </c>
      <c r="L91">
        <f t="shared" si="18"/>
        <v>4.9027104749911395E-3</v>
      </c>
    </row>
    <row r="92" spans="1:12" x14ac:dyDescent="0.3">
      <c r="A92">
        <v>96</v>
      </c>
      <c r="B92">
        <f t="shared" si="19"/>
        <v>1.187596558030253E-3</v>
      </c>
      <c r="C92">
        <f t="shared" si="1"/>
        <v>1.187596558030253E-3</v>
      </c>
      <c r="D92" t="s">
        <v>23</v>
      </c>
      <c r="E92" t="s">
        <v>21</v>
      </c>
      <c r="F92">
        <v>1</v>
      </c>
      <c r="G92">
        <f t="shared" si="20"/>
        <v>150</v>
      </c>
      <c r="I92">
        <v>2014</v>
      </c>
      <c r="J92">
        <f t="shared" si="21"/>
        <v>152.5</v>
      </c>
      <c r="K92" cm="1">
        <f t="array" ref="K92">STOWA2019_JAARROND_T(A92*60,J92,I92,"","")</f>
        <v>403.75612525686989</v>
      </c>
      <c r="L92">
        <f t="shared" si="18"/>
        <v>3.7151139169608865E-3</v>
      </c>
    </row>
    <row r="93" spans="1:12" x14ac:dyDescent="0.3">
      <c r="A93">
        <v>96</v>
      </c>
      <c r="B93">
        <f t="shared" si="19"/>
        <v>8.8845493954436278E-4</v>
      </c>
      <c r="C93">
        <f t="shared" si="1"/>
        <v>8.8845493954436278E-4</v>
      </c>
      <c r="D93" t="s">
        <v>23</v>
      </c>
      <c r="E93" t="s">
        <v>21</v>
      </c>
      <c r="F93">
        <v>1</v>
      </c>
      <c r="G93">
        <f t="shared" si="20"/>
        <v>155</v>
      </c>
      <c r="I93">
        <v>2014</v>
      </c>
      <c r="J93">
        <f t="shared" si="21"/>
        <v>157.5</v>
      </c>
      <c r="K93" cm="1">
        <f t="array" ref="K93">STOWA2019_JAARROND_T(A93*60,J93,I93,"","")</f>
        <v>530.66182089321308</v>
      </c>
      <c r="L93">
        <f t="shared" si="18"/>
        <v>2.8266589774165237E-3</v>
      </c>
    </row>
    <row r="94" spans="1:12" x14ac:dyDescent="0.3">
      <c r="A94">
        <v>96</v>
      </c>
      <c r="B94" s="1">
        <f>L93</f>
        <v>2.8266589774165237E-3</v>
      </c>
      <c r="C94">
        <f t="shared" si="1"/>
        <v>2.8266589774165237E-3</v>
      </c>
      <c r="D94" t="s">
        <v>23</v>
      </c>
      <c r="E94" t="s">
        <v>21</v>
      </c>
      <c r="F94">
        <v>1</v>
      </c>
      <c r="G94">
        <f t="shared" si="20"/>
        <v>160</v>
      </c>
      <c r="I94">
        <v>2014</v>
      </c>
      <c r="J94">
        <f>AVERAGE(G94:G95)</f>
        <v>85</v>
      </c>
      <c r="K94" cm="1">
        <f t="array" ref="K94">STOWA2019_JAARROND_T(A94*60,J94,I94,"","")</f>
        <v>6.394865932424926</v>
      </c>
      <c r="L94">
        <f t="shared" si="18"/>
        <v>0.23456316611647895</v>
      </c>
    </row>
    <row r="95" spans="1:12" x14ac:dyDescent="0.3">
      <c r="A95">
        <v>192</v>
      </c>
      <c r="B95" s="1">
        <f>365.25*24/A95 - L95</f>
        <v>-35.647207087646947</v>
      </c>
      <c r="C95">
        <f>B95</f>
        <v>-35.647207087646947</v>
      </c>
      <c r="D95" t="s">
        <v>23</v>
      </c>
      <c r="E95" t="s">
        <v>21</v>
      </c>
      <c r="F95">
        <v>1</v>
      </c>
      <c r="G95">
        <v>10</v>
      </c>
      <c r="I95">
        <v>2014</v>
      </c>
      <c r="J95">
        <f>AVERAGE(G95:G97)</f>
        <v>15</v>
      </c>
      <c r="K95" cm="1">
        <f t="array" ref="K95">STOWA2019_JAARROND_T(A95*60,J95,I95,"","")</f>
        <v>1.8449399985328623E-2</v>
      </c>
      <c r="L95">
        <f t="shared" si="18"/>
        <v>81.303457087646947</v>
      </c>
    </row>
    <row r="96" spans="1:12" x14ac:dyDescent="0.3">
      <c r="A96">
        <v>192</v>
      </c>
      <c r="B96">
        <f t="shared" ref="B96:B100" si="22">L95-L96</f>
        <v>11.583649209340976</v>
      </c>
      <c r="C96">
        <f t="shared" si="1"/>
        <v>11.583649209340976</v>
      </c>
      <c r="D96" t="s">
        <v>23</v>
      </c>
      <c r="E96" t="s">
        <v>21</v>
      </c>
      <c r="F96">
        <v>1</v>
      </c>
      <c r="G96">
        <f t="shared" ref="G96:G100" si="23">G95+5</f>
        <v>15</v>
      </c>
      <c r="I96">
        <v>2014</v>
      </c>
      <c r="J96">
        <f t="shared" ref="J96:J100" si="24">AVERAGE(G96:G97)</f>
        <v>17.5</v>
      </c>
      <c r="K96" cm="1">
        <f t="array" ref="K96">STOWA2019_JAARROND_T(A96*60,J96,I96,"","")</f>
        <v>2.1514689234631991E-2</v>
      </c>
      <c r="L96">
        <f t="shared" si="18"/>
        <v>69.719807878305971</v>
      </c>
    </row>
    <row r="97" spans="1:12" x14ac:dyDescent="0.3">
      <c r="A97">
        <v>192</v>
      </c>
      <c r="B97">
        <f t="shared" si="22"/>
        <v>18.467007478086728</v>
      </c>
      <c r="C97">
        <f t="shared" si="1"/>
        <v>18.467007478086728</v>
      </c>
      <c r="D97" t="s">
        <v>23</v>
      </c>
      <c r="E97" t="s">
        <v>21</v>
      </c>
      <c r="F97">
        <v>1</v>
      </c>
      <c r="G97">
        <f t="shared" si="23"/>
        <v>20</v>
      </c>
      <c r="I97">
        <v>2014</v>
      </c>
      <c r="J97">
        <f t="shared" si="24"/>
        <v>22.5</v>
      </c>
      <c r="K97" cm="1">
        <f t="array" ref="K97">STOWA2019_JAARROND_T(A97*60,J97,I97,"","")</f>
        <v>2.9266693493563395E-2</v>
      </c>
      <c r="L97">
        <f t="shared" si="18"/>
        <v>51.252800400219243</v>
      </c>
    </row>
    <row r="98" spans="1:12" x14ac:dyDescent="0.3">
      <c r="A98">
        <v>192</v>
      </c>
      <c r="B98">
        <f t="shared" si="22"/>
        <v>13.590491267233595</v>
      </c>
      <c r="C98">
        <f t="shared" si="1"/>
        <v>13.590491267233595</v>
      </c>
      <c r="D98" t="s">
        <v>23</v>
      </c>
      <c r="E98" t="s">
        <v>21</v>
      </c>
      <c r="F98">
        <v>1</v>
      </c>
      <c r="G98">
        <f t="shared" si="23"/>
        <v>25</v>
      </c>
      <c r="I98">
        <v>2014</v>
      </c>
      <c r="J98">
        <f t="shared" si="24"/>
        <v>27.5</v>
      </c>
      <c r="K98" cm="1">
        <f t="array" ref="K98">STOWA2019_JAARROND_T(A98*60,J98,I98,"","")</f>
        <v>3.9827616376454739E-2</v>
      </c>
      <c r="L98">
        <f t="shared" si="18"/>
        <v>37.662309132985648</v>
      </c>
    </row>
    <row r="99" spans="1:12" x14ac:dyDescent="0.3">
      <c r="A99">
        <v>192</v>
      </c>
      <c r="B99">
        <f t="shared" si="22"/>
        <v>9.9982713751266701</v>
      </c>
      <c r="C99">
        <f t="shared" si="1"/>
        <v>9.9982713751266701</v>
      </c>
      <c r="D99" t="s">
        <v>23</v>
      </c>
      <c r="E99" t="s">
        <v>21</v>
      </c>
      <c r="F99">
        <v>1</v>
      </c>
      <c r="G99">
        <f t="shared" si="23"/>
        <v>30</v>
      </c>
      <c r="I99">
        <v>2014</v>
      </c>
      <c r="J99">
        <f t="shared" si="24"/>
        <v>32.5</v>
      </c>
      <c r="K99" cm="1">
        <f t="array" ref="K99">STOWA2019_JAARROND_T(A99*60,J99,I99,"","")</f>
        <v>5.4222019689583102E-2</v>
      </c>
      <c r="L99">
        <f t="shared" si="18"/>
        <v>27.664037757858978</v>
      </c>
    </row>
    <row r="100" spans="1:12" x14ac:dyDescent="0.3">
      <c r="A100">
        <v>192</v>
      </c>
      <c r="B100">
        <f t="shared" si="22"/>
        <v>7.3522656237878969</v>
      </c>
      <c r="C100">
        <f t="shared" si="1"/>
        <v>7.3522656237878969</v>
      </c>
      <c r="D100" t="s">
        <v>23</v>
      </c>
      <c r="E100" t="s">
        <v>21</v>
      </c>
      <c r="F100">
        <v>1</v>
      </c>
      <c r="G100">
        <f t="shared" si="23"/>
        <v>35</v>
      </c>
      <c r="I100">
        <v>2014</v>
      </c>
      <c r="J100">
        <f t="shared" si="24"/>
        <v>37.5</v>
      </c>
      <c r="K100" cm="1">
        <f t="array" ref="K100">STOWA2019_JAARROND_T(A100*60,J100,I100,"","")</f>
        <v>7.3848800099716144E-2</v>
      </c>
      <c r="L100">
        <f t="shared" si="18"/>
        <v>20.311772134071081</v>
      </c>
    </row>
    <row r="101" spans="1:12" x14ac:dyDescent="0.3">
      <c r="A101">
        <v>192</v>
      </c>
      <c r="B101">
        <f>L100-L101</f>
        <v>5.4043235143564701</v>
      </c>
      <c r="C101">
        <f t="shared" si="1"/>
        <v>5.4043235143564701</v>
      </c>
      <c r="D101" t="s">
        <v>23</v>
      </c>
      <c r="E101" t="s">
        <v>21</v>
      </c>
      <c r="F101">
        <v>1</v>
      </c>
      <c r="G101">
        <f>G100+5</f>
        <v>40</v>
      </c>
      <c r="I101">
        <v>2014</v>
      </c>
      <c r="J101">
        <f>AVERAGE(G101:G102)</f>
        <v>42.5</v>
      </c>
      <c r="K101" cm="1">
        <f t="array" ref="K101">STOWA2019_JAARROND_T(A101*60,J101,I101,"","")</f>
        <v>0.10062083984084973</v>
      </c>
      <c r="L101">
        <f t="shared" si="18"/>
        <v>14.907448619714611</v>
      </c>
    </row>
    <row r="102" spans="1:12" x14ac:dyDescent="0.3">
      <c r="A102">
        <v>192</v>
      </c>
      <c r="B102">
        <f t="shared" ref="B102:B124" si="25">L101-L102</f>
        <v>3.9708690712746133</v>
      </c>
      <c r="C102">
        <f t="shared" si="1"/>
        <v>3.9708690712746133</v>
      </c>
      <c r="D102" t="s">
        <v>23</v>
      </c>
      <c r="E102" t="s">
        <v>21</v>
      </c>
      <c r="F102">
        <v>1</v>
      </c>
      <c r="G102">
        <f t="shared" ref="G102:G125" si="26">G101+5</f>
        <v>45</v>
      </c>
      <c r="I102">
        <v>2014</v>
      </c>
      <c r="J102">
        <f t="shared" ref="J102:J124" si="27">AVERAGE(G102:G103)</f>
        <v>47.5</v>
      </c>
      <c r="K102" cm="1">
        <f t="array" ref="K102">STOWA2019_JAARROND_T(A102*60,J102,I102,"","")</f>
        <v>0.13715439944968547</v>
      </c>
      <c r="L102">
        <f t="shared" si="18"/>
        <v>10.936579548439997</v>
      </c>
    </row>
    <row r="103" spans="1:12" x14ac:dyDescent="0.3">
      <c r="A103">
        <v>192</v>
      </c>
      <c r="B103">
        <f t="shared" si="25"/>
        <v>2.9165408346196635</v>
      </c>
      <c r="C103">
        <f t="shared" si="1"/>
        <v>2.9165408346196635</v>
      </c>
      <c r="D103" t="s">
        <v>23</v>
      </c>
      <c r="E103" t="s">
        <v>21</v>
      </c>
      <c r="F103">
        <v>1</v>
      </c>
      <c r="G103">
        <f t="shared" si="26"/>
        <v>50</v>
      </c>
      <c r="I103">
        <v>2014</v>
      </c>
      <c r="J103">
        <f t="shared" si="27"/>
        <v>52.5</v>
      </c>
      <c r="K103" cm="1">
        <f t="array" ref="K103">STOWA2019_JAARROND_T(A103*60,J103,I103,"","")</f>
        <v>0.18703151612163191</v>
      </c>
      <c r="L103">
        <f t="shared" si="18"/>
        <v>8.020038713820334</v>
      </c>
    </row>
    <row r="104" spans="1:12" x14ac:dyDescent="0.3">
      <c r="A104">
        <v>192</v>
      </c>
      <c r="B104">
        <f t="shared" si="25"/>
        <v>2.1410948828436229</v>
      </c>
      <c r="C104">
        <f t="shared" si="1"/>
        <v>2.1410948828436229</v>
      </c>
      <c r="D104" t="s">
        <v>23</v>
      </c>
      <c r="E104" t="s">
        <v>21</v>
      </c>
      <c r="F104">
        <v>1</v>
      </c>
      <c r="G104">
        <f t="shared" si="26"/>
        <v>55</v>
      </c>
      <c r="I104">
        <v>2014</v>
      </c>
      <c r="J104">
        <f t="shared" si="27"/>
        <v>57.5</v>
      </c>
      <c r="K104" cm="1">
        <f t="array" ref="K104">STOWA2019_JAARROND_T(A104*60,J104,I104,"","")</f>
        <v>0.25514787062539329</v>
      </c>
      <c r="L104">
        <f t="shared" si="18"/>
        <v>5.878943830976711</v>
      </c>
    </row>
    <row r="105" spans="1:12" x14ac:dyDescent="0.3">
      <c r="A105">
        <v>192</v>
      </c>
      <c r="B105">
        <f t="shared" si="25"/>
        <v>1.5713103824535608</v>
      </c>
      <c r="C105">
        <f t="shared" si="1"/>
        <v>1.5713103824535608</v>
      </c>
      <c r="D105" t="s">
        <v>23</v>
      </c>
      <c r="E105" t="s">
        <v>21</v>
      </c>
      <c r="F105">
        <v>1</v>
      </c>
      <c r="G105">
        <f t="shared" si="26"/>
        <v>60</v>
      </c>
      <c r="I105">
        <v>2014</v>
      </c>
      <c r="J105">
        <f t="shared" si="27"/>
        <v>62.5</v>
      </c>
      <c r="K105" cm="1">
        <f t="array" ref="K105">STOWA2019_JAARROND_T(A105*60,J105,I105,"","")</f>
        <v>0.34821904368726342</v>
      </c>
      <c r="L105">
        <f t="shared" si="18"/>
        <v>4.3076334485231502</v>
      </c>
    </row>
    <row r="106" spans="1:12" x14ac:dyDescent="0.3">
      <c r="A106">
        <v>192</v>
      </c>
      <c r="B106">
        <f t="shared" si="25"/>
        <v>1.152625708211759</v>
      </c>
      <c r="C106">
        <f t="shared" si="1"/>
        <v>1.152625708211759</v>
      </c>
      <c r="D106" t="s">
        <v>23</v>
      </c>
      <c r="E106" t="s">
        <v>21</v>
      </c>
      <c r="F106">
        <v>1</v>
      </c>
      <c r="G106">
        <f t="shared" si="26"/>
        <v>65</v>
      </c>
      <c r="I106">
        <v>2014</v>
      </c>
      <c r="J106">
        <f t="shared" si="27"/>
        <v>67.5</v>
      </c>
      <c r="K106" cm="1">
        <f t="array" ref="K106">STOWA2019_JAARROND_T(A106*60,J106,I106,"","")</f>
        <v>0.47543464975840399</v>
      </c>
      <c r="L106">
        <f t="shared" si="18"/>
        <v>3.1550077403113912</v>
      </c>
    </row>
    <row r="107" spans="1:12" x14ac:dyDescent="0.3">
      <c r="A107">
        <v>192</v>
      </c>
      <c r="B107">
        <f t="shared" si="25"/>
        <v>0.84519383228225031</v>
      </c>
      <c r="C107">
        <f t="shared" si="1"/>
        <v>0.84519383228225031</v>
      </c>
      <c r="D107" t="s">
        <v>23</v>
      </c>
      <c r="E107" t="s">
        <v>21</v>
      </c>
      <c r="F107">
        <v>1</v>
      </c>
      <c r="G107">
        <f t="shared" si="26"/>
        <v>70</v>
      </c>
      <c r="I107">
        <v>2014</v>
      </c>
      <c r="J107">
        <f t="shared" si="27"/>
        <v>72.5</v>
      </c>
      <c r="K107" cm="1">
        <f t="array" ref="K107">STOWA2019_JAARROND_T(A107*60,J107,I107,"","")</f>
        <v>0.64940296479549808</v>
      </c>
      <c r="L107">
        <f t="shared" si="18"/>
        <v>2.3098139080291409</v>
      </c>
    </row>
    <row r="108" spans="1:12" x14ac:dyDescent="0.3">
      <c r="A108">
        <v>192</v>
      </c>
      <c r="B108">
        <f t="shared" si="25"/>
        <v>0.61947010578466899</v>
      </c>
      <c r="C108">
        <f t="shared" si="1"/>
        <v>0.61947010578466899</v>
      </c>
      <c r="D108" t="s">
        <v>23</v>
      </c>
      <c r="E108" t="s">
        <v>21</v>
      </c>
      <c r="F108">
        <v>1</v>
      </c>
      <c r="G108">
        <f t="shared" si="26"/>
        <v>75</v>
      </c>
      <c r="I108">
        <v>2014</v>
      </c>
      <c r="J108">
        <f t="shared" si="27"/>
        <v>77.5</v>
      </c>
      <c r="K108" cm="1">
        <f t="array" ref="K108">STOWA2019_JAARROND_T(A108*60,J108,I108,"","")</f>
        <v>0.88739343913839908</v>
      </c>
      <c r="L108">
        <f t="shared" si="18"/>
        <v>1.6903438022444719</v>
      </c>
    </row>
    <row r="109" spans="1:12" x14ac:dyDescent="0.3">
      <c r="A109">
        <v>192</v>
      </c>
      <c r="B109">
        <f t="shared" si="25"/>
        <v>0.45373834245413014</v>
      </c>
      <c r="C109">
        <f t="shared" si="1"/>
        <v>0.45373834245413014</v>
      </c>
      <c r="D109" t="s">
        <v>23</v>
      </c>
      <c r="E109" t="s">
        <v>21</v>
      </c>
      <c r="F109">
        <v>1</v>
      </c>
      <c r="G109">
        <f t="shared" si="26"/>
        <v>80</v>
      </c>
      <c r="I109">
        <v>2014</v>
      </c>
      <c r="J109">
        <f t="shared" si="27"/>
        <v>82.5</v>
      </c>
      <c r="K109" cm="1">
        <f t="array" ref="K109">STOWA2019_JAARROND_T(A109*60,J109,I109,"","")</f>
        <v>1.2129980408256607</v>
      </c>
      <c r="L109">
        <f t="shared" si="18"/>
        <v>1.2366054597903418</v>
      </c>
    </row>
    <row r="110" spans="1:12" x14ac:dyDescent="0.3">
      <c r="A110">
        <v>192</v>
      </c>
      <c r="B110">
        <f t="shared" si="25"/>
        <v>0.33239895117436691</v>
      </c>
      <c r="C110">
        <f t="shared" si="1"/>
        <v>0.33239895117436691</v>
      </c>
      <c r="D110" t="s">
        <v>23</v>
      </c>
      <c r="E110" t="s">
        <v>21</v>
      </c>
      <c r="F110">
        <v>1</v>
      </c>
      <c r="G110">
        <f t="shared" si="26"/>
        <v>85</v>
      </c>
      <c r="I110">
        <v>2014</v>
      </c>
      <c r="J110">
        <f t="shared" si="27"/>
        <v>87.5</v>
      </c>
      <c r="K110" cm="1">
        <f t="array" ref="K110">STOWA2019_JAARROND_T(A110*60,J110,I110,"","")</f>
        <v>1.6589130753946657</v>
      </c>
      <c r="L110">
        <f t="shared" si="18"/>
        <v>0.90420650861597485</v>
      </c>
    </row>
    <row r="111" spans="1:12" x14ac:dyDescent="0.3">
      <c r="A111">
        <v>192</v>
      </c>
      <c r="B111">
        <f t="shared" si="25"/>
        <v>0.24332783447078499</v>
      </c>
      <c r="C111">
        <f t="shared" si="1"/>
        <v>0.24332783447078499</v>
      </c>
      <c r="D111" t="s">
        <v>23</v>
      </c>
      <c r="E111" t="s">
        <v>21</v>
      </c>
      <c r="F111">
        <v>1</v>
      </c>
      <c r="G111">
        <f t="shared" si="26"/>
        <v>90</v>
      </c>
      <c r="I111">
        <v>2014</v>
      </c>
      <c r="J111">
        <f t="shared" si="27"/>
        <v>92.5</v>
      </c>
      <c r="K111" cm="1">
        <f t="array" ref="K111">STOWA2019_JAARROND_T(A111*60,J111,I111,"","")</f>
        <v>2.2697055581951822</v>
      </c>
      <c r="L111">
        <f t="shared" si="18"/>
        <v>0.66087867414518986</v>
      </c>
    </row>
    <row r="112" spans="1:12" x14ac:dyDescent="0.3">
      <c r="A112">
        <v>192</v>
      </c>
      <c r="B112">
        <f t="shared" si="25"/>
        <v>0.17805281190222289</v>
      </c>
      <c r="C112">
        <f t="shared" si="1"/>
        <v>0.17805281190222289</v>
      </c>
      <c r="D112" t="s">
        <v>23</v>
      </c>
      <c r="E112" t="s">
        <v>21</v>
      </c>
      <c r="F112">
        <v>1</v>
      </c>
      <c r="G112">
        <f t="shared" si="26"/>
        <v>95</v>
      </c>
      <c r="I112">
        <v>2014</v>
      </c>
      <c r="J112">
        <f t="shared" si="27"/>
        <v>97.5</v>
      </c>
      <c r="K112" cm="1">
        <f t="array" ref="K112">STOWA2019_JAARROND_T(A112*60,J112,I112,"","")</f>
        <v>3.1067101356827735</v>
      </c>
      <c r="L112">
        <f t="shared" si="18"/>
        <v>0.48282586224296697</v>
      </c>
    </row>
    <row r="113" spans="1:12" x14ac:dyDescent="0.3">
      <c r="A113">
        <v>192</v>
      </c>
      <c r="B113">
        <f t="shared" si="25"/>
        <v>0.13022898048019005</v>
      </c>
      <c r="C113">
        <f t="shared" si="1"/>
        <v>0.13022898048019005</v>
      </c>
      <c r="D113" t="s">
        <v>23</v>
      </c>
      <c r="E113" t="s">
        <v>21</v>
      </c>
      <c r="F113">
        <v>1</v>
      </c>
      <c r="G113">
        <f t="shared" si="26"/>
        <v>100</v>
      </c>
      <c r="I113">
        <v>2014</v>
      </c>
      <c r="J113">
        <f t="shared" si="27"/>
        <v>102.5</v>
      </c>
      <c r="K113" cm="1">
        <f t="array" ref="K113">STOWA2019_JAARROND_T(A113*60,J113,I113,"","")</f>
        <v>4.254149930370577</v>
      </c>
      <c r="L113">
        <f t="shared" si="18"/>
        <v>0.35259688176277693</v>
      </c>
    </row>
    <row r="114" spans="1:12" x14ac:dyDescent="0.3">
      <c r="A114">
        <v>192</v>
      </c>
      <c r="B114">
        <f t="shared" si="25"/>
        <v>9.5214806322656831E-2</v>
      </c>
      <c r="C114">
        <f t="shared" si="1"/>
        <v>9.5214806322656831E-2</v>
      </c>
      <c r="D114" t="s">
        <v>23</v>
      </c>
      <c r="E114" t="s">
        <v>21</v>
      </c>
      <c r="F114">
        <v>1</v>
      </c>
      <c r="G114">
        <f t="shared" si="26"/>
        <v>105</v>
      </c>
      <c r="I114">
        <v>2014</v>
      </c>
      <c r="J114">
        <f t="shared" si="27"/>
        <v>107.5</v>
      </c>
      <c r="K114" cm="1">
        <f t="array" ref="K114">STOWA2019_JAARROND_T(A114*60,J114,I114,"","")</f>
        <v>5.8279116657017349</v>
      </c>
      <c r="L114">
        <f t="shared" si="18"/>
        <v>0.25738207544012009</v>
      </c>
    </row>
    <row r="115" spans="1:12" x14ac:dyDescent="0.3">
      <c r="A115">
        <v>192</v>
      </c>
      <c r="B115">
        <f t="shared" si="25"/>
        <v>6.9581592187941743E-2</v>
      </c>
      <c r="C115">
        <f t="shared" si="1"/>
        <v>6.9581592187941743E-2</v>
      </c>
      <c r="D115" t="s">
        <v>23</v>
      </c>
      <c r="E115" t="s">
        <v>21</v>
      </c>
      <c r="F115">
        <v>1</v>
      </c>
      <c r="G115">
        <f t="shared" si="26"/>
        <v>110</v>
      </c>
      <c r="I115">
        <v>2014</v>
      </c>
      <c r="J115">
        <f t="shared" si="27"/>
        <v>112.5</v>
      </c>
      <c r="K115" cm="1">
        <f t="array" ref="K115">STOWA2019_JAARROND_T(A115*60,J115,I115,"","")</f>
        <v>7.9871998943996374</v>
      </c>
      <c r="L115">
        <f t="shared" si="18"/>
        <v>0.18780048325217835</v>
      </c>
    </row>
    <row r="116" spans="1:12" x14ac:dyDescent="0.3">
      <c r="A116">
        <v>192</v>
      </c>
      <c r="B116">
        <f t="shared" si="25"/>
        <v>5.0829097549605351E-2</v>
      </c>
      <c r="C116">
        <f t="shared" si="1"/>
        <v>5.0829097549605351E-2</v>
      </c>
      <c r="D116" t="s">
        <v>23</v>
      </c>
      <c r="E116" t="s">
        <v>21</v>
      </c>
      <c r="F116">
        <v>1</v>
      </c>
      <c r="G116">
        <f t="shared" si="26"/>
        <v>115</v>
      </c>
      <c r="I116">
        <v>2014</v>
      </c>
      <c r="J116">
        <f t="shared" si="27"/>
        <v>117.5</v>
      </c>
      <c r="K116" cm="1">
        <f t="array" ref="K116">STOWA2019_JAARROND_T(A116*60,J116,I116,"","")</f>
        <v>10.951192413700042</v>
      </c>
      <c r="L116">
        <f t="shared" si="18"/>
        <v>0.136971385702573</v>
      </c>
    </row>
    <row r="117" spans="1:12" x14ac:dyDescent="0.3">
      <c r="A117">
        <v>192</v>
      </c>
      <c r="B117">
        <f t="shared" si="25"/>
        <v>3.7114665708493436E-2</v>
      </c>
      <c r="C117">
        <f t="shared" si="1"/>
        <v>3.7114665708493436E-2</v>
      </c>
      <c r="D117" t="s">
        <v>23</v>
      </c>
      <c r="E117" t="s">
        <v>21</v>
      </c>
      <c r="F117">
        <v>1</v>
      </c>
      <c r="G117">
        <f t="shared" si="26"/>
        <v>120</v>
      </c>
      <c r="I117">
        <v>2014</v>
      </c>
      <c r="J117">
        <f t="shared" si="27"/>
        <v>122.5</v>
      </c>
      <c r="K117" cm="1">
        <f t="array" ref="K117">STOWA2019_JAARROND_T(A117*60,J117,I117,"","")</f>
        <v>15.021522838812789</v>
      </c>
      <c r="L117">
        <f t="shared" si="18"/>
        <v>9.9856719994079565E-2</v>
      </c>
    </row>
    <row r="118" spans="1:12" x14ac:dyDescent="0.3">
      <c r="A118">
        <v>192</v>
      </c>
      <c r="B118">
        <f t="shared" si="25"/>
        <v>2.7089029995122055E-2</v>
      </c>
      <c r="C118">
        <f t="shared" si="1"/>
        <v>2.7089029995122055E-2</v>
      </c>
      <c r="D118" t="s">
        <v>23</v>
      </c>
      <c r="E118" t="s">
        <v>21</v>
      </c>
      <c r="F118">
        <v>1</v>
      </c>
      <c r="G118">
        <f t="shared" si="26"/>
        <v>125</v>
      </c>
      <c r="I118">
        <v>2014</v>
      </c>
      <c r="J118">
        <f t="shared" si="27"/>
        <v>127.5</v>
      </c>
      <c r="K118" cm="1">
        <f t="array" ref="K118">STOWA2019_JAARROND_T(A118*60,J118,I118,"","")</f>
        <v>20.613544280730768</v>
      </c>
      <c r="L118">
        <f t="shared" si="18"/>
        <v>7.276768999895751E-2</v>
      </c>
    </row>
    <row r="119" spans="1:12" x14ac:dyDescent="0.3">
      <c r="A119">
        <v>192</v>
      </c>
      <c r="B119">
        <f t="shared" si="25"/>
        <v>1.9763128012242059E-2</v>
      </c>
      <c r="C119">
        <f t="shared" si="1"/>
        <v>1.9763128012242059E-2</v>
      </c>
      <c r="D119" t="s">
        <v>23</v>
      </c>
      <c r="E119" t="s">
        <v>21</v>
      </c>
      <c r="F119">
        <v>1</v>
      </c>
      <c r="G119">
        <f t="shared" si="26"/>
        <v>130</v>
      </c>
      <c r="I119">
        <v>2014</v>
      </c>
      <c r="J119">
        <f t="shared" si="27"/>
        <v>132.5</v>
      </c>
      <c r="K119" cm="1">
        <f t="array" ref="K119">STOWA2019_JAARROND_T(A119*60,J119,I119,"","")</f>
        <v>28.299450910960179</v>
      </c>
      <c r="L119">
        <f t="shared" si="18"/>
        <v>5.3004561986715451E-2</v>
      </c>
    </row>
    <row r="120" spans="1:12" x14ac:dyDescent="0.3">
      <c r="A120">
        <v>192</v>
      </c>
      <c r="B120">
        <f t="shared" si="25"/>
        <v>1.4412498875016631E-2</v>
      </c>
      <c r="C120">
        <f t="shared" si="1"/>
        <v>1.4412498875016631E-2</v>
      </c>
      <c r="D120" t="s">
        <v>23</v>
      </c>
      <c r="E120" t="s">
        <v>21</v>
      </c>
      <c r="F120">
        <v>1</v>
      </c>
      <c r="G120">
        <f t="shared" si="26"/>
        <v>135</v>
      </c>
      <c r="I120">
        <v>2014</v>
      </c>
      <c r="J120">
        <f t="shared" si="27"/>
        <v>137.5</v>
      </c>
      <c r="K120" cm="1">
        <f t="array" ref="K120">STOWA2019_JAARROND_T(A120*60,J120,I120,"","")</f>
        <v>38.868095640766327</v>
      </c>
      <c r="L120">
        <f t="shared" si="18"/>
        <v>3.859206311169882E-2</v>
      </c>
    </row>
    <row r="121" spans="1:12" x14ac:dyDescent="0.3">
      <c r="A121">
        <v>192</v>
      </c>
      <c r="B121">
        <f t="shared" si="25"/>
        <v>1.0505540537472338E-2</v>
      </c>
      <c r="C121">
        <f t="shared" si="1"/>
        <v>1.0505540537472338E-2</v>
      </c>
      <c r="D121" t="s">
        <v>23</v>
      </c>
      <c r="E121" t="s">
        <v>21</v>
      </c>
      <c r="F121">
        <v>1</v>
      </c>
      <c r="G121">
        <f t="shared" si="26"/>
        <v>140</v>
      </c>
      <c r="I121">
        <v>2014</v>
      </c>
      <c r="J121">
        <f t="shared" si="27"/>
        <v>142.5</v>
      </c>
      <c r="K121" cm="1">
        <f t="array" ref="K121">STOWA2019_JAARROND_T(A121*60,J121,I121,"","")</f>
        <v>53.406397891936642</v>
      </c>
      <c r="L121">
        <f t="shared" si="18"/>
        <v>2.8086522574226482E-2</v>
      </c>
    </row>
    <row r="122" spans="1:12" x14ac:dyDescent="0.3">
      <c r="A122">
        <v>192</v>
      </c>
      <c r="B122">
        <f t="shared" si="25"/>
        <v>7.6545718552416334E-3</v>
      </c>
      <c r="C122">
        <f t="shared" si="1"/>
        <v>7.6545718552416334E-3</v>
      </c>
      <c r="D122" t="s">
        <v>23</v>
      </c>
      <c r="E122" t="s">
        <v>21</v>
      </c>
      <c r="F122">
        <v>1</v>
      </c>
      <c r="G122">
        <f t="shared" si="26"/>
        <v>145</v>
      </c>
      <c r="I122">
        <v>2014</v>
      </c>
      <c r="J122">
        <f t="shared" si="27"/>
        <v>147.5</v>
      </c>
      <c r="K122" cm="1">
        <f t="array" ref="K122">STOWA2019_JAARROND_T(A122*60,J122,I122,"","")</f>
        <v>73.414429225606838</v>
      </c>
      <c r="L122">
        <f t="shared" si="18"/>
        <v>2.0431950718984848E-2</v>
      </c>
    </row>
    <row r="123" spans="1:12" x14ac:dyDescent="0.3">
      <c r="A123">
        <v>192</v>
      </c>
      <c r="B123">
        <f t="shared" si="25"/>
        <v>5.5748840973683603E-3</v>
      </c>
      <c r="C123">
        <f t="shared" si="1"/>
        <v>5.5748840973683603E-3</v>
      </c>
      <c r="D123" t="s">
        <v>23</v>
      </c>
      <c r="E123" t="s">
        <v>21</v>
      </c>
      <c r="F123">
        <v>1</v>
      </c>
      <c r="G123">
        <f t="shared" si="26"/>
        <v>150</v>
      </c>
      <c r="I123">
        <v>2014</v>
      </c>
      <c r="J123">
        <f t="shared" si="27"/>
        <v>152.5</v>
      </c>
      <c r="K123" cm="1">
        <f t="array" ref="K123">STOWA2019_JAARROND_T(A123*60,J123,I123,"","")</f>
        <v>100.96205652181399</v>
      </c>
      <c r="L123">
        <f t="shared" si="18"/>
        <v>1.4857066621616488E-2</v>
      </c>
    </row>
    <row r="124" spans="1:12" x14ac:dyDescent="0.3">
      <c r="A124">
        <v>192</v>
      </c>
      <c r="B124">
        <f t="shared" si="25"/>
        <v>4.0584735295032086E-3</v>
      </c>
      <c r="C124">
        <f t="shared" si="1"/>
        <v>4.0584735295032086E-3</v>
      </c>
      <c r="D124" t="s">
        <v>23</v>
      </c>
      <c r="E124" t="s">
        <v>21</v>
      </c>
      <c r="F124">
        <v>1</v>
      </c>
      <c r="G124">
        <f t="shared" si="26"/>
        <v>155</v>
      </c>
      <c r="I124">
        <v>2014</v>
      </c>
      <c r="J124">
        <f t="shared" si="27"/>
        <v>157.5</v>
      </c>
      <c r="K124" cm="1">
        <f t="array" ref="K124">STOWA2019_JAARROND_T(A124*60,J124,I124,"","")</f>
        <v>138.90698419736924</v>
      </c>
      <c r="L124">
        <f t="shared" si="18"/>
        <v>1.0798593092113279E-2</v>
      </c>
    </row>
    <row r="125" spans="1:12" x14ac:dyDescent="0.3">
      <c r="A125">
        <v>192</v>
      </c>
      <c r="B125" s="1">
        <f>L124</f>
        <v>1.0798593092113279E-2</v>
      </c>
      <c r="C125">
        <f t="shared" si="1"/>
        <v>1.0798593092113279E-2</v>
      </c>
      <c r="D125" t="s">
        <v>23</v>
      </c>
      <c r="E125" t="s">
        <v>21</v>
      </c>
      <c r="F125">
        <v>1</v>
      </c>
      <c r="G125">
        <f t="shared" si="26"/>
        <v>160</v>
      </c>
      <c r="I125">
        <v>2014</v>
      </c>
      <c r="J125">
        <f>AVERAGE(G125:G126)</f>
        <v>85</v>
      </c>
      <c r="K125" cm="1">
        <f t="array" ref="K125">STOWA2019_JAARROND_T(A125*60,J125,I125,"","")</f>
        <v>1.4184669614313807</v>
      </c>
      <c r="L125">
        <f t="shared" si="18"/>
        <v>1.0574796881319986</v>
      </c>
    </row>
    <row r="126" spans="1:12" x14ac:dyDescent="0.3">
      <c r="A126">
        <v>216</v>
      </c>
      <c r="B126" s="1">
        <f>365.25*24/A126 - L126</f>
        <v>-43.214184114357032</v>
      </c>
      <c r="C126">
        <f>B126</f>
        <v>-43.214184114357032</v>
      </c>
      <c r="D126" t="s">
        <v>23</v>
      </c>
      <c r="E126" t="s">
        <v>21</v>
      </c>
      <c r="F126">
        <v>1</v>
      </c>
      <c r="G126">
        <v>10</v>
      </c>
      <c r="I126">
        <v>2014</v>
      </c>
      <c r="J126">
        <f>AVERAGE(G126:G128)</f>
        <v>15</v>
      </c>
      <c r="K126" cm="1">
        <f t="array" ref="K126">STOWA2019_JAARROND_T(A126*60,J126,I126,"","")</f>
        <v>1.7900291627808158E-2</v>
      </c>
      <c r="L126">
        <f t="shared" si="18"/>
        <v>83.797517447690367</v>
      </c>
    </row>
    <row r="127" spans="1:12" x14ac:dyDescent="0.3">
      <c r="A127">
        <v>216</v>
      </c>
      <c r="B127">
        <f t="shared" ref="B127:B131" si="28">L126-L127</f>
        <v>11.085412415918881</v>
      </c>
      <c r="C127">
        <f t="shared" si="1"/>
        <v>11.085412415918881</v>
      </c>
      <c r="D127" t="s">
        <v>23</v>
      </c>
      <c r="E127" t="s">
        <v>21</v>
      </c>
      <c r="F127">
        <v>1</v>
      </c>
      <c r="G127">
        <f t="shared" ref="G127:G131" si="29">G126+5</f>
        <v>15</v>
      </c>
      <c r="I127">
        <v>2014</v>
      </c>
      <c r="J127">
        <f t="shared" ref="J127:J131" si="30">AVERAGE(G127:G128)</f>
        <v>17.5</v>
      </c>
      <c r="K127" cm="1">
        <f t="array" ref="K127">STOWA2019_JAARROND_T(A127*60,J127,I127,"","")</f>
        <v>2.0629302360928435E-2</v>
      </c>
      <c r="L127">
        <f t="shared" si="18"/>
        <v>72.712105031771486</v>
      </c>
    </row>
    <row r="128" spans="1:12" x14ac:dyDescent="0.3">
      <c r="A128">
        <v>216</v>
      </c>
      <c r="B128">
        <f t="shared" si="28"/>
        <v>18.015197342531962</v>
      </c>
      <c r="C128">
        <f t="shared" si="1"/>
        <v>18.015197342531962</v>
      </c>
      <c r="D128" t="s">
        <v>23</v>
      </c>
      <c r="E128" t="s">
        <v>21</v>
      </c>
      <c r="F128">
        <v>1</v>
      </c>
      <c r="G128">
        <f t="shared" si="29"/>
        <v>20</v>
      </c>
      <c r="I128">
        <v>2014</v>
      </c>
      <c r="J128">
        <f t="shared" si="30"/>
        <v>22.5</v>
      </c>
      <c r="K128" cm="1">
        <f t="array" ref="K128">STOWA2019_JAARROND_T(A128*60,J128,I128,"","")</f>
        <v>2.7423853803989245E-2</v>
      </c>
      <c r="L128">
        <f t="shared" si="18"/>
        <v>54.696907689239524</v>
      </c>
    </row>
    <row r="129" spans="1:12" x14ac:dyDescent="0.3">
      <c r="A129">
        <v>216</v>
      </c>
      <c r="B129">
        <f t="shared" si="28"/>
        <v>13.602727298969356</v>
      </c>
      <c r="C129">
        <f t="shared" si="1"/>
        <v>13.602727298969356</v>
      </c>
      <c r="D129" t="s">
        <v>23</v>
      </c>
      <c r="E129" t="s">
        <v>21</v>
      </c>
      <c r="F129">
        <v>1</v>
      </c>
      <c r="G129">
        <f t="shared" si="29"/>
        <v>25</v>
      </c>
      <c r="I129">
        <v>2014</v>
      </c>
      <c r="J129">
        <f t="shared" si="30"/>
        <v>27.5</v>
      </c>
      <c r="K129" cm="1">
        <f t="array" ref="K129">STOWA2019_JAARROND_T(A129*60,J129,I129,"","")</f>
        <v>3.6501518846575015E-2</v>
      </c>
      <c r="L129">
        <f t="shared" si="18"/>
        <v>41.094180390270168</v>
      </c>
    </row>
    <row r="130" spans="1:12" x14ac:dyDescent="0.3">
      <c r="A130">
        <v>216</v>
      </c>
      <c r="B130">
        <f t="shared" si="28"/>
        <v>10.257703372358677</v>
      </c>
      <c r="C130">
        <f t="shared" si="1"/>
        <v>10.257703372358677</v>
      </c>
      <c r="D130" t="s">
        <v>23</v>
      </c>
      <c r="E130" t="s">
        <v>21</v>
      </c>
      <c r="F130">
        <v>1</v>
      </c>
      <c r="G130">
        <f t="shared" si="29"/>
        <v>30</v>
      </c>
      <c r="I130">
        <v>2014</v>
      </c>
      <c r="J130">
        <f t="shared" si="30"/>
        <v>32.5</v>
      </c>
      <c r="K130" cm="1">
        <f t="array" ref="K130">STOWA2019_JAARROND_T(A130*60,J130,I130,"","")</f>
        <v>4.8643689067616867E-2</v>
      </c>
      <c r="L130">
        <f t="shared" si="18"/>
        <v>30.836477017911491</v>
      </c>
    </row>
    <row r="131" spans="1:12" x14ac:dyDescent="0.3">
      <c r="A131">
        <v>216</v>
      </c>
      <c r="B131">
        <f t="shared" si="28"/>
        <v>7.7265654584017156</v>
      </c>
      <c r="C131">
        <f t="shared" si="1"/>
        <v>7.7265654584017156</v>
      </c>
      <c r="D131" t="s">
        <v>23</v>
      </c>
      <c r="E131" t="s">
        <v>21</v>
      </c>
      <c r="F131">
        <v>1</v>
      </c>
      <c r="G131">
        <f t="shared" si="29"/>
        <v>35</v>
      </c>
      <c r="I131">
        <v>2014</v>
      </c>
      <c r="J131">
        <f t="shared" si="30"/>
        <v>37.5</v>
      </c>
      <c r="K131" cm="1">
        <f t="array" ref="K131">STOWA2019_JAARROND_T(A131*60,J131,I131,"","")</f>
        <v>6.4907215076846408E-2</v>
      </c>
      <c r="L131">
        <f t="shared" ref="L131:L156" si="31">1/K131 * 12/8</f>
        <v>23.109911559509776</v>
      </c>
    </row>
    <row r="132" spans="1:12" x14ac:dyDescent="0.3">
      <c r="A132">
        <v>216</v>
      </c>
      <c r="B132">
        <f>L131-L132</f>
        <v>5.8127156970638154</v>
      </c>
      <c r="C132">
        <f t="shared" si="1"/>
        <v>5.8127156970638154</v>
      </c>
      <c r="D132" t="s">
        <v>23</v>
      </c>
      <c r="E132" t="s">
        <v>21</v>
      </c>
      <c r="F132">
        <v>1</v>
      </c>
      <c r="G132">
        <f>G131+5</f>
        <v>40</v>
      </c>
      <c r="I132">
        <v>2014</v>
      </c>
      <c r="J132">
        <f>AVERAGE(G132:G133)</f>
        <v>42.5</v>
      </c>
      <c r="K132" cm="1">
        <f t="array" ref="K132">STOWA2019_JAARROND_T(A132*60,J132,I132,"","")</f>
        <v>8.6719258539279087E-2</v>
      </c>
      <c r="L132">
        <f t="shared" si="31"/>
        <v>17.29719586244596</v>
      </c>
    </row>
    <row r="133" spans="1:12" x14ac:dyDescent="0.3">
      <c r="A133">
        <v>216</v>
      </c>
      <c r="B133">
        <f t="shared" ref="B133:B155" si="32">L132-L133</f>
        <v>4.3670154493463933</v>
      </c>
      <c r="C133">
        <f t="shared" si="1"/>
        <v>4.3670154493463933</v>
      </c>
      <c r="D133" t="s">
        <v>23</v>
      </c>
      <c r="E133" t="s">
        <v>21</v>
      </c>
      <c r="F133">
        <v>1</v>
      </c>
      <c r="G133">
        <f t="shared" ref="G133:G156" si="33">G132+5</f>
        <v>45</v>
      </c>
      <c r="I133">
        <v>2014</v>
      </c>
      <c r="J133">
        <f t="shared" ref="J133:J155" si="34">AVERAGE(G133:G134)</f>
        <v>47.5</v>
      </c>
      <c r="K133" cm="1">
        <f t="array" ref="K133">STOWA2019_JAARROND_T(A133*60,J133,I133,"","")</f>
        <v>0.11600766208028696</v>
      </c>
      <c r="L133">
        <f t="shared" si="31"/>
        <v>12.930180413099567</v>
      </c>
    </row>
    <row r="134" spans="1:12" x14ac:dyDescent="0.3">
      <c r="A134">
        <v>216</v>
      </c>
      <c r="B134">
        <f t="shared" si="32"/>
        <v>3.2769331293757933</v>
      </c>
      <c r="C134">
        <f t="shared" si="1"/>
        <v>3.2769331293757933</v>
      </c>
      <c r="D134" t="s">
        <v>23</v>
      </c>
      <c r="E134" t="s">
        <v>21</v>
      </c>
      <c r="F134">
        <v>1</v>
      </c>
      <c r="G134">
        <f t="shared" si="33"/>
        <v>50</v>
      </c>
      <c r="I134">
        <v>2014</v>
      </c>
      <c r="J134">
        <f t="shared" si="34"/>
        <v>52.5</v>
      </c>
      <c r="K134" cm="1">
        <f t="array" ref="K134">STOWA2019_JAARROND_T(A134*60,J134,I134,"","")</f>
        <v>0.15538812545796193</v>
      </c>
      <c r="L134">
        <f t="shared" si="31"/>
        <v>9.6532472837237737</v>
      </c>
    </row>
    <row r="135" spans="1:12" x14ac:dyDescent="0.3">
      <c r="A135">
        <v>216</v>
      </c>
      <c r="B135">
        <f t="shared" si="32"/>
        <v>2.4558224353686953</v>
      </c>
      <c r="C135">
        <f t="shared" si="1"/>
        <v>2.4558224353686953</v>
      </c>
      <c r="D135" t="s">
        <v>23</v>
      </c>
      <c r="E135" t="s">
        <v>21</v>
      </c>
      <c r="F135">
        <v>1</v>
      </c>
      <c r="G135">
        <f t="shared" si="33"/>
        <v>55</v>
      </c>
      <c r="I135">
        <v>2014</v>
      </c>
      <c r="J135">
        <f t="shared" si="34"/>
        <v>57.5</v>
      </c>
      <c r="K135" cm="1">
        <f t="array" ref="K135">STOWA2019_JAARROND_T(A135*60,J135,I135,"","")</f>
        <v>0.20840787248272757</v>
      </c>
      <c r="L135">
        <f t="shared" si="31"/>
        <v>7.1974248483550785</v>
      </c>
    </row>
    <row r="136" spans="1:12" x14ac:dyDescent="0.3">
      <c r="A136">
        <v>216</v>
      </c>
      <c r="B136">
        <f t="shared" si="32"/>
        <v>1.8381450730840383</v>
      </c>
      <c r="C136">
        <f t="shared" si="1"/>
        <v>1.8381450730840383</v>
      </c>
      <c r="D136" t="s">
        <v>23</v>
      </c>
      <c r="E136" t="s">
        <v>21</v>
      </c>
      <c r="F136">
        <v>1</v>
      </c>
      <c r="G136">
        <f t="shared" si="33"/>
        <v>60</v>
      </c>
      <c r="I136">
        <v>2014</v>
      </c>
      <c r="J136">
        <f t="shared" si="34"/>
        <v>62.5</v>
      </c>
      <c r="K136" cm="1">
        <f t="array" ref="K136">STOWA2019_JAARROND_T(A136*60,J136,I136,"","")</f>
        <v>0.27988835494675007</v>
      </c>
      <c r="L136">
        <f t="shared" si="31"/>
        <v>5.3592797752710402</v>
      </c>
    </row>
    <row r="137" spans="1:12" x14ac:dyDescent="0.3">
      <c r="A137">
        <v>216</v>
      </c>
      <c r="B137">
        <f t="shared" si="32"/>
        <v>1.37397573681511</v>
      </c>
      <c r="C137">
        <f t="shared" si="1"/>
        <v>1.37397573681511</v>
      </c>
      <c r="D137" t="s">
        <v>23</v>
      </c>
      <c r="E137" t="s">
        <v>21</v>
      </c>
      <c r="F137">
        <v>1</v>
      </c>
      <c r="G137">
        <f t="shared" si="33"/>
        <v>65</v>
      </c>
      <c r="I137">
        <v>2014</v>
      </c>
      <c r="J137">
        <f t="shared" si="34"/>
        <v>67.5</v>
      </c>
      <c r="K137" cm="1">
        <f t="array" ref="K137">STOWA2019_JAARROND_T(A137*60,J137,I137,"","")</f>
        <v>0.37638282688744651</v>
      </c>
      <c r="L137">
        <f t="shared" si="31"/>
        <v>3.9853040384559302</v>
      </c>
    </row>
    <row r="138" spans="1:12" x14ac:dyDescent="0.3">
      <c r="A138">
        <v>216</v>
      </c>
      <c r="B138">
        <f t="shared" si="32"/>
        <v>1.0257024978496494</v>
      </c>
      <c r="C138">
        <f t="shared" si="1"/>
        <v>1.0257024978496494</v>
      </c>
      <c r="D138" t="s">
        <v>23</v>
      </c>
      <c r="E138" t="s">
        <v>21</v>
      </c>
      <c r="F138">
        <v>1</v>
      </c>
      <c r="G138">
        <f t="shared" si="33"/>
        <v>70</v>
      </c>
      <c r="I138">
        <v>2014</v>
      </c>
      <c r="J138">
        <f t="shared" si="34"/>
        <v>72.5</v>
      </c>
      <c r="K138" cm="1">
        <f t="array" ref="K138">STOWA2019_JAARROND_T(A138*60,J138,I138,"","")</f>
        <v>0.50682498282952027</v>
      </c>
      <c r="L138">
        <f t="shared" si="31"/>
        <v>2.9596015406062808</v>
      </c>
    </row>
    <row r="139" spans="1:12" x14ac:dyDescent="0.3">
      <c r="A139">
        <v>216</v>
      </c>
      <c r="B139">
        <f t="shared" si="32"/>
        <v>0.76465447478980941</v>
      </c>
      <c r="C139">
        <f t="shared" si="1"/>
        <v>0.76465447478980941</v>
      </c>
      <c r="D139" t="s">
        <v>23</v>
      </c>
      <c r="E139" t="s">
        <v>21</v>
      </c>
      <c r="F139">
        <v>1</v>
      </c>
      <c r="G139">
        <f t="shared" si="33"/>
        <v>75</v>
      </c>
      <c r="I139">
        <v>2014</v>
      </c>
      <c r="J139">
        <f t="shared" si="34"/>
        <v>77.5</v>
      </c>
      <c r="K139" cm="1">
        <f t="array" ref="K139">STOWA2019_JAARROND_T(A139*60,J139,I139,"","")</f>
        <v>0.68338777884925139</v>
      </c>
      <c r="L139">
        <f t="shared" si="31"/>
        <v>2.1949470658164714</v>
      </c>
    </row>
    <row r="140" spans="1:12" x14ac:dyDescent="0.3">
      <c r="A140">
        <v>216</v>
      </c>
      <c r="B140">
        <f t="shared" si="32"/>
        <v>0.56931764008660313</v>
      </c>
      <c r="C140">
        <f t="shared" si="1"/>
        <v>0.56931764008660313</v>
      </c>
      <c r="D140" t="s">
        <v>23</v>
      </c>
      <c r="E140" t="s">
        <v>21</v>
      </c>
      <c r="F140">
        <v>1</v>
      </c>
      <c r="G140">
        <f t="shared" si="33"/>
        <v>80</v>
      </c>
      <c r="I140">
        <v>2014</v>
      </c>
      <c r="J140">
        <f t="shared" si="34"/>
        <v>82.5</v>
      </c>
      <c r="K140" cm="1">
        <f t="array" ref="K140">STOWA2019_JAARROND_T(A140*60,J140,I140,"","")</f>
        <v>0.92271951790398743</v>
      </c>
      <c r="L140">
        <f t="shared" si="31"/>
        <v>1.6256294257298682</v>
      </c>
    </row>
    <row r="141" spans="1:12" x14ac:dyDescent="0.3">
      <c r="A141">
        <v>216</v>
      </c>
      <c r="B141">
        <f t="shared" si="32"/>
        <v>0.42321061912706237</v>
      </c>
      <c r="C141">
        <f t="shared" si="1"/>
        <v>0.42321061912706237</v>
      </c>
      <c r="D141" t="s">
        <v>23</v>
      </c>
      <c r="E141" t="s">
        <v>21</v>
      </c>
      <c r="F141">
        <v>1</v>
      </c>
      <c r="G141">
        <f t="shared" si="33"/>
        <v>85</v>
      </c>
      <c r="I141">
        <v>2014</v>
      </c>
      <c r="J141">
        <f t="shared" si="34"/>
        <v>87.5</v>
      </c>
      <c r="K141" cm="1">
        <f t="array" ref="K141">STOWA2019_JAARROND_T(A141*60,J141,I141,"","")</f>
        <v>1.2474854782402733</v>
      </c>
      <c r="L141">
        <f t="shared" si="31"/>
        <v>1.2024188066028059</v>
      </c>
    </row>
    <row r="142" spans="1:12" x14ac:dyDescent="0.3">
      <c r="A142">
        <v>216</v>
      </c>
      <c r="B142">
        <f t="shared" si="32"/>
        <v>0.31432850366708887</v>
      </c>
      <c r="C142">
        <f t="shared" si="1"/>
        <v>0.31432850366708887</v>
      </c>
      <c r="D142" t="s">
        <v>23</v>
      </c>
      <c r="E142" t="s">
        <v>21</v>
      </c>
      <c r="F142">
        <v>1</v>
      </c>
      <c r="G142">
        <f t="shared" si="33"/>
        <v>90</v>
      </c>
      <c r="I142">
        <v>2014</v>
      </c>
      <c r="J142">
        <f t="shared" si="34"/>
        <v>92.5</v>
      </c>
      <c r="K142" cm="1">
        <f t="array" ref="K142">STOWA2019_JAARROND_T(A142*60,J142,I142,"","")</f>
        <v>1.6890174287924582</v>
      </c>
      <c r="L142">
        <f t="shared" si="31"/>
        <v>0.888090302935717</v>
      </c>
    </row>
    <row r="143" spans="1:12" x14ac:dyDescent="0.3">
      <c r="A143">
        <v>216</v>
      </c>
      <c r="B143">
        <f t="shared" si="32"/>
        <v>0.23308613098699427</v>
      </c>
      <c r="C143">
        <f t="shared" si="1"/>
        <v>0.23308613098699427</v>
      </c>
      <c r="D143" t="s">
        <v>23</v>
      </c>
      <c r="E143" t="s">
        <v>21</v>
      </c>
      <c r="F143">
        <v>1</v>
      </c>
      <c r="G143">
        <f t="shared" si="33"/>
        <v>95</v>
      </c>
      <c r="I143">
        <v>2014</v>
      </c>
      <c r="J143">
        <f t="shared" si="34"/>
        <v>97.5</v>
      </c>
      <c r="K143" cm="1">
        <f t="array" ref="K143">STOWA2019_JAARROND_T(A143*60,J143,I143,"","")</f>
        <v>2.2900617495874944</v>
      </c>
      <c r="L143">
        <f t="shared" si="31"/>
        <v>0.65500417194872274</v>
      </c>
    </row>
    <row r="144" spans="1:12" x14ac:dyDescent="0.3">
      <c r="A144">
        <v>216</v>
      </c>
      <c r="B144">
        <f t="shared" si="32"/>
        <v>0.17258692199394399</v>
      </c>
      <c r="C144">
        <f t="shared" si="1"/>
        <v>0.17258692199394399</v>
      </c>
      <c r="D144" t="s">
        <v>23</v>
      </c>
      <c r="E144" t="s">
        <v>21</v>
      </c>
      <c r="F144">
        <v>1</v>
      </c>
      <c r="G144">
        <f t="shared" si="33"/>
        <v>100</v>
      </c>
      <c r="I144">
        <v>2014</v>
      </c>
      <c r="J144">
        <f t="shared" si="34"/>
        <v>102.5</v>
      </c>
      <c r="K144" cm="1">
        <f t="array" ref="K144">STOWA2019_JAARROND_T(A144*60,J144,I144,"","")</f>
        <v>3.1093415505780699</v>
      </c>
      <c r="L144">
        <f t="shared" si="31"/>
        <v>0.48241724995477875</v>
      </c>
    </row>
    <row r="145" spans="1:12" x14ac:dyDescent="0.3">
      <c r="A145">
        <v>216</v>
      </c>
      <c r="B145">
        <f t="shared" si="32"/>
        <v>0.12762220952459269</v>
      </c>
      <c r="C145">
        <f t="shared" si="1"/>
        <v>0.12762220952459269</v>
      </c>
      <c r="D145" t="s">
        <v>23</v>
      </c>
      <c r="E145" t="s">
        <v>21</v>
      </c>
      <c r="F145">
        <v>1</v>
      </c>
      <c r="G145">
        <f t="shared" si="33"/>
        <v>105</v>
      </c>
      <c r="I145">
        <v>2014</v>
      </c>
      <c r="J145">
        <f t="shared" si="34"/>
        <v>107.5</v>
      </c>
      <c r="K145" cm="1">
        <f t="array" ref="K145">STOWA2019_JAARROND_T(A145*60,J145,I145,"","")</f>
        <v>4.2277930327922917</v>
      </c>
      <c r="L145">
        <f t="shared" si="31"/>
        <v>0.35479504043018606</v>
      </c>
    </row>
    <row r="146" spans="1:12" x14ac:dyDescent="0.3">
      <c r="A146">
        <v>216</v>
      </c>
      <c r="B146">
        <f t="shared" si="32"/>
        <v>9.4235602159040699E-2</v>
      </c>
      <c r="C146">
        <f t="shared" si="1"/>
        <v>9.4235602159040699E-2</v>
      </c>
      <c r="D146" t="s">
        <v>23</v>
      </c>
      <c r="E146" t="s">
        <v>21</v>
      </c>
      <c r="F146">
        <v>1</v>
      </c>
      <c r="G146">
        <f t="shared" si="33"/>
        <v>110</v>
      </c>
      <c r="I146">
        <v>2014</v>
      </c>
      <c r="J146">
        <f t="shared" si="34"/>
        <v>112.5</v>
      </c>
      <c r="K146" cm="1">
        <f t="array" ref="K146">STOWA2019_JAARROND_T(A146*60,J146,I146,"","")</f>
        <v>5.7568438508800375</v>
      </c>
      <c r="L146">
        <f t="shared" si="31"/>
        <v>0.26055943827114536</v>
      </c>
    </row>
    <row r="147" spans="1:12" x14ac:dyDescent="0.3">
      <c r="A147">
        <v>216</v>
      </c>
      <c r="B147">
        <f t="shared" si="32"/>
        <v>6.9482664825254198E-2</v>
      </c>
      <c r="C147">
        <f t="shared" si="1"/>
        <v>6.9482664825254198E-2</v>
      </c>
      <c r="D147" t="s">
        <v>23</v>
      </c>
      <c r="E147" t="s">
        <v>21</v>
      </c>
      <c r="F147">
        <v>1</v>
      </c>
      <c r="G147">
        <f t="shared" si="33"/>
        <v>115</v>
      </c>
      <c r="I147">
        <v>2014</v>
      </c>
      <c r="J147">
        <f t="shared" si="34"/>
        <v>117.5</v>
      </c>
      <c r="K147" cm="1">
        <f t="array" ref="K147">STOWA2019_JAARROND_T(A147*60,J147,I147,"","")</f>
        <v>7.8502476933690106</v>
      </c>
      <c r="L147">
        <f t="shared" si="31"/>
        <v>0.19107677344589116</v>
      </c>
    </row>
    <row r="148" spans="1:12" x14ac:dyDescent="0.3">
      <c r="A148">
        <v>216</v>
      </c>
      <c r="B148">
        <f t="shared" si="32"/>
        <v>5.1159373567977395E-2</v>
      </c>
      <c r="C148">
        <f t="shared" si="1"/>
        <v>5.1159373567977395E-2</v>
      </c>
      <c r="D148" t="s">
        <v>23</v>
      </c>
      <c r="E148" t="s">
        <v>21</v>
      </c>
      <c r="F148">
        <v>1</v>
      </c>
      <c r="G148">
        <f t="shared" si="33"/>
        <v>120</v>
      </c>
      <c r="I148">
        <v>2014</v>
      </c>
      <c r="J148">
        <f t="shared" si="34"/>
        <v>122.5</v>
      </c>
      <c r="K148" cm="1">
        <f t="array" ref="K148">STOWA2019_JAARROND_T(A148*60,J148,I148,"","")</f>
        <v>10.720610884056159</v>
      </c>
      <c r="L148">
        <f t="shared" si="31"/>
        <v>0.13991739987791377</v>
      </c>
    </row>
    <row r="149" spans="1:12" x14ac:dyDescent="0.3">
      <c r="A149">
        <v>216</v>
      </c>
      <c r="B149">
        <f t="shared" si="32"/>
        <v>3.7614199399040676E-2</v>
      </c>
      <c r="C149">
        <f t="shared" si="1"/>
        <v>3.7614199399040676E-2</v>
      </c>
      <c r="D149" t="s">
        <v>23</v>
      </c>
      <c r="E149" t="s">
        <v>21</v>
      </c>
      <c r="F149">
        <v>1</v>
      </c>
      <c r="G149">
        <f t="shared" si="33"/>
        <v>125</v>
      </c>
      <c r="I149">
        <v>2014</v>
      </c>
      <c r="J149">
        <f t="shared" si="34"/>
        <v>127.5</v>
      </c>
      <c r="K149" cm="1">
        <f t="array" ref="K149">STOWA2019_JAARROND_T(A149*60,J149,I149,"","")</f>
        <v>14.662297884901159</v>
      </c>
      <c r="L149">
        <f t="shared" si="31"/>
        <v>0.10230320047887309</v>
      </c>
    </row>
    <row r="150" spans="1:12" x14ac:dyDescent="0.3">
      <c r="A150">
        <v>216</v>
      </c>
      <c r="B150">
        <f t="shared" si="32"/>
        <v>2.7613561113386961E-2</v>
      </c>
      <c r="C150">
        <f t="shared" si="1"/>
        <v>2.7613561113386961E-2</v>
      </c>
      <c r="D150" t="s">
        <v>23</v>
      </c>
      <c r="E150" t="s">
        <v>21</v>
      </c>
      <c r="F150">
        <v>1</v>
      </c>
      <c r="G150">
        <f t="shared" si="33"/>
        <v>130</v>
      </c>
      <c r="I150">
        <v>2014</v>
      </c>
      <c r="J150">
        <f t="shared" si="34"/>
        <v>132.5</v>
      </c>
      <c r="K150" cm="1">
        <f t="array" ref="K150">STOWA2019_JAARROND_T(A150*60,J150,I150,"","")</f>
        <v>20.083106743358382</v>
      </c>
      <c r="L150">
        <f t="shared" si="31"/>
        <v>7.468963936548613E-2</v>
      </c>
    </row>
    <row r="151" spans="1:12" x14ac:dyDescent="0.3">
      <c r="A151">
        <v>216</v>
      </c>
      <c r="B151">
        <f t="shared" si="32"/>
        <v>2.0242743548295951E-2</v>
      </c>
      <c r="C151">
        <f t="shared" si="1"/>
        <v>2.0242743548295951E-2</v>
      </c>
      <c r="D151" t="s">
        <v>23</v>
      </c>
      <c r="E151" t="s">
        <v>21</v>
      </c>
      <c r="F151">
        <v>1</v>
      </c>
      <c r="G151">
        <f t="shared" si="33"/>
        <v>135</v>
      </c>
      <c r="I151">
        <v>2014</v>
      </c>
      <c r="J151">
        <f t="shared" si="34"/>
        <v>137.5</v>
      </c>
      <c r="K151" cm="1">
        <f t="array" ref="K151">STOWA2019_JAARROND_T(A151*60,J151,I151,"","")</f>
        <v>27.549779973432649</v>
      </c>
      <c r="L151">
        <f t="shared" si="31"/>
        <v>5.4446895817190179E-2</v>
      </c>
    </row>
    <row r="152" spans="1:12" x14ac:dyDescent="0.3">
      <c r="A152">
        <v>216</v>
      </c>
      <c r="B152">
        <f t="shared" si="32"/>
        <v>1.4816649934485226E-2</v>
      </c>
      <c r="C152">
        <f t="shared" si="1"/>
        <v>1.4816649934485226E-2</v>
      </c>
      <c r="D152" t="s">
        <v>23</v>
      </c>
      <c r="E152" t="s">
        <v>21</v>
      </c>
      <c r="F152">
        <v>1</v>
      </c>
      <c r="G152">
        <f t="shared" si="33"/>
        <v>140</v>
      </c>
      <c r="I152">
        <v>2014</v>
      </c>
      <c r="J152">
        <f t="shared" si="34"/>
        <v>142.5</v>
      </c>
      <c r="K152" cm="1">
        <f t="array" ref="K152">STOWA2019_JAARROND_T(A152*60,J152,I152,"","")</f>
        <v>37.849878712325008</v>
      </c>
      <c r="L152">
        <f t="shared" si="31"/>
        <v>3.9630245882704952E-2</v>
      </c>
    </row>
    <row r="153" spans="1:12" x14ac:dyDescent="0.3">
      <c r="A153">
        <v>216</v>
      </c>
      <c r="B153">
        <f t="shared" si="32"/>
        <v>1.0828942541805303E-2</v>
      </c>
      <c r="C153">
        <f t="shared" si="1"/>
        <v>1.0828942541805303E-2</v>
      </c>
      <c r="D153" t="s">
        <v>23</v>
      </c>
      <c r="E153" t="s">
        <v>21</v>
      </c>
      <c r="F153">
        <v>1</v>
      </c>
      <c r="G153">
        <f t="shared" si="33"/>
        <v>145</v>
      </c>
      <c r="I153">
        <v>2014</v>
      </c>
      <c r="J153">
        <f t="shared" si="34"/>
        <v>147.5</v>
      </c>
      <c r="K153" cm="1">
        <f t="array" ref="K153">STOWA2019_JAARROND_T(A153*60,J153,I153,"","")</f>
        <v>52.080976414352271</v>
      </c>
      <c r="L153">
        <f t="shared" si="31"/>
        <v>2.8801303340899649E-2</v>
      </c>
    </row>
    <row r="154" spans="1:12" x14ac:dyDescent="0.3">
      <c r="A154">
        <v>216</v>
      </c>
      <c r="B154">
        <f t="shared" si="32"/>
        <v>7.9025658456335357E-3</v>
      </c>
      <c r="C154">
        <f t="shared" si="1"/>
        <v>7.9025658456335357E-3</v>
      </c>
      <c r="D154" t="s">
        <v>23</v>
      </c>
      <c r="E154" t="s">
        <v>21</v>
      </c>
      <c r="F154">
        <v>1</v>
      </c>
      <c r="G154">
        <f t="shared" si="33"/>
        <v>150</v>
      </c>
      <c r="I154">
        <v>2014</v>
      </c>
      <c r="J154">
        <f t="shared" si="34"/>
        <v>152.5</v>
      </c>
      <c r="K154" cm="1">
        <f t="array" ref="K154">STOWA2019_JAARROND_T(A154*60,J154,I154,"","")</f>
        <v>71.774670615379193</v>
      </c>
      <c r="L154">
        <f t="shared" si="31"/>
        <v>2.0898737495266113E-2</v>
      </c>
    </row>
    <row r="155" spans="1:12" x14ac:dyDescent="0.3">
      <c r="A155">
        <v>216</v>
      </c>
      <c r="B155">
        <f t="shared" si="32"/>
        <v>5.7580105423087787E-3</v>
      </c>
      <c r="C155">
        <f t="shared" si="1"/>
        <v>5.7580105423087787E-3</v>
      </c>
      <c r="D155" t="s">
        <v>23</v>
      </c>
      <c r="E155" t="s">
        <v>21</v>
      </c>
      <c r="F155">
        <v>1</v>
      </c>
      <c r="G155">
        <f t="shared" si="33"/>
        <v>155</v>
      </c>
      <c r="I155">
        <v>2014</v>
      </c>
      <c r="J155">
        <f t="shared" si="34"/>
        <v>157.5</v>
      </c>
      <c r="K155" cm="1">
        <f t="array" ref="K155">STOWA2019_JAARROND_T(A155*60,J155,I155,"","")</f>
        <v>99.070540315570199</v>
      </c>
      <c r="L155">
        <f t="shared" si="31"/>
        <v>1.5140726952957335E-2</v>
      </c>
    </row>
    <row r="156" spans="1:12" x14ac:dyDescent="0.3">
      <c r="A156">
        <v>216</v>
      </c>
      <c r="B156" s="1">
        <f>L155</f>
        <v>1.5140726952957335E-2</v>
      </c>
      <c r="C156">
        <f t="shared" si="1"/>
        <v>1.5140726952957335E-2</v>
      </c>
      <c r="D156" t="s">
        <v>23</v>
      </c>
      <c r="E156" t="s">
        <v>21</v>
      </c>
      <c r="F156">
        <v>1</v>
      </c>
      <c r="G156">
        <f t="shared" si="33"/>
        <v>160</v>
      </c>
      <c r="I156">
        <v>2014</v>
      </c>
      <c r="J156">
        <f>AVERAGE(G156:G157)</f>
        <v>160</v>
      </c>
      <c r="K156" cm="1">
        <f t="array" ref="K156">STOWA2019_JAARROND_T(A156*60,J156,I156,"","")</f>
        <v>116.46289366194533</v>
      </c>
      <c r="L156">
        <f t="shared" si="31"/>
        <v>1.2879638765923351E-2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7</xdr:col>
                <xdr:colOff>952500</xdr:colOff>
                <xdr:row>3</xdr:row>
                <xdr:rowOff>0</xdr:rowOff>
              </from>
              <to>
                <xdr:col>12</xdr:col>
                <xdr:colOff>411480</xdr:colOff>
                <xdr:row>6</xdr:row>
                <xdr:rowOff>22860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1F65C-E1F7-477C-B117-39793D67DE24}">
  <sheetPr codeName="Blad2"/>
  <dimension ref="A1:AE156"/>
  <sheetViews>
    <sheetView workbookViewId="0">
      <selection activeCell="L13" sqref="L13"/>
    </sheetView>
  </sheetViews>
  <sheetFormatPr defaultRowHeight="14.4" x14ac:dyDescent="0.3"/>
  <cols>
    <col min="1" max="1" width="8" customWidth="1"/>
    <col min="2" max="2" width="10.5546875" bestFit="1" customWidth="1"/>
    <col min="3" max="3" width="12" bestFit="1" customWidth="1"/>
    <col min="4" max="4" width="18.21875" bestFit="1" customWidth="1"/>
    <col min="5" max="5" width="18.21875" customWidth="1"/>
    <col min="6" max="6" width="4.21875" bestFit="1" customWidth="1"/>
    <col min="7" max="7" width="8" bestFit="1" customWidth="1"/>
    <col min="8" max="8" width="18.21875" customWidth="1"/>
    <col min="9" max="9" width="21" customWidth="1"/>
    <col min="10" max="10" width="11.44140625" bestFit="1" customWidth="1"/>
    <col min="11" max="11" width="13.5546875" bestFit="1" customWidth="1"/>
  </cols>
  <sheetData>
    <row r="1" spans="1:31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31" x14ac:dyDescent="0.3">
      <c r="A2">
        <v>24</v>
      </c>
      <c r="B2" s="1">
        <f>365.25*24/A2 - L2</f>
        <v>345.18412523403379</v>
      </c>
      <c r="C2">
        <f>B2</f>
        <v>345.18412523403379</v>
      </c>
      <c r="D2" t="s">
        <v>23</v>
      </c>
      <c r="E2" t="s">
        <v>19</v>
      </c>
      <c r="F2">
        <v>1</v>
      </c>
      <c r="G2">
        <v>10</v>
      </c>
      <c r="I2">
        <v>2014</v>
      </c>
      <c r="J2">
        <f>AVERAGE(G2:G4)</f>
        <v>15</v>
      </c>
      <c r="K2" cm="1">
        <f t="array" ref="K2">STOWA2019_NDJF_T(A2*60,J2,I2,"","")</f>
        <v>0.14950756121972364</v>
      </c>
      <c r="L2">
        <f>1/K2 * 12/4</f>
        <v>20.065874765966207</v>
      </c>
      <c r="AD2" t="s">
        <v>5</v>
      </c>
      <c r="AE2" t="s">
        <v>6</v>
      </c>
    </row>
    <row r="3" spans="1:31" x14ac:dyDescent="0.3">
      <c r="A3">
        <v>24</v>
      </c>
      <c r="B3">
        <f t="shared" ref="B3:B7" si="0">L2-L3</f>
        <v>7.5288369462328788</v>
      </c>
      <c r="C3">
        <f t="shared" ref="C3:C32" si="1">B3</f>
        <v>7.5288369462328788</v>
      </c>
      <c r="D3" t="s">
        <v>23</v>
      </c>
      <c r="E3" t="s">
        <v>19</v>
      </c>
      <c r="F3">
        <v>1</v>
      </c>
      <c r="G3">
        <f t="shared" ref="G3:G7" si="2">G2+5</f>
        <v>15</v>
      </c>
      <c r="I3">
        <v>2014</v>
      </c>
      <c r="J3">
        <f t="shared" ref="J3:J7" si="3">AVERAGE(G3:G4)</f>
        <v>17.5</v>
      </c>
      <c r="K3" cm="1">
        <f t="array" ref="K3">STOWA2019_NDJF_T(A3*60,J3,I3,"","")</f>
        <v>0.23929097472115726</v>
      </c>
      <c r="L3">
        <f t="shared" ref="L3:L66" si="4">1/K3 * 12/4</f>
        <v>12.537037819733328</v>
      </c>
    </row>
    <row r="4" spans="1:31" x14ac:dyDescent="0.3">
      <c r="A4">
        <v>24</v>
      </c>
      <c r="B4">
        <f t="shared" si="0"/>
        <v>7.4131996245548839</v>
      </c>
      <c r="C4">
        <f t="shared" si="1"/>
        <v>7.4131996245548839</v>
      </c>
      <c r="D4" t="s">
        <v>23</v>
      </c>
      <c r="E4" t="s">
        <v>19</v>
      </c>
      <c r="F4">
        <v>1</v>
      </c>
      <c r="G4">
        <f t="shared" si="2"/>
        <v>20</v>
      </c>
      <c r="I4">
        <v>2014</v>
      </c>
      <c r="J4">
        <f t="shared" si="3"/>
        <v>22.5</v>
      </c>
      <c r="K4" cm="1">
        <f t="array" ref="K4">STOWA2019_NDJF_T(A4*60,J4,I4,"","")</f>
        <v>0.58549858245387498</v>
      </c>
      <c r="L4">
        <f t="shared" si="4"/>
        <v>5.1238381951784442</v>
      </c>
      <c r="AE4" t="s">
        <v>7</v>
      </c>
    </row>
    <row r="5" spans="1:31" x14ac:dyDescent="0.3">
      <c r="A5">
        <v>24</v>
      </c>
      <c r="B5">
        <f t="shared" si="0"/>
        <v>2.9112434378649095</v>
      </c>
      <c r="C5">
        <f t="shared" si="1"/>
        <v>2.9112434378649095</v>
      </c>
      <c r="D5" t="s">
        <v>23</v>
      </c>
      <c r="E5" t="s">
        <v>19</v>
      </c>
      <c r="F5">
        <v>1</v>
      </c>
      <c r="G5">
        <f t="shared" si="2"/>
        <v>25</v>
      </c>
      <c r="I5">
        <v>2014</v>
      </c>
      <c r="J5">
        <f t="shared" si="3"/>
        <v>27.5</v>
      </c>
      <c r="K5" cm="1">
        <f t="array" ref="K5">STOWA2019_NDJF_T(A5*60,J5,I5,"","")</f>
        <v>1.3558741337896458</v>
      </c>
      <c r="L5">
        <f t="shared" si="4"/>
        <v>2.2125947573135347</v>
      </c>
      <c r="AE5" t="s">
        <v>8</v>
      </c>
    </row>
    <row r="6" spans="1:31" x14ac:dyDescent="0.3">
      <c r="A6">
        <v>24</v>
      </c>
      <c r="B6">
        <f t="shared" si="0"/>
        <v>1.2098032722924192</v>
      </c>
      <c r="C6">
        <f t="shared" si="1"/>
        <v>1.2098032722924192</v>
      </c>
      <c r="D6" t="s">
        <v>23</v>
      </c>
      <c r="E6" t="s">
        <v>19</v>
      </c>
      <c r="F6">
        <v>1</v>
      </c>
      <c r="G6">
        <f t="shared" si="2"/>
        <v>30</v>
      </c>
      <c r="I6">
        <v>2014</v>
      </c>
      <c r="J6">
        <f t="shared" si="3"/>
        <v>32.5</v>
      </c>
      <c r="K6" cm="1">
        <f t="array" ref="K6">STOWA2019_NDJF_T(A6*60,J6,I6,"","")</f>
        <v>2.9916488570271715</v>
      </c>
      <c r="L6">
        <f t="shared" si="4"/>
        <v>1.0027914850211155</v>
      </c>
    </row>
    <row r="7" spans="1:31" x14ac:dyDescent="0.3">
      <c r="A7">
        <v>24</v>
      </c>
      <c r="B7">
        <f t="shared" si="0"/>
        <v>0.52822678145732804</v>
      </c>
      <c r="C7">
        <f t="shared" si="1"/>
        <v>0.52822678145732804</v>
      </c>
      <c r="D7" t="s">
        <v>23</v>
      </c>
      <c r="E7" t="s">
        <v>19</v>
      </c>
      <c r="F7">
        <v>1</v>
      </c>
      <c r="G7">
        <f t="shared" si="2"/>
        <v>35</v>
      </c>
      <c r="I7">
        <v>2014</v>
      </c>
      <c r="J7">
        <f t="shared" si="3"/>
        <v>37.5</v>
      </c>
      <c r="K7" cm="1">
        <f t="array" ref="K7">STOWA2019_NDJF_T(A7*60,J7,I7,"","")</f>
        <v>6.3215826576886638</v>
      </c>
      <c r="L7">
        <f t="shared" si="4"/>
        <v>0.47456470356378738</v>
      </c>
      <c r="AD7" t="s">
        <v>4</v>
      </c>
      <c r="AE7">
        <v>2014</v>
      </c>
    </row>
    <row r="8" spans="1:31" x14ac:dyDescent="0.3">
      <c r="A8">
        <v>24</v>
      </c>
      <c r="B8">
        <f>L7-L8</f>
        <v>0.2411022858414493</v>
      </c>
      <c r="C8">
        <f t="shared" si="1"/>
        <v>0.2411022858414493</v>
      </c>
      <c r="D8" t="s">
        <v>23</v>
      </c>
      <c r="E8" t="s">
        <v>19</v>
      </c>
      <c r="F8">
        <v>1</v>
      </c>
      <c r="G8">
        <f>G7+5</f>
        <v>40</v>
      </c>
      <c r="I8">
        <v>2014</v>
      </c>
      <c r="J8">
        <f>AVERAGE(G8:G9)</f>
        <v>42.5</v>
      </c>
      <c r="K8" cm="1">
        <f t="array" ref="K8">STOWA2019_NDJF_T(A8*60,J8,I8,"","")</f>
        <v>12.850033976637581</v>
      </c>
      <c r="L8">
        <f t="shared" si="4"/>
        <v>0.23346241772233808</v>
      </c>
      <c r="AE8">
        <v>2030</v>
      </c>
    </row>
    <row r="9" spans="1:31" x14ac:dyDescent="0.3">
      <c r="A9">
        <v>24</v>
      </c>
      <c r="B9">
        <f t="shared" ref="B9:B31" si="5">L8-L9</f>
        <v>0.11452859329037521</v>
      </c>
      <c r="C9">
        <f t="shared" si="1"/>
        <v>0.11452859329037521</v>
      </c>
      <c r="D9" t="s">
        <v>23</v>
      </c>
      <c r="E9" t="s">
        <v>19</v>
      </c>
      <c r="F9">
        <v>1</v>
      </c>
      <c r="G9">
        <f t="shared" ref="G9:G32" si="6">G8+5</f>
        <v>45</v>
      </c>
      <c r="I9">
        <v>2014</v>
      </c>
      <c r="J9">
        <f t="shared" ref="J9:J31" si="7">AVERAGE(G9:G10)</f>
        <v>47.5</v>
      </c>
      <c r="K9" cm="1">
        <f t="array" ref="K9">STOWA2019_NDJF_T(A9*60,J9,I9,"","")</f>
        <v>25.224111091426106</v>
      </c>
      <c r="L9">
        <f t="shared" si="4"/>
        <v>0.11893382443196288</v>
      </c>
      <c r="AE9">
        <v>2050</v>
      </c>
    </row>
    <row r="10" spans="1:31" x14ac:dyDescent="0.3">
      <c r="A10">
        <v>24</v>
      </c>
      <c r="B10">
        <f t="shared" si="5"/>
        <v>5.6396685417161835E-2</v>
      </c>
      <c r="C10">
        <f t="shared" si="1"/>
        <v>5.6396685417161835E-2</v>
      </c>
      <c r="D10" t="s">
        <v>23</v>
      </c>
      <c r="E10" t="s">
        <v>19</v>
      </c>
      <c r="F10">
        <v>1</v>
      </c>
      <c r="G10">
        <f t="shared" si="6"/>
        <v>50</v>
      </c>
      <c r="I10">
        <v>2014</v>
      </c>
      <c r="J10">
        <f t="shared" si="7"/>
        <v>52.5</v>
      </c>
      <c r="K10" cm="1">
        <f t="array" ref="K10">STOWA2019_NDJF_T(A10*60,J10,I10,"","")</f>
        <v>47.971494175484615</v>
      </c>
      <c r="L10">
        <f t="shared" si="4"/>
        <v>6.2537139014801041E-2</v>
      </c>
      <c r="AE10">
        <v>2085</v>
      </c>
    </row>
    <row r="11" spans="1:31" x14ac:dyDescent="0.3">
      <c r="A11">
        <v>24</v>
      </c>
      <c r="B11">
        <f t="shared" si="5"/>
        <v>2.8692563325504544E-2</v>
      </c>
      <c r="C11">
        <f t="shared" si="1"/>
        <v>2.8692563325504544E-2</v>
      </c>
      <c r="D11" t="s">
        <v>23</v>
      </c>
      <c r="E11" t="s">
        <v>19</v>
      </c>
      <c r="F11">
        <v>1</v>
      </c>
      <c r="G11">
        <f t="shared" si="6"/>
        <v>55</v>
      </c>
      <c r="I11">
        <v>2014</v>
      </c>
      <c r="J11">
        <f t="shared" si="7"/>
        <v>57.5</v>
      </c>
      <c r="K11" cm="1">
        <f t="array" ref="K11">STOWA2019_NDJF_T(A11*60,J11,I11,"","")</f>
        <v>88.640496708864447</v>
      </c>
      <c r="L11">
        <f t="shared" si="4"/>
        <v>3.3844575689296497E-2</v>
      </c>
    </row>
    <row r="12" spans="1:31" x14ac:dyDescent="0.3">
      <c r="A12">
        <v>24</v>
      </c>
      <c r="B12">
        <f t="shared" si="5"/>
        <v>1.5039344453111864E-2</v>
      </c>
      <c r="C12">
        <f t="shared" si="1"/>
        <v>1.5039344453111864E-2</v>
      </c>
      <c r="D12" t="s">
        <v>23</v>
      </c>
      <c r="E12" t="s">
        <v>19</v>
      </c>
      <c r="F12">
        <v>1</v>
      </c>
      <c r="G12">
        <f t="shared" si="6"/>
        <v>60</v>
      </c>
      <c r="I12">
        <v>2014</v>
      </c>
      <c r="J12">
        <f t="shared" si="7"/>
        <v>62.5</v>
      </c>
      <c r="K12" cm="1">
        <f t="array" ref="K12">STOWA2019_NDJF_T(A12*60,J12,I12,"","")</f>
        <v>159.53007768537634</v>
      </c>
      <c r="L12">
        <f t="shared" si="4"/>
        <v>1.8805231236184633E-2</v>
      </c>
      <c r="AD12" t="s">
        <v>0</v>
      </c>
      <c r="AE12" t="s">
        <v>9</v>
      </c>
    </row>
    <row r="13" spans="1:31" x14ac:dyDescent="0.3">
      <c r="A13">
        <v>24</v>
      </c>
      <c r="B13">
        <f t="shared" si="5"/>
        <v>8.1007411162747293E-3</v>
      </c>
      <c r="C13">
        <f t="shared" si="1"/>
        <v>8.1007411162747293E-3</v>
      </c>
      <c r="D13" t="s">
        <v>23</v>
      </c>
      <c r="E13" t="s">
        <v>19</v>
      </c>
      <c r="F13">
        <v>1</v>
      </c>
      <c r="G13">
        <f t="shared" si="6"/>
        <v>65</v>
      </c>
      <c r="I13">
        <v>2014</v>
      </c>
      <c r="J13">
        <f t="shared" si="7"/>
        <v>67.5</v>
      </c>
      <c r="K13" cm="1">
        <f t="array" ref="K13">STOWA2019_NDJF_T(A13*60,J13,I13,"","")</f>
        <v>280.25622578885151</v>
      </c>
      <c r="L13">
        <f t="shared" si="4"/>
        <v>1.0704490119909904E-2</v>
      </c>
      <c r="AE13" t="s">
        <v>10</v>
      </c>
    </row>
    <row r="14" spans="1:31" x14ac:dyDescent="0.3">
      <c r="A14">
        <v>24</v>
      </c>
      <c r="B14">
        <f t="shared" si="5"/>
        <v>4.4740068502020884E-3</v>
      </c>
      <c r="C14">
        <f t="shared" si="1"/>
        <v>4.4740068502020884E-3</v>
      </c>
      <c r="D14" t="s">
        <v>23</v>
      </c>
      <c r="E14" t="s">
        <v>19</v>
      </c>
      <c r="F14">
        <v>1</v>
      </c>
      <c r="G14">
        <f t="shared" si="6"/>
        <v>70</v>
      </c>
      <c r="I14">
        <v>2014</v>
      </c>
      <c r="J14">
        <f t="shared" si="7"/>
        <v>72.5</v>
      </c>
      <c r="K14" cm="1">
        <f t="array" ref="K14">STOWA2019_NDJF_T(A14*60,J14,I14,"","")</f>
        <v>481.50358008114637</v>
      </c>
      <c r="L14">
        <f t="shared" si="4"/>
        <v>6.2304832697078153E-3</v>
      </c>
      <c r="AE14" t="s">
        <v>11</v>
      </c>
    </row>
    <row r="15" spans="1:31" x14ac:dyDescent="0.3">
      <c r="A15">
        <v>24</v>
      </c>
      <c r="B15">
        <f t="shared" si="5"/>
        <v>2.5286646314215408E-3</v>
      </c>
      <c r="C15">
        <f t="shared" si="1"/>
        <v>2.5286646314215408E-3</v>
      </c>
      <c r="D15" t="s">
        <v>23</v>
      </c>
      <c r="E15" t="s">
        <v>19</v>
      </c>
      <c r="F15">
        <v>1</v>
      </c>
      <c r="G15">
        <f t="shared" si="6"/>
        <v>75</v>
      </c>
      <c r="I15">
        <v>2014</v>
      </c>
      <c r="J15">
        <f t="shared" si="7"/>
        <v>77.5</v>
      </c>
      <c r="K15" cm="1">
        <f t="array" ref="K15">STOWA2019_NDJF_T(A15*60,J15,I15,"","")</f>
        <v>810.41247374258842</v>
      </c>
      <c r="L15">
        <f t="shared" si="4"/>
        <v>3.7018186382862745E-3</v>
      </c>
      <c r="AE15" t="s">
        <v>12</v>
      </c>
    </row>
    <row r="16" spans="1:31" x14ac:dyDescent="0.3">
      <c r="A16">
        <v>24</v>
      </c>
      <c r="B16">
        <f t="shared" si="5"/>
        <v>1.4600675522387966E-3</v>
      </c>
      <c r="C16">
        <f t="shared" si="1"/>
        <v>1.4600675522387966E-3</v>
      </c>
      <c r="D16" t="s">
        <v>23</v>
      </c>
      <c r="E16" t="s">
        <v>19</v>
      </c>
      <c r="F16">
        <v>1</v>
      </c>
      <c r="G16">
        <f t="shared" si="6"/>
        <v>80</v>
      </c>
      <c r="I16">
        <v>2014</v>
      </c>
      <c r="J16">
        <f t="shared" si="7"/>
        <v>82.5</v>
      </c>
      <c r="K16" cm="1">
        <f t="array" ref="K16">STOWA2019_NDJF_T(A16*60,J16,I16,"","")</f>
        <v>1338.2395657893587</v>
      </c>
      <c r="L16">
        <f t="shared" si="4"/>
        <v>2.2417510860474779E-3</v>
      </c>
    </row>
    <row r="17" spans="1:12" x14ac:dyDescent="0.3">
      <c r="A17">
        <v>24</v>
      </c>
      <c r="B17">
        <f t="shared" si="5"/>
        <v>8.5992414527196869E-4</v>
      </c>
      <c r="C17">
        <f t="shared" si="1"/>
        <v>8.5992414527196869E-4</v>
      </c>
      <c r="D17" t="s">
        <v>23</v>
      </c>
      <c r="E17" t="s">
        <v>19</v>
      </c>
      <c r="F17">
        <v>1</v>
      </c>
      <c r="G17">
        <f t="shared" si="6"/>
        <v>85</v>
      </c>
      <c r="I17">
        <v>2014</v>
      </c>
      <c r="J17">
        <f t="shared" si="7"/>
        <v>87.5</v>
      </c>
      <c r="K17" cm="1">
        <f t="array" ref="K17">STOWA2019_NDJF_T(A17*60,J17,I17,"","")</f>
        <v>2171.0388699733553</v>
      </c>
      <c r="L17">
        <f t="shared" si="4"/>
        <v>1.3818269407755092E-3</v>
      </c>
    </row>
    <row r="18" spans="1:12" x14ac:dyDescent="0.3">
      <c r="A18">
        <v>24</v>
      </c>
      <c r="B18">
        <f t="shared" si="5"/>
        <v>5.1588455758497633E-4</v>
      </c>
      <c r="C18">
        <f t="shared" si="1"/>
        <v>5.1588455758497633E-4</v>
      </c>
      <c r="D18" t="s">
        <v>23</v>
      </c>
      <c r="E18" t="s">
        <v>19</v>
      </c>
      <c r="F18">
        <v>1</v>
      </c>
      <c r="G18">
        <f t="shared" si="6"/>
        <v>90</v>
      </c>
      <c r="I18">
        <v>2014</v>
      </c>
      <c r="J18">
        <f t="shared" si="7"/>
        <v>92.5</v>
      </c>
      <c r="K18" cm="1">
        <f t="array" ref="K18">STOWA2019_NDJF_T(A18*60,J18,I18,"","")</f>
        <v>3464.4337293511499</v>
      </c>
      <c r="L18">
        <f t="shared" si="4"/>
        <v>8.6594238319053288E-4</v>
      </c>
    </row>
    <row r="19" spans="1:12" x14ac:dyDescent="0.3">
      <c r="A19">
        <v>24</v>
      </c>
      <c r="B19">
        <f t="shared" si="5"/>
        <v>3.1485080985179683E-4</v>
      </c>
      <c r="C19">
        <f t="shared" si="1"/>
        <v>3.1485080985179683E-4</v>
      </c>
      <c r="D19" t="s">
        <v>23</v>
      </c>
      <c r="E19" t="s">
        <v>19</v>
      </c>
      <c r="F19">
        <v>1</v>
      </c>
      <c r="G19">
        <f t="shared" si="6"/>
        <v>95</v>
      </c>
      <c r="I19">
        <v>2014</v>
      </c>
      <c r="J19">
        <f t="shared" si="7"/>
        <v>97.5</v>
      </c>
      <c r="K19" cm="1">
        <f t="array" ref="K19">STOWA2019_NDJF_T(A19*60,J19,I19,"","")</f>
        <v>5443.7413764554312</v>
      </c>
      <c r="L19">
        <f t="shared" si="4"/>
        <v>5.5109157333873605E-4</v>
      </c>
    </row>
    <row r="20" spans="1:12" x14ac:dyDescent="0.3">
      <c r="A20">
        <v>24</v>
      </c>
      <c r="B20">
        <f t="shared" si="5"/>
        <v>1.9527734803136896E-4</v>
      </c>
      <c r="C20">
        <f t="shared" si="1"/>
        <v>1.9527734803136896E-4</v>
      </c>
      <c r="D20" t="s">
        <v>23</v>
      </c>
      <c r="E20" t="s">
        <v>19</v>
      </c>
      <c r="F20">
        <v>1</v>
      </c>
      <c r="G20">
        <f t="shared" si="6"/>
        <v>100</v>
      </c>
      <c r="I20">
        <v>2014</v>
      </c>
      <c r="J20">
        <f t="shared" si="7"/>
        <v>102.5</v>
      </c>
      <c r="K20" cm="1">
        <f t="array" ref="K20">STOWA2019_NDJF_T(A20*60,J20,I20,"","")</f>
        <v>8431.366107997721</v>
      </c>
      <c r="L20">
        <f t="shared" si="4"/>
        <v>3.5581422530736709E-4</v>
      </c>
    </row>
    <row r="21" spans="1:12" x14ac:dyDescent="0.3">
      <c r="A21">
        <v>24</v>
      </c>
      <c r="B21">
        <f t="shared" si="5"/>
        <v>1.2294810055615027E-4</v>
      </c>
      <c r="C21">
        <f t="shared" si="1"/>
        <v>1.2294810055615027E-4</v>
      </c>
      <c r="D21" t="s">
        <v>23</v>
      </c>
      <c r="E21" t="s">
        <v>19</v>
      </c>
      <c r="F21">
        <v>1</v>
      </c>
      <c r="G21">
        <f t="shared" si="6"/>
        <v>105</v>
      </c>
      <c r="I21">
        <v>2014</v>
      </c>
      <c r="J21">
        <f t="shared" si="7"/>
        <v>107.5</v>
      </c>
      <c r="K21" cm="1">
        <f t="array" ref="K21">STOWA2019_NDJF_T(A21*60,J21,I21,"","")</f>
        <v>12882.938655010719</v>
      </c>
      <c r="L21">
        <f t="shared" si="4"/>
        <v>2.3286612475121682E-4</v>
      </c>
    </row>
    <row r="22" spans="1:12" x14ac:dyDescent="0.3">
      <c r="A22">
        <v>24</v>
      </c>
      <c r="B22">
        <f t="shared" si="5"/>
        <v>7.851265608460915E-5</v>
      </c>
      <c r="C22">
        <f t="shared" si="1"/>
        <v>7.851265608460915E-5</v>
      </c>
      <c r="D22" t="s">
        <v>23</v>
      </c>
      <c r="E22" t="s">
        <v>19</v>
      </c>
      <c r="F22">
        <v>1</v>
      </c>
      <c r="G22">
        <f t="shared" si="6"/>
        <v>110</v>
      </c>
      <c r="I22">
        <v>2014</v>
      </c>
      <c r="J22">
        <f t="shared" si="7"/>
        <v>112.5</v>
      </c>
      <c r="K22" cm="1">
        <f t="array" ref="K22">STOWA2019_NDJF_T(A22*60,J22,I22,"","")</f>
        <v>19435.909188926507</v>
      </c>
      <c r="L22">
        <f t="shared" si="4"/>
        <v>1.5435346866660767E-4</v>
      </c>
    </row>
    <row r="23" spans="1:12" x14ac:dyDescent="0.3">
      <c r="A23">
        <v>24</v>
      </c>
      <c r="B23">
        <f t="shared" si="5"/>
        <v>5.0807938635155729E-5</v>
      </c>
      <c r="C23">
        <f t="shared" si="1"/>
        <v>5.0807938635155729E-5</v>
      </c>
      <c r="D23" t="s">
        <v>23</v>
      </c>
      <c r="E23" t="s">
        <v>19</v>
      </c>
      <c r="F23">
        <v>1</v>
      </c>
      <c r="G23">
        <f t="shared" si="6"/>
        <v>115</v>
      </c>
      <c r="I23">
        <v>2014</v>
      </c>
      <c r="J23">
        <f t="shared" si="7"/>
        <v>117.5</v>
      </c>
      <c r="K23" cm="1">
        <f t="array" ref="K23">STOWA2019_NDJF_T(A23*60,J23,I23,"","")</f>
        <v>28972.762021583647</v>
      </c>
      <c r="L23">
        <f t="shared" si="4"/>
        <v>1.0354553003145194E-4</v>
      </c>
    </row>
    <row r="24" spans="1:12" x14ac:dyDescent="0.3">
      <c r="A24">
        <v>24</v>
      </c>
      <c r="B24">
        <f t="shared" si="5"/>
        <v>3.3293900567558807E-5</v>
      </c>
      <c r="C24">
        <f t="shared" si="1"/>
        <v>3.3293900567558807E-5</v>
      </c>
      <c r="D24" t="s">
        <v>23</v>
      </c>
      <c r="E24" t="s">
        <v>19</v>
      </c>
      <c r="F24">
        <v>1</v>
      </c>
      <c r="G24">
        <f t="shared" si="6"/>
        <v>120</v>
      </c>
      <c r="I24">
        <v>2014</v>
      </c>
      <c r="J24">
        <f t="shared" si="7"/>
        <v>122.5</v>
      </c>
      <c r="K24" cm="1">
        <f t="array" ref="K24">STOWA2019_NDJF_T(A24*60,J24,I24,"","")</f>
        <v>42703.63581448164</v>
      </c>
      <c r="L24">
        <f t="shared" si="4"/>
        <v>7.0251629463893134E-5</v>
      </c>
    </row>
    <row r="25" spans="1:12" x14ac:dyDescent="0.3">
      <c r="A25">
        <v>24</v>
      </c>
      <c r="B25">
        <f t="shared" si="5"/>
        <v>2.2076698927540243E-5</v>
      </c>
      <c r="C25">
        <f t="shared" si="1"/>
        <v>2.2076698927540243E-5</v>
      </c>
      <c r="D25" t="s">
        <v>23</v>
      </c>
      <c r="E25" t="s">
        <v>19</v>
      </c>
      <c r="F25">
        <v>1</v>
      </c>
      <c r="G25">
        <f t="shared" si="6"/>
        <v>125</v>
      </c>
      <c r="I25">
        <v>2014</v>
      </c>
      <c r="J25">
        <f t="shared" si="7"/>
        <v>127.5</v>
      </c>
      <c r="K25" cm="1">
        <f t="array" ref="K25">STOWA2019_NDJF_T(A25*60,J25,I25,"","")</f>
        <v>62273.052946826654</v>
      </c>
      <c r="L25">
        <f t="shared" si="4"/>
        <v>4.8174930536352891E-5</v>
      </c>
    </row>
    <row r="26" spans="1:12" x14ac:dyDescent="0.3">
      <c r="A26">
        <v>24</v>
      </c>
      <c r="B26">
        <f t="shared" si="5"/>
        <v>1.4803351665908864E-5</v>
      </c>
      <c r="C26">
        <f t="shared" si="1"/>
        <v>1.4803351665908864E-5</v>
      </c>
      <c r="D26" t="s">
        <v>23</v>
      </c>
      <c r="E26" t="s">
        <v>19</v>
      </c>
      <c r="F26">
        <v>1</v>
      </c>
      <c r="G26">
        <f t="shared" si="6"/>
        <v>130</v>
      </c>
      <c r="I26">
        <v>2014</v>
      </c>
      <c r="J26">
        <f t="shared" si="7"/>
        <v>132.5</v>
      </c>
      <c r="K26" cm="1">
        <f t="array" ref="K26">STOWA2019_NDJF_T(A26*60,J26,I26,"","")</f>
        <v>89896.85539442634</v>
      </c>
      <c r="L26">
        <f t="shared" si="4"/>
        <v>3.3371578870444027E-5</v>
      </c>
    </row>
    <row r="27" spans="1:12" x14ac:dyDescent="0.3">
      <c r="A27">
        <v>24</v>
      </c>
      <c r="B27">
        <f t="shared" si="5"/>
        <v>1.0031938285085285E-5</v>
      </c>
      <c r="C27">
        <f t="shared" si="1"/>
        <v>1.0031938285085285E-5</v>
      </c>
      <c r="D27" t="s">
        <v>23</v>
      </c>
      <c r="E27" t="s">
        <v>19</v>
      </c>
      <c r="F27">
        <v>1</v>
      </c>
      <c r="G27">
        <f t="shared" si="6"/>
        <v>135</v>
      </c>
      <c r="I27">
        <v>2014</v>
      </c>
      <c r="J27">
        <f t="shared" si="7"/>
        <v>137.5</v>
      </c>
      <c r="K27" cm="1">
        <f t="array" ref="K27">STOWA2019_NDJF_T(A27*60,J27,I27,"","")</f>
        <v>128536.68371748358</v>
      </c>
      <c r="L27">
        <f t="shared" si="4"/>
        <v>2.3339640585358742E-5</v>
      </c>
    </row>
    <row r="28" spans="1:12" x14ac:dyDescent="0.3">
      <c r="A28">
        <v>24</v>
      </c>
      <c r="B28">
        <f t="shared" si="5"/>
        <v>6.8669683632671925E-6</v>
      </c>
      <c r="C28">
        <f t="shared" si="1"/>
        <v>6.8669683632671925E-6</v>
      </c>
      <c r="D28" t="s">
        <v>23</v>
      </c>
      <c r="E28" t="s">
        <v>19</v>
      </c>
      <c r="F28">
        <v>1</v>
      </c>
      <c r="G28">
        <f t="shared" si="6"/>
        <v>140</v>
      </c>
      <c r="I28">
        <v>2014</v>
      </c>
      <c r="J28">
        <f t="shared" si="7"/>
        <v>142.5</v>
      </c>
      <c r="K28" cm="1">
        <f t="array" ref="K28">STOWA2019_NDJF_T(A28*60,J28,I28,"","")</f>
        <v>182119.81392895631</v>
      </c>
      <c r="L28">
        <f t="shared" si="4"/>
        <v>1.647267222209155E-5</v>
      </c>
    </row>
    <row r="29" spans="1:12" x14ac:dyDescent="0.3">
      <c r="A29">
        <v>24</v>
      </c>
      <c r="B29">
        <f t="shared" si="5"/>
        <v>4.7457132342250097E-6</v>
      </c>
      <c r="C29">
        <f t="shared" si="1"/>
        <v>4.7457132342250097E-6</v>
      </c>
      <c r="D29" t="s">
        <v>23</v>
      </c>
      <c r="E29" t="s">
        <v>19</v>
      </c>
      <c r="F29">
        <v>1</v>
      </c>
      <c r="G29">
        <f t="shared" si="6"/>
        <v>145</v>
      </c>
      <c r="I29">
        <v>2014</v>
      </c>
      <c r="J29">
        <f t="shared" si="7"/>
        <v>147.5</v>
      </c>
      <c r="K29" cm="1">
        <f t="array" ref="K29">STOWA2019_NDJF_T(A29*60,J29,I29,"","")</f>
        <v>255820.79745516222</v>
      </c>
      <c r="L29">
        <f t="shared" si="4"/>
        <v>1.172695898786654E-5</v>
      </c>
    </row>
    <row r="30" spans="1:12" x14ac:dyDescent="0.3">
      <c r="A30">
        <v>24</v>
      </c>
      <c r="B30">
        <f t="shared" si="5"/>
        <v>3.3095369822306707E-6</v>
      </c>
      <c r="C30">
        <f t="shared" si="1"/>
        <v>3.3095369822306707E-6</v>
      </c>
      <c r="D30" t="s">
        <v>23</v>
      </c>
      <c r="E30" t="s">
        <v>19</v>
      </c>
      <c r="F30">
        <v>1</v>
      </c>
      <c r="G30">
        <f t="shared" si="6"/>
        <v>150</v>
      </c>
      <c r="I30">
        <v>2014</v>
      </c>
      <c r="J30">
        <f t="shared" si="7"/>
        <v>152.5</v>
      </c>
      <c r="K30" cm="1">
        <f t="array" ref="K30">STOWA2019_NDJF_T(A30*60,J30,I30,"","")</f>
        <v>356403.65874389518</v>
      </c>
      <c r="L30">
        <f t="shared" si="4"/>
        <v>8.4174220056358695E-6</v>
      </c>
    </row>
    <row r="31" spans="1:12" x14ac:dyDescent="0.3">
      <c r="A31">
        <v>24</v>
      </c>
      <c r="B31">
        <f t="shared" si="5"/>
        <v>2.3279665828675664E-6</v>
      </c>
      <c r="C31">
        <f t="shared" si="1"/>
        <v>2.3279665828675664E-6</v>
      </c>
      <c r="D31" t="s">
        <v>23</v>
      </c>
      <c r="E31" t="s">
        <v>19</v>
      </c>
      <c r="F31">
        <v>1</v>
      </c>
      <c r="G31">
        <f t="shared" si="6"/>
        <v>155</v>
      </c>
      <c r="I31">
        <v>2014</v>
      </c>
      <c r="J31">
        <f t="shared" si="7"/>
        <v>157.5</v>
      </c>
      <c r="K31" cm="1">
        <f t="array" ref="K31">STOWA2019_NDJF_T(A31*60,J31,I31,"","")</f>
        <v>492654.8914017966</v>
      </c>
      <c r="L31">
        <f t="shared" si="4"/>
        <v>6.0894554227683031E-6</v>
      </c>
    </row>
    <row r="32" spans="1:12" x14ac:dyDescent="0.3">
      <c r="A32">
        <v>24</v>
      </c>
      <c r="B32" s="1">
        <f>L31</f>
        <v>6.0894554227683031E-6</v>
      </c>
      <c r="C32">
        <f t="shared" si="1"/>
        <v>6.0894554227683031E-6</v>
      </c>
      <c r="D32" t="s">
        <v>23</v>
      </c>
      <c r="E32" t="s">
        <v>19</v>
      </c>
      <c r="F32">
        <v>1</v>
      </c>
      <c r="G32">
        <f t="shared" si="6"/>
        <v>160</v>
      </c>
      <c r="I32">
        <v>2014</v>
      </c>
      <c r="J32">
        <f>AVERAGE(G32:G33)</f>
        <v>85</v>
      </c>
      <c r="K32" cm="1">
        <f t="array" ref="K32">STOWA2019_NDJF_T(A32*60,J32,I32,"","")</f>
        <v>1708.1513984634648</v>
      </c>
      <c r="L32">
        <f t="shared" si="4"/>
        <v>1.7562846025818281E-3</v>
      </c>
    </row>
    <row r="33" spans="1:12" x14ac:dyDescent="0.3">
      <c r="A33">
        <v>48</v>
      </c>
      <c r="B33" s="1">
        <f>365.25*24/A33 - L33</f>
        <v>142.59675957459248</v>
      </c>
      <c r="C33">
        <f>B33</f>
        <v>142.59675957459248</v>
      </c>
      <c r="D33" t="s">
        <v>23</v>
      </c>
      <c r="E33" t="s">
        <v>19</v>
      </c>
      <c r="F33">
        <v>1</v>
      </c>
      <c r="G33">
        <v>10</v>
      </c>
      <c r="I33">
        <v>2014</v>
      </c>
      <c r="J33">
        <f>AVERAGE(G33:G35)</f>
        <v>15</v>
      </c>
      <c r="K33" cm="1">
        <f t="array" ref="K33">STOWA2019_NDJF_T(A33*60,J33,I33,"","")</f>
        <v>7.4947086559812415E-2</v>
      </c>
      <c r="L33">
        <f t="shared" si="4"/>
        <v>40.028240425407525</v>
      </c>
    </row>
    <row r="34" spans="1:12" x14ac:dyDescent="0.3">
      <c r="A34">
        <v>48</v>
      </c>
      <c r="B34">
        <f t="shared" ref="B34:B38" si="8">L33-L34</f>
        <v>11.967105492771218</v>
      </c>
      <c r="C34">
        <f t="shared" ref="C34:C63" si="9">B34</f>
        <v>11.967105492771218</v>
      </c>
      <c r="D34" t="s">
        <v>23</v>
      </c>
      <c r="E34" t="s">
        <v>19</v>
      </c>
      <c r="F34">
        <v>1</v>
      </c>
      <c r="G34">
        <f t="shared" ref="G34:G38" si="10">G33+5</f>
        <v>15</v>
      </c>
      <c r="I34">
        <v>2014</v>
      </c>
      <c r="J34">
        <f t="shared" ref="J34:J38" si="11">AVERAGE(G34:G35)</f>
        <v>17.5</v>
      </c>
      <c r="K34" cm="1">
        <f t="array" ref="K34">STOWA2019_NDJF_T(A34*60,J34,I34,"","")</f>
        <v>0.10690943210963541</v>
      </c>
      <c r="L34">
        <f t="shared" si="4"/>
        <v>28.061134932636307</v>
      </c>
    </row>
    <row r="35" spans="1:12" x14ac:dyDescent="0.3">
      <c r="A35">
        <v>48</v>
      </c>
      <c r="B35">
        <f t="shared" si="8"/>
        <v>13.984190014259511</v>
      </c>
      <c r="C35">
        <f t="shared" si="9"/>
        <v>13.984190014259511</v>
      </c>
      <c r="D35" t="s">
        <v>23</v>
      </c>
      <c r="E35" t="s">
        <v>19</v>
      </c>
      <c r="F35">
        <v>1</v>
      </c>
      <c r="G35">
        <f t="shared" si="10"/>
        <v>20</v>
      </c>
      <c r="I35">
        <v>2014</v>
      </c>
      <c r="J35">
        <f t="shared" si="11"/>
        <v>22.5</v>
      </c>
      <c r="K35" cm="1">
        <f t="array" ref="K35">STOWA2019_NDJF_T(A35*60,J35,I35,"","")</f>
        <v>0.21311442343456496</v>
      </c>
      <c r="L35">
        <f t="shared" si="4"/>
        <v>14.076944918376796</v>
      </c>
    </row>
    <row r="36" spans="1:12" x14ac:dyDescent="0.3">
      <c r="A36">
        <v>48</v>
      </c>
      <c r="B36">
        <f t="shared" si="8"/>
        <v>6.8317069497291234</v>
      </c>
      <c r="C36">
        <f t="shared" si="9"/>
        <v>6.8317069497291234</v>
      </c>
      <c r="D36" t="s">
        <v>23</v>
      </c>
      <c r="E36" t="s">
        <v>19</v>
      </c>
      <c r="F36">
        <v>1</v>
      </c>
      <c r="G36">
        <f t="shared" si="10"/>
        <v>25</v>
      </c>
      <c r="I36">
        <v>2014</v>
      </c>
      <c r="J36">
        <f t="shared" si="11"/>
        <v>27.5</v>
      </c>
      <c r="K36" cm="1">
        <f t="array" ref="K36">STOWA2019_NDJF_T(A36*60,J36,I36,"","")</f>
        <v>0.41406507460236691</v>
      </c>
      <c r="L36">
        <f t="shared" si="4"/>
        <v>7.2452379686476727</v>
      </c>
    </row>
    <row r="37" spans="1:12" x14ac:dyDescent="0.3">
      <c r="A37">
        <v>48</v>
      </c>
      <c r="B37">
        <f t="shared" si="8"/>
        <v>3.4262630980235729</v>
      </c>
      <c r="C37">
        <f t="shared" si="9"/>
        <v>3.4262630980235729</v>
      </c>
      <c r="D37" t="s">
        <v>23</v>
      </c>
      <c r="E37" t="s">
        <v>19</v>
      </c>
      <c r="F37">
        <v>1</v>
      </c>
      <c r="G37">
        <f t="shared" si="10"/>
        <v>30</v>
      </c>
      <c r="I37">
        <v>2014</v>
      </c>
      <c r="J37">
        <f t="shared" si="11"/>
        <v>32.5</v>
      </c>
      <c r="K37" cm="1">
        <f t="array" ref="K37">STOWA2019_NDJF_T(A37*60,J37,I37,"","")</f>
        <v>0.78555112343793398</v>
      </c>
      <c r="L37">
        <f t="shared" si="4"/>
        <v>3.8189748706240998</v>
      </c>
    </row>
    <row r="38" spans="1:12" x14ac:dyDescent="0.3">
      <c r="A38">
        <v>48</v>
      </c>
      <c r="B38">
        <f t="shared" si="8"/>
        <v>1.7606190884145878</v>
      </c>
      <c r="C38">
        <f t="shared" si="9"/>
        <v>1.7606190884145878</v>
      </c>
      <c r="D38" t="s">
        <v>23</v>
      </c>
      <c r="E38" t="s">
        <v>19</v>
      </c>
      <c r="F38">
        <v>1</v>
      </c>
      <c r="G38">
        <f t="shared" si="10"/>
        <v>35</v>
      </c>
      <c r="I38">
        <v>2014</v>
      </c>
      <c r="J38">
        <f t="shared" si="11"/>
        <v>37.5</v>
      </c>
      <c r="K38" cm="1">
        <f t="array" ref="K38">STOWA2019_NDJF_T(A38*60,J38,I38,"","")</f>
        <v>1.4574739828406602</v>
      </c>
      <c r="L38">
        <f t="shared" si="4"/>
        <v>2.058355782209512</v>
      </c>
    </row>
    <row r="39" spans="1:12" x14ac:dyDescent="0.3">
      <c r="A39">
        <v>48</v>
      </c>
      <c r="B39">
        <f>L38-L39</f>
        <v>0.92586955699599804</v>
      </c>
      <c r="C39">
        <f t="shared" si="9"/>
        <v>0.92586955699599804</v>
      </c>
      <c r="D39" t="s">
        <v>23</v>
      </c>
      <c r="E39" t="s">
        <v>19</v>
      </c>
      <c r="F39">
        <v>1</v>
      </c>
      <c r="G39">
        <f>G38+5</f>
        <v>40</v>
      </c>
      <c r="I39">
        <v>2014</v>
      </c>
      <c r="J39">
        <f>AVERAGE(G39:G40)</f>
        <v>42.5</v>
      </c>
      <c r="K39" cm="1">
        <f t="array" ref="K39">STOWA2019_NDJF_T(A39*60,J39,I39,"","")</f>
        <v>2.6490388432180652</v>
      </c>
      <c r="L39">
        <f t="shared" si="4"/>
        <v>1.1324862252135139</v>
      </c>
    </row>
    <row r="40" spans="1:12" x14ac:dyDescent="0.3">
      <c r="A40">
        <v>48</v>
      </c>
      <c r="B40">
        <f t="shared" ref="B40:B62" si="12">L39-L40</f>
        <v>0.49724034958770624</v>
      </c>
      <c r="C40">
        <f t="shared" si="9"/>
        <v>0.49724034958770624</v>
      </c>
      <c r="D40" t="s">
        <v>23</v>
      </c>
      <c r="E40" t="s">
        <v>19</v>
      </c>
      <c r="F40">
        <v>1</v>
      </c>
      <c r="G40">
        <f t="shared" ref="G40:G63" si="13">G39+5</f>
        <v>45</v>
      </c>
      <c r="I40">
        <v>2014</v>
      </c>
      <c r="J40">
        <f t="shared" ref="J40:J62" si="14">AVERAGE(G40:G41)</f>
        <v>47.5</v>
      </c>
      <c r="K40" cm="1">
        <f t="array" ref="K40">STOWA2019_NDJF_T(A40*60,J40,I40,"","")</f>
        <v>4.722580838552588</v>
      </c>
      <c r="L40">
        <f t="shared" si="4"/>
        <v>0.6352458756258077</v>
      </c>
    </row>
    <row r="41" spans="1:12" x14ac:dyDescent="0.3">
      <c r="A41">
        <v>48</v>
      </c>
      <c r="B41">
        <f t="shared" si="12"/>
        <v>0.27240008194575982</v>
      </c>
      <c r="C41">
        <f t="shared" si="9"/>
        <v>0.27240008194575982</v>
      </c>
      <c r="D41" t="s">
        <v>23</v>
      </c>
      <c r="E41" t="s">
        <v>19</v>
      </c>
      <c r="F41">
        <v>1</v>
      </c>
      <c r="G41">
        <f t="shared" si="13"/>
        <v>50</v>
      </c>
      <c r="I41">
        <v>2014</v>
      </c>
      <c r="J41">
        <f t="shared" si="14"/>
        <v>52.5</v>
      </c>
      <c r="K41" cm="1">
        <f t="array" ref="K41">STOWA2019_NDJF_T(A41*60,J41,I41,"","")</f>
        <v>8.2679751350386503</v>
      </c>
      <c r="L41">
        <f t="shared" si="4"/>
        <v>0.36284579368004788</v>
      </c>
    </row>
    <row r="42" spans="1:12" x14ac:dyDescent="0.3">
      <c r="A42">
        <v>48</v>
      </c>
      <c r="B42">
        <f t="shared" si="12"/>
        <v>0.15203049277780756</v>
      </c>
      <c r="C42">
        <f t="shared" si="9"/>
        <v>0.15203049277780756</v>
      </c>
      <c r="D42" t="s">
        <v>23</v>
      </c>
      <c r="E42" t="s">
        <v>19</v>
      </c>
      <c r="F42">
        <v>1</v>
      </c>
      <c r="G42">
        <f t="shared" si="13"/>
        <v>55</v>
      </c>
      <c r="I42">
        <v>2014</v>
      </c>
      <c r="J42">
        <f t="shared" si="14"/>
        <v>57.5</v>
      </c>
      <c r="K42" cm="1">
        <f t="array" ref="K42">STOWA2019_NDJF_T(A42*60,J42,I42,"","")</f>
        <v>14.230466133912953</v>
      </c>
      <c r="L42">
        <f t="shared" si="4"/>
        <v>0.21081530090224032</v>
      </c>
    </row>
    <row r="43" spans="1:12" x14ac:dyDescent="0.3">
      <c r="A43">
        <v>48</v>
      </c>
      <c r="B43">
        <f t="shared" si="12"/>
        <v>8.635094010420763E-2</v>
      </c>
      <c r="C43">
        <f t="shared" si="9"/>
        <v>8.635094010420763E-2</v>
      </c>
      <c r="D43" t="s">
        <v>23</v>
      </c>
      <c r="E43" t="s">
        <v>19</v>
      </c>
      <c r="F43">
        <v>1</v>
      </c>
      <c r="G43">
        <f t="shared" si="13"/>
        <v>60</v>
      </c>
      <c r="I43">
        <v>2014</v>
      </c>
      <c r="J43">
        <f t="shared" si="14"/>
        <v>62.5</v>
      </c>
      <c r="K43" cm="1">
        <f t="array" ref="K43">STOWA2019_NDJF_T(A43*60,J43,I43,"","")</f>
        <v>24.103285316092016</v>
      </c>
      <c r="L43">
        <f t="shared" si="4"/>
        <v>0.12446436079803269</v>
      </c>
    </row>
    <row r="44" spans="1:12" x14ac:dyDescent="0.3">
      <c r="A44">
        <v>48</v>
      </c>
      <c r="B44">
        <f t="shared" si="12"/>
        <v>4.9862954844975174E-2</v>
      </c>
      <c r="C44">
        <f t="shared" si="9"/>
        <v>4.9862954844975174E-2</v>
      </c>
      <c r="D44" t="s">
        <v>23</v>
      </c>
      <c r="E44" t="s">
        <v>19</v>
      </c>
      <c r="F44">
        <v>1</v>
      </c>
      <c r="G44">
        <f t="shared" si="13"/>
        <v>65</v>
      </c>
      <c r="I44">
        <v>2014</v>
      </c>
      <c r="J44">
        <f t="shared" si="14"/>
        <v>67.5</v>
      </c>
      <c r="K44" cm="1">
        <f t="array" ref="K44">STOWA2019_NDJF_T(A44*60,J44,I44,"","")</f>
        <v>40.213719321693908</v>
      </c>
      <c r="L44">
        <f t="shared" si="4"/>
        <v>7.4601405953057517E-2</v>
      </c>
    </row>
    <row r="45" spans="1:12" x14ac:dyDescent="0.3">
      <c r="A45">
        <v>48</v>
      </c>
      <c r="B45">
        <f t="shared" si="12"/>
        <v>2.9244575738036641E-2</v>
      </c>
      <c r="C45">
        <f t="shared" si="9"/>
        <v>2.9244575738036641E-2</v>
      </c>
      <c r="D45" t="s">
        <v>23</v>
      </c>
      <c r="E45" t="s">
        <v>19</v>
      </c>
      <c r="F45">
        <v>1</v>
      </c>
      <c r="G45">
        <f t="shared" si="13"/>
        <v>70</v>
      </c>
      <c r="I45">
        <v>2014</v>
      </c>
      <c r="J45">
        <f t="shared" si="14"/>
        <v>72.5</v>
      </c>
      <c r="K45" cm="1">
        <f t="array" ref="K45">STOWA2019_NDJF_T(A45*60,J45,I45,"","")</f>
        <v>66.142188194766888</v>
      </c>
      <c r="L45">
        <f t="shared" si="4"/>
        <v>4.5356830215020877E-2</v>
      </c>
    </row>
    <row r="46" spans="1:12" x14ac:dyDescent="0.3">
      <c r="A46">
        <v>48</v>
      </c>
      <c r="B46">
        <f t="shared" si="12"/>
        <v>1.7405890550060539E-2</v>
      </c>
      <c r="C46">
        <f t="shared" si="9"/>
        <v>1.7405890550060539E-2</v>
      </c>
      <c r="D46" t="s">
        <v>23</v>
      </c>
      <c r="E46" t="s">
        <v>19</v>
      </c>
      <c r="F46">
        <v>1</v>
      </c>
      <c r="G46">
        <f t="shared" si="13"/>
        <v>75</v>
      </c>
      <c r="I46">
        <v>2014</v>
      </c>
      <c r="J46">
        <f t="shared" si="14"/>
        <v>77.5</v>
      </c>
      <c r="K46" cm="1">
        <f t="array" ref="K46">STOWA2019_NDJF_T(A46*60,J46,I46,"","")</f>
        <v>107.33091752764358</v>
      </c>
      <c r="L46">
        <f t="shared" si="4"/>
        <v>2.7950939664960338E-2</v>
      </c>
    </row>
    <row r="47" spans="1:12" x14ac:dyDescent="0.3">
      <c r="A47">
        <v>48</v>
      </c>
      <c r="B47">
        <f t="shared" si="12"/>
        <v>1.0504809656686705E-2</v>
      </c>
      <c r="C47">
        <f t="shared" si="9"/>
        <v>1.0504809656686705E-2</v>
      </c>
      <c r="D47" t="s">
        <v>23</v>
      </c>
      <c r="E47" t="s">
        <v>19</v>
      </c>
      <c r="F47">
        <v>1</v>
      </c>
      <c r="G47">
        <f t="shared" si="13"/>
        <v>80</v>
      </c>
      <c r="I47">
        <v>2014</v>
      </c>
      <c r="J47">
        <f t="shared" si="14"/>
        <v>82.5</v>
      </c>
      <c r="K47" cm="1">
        <f t="array" ref="K47">STOWA2019_NDJF_T(A47*60,J47,I47,"","")</f>
        <v>171.95790691559009</v>
      </c>
      <c r="L47">
        <f t="shared" si="4"/>
        <v>1.7446130008273632E-2</v>
      </c>
    </row>
    <row r="48" spans="1:12" x14ac:dyDescent="0.3">
      <c r="A48">
        <v>48</v>
      </c>
      <c r="B48">
        <f t="shared" si="12"/>
        <v>6.4239995448059119E-3</v>
      </c>
      <c r="C48">
        <f t="shared" si="9"/>
        <v>6.4239995448059119E-3</v>
      </c>
      <c r="D48" t="s">
        <v>23</v>
      </c>
      <c r="E48" t="s">
        <v>19</v>
      </c>
      <c r="F48">
        <v>1</v>
      </c>
      <c r="G48">
        <f t="shared" si="13"/>
        <v>85</v>
      </c>
      <c r="I48">
        <v>2014</v>
      </c>
      <c r="J48">
        <f t="shared" si="14"/>
        <v>87.5</v>
      </c>
      <c r="K48" cm="1">
        <f t="array" ref="K48">STOWA2019_NDJF_T(A48*60,J48,I48,"","")</f>
        <v>272.17968521996221</v>
      </c>
      <c r="L48">
        <f t="shared" si="4"/>
        <v>1.1022130463467721E-2</v>
      </c>
    </row>
    <row r="49" spans="1:12" x14ac:dyDescent="0.3">
      <c r="A49">
        <v>48</v>
      </c>
      <c r="B49">
        <f t="shared" si="12"/>
        <v>3.9778718833287886E-3</v>
      </c>
      <c r="C49">
        <f t="shared" si="9"/>
        <v>3.9778718833287886E-3</v>
      </c>
      <c r="D49" t="s">
        <v>23</v>
      </c>
      <c r="E49" t="s">
        <v>19</v>
      </c>
      <c r="F49">
        <v>1</v>
      </c>
      <c r="G49">
        <f t="shared" si="13"/>
        <v>90</v>
      </c>
      <c r="I49">
        <v>2014</v>
      </c>
      <c r="J49">
        <f t="shared" si="14"/>
        <v>92.5</v>
      </c>
      <c r="K49" cm="1">
        <f t="array" ref="K49">STOWA2019_NDJF_T(A49*60,J49,I49,"","")</f>
        <v>425.87874449390699</v>
      </c>
      <c r="L49">
        <f t="shared" si="4"/>
        <v>7.044258580138932E-3</v>
      </c>
    </row>
    <row r="50" spans="1:12" x14ac:dyDescent="0.3">
      <c r="A50">
        <v>48</v>
      </c>
      <c r="B50">
        <f t="shared" si="12"/>
        <v>2.4927007990068551E-3</v>
      </c>
      <c r="C50">
        <f t="shared" si="9"/>
        <v>2.4927007990068551E-3</v>
      </c>
      <c r="D50" t="s">
        <v>23</v>
      </c>
      <c r="E50" t="s">
        <v>19</v>
      </c>
      <c r="F50">
        <v>1</v>
      </c>
      <c r="G50">
        <f t="shared" si="13"/>
        <v>95</v>
      </c>
      <c r="I50">
        <v>2014</v>
      </c>
      <c r="J50">
        <f t="shared" si="14"/>
        <v>97.5</v>
      </c>
      <c r="K50" cm="1">
        <f t="array" ref="K50">STOWA2019_NDJF_T(A50*60,J50,I50,"","")</f>
        <v>659.1149984816476</v>
      </c>
      <c r="L50">
        <f t="shared" si="4"/>
        <v>4.5515577811320769E-3</v>
      </c>
    </row>
    <row r="51" spans="1:12" x14ac:dyDescent="0.3">
      <c r="A51">
        <v>48</v>
      </c>
      <c r="B51">
        <f t="shared" si="12"/>
        <v>1.5798039593391475E-3</v>
      </c>
      <c r="C51">
        <f t="shared" si="9"/>
        <v>1.5798039593391475E-3</v>
      </c>
      <c r="D51" t="s">
        <v>23</v>
      </c>
      <c r="E51" t="s">
        <v>19</v>
      </c>
      <c r="F51">
        <v>1</v>
      </c>
      <c r="G51">
        <f t="shared" si="13"/>
        <v>100</v>
      </c>
      <c r="I51">
        <v>2014</v>
      </c>
      <c r="J51">
        <f t="shared" si="14"/>
        <v>102.5</v>
      </c>
      <c r="K51" cm="1">
        <f t="array" ref="K51">STOWA2019_NDJF_T(A51*60,J51,I51,"","")</f>
        <v>1009.5048849605008</v>
      </c>
      <c r="L51">
        <f t="shared" si="4"/>
        <v>2.9717538217929294E-3</v>
      </c>
    </row>
    <row r="52" spans="1:12" x14ac:dyDescent="0.3">
      <c r="A52">
        <v>48</v>
      </c>
      <c r="B52">
        <f t="shared" si="12"/>
        <v>1.0120859717488847E-3</v>
      </c>
      <c r="C52">
        <f t="shared" si="9"/>
        <v>1.0120859717488847E-3</v>
      </c>
      <c r="D52" t="s">
        <v>23</v>
      </c>
      <c r="E52" t="s">
        <v>19</v>
      </c>
      <c r="F52">
        <v>1</v>
      </c>
      <c r="G52">
        <f t="shared" si="13"/>
        <v>105</v>
      </c>
      <c r="I52">
        <v>2014</v>
      </c>
      <c r="J52">
        <f t="shared" si="14"/>
        <v>107.5</v>
      </c>
      <c r="K52" cm="1">
        <f t="array" ref="K52">STOWA2019_NDJF_T(A52*60,J52,I52,"","")</f>
        <v>1530.8716729381326</v>
      </c>
      <c r="L52">
        <f t="shared" si="4"/>
        <v>1.9596678500440447E-3</v>
      </c>
    </row>
    <row r="53" spans="1:12" x14ac:dyDescent="0.3">
      <c r="A53">
        <v>48</v>
      </c>
      <c r="B53">
        <f t="shared" si="12"/>
        <v>6.5508313279620447E-4</v>
      </c>
      <c r="C53">
        <f t="shared" si="9"/>
        <v>6.5508313279620447E-4</v>
      </c>
      <c r="D53" t="s">
        <v>23</v>
      </c>
      <c r="E53" t="s">
        <v>19</v>
      </c>
      <c r="F53">
        <v>1</v>
      </c>
      <c r="G53">
        <f t="shared" si="13"/>
        <v>110</v>
      </c>
      <c r="I53">
        <v>2014</v>
      </c>
      <c r="J53">
        <f t="shared" si="14"/>
        <v>112.5</v>
      </c>
      <c r="K53" cm="1">
        <f t="array" ref="K53">STOWA2019_NDJF_T(A53*60,J53,I53,"","")</f>
        <v>2299.5823577703854</v>
      </c>
      <c r="L53">
        <f t="shared" si="4"/>
        <v>1.3045847172478402E-3</v>
      </c>
    </row>
    <row r="54" spans="1:12" x14ac:dyDescent="0.3">
      <c r="A54">
        <v>48</v>
      </c>
      <c r="B54">
        <f t="shared" si="12"/>
        <v>4.2819201989618429E-4</v>
      </c>
      <c r="C54">
        <f t="shared" si="9"/>
        <v>4.2819201989618429E-4</v>
      </c>
      <c r="D54" t="s">
        <v>23</v>
      </c>
      <c r="E54" t="s">
        <v>19</v>
      </c>
      <c r="F54">
        <v>1</v>
      </c>
      <c r="G54">
        <f t="shared" si="13"/>
        <v>115</v>
      </c>
      <c r="I54">
        <v>2014</v>
      </c>
      <c r="J54">
        <f t="shared" si="14"/>
        <v>117.5</v>
      </c>
      <c r="K54" cm="1">
        <f t="array" ref="K54">STOWA2019_NDJF_T(A54*60,J54,I54,"","")</f>
        <v>3423.1230007570889</v>
      </c>
      <c r="L54">
        <f t="shared" si="4"/>
        <v>8.7639269735165595E-4</v>
      </c>
    </row>
    <row r="55" spans="1:12" x14ac:dyDescent="0.3">
      <c r="A55">
        <v>48</v>
      </c>
      <c r="B55">
        <f t="shared" si="12"/>
        <v>2.825241533075659E-4</v>
      </c>
      <c r="C55">
        <f t="shared" si="9"/>
        <v>2.825241533075659E-4</v>
      </c>
      <c r="D55" t="s">
        <v>23</v>
      </c>
      <c r="E55" t="s">
        <v>19</v>
      </c>
      <c r="F55">
        <v>1</v>
      </c>
      <c r="G55">
        <f t="shared" si="13"/>
        <v>120</v>
      </c>
      <c r="I55">
        <v>2014</v>
      </c>
      <c r="J55">
        <f t="shared" si="14"/>
        <v>122.5</v>
      </c>
      <c r="K55" cm="1">
        <f t="array" ref="K55">STOWA2019_NDJF_T(A55*60,J55,I55,"","")</f>
        <v>5051.6230066182352</v>
      </c>
      <c r="L55">
        <f t="shared" si="4"/>
        <v>5.9386854404409005E-4</v>
      </c>
    </row>
    <row r="56" spans="1:12" x14ac:dyDescent="0.3">
      <c r="A56">
        <v>48</v>
      </c>
      <c r="B56">
        <f t="shared" si="12"/>
        <v>1.8808998938375977E-4</v>
      </c>
      <c r="C56">
        <f t="shared" si="9"/>
        <v>1.8808998938375977E-4</v>
      </c>
      <c r="D56" t="s">
        <v>23</v>
      </c>
      <c r="E56" t="s">
        <v>19</v>
      </c>
      <c r="F56">
        <v>1</v>
      </c>
      <c r="G56">
        <f t="shared" si="13"/>
        <v>125</v>
      </c>
      <c r="I56">
        <v>2014</v>
      </c>
      <c r="J56">
        <f t="shared" si="14"/>
        <v>127.5</v>
      </c>
      <c r="K56" cm="1">
        <f t="array" ref="K56">STOWA2019_NDJF_T(A56*60,J56,I56,"","")</f>
        <v>7393.195045783641</v>
      </c>
      <c r="L56">
        <f t="shared" si="4"/>
        <v>4.0577855466033028E-4</v>
      </c>
    </row>
    <row r="57" spans="1:12" x14ac:dyDescent="0.3">
      <c r="A57">
        <v>48</v>
      </c>
      <c r="B57">
        <f t="shared" si="12"/>
        <v>1.2630608784056736E-4</v>
      </c>
      <c r="C57">
        <f t="shared" si="9"/>
        <v>1.2630608784056736E-4</v>
      </c>
      <c r="D57" t="s">
        <v>23</v>
      </c>
      <c r="E57" t="s">
        <v>19</v>
      </c>
      <c r="F57">
        <v>1</v>
      </c>
      <c r="G57">
        <f t="shared" si="13"/>
        <v>130</v>
      </c>
      <c r="I57">
        <v>2014</v>
      </c>
      <c r="J57">
        <f t="shared" si="14"/>
        <v>132.5</v>
      </c>
      <c r="K57" cm="1">
        <f t="array" ref="K57">STOWA2019_NDJF_T(A57*60,J57,I57,"","")</f>
        <v>10734.510036492278</v>
      </c>
      <c r="L57">
        <f t="shared" si="4"/>
        <v>2.7947246681976292E-4</v>
      </c>
    </row>
    <row r="58" spans="1:12" x14ac:dyDescent="0.3">
      <c r="A58">
        <v>48</v>
      </c>
      <c r="B58">
        <f t="shared" si="12"/>
        <v>8.5516030412520266E-5</v>
      </c>
      <c r="C58">
        <f t="shared" si="9"/>
        <v>8.5516030412520266E-5</v>
      </c>
      <c r="D58" t="s">
        <v>23</v>
      </c>
      <c r="E58" t="s">
        <v>19</v>
      </c>
      <c r="F58">
        <v>1</v>
      </c>
      <c r="G58">
        <f t="shared" si="13"/>
        <v>135</v>
      </c>
      <c r="I58">
        <v>2014</v>
      </c>
      <c r="J58">
        <f t="shared" si="14"/>
        <v>137.5</v>
      </c>
      <c r="K58" cm="1">
        <f t="array" ref="K58">STOWA2019_NDJF_T(A58*60,J58,I58,"","")</f>
        <v>15467.390799555722</v>
      </c>
      <c r="L58">
        <f t="shared" si="4"/>
        <v>1.9395643640724266E-4</v>
      </c>
    </row>
    <row r="59" spans="1:12" x14ac:dyDescent="0.3">
      <c r="A59">
        <v>48</v>
      </c>
      <c r="B59">
        <f t="shared" si="12"/>
        <v>5.8359733394986276E-5</v>
      </c>
      <c r="C59">
        <f t="shared" si="9"/>
        <v>5.8359733394986276E-5</v>
      </c>
      <c r="D59" t="s">
        <v>23</v>
      </c>
      <c r="E59" t="s">
        <v>19</v>
      </c>
      <c r="F59">
        <v>1</v>
      </c>
      <c r="G59">
        <f t="shared" si="13"/>
        <v>140</v>
      </c>
      <c r="I59">
        <v>2014</v>
      </c>
      <c r="J59">
        <f t="shared" si="14"/>
        <v>142.5</v>
      </c>
      <c r="K59" cm="1">
        <f t="array" ref="K59">STOWA2019_NDJF_T(A59*60,J59,I59,"","")</f>
        <v>22124.43174026757</v>
      </c>
      <c r="L59">
        <f t="shared" si="4"/>
        <v>1.3559670301225638E-4</v>
      </c>
    </row>
    <row r="60" spans="1:12" x14ac:dyDescent="0.3">
      <c r="A60">
        <v>48</v>
      </c>
      <c r="B60">
        <f t="shared" si="12"/>
        <v>4.0131216306855456E-5</v>
      </c>
      <c r="C60">
        <f t="shared" si="9"/>
        <v>4.0131216306855456E-5</v>
      </c>
      <c r="D60" t="s">
        <v>23</v>
      </c>
      <c r="E60" t="s">
        <v>19</v>
      </c>
      <c r="F60">
        <v>1</v>
      </c>
      <c r="G60">
        <f t="shared" si="13"/>
        <v>145</v>
      </c>
      <c r="I60">
        <v>2014</v>
      </c>
      <c r="J60">
        <f t="shared" si="14"/>
        <v>147.5</v>
      </c>
      <c r="K60" cm="1">
        <f t="array" ref="K60">STOWA2019_NDJF_T(A60*60,J60,I60,"","")</f>
        <v>31424.969415991844</v>
      </c>
      <c r="L60">
        <f t="shared" si="4"/>
        <v>9.5465486705400925E-5</v>
      </c>
    </row>
    <row r="61" spans="1:12" x14ac:dyDescent="0.3">
      <c r="A61">
        <v>48</v>
      </c>
      <c r="B61">
        <f t="shared" si="12"/>
        <v>2.7797512124233637E-5</v>
      </c>
      <c r="C61">
        <f t="shared" si="9"/>
        <v>2.7797512124233637E-5</v>
      </c>
      <c r="D61" t="s">
        <v>23</v>
      </c>
      <c r="E61" t="s">
        <v>19</v>
      </c>
      <c r="F61">
        <v>1</v>
      </c>
      <c r="G61">
        <f t="shared" si="13"/>
        <v>150</v>
      </c>
      <c r="I61">
        <v>2014</v>
      </c>
      <c r="J61">
        <f t="shared" si="14"/>
        <v>152.5</v>
      </c>
      <c r="K61" cm="1">
        <f t="array" ref="K61">STOWA2019_NDJF_T(A61*60,J61,I61,"","")</f>
        <v>44334.118444782471</v>
      </c>
      <c r="L61">
        <f t="shared" si="4"/>
        <v>6.7667974581167288E-5</v>
      </c>
    </row>
    <row r="62" spans="1:12" x14ac:dyDescent="0.3">
      <c r="A62">
        <v>48</v>
      </c>
      <c r="B62">
        <f t="shared" si="12"/>
        <v>1.9390343369847301E-5</v>
      </c>
      <c r="C62">
        <f t="shared" si="9"/>
        <v>1.9390343369847301E-5</v>
      </c>
      <c r="D62" t="s">
        <v>23</v>
      </c>
      <c r="E62" t="s">
        <v>19</v>
      </c>
      <c r="F62">
        <v>1</v>
      </c>
      <c r="G62">
        <f t="shared" si="13"/>
        <v>155</v>
      </c>
      <c r="I62">
        <v>2014</v>
      </c>
      <c r="J62">
        <f t="shared" si="14"/>
        <v>157.5</v>
      </c>
      <c r="K62" cm="1">
        <f t="array" ref="K62">STOWA2019_NDJF_T(A62*60,J62,I62,"","")</f>
        <v>62140.579906840365</v>
      </c>
      <c r="L62">
        <f t="shared" si="4"/>
        <v>4.8277631211319987E-5</v>
      </c>
    </row>
    <row r="63" spans="1:12" x14ac:dyDescent="0.3">
      <c r="A63">
        <v>48</v>
      </c>
      <c r="B63" s="1">
        <f>L62</f>
        <v>4.8277631211319987E-5</v>
      </c>
      <c r="C63">
        <f t="shared" si="9"/>
        <v>4.8277631211319987E-5</v>
      </c>
      <c r="D63" t="s">
        <v>23</v>
      </c>
      <c r="E63" t="s">
        <v>19</v>
      </c>
      <c r="F63">
        <v>1</v>
      </c>
      <c r="G63">
        <f t="shared" si="13"/>
        <v>160</v>
      </c>
      <c r="I63">
        <v>2014</v>
      </c>
      <c r="J63">
        <f>AVERAGE(G63:G64)</f>
        <v>85</v>
      </c>
      <c r="K63" cm="1">
        <f t="array" ref="K63">STOWA2019_NDJF_T(A63*60,J63,I63,"","")</f>
        <v>216.66059642254302</v>
      </c>
      <c r="L63">
        <f t="shared" si="4"/>
        <v>1.3846541777948588E-2</v>
      </c>
    </row>
    <row r="64" spans="1:12" x14ac:dyDescent="0.3">
      <c r="A64">
        <v>96</v>
      </c>
      <c r="B64" s="1">
        <f>365.25*24/A64 - L64</f>
        <v>30.55252394276097</v>
      </c>
      <c r="C64">
        <f>B64</f>
        <v>30.55252394276097</v>
      </c>
      <c r="D64" t="s">
        <v>23</v>
      </c>
      <c r="E64" t="s">
        <v>19</v>
      </c>
      <c r="F64">
        <v>1</v>
      </c>
      <c r="G64">
        <v>10</v>
      </c>
      <c r="I64">
        <v>2014</v>
      </c>
      <c r="J64">
        <f>AVERAGE(G64:G66)</f>
        <v>15</v>
      </c>
      <c r="K64" cm="1">
        <f t="array" ref="K64">STOWA2019_NDJF_T(A64*60,J64,I64,"","")</f>
        <v>4.9374608001389687E-2</v>
      </c>
      <c r="L64">
        <f t="shared" si="4"/>
        <v>60.75997605723903</v>
      </c>
    </row>
    <row r="65" spans="1:12" x14ac:dyDescent="0.3">
      <c r="A65">
        <v>96</v>
      </c>
      <c r="B65">
        <f t="shared" ref="B65:B69" si="15">L64-L65</f>
        <v>13.059398374680228</v>
      </c>
      <c r="C65">
        <f t="shared" ref="C65:C94" si="16">B65</f>
        <v>13.059398374680228</v>
      </c>
      <c r="D65" t="s">
        <v>23</v>
      </c>
      <c r="E65" t="s">
        <v>19</v>
      </c>
      <c r="F65">
        <v>1</v>
      </c>
      <c r="G65">
        <f t="shared" ref="G65:G69" si="17">G64+5</f>
        <v>15</v>
      </c>
      <c r="I65">
        <v>2014</v>
      </c>
      <c r="J65">
        <f t="shared" ref="J65:J69" si="18">AVERAGE(G65:G66)</f>
        <v>17.5</v>
      </c>
      <c r="K65" cm="1">
        <f t="array" ref="K65">STOWA2019_NDJF_T(A65*60,J65,I65,"","")</f>
        <v>6.2892320088125842E-2</v>
      </c>
      <c r="L65">
        <f t="shared" si="4"/>
        <v>47.700577682558801</v>
      </c>
    </row>
    <row r="66" spans="1:12" x14ac:dyDescent="0.3">
      <c r="A66">
        <v>96</v>
      </c>
      <c r="B66">
        <f t="shared" si="15"/>
        <v>18.188867247583239</v>
      </c>
      <c r="C66">
        <f t="shared" si="16"/>
        <v>18.188867247583239</v>
      </c>
      <c r="D66" t="s">
        <v>23</v>
      </c>
      <c r="E66" t="s">
        <v>19</v>
      </c>
      <c r="F66">
        <v>1</v>
      </c>
      <c r="G66">
        <f t="shared" si="17"/>
        <v>20</v>
      </c>
      <c r="I66">
        <v>2014</v>
      </c>
      <c r="J66">
        <f t="shared" si="18"/>
        <v>22.5</v>
      </c>
      <c r="K66" cm="1">
        <f t="array" ref="K66">STOWA2019_NDJF_T(A66*60,J66,I66,"","")</f>
        <v>0.10165456206308444</v>
      </c>
      <c r="L66">
        <f t="shared" si="4"/>
        <v>29.511710434975562</v>
      </c>
    </row>
    <row r="67" spans="1:12" x14ac:dyDescent="0.3">
      <c r="A67">
        <v>96</v>
      </c>
      <c r="B67">
        <f t="shared" si="15"/>
        <v>11.161252510341793</v>
      </c>
      <c r="C67">
        <f t="shared" si="16"/>
        <v>11.161252510341793</v>
      </c>
      <c r="D67" t="s">
        <v>23</v>
      </c>
      <c r="E67" t="s">
        <v>19</v>
      </c>
      <c r="F67">
        <v>1</v>
      </c>
      <c r="G67">
        <f t="shared" si="17"/>
        <v>25</v>
      </c>
      <c r="I67">
        <v>2014</v>
      </c>
      <c r="J67">
        <f t="shared" si="18"/>
        <v>27.5</v>
      </c>
      <c r="K67" cm="1">
        <f t="array" ref="K67">STOWA2019_NDJF_T(A67*60,J67,I67,"","")</f>
        <v>0.16348365868149706</v>
      </c>
      <c r="L67">
        <f t="shared" ref="L67:L130" si="19">1/K67 * 12/4</f>
        <v>18.350457924633769</v>
      </c>
    </row>
    <row r="68" spans="1:12" x14ac:dyDescent="0.3">
      <c r="A68">
        <v>96</v>
      </c>
      <c r="B68">
        <f t="shared" si="15"/>
        <v>6.8839373583834451</v>
      </c>
      <c r="C68">
        <f t="shared" si="16"/>
        <v>6.8839373583834451</v>
      </c>
      <c r="D68" t="s">
        <v>23</v>
      </c>
      <c r="E68" t="s">
        <v>19</v>
      </c>
      <c r="F68">
        <v>1</v>
      </c>
      <c r="G68">
        <f t="shared" si="17"/>
        <v>30</v>
      </c>
      <c r="I68">
        <v>2014</v>
      </c>
      <c r="J68">
        <f t="shared" si="18"/>
        <v>32.5</v>
      </c>
      <c r="K68" cm="1">
        <f t="array" ref="K68">STOWA2019_NDJF_T(A68*60,J68,I68,"","")</f>
        <v>0.26163124050289238</v>
      </c>
      <c r="L68">
        <f t="shared" si="19"/>
        <v>11.466520566250324</v>
      </c>
    </row>
    <row r="69" spans="1:12" x14ac:dyDescent="0.3">
      <c r="A69">
        <v>96</v>
      </c>
      <c r="B69">
        <f t="shared" si="15"/>
        <v>4.2668570362689167</v>
      </c>
      <c r="C69">
        <f t="shared" si="16"/>
        <v>4.2668570362689167</v>
      </c>
      <c r="D69" t="s">
        <v>23</v>
      </c>
      <c r="E69" t="s">
        <v>19</v>
      </c>
      <c r="F69">
        <v>1</v>
      </c>
      <c r="G69">
        <f t="shared" si="17"/>
        <v>35</v>
      </c>
      <c r="I69">
        <v>2014</v>
      </c>
      <c r="J69">
        <f t="shared" si="18"/>
        <v>37.5</v>
      </c>
      <c r="K69" cm="1">
        <f t="array" ref="K69">STOWA2019_NDJF_T(A69*60,J69,I69,"","")</f>
        <v>0.41668613922125153</v>
      </c>
      <c r="L69">
        <f t="shared" si="19"/>
        <v>7.1996635299814074</v>
      </c>
    </row>
    <row r="70" spans="1:12" x14ac:dyDescent="0.3">
      <c r="A70">
        <v>96</v>
      </c>
      <c r="B70">
        <f>L69-L70</f>
        <v>2.6577502622613851</v>
      </c>
      <c r="C70">
        <f t="shared" si="16"/>
        <v>2.6577502622613851</v>
      </c>
      <c r="D70" t="s">
        <v>23</v>
      </c>
      <c r="E70" t="s">
        <v>19</v>
      </c>
      <c r="F70">
        <v>1</v>
      </c>
      <c r="G70">
        <f>G69+5</f>
        <v>40</v>
      </c>
      <c r="I70">
        <v>2014</v>
      </c>
      <c r="J70">
        <f>AVERAGE(G70:G71)</f>
        <v>42.5</v>
      </c>
      <c r="K70" cm="1">
        <f t="array" ref="K70">STOWA2019_NDJF_T(A70*60,J70,I70,"","")</f>
        <v>0.66051459443785432</v>
      </c>
      <c r="L70">
        <f t="shared" si="19"/>
        <v>4.5419132677200222</v>
      </c>
    </row>
    <row r="71" spans="1:12" x14ac:dyDescent="0.3">
      <c r="A71">
        <v>96</v>
      </c>
      <c r="B71">
        <f t="shared" ref="B71:B93" si="20">L70-L71</f>
        <v>1.6630980637678663</v>
      </c>
      <c r="C71">
        <f t="shared" si="16"/>
        <v>1.6630980637678663</v>
      </c>
      <c r="D71" t="s">
        <v>23</v>
      </c>
      <c r="E71" t="s">
        <v>19</v>
      </c>
      <c r="F71">
        <v>1</v>
      </c>
      <c r="G71">
        <f t="shared" ref="G71:G94" si="21">G70+5</f>
        <v>45</v>
      </c>
      <c r="I71">
        <v>2014</v>
      </c>
      <c r="J71">
        <f t="shared" ref="J71:J93" si="22">AVERAGE(G71:G72)</f>
        <v>47.5</v>
      </c>
      <c r="K71" cm="1">
        <f t="array" ref="K71">STOWA2019_NDJF_T(A71*60,J71,I71,"","")</f>
        <v>1.0420953716937011</v>
      </c>
      <c r="L71">
        <f t="shared" si="19"/>
        <v>2.878815203952156</v>
      </c>
    </row>
    <row r="72" spans="1:12" x14ac:dyDescent="0.3">
      <c r="A72">
        <v>96</v>
      </c>
      <c r="B72">
        <f t="shared" si="20"/>
        <v>1.0459817269898601</v>
      </c>
      <c r="C72">
        <f t="shared" si="16"/>
        <v>1.0459817269898601</v>
      </c>
      <c r="D72" t="s">
        <v>23</v>
      </c>
      <c r="E72" t="s">
        <v>19</v>
      </c>
      <c r="F72">
        <v>1</v>
      </c>
      <c r="G72">
        <f t="shared" si="21"/>
        <v>50</v>
      </c>
      <c r="I72">
        <v>2014</v>
      </c>
      <c r="J72">
        <f t="shared" si="22"/>
        <v>52.5</v>
      </c>
      <c r="K72" cm="1">
        <f t="array" ref="K72">STOWA2019_NDJF_T(A72*60,J72,I72,"","")</f>
        <v>1.6368099108338769</v>
      </c>
      <c r="L72">
        <f t="shared" si="19"/>
        <v>1.8328334769622958</v>
      </c>
    </row>
    <row r="73" spans="1:12" x14ac:dyDescent="0.3">
      <c r="A73">
        <v>96</v>
      </c>
      <c r="B73">
        <f t="shared" si="20"/>
        <v>0.66076451651715629</v>
      </c>
      <c r="C73">
        <f t="shared" si="16"/>
        <v>0.66076451651715629</v>
      </c>
      <c r="D73" t="s">
        <v>23</v>
      </c>
      <c r="E73" t="s">
        <v>19</v>
      </c>
      <c r="F73">
        <v>1</v>
      </c>
      <c r="G73">
        <f t="shared" si="21"/>
        <v>55</v>
      </c>
      <c r="I73">
        <v>2014</v>
      </c>
      <c r="J73">
        <f t="shared" si="22"/>
        <v>57.5</v>
      </c>
      <c r="K73" cm="1">
        <f t="array" ref="K73">STOWA2019_NDJF_T(A73*60,J73,I73,"","")</f>
        <v>2.5595763570606214</v>
      </c>
      <c r="L73">
        <f t="shared" si="19"/>
        <v>1.1720689604451395</v>
      </c>
    </row>
    <row r="74" spans="1:12" x14ac:dyDescent="0.3">
      <c r="A74">
        <v>96</v>
      </c>
      <c r="B74">
        <f t="shared" si="20"/>
        <v>0.41926820860607783</v>
      </c>
      <c r="C74">
        <f t="shared" si="16"/>
        <v>0.41926820860607783</v>
      </c>
      <c r="D74" t="s">
        <v>23</v>
      </c>
      <c r="E74" t="s">
        <v>19</v>
      </c>
      <c r="F74">
        <v>1</v>
      </c>
      <c r="G74">
        <f t="shared" si="21"/>
        <v>60</v>
      </c>
      <c r="I74">
        <v>2014</v>
      </c>
      <c r="J74">
        <f t="shared" si="22"/>
        <v>62.5</v>
      </c>
      <c r="K74" cm="1">
        <f t="array" ref="K74">STOWA2019_NDJF_T(A74*60,J74,I74,"","")</f>
        <v>3.985118230383168</v>
      </c>
      <c r="L74">
        <f t="shared" si="19"/>
        <v>0.7528007518390617</v>
      </c>
    </row>
    <row r="75" spans="1:12" x14ac:dyDescent="0.3">
      <c r="A75">
        <v>96</v>
      </c>
      <c r="B75">
        <f t="shared" si="20"/>
        <v>0.26722181724773764</v>
      </c>
      <c r="C75">
        <f t="shared" si="16"/>
        <v>0.26722181724773764</v>
      </c>
      <c r="D75" t="s">
        <v>23</v>
      </c>
      <c r="E75" t="s">
        <v>19</v>
      </c>
      <c r="F75">
        <v>1</v>
      </c>
      <c r="G75">
        <f t="shared" si="21"/>
        <v>65</v>
      </c>
      <c r="I75">
        <v>2014</v>
      </c>
      <c r="J75">
        <f t="shared" si="22"/>
        <v>67.5</v>
      </c>
      <c r="K75" cm="1">
        <f t="array" ref="K75">STOWA2019_NDJF_T(A75*60,J75,I75,"","")</f>
        <v>6.1781922284682276</v>
      </c>
      <c r="L75">
        <f t="shared" si="19"/>
        <v>0.48557893459132406</v>
      </c>
    </row>
    <row r="76" spans="1:12" x14ac:dyDescent="0.3">
      <c r="A76">
        <v>96</v>
      </c>
      <c r="B76">
        <f t="shared" si="20"/>
        <v>0.1710519383539838</v>
      </c>
      <c r="C76">
        <f t="shared" si="16"/>
        <v>0.1710519383539838</v>
      </c>
      <c r="D76" t="s">
        <v>23</v>
      </c>
      <c r="E76" t="s">
        <v>19</v>
      </c>
      <c r="F76">
        <v>1</v>
      </c>
      <c r="G76">
        <f t="shared" si="21"/>
        <v>70</v>
      </c>
      <c r="I76">
        <v>2014</v>
      </c>
      <c r="J76">
        <f t="shared" si="22"/>
        <v>72.5</v>
      </c>
      <c r="K76" cm="1">
        <f t="array" ref="K76">STOWA2019_NDJF_T(A76*60,J76,I76,"","")</f>
        <v>9.5381319755974694</v>
      </c>
      <c r="L76">
        <f t="shared" si="19"/>
        <v>0.31452699623734026</v>
      </c>
    </row>
    <row r="77" spans="1:12" x14ac:dyDescent="0.3">
      <c r="A77">
        <v>96</v>
      </c>
      <c r="B77">
        <f t="shared" si="20"/>
        <v>0.1099577609636771</v>
      </c>
      <c r="C77">
        <f t="shared" si="16"/>
        <v>0.1099577609636771</v>
      </c>
      <c r="D77" t="s">
        <v>23</v>
      </c>
      <c r="E77" t="s">
        <v>19</v>
      </c>
      <c r="F77">
        <v>1</v>
      </c>
      <c r="G77">
        <f t="shared" si="21"/>
        <v>75</v>
      </c>
      <c r="I77">
        <v>2014</v>
      </c>
      <c r="J77">
        <f t="shared" si="22"/>
        <v>77.5</v>
      </c>
      <c r="K77" cm="1">
        <f t="array" ref="K77">STOWA2019_NDJF_T(A77*60,J77,I77,"","")</f>
        <v>14.664961698599205</v>
      </c>
      <c r="L77">
        <f t="shared" si="19"/>
        <v>0.20456923527366316</v>
      </c>
    </row>
    <row r="78" spans="1:12" x14ac:dyDescent="0.3">
      <c r="A78">
        <v>96</v>
      </c>
      <c r="B78">
        <f t="shared" si="20"/>
        <v>7.0978153682936501E-2</v>
      </c>
      <c r="C78">
        <f t="shared" si="16"/>
        <v>7.0978153682936501E-2</v>
      </c>
      <c r="D78" t="s">
        <v>23</v>
      </c>
      <c r="E78" t="s">
        <v>19</v>
      </c>
      <c r="F78">
        <v>1</v>
      </c>
      <c r="G78">
        <f t="shared" si="21"/>
        <v>80</v>
      </c>
      <c r="I78">
        <v>2014</v>
      </c>
      <c r="J78">
        <f t="shared" si="22"/>
        <v>82.5</v>
      </c>
      <c r="K78" cm="1">
        <f t="array" ref="K78">STOWA2019_NDJF_T(A78*60,J78,I78,"","")</f>
        <v>22.456588900080042</v>
      </c>
      <c r="L78">
        <f t="shared" si="19"/>
        <v>0.13359108159072666</v>
      </c>
    </row>
    <row r="79" spans="1:12" x14ac:dyDescent="0.3">
      <c r="A79">
        <v>96</v>
      </c>
      <c r="B79">
        <f t="shared" si="20"/>
        <v>4.6006178221776828E-2</v>
      </c>
      <c r="C79">
        <f t="shared" si="16"/>
        <v>4.6006178221776828E-2</v>
      </c>
      <c r="D79" t="s">
        <v>23</v>
      </c>
      <c r="E79" t="s">
        <v>19</v>
      </c>
      <c r="F79">
        <v>1</v>
      </c>
      <c r="G79">
        <f t="shared" si="21"/>
        <v>85</v>
      </c>
      <c r="I79">
        <v>2014</v>
      </c>
      <c r="J79">
        <f t="shared" si="22"/>
        <v>87.5</v>
      </c>
      <c r="K79" cm="1">
        <f t="array" ref="K79">STOWA2019_NDJF_T(A79*60,J79,I79,"","")</f>
        <v>34.252478276565014</v>
      </c>
      <c r="L79">
        <f t="shared" si="19"/>
        <v>8.7584903368949835E-2</v>
      </c>
    </row>
    <row r="80" spans="1:12" x14ac:dyDescent="0.3">
      <c r="A80">
        <v>96</v>
      </c>
      <c r="B80">
        <f t="shared" si="20"/>
        <v>2.9938586001008793E-2</v>
      </c>
      <c r="C80">
        <f t="shared" si="16"/>
        <v>2.9938586001008793E-2</v>
      </c>
      <c r="D80" t="s">
        <v>23</v>
      </c>
      <c r="E80" t="s">
        <v>19</v>
      </c>
      <c r="F80">
        <v>1</v>
      </c>
      <c r="G80">
        <f t="shared" si="21"/>
        <v>90</v>
      </c>
      <c r="I80">
        <v>2014</v>
      </c>
      <c r="J80">
        <f t="shared" si="22"/>
        <v>92.5</v>
      </c>
      <c r="K80" cm="1">
        <f t="array" ref="K80">STOWA2019_NDJF_T(A80*60,J80,I80,"","")</f>
        <v>52.041485683323039</v>
      </c>
      <c r="L80">
        <f t="shared" si="19"/>
        <v>5.7646317367941041E-2</v>
      </c>
    </row>
    <row r="81" spans="1:12" x14ac:dyDescent="0.3">
      <c r="A81">
        <v>96</v>
      </c>
      <c r="B81">
        <f t="shared" si="20"/>
        <v>1.9559911582432893E-2</v>
      </c>
      <c r="C81">
        <f t="shared" si="16"/>
        <v>1.9559911582432893E-2</v>
      </c>
      <c r="D81" t="s">
        <v>23</v>
      </c>
      <c r="E81" t="s">
        <v>19</v>
      </c>
      <c r="F81">
        <v>1</v>
      </c>
      <c r="G81">
        <f t="shared" si="21"/>
        <v>95</v>
      </c>
      <c r="I81">
        <v>2014</v>
      </c>
      <c r="J81">
        <f t="shared" si="22"/>
        <v>97.5</v>
      </c>
      <c r="K81" cm="1">
        <f t="array" ref="K81">STOWA2019_NDJF_T(A81*60,J81,I81,"","")</f>
        <v>78.768262274344039</v>
      </c>
      <c r="L81">
        <f t="shared" si="19"/>
        <v>3.8086405785508148E-2</v>
      </c>
    </row>
    <row r="82" spans="1:12" x14ac:dyDescent="0.3">
      <c r="A82">
        <v>96</v>
      </c>
      <c r="B82">
        <f t="shared" si="20"/>
        <v>1.2828853232494331E-2</v>
      </c>
      <c r="C82">
        <f t="shared" si="16"/>
        <v>1.2828853232494331E-2</v>
      </c>
      <c r="D82" t="s">
        <v>23</v>
      </c>
      <c r="E82" t="s">
        <v>19</v>
      </c>
      <c r="F82">
        <v>1</v>
      </c>
      <c r="G82">
        <f t="shared" si="21"/>
        <v>100</v>
      </c>
      <c r="I82">
        <v>2014</v>
      </c>
      <c r="J82">
        <f t="shared" si="22"/>
        <v>102.5</v>
      </c>
      <c r="K82" cm="1">
        <f t="array" ref="K82">STOWA2019_NDJF_T(A82*60,J82,I82,"","")</f>
        <v>118.77635387289453</v>
      </c>
      <c r="L82">
        <f t="shared" si="19"/>
        <v>2.5257552553013818E-2</v>
      </c>
    </row>
    <row r="83" spans="1:12" x14ac:dyDescent="0.3">
      <c r="A83">
        <v>96</v>
      </c>
      <c r="B83">
        <f t="shared" si="20"/>
        <v>8.445799008228963E-3</v>
      </c>
      <c r="C83">
        <f t="shared" si="16"/>
        <v>8.445799008228963E-3</v>
      </c>
      <c r="D83" t="s">
        <v>23</v>
      </c>
      <c r="E83" t="s">
        <v>19</v>
      </c>
      <c r="F83">
        <v>1</v>
      </c>
      <c r="G83">
        <f t="shared" si="21"/>
        <v>105</v>
      </c>
      <c r="I83">
        <v>2014</v>
      </c>
      <c r="J83">
        <f t="shared" si="22"/>
        <v>107.5</v>
      </c>
      <c r="K83" cm="1">
        <f t="array" ref="K83">STOWA2019_NDJF_T(A83*60,J83,I83,"","")</f>
        <v>178.44658452839528</v>
      </c>
      <c r="L83">
        <f t="shared" si="19"/>
        <v>1.6811753544784855E-2</v>
      </c>
    </row>
    <row r="84" spans="1:12" x14ac:dyDescent="0.3">
      <c r="A84">
        <v>96</v>
      </c>
      <c r="B84">
        <f t="shared" si="20"/>
        <v>5.5811382969408602E-3</v>
      </c>
      <c r="C84">
        <f t="shared" si="16"/>
        <v>5.5811382969408602E-3</v>
      </c>
      <c r="D84" t="s">
        <v>23</v>
      </c>
      <c r="E84" t="s">
        <v>19</v>
      </c>
      <c r="F84">
        <v>1</v>
      </c>
      <c r="G84">
        <f t="shared" si="21"/>
        <v>110</v>
      </c>
      <c r="I84">
        <v>2014</v>
      </c>
      <c r="J84">
        <f t="shared" si="22"/>
        <v>112.5</v>
      </c>
      <c r="K84" cm="1">
        <f t="array" ref="K84">STOWA2019_NDJF_T(A84*60,J84,I84,"","")</f>
        <v>267.12695019766858</v>
      </c>
      <c r="L84">
        <f t="shared" si="19"/>
        <v>1.1230615247843995E-2</v>
      </c>
    </row>
    <row r="85" spans="1:12" x14ac:dyDescent="0.3">
      <c r="A85">
        <v>96</v>
      </c>
      <c r="B85">
        <f t="shared" si="20"/>
        <v>3.7016501601101846E-3</v>
      </c>
      <c r="C85">
        <f t="shared" si="16"/>
        <v>3.7016501601101846E-3</v>
      </c>
      <c r="D85" t="s">
        <v>23</v>
      </c>
      <c r="E85" t="s">
        <v>19</v>
      </c>
      <c r="F85">
        <v>1</v>
      </c>
      <c r="G85">
        <f t="shared" si="21"/>
        <v>115</v>
      </c>
      <c r="I85">
        <v>2014</v>
      </c>
      <c r="J85">
        <f t="shared" si="22"/>
        <v>117.5</v>
      </c>
      <c r="K85" cm="1">
        <f t="array" ref="K85">STOWA2019_NDJF_T(A85*60,J85,I85,"","")</f>
        <v>398.461138422278</v>
      </c>
      <c r="L85">
        <f t="shared" si="19"/>
        <v>7.5289650877338101E-3</v>
      </c>
    </row>
    <row r="86" spans="1:12" x14ac:dyDescent="0.3">
      <c r="A86">
        <v>96</v>
      </c>
      <c r="B86">
        <f t="shared" si="20"/>
        <v>2.4639428529067333E-3</v>
      </c>
      <c r="C86">
        <f t="shared" si="16"/>
        <v>2.4639428529067333E-3</v>
      </c>
      <c r="D86" t="s">
        <v>23</v>
      </c>
      <c r="E86" t="s">
        <v>19</v>
      </c>
      <c r="F86">
        <v>1</v>
      </c>
      <c r="G86">
        <f t="shared" si="21"/>
        <v>120</v>
      </c>
      <c r="I86">
        <v>2014</v>
      </c>
      <c r="J86">
        <f t="shared" si="22"/>
        <v>122.5</v>
      </c>
      <c r="K86" cm="1">
        <f t="array" ref="K86">STOWA2019_NDJF_T(A86*60,J86,I86,"","")</f>
        <v>592.29749859181459</v>
      </c>
      <c r="L86">
        <f t="shared" si="19"/>
        <v>5.0650222348270768E-3</v>
      </c>
    </row>
    <row r="87" spans="1:12" x14ac:dyDescent="0.3">
      <c r="A87">
        <v>96</v>
      </c>
      <c r="B87">
        <f t="shared" si="20"/>
        <v>1.6458923189324477E-3</v>
      </c>
      <c r="C87">
        <f t="shared" si="16"/>
        <v>1.6458923189324477E-3</v>
      </c>
      <c r="D87" t="s">
        <v>23</v>
      </c>
      <c r="E87" t="s">
        <v>19</v>
      </c>
      <c r="F87">
        <v>1</v>
      </c>
      <c r="G87">
        <f t="shared" si="21"/>
        <v>125</v>
      </c>
      <c r="I87">
        <v>2014</v>
      </c>
      <c r="J87">
        <f t="shared" si="22"/>
        <v>127.5</v>
      </c>
      <c r="K87" cm="1">
        <f t="array" ref="K87">STOWA2019_NDJF_T(A87*60,J87,I87,"","")</f>
        <v>877.41620640204246</v>
      </c>
      <c r="L87">
        <f t="shared" si="19"/>
        <v>3.4191299158946292E-3</v>
      </c>
    </row>
    <row r="88" spans="1:12" x14ac:dyDescent="0.3">
      <c r="A88">
        <v>96</v>
      </c>
      <c r="B88">
        <f t="shared" si="20"/>
        <v>1.1032686913337733E-3</v>
      </c>
      <c r="C88">
        <f t="shared" si="16"/>
        <v>1.1032686913337733E-3</v>
      </c>
      <c r="D88" t="s">
        <v>23</v>
      </c>
      <c r="E88" t="s">
        <v>19</v>
      </c>
      <c r="F88">
        <v>1</v>
      </c>
      <c r="G88">
        <f t="shared" si="21"/>
        <v>130</v>
      </c>
      <c r="I88">
        <v>2014</v>
      </c>
      <c r="J88">
        <f t="shared" si="22"/>
        <v>132.5</v>
      </c>
      <c r="K88" cm="1">
        <f t="array" ref="K88">STOWA2019_NDJF_T(A88*60,J88,I88,"","")</f>
        <v>1295.4144091984069</v>
      </c>
      <c r="L88">
        <f t="shared" si="19"/>
        <v>2.3158612245608558E-3</v>
      </c>
    </row>
    <row r="89" spans="1:12" x14ac:dyDescent="0.3">
      <c r="A89">
        <v>96</v>
      </c>
      <c r="B89">
        <f t="shared" si="20"/>
        <v>7.4206935161944378E-4</v>
      </c>
      <c r="C89">
        <f t="shared" si="16"/>
        <v>7.4206935161944378E-4</v>
      </c>
      <c r="D89" t="s">
        <v>23</v>
      </c>
      <c r="E89" t="s">
        <v>19</v>
      </c>
      <c r="F89">
        <v>1</v>
      </c>
      <c r="G89">
        <f t="shared" si="21"/>
        <v>135</v>
      </c>
      <c r="I89">
        <v>2014</v>
      </c>
      <c r="J89">
        <f t="shared" si="22"/>
        <v>137.5</v>
      </c>
      <c r="K89" cm="1">
        <f t="array" ref="K89">STOWA2019_NDJF_T(A89*60,J89,I89,"","")</f>
        <v>1906.2241021698821</v>
      </c>
      <c r="L89">
        <f t="shared" si="19"/>
        <v>1.573791872941412E-3</v>
      </c>
    </row>
    <row r="90" spans="1:12" x14ac:dyDescent="0.3">
      <c r="A90">
        <v>96</v>
      </c>
      <c r="B90">
        <f t="shared" si="20"/>
        <v>5.0080183854266797E-4</v>
      </c>
      <c r="C90">
        <f t="shared" si="16"/>
        <v>5.0080183854266797E-4</v>
      </c>
      <c r="D90" t="s">
        <v>23</v>
      </c>
      <c r="E90" t="s">
        <v>19</v>
      </c>
      <c r="F90">
        <v>1</v>
      </c>
      <c r="G90">
        <f t="shared" si="21"/>
        <v>140</v>
      </c>
      <c r="I90">
        <v>2014</v>
      </c>
      <c r="J90">
        <f t="shared" si="22"/>
        <v>142.5</v>
      </c>
      <c r="K90" cm="1">
        <f t="array" ref="K90">STOWA2019_NDJF_T(A90*60,J90,I90,"","")</f>
        <v>2795.9253150762638</v>
      </c>
      <c r="L90">
        <f t="shared" si="19"/>
        <v>1.0729900343987441E-3</v>
      </c>
    </row>
    <row r="91" spans="1:12" x14ac:dyDescent="0.3">
      <c r="A91">
        <v>96</v>
      </c>
      <c r="B91">
        <f t="shared" si="20"/>
        <v>3.3909066058411151E-4</v>
      </c>
      <c r="C91">
        <f t="shared" si="16"/>
        <v>3.3909066058411151E-4</v>
      </c>
      <c r="D91" t="s">
        <v>23</v>
      </c>
      <c r="E91" t="s">
        <v>19</v>
      </c>
      <c r="F91">
        <v>1</v>
      </c>
      <c r="G91">
        <f t="shared" si="21"/>
        <v>145</v>
      </c>
      <c r="I91">
        <v>2014</v>
      </c>
      <c r="J91">
        <f t="shared" si="22"/>
        <v>147.5</v>
      </c>
      <c r="K91" cm="1">
        <f t="array" ref="K91">STOWA2019_NDJF_T(A91*60,J91,I91,"","")</f>
        <v>4087.7538625039574</v>
      </c>
      <c r="L91">
        <f t="shared" si="19"/>
        <v>7.3389937381463256E-4</v>
      </c>
    </row>
    <row r="92" spans="1:12" x14ac:dyDescent="0.3">
      <c r="A92">
        <v>96</v>
      </c>
      <c r="B92">
        <f t="shared" si="20"/>
        <v>2.3035032133111074E-4</v>
      </c>
      <c r="C92">
        <f t="shared" si="16"/>
        <v>2.3035032133111074E-4</v>
      </c>
      <c r="D92" t="s">
        <v>23</v>
      </c>
      <c r="E92" t="s">
        <v>19</v>
      </c>
      <c r="F92">
        <v>1</v>
      </c>
      <c r="G92">
        <f t="shared" si="21"/>
        <v>150</v>
      </c>
      <c r="I92">
        <v>2014</v>
      </c>
      <c r="J92">
        <f t="shared" si="22"/>
        <v>152.5</v>
      </c>
      <c r="K92" cm="1">
        <f t="array" ref="K92">STOWA2019_NDJF_T(A92*60,J92,I92,"","")</f>
        <v>5957.7115381389231</v>
      </c>
      <c r="L92">
        <f t="shared" si="19"/>
        <v>5.0354905248352181E-4</v>
      </c>
    </row>
    <row r="93" spans="1:12" x14ac:dyDescent="0.3">
      <c r="A93">
        <v>96</v>
      </c>
      <c r="B93">
        <f t="shared" si="20"/>
        <v>1.5697856027352777E-4</v>
      </c>
      <c r="C93">
        <f t="shared" si="16"/>
        <v>1.5697856027352777E-4</v>
      </c>
      <c r="D93" t="s">
        <v>23</v>
      </c>
      <c r="E93" t="s">
        <v>19</v>
      </c>
      <c r="F93">
        <v>1</v>
      </c>
      <c r="G93">
        <f t="shared" si="21"/>
        <v>155</v>
      </c>
      <c r="I93">
        <v>2014</v>
      </c>
      <c r="J93">
        <f t="shared" si="22"/>
        <v>157.5</v>
      </c>
      <c r="K93" cm="1">
        <f t="array" ref="K93">STOWA2019_NDJF_T(A93*60,J93,I93,"","")</f>
        <v>8656.2476247465402</v>
      </c>
      <c r="L93">
        <f t="shared" si="19"/>
        <v>3.4657049220999405E-4</v>
      </c>
    </row>
    <row r="94" spans="1:12" x14ac:dyDescent="0.3">
      <c r="A94">
        <v>96</v>
      </c>
      <c r="B94" s="1">
        <f>L93</f>
        <v>3.4657049220999405E-4</v>
      </c>
      <c r="C94">
        <f t="shared" si="16"/>
        <v>3.4657049220999405E-4</v>
      </c>
      <c r="D94" t="s">
        <v>23</v>
      </c>
      <c r="E94" t="s">
        <v>19</v>
      </c>
      <c r="F94">
        <v>1</v>
      </c>
      <c r="G94">
        <f t="shared" si="21"/>
        <v>160</v>
      </c>
      <c r="I94">
        <v>2014</v>
      </c>
      <c r="J94">
        <f>AVERAGE(G94:G95)</f>
        <v>85</v>
      </c>
      <c r="K94" cm="1">
        <f t="array" ref="K94">STOWA2019_NDJF_T(A94*60,J94,I94,"","")</f>
        <v>27.747816376342072</v>
      </c>
      <c r="L94">
        <f t="shared" si="19"/>
        <v>0.1081166157117075</v>
      </c>
    </row>
    <row r="95" spans="1:12" x14ac:dyDescent="0.3">
      <c r="A95">
        <v>192</v>
      </c>
      <c r="B95" s="1">
        <f>365.25*24/A95 - L95</f>
        <v>-18.894569718090594</v>
      </c>
      <c r="C95">
        <f>B95</f>
        <v>-18.894569718090594</v>
      </c>
      <c r="D95" t="s">
        <v>23</v>
      </c>
      <c r="E95" t="s">
        <v>19</v>
      </c>
      <c r="F95">
        <v>1</v>
      </c>
      <c r="G95">
        <v>10</v>
      </c>
      <c r="I95">
        <v>2014</v>
      </c>
      <c r="J95">
        <f>AVERAGE(G95:G97)</f>
        <v>15</v>
      </c>
      <c r="K95" cm="1">
        <f t="array" ref="K95">STOWA2019_NDJF_T(A95*60,J95,I95,"","")</f>
        <v>4.6475010125382493E-2</v>
      </c>
      <c r="L95">
        <f t="shared" si="19"/>
        <v>64.550819718090594</v>
      </c>
    </row>
    <row r="96" spans="1:12" x14ac:dyDescent="0.3">
      <c r="A96">
        <v>192</v>
      </c>
      <c r="B96">
        <f t="shared" ref="B96:B100" si="23">L95-L96</f>
        <v>8.5410790490228834</v>
      </c>
      <c r="C96">
        <f t="shared" ref="C96:C125" si="24">B96</f>
        <v>8.5410790490228834</v>
      </c>
      <c r="D96" t="s">
        <v>23</v>
      </c>
      <c r="E96" t="s">
        <v>19</v>
      </c>
      <c r="F96">
        <v>1</v>
      </c>
      <c r="G96">
        <f t="shared" ref="G96:G100" si="25">G95+5</f>
        <v>15</v>
      </c>
      <c r="I96">
        <v>2014</v>
      </c>
      <c r="J96">
        <f t="shared" ref="J96:J100" si="26">AVERAGE(G96:G97)</f>
        <v>17.5</v>
      </c>
      <c r="K96" cm="1">
        <f t="array" ref="K96">STOWA2019_NDJF_T(A96*60,J96,I96,"","")</f>
        <v>5.3562111949873724E-2</v>
      </c>
      <c r="L96">
        <f t="shared" si="19"/>
        <v>56.00974066906771</v>
      </c>
    </row>
    <row r="97" spans="1:12" x14ac:dyDescent="0.3">
      <c r="A97">
        <v>192</v>
      </c>
      <c r="B97">
        <f t="shared" si="23"/>
        <v>13.959848180893978</v>
      </c>
      <c r="C97">
        <f t="shared" si="24"/>
        <v>13.959848180893978</v>
      </c>
      <c r="D97" t="s">
        <v>23</v>
      </c>
      <c r="E97" t="s">
        <v>19</v>
      </c>
      <c r="F97">
        <v>1</v>
      </c>
      <c r="G97">
        <f t="shared" si="25"/>
        <v>20</v>
      </c>
      <c r="I97">
        <v>2014</v>
      </c>
      <c r="J97">
        <f t="shared" si="26"/>
        <v>22.5</v>
      </c>
      <c r="K97" cm="1">
        <f t="array" ref="K97">STOWA2019_NDJF_T(A97*60,J97,I97,"","")</f>
        <v>7.1343820934708244E-2</v>
      </c>
      <c r="L97">
        <f t="shared" si="19"/>
        <v>42.049892488173732</v>
      </c>
    </row>
    <row r="98" spans="1:12" x14ac:dyDescent="0.3">
      <c r="A98">
        <v>192</v>
      </c>
      <c r="B98">
        <f t="shared" si="23"/>
        <v>10.601307953797821</v>
      </c>
      <c r="C98">
        <f t="shared" si="24"/>
        <v>10.601307953797821</v>
      </c>
      <c r="D98" t="s">
        <v>23</v>
      </c>
      <c r="E98" t="s">
        <v>19</v>
      </c>
      <c r="F98">
        <v>1</v>
      </c>
      <c r="G98">
        <f t="shared" si="25"/>
        <v>25</v>
      </c>
      <c r="I98">
        <v>2014</v>
      </c>
      <c r="J98">
        <f t="shared" si="26"/>
        <v>27.5</v>
      </c>
      <c r="K98" cm="1">
        <f t="array" ref="K98">STOWA2019_NDJF_T(A98*60,J98,I98,"","")</f>
        <v>9.5393800529265507E-2</v>
      </c>
      <c r="L98">
        <f t="shared" si="19"/>
        <v>31.448584534375911</v>
      </c>
    </row>
    <row r="99" spans="1:12" x14ac:dyDescent="0.3">
      <c r="A99">
        <v>192</v>
      </c>
      <c r="B99">
        <f t="shared" si="23"/>
        <v>8.0209722914443695</v>
      </c>
      <c r="C99">
        <f t="shared" si="24"/>
        <v>8.0209722914443695</v>
      </c>
      <c r="D99" t="s">
        <v>23</v>
      </c>
      <c r="E99" t="s">
        <v>19</v>
      </c>
      <c r="F99">
        <v>1</v>
      </c>
      <c r="G99">
        <f t="shared" si="25"/>
        <v>30</v>
      </c>
      <c r="I99">
        <v>2014</v>
      </c>
      <c r="J99">
        <f t="shared" si="26"/>
        <v>32.5</v>
      </c>
      <c r="K99" cm="1">
        <f t="array" ref="K99">STOWA2019_NDJF_T(A99*60,J99,I99,"","")</f>
        <v>0.12805402312841951</v>
      </c>
      <c r="L99">
        <f t="shared" si="19"/>
        <v>23.427612242931541</v>
      </c>
    </row>
    <row r="100" spans="1:12" x14ac:dyDescent="0.3">
      <c r="A100">
        <v>192</v>
      </c>
      <c r="B100">
        <f t="shared" si="23"/>
        <v>6.0456218803524422</v>
      </c>
      <c r="C100">
        <f t="shared" si="24"/>
        <v>6.0456218803524422</v>
      </c>
      <c r="D100" t="s">
        <v>23</v>
      </c>
      <c r="E100" t="s">
        <v>19</v>
      </c>
      <c r="F100">
        <v>1</v>
      </c>
      <c r="G100">
        <f t="shared" si="25"/>
        <v>35</v>
      </c>
      <c r="I100">
        <v>2014</v>
      </c>
      <c r="J100">
        <f t="shared" si="26"/>
        <v>37.5</v>
      </c>
      <c r="K100" cm="1">
        <f t="array" ref="K100">STOWA2019_NDJF_T(A100*60,J100,I100,"","")</f>
        <v>0.17259243259382792</v>
      </c>
      <c r="L100">
        <f t="shared" si="19"/>
        <v>17.381990362579099</v>
      </c>
    </row>
    <row r="101" spans="1:12" x14ac:dyDescent="0.3">
      <c r="A101">
        <v>192</v>
      </c>
      <c r="B101">
        <f>L100-L101</f>
        <v>4.5389738632964587</v>
      </c>
      <c r="C101">
        <f t="shared" si="24"/>
        <v>4.5389738632964587</v>
      </c>
      <c r="D101" t="s">
        <v>23</v>
      </c>
      <c r="E101" t="s">
        <v>19</v>
      </c>
      <c r="F101">
        <v>1</v>
      </c>
      <c r="G101">
        <f>G100+5</f>
        <v>40</v>
      </c>
      <c r="I101">
        <v>2014</v>
      </c>
      <c r="J101">
        <f>AVERAGE(G101:G102)</f>
        <v>42.5</v>
      </c>
      <c r="K101" cm="1">
        <f t="array" ref="K101">STOWA2019_NDJF_T(A101*60,J101,I101,"","")</f>
        <v>0.23358998255336413</v>
      </c>
      <c r="L101">
        <f t="shared" si="19"/>
        <v>12.843016499282641</v>
      </c>
    </row>
    <row r="102" spans="1:12" x14ac:dyDescent="0.3">
      <c r="A102">
        <v>192</v>
      </c>
      <c r="B102">
        <f t="shared" ref="B102:B124" si="27">L101-L102</f>
        <v>3.3941451937597655</v>
      </c>
      <c r="C102">
        <f t="shared" si="24"/>
        <v>3.3941451937597655</v>
      </c>
      <c r="D102" t="s">
        <v>23</v>
      </c>
      <c r="E102" t="s">
        <v>19</v>
      </c>
      <c r="F102">
        <v>1</v>
      </c>
      <c r="G102">
        <f t="shared" ref="G102:G125" si="28">G101+5</f>
        <v>45</v>
      </c>
      <c r="I102">
        <v>2014</v>
      </c>
      <c r="J102">
        <f t="shared" ref="J102:J124" si="29">AVERAGE(G102:G103)</f>
        <v>47.5</v>
      </c>
      <c r="K102" cm="1">
        <f t="array" ref="K102">STOWA2019_NDJF_T(A102*60,J102,I102,"","")</f>
        <v>0.31749823899564567</v>
      </c>
      <c r="L102">
        <f t="shared" si="19"/>
        <v>9.448871305522875</v>
      </c>
    </row>
    <row r="103" spans="1:12" x14ac:dyDescent="0.3">
      <c r="A103">
        <v>192</v>
      </c>
      <c r="B103">
        <f t="shared" si="27"/>
        <v>2.5276688035504016</v>
      </c>
      <c r="C103">
        <f t="shared" si="24"/>
        <v>2.5276688035504016</v>
      </c>
      <c r="D103" t="s">
        <v>23</v>
      </c>
      <c r="E103" t="s">
        <v>19</v>
      </c>
      <c r="F103">
        <v>1</v>
      </c>
      <c r="G103">
        <f t="shared" si="28"/>
        <v>50</v>
      </c>
      <c r="I103">
        <v>2014</v>
      </c>
      <c r="J103">
        <f t="shared" si="29"/>
        <v>52.5</v>
      </c>
      <c r="K103" cm="1">
        <f t="array" ref="K103">STOWA2019_NDJF_T(A103*60,J103,I103,"","")</f>
        <v>0.43345068998415093</v>
      </c>
      <c r="L103">
        <f t="shared" si="19"/>
        <v>6.9212025019724734</v>
      </c>
    </row>
    <row r="104" spans="1:12" x14ac:dyDescent="0.3">
      <c r="A104">
        <v>192</v>
      </c>
      <c r="B104">
        <f t="shared" si="27"/>
        <v>1.8743352148316816</v>
      </c>
      <c r="C104">
        <f t="shared" si="24"/>
        <v>1.8743352148316816</v>
      </c>
      <c r="D104" t="s">
        <v>23</v>
      </c>
      <c r="E104" t="s">
        <v>19</v>
      </c>
      <c r="F104">
        <v>1</v>
      </c>
      <c r="G104">
        <f t="shared" si="28"/>
        <v>55</v>
      </c>
      <c r="I104">
        <v>2014</v>
      </c>
      <c r="J104">
        <f t="shared" si="29"/>
        <v>57.5</v>
      </c>
      <c r="K104" cm="1">
        <f t="array" ref="K104">STOWA2019_NDJF_T(A104*60,J104,I104,"","")</f>
        <v>0.59442815301362795</v>
      </c>
      <c r="L104">
        <f t="shared" si="19"/>
        <v>5.0468672871407918</v>
      </c>
    </row>
    <row r="105" spans="1:12" x14ac:dyDescent="0.3">
      <c r="A105">
        <v>192</v>
      </c>
      <c r="B105">
        <f t="shared" si="27"/>
        <v>1.3838403384455304</v>
      </c>
      <c r="C105">
        <f t="shared" si="24"/>
        <v>1.3838403384455304</v>
      </c>
      <c r="D105" t="s">
        <v>23</v>
      </c>
      <c r="E105" t="s">
        <v>19</v>
      </c>
      <c r="F105">
        <v>1</v>
      </c>
      <c r="G105">
        <f t="shared" si="28"/>
        <v>60</v>
      </c>
      <c r="I105">
        <v>2014</v>
      </c>
      <c r="J105">
        <f t="shared" si="29"/>
        <v>62.5</v>
      </c>
      <c r="K105" cm="1">
        <f t="array" ref="K105">STOWA2019_NDJF_T(A105*60,J105,I105,"","")</f>
        <v>0.81899479365516925</v>
      </c>
      <c r="L105">
        <f t="shared" si="19"/>
        <v>3.6630269486952614</v>
      </c>
    </row>
    <row r="106" spans="1:12" x14ac:dyDescent="0.3">
      <c r="A106">
        <v>192</v>
      </c>
      <c r="B106">
        <f t="shared" si="27"/>
        <v>1.0169393483612925</v>
      </c>
      <c r="C106">
        <f t="shared" si="24"/>
        <v>1.0169393483612925</v>
      </c>
      <c r="D106" t="s">
        <v>23</v>
      </c>
      <c r="E106" t="s">
        <v>19</v>
      </c>
      <c r="F106">
        <v>1</v>
      </c>
      <c r="G106">
        <f t="shared" si="28"/>
        <v>65</v>
      </c>
      <c r="I106">
        <v>2014</v>
      </c>
      <c r="J106">
        <f t="shared" si="29"/>
        <v>67.5</v>
      </c>
      <c r="K106" cm="1">
        <f t="array" ref="K106">STOWA2019_NDJF_T(A106*60,J106,I106,"","")</f>
        <v>1.1337493133716976</v>
      </c>
      <c r="L106">
        <f t="shared" si="19"/>
        <v>2.6460876003339688</v>
      </c>
    </row>
    <row r="107" spans="1:12" x14ac:dyDescent="0.3">
      <c r="A107">
        <v>192</v>
      </c>
      <c r="B107">
        <f t="shared" si="27"/>
        <v>0.74414709476429586</v>
      </c>
      <c r="C107">
        <f t="shared" si="24"/>
        <v>0.74414709476429586</v>
      </c>
      <c r="D107" t="s">
        <v>23</v>
      </c>
      <c r="E107" t="s">
        <v>19</v>
      </c>
      <c r="F107">
        <v>1</v>
      </c>
      <c r="G107">
        <f t="shared" si="28"/>
        <v>70</v>
      </c>
      <c r="I107">
        <v>2014</v>
      </c>
      <c r="J107">
        <f t="shared" si="29"/>
        <v>72.5</v>
      </c>
      <c r="K107" cm="1">
        <f t="array" ref="K107">STOWA2019_NDJF_T(A107*60,J107,I107,"","")</f>
        <v>1.5773364052212737</v>
      </c>
      <c r="L107">
        <f t="shared" si="19"/>
        <v>1.901940505569673</v>
      </c>
    </row>
    <row r="108" spans="1:12" x14ac:dyDescent="0.3">
      <c r="A108">
        <v>192</v>
      </c>
      <c r="B108">
        <f t="shared" si="27"/>
        <v>0.54182361077823127</v>
      </c>
      <c r="C108">
        <f t="shared" si="24"/>
        <v>0.54182361077823127</v>
      </c>
      <c r="D108" t="s">
        <v>23</v>
      </c>
      <c r="E108" t="s">
        <v>19</v>
      </c>
      <c r="F108">
        <v>1</v>
      </c>
      <c r="G108">
        <f t="shared" si="28"/>
        <v>75</v>
      </c>
      <c r="I108">
        <v>2014</v>
      </c>
      <c r="J108">
        <f t="shared" si="29"/>
        <v>77.5</v>
      </c>
      <c r="K108" cm="1">
        <f t="array" ref="K108">STOWA2019_NDJF_T(A108*60,J108,I108,"","")</f>
        <v>2.2056927691204185</v>
      </c>
      <c r="L108">
        <f t="shared" si="19"/>
        <v>1.3601168947914417</v>
      </c>
    </row>
    <row r="109" spans="1:12" x14ac:dyDescent="0.3">
      <c r="A109">
        <v>192</v>
      </c>
      <c r="B109">
        <f t="shared" si="27"/>
        <v>0.39256854763836735</v>
      </c>
      <c r="C109">
        <f t="shared" si="24"/>
        <v>0.39256854763836735</v>
      </c>
      <c r="D109" t="s">
        <v>23</v>
      </c>
      <c r="E109" t="s">
        <v>19</v>
      </c>
      <c r="F109">
        <v>1</v>
      </c>
      <c r="G109">
        <f t="shared" si="28"/>
        <v>80</v>
      </c>
      <c r="I109">
        <v>2014</v>
      </c>
      <c r="J109">
        <f t="shared" si="29"/>
        <v>82.5</v>
      </c>
      <c r="K109" cm="1">
        <f t="array" ref="K109">STOWA2019_NDJF_T(A109*60,J109,I109,"","")</f>
        <v>3.1006202520289921</v>
      </c>
      <c r="L109">
        <f t="shared" si="19"/>
        <v>0.96754834715307436</v>
      </c>
    </row>
    <row r="110" spans="1:12" x14ac:dyDescent="0.3">
      <c r="A110">
        <v>192</v>
      </c>
      <c r="B110">
        <f t="shared" si="27"/>
        <v>0.2829776218591199</v>
      </c>
      <c r="C110">
        <f t="shared" si="24"/>
        <v>0.2829776218591199</v>
      </c>
      <c r="D110" t="s">
        <v>23</v>
      </c>
      <c r="E110" t="s">
        <v>19</v>
      </c>
      <c r="F110">
        <v>1</v>
      </c>
      <c r="G110">
        <f t="shared" si="28"/>
        <v>85</v>
      </c>
      <c r="I110">
        <v>2014</v>
      </c>
      <c r="J110">
        <f t="shared" si="29"/>
        <v>87.5</v>
      </c>
      <c r="K110" cm="1">
        <f t="array" ref="K110">STOWA2019_NDJF_T(A110*60,J110,I110,"","")</f>
        <v>4.3823083417886455</v>
      </c>
      <c r="L110">
        <f t="shared" si="19"/>
        <v>0.68457072529395446</v>
      </c>
    </row>
    <row r="111" spans="1:12" x14ac:dyDescent="0.3">
      <c r="A111">
        <v>192</v>
      </c>
      <c r="B111">
        <f t="shared" si="27"/>
        <v>0.20292178789702542</v>
      </c>
      <c r="C111">
        <f t="shared" si="24"/>
        <v>0.20292178789702542</v>
      </c>
      <c r="D111" t="s">
        <v>23</v>
      </c>
      <c r="E111" t="s">
        <v>19</v>
      </c>
      <c r="F111">
        <v>1</v>
      </c>
      <c r="G111">
        <f t="shared" si="28"/>
        <v>90</v>
      </c>
      <c r="I111">
        <v>2014</v>
      </c>
      <c r="J111">
        <f t="shared" si="29"/>
        <v>92.5</v>
      </c>
      <c r="K111" cm="1">
        <f t="array" ref="K111">STOWA2019_NDJF_T(A111*60,J111,I111,"","")</f>
        <v>6.2286029659143347</v>
      </c>
      <c r="L111">
        <f t="shared" si="19"/>
        <v>0.48164893739692904</v>
      </c>
    </row>
    <row r="112" spans="1:12" x14ac:dyDescent="0.3">
      <c r="A112">
        <v>192</v>
      </c>
      <c r="B112">
        <f t="shared" si="27"/>
        <v>0.14472142554907175</v>
      </c>
      <c r="C112">
        <f t="shared" si="24"/>
        <v>0.14472142554907175</v>
      </c>
      <c r="D112" t="s">
        <v>23</v>
      </c>
      <c r="E112" t="s">
        <v>19</v>
      </c>
      <c r="F112">
        <v>1</v>
      </c>
      <c r="G112">
        <f t="shared" si="28"/>
        <v>95</v>
      </c>
      <c r="I112">
        <v>2014</v>
      </c>
      <c r="J112">
        <f t="shared" si="29"/>
        <v>97.5</v>
      </c>
      <c r="K112" cm="1">
        <f t="array" ref="K112">STOWA2019_NDJF_T(A112*60,J112,I112,"","")</f>
        <v>8.9039923856223329</v>
      </c>
      <c r="L112">
        <f t="shared" si="19"/>
        <v>0.3369275118478573</v>
      </c>
    </row>
    <row r="113" spans="1:12" x14ac:dyDescent="0.3">
      <c r="A113">
        <v>192</v>
      </c>
      <c r="B113">
        <f t="shared" si="27"/>
        <v>0.10264188623781118</v>
      </c>
      <c r="C113">
        <f t="shared" si="24"/>
        <v>0.10264188623781118</v>
      </c>
      <c r="D113" t="s">
        <v>23</v>
      </c>
      <c r="E113" t="s">
        <v>19</v>
      </c>
      <c r="F113">
        <v>1</v>
      </c>
      <c r="G113">
        <f t="shared" si="28"/>
        <v>100</v>
      </c>
      <c r="I113">
        <v>2014</v>
      </c>
      <c r="J113">
        <f t="shared" si="29"/>
        <v>102.5</v>
      </c>
      <c r="K113" cm="1">
        <f t="array" ref="K113">STOWA2019_NDJF_T(A113*60,J113,I113,"","")</f>
        <v>12.804882895348063</v>
      </c>
      <c r="L113">
        <f t="shared" si="19"/>
        <v>0.23428562561004612</v>
      </c>
    </row>
    <row r="114" spans="1:12" x14ac:dyDescent="0.3">
      <c r="A114">
        <v>192</v>
      </c>
      <c r="B114">
        <f t="shared" si="27"/>
        <v>7.2375765900660777E-2</v>
      </c>
      <c r="C114">
        <f t="shared" si="24"/>
        <v>7.2375765900660777E-2</v>
      </c>
      <c r="D114" t="s">
        <v>23</v>
      </c>
      <c r="E114" t="s">
        <v>19</v>
      </c>
      <c r="F114">
        <v>1</v>
      </c>
      <c r="G114">
        <f t="shared" si="28"/>
        <v>105</v>
      </c>
      <c r="I114">
        <v>2014</v>
      </c>
      <c r="J114">
        <f t="shared" si="29"/>
        <v>107.5</v>
      </c>
      <c r="K114" cm="1">
        <f t="array" ref="K114">STOWA2019_NDJF_T(A114*60,J114,I114,"","")</f>
        <v>18.52882835785757</v>
      </c>
      <c r="L114">
        <f t="shared" si="19"/>
        <v>0.16190985970938535</v>
      </c>
    </row>
    <row r="115" spans="1:12" x14ac:dyDescent="0.3">
      <c r="A115">
        <v>192</v>
      </c>
      <c r="B115">
        <f t="shared" si="27"/>
        <v>5.0729861065254608E-2</v>
      </c>
      <c r="C115">
        <f t="shared" si="24"/>
        <v>5.0729861065254608E-2</v>
      </c>
      <c r="D115" t="s">
        <v>23</v>
      </c>
      <c r="E115" t="s">
        <v>19</v>
      </c>
      <c r="F115">
        <v>1</v>
      </c>
      <c r="G115">
        <f t="shared" si="28"/>
        <v>110</v>
      </c>
      <c r="I115">
        <v>2014</v>
      </c>
      <c r="J115">
        <f t="shared" si="29"/>
        <v>112.5</v>
      </c>
      <c r="K115" cm="1">
        <f t="array" ref="K115">STOWA2019_NDJF_T(A115*60,J115,I115,"","")</f>
        <v>26.983270701437196</v>
      </c>
      <c r="L115">
        <f t="shared" si="19"/>
        <v>0.11117999864413074</v>
      </c>
    </row>
    <row r="116" spans="1:12" x14ac:dyDescent="0.3">
      <c r="A116">
        <v>192</v>
      </c>
      <c r="B116">
        <f t="shared" si="27"/>
        <v>3.5338289734859307E-2</v>
      </c>
      <c r="C116">
        <f t="shared" si="24"/>
        <v>3.5338289734859307E-2</v>
      </c>
      <c r="D116" t="s">
        <v>23</v>
      </c>
      <c r="E116" t="s">
        <v>19</v>
      </c>
      <c r="F116">
        <v>1</v>
      </c>
      <c r="G116">
        <f t="shared" si="28"/>
        <v>115</v>
      </c>
      <c r="I116">
        <v>2014</v>
      </c>
      <c r="J116">
        <f t="shared" si="29"/>
        <v>117.5</v>
      </c>
      <c r="K116" cm="1">
        <f t="array" ref="K116">STOWA2019_NDJF_T(A116*60,J116,I116,"","")</f>
        <v>39.556070704958216</v>
      </c>
      <c r="L116">
        <f t="shared" si="19"/>
        <v>7.584170890927143E-2</v>
      </c>
    </row>
    <row r="117" spans="1:12" x14ac:dyDescent="0.3">
      <c r="A117">
        <v>192</v>
      </c>
      <c r="B117">
        <f t="shared" si="27"/>
        <v>2.4459262493484173E-2</v>
      </c>
      <c r="C117">
        <f t="shared" si="24"/>
        <v>2.4459262493484173E-2</v>
      </c>
      <c r="D117" t="s">
        <v>23</v>
      </c>
      <c r="E117" t="s">
        <v>19</v>
      </c>
      <c r="F117">
        <v>1</v>
      </c>
      <c r="G117">
        <f t="shared" si="28"/>
        <v>120</v>
      </c>
      <c r="I117">
        <v>2014</v>
      </c>
      <c r="J117">
        <f t="shared" si="29"/>
        <v>122.5</v>
      </c>
      <c r="K117" cm="1">
        <f t="array" ref="K117">STOWA2019_NDJF_T(A117*60,J117,I117,"","")</f>
        <v>58.385698020759285</v>
      </c>
      <c r="L117">
        <f t="shared" si="19"/>
        <v>5.1382446415787257E-2</v>
      </c>
    </row>
    <row r="118" spans="1:12" x14ac:dyDescent="0.3">
      <c r="A118">
        <v>192</v>
      </c>
      <c r="B118">
        <f t="shared" si="27"/>
        <v>1.6817543551586614E-2</v>
      </c>
      <c r="C118">
        <f t="shared" si="24"/>
        <v>1.6817543551586614E-2</v>
      </c>
      <c r="D118" t="s">
        <v>23</v>
      </c>
      <c r="E118" t="s">
        <v>19</v>
      </c>
      <c r="F118">
        <v>1</v>
      </c>
      <c r="G118">
        <f t="shared" si="28"/>
        <v>125</v>
      </c>
      <c r="I118">
        <v>2014</v>
      </c>
      <c r="J118">
        <f t="shared" si="29"/>
        <v>127.5</v>
      </c>
      <c r="K118" cm="1">
        <f t="array" ref="K118">STOWA2019_NDJF_T(A118*60,J118,I118,"","")</f>
        <v>86.793242607579913</v>
      </c>
      <c r="L118">
        <f t="shared" si="19"/>
        <v>3.4564902864200643E-2</v>
      </c>
    </row>
    <row r="119" spans="1:12" x14ac:dyDescent="0.3">
      <c r="A119">
        <v>192</v>
      </c>
      <c r="B119">
        <f t="shared" si="27"/>
        <v>1.1483715282736878E-2</v>
      </c>
      <c r="C119">
        <f t="shared" si="24"/>
        <v>1.1483715282736878E-2</v>
      </c>
      <c r="D119" t="s">
        <v>23</v>
      </c>
      <c r="E119" t="s">
        <v>19</v>
      </c>
      <c r="F119">
        <v>1</v>
      </c>
      <c r="G119">
        <f t="shared" si="28"/>
        <v>130</v>
      </c>
      <c r="I119">
        <v>2014</v>
      </c>
      <c r="J119">
        <f t="shared" si="29"/>
        <v>132.5</v>
      </c>
      <c r="K119" cm="1">
        <f t="array" ref="K119">STOWA2019_NDJF_T(A119*60,J119,I119,"","")</f>
        <v>129.97598106300498</v>
      </c>
      <c r="L119">
        <f t="shared" si="19"/>
        <v>2.3081187581463766E-2</v>
      </c>
    </row>
    <row r="120" spans="1:12" x14ac:dyDescent="0.3">
      <c r="A120">
        <v>192</v>
      </c>
      <c r="B120">
        <f t="shared" si="27"/>
        <v>7.7857436408628605E-3</v>
      </c>
      <c r="C120">
        <f t="shared" si="24"/>
        <v>7.7857436408628605E-3</v>
      </c>
      <c r="D120" t="s">
        <v>23</v>
      </c>
      <c r="E120" t="s">
        <v>19</v>
      </c>
      <c r="F120">
        <v>1</v>
      </c>
      <c r="G120">
        <f t="shared" si="28"/>
        <v>135</v>
      </c>
      <c r="I120">
        <v>2014</v>
      </c>
      <c r="J120">
        <f t="shared" si="29"/>
        <v>137.5</v>
      </c>
      <c r="K120" cm="1">
        <f t="array" ref="K120">STOWA2019_NDJF_T(A120*60,J120,I120,"","")</f>
        <v>196.13683732556902</v>
      </c>
      <c r="L120">
        <f t="shared" si="19"/>
        <v>1.5295443940600905E-2</v>
      </c>
    </row>
    <row r="121" spans="1:12" x14ac:dyDescent="0.3">
      <c r="A121">
        <v>192</v>
      </c>
      <c r="B121">
        <f t="shared" si="27"/>
        <v>5.2395873459093936E-3</v>
      </c>
      <c r="C121">
        <f t="shared" si="24"/>
        <v>5.2395873459093936E-3</v>
      </c>
      <c r="D121" t="s">
        <v>23</v>
      </c>
      <c r="E121" t="s">
        <v>19</v>
      </c>
      <c r="F121">
        <v>1</v>
      </c>
      <c r="G121">
        <f t="shared" si="28"/>
        <v>140</v>
      </c>
      <c r="I121">
        <v>2014</v>
      </c>
      <c r="J121">
        <f t="shared" si="29"/>
        <v>142.5</v>
      </c>
      <c r="K121" cm="1">
        <f t="array" ref="K121">STOWA2019_NDJF_T(A121*60,J121,I121,"","")</f>
        <v>298.33361004608008</v>
      </c>
      <c r="L121">
        <f t="shared" si="19"/>
        <v>1.0055856594691511E-2</v>
      </c>
    </row>
    <row r="122" spans="1:12" x14ac:dyDescent="0.3">
      <c r="A122">
        <v>192</v>
      </c>
      <c r="B122">
        <f t="shared" si="27"/>
        <v>3.4990717233978411E-3</v>
      </c>
      <c r="C122">
        <f t="shared" si="24"/>
        <v>3.4990717233978411E-3</v>
      </c>
      <c r="D122" t="s">
        <v>23</v>
      </c>
      <c r="E122" t="s">
        <v>19</v>
      </c>
      <c r="F122">
        <v>1</v>
      </c>
      <c r="G122">
        <f t="shared" si="28"/>
        <v>145</v>
      </c>
      <c r="I122">
        <v>2014</v>
      </c>
      <c r="J122">
        <f t="shared" si="29"/>
        <v>147.5</v>
      </c>
      <c r="K122" cm="1">
        <f t="array" ref="K122">STOWA2019_NDJF_T(A122*60,J122,I122,"","")</f>
        <v>457.5413192423519</v>
      </c>
      <c r="L122">
        <f t="shared" si="19"/>
        <v>6.5567848712936704E-3</v>
      </c>
    </row>
    <row r="123" spans="1:12" x14ac:dyDescent="0.3">
      <c r="A123">
        <v>192</v>
      </c>
      <c r="B123">
        <f t="shared" si="27"/>
        <v>2.3180477750153628E-3</v>
      </c>
      <c r="C123">
        <f t="shared" si="24"/>
        <v>2.3180477750153628E-3</v>
      </c>
      <c r="D123" t="s">
        <v>23</v>
      </c>
      <c r="E123" t="s">
        <v>19</v>
      </c>
      <c r="F123">
        <v>1</v>
      </c>
      <c r="G123">
        <f t="shared" si="28"/>
        <v>150</v>
      </c>
      <c r="I123">
        <v>2014</v>
      </c>
      <c r="J123">
        <f t="shared" si="29"/>
        <v>152.5</v>
      </c>
      <c r="K123" cm="1">
        <f t="array" ref="K123">STOWA2019_NDJF_T(A123*60,J123,I123,"","")</f>
        <v>707.75797881733638</v>
      </c>
      <c r="L123">
        <f t="shared" si="19"/>
        <v>4.2387370962783076E-3</v>
      </c>
    </row>
    <row r="124" spans="1:12" x14ac:dyDescent="0.3">
      <c r="A124">
        <v>192</v>
      </c>
      <c r="B124">
        <f t="shared" si="27"/>
        <v>1.5229042319736515E-3</v>
      </c>
      <c r="C124">
        <f t="shared" si="24"/>
        <v>1.5229042319736515E-3</v>
      </c>
      <c r="D124" t="s">
        <v>23</v>
      </c>
      <c r="E124" t="s">
        <v>19</v>
      </c>
      <c r="F124">
        <v>1</v>
      </c>
      <c r="G124">
        <f t="shared" si="28"/>
        <v>155</v>
      </c>
      <c r="I124">
        <v>2014</v>
      </c>
      <c r="J124">
        <f t="shared" si="29"/>
        <v>157.5</v>
      </c>
      <c r="K124" cm="1">
        <f t="array" ref="K124">STOWA2019_NDJF_T(A124*60,J124,I124,"","")</f>
        <v>1104.6335138771879</v>
      </c>
      <c r="L124">
        <f t="shared" si="19"/>
        <v>2.7158328643046561E-3</v>
      </c>
    </row>
    <row r="125" spans="1:12" x14ac:dyDescent="0.3">
      <c r="A125">
        <v>192</v>
      </c>
      <c r="B125" s="1">
        <f>L124</f>
        <v>2.7158328643046561E-3</v>
      </c>
      <c r="C125">
        <f t="shared" si="24"/>
        <v>2.7158328643046561E-3</v>
      </c>
      <c r="D125" t="s">
        <v>23</v>
      </c>
      <c r="E125" t="s">
        <v>19</v>
      </c>
      <c r="F125">
        <v>1</v>
      </c>
      <c r="G125">
        <f t="shared" si="28"/>
        <v>160</v>
      </c>
      <c r="I125">
        <v>2014</v>
      </c>
      <c r="J125">
        <f>AVERAGE(G125:G126)</f>
        <v>85</v>
      </c>
      <c r="K125" cm="1">
        <f t="array" ref="K125">STOWA2019_NDJF_T(A125*60,J125,I125,"","")</f>
        <v>3.6836217751362388</v>
      </c>
      <c r="L125">
        <f t="shared" si="19"/>
        <v>0.81441586110969411</v>
      </c>
    </row>
    <row r="126" spans="1:12" x14ac:dyDescent="0.3">
      <c r="A126">
        <v>216</v>
      </c>
      <c r="B126" s="1">
        <f>365.25*24/A126 - L126</f>
        <v>-22.186329511353811</v>
      </c>
      <c r="C126">
        <f>B126</f>
        <v>-22.186329511353811</v>
      </c>
      <c r="D126" t="s">
        <v>23</v>
      </c>
      <c r="E126" t="s">
        <v>19</v>
      </c>
      <c r="F126">
        <v>1</v>
      </c>
      <c r="G126">
        <v>10</v>
      </c>
      <c r="I126">
        <v>2014</v>
      </c>
      <c r="J126">
        <f>AVERAGE(G126:G128)</f>
        <v>15</v>
      </c>
      <c r="K126" cm="1">
        <f t="array" ref="K126">STOWA2019_NDJF_T(A126*60,J126,I126,"","")</f>
        <v>4.7793788655882859E-2</v>
      </c>
      <c r="L126">
        <f t="shared" si="19"/>
        <v>62.769662844687147</v>
      </c>
    </row>
    <row r="127" spans="1:12" x14ac:dyDescent="0.3">
      <c r="A127">
        <v>216</v>
      </c>
      <c r="B127">
        <f t="shared" ref="B127:B131" si="30">L126-L127</f>
        <v>7.5062465100004658</v>
      </c>
      <c r="C127">
        <f t="shared" ref="C127:C156" si="31">B127</f>
        <v>7.5062465100004658</v>
      </c>
      <c r="D127" t="s">
        <v>23</v>
      </c>
      <c r="E127" t="s">
        <v>19</v>
      </c>
      <c r="F127">
        <v>1</v>
      </c>
      <c r="G127">
        <f t="shared" ref="G127:G131" si="32">G126+5</f>
        <v>15</v>
      </c>
      <c r="I127">
        <v>2014</v>
      </c>
      <c r="J127">
        <f t="shared" ref="J127:J131" si="33">AVERAGE(G127:G128)</f>
        <v>17.5</v>
      </c>
      <c r="K127" cm="1">
        <f t="array" ref="K127">STOWA2019_NDJF_T(A127*60,J127,I127,"","")</f>
        <v>5.42854604179984E-2</v>
      </c>
      <c r="L127">
        <f t="shared" si="19"/>
        <v>55.263416334686681</v>
      </c>
    </row>
    <row r="128" spans="1:12" x14ac:dyDescent="0.3">
      <c r="A128">
        <v>216</v>
      </c>
      <c r="B128">
        <f t="shared" si="30"/>
        <v>12.560134445627995</v>
      </c>
      <c r="C128">
        <f t="shared" si="31"/>
        <v>12.560134445627995</v>
      </c>
      <c r="D128" t="s">
        <v>23</v>
      </c>
      <c r="E128" t="s">
        <v>19</v>
      </c>
      <c r="F128">
        <v>1</v>
      </c>
      <c r="G128">
        <f t="shared" si="32"/>
        <v>20</v>
      </c>
      <c r="I128">
        <v>2014</v>
      </c>
      <c r="J128">
        <f t="shared" si="33"/>
        <v>22.5</v>
      </c>
      <c r="K128" cm="1">
        <f t="array" ref="K128">STOWA2019_NDJF_T(A128*60,J128,I128,"","")</f>
        <v>7.0252211710422466E-2</v>
      </c>
      <c r="L128">
        <f t="shared" si="19"/>
        <v>42.703281889058687</v>
      </c>
    </row>
    <row r="129" spans="1:12" x14ac:dyDescent="0.3">
      <c r="A129">
        <v>216</v>
      </c>
      <c r="B129">
        <f t="shared" si="30"/>
        <v>9.8458024393805488</v>
      </c>
      <c r="C129">
        <f t="shared" si="31"/>
        <v>9.8458024393805488</v>
      </c>
      <c r="D129" t="s">
        <v>23</v>
      </c>
      <c r="E129" t="s">
        <v>19</v>
      </c>
      <c r="F129">
        <v>1</v>
      </c>
      <c r="G129">
        <f t="shared" si="32"/>
        <v>25</v>
      </c>
      <c r="I129">
        <v>2014</v>
      </c>
      <c r="J129">
        <f t="shared" si="33"/>
        <v>27.5</v>
      </c>
      <c r="K129" cm="1">
        <f t="array" ref="K129">STOWA2019_NDJF_T(A129*60,J129,I129,"","")</f>
        <v>9.1303412502914516E-2</v>
      </c>
      <c r="L129">
        <f t="shared" si="19"/>
        <v>32.857479449678138</v>
      </c>
    </row>
    <row r="130" spans="1:12" x14ac:dyDescent="0.3">
      <c r="A130">
        <v>216</v>
      </c>
      <c r="B130">
        <f t="shared" si="30"/>
        <v>7.6867418255857771</v>
      </c>
      <c r="C130">
        <f t="shared" si="31"/>
        <v>7.6867418255857771</v>
      </c>
      <c r="D130" t="s">
        <v>23</v>
      </c>
      <c r="E130" t="s">
        <v>19</v>
      </c>
      <c r="F130">
        <v>1</v>
      </c>
      <c r="G130">
        <f t="shared" si="32"/>
        <v>30</v>
      </c>
      <c r="I130">
        <v>2014</v>
      </c>
      <c r="J130">
        <f t="shared" si="33"/>
        <v>32.5</v>
      </c>
      <c r="K130" cm="1">
        <f t="array" ref="K130">STOWA2019_NDJF_T(A130*60,J130,I130,"","")</f>
        <v>0.11918601849508483</v>
      </c>
      <c r="L130">
        <f t="shared" si="19"/>
        <v>25.170737624092361</v>
      </c>
    </row>
    <row r="131" spans="1:12" x14ac:dyDescent="0.3">
      <c r="A131">
        <v>216</v>
      </c>
      <c r="B131">
        <f t="shared" si="30"/>
        <v>5.97602353854694</v>
      </c>
      <c r="C131">
        <f t="shared" si="31"/>
        <v>5.97602353854694</v>
      </c>
      <c r="D131" t="s">
        <v>23</v>
      </c>
      <c r="E131" t="s">
        <v>19</v>
      </c>
      <c r="F131">
        <v>1</v>
      </c>
      <c r="G131">
        <f t="shared" si="32"/>
        <v>35</v>
      </c>
      <c r="I131">
        <v>2014</v>
      </c>
      <c r="J131">
        <f t="shared" si="33"/>
        <v>37.5</v>
      </c>
      <c r="K131" cm="1">
        <f t="array" ref="K131">STOWA2019_NDJF_T(A131*60,J131,I131,"","")</f>
        <v>0.15629302872810957</v>
      </c>
      <c r="L131">
        <f t="shared" ref="L131:L156" si="34">1/K131 * 12/4</f>
        <v>19.194714085545421</v>
      </c>
    </row>
    <row r="132" spans="1:12" x14ac:dyDescent="0.3">
      <c r="A132">
        <v>216</v>
      </c>
      <c r="B132">
        <f>L131-L132</f>
        <v>4.6259470281044752</v>
      </c>
      <c r="C132">
        <f t="shared" si="31"/>
        <v>4.6259470281044752</v>
      </c>
      <c r="D132" t="s">
        <v>23</v>
      </c>
      <c r="E132" t="s">
        <v>19</v>
      </c>
      <c r="F132">
        <v>1</v>
      </c>
      <c r="G132">
        <f>G131+5</f>
        <v>40</v>
      </c>
      <c r="I132">
        <v>2014</v>
      </c>
      <c r="J132">
        <f>AVERAGE(G132:G133)</f>
        <v>42.5</v>
      </c>
      <c r="K132" cm="1">
        <f t="array" ref="K132">STOWA2019_NDJF_T(A132*60,J132,I132,"","")</f>
        <v>0.20591996482418604</v>
      </c>
      <c r="L132">
        <f t="shared" si="34"/>
        <v>14.568767057440946</v>
      </c>
    </row>
    <row r="133" spans="1:12" x14ac:dyDescent="0.3">
      <c r="A133">
        <v>216</v>
      </c>
      <c r="B133">
        <f t="shared" ref="B133:B155" si="35">L132-L133</f>
        <v>3.5648537890669978</v>
      </c>
      <c r="C133">
        <f t="shared" si="31"/>
        <v>3.5648537890669978</v>
      </c>
      <c r="D133" t="s">
        <v>23</v>
      </c>
      <c r="E133" t="s">
        <v>19</v>
      </c>
      <c r="F133">
        <v>1</v>
      </c>
      <c r="G133">
        <f t="shared" ref="G133:G156" si="36">G132+5</f>
        <v>45</v>
      </c>
      <c r="I133">
        <v>2014</v>
      </c>
      <c r="J133">
        <f t="shared" ref="J133:J155" si="37">AVERAGE(G133:G134)</f>
        <v>47.5</v>
      </c>
      <c r="K133" cm="1">
        <f t="array" ref="K133">STOWA2019_NDJF_T(A133*60,J133,I133,"","")</f>
        <v>0.27263028404833212</v>
      </c>
      <c r="L133">
        <f t="shared" si="34"/>
        <v>11.003913268373948</v>
      </c>
    </row>
    <row r="134" spans="1:12" x14ac:dyDescent="0.3">
      <c r="A134">
        <v>216</v>
      </c>
      <c r="B134">
        <f t="shared" si="35"/>
        <v>2.7344251505280202</v>
      </c>
      <c r="C134">
        <f t="shared" si="31"/>
        <v>2.7344251505280202</v>
      </c>
      <c r="D134" t="s">
        <v>23</v>
      </c>
      <c r="E134" t="s">
        <v>19</v>
      </c>
      <c r="F134">
        <v>1</v>
      </c>
      <c r="G134">
        <f t="shared" si="36"/>
        <v>50</v>
      </c>
      <c r="I134">
        <v>2014</v>
      </c>
      <c r="J134">
        <f t="shared" si="37"/>
        <v>52.5</v>
      </c>
      <c r="K134" cm="1">
        <f t="array" ref="K134">STOWA2019_NDJF_T(A134*60,J134,I134,"","")</f>
        <v>0.36277940753380672</v>
      </c>
      <c r="L134">
        <f t="shared" si="34"/>
        <v>8.2694881178459276</v>
      </c>
    </row>
    <row r="135" spans="1:12" x14ac:dyDescent="0.3">
      <c r="A135">
        <v>216</v>
      </c>
      <c r="B135">
        <f t="shared" si="35"/>
        <v>2.0874165138883836</v>
      </c>
      <c r="C135">
        <f t="shared" si="31"/>
        <v>2.0874165138883836</v>
      </c>
      <c r="D135" t="s">
        <v>23</v>
      </c>
      <c r="E135" t="s">
        <v>19</v>
      </c>
      <c r="F135">
        <v>1</v>
      </c>
      <c r="G135">
        <f t="shared" si="36"/>
        <v>55</v>
      </c>
      <c r="I135">
        <v>2014</v>
      </c>
      <c r="J135">
        <f t="shared" si="37"/>
        <v>57.5</v>
      </c>
      <c r="K135" cm="1">
        <f t="array" ref="K135">STOWA2019_NDJF_T(A135*60,J135,I135,"","")</f>
        <v>0.48527422394776304</v>
      </c>
      <c r="L135">
        <f t="shared" si="34"/>
        <v>6.1820716039575441</v>
      </c>
    </row>
    <row r="136" spans="1:12" x14ac:dyDescent="0.3">
      <c r="A136">
        <v>216</v>
      </c>
      <c r="B136">
        <f t="shared" si="35"/>
        <v>1.5855469123189074</v>
      </c>
      <c r="C136">
        <f t="shared" si="31"/>
        <v>1.5855469123189074</v>
      </c>
      <c r="D136" t="s">
        <v>23</v>
      </c>
      <c r="E136" t="s">
        <v>19</v>
      </c>
      <c r="F136">
        <v>1</v>
      </c>
      <c r="G136">
        <f t="shared" si="36"/>
        <v>60</v>
      </c>
      <c r="I136">
        <v>2014</v>
      </c>
      <c r="J136">
        <f t="shared" si="37"/>
        <v>62.5</v>
      </c>
      <c r="K136" cm="1">
        <f t="array" ref="K136">STOWA2019_NDJF_T(A136*60,J136,I136,"","")</f>
        <v>0.65266700415145951</v>
      </c>
      <c r="L136">
        <f t="shared" si="34"/>
        <v>4.5965246916386366</v>
      </c>
    </row>
    <row r="137" spans="1:12" x14ac:dyDescent="0.3">
      <c r="A137">
        <v>216</v>
      </c>
      <c r="B137">
        <f t="shared" si="35"/>
        <v>1.1980833918653566</v>
      </c>
      <c r="C137">
        <f t="shared" si="31"/>
        <v>1.1980833918653566</v>
      </c>
      <c r="D137" t="s">
        <v>23</v>
      </c>
      <c r="E137" t="s">
        <v>19</v>
      </c>
      <c r="F137">
        <v>1</v>
      </c>
      <c r="G137">
        <f t="shared" si="36"/>
        <v>65</v>
      </c>
      <c r="I137">
        <v>2014</v>
      </c>
      <c r="J137">
        <f t="shared" si="37"/>
        <v>67.5</v>
      </c>
      <c r="K137" cm="1">
        <f t="array" ref="K137">STOWA2019_NDJF_T(A137*60,J137,I137,"","")</f>
        <v>0.88275763368345916</v>
      </c>
      <c r="L137">
        <f t="shared" si="34"/>
        <v>3.39844129977328</v>
      </c>
    </row>
    <row r="138" spans="1:12" x14ac:dyDescent="0.3">
      <c r="A138">
        <v>216</v>
      </c>
      <c r="B138">
        <f t="shared" si="35"/>
        <v>0.90031353294330962</v>
      </c>
      <c r="C138">
        <f t="shared" si="31"/>
        <v>0.90031353294330962</v>
      </c>
      <c r="D138" t="s">
        <v>23</v>
      </c>
      <c r="E138" t="s">
        <v>19</v>
      </c>
      <c r="F138">
        <v>1</v>
      </c>
      <c r="G138">
        <f t="shared" si="36"/>
        <v>70</v>
      </c>
      <c r="I138">
        <v>2014</v>
      </c>
      <c r="J138">
        <f t="shared" si="37"/>
        <v>72.5</v>
      </c>
      <c r="K138" cm="1">
        <f t="array" ref="K138">STOWA2019_NDJF_T(A138*60,J138,I138,"","")</f>
        <v>1.2008993454353563</v>
      </c>
      <c r="L138">
        <f t="shared" si="34"/>
        <v>2.4981277668299704</v>
      </c>
    </row>
    <row r="139" spans="1:12" x14ac:dyDescent="0.3">
      <c r="A139">
        <v>216</v>
      </c>
      <c r="B139">
        <f t="shared" si="35"/>
        <v>0.6730732455875712</v>
      </c>
      <c r="C139">
        <f t="shared" si="31"/>
        <v>0.6730732455875712</v>
      </c>
      <c r="D139" t="s">
        <v>23</v>
      </c>
      <c r="E139" t="s">
        <v>19</v>
      </c>
      <c r="F139">
        <v>1</v>
      </c>
      <c r="G139">
        <f t="shared" si="36"/>
        <v>75</v>
      </c>
      <c r="I139">
        <v>2014</v>
      </c>
      <c r="J139">
        <f t="shared" si="37"/>
        <v>77.5</v>
      </c>
      <c r="K139" cm="1">
        <f t="array" ref="K139">STOWA2019_NDJF_T(A139*60,J139,I139,"","")</f>
        <v>1.6437865088861898</v>
      </c>
      <c r="L139">
        <f t="shared" si="34"/>
        <v>1.8250545212423992</v>
      </c>
    </row>
    <row r="140" spans="1:12" x14ac:dyDescent="0.3">
      <c r="A140">
        <v>216</v>
      </c>
      <c r="B140">
        <f t="shared" si="35"/>
        <v>0.50012913076712584</v>
      </c>
      <c r="C140">
        <f t="shared" si="31"/>
        <v>0.50012913076712584</v>
      </c>
      <c r="D140" t="s">
        <v>23</v>
      </c>
      <c r="E140" t="s">
        <v>19</v>
      </c>
      <c r="F140">
        <v>1</v>
      </c>
      <c r="G140">
        <f t="shared" si="36"/>
        <v>80</v>
      </c>
      <c r="I140">
        <v>2014</v>
      </c>
      <c r="J140">
        <f t="shared" si="37"/>
        <v>82.5</v>
      </c>
      <c r="K140" cm="1">
        <f t="array" ref="K140">STOWA2019_NDJF_T(A140*60,J140,I140,"","")</f>
        <v>2.2642784428214853</v>
      </c>
      <c r="L140">
        <f t="shared" si="34"/>
        <v>1.3249253904752734</v>
      </c>
    </row>
    <row r="141" spans="1:12" x14ac:dyDescent="0.3">
      <c r="A141">
        <v>216</v>
      </c>
      <c r="B141">
        <f t="shared" si="35"/>
        <v>0.3694088245074878</v>
      </c>
      <c r="C141">
        <f t="shared" si="31"/>
        <v>0.3694088245074878</v>
      </c>
      <c r="D141" t="s">
        <v>23</v>
      </c>
      <c r="E141" t="s">
        <v>19</v>
      </c>
      <c r="F141">
        <v>1</v>
      </c>
      <c r="G141">
        <f t="shared" si="36"/>
        <v>85</v>
      </c>
      <c r="I141">
        <v>2014</v>
      </c>
      <c r="J141">
        <f t="shared" si="37"/>
        <v>87.5</v>
      </c>
      <c r="K141" cm="1">
        <f t="array" ref="K141">STOWA2019_NDJF_T(A141*60,J141,I141,"","")</f>
        <v>3.1396629915688372</v>
      </c>
      <c r="L141">
        <f t="shared" si="34"/>
        <v>0.95551656596778556</v>
      </c>
    </row>
    <row r="142" spans="1:12" x14ac:dyDescent="0.3">
      <c r="A142">
        <v>216</v>
      </c>
      <c r="B142">
        <f t="shared" si="35"/>
        <v>0.27113157589363779</v>
      </c>
      <c r="C142">
        <f t="shared" si="31"/>
        <v>0.27113157589363779</v>
      </c>
      <c r="D142" t="s">
        <v>23</v>
      </c>
      <c r="E142" t="s">
        <v>19</v>
      </c>
      <c r="F142">
        <v>1</v>
      </c>
      <c r="G142">
        <f t="shared" si="36"/>
        <v>90</v>
      </c>
      <c r="I142">
        <v>2014</v>
      </c>
      <c r="J142">
        <f t="shared" si="37"/>
        <v>92.5</v>
      </c>
      <c r="K142" cm="1">
        <f t="array" ref="K142">STOWA2019_NDJF_T(A142*60,J142,I142,"","")</f>
        <v>4.3834976563044927</v>
      </c>
      <c r="L142">
        <f t="shared" si="34"/>
        <v>0.68438499007414777</v>
      </c>
    </row>
    <row r="143" spans="1:12" x14ac:dyDescent="0.3">
      <c r="A143">
        <v>216</v>
      </c>
      <c r="B143">
        <f t="shared" si="35"/>
        <v>0.19769393616277531</v>
      </c>
      <c r="C143">
        <f t="shared" si="31"/>
        <v>0.19769393616277531</v>
      </c>
      <c r="D143" t="s">
        <v>23</v>
      </c>
      <c r="E143" t="s">
        <v>19</v>
      </c>
      <c r="F143">
        <v>1</v>
      </c>
      <c r="G143">
        <f t="shared" si="36"/>
        <v>95</v>
      </c>
      <c r="I143">
        <v>2014</v>
      </c>
      <c r="J143">
        <f t="shared" si="37"/>
        <v>97.5</v>
      </c>
      <c r="K143" cm="1">
        <f t="array" ref="K143">STOWA2019_NDJF_T(A143*60,J143,I143,"","")</f>
        <v>6.1640746750736595</v>
      </c>
      <c r="L143">
        <f t="shared" si="34"/>
        <v>0.48669105391137246</v>
      </c>
    </row>
    <row r="144" spans="1:12" x14ac:dyDescent="0.3">
      <c r="A144">
        <v>216</v>
      </c>
      <c r="B144">
        <f t="shared" si="35"/>
        <v>0.14316950177253029</v>
      </c>
      <c r="C144">
        <f t="shared" si="31"/>
        <v>0.14316950177253029</v>
      </c>
      <c r="D144" t="s">
        <v>23</v>
      </c>
      <c r="E144" t="s">
        <v>19</v>
      </c>
      <c r="F144">
        <v>1</v>
      </c>
      <c r="G144">
        <f t="shared" si="36"/>
        <v>100</v>
      </c>
      <c r="I144">
        <v>2014</v>
      </c>
      <c r="J144">
        <f t="shared" si="37"/>
        <v>102.5</v>
      </c>
      <c r="K144" cm="1">
        <f t="array" ref="K144">STOWA2019_NDJF_T(A144*60,J144,I144,"","")</f>
        <v>8.7330765168046316</v>
      </c>
      <c r="L144">
        <f t="shared" si="34"/>
        <v>0.34352155213884217</v>
      </c>
    </row>
    <row r="145" spans="1:12" x14ac:dyDescent="0.3">
      <c r="A145">
        <v>216</v>
      </c>
      <c r="B145">
        <f t="shared" si="35"/>
        <v>0.1029413493782193</v>
      </c>
      <c r="C145">
        <f t="shared" si="31"/>
        <v>0.1029413493782193</v>
      </c>
      <c r="D145" t="s">
        <v>23</v>
      </c>
      <c r="E145" t="s">
        <v>19</v>
      </c>
      <c r="F145">
        <v>1</v>
      </c>
      <c r="G145">
        <f t="shared" si="36"/>
        <v>105</v>
      </c>
      <c r="I145">
        <v>2014</v>
      </c>
      <c r="J145">
        <f t="shared" si="37"/>
        <v>107.5</v>
      </c>
      <c r="K145" cm="1">
        <f t="array" ref="K145">STOWA2019_NDJF_T(A145*60,J145,I145,"","")</f>
        <v>12.469853984556652</v>
      </c>
      <c r="L145">
        <f t="shared" si="34"/>
        <v>0.24058020276062286</v>
      </c>
    </row>
    <row r="146" spans="1:12" x14ac:dyDescent="0.3">
      <c r="A146">
        <v>216</v>
      </c>
      <c r="B146">
        <f t="shared" si="35"/>
        <v>7.346528616400344E-2</v>
      </c>
      <c r="C146">
        <f t="shared" si="31"/>
        <v>7.346528616400344E-2</v>
      </c>
      <c r="D146" t="s">
        <v>23</v>
      </c>
      <c r="E146" t="s">
        <v>19</v>
      </c>
      <c r="F146">
        <v>1</v>
      </c>
      <c r="G146">
        <f t="shared" si="36"/>
        <v>110</v>
      </c>
      <c r="I146">
        <v>2014</v>
      </c>
      <c r="J146">
        <f t="shared" si="37"/>
        <v>112.5</v>
      </c>
      <c r="K146" cm="1">
        <f t="array" ref="K146">STOWA2019_NDJF_T(A146*60,J146,I146,"","")</f>
        <v>17.951718859671722</v>
      </c>
      <c r="L146">
        <f t="shared" si="34"/>
        <v>0.16711491659661942</v>
      </c>
    </row>
    <row r="147" spans="1:12" x14ac:dyDescent="0.3">
      <c r="A147">
        <v>216</v>
      </c>
      <c r="B147">
        <f t="shared" si="35"/>
        <v>5.2021591619624066E-2</v>
      </c>
      <c r="C147">
        <f t="shared" si="31"/>
        <v>5.2021591619624066E-2</v>
      </c>
      <c r="D147" t="s">
        <v>23</v>
      </c>
      <c r="E147" t="s">
        <v>19</v>
      </c>
      <c r="F147">
        <v>1</v>
      </c>
      <c r="G147">
        <f t="shared" si="36"/>
        <v>115</v>
      </c>
      <c r="I147">
        <v>2014</v>
      </c>
      <c r="J147">
        <f t="shared" si="37"/>
        <v>117.5</v>
      </c>
      <c r="K147" cm="1">
        <f t="array" ref="K147">STOWA2019_NDJF_T(A147*60,J147,I147,"","")</f>
        <v>26.065803560715921</v>
      </c>
      <c r="L147">
        <f t="shared" si="34"/>
        <v>0.11509332497699536</v>
      </c>
    </row>
    <row r="148" spans="1:12" x14ac:dyDescent="0.3">
      <c r="A148">
        <v>216</v>
      </c>
      <c r="B148">
        <f t="shared" si="35"/>
        <v>3.653560377532622E-2</v>
      </c>
      <c r="C148">
        <f t="shared" si="31"/>
        <v>3.653560377532622E-2</v>
      </c>
      <c r="D148" t="s">
        <v>23</v>
      </c>
      <c r="E148" t="s">
        <v>19</v>
      </c>
      <c r="F148">
        <v>1</v>
      </c>
      <c r="G148">
        <f t="shared" si="36"/>
        <v>120</v>
      </c>
      <c r="I148">
        <v>2014</v>
      </c>
      <c r="J148">
        <f t="shared" si="37"/>
        <v>122.5</v>
      </c>
      <c r="K148" cm="1">
        <f t="array" ref="K148">STOWA2019_NDJF_T(A148*60,J148,I148,"","")</f>
        <v>38.188480446098509</v>
      </c>
      <c r="L148">
        <f t="shared" si="34"/>
        <v>7.8557721201669137E-2</v>
      </c>
    </row>
    <row r="149" spans="1:12" x14ac:dyDescent="0.3">
      <c r="A149">
        <v>216</v>
      </c>
      <c r="B149">
        <f t="shared" si="35"/>
        <v>2.5440026150495454E-2</v>
      </c>
      <c r="C149">
        <f t="shared" si="31"/>
        <v>2.5440026150495454E-2</v>
      </c>
      <c r="D149" t="s">
        <v>23</v>
      </c>
      <c r="E149" t="s">
        <v>19</v>
      </c>
      <c r="F149">
        <v>1</v>
      </c>
      <c r="G149">
        <f t="shared" si="36"/>
        <v>125</v>
      </c>
      <c r="I149">
        <v>2014</v>
      </c>
      <c r="J149">
        <f t="shared" si="37"/>
        <v>127.5</v>
      </c>
      <c r="K149" cm="1">
        <f t="array" ref="K149">STOWA2019_NDJF_T(A149*60,J149,I149,"","")</f>
        <v>56.478354286830303</v>
      </c>
      <c r="L149">
        <f t="shared" si="34"/>
        <v>5.3117695051173683E-2</v>
      </c>
    </row>
    <row r="150" spans="1:12" x14ac:dyDescent="0.3">
      <c r="A150">
        <v>216</v>
      </c>
      <c r="B150">
        <f t="shared" si="35"/>
        <v>1.7555015622624279E-2</v>
      </c>
      <c r="C150">
        <f t="shared" si="31"/>
        <v>1.7555015622624279E-2</v>
      </c>
      <c r="D150" t="s">
        <v>23</v>
      </c>
      <c r="E150" t="s">
        <v>19</v>
      </c>
      <c r="F150">
        <v>1</v>
      </c>
      <c r="G150">
        <f t="shared" si="36"/>
        <v>130</v>
      </c>
      <c r="I150">
        <v>2014</v>
      </c>
      <c r="J150">
        <f t="shared" si="37"/>
        <v>132.5</v>
      </c>
      <c r="K150" cm="1">
        <f t="array" ref="K150">STOWA2019_NDJF_T(A150*60,J150,I150,"","")</f>
        <v>84.358098101900239</v>
      </c>
      <c r="L150">
        <f t="shared" si="34"/>
        <v>3.5562679428549404E-2</v>
      </c>
    </row>
    <row r="151" spans="1:12" x14ac:dyDescent="0.3">
      <c r="A151">
        <v>216</v>
      </c>
      <c r="B151">
        <f t="shared" si="35"/>
        <v>1.1999758084443448E-2</v>
      </c>
      <c r="C151">
        <f t="shared" si="31"/>
        <v>1.1999758084443448E-2</v>
      </c>
      <c r="D151" t="s">
        <v>23</v>
      </c>
      <c r="E151" t="s">
        <v>19</v>
      </c>
      <c r="F151">
        <v>1</v>
      </c>
      <c r="G151">
        <f t="shared" si="36"/>
        <v>135</v>
      </c>
      <c r="I151">
        <v>2014</v>
      </c>
      <c r="J151">
        <f t="shared" si="37"/>
        <v>137.5</v>
      </c>
      <c r="K151" cm="1">
        <f t="array" ref="K151">STOWA2019_NDJF_T(A151*60,J151,I151,"","")</f>
        <v>127.31867819736291</v>
      </c>
      <c r="L151">
        <f t="shared" si="34"/>
        <v>2.3562921344105956E-2</v>
      </c>
    </row>
    <row r="152" spans="1:12" x14ac:dyDescent="0.3">
      <c r="A152">
        <v>216</v>
      </c>
      <c r="B152">
        <f t="shared" si="35"/>
        <v>8.1208557081901972E-3</v>
      </c>
      <c r="C152">
        <f t="shared" si="31"/>
        <v>8.1208557081901972E-3</v>
      </c>
      <c r="D152" t="s">
        <v>23</v>
      </c>
      <c r="E152" t="s">
        <v>19</v>
      </c>
      <c r="F152">
        <v>1</v>
      </c>
      <c r="G152">
        <f t="shared" si="36"/>
        <v>140</v>
      </c>
      <c r="I152">
        <v>2014</v>
      </c>
      <c r="J152">
        <f t="shared" si="37"/>
        <v>142.5</v>
      </c>
      <c r="K152" cm="1">
        <f t="array" ref="K152">STOWA2019_NDJF_T(A152*60,J152,I152,"","")</f>
        <v>194.27452717352031</v>
      </c>
      <c r="L152">
        <f t="shared" si="34"/>
        <v>1.5442065635915759E-2</v>
      </c>
    </row>
    <row r="153" spans="1:12" x14ac:dyDescent="0.3">
      <c r="A153">
        <v>216</v>
      </c>
      <c r="B153">
        <f t="shared" si="35"/>
        <v>5.4383737750555786E-3</v>
      </c>
      <c r="C153">
        <f t="shared" si="31"/>
        <v>5.4383737750555786E-3</v>
      </c>
      <c r="D153" t="s">
        <v>23</v>
      </c>
      <c r="E153" t="s">
        <v>19</v>
      </c>
      <c r="F153">
        <v>1</v>
      </c>
      <c r="G153">
        <f t="shared" si="36"/>
        <v>145</v>
      </c>
      <c r="I153">
        <v>2014</v>
      </c>
      <c r="J153">
        <f t="shared" si="37"/>
        <v>147.5</v>
      </c>
      <c r="K153" cm="1">
        <f t="array" ref="K153">STOWA2019_NDJF_T(A153*60,J153,I153,"","")</f>
        <v>299.88928504861417</v>
      </c>
      <c r="L153">
        <f t="shared" si="34"/>
        <v>1.000369186086018E-2</v>
      </c>
    </row>
    <row r="154" spans="1:12" x14ac:dyDescent="0.3">
      <c r="A154">
        <v>216</v>
      </c>
      <c r="B154">
        <f t="shared" si="35"/>
        <v>3.6017130600234865E-3</v>
      </c>
      <c r="C154">
        <f t="shared" si="31"/>
        <v>3.6017130600234865E-3</v>
      </c>
      <c r="D154" t="s">
        <v>23</v>
      </c>
      <c r="E154" t="s">
        <v>19</v>
      </c>
      <c r="F154">
        <v>1</v>
      </c>
      <c r="G154">
        <f t="shared" si="36"/>
        <v>150</v>
      </c>
      <c r="I154">
        <v>2014</v>
      </c>
      <c r="J154">
        <f t="shared" si="37"/>
        <v>152.5</v>
      </c>
      <c r="K154" cm="1">
        <f t="array" ref="K154">STOWA2019_NDJF_T(A154*60,J154,I154,"","")</f>
        <v>468.60511309533246</v>
      </c>
      <c r="L154">
        <f t="shared" si="34"/>
        <v>6.4019788008366938E-3</v>
      </c>
    </row>
    <row r="155" spans="1:12" x14ac:dyDescent="0.3">
      <c r="A155">
        <v>216</v>
      </c>
      <c r="B155">
        <f t="shared" si="35"/>
        <v>2.3575436006499483E-3</v>
      </c>
      <c r="C155">
        <f t="shared" si="31"/>
        <v>2.3575436006499483E-3</v>
      </c>
      <c r="D155" t="s">
        <v>23</v>
      </c>
      <c r="E155" t="s">
        <v>19</v>
      </c>
      <c r="F155">
        <v>1</v>
      </c>
      <c r="G155">
        <f t="shared" si="36"/>
        <v>155</v>
      </c>
      <c r="I155">
        <v>2014</v>
      </c>
      <c r="J155">
        <f t="shared" si="37"/>
        <v>157.5</v>
      </c>
      <c r="K155" cm="1">
        <f t="array" ref="K155">STOWA2019_NDJF_T(A155*60,J155,I155,"","")</f>
        <v>741.75993717527717</v>
      </c>
      <c r="L155">
        <f t="shared" si="34"/>
        <v>4.0444352001867455E-3</v>
      </c>
    </row>
    <row r="156" spans="1:12" x14ac:dyDescent="0.3">
      <c r="A156">
        <v>216</v>
      </c>
      <c r="B156" s="1">
        <f>L155</f>
        <v>4.0444352001867455E-3</v>
      </c>
      <c r="C156">
        <f t="shared" si="31"/>
        <v>4.0444352001867455E-3</v>
      </c>
      <c r="D156" t="s">
        <v>23</v>
      </c>
      <c r="E156" t="s">
        <v>19</v>
      </c>
      <c r="F156">
        <v>1</v>
      </c>
      <c r="G156">
        <f t="shared" si="36"/>
        <v>160</v>
      </c>
      <c r="I156">
        <v>2014</v>
      </c>
      <c r="J156">
        <f>AVERAGE(G156:G157)</f>
        <v>160</v>
      </c>
      <c r="K156" cm="1">
        <f t="array" ref="K156">STOWA2019_NDJF_T(A156*60,J156,I156,"","")</f>
        <v>937.98901205523805</v>
      </c>
      <c r="L156">
        <f t="shared" si="34"/>
        <v>3.198331709053464E-3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C67C-E999-454C-82F0-213CF62BB3EF}">
  <sheetPr codeName="Blad3"/>
  <dimension ref="A1:L156"/>
  <sheetViews>
    <sheetView workbookViewId="0">
      <selection activeCell="L23" sqref="L23"/>
    </sheetView>
  </sheetViews>
  <sheetFormatPr defaultRowHeight="14.4" x14ac:dyDescent="0.3"/>
  <cols>
    <col min="2" max="2" width="12" bestFit="1" customWidth="1"/>
    <col min="4" max="4" width="24" bestFit="1" customWidth="1"/>
    <col min="8" max="8" width="12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342.69231711946793</v>
      </c>
      <c r="C2">
        <f>B2</f>
        <v>342.69231711946793</v>
      </c>
      <c r="D2" t="s">
        <v>24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STOWA2019_JAARROND_T(A2*60,J2,I2,"","center")</f>
        <v>6.6496191472509014E-2</v>
      </c>
      <c r="L2">
        <f>1/K2 * 12/8</f>
        <v>22.557682880532081</v>
      </c>
    </row>
    <row r="3" spans="1:12" x14ac:dyDescent="0.3">
      <c r="A3">
        <v>24</v>
      </c>
      <c r="B3">
        <f t="shared" ref="B3:B7" si="0">L2-L3</f>
        <v>6.6431380598066454</v>
      </c>
      <c r="C3">
        <f t="shared" ref="C3:C32" si="1">B3</f>
        <v>6.6431380598066454</v>
      </c>
      <c r="D3" t="s">
        <v>24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STOWA2019_JAARROND_T(A3*60,J3,I3,"","center")</f>
        <v>9.425340258846468E-2</v>
      </c>
      <c r="L3">
        <f t="shared" ref="L3:L66" si="4">1/K3 * 12/8</f>
        <v>15.914544820725435</v>
      </c>
    </row>
    <row r="4" spans="1:12" x14ac:dyDescent="0.3">
      <c r="A4">
        <v>24</v>
      </c>
      <c r="B4">
        <f t="shared" si="0"/>
        <v>7.6294530591039837</v>
      </c>
      <c r="C4">
        <f t="shared" si="1"/>
        <v>7.6294530591039837</v>
      </c>
      <c r="D4" t="s">
        <v>24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STOWA2019_JAARROND_T(A4*60,J4,I4,"","center")</f>
        <v>0.18104808530285235</v>
      </c>
      <c r="L4">
        <f t="shared" si="4"/>
        <v>8.2850917616214517</v>
      </c>
    </row>
    <row r="5" spans="1:12" x14ac:dyDescent="0.3">
      <c r="A5">
        <v>24</v>
      </c>
      <c r="B5">
        <f t="shared" si="0"/>
        <v>3.7380113103605872</v>
      </c>
      <c r="C5">
        <f t="shared" si="1"/>
        <v>3.7380113103605872</v>
      </c>
      <c r="D5" t="s">
        <v>24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STOWA2019_JAARROND_T(A5*60,J5,I5,"","center")</f>
        <v>0.32988200144645863</v>
      </c>
      <c r="L5">
        <f t="shared" si="4"/>
        <v>4.5470804512608645</v>
      </c>
    </row>
    <row r="6" spans="1:12" x14ac:dyDescent="0.3">
      <c r="A6">
        <v>24</v>
      </c>
      <c r="B6">
        <f t="shared" si="0"/>
        <v>1.9357764104042952</v>
      </c>
      <c r="C6">
        <f t="shared" si="1"/>
        <v>1.9357764104042952</v>
      </c>
      <c r="D6" t="s">
        <v>24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STOWA2019_JAARROND_T(A6*60,J6,I6,"","center")</f>
        <v>0.57442564195166057</v>
      </c>
      <c r="L6">
        <f t="shared" si="4"/>
        <v>2.6113040408565693</v>
      </c>
    </row>
    <row r="7" spans="1:12" x14ac:dyDescent="0.3">
      <c r="A7">
        <v>24</v>
      </c>
      <c r="B7">
        <f t="shared" si="0"/>
        <v>1.0518623347296696</v>
      </c>
      <c r="C7">
        <f t="shared" si="1"/>
        <v>1.0518623347296696</v>
      </c>
      <c r="D7" t="s">
        <v>24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STOWA2019_JAARROND_T(A7*60,J7,I7,"","center")</f>
        <v>0.9618827007810814</v>
      </c>
      <c r="L7">
        <f t="shared" si="4"/>
        <v>1.5594417061268997</v>
      </c>
    </row>
    <row r="8" spans="1:12" x14ac:dyDescent="0.3">
      <c r="A8">
        <v>24</v>
      </c>
      <c r="B8">
        <f>L7-L8</f>
        <v>0.59580548120363619</v>
      </c>
      <c r="C8">
        <f t="shared" si="1"/>
        <v>0.59580548120363619</v>
      </c>
      <c r="D8" t="s">
        <v>24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STOWA2019_JAARROND_T(A8*60,J8,I8,"","center")</f>
        <v>1.5566039976542478</v>
      </c>
      <c r="L8">
        <f t="shared" si="4"/>
        <v>0.96363622492326351</v>
      </c>
    </row>
    <row r="9" spans="1:12" x14ac:dyDescent="0.3">
      <c r="A9">
        <v>24</v>
      </c>
      <c r="B9">
        <f t="shared" ref="B9:B31" si="5">L8-L9</f>
        <v>0.35021012260149686</v>
      </c>
      <c r="C9">
        <f t="shared" si="1"/>
        <v>0.35021012260149686</v>
      </c>
      <c r="D9" t="s">
        <v>24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STOWA2019_JAARROND_T(A9*60,J9,I9,"","center")</f>
        <v>2.4452823157062036</v>
      </c>
      <c r="L9">
        <f t="shared" si="4"/>
        <v>0.61342610232176664</v>
      </c>
    </row>
    <row r="10" spans="1:12" x14ac:dyDescent="0.3">
      <c r="A10">
        <v>24</v>
      </c>
      <c r="B10">
        <f t="shared" si="5"/>
        <v>0.21248737755159341</v>
      </c>
      <c r="C10">
        <f t="shared" si="1"/>
        <v>0.21248737755159341</v>
      </c>
      <c r="D10" t="s">
        <v>24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STOWA2019_JAARROND_T(A10*60,J10,I10,"","center")</f>
        <v>3.7412200601471772</v>
      </c>
      <c r="L10">
        <f t="shared" si="4"/>
        <v>0.40093872477017323</v>
      </c>
    </row>
    <row r="11" spans="1:12" x14ac:dyDescent="0.3">
      <c r="A11">
        <v>24</v>
      </c>
      <c r="B11">
        <f t="shared" si="5"/>
        <v>0.13265749819152672</v>
      </c>
      <c r="C11">
        <f t="shared" si="1"/>
        <v>0.13265749819152672</v>
      </c>
      <c r="D11" t="s">
        <v>24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STOWA2019_JAARROND_T(A11*60,J11,I11,"","center")</f>
        <v>5.5911478381446704</v>
      </c>
      <c r="L11">
        <f t="shared" si="4"/>
        <v>0.2682812265786465</v>
      </c>
    </row>
    <row r="12" spans="1:12" x14ac:dyDescent="0.3">
      <c r="A12">
        <v>24</v>
      </c>
      <c r="B12">
        <f t="shared" si="5"/>
        <v>8.4947812110172716E-2</v>
      </c>
      <c r="C12">
        <f t="shared" si="1"/>
        <v>8.4947812110172716E-2</v>
      </c>
      <c r="D12" t="s">
        <v>24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STOWA2019_JAARROND_T(A12*60,J12,I12,"","center")</f>
        <v>8.1818145609126898</v>
      </c>
      <c r="L12">
        <f t="shared" si="4"/>
        <v>0.18333341446847379</v>
      </c>
    </row>
    <row r="13" spans="1:12" x14ac:dyDescent="0.3">
      <c r="A13">
        <v>24</v>
      </c>
      <c r="B13">
        <f t="shared" si="5"/>
        <v>5.56543658748411E-2</v>
      </c>
      <c r="C13">
        <f t="shared" si="1"/>
        <v>5.56543658748411E-2</v>
      </c>
      <c r="D13" t="s">
        <v>24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STOWA2019_JAARROND_T(A13*60,J13,I13,"","center")</f>
        <v>11.748207842416555</v>
      </c>
      <c r="L13">
        <f t="shared" si="4"/>
        <v>0.12767904859363269</v>
      </c>
    </row>
    <row r="14" spans="1:12" x14ac:dyDescent="0.3">
      <c r="A14">
        <v>24</v>
      </c>
      <c r="B14">
        <f t="shared" si="5"/>
        <v>3.722127012776065E-2</v>
      </c>
      <c r="C14">
        <f t="shared" si="1"/>
        <v>3.722127012776065E-2</v>
      </c>
      <c r="D14" t="s">
        <v>24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STOWA2019_JAARROND_T(A14*60,J14,I14,"","center")</f>
        <v>16.582321890271945</v>
      </c>
      <c r="L14">
        <f t="shared" si="4"/>
        <v>9.0457778465872038E-2</v>
      </c>
    </row>
    <row r="15" spans="1:12" x14ac:dyDescent="0.3">
      <c r="A15">
        <v>24</v>
      </c>
      <c r="B15">
        <f t="shared" si="5"/>
        <v>2.5362826879482672E-2</v>
      </c>
      <c r="C15">
        <f t="shared" si="1"/>
        <v>2.5362826879482672E-2</v>
      </c>
      <c r="D15" t="s">
        <v>24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STOWA2019_JAARROND_T(A15*60,J15,I15,"","center")</f>
        <v>23.043261626968217</v>
      </c>
      <c r="L15">
        <f t="shared" si="4"/>
        <v>6.5094951586389366E-2</v>
      </c>
    </row>
    <row r="16" spans="1:12" x14ac:dyDescent="0.3">
      <c r="A16">
        <v>24</v>
      </c>
      <c r="B16">
        <f t="shared" si="5"/>
        <v>1.7579180518257687E-2</v>
      </c>
      <c r="C16">
        <f t="shared" si="1"/>
        <v>1.7579180518257687E-2</v>
      </c>
      <c r="D16" t="s">
        <v>24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STOWA2019_JAARROND_T(A16*60,J16,I16,"","center")</f>
        <v>31.568465927853463</v>
      </c>
      <c r="L16">
        <f t="shared" si="4"/>
        <v>4.7515771068131679E-2</v>
      </c>
    </row>
    <row r="17" spans="1:12" x14ac:dyDescent="0.3">
      <c r="A17">
        <v>24</v>
      </c>
      <c r="B17">
        <f t="shared" si="5"/>
        <v>1.2375276966397411E-2</v>
      </c>
      <c r="C17">
        <f t="shared" si="1"/>
        <v>1.2375276966397411E-2</v>
      </c>
      <c r="D17" t="s">
        <v>24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STOWA2019_JAARROND_T(A17*60,J17,I17,"","center")</f>
        <v>42.68579706527153</v>
      </c>
      <c r="L17">
        <f t="shared" si="4"/>
        <v>3.5140494101734268E-2</v>
      </c>
    </row>
    <row r="18" spans="1:12" x14ac:dyDescent="0.3">
      <c r="A18">
        <v>24</v>
      </c>
      <c r="B18">
        <f t="shared" si="5"/>
        <v>8.8379813782567124E-3</v>
      </c>
      <c r="C18">
        <f t="shared" si="1"/>
        <v>8.8379813782567124E-3</v>
      </c>
      <c r="D18" t="s">
        <v>24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STOWA2019_JAARROND_T(A18*60,J18,I18,"","center")</f>
        <v>57.02877195687482</v>
      </c>
      <c r="L18">
        <f t="shared" si="4"/>
        <v>2.6302512723477556E-2</v>
      </c>
    </row>
    <row r="19" spans="1:12" x14ac:dyDescent="0.3">
      <c r="A19">
        <v>24</v>
      </c>
      <c r="B19">
        <f t="shared" si="5"/>
        <v>6.3951631678898398E-3</v>
      </c>
      <c r="C19">
        <f t="shared" si="1"/>
        <v>6.3951631678898398E-3</v>
      </c>
      <c r="D19" t="s">
        <v>24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STOWA2019_JAARROND_T(A19*60,J19,I19,"","center")</f>
        <v>75.349056177042456</v>
      </c>
      <c r="L19">
        <f t="shared" si="4"/>
        <v>1.9907349555587716E-2</v>
      </c>
    </row>
    <row r="20" spans="1:12" x14ac:dyDescent="0.3">
      <c r="A20">
        <v>24</v>
      </c>
      <c r="B20">
        <f t="shared" si="5"/>
        <v>4.6844761396691546E-3</v>
      </c>
      <c r="C20">
        <f t="shared" si="1"/>
        <v>4.6844761396691546E-3</v>
      </c>
      <c r="D20" t="s">
        <v>24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STOWA2019_JAARROND_T(A20*60,J20,I20,"","center")</f>
        <v>98.535930702245068</v>
      </c>
      <c r="L20">
        <f t="shared" si="4"/>
        <v>1.5222873415918561E-2</v>
      </c>
    </row>
    <row r="21" spans="1:12" x14ac:dyDescent="0.3">
      <c r="A21">
        <v>24</v>
      </c>
      <c r="B21">
        <f t="shared" si="5"/>
        <v>3.470413017217143E-3</v>
      </c>
      <c r="C21">
        <f t="shared" si="1"/>
        <v>3.470413017217143E-3</v>
      </c>
      <c r="D21" t="s">
        <v>24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STOWA2019_JAARROND_T(A21*60,J21,I21,"","center")</f>
        <v>127.63284870679009</v>
      </c>
      <c r="L21">
        <f t="shared" si="4"/>
        <v>1.1752460398701418E-2</v>
      </c>
    </row>
    <row r="22" spans="1:12" x14ac:dyDescent="0.3">
      <c r="A22">
        <v>24</v>
      </c>
      <c r="B22">
        <f t="shared" si="5"/>
        <v>2.598237311036488E-3</v>
      </c>
      <c r="C22">
        <f t="shared" si="1"/>
        <v>2.598237311036488E-3</v>
      </c>
      <c r="D22" t="s">
        <v>24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STOWA2019_JAARROND_T(A22*60,J22,I22,"","center")</f>
        <v>163.85879889918888</v>
      </c>
      <c r="L22">
        <f t="shared" si="4"/>
        <v>9.1542230876649304E-3</v>
      </c>
    </row>
    <row r="23" spans="1:12" x14ac:dyDescent="0.3">
      <c r="A23">
        <v>24</v>
      </c>
      <c r="B23">
        <f t="shared" si="5"/>
        <v>1.9642975653972727E-3</v>
      </c>
      <c r="C23">
        <f t="shared" si="1"/>
        <v>1.9642975653972727E-3</v>
      </c>
      <c r="D23" t="s">
        <v>24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STOWA2019_JAARROND_T(A23*60,J23,I23,"","center")</f>
        <v>208.62524866973993</v>
      </c>
      <c r="L23">
        <f t="shared" si="4"/>
        <v>7.1899255222676577E-3</v>
      </c>
    </row>
    <row r="24" spans="1:12" x14ac:dyDescent="0.3">
      <c r="A24">
        <v>24</v>
      </c>
      <c r="B24">
        <f t="shared" si="5"/>
        <v>1.4987472333308797E-3</v>
      </c>
      <c r="C24">
        <f t="shared" si="1"/>
        <v>1.4987472333308797E-3</v>
      </c>
      <c r="D24" t="s">
        <v>24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STOWA2019_JAARROND_T(A24*60,J24,I24,"","center")</f>
        <v>263.56580726277491</v>
      </c>
      <c r="L24">
        <f t="shared" si="4"/>
        <v>5.691178288936778E-3</v>
      </c>
    </row>
    <row r="25" spans="1:12" x14ac:dyDescent="0.3">
      <c r="A25">
        <v>24</v>
      </c>
      <c r="B25">
        <f t="shared" si="5"/>
        <v>1.1533868225677224E-3</v>
      </c>
      <c r="C25">
        <f t="shared" si="1"/>
        <v>1.1533868225677224E-3</v>
      </c>
      <c r="D25" t="s">
        <v>24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STOWA2019_JAARROND_T(A25*60,J25,I25,"","center")</f>
        <v>330.55727904575463</v>
      </c>
      <c r="L25">
        <f t="shared" si="4"/>
        <v>4.5377914663690556E-3</v>
      </c>
    </row>
    <row r="26" spans="1:12" x14ac:dyDescent="0.3">
      <c r="A26">
        <v>24</v>
      </c>
      <c r="B26">
        <f t="shared" si="5"/>
        <v>8.9476104807924631E-4</v>
      </c>
      <c r="C26">
        <f t="shared" si="1"/>
        <v>8.9476104807924631E-4</v>
      </c>
      <c r="D26" t="s">
        <v>24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STOWA2019_JAARROND_T(A26*60,J26,I26,"","center")</f>
        <v>411.74512089420392</v>
      </c>
      <c r="L26">
        <f t="shared" si="4"/>
        <v>3.6430304182898093E-3</v>
      </c>
    </row>
    <row r="27" spans="1:12" x14ac:dyDescent="0.3">
      <c r="A27">
        <v>24</v>
      </c>
      <c r="B27">
        <f t="shared" si="5"/>
        <v>6.9944235360927705E-4</v>
      </c>
      <c r="C27">
        <f t="shared" si="1"/>
        <v>6.9944235360927705E-4</v>
      </c>
      <c r="D27" t="s">
        <v>24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STOWA2019_JAARROND_T(A27*60,J27,I27,"","center")</f>
        <v>509.58217217897129</v>
      </c>
      <c r="L27">
        <f t="shared" si="4"/>
        <v>2.9435880646805322E-3</v>
      </c>
    </row>
    <row r="28" spans="1:12" x14ac:dyDescent="0.3">
      <c r="A28">
        <v>24</v>
      </c>
      <c r="B28">
        <f t="shared" si="5"/>
        <v>5.5065515226640667E-4</v>
      </c>
      <c r="C28">
        <f t="shared" si="1"/>
        <v>5.5065515226640667E-4</v>
      </c>
      <c r="D28" t="s">
        <v>24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STOWA2019_JAARROND_T(A28*60,J28,I28,"","center")</f>
        <v>626.84582263809295</v>
      </c>
      <c r="L28">
        <f t="shared" si="4"/>
        <v>2.3929329124141255E-3</v>
      </c>
    </row>
    <row r="29" spans="1:12" x14ac:dyDescent="0.3">
      <c r="A29">
        <v>24</v>
      </c>
      <c r="B29">
        <f t="shared" si="5"/>
        <v>4.3644581483188007E-4</v>
      </c>
      <c r="C29">
        <f t="shared" si="1"/>
        <v>4.3644581483188007E-4</v>
      </c>
      <c r="D29" t="s">
        <v>24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STOWA2019_JAARROND_T(A29*60,J29,I29,"","center")</f>
        <v>766.6802412618232</v>
      </c>
      <c r="L29">
        <f t="shared" si="4"/>
        <v>1.9564870975822455E-3</v>
      </c>
    </row>
    <row r="30" spans="1:12" x14ac:dyDescent="0.3">
      <c r="A30">
        <v>24</v>
      </c>
      <c r="B30">
        <f t="shared" si="5"/>
        <v>3.4813184797394519E-4</v>
      </c>
      <c r="C30">
        <f t="shared" si="1"/>
        <v>3.4813184797394519E-4</v>
      </c>
      <c r="D30" t="s">
        <v>24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STOWA2019_JAARROND_T(A30*60,J30,I30,"","center")</f>
        <v>932.62977838093343</v>
      </c>
      <c r="L30">
        <f t="shared" si="4"/>
        <v>1.6083552496083003E-3</v>
      </c>
    </row>
    <row r="31" spans="1:12" x14ac:dyDescent="0.3">
      <c r="A31">
        <v>24</v>
      </c>
      <c r="B31">
        <f t="shared" si="5"/>
        <v>2.7935867147189193E-4</v>
      </c>
      <c r="C31">
        <f t="shared" si="1"/>
        <v>2.7935867147189193E-4</v>
      </c>
      <c r="D31" t="s">
        <v>24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STOWA2019_JAARROND_T(A31*60,J31,I31,"","center")</f>
        <v>1128.6710776211191</v>
      </c>
      <c r="L31">
        <f t="shared" si="4"/>
        <v>1.3289965781364084E-3</v>
      </c>
    </row>
    <row r="32" spans="1:12" x14ac:dyDescent="0.3">
      <c r="A32">
        <v>24</v>
      </c>
      <c r="B32" s="1">
        <f>L31</f>
        <v>1.3289965781364084E-3</v>
      </c>
      <c r="C32">
        <f t="shared" si="1"/>
        <v>1.3289965781364084E-3</v>
      </c>
      <c r="D32" t="s">
        <v>24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STOWA2019_JAARROND_T(A32*60,J32,I32,"","center")</f>
        <v>36.766327112656533</v>
      </c>
      <c r="L32">
        <f t="shared" si="4"/>
        <v>4.0798200902793909E-2</v>
      </c>
    </row>
    <row r="33" spans="1:12" x14ac:dyDescent="0.3">
      <c r="A33">
        <v>48</v>
      </c>
      <c r="B33" s="1">
        <f>365.25*24/A33 - L33</f>
        <v>142.82427723576464</v>
      </c>
      <c r="C33">
        <f>B33</f>
        <v>142.82427723576464</v>
      </c>
      <c r="D33" t="s">
        <v>24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STOWA2019_JAARROND_T(A33*60,J33,I33,"","center")</f>
        <v>3.7687757804938389E-2</v>
      </c>
      <c r="L33">
        <f t="shared" si="4"/>
        <v>39.800722764235353</v>
      </c>
    </row>
    <row r="34" spans="1:12" x14ac:dyDescent="0.3">
      <c r="A34">
        <v>48</v>
      </c>
      <c r="B34">
        <f t="shared" ref="B34:B38" si="8">L33-L34</f>
        <v>10.11569188266801</v>
      </c>
      <c r="C34">
        <f t="shared" ref="C34:C63" si="9">B34</f>
        <v>10.11569188266801</v>
      </c>
      <c r="D34" t="s">
        <v>24</v>
      </c>
      <c r="E34" t="s">
        <v>21</v>
      </c>
      <c r="F34">
        <v>1</v>
      </c>
      <c r="G34">
        <f t="shared" ref="G34:G38" si="10">G33+5</f>
        <v>15</v>
      </c>
      <c r="I34">
        <v>2030</v>
      </c>
      <c r="J34">
        <f t="shared" ref="J34:J38" si="11">AVERAGE(G34:G35)</f>
        <v>17.5</v>
      </c>
      <c r="K34" cm="1">
        <f t="array" ref="K34">STOWA2019_JAARROND_T(A34*60,J34,I34,"","center")</f>
        <v>5.0530518428108212E-2</v>
      </c>
      <c r="L34">
        <f t="shared" si="4"/>
        <v>29.685030881567343</v>
      </c>
    </row>
    <row r="35" spans="1:12" x14ac:dyDescent="0.3">
      <c r="A35">
        <v>48</v>
      </c>
      <c r="B35">
        <f t="shared" si="8"/>
        <v>12.782197382050853</v>
      </c>
      <c r="C35">
        <f t="shared" si="9"/>
        <v>12.782197382050853</v>
      </c>
      <c r="D35" t="s">
        <v>24</v>
      </c>
      <c r="E35" t="s">
        <v>21</v>
      </c>
      <c r="F35">
        <v>1</v>
      </c>
      <c r="G35">
        <f t="shared" si="10"/>
        <v>20</v>
      </c>
      <c r="I35">
        <v>2030</v>
      </c>
      <c r="J35">
        <f t="shared" si="11"/>
        <v>22.5</v>
      </c>
      <c r="K35" cm="1">
        <f t="array" ref="K35">STOWA2019_JAARROND_T(A35*60,J35,I35,"","center")</f>
        <v>8.874251764018784E-2</v>
      </c>
      <c r="L35">
        <f t="shared" si="4"/>
        <v>16.90283349951649</v>
      </c>
    </row>
    <row r="36" spans="1:12" x14ac:dyDescent="0.3">
      <c r="A36">
        <v>48</v>
      </c>
      <c r="B36">
        <f t="shared" si="8"/>
        <v>6.991293157987359</v>
      </c>
      <c r="C36">
        <f t="shared" si="9"/>
        <v>6.991293157987359</v>
      </c>
      <c r="D36" t="s">
        <v>24</v>
      </c>
      <c r="E36" t="s">
        <v>21</v>
      </c>
      <c r="F36">
        <v>1</v>
      </c>
      <c r="G36">
        <f t="shared" si="10"/>
        <v>25</v>
      </c>
      <c r="I36">
        <v>2030</v>
      </c>
      <c r="J36">
        <f t="shared" si="11"/>
        <v>27.5</v>
      </c>
      <c r="K36" cm="1">
        <f t="array" ref="K36">STOWA2019_JAARROND_T(A36*60,J36,I36,"","center")</f>
        <v>0.15133873730151043</v>
      </c>
      <c r="L36">
        <f t="shared" si="4"/>
        <v>9.9115403415291308</v>
      </c>
    </row>
    <row r="37" spans="1:12" x14ac:dyDescent="0.3">
      <c r="A37">
        <v>48</v>
      </c>
      <c r="B37">
        <f t="shared" si="8"/>
        <v>3.9412166593292266</v>
      </c>
      <c r="C37">
        <f t="shared" si="9"/>
        <v>3.9412166593292266</v>
      </c>
      <c r="D37" t="s">
        <v>24</v>
      </c>
      <c r="E37" t="s">
        <v>21</v>
      </c>
      <c r="F37">
        <v>1</v>
      </c>
      <c r="G37">
        <f t="shared" si="10"/>
        <v>30</v>
      </c>
      <c r="I37">
        <v>2030</v>
      </c>
      <c r="J37">
        <f t="shared" si="11"/>
        <v>32.5</v>
      </c>
      <c r="K37" cm="1">
        <f t="array" ref="K37">STOWA2019_JAARROND_T(A37*60,J37,I37,"","center")</f>
        <v>0.25124265950138408</v>
      </c>
      <c r="L37">
        <f t="shared" si="4"/>
        <v>5.9703236821999042</v>
      </c>
    </row>
    <row r="38" spans="1:12" x14ac:dyDescent="0.3">
      <c r="A38">
        <v>48</v>
      </c>
      <c r="B38">
        <f t="shared" si="8"/>
        <v>2.2851077022924904</v>
      </c>
      <c r="C38">
        <f t="shared" si="9"/>
        <v>2.2851077022924904</v>
      </c>
      <c r="D38" t="s">
        <v>24</v>
      </c>
      <c r="E38" t="s">
        <v>21</v>
      </c>
      <c r="F38">
        <v>1</v>
      </c>
      <c r="G38">
        <f t="shared" si="10"/>
        <v>35</v>
      </c>
      <c r="I38">
        <v>2030</v>
      </c>
      <c r="J38">
        <f t="shared" si="11"/>
        <v>37.5</v>
      </c>
      <c r="K38" cm="1">
        <f t="array" ref="K38">STOWA2019_JAARROND_T(A38*60,J38,I38,"","center")</f>
        <v>0.40703177457666551</v>
      </c>
      <c r="L38">
        <f t="shared" si="4"/>
        <v>3.6852159799074138</v>
      </c>
    </row>
    <row r="39" spans="1:12" x14ac:dyDescent="0.3">
      <c r="A39">
        <v>48</v>
      </c>
      <c r="B39">
        <f>L38-L39</f>
        <v>1.3591976453595396</v>
      </c>
      <c r="C39">
        <f t="shared" si="9"/>
        <v>1.3591976453595396</v>
      </c>
      <c r="D39" t="s">
        <v>24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STOWA2019_JAARROND_T(A39*60,J39,I39,"","center")</f>
        <v>0.64487883767759135</v>
      </c>
      <c r="L39">
        <f t="shared" si="4"/>
        <v>2.3260183345478742</v>
      </c>
    </row>
    <row r="40" spans="1:12" x14ac:dyDescent="0.3">
      <c r="A40">
        <v>48</v>
      </c>
      <c r="B40">
        <f t="shared" ref="B40:B62" si="12">L39-L40</f>
        <v>0.82758492056095156</v>
      </c>
      <c r="C40">
        <f t="shared" si="9"/>
        <v>0.82758492056095156</v>
      </c>
      <c r="D40" t="s">
        <v>24</v>
      </c>
      <c r="E40" t="s">
        <v>21</v>
      </c>
      <c r="F40">
        <v>1</v>
      </c>
      <c r="G40">
        <f t="shared" ref="G40:G63" si="13">G39+5</f>
        <v>45</v>
      </c>
      <c r="I40">
        <v>2030</v>
      </c>
      <c r="J40">
        <f t="shared" ref="J40:J62" si="14">AVERAGE(G40:G41)</f>
        <v>47.5</v>
      </c>
      <c r="K40" cm="1">
        <f t="array" ref="K40">STOWA2019_JAARROND_T(A40*60,J40,I40,"","center")</f>
        <v>1.0010454825676298</v>
      </c>
      <c r="L40">
        <f t="shared" si="4"/>
        <v>1.4984334139869226</v>
      </c>
    </row>
    <row r="41" spans="1:12" x14ac:dyDescent="0.3">
      <c r="A41">
        <v>48</v>
      </c>
      <c r="B41">
        <f t="shared" si="12"/>
        <v>0.51506463362090704</v>
      </c>
      <c r="C41">
        <f t="shared" si="9"/>
        <v>0.51506463362090704</v>
      </c>
      <c r="D41" t="s">
        <v>24</v>
      </c>
      <c r="E41" t="s">
        <v>21</v>
      </c>
      <c r="F41">
        <v>1</v>
      </c>
      <c r="G41">
        <f t="shared" si="13"/>
        <v>50</v>
      </c>
      <c r="I41">
        <v>2030</v>
      </c>
      <c r="J41">
        <f t="shared" si="14"/>
        <v>52.5</v>
      </c>
      <c r="K41" cm="1">
        <f t="array" ref="K41">STOWA2019_JAARROND_T(A41*60,J41,I41,"","center")</f>
        <v>1.5253687425806739</v>
      </c>
      <c r="L41">
        <f t="shared" si="4"/>
        <v>0.9833687803660156</v>
      </c>
    </row>
    <row r="42" spans="1:12" x14ac:dyDescent="0.3">
      <c r="A42">
        <v>48</v>
      </c>
      <c r="B42">
        <f t="shared" si="12"/>
        <v>0.32686766055000449</v>
      </c>
      <c r="C42">
        <f t="shared" si="9"/>
        <v>0.32686766055000449</v>
      </c>
      <c r="D42" t="s">
        <v>24</v>
      </c>
      <c r="E42" t="s">
        <v>21</v>
      </c>
      <c r="F42">
        <v>1</v>
      </c>
      <c r="G42">
        <f t="shared" si="13"/>
        <v>55</v>
      </c>
      <c r="I42">
        <v>2030</v>
      </c>
      <c r="J42">
        <f t="shared" si="14"/>
        <v>57.5</v>
      </c>
      <c r="K42" cm="1">
        <f t="array" ref="K42">STOWA2019_JAARROND_T(A42*60,J42,I42,"","center")</f>
        <v>2.2848399716673526</v>
      </c>
      <c r="L42">
        <f t="shared" si="4"/>
        <v>0.65650111981601111</v>
      </c>
    </row>
    <row r="43" spans="1:12" x14ac:dyDescent="0.3">
      <c r="A43">
        <v>48</v>
      </c>
      <c r="B43">
        <f t="shared" si="12"/>
        <v>0.21122947251243507</v>
      </c>
      <c r="C43">
        <f t="shared" si="9"/>
        <v>0.21122947251243507</v>
      </c>
      <c r="D43" t="s">
        <v>24</v>
      </c>
      <c r="E43" t="s">
        <v>21</v>
      </c>
      <c r="F43">
        <v>1</v>
      </c>
      <c r="G43">
        <f t="shared" si="13"/>
        <v>60</v>
      </c>
      <c r="I43">
        <v>2030</v>
      </c>
      <c r="J43">
        <f t="shared" si="14"/>
        <v>62.5</v>
      </c>
      <c r="K43" cm="1">
        <f t="array" ref="K43">STOWA2019_JAARROND_T(A43*60,J43,I43,"","center")</f>
        <v>3.3687300978706474</v>
      </c>
      <c r="L43">
        <f t="shared" si="4"/>
        <v>0.44527164730357605</v>
      </c>
    </row>
    <row r="44" spans="1:12" x14ac:dyDescent="0.3">
      <c r="A44">
        <v>48</v>
      </c>
      <c r="B44">
        <f t="shared" si="12"/>
        <v>0.13881962134748038</v>
      </c>
      <c r="C44">
        <f t="shared" si="9"/>
        <v>0.13881962134748038</v>
      </c>
      <c r="D44" t="s">
        <v>24</v>
      </c>
      <c r="E44" t="s">
        <v>21</v>
      </c>
      <c r="F44">
        <v>1</v>
      </c>
      <c r="G44">
        <f t="shared" si="13"/>
        <v>65</v>
      </c>
      <c r="I44">
        <v>2030</v>
      </c>
      <c r="J44">
        <f t="shared" si="14"/>
        <v>67.5</v>
      </c>
      <c r="K44" cm="1">
        <f t="array" ref="K44">STOWA2019_JAARROND_T(A44*60,J44,I44,"","center")</f>
        <v>4.8947302447101455</v>
      </c>
      <c r="L44">
        <f t="shared" si="4"/>
        <v>0.30645202595609566</v>
      </c>
    </row>
    <row r="45" spans="1:12" x14ac:dyDescent="0.3">
      <c r="A45">
        <v>48</v>
      </c>
      <c r="B45">
        <f t="shared" si="12"/>
        <v>9.2660959994658787E-2</v>
      </c>
      <c r="C45">
        <f t="shared" si="9"/>
        <v>9.2660959994658787E-2</v>
      </c>
      <c r="D45" t="s">
        <v>24</v>
      </c>
      <c r="E45" t="s">
        <v>21</v>
      </c>
      <c r="F45">
        <v>1</v>
      </c>
      <c r="G45">
        <f t="shared" si="13"/>
        <v>70</v>
      </c>
      <c r="I45">
        <v>2030</v>
      </c>
      <c r="J45">
        <f t="shared" si="14"/>
        <v>72.5</v>
      </c>
      <c r="K45" cm="1">
        <f t="array" ref="K45">STOWA2019_JAARROND_T(A45*60,J45,I45,"","center")</f>
        <v>7.0161958978705243</v>
      </c>
      <c r="L45">
        <f t="shared" si="4"/>
        <v>0.21379106596143688</v>
      </c>
    </row>
    <row r="46" spans="1:12" x14ac:dyDescent="0.3">
      <c r="A46">
        <v>48</v>
      </c>
      <c r="B46">
        <f t="shared" si="12"/>
        <v>6.2749907518709958E-2</v>
      </c>
      <c r="C46">
        <f t="shared" si="9"/>
        <v>6.2749907518709958E-2</v>
      </c>
      <c r="D46" t="s">
        <v>24</v>
      </c>
      <c r="E46" t="s">
        <v>21</v>
      </c>
      <c r="F46">
        <v>1</v>
      </c>
      <c r="G46">
        <f t="shared" si="13"/>
        <v>75</v>
      </c>
      <c r="I46">
        <v>2030</v>
      </c>
      <c r="J46">
        <f t="shared" si="14"/>
        <v>77.5</v>
      </c>
      <c r="K46" cm="1">
        <f t="array" ref="K46">STOWA2019_JAARROND_T(A46*60,J46,I46,"","center")</f>
        <v>9.9310678987461731</v>
      </c>
      <c r="L46">
        <f t="shared" si="4"/>
        <v>0.15104115844272692</v>
      </c>
    </row>
    <row r="47" spans="1:12" x14ac:dyDescent="0.3">
      <c r="A47">
        <v>48</v>
      </c>
      <c r="B47">
        <f t="shared" si="12"/>
        <v>4.3068470059133654E-2</v>
      </c>
      <c r="C47">
        <f t="shared" si="9"/>
        <v>4.3068470059133654E-2</v>
      </c>
      <c r="D47" t="s">
        <v>24</v>
      </c>
      <c r="E47" t="s">
        <v>21</v>
      </c>
      <c r="F47">
        <v>1</v>
      </c>
      <c r="G47">
        <f t="shared" si="13"/>
        <v>80</v>
      </c>
      <c r="I47">
        <v>2030</v>
      </c>
      <c r="J47">
        <f t="shared" si="14"/>
        <v>82.5</v>
      </c>
      <c r="K47" cm="1">
        <f t="array" ref="K47">STOWA2019_JAARROND_T(A47*60,J47,I47,"","center")</f>
        <v>13.892402073670409</v>
      </c>
      <c r="L47">
        <f t="shared" si="4"/>
        <v>0.10797268838359327</v>
      </c>
    </row>
    <row r="48" spans="1:12" x14ac:dyDescent="0.3">
      <c r="A48">
        <v>48</v>
      </c>
      <c r="B48">
        <f t="shared" si="12"/>
        <v>2.9934541291969652E-2</v>
      </c>
      <c r="C48">
        <f t="shared" si="9"/>
        <v>2.9934541291969652E-2</v>
      </c>
      <c r="D48" t="s">
        <v>24</v>
      </c>
      <c r="E48" t="s">
        <v>21</v>
      </c>
      <c r="F48">
        <v>1</v>
      </c>
      <c r="G48">
        <f t="shared" si="13"/>
        <v>85</v>
      </c>
      <c r="I48">
        <v>2030</v>
      </c>
      <c r="J48">
        <f t="shared" si="14"/>
        <v>87.5</v>
      </c>
      <c r="K48" cm="1">
        <f t="array" ref="K48">STOWA2019_JAARROND_T(A48*60,J48,I48,"","center")</f>
        <v>19.221368726744227</v>
      </c>
      <c r="L48">
        <f t="shared" si="4"/>
        <v>7.8038147091623614E-2</v>
      </c>
    </row>
    <row r="49" spans="1:12" x14ac:dyDescent="0.3">
      <c r="A49">
        <v>48</v>
      </c>
      <c r="B49">
        <f t="shared" si="12"/>
        <v>2.1051641305850771E-2</v>
      </c>
      <c r="C49">
        <f t="shared" si="9"/>
        <v>2.1051641305850771E-2</v>
      </c>
      <c r="D49" t="s">
        <v>24</v>
      </c>
      <c r="E49" t="s">
        <v>21</v>
      </c>
      <c r="F49">
        <v>1</v>
      </c>
      <c r="G49">
        <f t="shared" si="13"/>
        <v>90</v>
      </c>
      <c r="I49">
        <v>2030</v>
      </c>
      <c r="J49">
        <f t="shared" si="14"/>
        <v>92.5</v>
      </c>
      <c r="K49" cm="1">
        <f t="array" ref="K49">STOWA2019_JAARROND_T(A49*60,J49,I49,"","center")</f>
        <v>26.322020964733152</v>
      </c>
      <c r="L49">
        <f t="shared" si="4"/>
        <v>5.6986505785772842E-2</v>
      </c>
    </row>
    <row r="50" spans="1:12" x14ac:dyDescent="0.3">
      <c r="A50">
        <v>48</v>
      </c>
      <c r="B50">
        <f t="shared" si="12"/>
        <v>1.4968584415712742E-2</v>
      </c>
      <c r="C50">
        <f t="shared" si="9"/>
        <v>1.4968584415712742E-2</v>
      </c>
      <c r="D50" t="s">
        <v>24</v>
      </c>
      <c r="E50" t="s">
        <v>21</v>
      </c>
      <c r="F50">
        <v>1</v>
      </c>
      <c r="G50">
        <f t="shared" si="13"/>
        <v>95</v>
      </c>
      <c r="I50">
        <v>2030</v>
      </c>
      <c r="J50">
        <f t="shared" si="14"/>
        <v>97.5</v>
      </c>
      <c r="K50" cm="1">
        <f t="array" ref="K50">STOWA2019_JAARROND_T(A50*60,J50,I50,"","center")</f>
        <v>35.699052953838553</v>
      </c>
      <c r="L50">
        <f t="shared" si="4"/>
        <v>4.20179213700601E-2</v>
      </c>
    </row>
    <row r="51" spans="1:12" x14ac:dyDescent="0.3">
      <c r="A51">
        <v>48</v>
      </c>
      <c r="B51">
        <f t="shared" si="12"/>
        <v>1.0753927035827289E-2</v>
      </c>
      <c r="C51">
        <f t="shared" si="9"/>
        <v>1.0753927035827289E-2</v>
      </c>
      <c r="D51" t="s">
        <v>24</v>
      </c>
      <c r="E51" t="s">
        <v>21</v>
      </c>
      <c r="F51">
        <v>1</v>
      </c>
      <c r="G51">
        <f t="shared" si="13"/>
        <v>100</v>
      </c>
      <c r="I51">
        <v>2030</v>
      </c>
      <c r="J51">
        <f t="shared" si="14"/>
        <v>102.5</v>
      </c>
      <c r="K51" cm="1">
        <f t="array" ref="K51">STOWA2019_JAARROND_T(A51*60,J51,I51,"","center")</f>
        <v>47.978514324305664</v>
      </c>
      <c r="L51">
        <f t="shared" si="4"/>
        <v>3.1263994334232811E-2</v>
      </c>
    </row>
    <row r="52" spans="1:12" x14ac:dyDescent="0.3">
      <c r="A52">
        <v>48</v>
      </c>
      <c r="B52">
        <f t="shared" si="12"/>
        <v>7.8015473610444572E-3</v>
      </c>
      <c r="C52">
        <f t="shared" si="9"/>
        <v>7.8015473610444572E-3</v>
      </c>
      <c r="D52" t="s">
        <v>24</v>
      </c>
      <c r="E52" t="s">
        <v>21</v>
      </c>
      <c r="F52">
        <v>1</v>
      </c>
      <c r="G52">
        <f t="shared" si="13"/>
        <v>105</v>
      </c>
      <c r="I52">
        <v>2030</v>
      </c>
      <c r="J52">
        <f t="shared" si="14"/>
        <v>107.5</v>
      </c>
      <c r="K52" cm="1">
        <f t="array" ref="K52">STOWA2019_JAARROND_T(A52*60,J52,I52,"","center")</f>
        <v>63.931950563985112</v>
      </c>
      <c r="L52">
        <f t="shared" si="4"/>
        <v>2.3462446973188354E-2</v>
      </c>
    </row>
    <row r="53" spans="1:12" x14ac:dyDescent="0.3">
      <c r="A53">
        <v>48</v>
      </c>
      <c r="B53">
        <f t="shared" si="12"/>
        <v>5.7118932981027361E-3</v>
      </c>
      <c r="C53">
        <f t="shared" si="9"/>
        <v>5.7118932981027361E-3</v>
      </c>
      <c r="D53" t="s">
        <v>24</v>
      </c>
      <c r="E53" t="s">
        <v>21</v>
      </c>
      <c r="F53">
        <v>1</v>
      </c>
      <c r="G53">
        <f t="shared" si="13"/>
        <v>110</v>
      </c>
      <c r="I53">
        <v>2030</v>
      </c>
      <c r="J53">
        <f t="shared" si="14"/>
        <v>112.5</v>
      </c>
      <c r="K53" cm="1">
        <f t="array" ref="K53">STOWA2019_JAARROND_T(A53*60,J53,I53,"","center")</f>
        <v>84.504406310738077</v>
      </c>
      <c r="L53">
        <f t="shared" si="4"/>
        <v>1.7750553675085618E-2</v>
      </c>
    </row>
    <row r="54" spans="1:12" x14ac:dyDescent="0.3">
      <c r="A54">
        <v>48</v>
      </c>
      <c r="B54">
        <f t="shared" si="12"/>
        <v>4.2182679374404772E-3</v>
      </c>
      <c r="C54">
        <f t="shared" si="9"/>
        <v>4.2182679374404772E-3</v>
      </c>
      <c r="D54" t="s">
        <v>24</v>
      </c>
      <c r="E54" t="s">
        <v>21</v>
      </c>
      <c r="F54">
        <v>1</v>
      </c>
      <c r="G54">
        <f t="shared" si="13"/>
        <v>115</v>
      </c>
      <c r="I54">
        <v>2030</v>
      </c>
      <c r="J54">
        <f t="shared" si="14"/>
        <v>117.5</v>
      </c>
      <c r="K54" cm="1">
        <f t="array" ref="K54">STOWA2019_JAARROND_T(A54*60,J54,I54,"","center")</f>
        <v>110.84601885305941</v>
      </c>
      <c r="L54">
        <f t="shared" si="4"/>
        <v>1.3532285737645141E-2</v>
      </c>
    </row>
    <row r="55" spans="1:12" x14ac:dyDescent="0.3">
      <c r="A55">
        <v>48</v>
      </c>
      <c r="B55">
        <f t="shared" si="12"/>
        <v>3.1410273342598414E-3</v>
      </c>
      <c r="C55">
        <f t="shared" si="9"/>
        <v>3.1410273342598414E-3</v>
      </c>
      <c r="D55" t="s">
        <v>24</v>
      </c>
      <c r="E55" t="s">
        <v>21</v>
      </c>
      <c r="F55">
        <v>1</v>
      </c>
      <c r="G55">
        <f t="shared" si="13"/>
        <v>120</v>
      </c>
      <c r="I55">
        <v>2030</v>
      </c>
      <c r="J55">
        <f t="shared" si="14"/>
        <v>122.5</v>
      </c>
      <c r="K55" cm="1">
        <f t="array" ref="K55">STOWA2019_JAARROND_T(A55*60,J55,I55,"","center")</f>
        <v>144.35210267808611</v>
      </c>
      <c r="L55">
        <f t="shared" si="4"/>
        <v>1.03912584033853E-2</v>
      </c>
    </row>
    <row r="56" spans="1:12" x14ac:dyDescent="0.3">
      <c r="A56">
        <v>48</v>
      </c>
      <c r="B56">
        <f t="shared" si="12"/>
        <v>2.3569984603617321E-3</v>
      </c>
      <c r="C56">
        <f t="shared" si="9"/>
        <v>2.3569984603617321E-3</v>
      </c>
      <c r="D56" t="s">
        <v>24</v>
      </c>
      <c r="E56" t="s">
        <v>21</v>
      </c>
      <c r="F56">
        <v>1</v>
      </c>
      <c r="G56">
        <f t="shared" si="13"/>
        <v>125</v>
      </c>
      <c r="I56">
        <v>2030</v>
      </c>
      <c r="J56">
        <f t="shared" si="14"/>
        <v>127.5</v>
      </c>
      <c r="K56" cm="1">
        <f t="array" ref="K56">STOWA2019_JAARROND_T(A56*60,J56,I56,"","center")</f>
        <v>186.70045662419761</v>
      </c>
      <c r="L56">
        <f t="shared" si="4"/>
        <v>8.0342599430235674E-3</v>
      </c>
    </row>
    <row r="57" spans="1:12" x14ac:dyDescent="0.3">
      <c r="A57">
        <v>48</v>
      </c>
      <c r="B57">
        <f t="shared" si="12"/>
        <v>1.7818428323029649E-3</v>
      </c>
      <c r="C57">
        <f t="shared" si="9"/>
        <v>1.7818428323029649E-3</v>
      </c>
      <c r="D57" t="s">
        <v>24</v>
      </c>
      <c r="E57" t="s">
        <v>21</v>
      </c>
      <c r="F57">
        <v>1</v>
      </c>
      <c r="G57">
        <f t="shared" si="13"/>
        <v>130</v>
      </c>
      <c r="I57">
        <v>2030</v>
      </c>
      <c r="J57">
        <f t="shared" si="14"/>
        <v>132.5</v>
      </c>
      <c r="K57" cm="1">
        <f t="array" ref="K57">STOWA2019_JAARROND_T(A57*60,J57,I57,"","center")</f>
        <v>239.90721883030645</v>
      </c>
      <c r="L57">
        <f t="shared" si="4"/>
        <v>6.2524171107206025E-3</v>
      </c>
    </row>
    <row r="58" spans="1:12" x14ac:dyDescent="0.3">
      <c r="A58">
        <v>48</v>
      </c>
      <c r="B58">
        <f t="shared" si="12"/>
        <v>1.3564289067592161E-3</v>
      </c>
      <c r="C58">
        <f t="shared" si="9"/>
        <v>1.3564289067592161E-3</v>
      </c>
      <c r="D58" t="s">
        <v>24</v>
      </c>
      <c r="E58" t="s">
        <v>21</v>
      </c>
      <c r="F58">
        <v>1</v>
      </c>
      <c r="G58">
        <f t="shared" si="13"/>
        <v>135</v>
      </c>
      <c r="I58">
        <v>2030</v>
      </c>
      <c r="J58">
        <f t="shared" si="14"/>
        <v>137.5</v>
      </c>
      <c r="K58" cm="1">
        <f t="array" ref="K58">STOWA2019_JAARROND_T(A58*60,J58,I58,"","center")</f>
        <v>306.37328717139007</v>
      </c>
      <c r="L58">
        <f t="shared" si="4"/>
        <v>4.8959882039613864E-3</v>
      </c>
    </row>
    <row r="59" spans="1:12" x14ac:dyDescent="0.3">
      <c r="A59">
        <v>48</v>
      </c>
      <c r="B59">
        <f t="shared" si="12"/>
        <v>1.0395092298409714E-3</v>
      </c>
      <c r="C59">
        <f t="shared" si="9"/>
        <v>1.0395092298409714E-3</v>
      </c>
      <c r="D59" t="s">
        <v>24</v>
      </c>
      <c r="E59" t="s">
        <v>21</v>
      </c>
      <c r="F59">
        <v>1</v>
      </c>
      <c r="G59">
        <f t="shared" si="13"/>
        <v>140</v>
      </c>
      <c r="I59">
        <v>2030</v>
      </c>
      <c r="J59">
        <f t="shared" si="14"/>
        <v>142.5</v>
      </c>
      <c r="K59" cm="1">
        <f t="array" ref="K59">STOWA2019_JAARROND_T(A59*60,J59,I59,"","center")</f>
        <v>388.95583511955221</v>
      </c>
      <c r="L59">
        <f t="shared" si="4"/>
        <v>3.856478974120415E-3</v>
      </c>
    </row>
    <row r="60" spans="1:12" x14ac:dyDescent="0.3">
      <c r="A60">
        <v>48</v>
      </c>
      <c r="B60">
        <f t="shared" si="12"/>
        <v>8.0170248747327795E-4</v>
      </c>
      <c r="C60">
        <f t="shared" si="9"/>
        <v>8.0170248747327795E-4</v>
      </c>
      <c r="D60" t="s">
        <v>24</v>
      </c>
      <c r="E60" t="s">
        <v>21</v>
      </c>
      <c r="F60">
        <v>1</v>
      </c>
      <c r="G60">
        <f t="shared" si="13"/>
        <v>145</v>
      </c>
      <c r="I60">
        <v>2030</v>
      </c>
      <c r="J60">
        <f t="shared" si="14"/>
        <v>147.5</v>
      </c>
      <c r="K60" cm="1">
        <f t="array" ref="K60">STOWA2019_JAARROND_T(A60*60,J60,I60,"","center")</f>
        <v>491.03428894281262</v>
      </c>
      <c r="L60">
        <f t="shared" si="4"/>
        <v>3.054776486647137E-3</v>
      </c>
    </row>
    <row r="61" spans="1:12" x14ac:dyDescent="0.3">
      <c r="A61">
        <v>48</v>
      </c>
      <c r="B61">
        <f t="shared" si="12"/>
        <v>6.2206126320784672E-4</v>
      </c>
      <c r="C61">
        <f t="shared" si="9"/>
        <v>6.2206126320784672E-4</v>
      </c>
      <c r="D61" t="s">
        <v>24</v>
      </c>
      <c r="E61" t="s">
        <v>21</v>
      </c>
      <c r="F61">
        <v>1</v>
      </c>
      <c r="G61">
        <f t="shared" si="13"/>
        <v>150</v>
      </c>
      <c r="I61">
        <v>2030</v>
      </c>
      <c r="J61">
        <f t="shared" si="14"/>
        <v>152.5</v>
      </c>
      <c r="K61" cm="1">
        <f t="array" ref="K61">STOWA2019_JAARROND_T(A61*60,J61,I61,"","center")</f>
        <v>616.59498224348306</v>
      </c>
      <c r="L61">
        <f t="shared" si="4"/>
        <v>2.4327152234392903E-3</v>
      </c>
    </row>
    <row r="62" spans="1:12" x14ac:dyDescent="0.3">
      <c r="A62">
        <v>48</v>
      </c>
      <c r="B62">
        <f t="shared" si="12"/>
        <v>4.8544168237009237E-4</v>
      </c>
      <c r="C62">
        <f t="shared" si="9"/>
        <v>4.8544168237009237E-4</v>
      </c>
      <c r="D62" t="s">
        <v>24</v>
      </c>
      <c r="E62" t="s">
        <v>21</v>
      </c>
      <c r="F62">
        <v>1</v>
      </c>
      <c r="G62">
        <f t="shared" si="13"/>
        <v>155</v>
      </c>
      <c r="I62">
        <v>2030</v>
      </c>
      <c r="J62">
        <f t="shared" si="14"/>
        <v>157.5</v>
      </c>
      <c r="K62" cm="1">
        <f t="array" ref="K62">STOWA2019_JAARROND_T(A62*60,J62,I62,"","center")</f>
        <v>770.30780132532823</v>
      </c>
      <c r="L62">
        <f t="shared" si="4"/>
        <v>1.9472735410691979E-3</v>
      </c>
    </row>
    <row r="63" spans="1:12" x14ac:dyDescent="0.3">
      <c r="A63">
        <v>48</v>
      </c>
      <c r="B63" s="1">
        <f>L62</f>
        <v>1.9472735410691979E-3</v>
      </c>
      <c r="C63">
        <f t="shared" si="9"/>
        <v>1.9472735410691979E-3</v>
      </c>
      <c r="D63" t="s">
        <v>24</v>
      </c>
      <c r="E63" t="s">
        <v>21</v>
      </c>
      <c r="F63">
        <v>1</v>
      </c>
      <c r="G63">
        <f t="shared" si="13"/>
        <v>160</v>
      </c>
      <c r="I63">
        <v>2030</v>
      </c>
      <c r="J63">
        <f>AVERAGE(G63:G64)</f>
        <v>85</v>
      </c>
      <c r="K63" cm="1">
        <f t="array" ref="K63">STOWA2019_JAARROND_T(A63*60,J63,I63,"","center")</f>
        <v>16.362815665392297</v>
      </c>
      <c r="L63">
        <f t="shared" si="4"/>
        <v>9.1671264327235075E-2</v>
      </c>
    </row>
    <row r="64" spans="1:12" x14ac:dyDescent="0.3">
      <c r="A64">
        <v>96</v>
      </c>
      <c r="B64" s="1">
        <f>365.25*24/A64 - L64</f>
        <v>28.171029652927899</v>
      </c>
      <c r="C64">
        <f>B64</f>
        <v>28.171029652927899</v>
      </c>
      <c r="D64" t="s">
        <v>24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STOWA2019_JAARROND_T(A64*60,J64,I64,"","center")</f>
        <v>2.3756177861473507E-2</v>
      </c>
      <c r="L64">
        <f t="shared" si="4"/>
        <v>63.141470347072101</v>
      </c>
    </row>
    <row r="65" spans="1:12" x14ac:dyDescent="0.3">
      <c r="A65">
        <v>96</v>
      </c>
      <c r="B65">
        <f t="shared" ref="B65:B69" si="15">L64-L65</f>
        <v>12.532170729229705</v>
      </c>
      <c r="C65">
        <f t="shared" ref="C65:C94" si="16">B65</f>
        <v>12.532170729229705</v>
      </c>
      <c r="D65" t="s">
        <v>24</v>
      </c>
      <c r="E65" t="s">
        <v>21</v>
      </c>
      <c r="F65">
        <v>1</v>
      </c>
      <c r="G65">
        <f t="shared" ref="G65:G69" si="17">G64+5</f>
        <v>15</v>
      </c>
      <c r="I65">
        <v>2030</v>
      </c>
      <c r="J65">
        <f t="shared" ref="J65:J69" si="18">AVERAGE(G65:G66)</f>
        <v>17.5</v>
      </c>
      <c r="K65" cm="1">
        <f t="array" ref="K65">STOWA2019_JAARROND_T(A65*60,J65,I65,"","center")</f>
        <v>2.963882154716032E-2</v>
      </c>
      <c r="L65">
        <f t="shared" si="4"/>
        <v>50.609299617842396</v>
      </c>
    </row>
    <row r="66" spans="1:12" x14ac:dyDescent="0.3">
      <c r="A66">
        <v>96</v>
      </c>
      <c r="B66">
        <f t="shared" si="15"/>
        <v>17.885921536519582</v>
      </c>
      <c r="C66">
        <f t="shared" si="16"/>
        <v>17.885921536519582</v>
      </c>
      <c r="D66" t="s">
        <v>24</v>
      </c>
      <c r="E66" t="s">
        <v>21</v>
      </c>
      <c r="F66">
        <v>1</v>
      </c>
      <c r="G66">
        <f t="shared" si="17"/>
        <v>20</v>
      </c>
      <c r="I66">
        <v>2030</v>
      </c>
      <c r="J66">
        <f t="shared" si="18"/>
        <v>22.5</v>
      </c>
      <c r="K66" cm="1">
        <f t="array" ref="K66">STOWA2019_JAARROND_T(A66*60,J66,I66,"","center")</f>
        <v>4.5838788289896626E-2</v>
      </c>
      <c r="L66">
        <f t="shared" si="4"/>
        <v>32.723378081322814</v>
      </c>
    </row>
    <row r="67" spans="1:12" x14ac:dyDescent="0.3">
      <c r="A67">
        <v>96</v>
      </c>
      <c r="B67">
        <f t="shared" si="15"/>
        <v>11.368726633525505</v>
      </c>
      <c r="C67">
        <f t="shared" si="16"/>
        <v>11.368726633525505</v>
      </c>
      <c r="D67" t="s">
        <v>24</v>
      </c>
      <c r="E67" t="s">
        <v>21</v>
      </c>
      <c r="F67">
        <v>1</v>
      </c>
      <c r="G67">
        <f t="shared" si="17"/>
        <v>25</v>
      </c>
      <c r="I67">
        <v>2030</v>
      </c>
      <c r="J67">
        <f t="shared" si="18"/>
        <v>27.5</v>
      </c>
      <c r="K67" cm="1">
        <f t="array" ref="K67">STOWA2019_JAARROND_T(A67*60,J67,I67,"","center")</f>
        <v>7.0242307801971743E-2</v>
      </c>
      <c r="L67">
        <f t="shared" ref="L67:L130" si="19">1/K67 * 12/8</f>
        <v>21.354651447797309</v>
      </c>
    </row>
    <row r="68" spans="1:12" x14ac:dyDescent="0.3">
      <c r="A68">
        <v>96</v>
      </c>
      <c r="B68">
        <f t="shared" si="15"/>
        <v>7.2897011675281576</v>
      </c>
      <c r="C68">
        <f t="shared" si="16"/>
        <v>7.2897011675281576</v>
      </c>
      <c r="D68" t="s">
        <v>24</v>
      </c>
      <c r="E68" t="s">
        <v>21</v>
      </c>
      <c r="F68">
        <v>1</v>
      </c>
      <c r="G68">
        <f t="shared" si="17"/>
        <v>30</v>
      </c>
      <c r="I68">
        <v>2030</v>
      </c>
      <c r="J68">
        <f t="shared" si="18"/>
        <v>32.5</v>
      </c>
      <c r="K68" cm="1">
        <f t="array" ref="K68">STOWA2019_JAARROND_T(A68*60,J68,I68,"","center")</f>
        <v>0.10664808407494034</v>
      </c>
      <c r="L68">
        <f t="shared" si="19"/>
        <v>14.064950280269152</v>
      </c>
    </row>
    <row r="69" spans="1:12" x14ac:dyDescent="0.3">
      <c r="A69">
        <v>96</v>
      </c>
      <c r="B69">
        <f t="shared" si="15"/>
        <v>4.7176328375242349</v>
      </c>
      <c r="C69">
        <f t="shared" si="16"/>
        <v>4.7176328375242349</v>
      </c>
      <c r="D69" t="s">
        <v>24</v>
      </c>
      <c r="E69" t="s">
        <v>21</v>
      </c>
      <c r="F69">
        <v>1</v>
      </c>
      <c r="G69">
        <f t="shared" si="17"/>
        <v>35</v>
      </c>
      <c r="I69">
        <v>2030</v>
      </c>
      <c r="J69">
        <f t="shared" si="18"/>
        <v>37.5</v>
      </c>
      <c r="K69" cm="1">
        <f t="array" ref="K69">STOWA2019_JAARROND_T(A69*60,J69,I69,"","center")</f>
        <v>0.16047384815889087</v>
      </c>
      <c r="L69">
        <f t="shared" si="19"/>
        <v>9.3473174427449166</v>
      </c>
    </row>
    <row r="70" spans="1:12" x14ac:dyDescent="0.3">
      <c r="A70">
        <v>96</v>
      </c>
      <c r="B70">
        <f>L69-L70</f>
        <v>3.0811630622953334</v>
      </c>
      <c r="C70">
        <f t="shared" si="16"/>
        <v>3.0811630622953334</v>
      </c>
      <c r="D70" t="s">
        <v>24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STOWA2019_JAARROND_T(A70*60,J70,I70,"","center")</f>
        <v>0.23938127102006992</v>
      </c>
      <c r="L70">
        <f t="shared" si="19"/>
        <v>6.2661543804495832</v>
      </c>
    </row>
    <row r="71" spans="1:12" x14ac:dyDescent="0.3">
      <c r="A71">
        <v>96</v>
      </c>
      <c r="B71">
        <f t="shared" ref="B71:B93" si="20">L70-L71</f>
        <v>2.0303939917247273</v>
      </c>
      <c r="C71">
        <f t="shared" si="16"/>
        <v>2.0303939917247273</v>
      </c>
      <c r="D71" t="s">
        <v>24</v>
      </c>
      <c r="E71" t="s">
        <v>21</v>
      </c>
      <c r="F71">
        <v>1</v>
      </c>
      <c r="G71">
        <f t="shared" ref="G71:G94" si="21">G70+5</f>
        <v>45</v>
      </c>
      <c r="I71">
        <v>2030</v>
      </c>
      <c r="J71">
        <f t="shared" ref="J71:J93" si="22">AVERAGE(G71:G72)</f>
        <v>47.5</v>
      </c>
      <c r="K71" cm="1">
        <f t="array" ref="K71">STOWA2019_JAARROND_T(A71*60,J71,I71,"","center")</f>
        <v>0.35412768011921558</v>
      </c>
      <c r="L71">
        <f t="shared" si="19"/>
        <v>4.2357603887248558</v>
      </c>
    </row>
    <row r="72" spans="1:12" x14ac:dyDescent="0.3">
      <c r="A72">
        <v>96</v>
      </c>
      <c r="B72">
        <f t="shared" si="20"/>
        <v>1.3494659867856185</v>
      </c>
      <c r="C72">
        <f t="shared" si="16"/>
        <v>1.3494659867856185</v>
      </c>
      <c r="D72" t="s">
        <v>24</v>
      </c>
      <c r="E72" t="s">
        <v>21</v>
      </c>
      <c r="F72">
        <v>1</v>
      </c>
      <c r="G72">
        <f t="shared" si="21"/>
        <v>50</v>
      </c>
      <c r="I72">
        <v>2030</v>
      </c>
      <c r="J72">
        <f t="shared" si="22"/>
        <v>52.5</v>
      </c>
      <c r="K72" cm="1">
        <f t="array" ref="K72">STOWA2019_JAARROND_T(A72*60,J72,I72,"","center")</f>
        <v>0.51969750521366886</v>
      </c>
      <c r="L72">
        <f t="shared" si="19"/>
        <v>2.8862944019392374</v>
      </c>
    </row>
    <row r="73" spans="1:12" x14ac:dyDescent="0.3">
      <c r="A73">
        <v>96</v>
      </c>
      <c r="B73">
        <f t="shared" si="20"/>
        <v>0.90431026779268753</v>
      </c>
      <c r="C73">
        <f t="shared" si="16"/>
        <v>0.90431026779268753</v>
      </c>
      <c r="D73" t="s">
        <v>24</v>
      </c>
      <c r="E73" t="s">
        <v>21</v>
      </c>
      <c r="F73">
        <v>1</v>
      </c>
      <c r="G73">
        <f t="shared" si="21"/>
        <v>55</v>
      </c>
      <c r="I73">
        <v>2030</v>
      </c>
      <c r="J73">
        <f t="shared" si="22"/>
        <v>57.5</v>
      </c>
      <c r="K73" cm="1">
        <f t="array" ref="K73">STOWA2019_JAARROND_T(A73*60,J73,I73,"","center")</f>
        <v>0.75681736001681255</v>
      </c>
      <c r="L73">
        <f t="shared" si="19"/>
        <v>1.9819841341465498</v>
      </c>
    </row>
    <row r="74" spans="1:12" x14ac:dyDescent="0.3">
      <c r="A74">
        <v>96</v>
      </c>
      <c r="B74">
        <f t="shared" si="20"/>
        <v>0.61073890824514243</v>
      </c>
      <c r="C74">
        <f t="shared" si="16"/>
        <v>0.61073890824514243</v>
      </c>
      <c r="D74" t="s">
        <v>24</v>
      </c>
      <c r="E74" t="s">
        <v>21</v>
      </c>
      <c r="F74">
        <v>1</v>
      </c>
      <c r="G74">
        <f t="shared" si="21"/>
        <v>60</v>
      </c>
      <c r="I74">
        <v>2030</v>
      </c>
      <c r="J74">
        <f t="shared" si="22"/>
        <v>62.5</v>
      </c>
      <c r="K74" cm="1">
        <f t="array" ref="K74">STOWA2019_JAARROND_T(A74*60,J74,I74,"","center")</f>
        <v>1.0938962423835998</v>
      </c>
      <c r="L74">
        <f t="shared" si="19"/>
        <v>1.3712452259014074</v>
      </c>
    </row>
    <row r="75" spans="1:12" x14ac:dyDescent="0.3">
      <c r="A75">
        <v>96</v>
      </c>
      <c r="B75">
        <f t="shared" si="20"/>
        <v>0.4158541412365635</v>
      </c>
      <c r="C75">
        <f t="shared" si="16"/>
        <v>0.4158541412365635</v>
      </c>
      <c r="D75" t="s">
        <v>24</v>
      </c>
      <c r="E75" t="s">
        <v>21</v>
      </c>
      <c r="F75">
        <v>1</v>
      </c>
      <c r="G75">
        <f t="shared" si="21"/>
        <v>65</v>
      </c>
      <c r="I75">
        <v>2030</v>
      </c>
      <c r="J75">
        <f t="shared" si="22"/>
        <v>67.5</v>
      </c>
      <c r="K75" cm="1">
        <f t="array" ref="K75">STOWA2019_JAARROND_T(A75*60,J75,I75,"","center")</f>
        <v>1.5700376778439455</v>
      </c>
      <c r="L75">
        <f t="shared" si="19"/>
        <v>0.9553910846648439</v>
      </c>
    </row>
    <row r="76" spans="1:12" x14ac:dyDescent="0.3">
      <c r="A76">
        <v>96</v>
      </c>
      <c r="B76">
        <f t="shared" si="20"/>
        <v>0.28515818005881111</v>
      </c>
      <c r="C76">
        <f t="shared" si="16"/>
        <v>0.28515818005881111</v>
      </c>
      <c r="D76" t="s">
        <v>24</v>
      </c>
      <c r="E76" t="s">
        <v>21</v>
      </c>
      <c r="F76">
        <v>1</v>
      </c>
      <c r="G76">
        <f t="shared" si="21"/>
        <v>70</v>
      </c>
      <c r="I76">
        <v>2030</v>
      </c>
      <c r="J76">
        <f t="shared" si="22"/>
        <v>72.5</v>
      </c>
      <c r="K76" cm="1">
        <f t="array" ref="K76">STOWA2019_JAARROND_T(A76*60,J76,I76,"","center")</f>
        <v>2.2380279895116604</v>
      </c>
      <c r="L76">
        <f t="shared" si="19"/>
        <v>0.6702329046060328</v>
      </c>
    </row>
    <row r="77" spans="1:12" x14ac:dyDescent="0.3">
      <c r="A77">
        <v>96</v>
      </c>
      <c r="B77">
        <f t="shared" si="20"/>
        <v>0.19692994643600653</v>
      </c>
      <c r="C77">
        <f t="shared" si="16"/>
        <v>0.19692994643600653</v>
      </c>
      <c r="D77" t="s">
        <v>24</v>
      </c>
      <c r="E77" t="s">
        <v>21</v>
      </c>
      <c r="F77">
        <v>1</v>
      </c>
      <c r="G77">
        <f t="shared" si="21"/>
        <v>75</v>
      </c>
      <c r="I77">
        <v>2030</v>
      </c>
      <c r="J77">
        <f t="shared" si="22"/>
        <v>77.5</v>
      </c>
      <c r="K77" cm="1">
        <f t="array" ref="K77">STOWA2019_JAARROND_T(A77*60,J77,I77,"","center")</f>
        <v>3.1692174623196623</v>
      </c>
      <c r="L77">
        <f t="shared" si="19"/>
        <v>0.47330295817002627</v>
      </c>
    </row>
    <row r="78" spans="1:12" x14ac:dyDescent="0.3">
      <c r="A78">
        <v>96</v>
      </c>
      <c r="B78">
        <f t="shared" si="20"/>
        <v>0.13693474401604205</v>
      </c>
      <c r="C78">
        <f t="shared" si="16"/>
        <v>0.13693474401604205</v>
      </c>
      <c r="D78" t="s">
        <v>24</v>
      </c>
      <c r="E78" t="s">
        <v>21</v>
      </c>
      <c r="F78">
        <v>1</v>
      </c>
      <c r="G78">
        <f t="shared" si="21"/>
        <v>80</v>
      </c>
      <c r="I78">
        <v>2030</v>
      </c>
      <c r="J78">
        <f t="shared" si="22"/>
        <v>82.5</v>
      </c>
      <c r="K78" cm="1">
        <f t="array" ref="K78">STOWA2019_JAARROND_T(A78*60,J78,I78,"","center")</f>
        <v>4.4593987686164747</v>
      </c>
      <c r="L78">
        <f t="shared" si="19"/>
        <v>0.33636821415398421</v>
      </c>
    </row>
    <row r="79" spans="1:12" x14ac:dyDescent="0.3">
      <c r="A79">
        <v>96</v>
      </c>
      <c r="B79">
        <f t="shared" si="20"/>
        <v>9.5843938621803515E-2</v>
      </c>
      <c r="C79">
        <f t="shared" si="16"/>
        <v>9.5843938621803515E-2</v>
      </c>
      <c r="D79" t="s">
        <v>24</v>
      </c>
      <c r="E79" t="s">
        <v>21</v>
      </c>
      <c r="F79">
        <v>1</v>
      </c>
      <c r="G79">
        <f t="shared" si="21"/>
        <v>85</v>
      </c>
      <c r="I79">
        <v>2030</v>
      </c>
      <c r="J79">
        <f t="shared" si="22"/>
        <v>87.5</v>
      </c>
      <c r="K79" cm="1">
        <f t="array" ref="K79">STOWA2019_JAARROND_T(A79*60,J79,I79,"","center")</f>
        <v>6.2363767510831103</v>
      </c>
      <c r="L79">
        <f t="shared" si="19"/>
        <v>0.2405242755321807</v>
      </c>
    </row>
    <row r="80" spans="1:12" x14ac:dyDescent="0.3">
      <c r="A80">
        <v>96</v>
      </c>
      <c r="B80">
        <f t="shared" si="20"/>
        <v>6.7513341810743005E-2</v>
      </c>
      <c r="C80">
        <f t="shared" si="16"/>
        <v>6.7513341810743005E-2</v>
      </c>
      <c r="D80" t="s">
        <v>24</v>
      </c>
      <c r="E80" t="s">
        <v>21</v>
      </c>
      <c r="F80">
        <v>1</v>
      </c>
      <c r="G80">
        <f t="shared" si="21"/>
        <v>90</v>
      </c>
      <c r="I80">
        <v>2030</v>
      </c>
      <c r="J80">
        <f t="shared" si="22"/>
        <v>92.5</v>
      </c>
      <c r="K80" cm="1">
        <f t="array" ref="K80">STOWA2019_JAARROND_T(A80*60,J80,I80,"","center")</f>
        <v>8.6699722828796908</v>
      </c>
      <c r="L80">
        <f t="shared" si="19"/>
        <v>0.17301093372143769</v>
      </c>
    </row>
    <row r="81" spans="1:12" x14ac:dyDescent="0.3">
      <c r="A81">
        <v>96</v>
      </c>
      <c r="B81">
        <f t="shared" si="20"/>
        <v>4.7849620975499746E-2</v>
      </c>
      <c r="C81">
        <f t="shared" si="16"/>
        <v>4.7849620975499746E-2</v>
      </c>
      <c r="D81" t="s">
        <v>24</v>
      </c>
      <c r="E81" t="s">
        <v>21</v>
      </c>
      <c r="F81">
        <v>1</v>
      </c>
      <c r="G81">
        <f t="shared" si="21"/>
        <v>95</v>
      </c>
      <c r="I81">
        <v>2030</v>
      </c>
      <c r="J81">
        <f t="shared" si="22"/>
        <v>97.5</v>
      </c>
      <c r="K81" cm="1">
        <f t="array" ref="K81">STOWA2019_JAARROND_T(A81*60,J81,I81,"","center")</f>
        <v>11.984533935376781</v>
      </c>
      <c r="L81">
        <f t="shared" si="19"/>
        <v>0.12516131274593795</v>
      </c>
    </row>
    <row r="82" spans="1:12" x14ac:dyDescent="0.3">
      <c r="A82">
        <v>96</v>
      </c>
      <c r="B82">
        <f t="shared" si="20"/>
        <v>3.4114593292706247E-2</v>
      </c>
      <c r="C82">
        <f t="shared" si="16"/>
        <v>3.4114593292706247E-2</v>
      </c>
      <c r="D82" t="s">
        <v>24</v>
      </c>
      <c r="E82" t="s">
        <v>21</v>
      </c>
      <c r="F82">
        <v>1</v>
      </c>
      <c r="G82">
        <f t="shared" si="21"/>
        <v>100</v>
      </c>
      <c r="I82">
        <v>2030</v>
      </c>
      <c r="J82">
        <f t="shared" si="22"/>
        <v>102.5</v>
      </c>
      <c r="K82" cm="1">
        <f t="array" ref="K82">STOWA2019_JAARROND_T(A82*60,J82,I82,"","center")</f>
        <v>16.47505817901007</v>
      </c>
      <c r="L82">
        <f t="shared" si="19"/>
        <v>9.10467194532317E-2</v>
      </c>
    </row>
    <row r="83" spans="1:12" x14ac:dyDescent="0.3">
      <c r="A83">
        <v>96</v>
      </c>
      <c r="B83">
        <f t="shared" si="20"/>
        <v>2.4461780517726517E-2</v>
      </c>
      <c r="C83">
        <f t="shared" si="16"/>
        <v>2.4461780517726517E-2</v>
      </c>
      <c r="D83" t="s">
        <v>24</v>
      </c>
      <c r="E83" t="s">
        <v>21</v>
      </c>
      <c r="F83">
        <v>1</v>
      </c>
      <c r="G83">
        <f t="shared" si="21"/>
        <v>105</v>
      </c>
      <c r="I83">
        <v>2030</v>
      </c>
      <c r="J83">
        <f t="shared" si="22"/>
        <v>107.5</v>
      </c>
      <c r="K83" cm="1">
        <f t="array" ref="K83">STOWA2019_JAARROND_T(A83*60,J83,I83,"","center")</f>
        <v>22.527616965345789</v>
      </c>
      <c r="L83">
        <f t="shared" si="19"/>
        <v>6.6584938935505183E-2</v>
      </c>
    </row>
    <row r="84" spans="1:12" x14ac:dyDescent="0.3">
      <c r="A84">
        <v>96</v>
      </c>
      <c r="B84">
        <f t="shared" si="20"/>
        <v>1.7637609005589507E-2</v>
      </c>
      <c r="C84">
        <f t="shared" si="16"/>
        <v>1.7637609005589507E-2</v>
      </c>
      <c r="D84" t="s">
        <v>24</v>
      </c>
      <c r="E84" t="s">
        <v>21</v>
      </c>
      <c r="F84">
        <v>1</v>
      </c>
      <c r="G84">
        <f t="shared" si="21"/>
        <v>110</v>
      </c>
      <c r="I84">
        <v>2030</v>
      </c>
      <c r="J84">
        <f t="shared" si="22"/>
        <v>112.5</v>
      </c>
      <c r="K84" cm="1">
        <f t="array" ref="K84">STOWA2019_JAARROND_T(A84*60,J84,I84,"","center")</f>
        <v>30.645185389024224</v>
      </c>
      <c r="L84">
        <f t="shared" si="19"/>
        <v>4.8947329929915677E-2</v>
      </c>
    </row>
    <row r="85" spans="1:12" x14ac:dyDescent="0.3">
      <c r="A85">
        <v>96</v>
      </c>
      <c r="B85">
        <f t="shared" si="20"/>
        <v>1.2785212228313712E-2</v>
      </c>
      <c r="C85">
        <f t="shared" si="16"/>
        <v>1.2785212228313712E-2</v>
      </c>
      <c r="D85" t="s">
        <v>24</v>
      </c>
      <c r="E85" t="s">
        <v>21</v>
      </c>
      <c r="F85">
        <v>1</v>
      </c>
      <c r="G85">
        <f t="shared" si="21"/>
        <v>115</v>
      </c>
      <c r="I85">
        <v>2030</v>
      </c>
      <c r="J85">
        <f t="shared" si="22"/>
        <v>117.5</v>
      </c>
      <c r="K85" cm="1">
        <f t="array" ref="K85">STOWA2019_JAARROND_T(A85*60,J85,I85,"","center")</f>
        <v>41.479871626366361</v>
      </c>
      <c r="L85">
        <f t="shared" si="19"/>
        <v>3.6162117701601965E-2</v>
      </c>
    </row>
    <row r="86" spans="1:12" x14ac:dyDescent="0.3">
      <c r="A86">
        <v>96</v>
      </c>
      <c r="B86">
        <f t="shared" si="20"/>
        <v>9.3164050835487927E-3</v>
      </c>
      <c r="C86">
        <f t="shared" si="16"/>
        <v>9.3164050835487927E-3</v>
      </c>
      <c r="D86" t="s">
        <v>24</v>
      </c>
      <c r="E86" t="s">
        <v>21</v>
      </c>
      <c r="F86">
        <v>1</v>
      </c>
      <c r="G86">
        <f t="shared" si="21"/>
        <v>120</v>
      </c>
      <c r="I86">
        <v>2030</v>
      </c>
      <c r="J86">
        <f t="shared" si="22"/>
        <v>122.5</v>
      </c>
      <c r="K86" cm="1">
        <f t="array" ref="K86">STOWA2019_JAARROND_T(A86*60,J86,I86,"","center")</f>
        <v>55.874843828555392</v>
      </c>
      <c r="L86">
        <f t="shared" si="19"/>
        <v>2.6845712618053172E-2</v>
      </c>
    </row>
    <row r="87" spans="1:12" x14ac:dyDescent="0.3">
      <c r="A87">
        <v>96</v>
      </c>
      <c r="B87">
        <f t="shared" si="20"/>
        <v>6.8225491787770876E-3</v>
      </c>
      <c r="C87">
        <f t="shared" si="16"/>
        <v>6.8225491787770876E-3</v>
      </c>
      <c r="D87" t="s">
        <v>24</v>
      </c>
      <c r="E87" t="s">
        <v>21</v>
      </c>
      <c r="F87">
        <v>1</v>
      </c>
      <c r="G87">
        <f t="shared" si="21"/>
        <v>125</v>
      </c>
      <c r="I87">
        <v>2030</v>
      </c>
      <c r="J87">
        <f t="shared" si="22"/>
        <v>127.5</v>
      </c>
      <c r="K87" cm="1">
        <f t="array" ref="K87">STOWA2019_JAARROND_T(A87*60,J87,I87,"","center")</f>
        <v>74.913237588507187</v>
      </c>
      <c r="L87">
        <f t="shared" si="19"/>
        <v>2.0023163439276084E-2</v>
      </c>
    </row>
    <row r="88" spans="1:12" x14ac:dyDescent="0.3">
      <c r="A88">
        <v>96</v>
      </c>
      <c r="B88">
        <f t="shared" si="20"/>
        <v>5.0208534247068951E-3</v>
      </c>
      <c r="C88">
        <f t="shared" si="16"/>
        <v>5.0208534247068951E-3</v>
      </c>
      <c r="D88" t="s">
        <v>24</v>
      </c>
      <c r="E88" t="s">
        <v>21</v>
      </c>
      <c r="F88">
        <v>1</v>
      </c>
      <c r="G88">
        <f t="shared" si="21"/>
        <v>130</v>
      </c>
      <c r="I88">
        <v>2030</v>
      </c>
      <c r="J88">
        <f t="shared" si="22"/>
        <v>132.5</v>
      </c>
      <c r="K88" cm="1">
        <f t="array" ref="K88">STOWA2019_JAARROND_T(A88*60,J88,I88,"","center")</f>
        <v>99.984602274136805</v>
      </c>
      <c r="L88">
        <f t="shared" si="19"/>
        <v>1.5002310014569189E-2</v>
      </c>
    </row>
    <row r="89" spans="1:12" x14ac:dyDescent="0.3">
      <c r="A89">
        <v>96</v>
      </c>
      <c r="B89">
        <f t="shared" si="20"/>
        <v>3.7122261893004164E-3</v>
      </c>
      <c r="C89">
        <f t="shared" si="16"/>
        <v>3.7122261893004164E-3</v>
      </c>
      <c r="D89" t="s">
        <v>24</v>
      </c>
      <c r="E89" t="s">
        <v>21</v>
      </c>
      <c r="F89">
        <v>1</v>
      </c>
      <c r="G89">
        <f t="shared" si="21"/>
        <v>135</v>
      </c>
      <c r="I89">
        <v>2030</v>
      </c>
      <c r="J89">
        <f t="shared" si="22"/>
        <v>137.5</v>
      </c>
      <c r="K89" cm="1">
        <f t="array" ref="K89">STOWA2019_JAARROND_T(A89*60,J89,I89,"","center")</f>
        <v>132.85995243390417</v>
      </c>
      <c r="L89">
        <f t="shared" si="19"/>
        <v>1.1290083825268773E-2</v>
      </c>
    </row>
    <row r="90" spans="1:12" x14ac:dyDescent="0.3">
      <c r="A90">
        <v>96</v>
      </c>
      <c r="B90">
        <f t="shared" si="20"/>
        <v>2.7573235469986468E-3</v>
      </c>
      <c r="C90">
        <f t="shared" si="16"/>
        <v>2.7573235469986468E-3</v>
      </c>
      <c r="D90" t="s">
        <v>24</v>
      </c>
      <c r="E90" t="s">
        <v>21</v>
      </c>
      <c r="F90">
        <v>1</v>
      </c>
      <c r="G90">
        <f t="shared" si="21"/>
        <v>140</v>
      </c>
      <c r="I90">
        <v>2030</v>
      </c>
      <c r="J90">
        <f t="shared" si="22"/>
        <v>142.5</v>
      </c>
      <c r="K90" cm="1">
        <f t="array" ref="K90">STOWA2019_JAARROND_T(A90*60,J90,I90,"","center")</f>
        <v>175.79305536333428</v>
      </c>
      <c r="L90">
        <f t="shared" si="19"/>
        <v>8.532760278270126E-3</v>
      </c>
    </row>
    <row r="91" spans="1:12" x14ac:dyDescent="0.3">
      <c r="A91">
        <v>96</v>
      </c>
      <c r="B91">
        <f t="shared" si="20"/>
        <v>2.0571929687421726E-3</v>
      </c>
      <c r="C91">
        <f t="shared" si="16"/>
        <v>2.0571929687421726E-3</v>
      </c>
      <c r="D91" t="s">
        <v>24</v>
      </c>
      <c r="E91" t="s">
        <v>21</v>
      </c>
      <c r="F91">
        <v>1</v>
      </c>
      <c r="G91">
        <f t="shared" si="21"/>
        <v>145</v>
      </c>
      <c r="I91">
        <v>2030</v>
      </c>
      <c r="J91">
        <f t="shared" si="22"/>
        <v>147.5</v>
      </c>
      <c r="K91" cm="1">
        <f t="array" ref="K91">STOWA2019_JAARROND_T(A91*60,J91,I91,"","center")</f>
        <v>231.63993644123588</v>
      </c>
      <c r="L91">
        <f t="shared" si="19"/>
        <v>6.4755673095279534E-3</v>
      </c>
    </row>
    <row r="92" spans="1:12" x14ac:dyDescent="0.3">
      <c r="A92">
        <v>96</v>
      </c>
      <c r="B92">
        <f t="shared" si="20"/>
        <v>1.5413878173976443E-3</v>
      </c>
      <c r="C92">
        <f t="shared" si="16"/>
        <v>1.5413878173976443E-3</v>
      </c>
      <c r="D92" t="s">
        <v>24</v>
      </c>
      <c r="E92" t="s">
        <v>21</v>
      </c>
      <c r="F92">
        <v>1</v>
      </c>
      <c r="G92">
        <f t="shared" si="21"/>
        <v>150</v>
      </c>
      <c r="I92">
        <v>2030</v>
      </c>
      <c r="J92">
        <f t="shared" si="22"/>
        <v>152.5</v>
      </c>
      <c r="K92" cm="1">
        <f t="array" ref="K92">STOWA2019_JAARROND_T(A92*60,J92,I92,"","center")</f>
        <v>304.00191204888296</v>
      </c>
      <c r="L92">
        <f t="shared" si="19"/>
        <v>4.9341794921303091E-3</v>
      </c>
    </row>
    <row r="93" spans="1:12" x14ac:dyDescent="0.3">
      <c r="A93">
        <v>96</v>
      </c>
      <c r="B93">
        <f t="shared" si="20"/>
        <v>1.159777885324704E-3</v>
      </c>
      <c r="C93">
        <f t="shared" si="16"/>
        <v>1.159777885324704E-3</v>
      </c>
      <c r="D93" t="s">
        <v>24</v>
      </c>
      <c r="E93" t="s">
        <v>21</v>
      </c>
      <c r="F93">
        <v>1</v>
      </c>
      <c r="G93">
        <f t="shared" si="21"/>
        <v>155</v>
      </c>
      <c r="I93">
        <v>2030</v>
      </c>
      <c r="J93">
        <f t="shared" si="22"/>
        <v>157.5</v>
      </c>
      <c r="K93" cm="1">
        <f t="array" ref="K93">STOWA2019_JAARROND_T(A93*60,J93,I93,"","center")</f>
        <v>397.41398935803693</v>
      </c>
      <c r="L93">
        <f t="shared" si="19"/>
        <v>3.774401606805605E-3</v>
      </c>
    </row>
    <row r="94" spans="1:12" x14ac:dyDescent="0.3">
      <c r="A94">
        <v>96</v>
      </c>
      <c r="B94" s="1">
        <f>L93</f>
        <v>3.774401606805605E-3</v>
      </c>
      <c r="C94">
        <f t="shared" si="16"/>
        <v>3.774401606805605E-3</v>
      </c>
      <c r="D94" t="s">
        <v>24</v>
      </c>
      <c r="E94" t="s">
        <v>21</v>
      </c>
      <c r="F94">
        <v>1</v>
      </c>
      <c r="G94">
        <f t="shared" si="21"/>
        <v>160</v>
      </c>
      <c r="I94">
        <v>2030</v>
      </c>
      <c r="J94">
        <f>AVERAGE(G94:G95)</f>
        <v>85</v>
      </c>
      <c r="K94" cm="1">
        <f t="array" ref="K94">STOWA2019_JAARROND_T(A94*60,J94,I94,"","center")</f>
        <v>5.2775124103132462</v>
      </c>
      <c r="L94">
        <f t="shared" si="19"/>
        <v>0.28422481718256493</v>
      </c>
    </row>
    <row r="95" spans="1:12" x14ac:dyDescent="0.3">
      <c r="A95">
        <v>192</v>
      </c>
      <c r="B95" s="1">
        <f>365.25*24/A95 - L95</f>
        <v>-1454.34375</v>
      </c>
      <c r="C95">
        <f>B95</f>
        <v>-1454.34375</v>
      </c>
      <c r="D95" t="s">
        <v>24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s="1">
        <v>1E-3</v>
      </c>
      <c r="L95">
        <f t="shared" si="19"/>
        <v>1500</v>
      </c>
    </row>
    <row r="96" spans="1:12" x14ac:dyDescent="0.3">
      <c r="A96">
        <v>192</v>
      </c>
      <c r="B96">
        <f t="shared" ref="B96:B100" si="23">L95-L96</f>
        <v>0</v>
      </c>
      <c r="C96">
        <f t="shared" ref="C96:C125" si="24">B96</f>
        <v>0</v>
      </c>
      <c r="D96" t="s">
        <v>24</v>
      </c>
      <c r="E96" t="s">
        <v>21</v>
      </c>
      <c r="F96">
        <v>1</v>
      </c>
      <c r="G96">
        <f t="shared" ref="G96:G100" si="25">G95+5</f>
        <v>15</v>
      </c>
      <c r="I96">
        <v>2030</v>
      </c>
      <c r="J96">
        <f t="shared" ref="J96:J100" si="26">AVERAGE(G96:G97)</f>
        <v>17.5</v>
      </c>
      <c r="K96" s="1">
        <v>1E-3</v>
      </c>
      <c r="L96">
        <f t="shared" si="19"/>
        <v>1500</v>
      </c>
    </row>
    <row r="97" spans="1:12" x14ac:dyDescent="0.3">
      <c r="A97">
        <v>192</v>
      </c>
      <c r="B97">
        <f t="shared" si="23"/>
        <v>1443.4043358747219</v>
      </c>
      <c r="C97">
        <f t="shared" si="24"/>
        <v>1443.4043358747219</v>
      </c>
      <c r="D97" t="s">
        <v>24</v>
      </c>
      <c r="E97" t="s">
        <v>21</v>
      </c>
      <c r="F97">
        <v>1</v>
      </c>
      <c r="G97">
        <f t="shared" si="25"/>
        <v>20</v>
      </c>
      <c r="I97">
        <v>2030</v>
      </c>
      <c r="J97">
        <f t="shared" si="26"/>
        <v>22.5</v>
      </c>
      <c r="K97" cm="1">
        <f t="array" ref="K97">STOWA2019_JAARROND_T(A97*60,J97,I97,"","center")</f>
        <v>2.6503797122685153E-2</v>
      </c>
      <c r="L97">
        <f t="shared" si="19"/>
        <v>56.595664125278063</v>
      </c>
    </row>
    <row r="98" spans="1:12" x14ac:dyDescent="0.3">
      <c r="A98">
        <v>192</v>
      </c>
      <c r="B98">
        <f t="shared" si="23"/>
        <v>15.336710492507841</v>
      </c>
      <c r="C98">
        <f t="shared" si="24"/>
        <v>15.336710492507841</v>
      </c>
      <c r="D98" t="s">
        <v>24</v>
      </c>
      <c r="E98" t="s">
        <v>21</v>
      </c>
      <c r="F98">
        <v>1</v>
      </c>
      <c r="G98">
        <f t="shared" si="25"/>
        <v>25</v>
      </c>
      <c r="I98">
        <v>2030</v>
      </c>
      <c r="J98">
        <f t="shared" si="26"/>
        <v>27.5</v>
      </c>
      <c r="K98" cm="1">
        <f t="array" ref="K98">STOWA2019_JAARROND_T(A98*60,J98,I98,"","center")</f>
        <v>3.6355745066898988E-2</v>
      </c>
      <c r="L98">
        <f t="shared" si="19"/>
        <v>41.258953632770222</v>
      </c>
    </row>
    <row r="99" spans="1:12" x14ac:dyDescent="0.3">
      <c r="A99">
        <v>192</v>
      </c>
      <c r="B99">
        <f t="shared" si="23"/>
        <v>10.892058266167219</v>
      </c>
      <c r="C99">
        <f t="shared" si="24"/>
        <v>10.892058266167219</v>
      </c>
      <c r="D99" t="s">
        <v>24</v>
      </c>
      <c r="E99" t="s">
        <v>21</v>
      </c>
      <c r="F99">
        <v>1</v>
      </c>
      <c r="G99">
        <f t="shared" si="25"/>
        <v>30</v>
      </c>
      <c r="I99">
        <v>2030</v>
      </c>
      <c r="J99">
        <f t="shared" si="26"/>
        <v>32.5</v>
      </c>
      <c r="K99" cm="1">
        <f t="array" ref="K99">STOWA2019_JAARROND_T(A99*60,J99,I99,"","center")</f>
        <v>4.9395895823109881E-2</v>
      </c>
      <c r="L99">
        <f t="shared" si="19"/>
        <v>30.366895366603003</v>
      </c>
    </row>
    <row r="100" spans="1:12" x14ac:dyDescent="0.3">
      <c r="A100">
        <v>192</v>
      </c>
      <c r="B100">
        <f t="shared" si="23"/>
        <v>7.9578508519539461</v>
      </c>
      <c r="C100">
        <f t="shared" si="24"/>
        <v>7.9578508519539461</v>
      </c>
      <c r="D100" t="s">
        <v>24</v>
      </c>
      <c r="E100" t="s">
        <v>21</v>
      </c>
      <c r="F100">
        <v>1</v>
      </c>
      <c r="G100">
        <f t="shared" si="25"/>
        <v>35</v>
      </c>
      <c r="I100">
        <v>2030</v>
      </c>
      <c r="J100">
        <f t="shared" si="26"/>
        <v>37.5</v>
      </c>
      <c r="K100" cm="1">
        <f t="array" ref="K100">STOWA2019_JAARROND_T(A100*60,J100,I100,"","center")</f>
        <v>6.6937258258353324E-2</v>
      </c>
      <c r="L100">
        <f t="shared" si="19"/>
        <v>22.409044514649057</v>
      </c>
    </row>
    <row r="101" spans="1:12" x14ac:dyDescent="0.3">
      <c r="A101">
        <v>192</v>
      </c>
      <c r="B101">
        <f>L100-L101</f>
        <v>5.8569045130895496</v>
      </c>
      <c r="C101">
        <f t="shared" si="24"/>
        <v>5.8569045130895496</v>
      </c>
      <c r="D101" t="s">
        <v>24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STOWA2019_JAARROND_T(A101*60,J101,I101,"","center")</f>
        <v>9.0622723095543728E-2</v>
      </c>
      <c r="L101">
        <f t="shared" si="19"/>
        <v>16.552140001559508</v>
      </c>
    </row>
    <row r="102" spans="1:12" x14ac:dyDescent="0.3">
      <c r="A102">
        <v>192</v>
      </c>
      <c r="B102">
        <f t="shared" ref="B102:B124" si="27">L101-L102</f>
        <v>4.3219116324787059</v>
      </c>
      <c r="C102">
        <f t="shared" si="24"/>
        <v>4.3219116324787059</v>
      </c>
      <c r="D102" t="s">
        <v>24</v>
      </c>
      <c r="E102" t="s">
        <v>21</v>
      </c>
      <c r="F102">
        <v>1</v>
      </c>
      <c r="G102">
        <f t="shared" ref="G102:G125" si="28">G101+5</f>
        <v>45</v>
      </c>
      <c r="I102">
        <v>2030</v>
      </c>
      <c r="J102">
        <f t="shared" ref="J102:J124" si="29">AVERAGE(G102:G103)</f>
        <v>47.5</v>
      </c>
      <c r="K102" cm="1">
        <f t="array" ref="K102">STOWA2019_JAARROND_T(A102*60,J102,I102,"","center")</f>
        <v>0.12264693305254583</v>
      </c>
      <c r="L102">
        <f t="shared" si="19"/>
        <v>12.230228369080802</v>
      </c>
    </row>
    <row r="103" spans="1:12" x14ac:dyDescent="0.3">
      <c r="A103">
        <v>192</v>
      </c>
      <c r="B103">
        <f t="shared" si="27"/>
        <v>3.1930501280806283</v>
      </c>
      <c r="C103">
        <f t="shared" si="24"/>
        <v>3.1930501280806283</v>
      </c>
      <c r="D103" t="s">
        <v>24</v>
      </c>
      <c r="E103" t="s">
        <v>21</v>
      </c>
      <c r="F103">
        <v>1</v>
      </c>
      <c r="G103">
        <f t="shared" si="28"/>
        <v>50</v>
      </c>
      <c r="I103">
        <v>2030</v>
      </c>
      <c r="J103">
        <f t="shared" si="29"/>
        <v>52.5</v>
      </c>
      <c r="K103" cm="1">
        <f t="array" ref="K103">STOWA2019_JAARROND_T(A103*60,J103,I103,"","center")</f>
        <v>0.16598101309928243</v>
      </c>
      <c r="L103">
        <f t="shared" si="19"/>
        <v>9.0371782410001735</v>
      </c>
    </row>
    <row r="104" spans="1:12" x14ac:dyDescent="0.3">
      <c r="A104">
        <v>192</v>
      </c>
      <c r="B104">
        <f t="shared" si="27"/>
        <v>2.360231183910761</v>
      </c>
      <c r="C104">
        <f t="shared" si="24"/>
        <v>2.360231183910761</v>
      </c>
      <c r="D104" t="s">
        <v>24</v>
      </c>
      <c r="E104" t="s">
        <v>21</v>
      </c>
      <c r="F104">
        <v>1</v>
      </c>
      <c r="G104">
        <f t="shared" si="28"/>
        <v>55</v>
      </c>
      <c r="I104">
        <v>2030</v>
      </c>
      <c r="J104">
        <f t="shared" si="29"/>
        <v>57.5</v>
      </c>
      <c r="K104" cm="1">
        <f t="array" ref="K104">STOWA2019_JAARROND_T(A104*60,J104,I104,"","center")</f>
        <v>0.22465357103698139</v>
      </c>
      <c r="L104">
        <f t="shared" si="19"/>
        <v>6.6769470570894125</v>
      </c>
    </row>
    <row r="105" spans="1:12" x14ac:dyDescent="0.3">
      <c r="A105">
        <v>192</v>
      </c>
      <c r="B105">
        <f t="shared" si="27"/>
        <v>1.744784286949578</v>
      </c>
      <c r="C105">
        <f t="shared" si="24"/>
        <v>1.744784286949578</v>
      </c>
      <c r="D105" t="s">
        <v>24</v>
      </c>
      <c r="E105" t="s">
        <v>21</v>
      </c>
      <c r="F105">
        <v>1</v>
      </c>
      <c r="G105">
        <f t="shared" si="28"/>
        <v>60</v>
      </c>
      <c r="I105">
        <v>2030</v>
      </c>
      <c r="J105">
        <f t="shared" si="29"/>
        <v>62.5</v>
      </c>
      <c r="K105" cm="1">
        <f t="array" ref="K105">STOWA2019_JAARROND_T(A105*60,J105,I105,"","center")</f>
        <v>0.30412621600431744</v>
      </c>
      <c r="L105">
        <f t="shared" si="19"/>
        <v>4.9321627701398345</v>
      </c>
    </row>
    <row r="106" spans="1:12" x14ac:dyDescent="0.3">
      <c r="A106">
        <v>192</v>
      </c>
      <c r="B106">
        <f t="shared" si="27"/>
        <v>1.28975913874784</v>
      </c>
      <c r="C106">
        <f t="shared" si="24"/>
        <v>1.28975913874784</v>
      </c>
      <c r="D106" t="s">
        <v>24</v>
      </c>
      <c r="E106" t="s">
        <v>21</v>
      </c>
      <c r="F106">
        <v>1</v>
      </c>
      <c r="G106">
        <f t="shared" si="28"/>
        <v>65</v>
      </c>
      <c r="I106">
        <v>2030</v>
      </c>
      <c r="J106">
        <f t="shared" si="29"/>
        <v>67.5</v>
      </c>
      <c r="K106" cm="1">
        <f t="array" ref="K106">STOWA2019_JAARROND_T(A106*60,J106,I106,"","center")</f>
        <v>0.41181597422983968</v>
      </c>
      <c r="L106">
        <f t="shared" si="19"/>
        <v>3.6424036313919945</v>
      </c>
    </row>
    <row r="107" spans="1:12" x14ac:dyDescent="0.3">
      <c r="A107">
        <v>192</v>
      </c>
      <c r="B107">
        <f t="shared" si="27"/>
        <v>0.95328323596353925</v>
      </c>
      <c r="C107">
        <f t="shared" si="24"/>
        <v>0.95328323596353925</v>
      </c>
      <c r="D107" t="s">
        <v>24</v>
      </c>
      <c r="E107" t="s">
        <v>21</v>
      </c>
      <c r="F107">
        <v>1</v>
      </c>
      <c r="G107">
        <f t="shared" si="28"/>
        <v>70</v>
      </c>
      <c r="I107">
        <v>2030</v>
      </c>
      <c r="J107">
        <f t="shared" si="29"/>
        <v>72.5</v>
      </c>
      <c r="K107" cm="1">
        <f t="array" ref="K107">STOWA2019_JAARROND_T(A107*60,J107,I107,"","center")</f>
        <v>0.55780321422202683</v>
      </c>
      <c r="L107">
        <f t="shared" si="19"/>
        <v>2.6891203954284553</v>
      </c>
    </row>
    <row r="108" spans="1:12" x14ac:dyDescent="0.3">
      <c r="A108">
        <v>192</v>
      </c>
      <c r="B108">
        <f t="shared" si="27"/>
        <v>0.70440756264381399</v>
      </c>
      <c r="C108">
        <f t="shared" si="24"/>
        <v>0.70440756264381399</v>
      </c>
      <c r="D108" t="s">
        <v>24</v>
      </c>
      <c r="E108" t="s">
        <v>21</v>
      </c>
      <c r="F108">
        <v>1</v>
      </c>
      <c r="G108">
        <f t="shared" si="28"/>
        <v>75</v>
      </c>
      <c r="I108">
        <v>2030</v>
      </c>
      <c r="J108">
        <f t="shared" si="29"/>
        <v>77.5</v>
      </c>
      <c r="K108" cm="1">
        <f t="array" ref="K108">STOWA2019_JAARROND_T(A108*60,J108,I108,"","center")</f>
        <v>0.75577684349197893</v>
      </c>
      <c r="L108">
        <f t="shared" si="19"/>
        <v>1.9847128327846413</v>
      </c>
    </row>
    <row r="109" spans="1:12" x14ac:dyDescent="0.3">
      <c r="A109">
        <v>192</v>
      </c>
      <c r="B109">
        <f t="shared" si="27"/>
        <v>0.52025301562730775</v>
      </c>
      <c r="C109">
        <f t="shared" si="24"/>
        <v>0.52025301562730775</v>
      </c>
      <c r="D109" t="s">
        <v>24</v>
      </c>
      <c r="E109" t="s">
        <v>21</v>
      </c>
      <c r="F109">
        <v>1</v>
      </c>
      <c r="G109">
        <f t="shared" si="28"/>
        <v>80</v>
      </c>
      <c r="I109">
        <v>2030</v>
      </c>
      <c r="J109">
        <f t="shared" si="29"/>
        <v>82.5</v>
      </c>
      <c r="K109" cm="1">
        <f t="array" ref="K109">STOWA2019_JAARROND_T(A109*60,J109,I109,"","center")</f>
        <v>1.024268458872196</v>
      </c>
      <c r="L109">
        <f t="shared" si="19"/>
        <v>1.4644598171573335</v>
      </c>
    </row>
    <row r="110" spans="1:12" x14ac:dyDescent="0.3">
      <c r="A110">
        <v>192</v>
      </c>
      <c r="B110">
        <f t="shared" si="27"/>
        <v>0.38435895222916994</v>
      </c>
      <c r="C110">
        <f t="shared" si="24"/>
        <v>0.38435895222916994</v>
      </c>
      <c r="D110" t="s">
        <v>24</v>
      </c>
      <c r="E110" t="s">
        <v>21</v>
      </c>
      <c r="F110">
        <v>1</v>
      </c>
      <c r="G110">
        <f t="shared" si="28"/>
        <v>85</v>
      </c>
      <c r="I110">
        <v>2030</v>
      </c>
      <c r="J110">
        <f t="shared" si="29"/>
        <v>87.5</v>
      </c>
      <c r="K110" cm="1">
        <f t="array" ref="K110">STOWA2019_JAARROND_T(A110*60,J110,I110,"","center")</f>
        <v>1.3887591878743317</v>
      </c>
      <c r="L110">
        <f t="shared" si="19"/>
        <v>1.0801008649281636</v>
      </c>
    </row>
    <row r="111" spans="1:12" x14ac:dyDescent="0.3">
      <c r="A111">
        <v>192</v>
      </c>
      <c r="B111">
        <f t="shared" si="27"/>
        <v>0.28376142817199645</v>
      </c>
      <c r="C111">
        <f t="shared" si="24"/>
        <v>0.28376142817199645</v>
      </c>
      <c r="D111" t="s">
        <v>24</v>
      </c>
      <c r="E111" t="s">
        <v>21</v>
      </c>
      <c r="F111">
        <v>1</v>
      </c>
      <c r="G111">
        <f t="shared" si="28"/>
        <v>90</v>
      </c>
      <c r="I111">
        <v>2030</v>
      </c>
      <c r="J111">
        <f t="shared" si="29"/>
        <v>92.5</v>
      </c>
      <c r="K111" cm="1">
        <f t="array" ref="K111">STOWA2019_JAARROND_T(A111*60,J111,I111,"","center")</f>
        <v>1.8836188825586044</v>
      </c>
      <c r="L111">
        <f t="shared" si="19"/>
        <v>0.79633943675616714</v>
      </c>
    </row>
    <row r="112" spans="1:12" x14ac:dyDescent="0.3">
      <c r="A112">
        <v>192</v>
      </c>
      <c r="B112">
        <f t="shared" si="27"/>
        <v>0.20942233580594238</v>
      </c>
      <c r="C112">
        <f t="shared" si="24"/>
        <v>0.20942233580594238</v>
      </c>
      <c r="D112" t="s">
        <v>24</v>
      </c>
      <c r="E112" t="s">
        <v>21</v>
      </c>
      <c r="F112">
        <v>1</v>
      </c>
      <c r="G112">
        <f t="shared" si="28"/>
        <v>95</v>
      </c>
      <c r="I112">
        <v>2030</v>
      </c>
      <c r="J112">
        <f t="shared" si="29"/>
        <v>97.5</v>
      </c>
      <c r="K112" cm="1">
        <f t="array" ref="K112">STOWA2019_JAARROND_T(A112*60,J112,I112,"","center")</f>
        <v>2.5557272016294714</v>
      </c>
      <c r="L112">
        <f t="shared" si="19"/>
        <v>0.58691710095022476</v>
      </c>
    </row>
    <row r="113" spans="1:12" x14ac:dyDescent="0.3">
      <c r="A113">
        <v>192</v>
      </c>
      <c r="B113">
        <f t="shared" si="27"/>
        <v>0.15451445459243129</v>
      </c>
      <c r="C113">
        <f t="shared" si="24"/>
        <v>0.15451445459243129</v>
      </c>
      <c r="D113" t="s">
        <v>24</v>
      </c>
      <c r="E113" t="s">
        <v>21</v>
      </c>
      <c r="F113">
        <v>1</v>
      </c>
      <c r="G113">
        <f t="shared" si="28"/>
        <v>100</v>
      </c>
      <c r="I113">
        <v>2030</v>
      </c>
      <c r="J113">
        <f t="shared" si="29"/>
        <v>102.5</v>
      </c>
      <c r="K113" cm="1">
        <f t="array" ref="K113">STOWA2019_JAARROND_T(A113*60,J113,I113,"","center")</f>
        <v>3.4689889449909108</v>
      </c>
      <c r="L113">
        <f t="shared" si="19"/>
        <v>0.43240264635779346</v>
      </c>
    </row>
    <row r="114" spans="1:12" x14ac:dyDescent="0.3">
      <c r="A114">
        <v>192</v>
      </c>
      <c r="B114">
        <f t="shared" si="27"/>
        <v>0.11395439159679083</v>
      </c>
      <c r="C114">
        <f t="shared" si="24"/>
        <v>0.11395439159679083</v>
      </c>
      <c r="D114" t="s">
        <v>24</v>
      </c>
      <c r="E114" t="s">
        <v>21</v>
      </c>
      <c r="F114">
        <v>1</v>
      </c>
      <c r="G114">
        <f t="shared" si="28"/>
        <v>105</v>
      </c>
      <c r="I114">
        <v>2030</v>
      </c>
      <c r="J114">
        <f t="shared" si="29"/>
        <v>107.5</v>
      </c>
      <c r="K114" cm="1">
        <f t="array" ref="K114">STOWA2019_JAARROND_T(A114*60,J114,I114,"","center")</f>
        <v>4.710341405782736</v>
      </c>
      <c r="L114">
        <f t="shared" si="19"/>
        <v>0.31844825476100264</v>
      </c>
    </row>
    <row r="115" spans="1:12" x14ac:dyDescent="0.3">
      <c r="A115">
        <v>192</v>
      </c>
      <c r="B115">
        <f t="shared" si="27"/>
        <v>8.4012901929486405E-2</v>
      </c>
      <c r="C115">
        <f t="shared" si="24"/>
        <v>8.4012901929486405E-2</v>
      </c>
      <c r="D115" t="s">
        <v>24</v>
      </c>
      <c r="E115" t="s">
        <v>21</v>
      </c>
      <c r="F115">
        <v>1</v>
      </c>
      <c r="G115">
        <f t="shared" si="28"/>
        <v>110</v>
      </c>
      <c r="I115">
        <v>2030</v>
      </c>
      <c r="J115">
        <f t="shared" si="29"/>
        <v>112.5</v>
      </c>
      <c r="K115" cm="1">
        <f t="array" ref="K115">STOWA2019_JAARROND_T(A115*60,J115,I115,"","center")</f>
        <v>6.398352389615992</v>
      </c>
      <c r="L115">
        <f t="shared" si="19"/>
        <v>0.23443535283151623</v>
      </c>
    </row>
    <row r="116" spans="1:12" x14ac:dyDescent="0.3">
      <c r="A116">
        <v>192</v>
      </c>
      <c r="B116">
        <f t="shared" si="27"/>
        <v>6.1915298543213065E-2</v>
      </c>
      <c r="C116">
        <f t="shared" si="24"/>
        <v>6.1915298543213065E-2</v>
      </c>
      <c r="D116" t="s">
        <v>24</v>
      </c>
      <c r="E116" t="s">
        <v>21</v>
      </c>
      <c r="F116">
        <v>1</v>
      </c>
      <c r="G116">
        <f t="shared" si="28"/>
        <v>115</v>
      </c>
      <c r="I116">
        <v>2030</v>
      </c>
      <c r="J116">
        <f t="shared" si="29"/>
        <v>117.5</v>
      </c>
      <c r="K116" cm="1">
        <f t="array" ref="K116">STOWA2019_JAARROND_T(A116*60,J116,I116,"","center")</f>
        <v>8.6946413632197643</v>
      </c>
      <c r="L116">
        <f t="shared" si="19"/>
        <v>0.17252005428830317</v>
      </c>
    </row>
    <row r="117" spans="1:12" x14ac:dyDescent="0.3">
      <c r="A117">
        <v>192</v>
      </c>
      <c r="B117">
        <f t="shared" si="27"/>
        <v>4.5612632868299502E-2</v>
      </c>
      <c r="C117">
        <f t="shared" si="24"/>
        <v>4.5612632868299502E-2</v>
      </c>
      <c r="D117" t="s">
        <v>24</v>
      </c>
      <c r="E117" t="s">
        <v>21</v>
      </c>
      <c r="F117">
        <v>1</v>
      </c>
      <c r="G117">
        <f t="shared" si="28"/>
        <v>120</v>
      </c>
      <c r="I117">
        <v>2030</v>
      </c>
      <c r="J117">
        <f t="shared" si="29"/>
        <v>122.5</v>
      </c>
      <c r="K117" cm="1">
        <f t="array" ref="K117">STOWA2019_JAARROND_T(A117*60,J117,I117,"","center")</f>
        <v>11.81963972804796</v>
      </c>
      <c r="L117">
        <f t="shared" si="19"/>
        <v>0.12690742142000366</v>
      </c>
    </row>
    <row r="118" spans="1:12" x14ac:dyDescent="0.3">
      <c r="A118">
        <v>192</v>
      </c>
      <c r="B118">
        <f t="shared" si="27"/>
        <v>3.3589676995065515E-2</v>
      </c>
      <c r="C118">
        <f t="shared" si="24"/>
        <v>3.3589676995065515E-2</v>
      </c>
      <c r="D118" t="s">
        <v>24</v>
      </c>
      <c r="E118" t="s">
        <v>21</v>
      </c>
      <c r="F118">
        <v>1</v>
      </c>
      <c r="G118">
        <f t="shared" si="28"/>
        <v>125</v>
      </c>
      <c r="I118">
        <v>2030</v>
      </c>
      <c r="J118">
        <f t="shared" si="29"/>
        <v>127.5</v>
      </c>
      <c r="K118" cm="1">
        <f t="array" ref="K118">STOWA2019_JAARROND_T(A118*60,J118,I118,"","center")</f>
        <v>16.074113334431832</v>
      </c>
      <c r="L118">
        <f t="shared" si="19"/>
        <v>9.3317744424938148E-2</v>
      </c>
    </row>
    <row r="119" spans="1:12" x14ac:dyDescent="0.3">
      <c r="A119">
        <v>192</v>
      </c>
      <c r="B119">
        <f t="shared" si="27"/>
        <v>2.4726722104266102E-2</v>
      </c>
      <c r="C119">
        <f t="shared" si="24"/>
        <v>2.4726722104266102E-2</v>
      </c>
      <c r="D119" t="s">
        <v>24</v>
      </c>
      <c r="E119" t="s">
        <v>21</v>
      </c>
      <c r="F119">
        <v>1</v>
      </c>
      <c r="G119">
        <f t="shared" si="28"/>
        <v>130</v>
      </c>
      <c r="I119">
        <v>2030</v>
      </c>
      <c r="J119">
        <f t="shared" si="29"/>
        <v>132.5</v>
      </c>
      <c r="K119" cm="1">
        <f t="array" ref="K119">STOWA2019_JAARROND_T(A119*60,J119,I119,"","center")</f>
        <v>21.868751175442508</v>
      </c>
      <c r="L119">
        <f t="shared" si="19"/>
        <v>6.8591022320672046E-2</v>
      </c>
    </row>
    <row r="120" spans="1:12" x14ac:dyDescent="0.3">
      <c r="A120">
        <v>192</v>
      </c>
      <c r="B120">
        <f t="shared" si="27"/>
        <v>1.8194447349372686E-2</v>
      </c>
      <c r="C120">
        <f t="shared" si="24"/>
        <v>1.8194447349372686E-2</v>
      </c>
      <c r="D120" t="s">
        <v>24</v>
      </c>
      <c r="E120" t="s">
        <v>21</v>
      </c>
      <c r="F120">
        <v>1</v>
      </c>
      <c r="G120">
        <f t="shared" si="28"/>
        <v>135</v>
      </c>
      <c r="I120">
        <v>2030</v>
      </c>
      <c r="J120">
        <f t="shared" si="29"/>
        <v>137.5</v>
      </c>
      <c r="K120" cm="1">
        <f t="array" ref="K120">STOWA2019_JAARROND_T(A120*60,J120,I120,"","center")</f>
        <v>29.763927426700004</v>
      </c>
      <c r="L120">
        <f t="shared" si="19"/>
        <v>5.039657497129936E-2</v>
      </c>
    </row>
    <row r="121" spans="1:12" x14ac:dyDescent="0.3">
      <c r="A121">
        <v>192</v>
      </c>
      <c r="B121">
        <f t="shared" si="27"/>
        <v>1.3382951888688918E-2</v>
      </c>
      <c r="C121">
        <f t="shared" si="24"/>
        <v>1.3382951888688918E-2</v>
      </c>
      <c r="D121" t="s">
        <v>24</v>
      </c>
      <c r="E121" t="s">
        <v>21</v>
      </c>
      <c r="F121">
        <v>1</v>
      </c>
      <c r="G121">
        <f t="shared" si="28"/>
        <v>140</v>
      </c>
      <c r="I121">
        <v>2030</v>
      </c>
      <c r="J121">
        <f t="shared" si="29"/>
        <v>142.5</v>
      </c>
      <c r="K121" cm="1">
        <f t="array" ref="K121">STOWA2019_JAARROND_T(A121*60,J121,I121,"","center")</f>
        <v>40.525619355126643</v>
      </c>
      <c r="L121">
        <f t="shared" si="19"/>
        <v>3.7013623082610442E-2</v>
      </c>
    </row>
    <row r="122" spans="1:12" x14ac:dyDescent="0.3">
      <c r="A122">
        <v>192</v>
      </c>
      <c r="B122">
        <f t="shared" si="27"/>
        <v>9.8399615977889029E-3</v>
      </c>
      <c r="C122">
        <f t="shared" si="24"/>
        <v>9.8399615977889029E-3</v>
      </c>
      <c r="D122" t="s">
        <v>24</v>
      </c>
      <c r="E122" t="s">
        <v>21</v>
      </c>
      <c r="F122">
        <v>1</v>
      </c>
      <c r="G122">
        <f t="shared" si="28"/>
        <v>145</v>
      </c>
      <c r="I122">
        <v>2030</v>
      </c>
      <c r="J122">
        <f t="shared" si="29"/>
        <v>147.5</v>
      </c>
      <c r="K122" cm="1">
        <f t="array" ref="K122">STOWA2019_JAARROND_T(A122*60,J122,I122,"","center")</f>
        <v>55.200511010923528</v>
      </c>
      <c r="L122">
        <f t="shared" si="19"/>
        <v>2.7173661484821539E-2</v>
      </c>
    </row>
    <row r="123" spans="1:12" x14ac:dyDescent="0.3">
      <c r="A123">
        <v>192</v>
      </c>
      <c r="B123">
        <f t="shared" si="27"/>
        <v>7.2320652685224328E-3</v>
      </c>
      <c r="C123">
        <f t="shared" si="24"/>
        <v>7.2320652685224328E-3</v>
      </c>
      <c r="D123" t="s">
        <v>24</v>
      </c>
      <c r="E123" t="s">
        <v>21</v>
      </c>
      <c r="F123">
        <v>1</v>
      </c>
      <c r="G123">
        <f t="shared" si="28"/>
        <v>150</v>
      </c>
      <c r="I123">
        <v>2030</v>
      </c>
      <c r="J123">
        <f t="shared" si="29"/>
        <v>152.5</v>
      </c>
      <c r="K123" cm="1">
        <f t="array" ref="K123">STOWA2019_JAARROND_T(A123*60,J123,I123,"","center")</f>
        <v>75.219655624858504</v>
      </c>
      <c r="L123">
        <f t="shared" si="19"/>
        <v>1.9941596216299106E-2</v>
      </c>
    </row>
    <row r="124" spans="1:12" x14ac:dyDescent="0.3">
      <c r="A124">
        <v>192</v>
      </c>
      <c r="B124">
        <f t="shared" si="27"/>
        <v>5.3132200238479727E-3</v>
      </c>
      <c r="C124">
        <f t="shared" si="24"/>
        <v>5.3132200238479727E-3</v>
      </c>
      <c r="D124" t="s">
        <v>24</v>
      </c>
      <c r="E124" t="s">
        <v>21</v>
      </c>
      <c r="F124">
        <v>1</v>
      </c>
      <c r="G124">
        <f t="shared" si="28"/>
        <v>155</v>
      </c>
      <c r="I124">
        <v>2030</v>
      </c>
      <c r="J124">
        <f t="shared" si="29"/>
        <v>157.5</v>
      </c>
      <c r="K124" cm="1">
        <f t="array" ref="K124">STOWA2019_JAARROND_T(A124*60,J124,I124,"","center")</f>
        <v>102.54043102706532</v>
      </c>
      <c r="L124">
        <f t="shared" si="19"/>
        <v>1.4628376192451133E-2</v>
      </c>
    </row>
    <row r="125" spans="1:12" x14ac:dyDescent="0.3">
      <c r="A125">
        <v>192</v>
      </c>
      <c r="B125" s="1">
        <f>L124</f>
        <v>1.4628376192451133E-2</v>
      </c>
      <c r="C125">
        <f t="shared" si="24"/>
        <v>1.4628376192451133E-2</v>
      </c>
      <c r="D125" t="s">
        <v>24</v>
      </c>
      <c r="E125" t="s">
        <v>21</v>
      </c>
      <c r="F125">
        <v>1</v>
      </c>
      <c r="G125">
        <f t="shared" si="28"/>
        <v>160</v>
      </c>
      <c r="I125">
        <v>2030</v>
      </c>
      <c r="J125">
        <f>AVERAGE(G125:G126)</f>
        <v>85</v>
      </c>
      <c r="K125" cm="1">
        <f t="array" ref="K125">STOWA2019_JAARROND_T(A125*60,J125,I125,"","center")</f>
        <v>1.1926232949477189</v>
      </c>
      <c r="L125">
        <f t="shared" si="19"/>
        <v>1.2577315958479207</v>
      </c>
    </row>
    <row r="126" spans="1:12" x14ac:dyDescent="0.3">
      <c r="A126">
        <v>216</v>
      </c>
      <c r="B126" s="1">
        <f>365.25*24/A126 - L126</f>
        <v>-86.28205676689322</v>
      </c>
      <c r="C126">
        <f>B126</f>
        <v>-86.28205676689322</v>
      </c>
      <c r="D126" t="s">
        <v>24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STOWA2019_JAARROND_T(A126*60,J126,I126,"","center")</f>
        <v>1.1823555650717393E-2</v>
      </c>
      <c r="L126">
        <f t="shared" si="19"/>
        <v>126.86539010022656</v>
      </c>
    </row>
    <row r="127" spans="1:12" x14ac:dyDescent="0.3">
      <c r="A127">
        <v>216</v>
      </c>
      <c r="B127">
        <f t="shared" ref="B127:B131" si="30">L126-L127</f>
        <v>-1373.1346098997735</v>
      </c>
      <c r="C127">
        <f t="shared" ref="C127:C156" si="31">B127</f>
        <v>-1373.1346098997735</v>
      </c>
      <c r="D127" t="s">
        <v>24</v>
      </c>
      <c r="E127" t="s">
        <v>21</v>
      </c>
      <c r="F127">
        <v>1</v>
      </c>
      <c r="G127">
        <f t="shared" ref="G127:G131" si="32">G126+5</f>
        <v>15</v>
      </c>
      <c r="I127">
        <v>2030</v>
      </c>
      <c r="J127">
        <f t="shared" ref="J127:J131" si="33">AVERAGE(G127:G128)</f>
        <v>17.5</v>
      </c>
      <c r="K127" s="1">
        <v>1E-3</v>
      </c>
      <c r="L127">
        <f t="shared" si="19"/>
        <v>1500</v>
      </c>
    </row>
    <row r="128" spans="1:12" x14ac:dyDescent="0.3">
      <c r="A128">
        <v>216</v>
      </c>
      <c r="B128">
        <f t="shared" si="30"/>
        <v>1451.0696439586932</v>
      </c>
      <c r="C128">
        <f t="shared" si="31"/>
        <v>1451.0696439586932</v>
      </c>
      <c r="D128" t="s">
        <v>24</v>
      </c>
      <c r="E128" t="s">
        <v>21</v>
      </c>
      <c r="F128">
        <v>1</v>
      </c>
      <c r="G128">
        <f t="shared" si="32"/>
        <v>20</v>
      </c>
      <c r="I128">
        <v>2030</v>
      </c>
      <c r="J128">
        <f t="shared" si="33"/>
        <v>22.5</v>
      </c>
      <c r="K128" cm="1">
        <f t="array" ref="K128">STOWA2019_JAARROND_T(A128*60,J128,I128,"","center")</f>
        <v>3.0655816171329453E-2</v>
      </c>
      <c r="L128">
        <f t="shared" si="19"/>
        <v>48.930356041306766</v>
      </c>
    </row>
    <row r="129" spans="1:12" x14ac:dyDescent="0.3">
      <c r="A129">
        <v>216</v>
      </c>
      <c r="B129">
        <f t="shared" si="30"/>
        <v>2.9462349162714361</v>
      </c>
      <c r="C129">
        <f t="shared" si="31"/>
        <v>2.9462349162714361</v>
      </c>
      <c r="D129" t="s">
        <v>24</v>
      </c>
      <c r="E129" t="s">
        <v>21</v>
      </c>
      <c r="F129">
        <v>1</v>
      </c>
      <c r="G129">
        <f t="shared" si="32"/>
        <v>25</v>
      </c>
      <c r="I129">
        <v>2030</v>
      </c>
      <c r="J129">
        <f t="shared" si="33"/>
        <v>27.5</v>
      </c>
      <c r="K129" cm="1">
        <f t="array" ref="K129">STOWA2019_JAARROND_T(A129*60,J129,I129,"","center")</f>
        <v>3.2619955830434443E-2</v>
      </c>
      <c r="L129">
        <f t="shared" si="19"/>
        <v>45.98412112503533</v>
      </c>
    </row>
    <row r="130" spans="1:12" x14ac:dyDescent="0.3">
      <c r="A130">
        <v>216</v>
      </c>
      <c r="B130">
        <f t="shared" si="30"/>
        <v>11.761798647582218</v>
      </c>
      <c r="C130">
        <f t="shared" si="31"/>
        <v>11.761798647582218</v>
      </c>
      <c r="D130" t="s">
        <v>24</v>
      </c>
      <c r="E130" t="s">
        <v>21</v>
      </c>
      <c r="F130">
        <v>1</v>
      </c>
      <c r="G130">
        <f t="shared" si="32"/>
        <v>30</v>
      </c>
      <c r="I130">
        <v>2030</v>
      </c>
      <c r="J130">
        <f t="shared" si="33"/>
        <v>32.5</v>
      </c>
      <c r="K130" cm="1">
        <f t="array" ref="K130">STOWA2019_JAARROND_T(A130*60,J130,I130,"","center")</f>
        <v>4.3831040426559408E-2</v>
      </c>
      <c r="L130">
        <f t="shared" si="19"/>
        <v>34.222322477453112</v>
      </c>
    </row>
    <row r="131" spans="1:12" x14ac:dyDescent="0.3">
      <c r="A131">
        <v>216</v>
      </c>
      <c r="B131">
        <f t="shared" si="30"/>
        <v>8.5607320994057829</v>
      </c>
      <c r="C131">
        <f t="shared" si="31"/>
        <v>8.5607320994057829</v>
      </c>
      <c r="D131" t="s">
        <v>24</v>
      </c>
      <c r="E131" t="s">
        <v>21</v>
      </c>
      <c r="F131">
        <v>1</v>
      </c>
      <c r="G131">
        <f t="shared" si="32"/>
        <v>35</v>
      </c>
      <c r="I131">
        <v>2030</v>
      </c>
      <c r="J131">
        <f t="shared" si="33"/>
        <v>37.5</v>
      </c>
      <c r="K131" cm="1">
        <f t="array" ref="K131">STOWA2019_JAARROND_T(A131*60,J131,I131,"","center")</f>
        <v>5.8453119152085058E-2</v>
      </c>
      <c r="L131">
        <f t="shared" ref="L131:L156" si="34">1/K131 * 12/8</f>
        <v>25.661590378047329</v>
      </c>
    </row>
    <row r="132" spans="1:12" x14ac:dyDescent="0.3">
      <c r="A132">
        <v>216</v>
      </c>
      <c r="B132">
        <f>L131-L132</f>
        <v>6.3823244097264009</v>
      </c>
      <c r="C132">
        <f t="shared" si="31"/>
        <v>6.3823244097264009</v>
      </c>
      <c r="D132" t="s">
        <v>24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STOWA2019_JAARROND_T(A132*60,J132,I132,"","center")</f>
        <v>7.7803792035690156E-2</v>
      </c>
      <c r="L132">
        <f t="shared" si="34"/>
        <v>19.279265968320928</v>
      </c>
    </row>
    <row r="133" spans="1:12" x14ac:dyDescent="0.3">
      <c r="A133">
        <v>216</v>
      </c>
      <c r="B133">
        <f t="shared" ref="B133:B155" si="35">L132-L133</f>
        <v>4.7909694428476026</v>
      </c>
      <c r="C133">
        <f t="shared" si="31"/>
        <v>4.7909694428476026</v>
      </c>
      <c r="D133" t="s">
        <v>24</v>
      </c>
      <c r="E133" t="s">
        <v>21</v>
      </c>
      <c r="F133">
        <v>1</v>
      </c>
      <c r="G133">
        <f t="shared" ref="G133:G156" si="36">G132+5</f>
        <v>45</v>
      </c>
      <c r="I133">
        <v>2030</v>
      </c>
      <c r="J133">
        <f t="shared" ref="J133:J155" si="37">AVERAGE(G133:G134)</f>
        <v>47.5</v>
      </c>
      <c r="K133" cm="1">
        <f t="array" ref="K133">STOWA2019_JAARROND_T(A133*60,J133,I133,"","center")</f>
        <v>0.10353184015544545</v>
      </c>
      <c r="L133">
        <f t="shared" si="34"/>
        <v>14.488296525473325</v>
      </c>
    </row>
    <row r="134" spans="1:12" x14ac:dyDescent="0.3">
      <c r="A134">
        <v>216</v>
      </c>
      <c r="B134">
        <f t="shared" si="35"/>
        <v>3.6046136660421482</v>
      </c>
      <c r="C134">
        <f t="shared" si="31"/>
        <v>3.6046136660421482</v>
      </c>
      <c r="D134" t="s">
        <v>24</v>
      </c>
      <c r="E134" t="s">
        <v>21</v>
      </c>
      <c r="F134">
        <v>1</v>
      </c>
      <c r="G134">
        <f t="shared" si="36"/>
        <v>50</v>
      </c>
      <c r="I134">
        <v>2030</v>
      </c>
      <c r="J134">
        <f t="shared" si="37"/>
        <v>52.5</v>
      </c>
      <c r="K134" cm="1">
        <f t="array" ref="K134">STOWA2019_JAARROND_T(A134*60,J134,I134,"","center")</f>
        <v>0.13782099491259853</v>
      </c>
      <c r="L134">
        <f t="shared" si="34"/>
        <v>10.883682859431177</v>
      </c>
    </row>
    <row r="135" spans="1:12" x14ac:dyDescent="0.3">
      <c r="A135">
        <v>216</v>
      </c>
      <c r="B135">
        <f t="shared" si="35"/>
        <v>2.7137338869099903</v>
      </c>
      <c r="C135">
        <f t="shared" si="31"/>
        <v>2.7137338869099903</v>
      </c>
      <c r="D135" t="s">
        <v>24</v>
      </c>
      <c r="E135" t="s">
        <v>21</v>
      </c>
      <c r="F135">
        <v>1</v>
      </c>
      <c r="G135">
        <f t="shared" si="36"/>
        <v>55</v>
      </c>
      <c r="I135">
        <v>2030</v>
      </c>
      <c r="J135">
        <f t="shared" si="37"/>
        <v>57.5</v>
      </c>
      <c r="K135" cm="1">
        <f t="array" ref="K135">STOWA2019_JAARROND_T(A135*60,J135,I135,"","center")</f>
        <v>0.1835996779227265</v>
      </c>
      <c r="L135">
        <f t="shared" si="34"/>
        <v>8.1699489725211869</v>
      </c>
    </row>
    <row r="136" spans="1:12" x14ac:dyDescent="0.3">
      <c r="A136">
        <v>216</v>
      </c>
      <c r="B136">
        <f t="shared" si="35"/>
        <v>2.0425973858824786</v>
      </c>
      <c r="C136">
        <f t="shared" si="31"/>
        <v>2.0425973858824786</v>
      </c>
      <c r="D136" t="s">
        <v>24</v>
      </c>
      <c r="E136" t="s">
        <v>21</v>
      </c>
      <c r="F136">
        <v>1</v>
      </c>
      <c r="G136">
        <f t="shared" si="36"/>
        <v>60</v>
      </c>
      <c r="I136">
        <v>2030</v>
      </c>
      <c r="J136">
        <f t="shared" si="37"/>
        <v>62.5</v>
      </c>
      <c r="K136" cm="1">
        <f t="array" ref="K136">STOWA2019_JAARROND_T(A136*60,J136,I136,"","center")</f>
        <v>0.24480397098003928</v>
      </c>
      <c r="L136">
        <f t="shared" si="34"/>
        <v>6.1273515866387083</v>
      </c>
    </row>
    <row r="137" spans="1:12" x14ac:dyDescent="0.3">
      <c r="A137">
        <v>216</v>
      </c>
      <c r="B137">
        <f t="shared" si="35"/>
        <v>1.5365097729062454</v>
      </c>
      <c r="C137">
        <f t="shared" si="31"/>
        <v>1.5365097729062454</v>
      </c>
      <c r="D137" t="s">
        <v>24</v>
      </c>
      <c r="E137" t="s">
        <v>21</v>
      </c>
      <c r="F137">
        <v>1</v>
      </c>
      <c r="G137">
        <f t="shared" si="36"/>
        <v>65</v>
      </c>
      <c r="I137">
        <v>2030</v>
      </c>
      <c r="J137">
        <f t="shared" si="37"/>
        <v>67.5</v>
      </c>
      <c r="K137" cm="1">
        <f t="array" ref="K137">STOWA2019_JAARROND_T(A137*60,J137,I137,"","center")</f>
        <v>0.32673746142005805</v>
      </c>
      <c r="L137">
        <f t="shared" si="34"/>
        <v>4.5908418137324629</v>
      </c>
    </row>
    <row r="138" spans="1:12" x14ac:dyDescent="0.3">
      <c r="A138">
        <v>216</v>
      </c>
      <c r="B138">
        <f t="shared" si="35"/>
        <v>1.1550164752197727</v>
      </c>
      <c r="C138">
        <f t="shared" si="31"/>
        <v>1.1550164752197727</v>
      </c>
      <c r="D138" t="s">
        <v>24</v>
      </c>
      <c r="E138" t="s">
        <v>21</v>
      </c>
      <c r="F138">
        <v>1</v>
      </c>
      <c r="G138">
        <f t="shared" si="36"/>
        <v>70</v>
      </c>
      <c r="I138">
        <v>2030</v>
      </c>
      <c r="J138">
        <f t="shared" si="37"/>
        <v>72.5</v>
      </c>
      <c r="K138" cm="1">
        <f t="array" ref="K138">STOWA2019_JAARROND_T(A138*60,J138,I138,"","center")</f>
        <v>0.43657632510776129</v>
      </c>
      <c r="L138">
        <f t="shared" si="34"/>
        <v>3.4358253385126902</v>
      </c>
    </row>
    <row r="139" spans="1:12" x14ac:dyDescent="0.3">
      <c r="A139">
        <v>216</v>
      </c>
      <c r="B139">
        <f t="shared" si="35"/>
        <v>0.86734457019700795</v>
      </c>
      <c r="C139">
        <f t="shared" si="31"/>
        <v>0.86734457019700795</v>
      </c>
      <c r="D139" t="s">
        <v>24</v>
      </c>
      <c r="E139" t="s">
        <v>21</v>
      </c>
      <c r="F139">
        <v>1</v>
      </c>
      <c r="G139">
        <f t="shared" si="36"/>
        <v>75</v>
      </c>
      <c r="I139">
        <v>2030</v>
      </c>
      <c r="J139">
        <f t="shared" si="37"/>
        <v>77.5</v>
      </c>
      <c r="K139" cm="1">
        <f t="array" ref="K139">STOWA2019_JAARROND_T(A139*60,J139,I139,"","center")</f>
        <v>0.58400281540112375</v>
      </c>
      <c r="L139">
        <f t="shared" si="34"/>
        <v>2.5684807683156823</v>
      </c>
    </row>
    <row r="140" spans="1:12" x14ac:dyDescent="0.3">
      <c r="A140">
        <v>216</v>
      </c>
      <c r="B140">
        <f t="shared" si="35"/>
        <v>0.65065036831521006</v>
      </c>
      <c r="C140">
        <f t="shared" si="31"/>
        <v>0.65065036831521006</v>
      </c>
      <c r="D140" t="s">
        <v>24</v>
      </c>
      <c r="E140" t="s">
        <v>21</v>
      </c>
      <c r="F140">
        <v>1</v>
      </c>
      <c r="G140">
        <f t="shared" si="36"/>
        <v>80</v>
      </c>
      <c r="I140">
        <v>2030</v>
      </c>
      <c r="J140">
        <f t="shared" si="37"/>
        <v>82.5</v>
      </c>
      <c r="K140" cm="1">
        <f t="array" ref="K140">STOWA2019_JAARROND_T(A140*60,J140,I140,"","center")</f>
        <v>0.78213381120647096</v>
      </c>
      <c r="L140">
        <f t="shared" si="34"/>
        <v>1.9178304000004722</v>
      </c>
    </row>
    <row r="141" spans="1:12" x14ac:dyDescent="0.3">
      <c r="A141">
        <v>216</v>
      </c>
      <c r="B141">
        <f t="shared" si="35"/>
        <v>0.48745642190538696</v>
      </c>
      <c r="C141">
        <f t="shared" si="31"/>
        <v>0.48745642190538696</v>
      </c>
      <c r="D141" t="s">
        <v>24</v>
      </c>
      <c r="E141" t="s">
        <v>21</v>
      </c>
      <c r="F141">
        <v>1</v>
      </c>
      <c r="G141">
        <f t="shared" si="36"/>
        <v>85</v>
      </c>
      <c r="I141">
        <v>2030</v>
      </c>
      <c r="J141">
        <f t="shared" si="37"/>
        <v>87.5</v>
      </c>
      <c r="K141" cm="1">
        <f t="array" ref="K141">STOWA2019_JAARROND_T(A141*60,J141,I141,"","center")</f>
        <v>1.0486767956990102</v>
      </c>
      <c r="L141">
        <f t="shared" si="34"/>
        <v>1.4303739780950853</v>
      </c>
    </row>
    <row r="142" spans="1:12" x14ac:dyDescent="0.3">
      <c r="A142">
        <v>216</v>
      </c>
      <c r="B142">
        <f t="shared" si="35"/>
        <v>0.36497848614301565</v>
      </c>
      <c r="C142">
        <f t="shared" si="31"/>
        <v>0.36497848614301565</v>
      </c>
      <c r="D142" t="s">
        <v>24</v>
      </c>
      <c r="E142" t="s">
        <v>21</v>
      </c>
      <c r="F142">
        <v>1</v>
      </c>
      <c r="G142">
        <f t="shared" si="36"/>
        <v>90</v>
      </c>
      <c r="I142">
        <v>2030</v>
      </c>
      <c r="J142">
        <f t="shared" si="37"/>
        <v>92.5</v>
      </c>
      <c r="K142" cm="1">
        <f t="array" ref="K142">STOWA2019_JAARROND_T(A142*60,J142,I142,"","center")</f>
        <v>1.4079278646576838</v>
      </c>
      <c r="L142">
        <f t="shared" si="34"/>
        <v>1.0653954919520696</v>
      </c>
    </row>
    <row r="143" spans="1:12" x14ac:dyDescent="0.3">
      <c r="A143">
        <v>216</v>
      </c>
      <c r="B143">
        <f t="shared" si="35"/>
        <v>0.27285361360305604</v>
      </c>
      <c r="C143">
        <f t="shared" si="31"/>
        <v>0.27285361360305604</v>
      </c>
      <c r="D143" t="s">
        <v>24</v>
      </c>
      <c r="E143" t="s">
        <v>21</v>
      </c>
      <c r="F143">
        <v>1</v>
      </c>
      <c r="G143">
        <f t="shared" si="36"/>
        <v>95</v>
      </c>
      <c r="I143">
        <v>2030</v>
      </c>
      <c r="J143">
        <f t="shared" si="37"/>
        <v>97.5</v>
      </c>
      <c r="K143" cm="1">
        <f t="array" ref="K143">STOWA2019_JAARROND_T(A143*60,J143,I143,"","center")</f>
        <v>1.8926444658353325</v>
      </c>
      <c r="L143">
        <f t="shared" si="34"/>
        <v>0.79254187834901357</v>
      </c>
    </row>
    <row r="144" spans="1:12" x14ac:dyDescent="0.3">
      <c r="A144">
        <v>216</v>
      </c>
      <c r="B144">
        <f t="shared" si="35"/>
        <v>0.20373319861806161</v>
      </c>
      <c r="C144">
        <f t="shared" si="31"/>
        <v>0.20373319861806161</v>
      </c>
      <c r="D144" t="s">
        <v>24</v>
      </c>
      <c r="E144" t="s">
        <v>21</v>
      </c>
      <c r="F144">
        <v>1</v>
      </c>
      <c r="G144">
        <f t="shared" si="36"/>
        <v>100</v>
      </c>
      <c r="I144">
        <v>2030</v>
      </c>
      <c r="J144">
        <f t="shared" si="37"/>
        <v>102.5</v>
      </c>
      <c r="K144" cm="1">
        <f t="array" ref="K144">STOWA2019_JAARROND_T(A144*60,J144,I144,"","center")</f>
        <v>2.5475167938852468</v>
      </c>
      <c r="L144">
        <f t="shared" si="34"/>
        <v>0.58880867973095197</v>
      </c>
    </row>
    <row r="145" spans="1:12" x14ac:dyDescent="0.3">
      <c r="A145">
        <v>216</v>
      </c>
      <c r="B145">
        <f t="shared" si="35"/>
        <v>0.15193373130112126</v>
      </c>
      <c r="C145">
        <f t="shared" si="31"/>
        <v>0.15193373130112126</v>
      </c>
      <c r="D145" t="s">
        <v>24</v>
      </c>
      <c r="E145" t="s">
        <v>21</v>
      </c>
      <c r="F145">
        <v>1</v>
      </c>
      <c r="G145">
        <f t="shared" si="36"/>
        <v>105</v>
      </c>
      <c r="I145">
        <v>2030</v>
      </c>
      <c r="J145">
        <f t="shared" si="37"/>
        <v>107.5</v>
      </c>
      <c r="K145" cm="1">
        <f t="array" ref="K145">STOWA2019_JAARROND_T(A145*60,J145,I145,"","center")</f>
        <v>3.4334768001487381</v>
      </c>
      <c r="L145">
        <f t="shared" si="34"/>
        <v>0.43687494842983071</v>
      </c>
    </row>
    <row r="146" spans="1:12" x14ac:dyDescent="0.3">
      <c r="A146">
        <v>216</v>
      </c>
      <c r="B146">
        <f t="shared" si="35"/>
        <v>0.11315667268320029</v>
      </c>
      <c r="C146">
        <f t="shared" si="31"/>
        <v>0.11315667268320029</v>
      </c>
      <c r="D146" t="s">
        <v>24</v>
      </c>
      <c r="E146" t="s">
        <v>21</v>
      </c>
      <c r="F146">
        <v>1</v>
      </c>
      <c r="G146">
        <f t="shared" si="36"/>
        <v>110</v>
      </c>
      <c r="I146">
        <v>2030</v>
      </c>
      <c r="J146">
        <f t="shared" si="37"/>
        <v>112.5</v>
      </c>
      <c r="K146" cm="1">
        <f t="array" ref="K146">STOWA2019_JAARROND_T(A146*60,J146,I146,"","center")</f>
        <v>4.633658685288526</v>
      </c>
      <c r="L146">
        <f t="shared" si="34"/>
        <v>0.32371827574663042</v>
      </c>
    </row>
    <row r="147" spans="1:12" x14ac:dyDescent="0.3">
      <c r="A147">
        <v>216</v>
      </c>
      <c r="B147">
        <f t="shared" si="35"/>
        <v>8.4169375983957989E-2</v>
      </c>
      <c r="C147">
        <f t="shared" si="31"/>
        <v>8.4169375983957989E-2</v>
      </c>
      <c r="D147" t="s">
        <v>24</v>
      </c>
      <c r="E147" t="s">
        <v>21</v>
      </c>
      <c r="F147">
        <v>1</v>
      </c>
      <c r="G147">
        <f t="shared" si="36"/>
        <v>115</v>
      </c>
      <c r="I147">
        <v>2030</v>
      </c>
      <c r="J147">
        <f t="shared" si="37"/>
        <v>117.5</v>
      </c>
      <c r="K147" cm="1">
        <f t="array" ref="K147">STOWA2019_JAARROND_T(A147*60,J147,I147,"","center")</f>
        <v>6.2617695238262021</v>
      </c>
      <c r="L147">
        <f t="shared" si="34"/>
        <v>0.23954889976267243</v>
      </c>
    </row>
    <row r="148" spans="1:12" x14ac:dyDescent="0.3">
      <c r="A148">
        <v>216</v>
      </c>
      <c r="B148">
        <f t="shared" si="35"/>
        <v>6.2526558097501073E-2</v>
      </c>
      <c r="C148">
        <f t="shared" si="31"/>
        <v>6.2526558097501073E-2</v>
      </c>
      <c r="D148" t="s">
        <v>24</v>
      </c>
      <c r="E148" t="s">
        <v>21</v>
      </c>
      <c r="F148">
        <v>1</v>
      </c>
      <c r="G148">
        <f t="shared" si="36"/>
        <v>120</v>
      </c>
      <c r="I148">
        <v>2030</v>
      </c>
      <c r="J148">
        <f t="shared" si="37"/>
        <v>122.5</v>
      </c>
      <c r="K148" cm="1">
        <f t="array" ref="K148">STOWA2019_JAARROND_T(A148*60,J148,I148,"","center")</f>
        <v>8.4735067104533766</v>
      </c>
      <c r="L148">
        <f t="shared" si="34"/>
        <v>0.17702234166517136</v>
      </c>
    </row>
    <row r="149" spans="1:12" x14ac:dyDescent="0.3">
      <c r="A149">
        <v>216</v>
      </c>
      <c r="B149">
        <f t="shared" si="35"/>
        <v>4.6384670373211118E-2</v>
      </c>
      <c r="C149">
        <f t="shared" si="31"/>
        <v>4.6384670373211118E-2</v>
      </c>
      <c r="D149" t="s">
        <v>24</v>
      </c>
      <c r="E149" t="s">
        <v>21</v>
      </c>
      <c r="F149">
        <v>1</v>
      </c>
      <c r="G149">
        <f t="shared" si="36"/>
        <v>125</v>
      </c>
      <c r="I149">
        <v>2030</v>
      </c>
      <c r="J149">
        <f t="shared" si="37"/>
        <v>127.5</v>
      </c>
      <c r="K149" cm="1">
        <f t="array" ref="K149">STOWA2019_JAARROND_T(A149*60,J149,I149,"","center")</f>
        <v>11.482139762332963</v>
      </c>
      <c r="L149">
        <f t="shared" si="34"/>
        <v>0.13063767129196024</v>
      </c>
    </row>
    <row r="150" spans="1:12" x14ac:dyDescent="0.3">
      <c r="A150">
        <v>216</v>
      </c>
      <c r="B150">
        <f t="shared" si="35"/>
        <v>3.43644341932869E-2</v>
      </c>
      <c r="C150">
        <f t="shared" si="31"/>
        <v>3.43644341932869E-2</v>
      </c>
      <c r="D150" t="s">
        <v>24</v>
      </c>
      <c r="E150" t="s">
        <v>21</v>
      </c>
      <c r="F150">
        <v>1</v>
      </c>
      <c r="G150">
        <f t="shared" si="36"/>
        <v>130</v>
      </c>
      <c r="I150">
        <v>2030</v>
      </c>
      <c r="J150">
        <f t="shared" si="37"/>
        <v>132.5</v>
      </c>
      <c r="K150" cm="1">
        <f t="array" ref="K150">STOWA2019_JAARROND_T(A150*60,J150,I150,"","center")</f>
        <v>15.580654034335677</v>
      </c>
      <c r="L150">
        <f t="shared" si="34"/>
        <v>9.6273237098673345E-2</v>
      </c>
    </row>
    <row r="151" spans="1:12" x14ac:dyDescent="0.3">
      <c r="A151">
        <v>216</v>
      </c>
      <c r="B151">
        <f t="shared" si="35"/>
        <v>2.5424352673228595E-2</v>
      </c>
      <c r="C151">
        <f t="shared" si="31"/>
        <v>2.5424352673228595E-2</v>
      </c>
      <c r="D151" t="s">
        <v>24</v>
      </c>
      <c r="E151" t="s">
        <v>21</v>
      </c>
      <c r="F151">
        <v>1</v>
      </c>
      <c r="G151">
        <f t="shared" si="36"/>
        <v>135</v>
      </c>
      <c r="I151">
        <v>2030</v>
      </c>
      <c r="J151">
        <f t="shared" si="37"/>
        <v>137.5</v>
      </c>
      <c r="K151" cm="1">
        <f t="array" ref="K151">STOWA2019_JAARROND_T(A151*60,J151,I151,"","center")</f>
        <v>21.171822424084468</v>
      </c>
      <c r="L151">
        <f t="shared" si="34"/>
        <v>7.084888442544475E-2</v>
      </c>
    </row>
    <row r="152" spans="1:12" x14ac:dyDescent="0.3">
      <c r="A152">
        <v>216</v>
      </c>
      <c r="B152">
        <f t="shared" si="35"/>
        <v>1.8784407506947307E-2</v>
      </c>
      <c r="C152">
        <f t="shared" si="31"/>
        <v>1.8784407506947307E-2</v>
      </c>
      <c r="D152" t="s">
        <v>24</v>
      </c>
      <c r="E152" t="s">
        <v>21</v>
      </c>
      <c r="F152">
        <v>1</v>
      </c>
      <c r="G152">
        <f t="shared" si="36"/>
        <v>140</v>
      </c>
      <c r="I152">
        <v>2030</v>
      </c>
      <c r="J152">
        <f t="shared" si="37"/>
        <v>142.5</v>
      </c>
      <c r="K152" cm="1">
        <f t="array" ref="K152">STOWA2019_JAARROND_T(A152*60,J152,I152,"","center")</f>
        <v>28.81043061948214</v>
      </c>
      <c r="L152">
        <f t="shared" si="34"/>
        <v>5.2064476918497443E-2</v>
      </c>
    </row>
    <row r="153" spans="1:12" x14ac:dyDescent="0.3">
      <c r="A153">
        <v>216</v>
      </c>
      <c r="B153">
        <f t="shared" si="35"/>
        <v>1.385859801759165E-2</v>
      </c>
      <c r="C153">
        <f t="shared" si="31"/>
        <v>1.385859801759165E-2</v>
      </c>
      <c r="D153" t="s">
        <v>24</v>
      </c>
      <c r="E153" t="s">
        <v>21</v>
      </c>
      <c r="F153">
        <v>1</v>
      </c>
      <c r="G153">
        <f t="shared" si="36"/>
        <v>145</v>
      </c>
      <c r="I153">
        <v>2030</v>
      </c>
      <c r="J153">
        <f t="shared" si="37"/>
        <v>147.5</v>
      </c>
      <c r="K153" cm="1">
        <f t="array" ref="K153">STOWA2019_JAARROND_T(A153*60,J153,I153,"","center")</f>
        <v>39.260973524271883</v>
      </c>
      <c r="L153">
        <f t="shared" si="34"/>
        <v>3.8205878900905793E-2</v>
      </c>
    </row>
    <row r="154" spans="1:12" x14ac:dyDescent="0.3">
      <c r="A154">
        <v>216</v>
      </c>
      <c r="B154">
        <f t="shared" si="35"/>
        <v>1.0210437063124474E-2</v>
      </c>
      <c r="C154">
        <f t="shared" si="31"/>
        <v>1.0210437063124474E-2</v>
      </c>
      <c r="D154" t="s">
        <v>24</v>
      </c>
      <c r="E154" t="s">
        <v>21</v>
      </c>
      <c r="F154">
        <v>1</v>
      </c>
      <c r="G154">
        <f t="shared" si="36"/>
        <v>150</v>
      </c>
      <c r="I154">
        <v>2030</v>
      </c>
      <c r="J154">
        <f t="shared" si="37"/>
        <v>152.5</v>
      </c>
      <c r="K154" cm="1">
        <f t="array" ref="K154">STOWA2019_JAARROND_T(A154*60,J154,I154,"","center")</f>
        <v>53.580150964992846</v>
      </c>
      <c r="L154">
        <f t="shared" si="34"/>
        <v>2.7995441837781319E-2</v>
      </c>
    </row>
    <row r="155" spans="1:12" x14ac:dyDescent="0.3">
      <c r="A155">
        <v>216</v>
      </c>
      <c r="B155">
        <f t="shared" si="35"/>
        <v>7.5115942313984455E-3</v>
      </c>
      <c r="C155">
        <f t="shared" si="31"/>
        <v>7.5115942313984455E-3</v>
      </c>
      <c r="D155" t="s">
        <v>24</v>
      </c>
      <c r="E155" t="s">
        <v>21</v>
      </c>
      <c r="F155">
        <v>1</v>
      </c>
      <c r="G155">
        <f t="shared" si="36"/>
        <v>155</v>
      </c>
      <c r="I155">
        <v>2030</v>
      </c>
      <c r="J155">
        <f t="shared" si="37"/>
        <v>157.5</v>
      </c>
      <c r="K155" cm="1">
        <f t="array" ref="K155">STOWA2019_JAARROND_T(A155*60,J155,I155,"","center")</f>
        <v>73.228429971944934</v>
      </c>
      <c r="L155">
        <f t="shared" si="34"/>
        <v>2.0483847606382874E-2</v>
      </c>
    </row>
    <row r="156" spans="1:12" x14ac:dyDescent="0.3">
      <c r="A156">
        <v>216</v>
      </c>
      <c r="B156" s="1">
        <f>L155</f>
        <v>2.0483847606382874E-2</v>
      </c>
      <c r="C156">
        <f t="shared" si="31"/>
        <v>2.0483847606382874E-2</v>
      </c>
      <c r="D156" t="s">
        <v>24</v>
      </c>
      <c r="E156" t="s">
        <v>21</v>
      </c>
      <c r="F156">
        <v>1</v>
      </c>
      <c r="G156">
        <f t="shared" si="36"/>
        <v>160</v>
      </c>
      <c r="I156">
        <v>2030</v>
      </c>
      <c r="J156">
        <f>AVERAGE(G156:G157)</f>
        <v>160</v>
      </c>
      <c r="K156" cm="1">
        <f t="array" ref="K156">STOWA2019_JAARROND_T(A156*60,J156,I156,"","center")</f>
        <v>85.656026353795653</v>
      </c>
      <c r="L156">
        <f t="shared" si="34"/>
        <v>1.7511902709616306E-2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64DB1-93AB-4A06-A1F6-A5FAB751D072}">
  <sheetPr codeName="Blad4"/>
  <dimension ref="A1:L156"/>
  <sheetViews>
    <sheetView workbookViewId="0">
      <selection activeCell="L25" sqref="L25"/>
    </sheetView>
  </sheetViews>
  <sheetFormatPr defaultRowHeight="14.4" x14ac:dyDescent="0.3"/>
  <cols>
    <col min="4" max="4" width="24" bestFit="1" customWidth="1"/>
    <col min="8" max="8" width="11.218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344.38534781618137</v>
      </c>
      <c r="C2">
        <f>B2</f>
        <v>344.38534781618137</v>
      </c>
      <c r="D2" t="s">
        <v>24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STOWA2019_NDJF_T(A2*60,J2,I2,"","center")</f>
        <v>0.14378384904621683</v>
      </c>
      <c r="L2">
        <f>1/K2 * 12/4</f>
        <v>20.864652183818656</v>
      </c>
    </row>
    <row r="3" spans="1:12" x14ac:dyDescent="0.3">
      <c r="A3">
        <v>24</v>
      </c>
      <c r="B3">
        <f t="shared" ref="B3:B7" si="0">L2-L3</f>
        <v>7.8080287925455991</v>
      </c>
      <c r="C3">
        <f t="shared" ref="C3:C32" si="1">B3</f>
        <v>7.8080287925455991</v>
      </c>
      <c r="D3" t="s">
        <v>24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STOWA2019_NDJF_T(A3*60,J3,I3,"","center")</f>
        <v>0.22976844089760423</v>
      </c>
      <c r="L3">
        <f t="shared" ref="L3:L66" si="4">1/K3 * 12/4</f>
        <v>13.056623391273057</v>
      </c>
    </row>
    <row r="4" spans="1:12" x14ac:dyDescent="0.3">
      <c r="A4">
        <v>24</v>
      </c>
      <c r="B4">
        <f t="shared" si="0"/>
        <v>7.7052369401120142</v>
      </c>
      <c r="C4">
        <f t="shared" si="1"/>
        <v>7.7052369401120142</v>
      </c>
      <c r="D4" t="s">
        <v>24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STOWA2019_NDJF_T(A4*60,J4,I4,"","center")</f>
        <v>0.56060238358399939</v>
      </c>
      <c r="L4">
        <f t="shared" si="4"/>
        <v>5.3513864511610425</v>
      </c>
    </row>
    <row r="5" spans="1:12" x14ac:dyDescent="0.3">
      <c r="A5">
        <v>24</v>
      </c>
      <c r="B5">
        <f t="shared" si="0"/>
        <v>3.0346993797189787</v>
      </c>
      <c r="C5">
        <f t="shared" si="1"/>
        <v>3.0346993797189787</v>
      </c>
      <c r="D5" t="s">
        <v>24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STOWA2019_NDJF_T(A5*60,J5,I5,"","center")</f>
        <v>1.2949526230716157</v>
      </c>
      <c r="L5">
        <f t="shared" si="4"/>
        <v>2.3166870714420638</v>
      </c>
    </row>
    <row r="6" spans="1:12" x14ac:dyDescent="0.3">
      <c r="A6">
        <v>24</v>
      </c>
      <c r="B6">
        <f t="shared" si="0"/>
        <v>1.2643892269975101</v>
      </c>
      <c r="C6">
        <f t="shared" si="1"/>
        <v>1.2643892269975101</v>
      </c>
      <c r="D6" t="s">
        <v>24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STOWA2019_NDJF_T(A6*60,J6,I6,"","center")</f>
        <v>2.8509038727372134</v>
      </c>
      <c r="L6">
        <f t="shared" si="4"/>
        <v>1.0522978444445537</v>
      </c>
    </row>
    <row r="7" spans="1:12" x14ac:dyDescent="0.3">
      <c r="A7">
        <v>24</v>
      </c>
      <c r="B7">
        <f t="shared" si="0"/>
        <v>0.55330229330762359</v>
      </c>
      <c r="C7">
        <f t="shared" si="1"/>
        <v>0.55330229330762359</v>
      </c>
      <c r="D7" t="s">
        <v>24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STOWA2019_NDJF_T(A7*60,J7,I7,"","center")</f>
        <v>6.0120776491186909</v>
      </c>
      <c r="L7">
        <f t="shared" si="4"/>
        <v>0.49899555113693006</v>
      </c>
    </row>
    <row r="8" spans="1:12" x14ac:dyDescent="0.3">
      <c r="A8">
        <v>24</v>
      </c>
      <c r="B8">
        <f>L7-L8</f>
        <v>0.25307847434606123</v>
      </c>
      <c r="C8">
        <f t="shared" si="1"/>
        <v>0.25307847434606123</v>
      </c>
      <c r="D8" t="s">
        <v>24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STOWA2019_NDJF_T(A8*60,J8,I8,"","center")</f>
        <v>12.199234144895273</v>
      </c>
      <c r="L8">
        <f t="shared" si="4"/>
        <v>0.24591707679086883</v>
      </c>
    </row>
    <row r="9" spans="1:12" x14ac:dyDescent="0.3">
      <c r="A9">
        <v>24</v>
      </c>
      <c r="B9">
        <f t="shared" ref="B9:B31" si="5">L8-L9</f>
        <v>0.12043535617359105</v>
      </c>
      <c r="C9">
        <f t="shared" si="1"/>
        <v>0.12043535617359105</v>
      </c>
      <c r="D9" t="s">
        <v>24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STOWA2019_NDJF_T(A9*60,J9,I9,"","center")</f>
        <v>23.907864709235788</v>
      </c>
      <c r="L9">
        <f t="shared" si="4"/>
        <v>0.12548172061727778</v>
      </c>
    </row>
    <row r="10" spans="1:12" x14ac:dyDescent="0.3">
      <c r="A10">
        <v>24</v>
      </c>
      <c r="B10">
        <f t="shared" si="5"/>
        <v>5.9404446103754116E-2</v>
      </c>
      <c r="C10">
        <f t="shared" si="1"/>
        <v>5.9404446103754116E-2</v>
      </c>
      <c r="D10" t="s">
        <v>24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STOWA2019_NDJF_T(A10*60,J10,I10,"","center")</f>
        <v>45.401388330355651</v>
      </c>
      <c r="L10">
        <f t="shared" si="4"/>
        <v>6.6077274513523659E-2</v>
      </c>
    </row>
    <row r="11" spans="1:12" x14ac:dyDescent="0.3">
      <c r="A11">
        <v>24</v>
      </c>
      <c r="B11">
        <f t="shared" si="5"/>
        <v>3.0268775979438299E-2</v>
      </c>
      <c r="C11">
        <f t="shared" si="1"/>
        <v>3.0268775979438299E-2</v>
      </c>
      <c r="D11" t="s">
        <v>24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STOWA2019_NDJF_T(A11*60,J11,I11,"","center")</f>
        <v>83.778994451397139</v>
      </c>
      <c r="L11">
        <f t="shared" si="4"/>
        <v>3.580849853408536E-2</v>
      </c>
    </row>
    <row r="12" spans="1:12" x14ac:dyDescent="0.3">
      <c r="A12">
        <v>24</v>
      </c>
      <c r="B12">
        <f t="shared" si="5"/>
        <v>1.5887560303768401E-2</v>
      </c>
      <c r="C12">
        <f t="shared" si="1"/>
        <v>1.5887560303768401E-2</v>
      </c>
      <c r="D12" t="s">
        <v>24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STOWA2019_NDJF_T(A12*60,J12,I12,"","center")</f>
        <v>150.5953166118656</v>
      </c>
      <c r="L12">
        <f t="shared" si="4"/>
        <v>1.9920938230316959E-2</v>
      </c>
    </row>
    <row r="13" spans="1:12" x14ac:dyDescent="0.3">
      <c r="A13">
        <v>24</v>
      </c>
      <c r="B13">
        <f t="shared" si="5"/>
        <v>8.5685247240480829E-3</v>
      </c>
      <c r="C13">
        <f t="shared" si="1"/>
        <v>8.5685247240480829E-3</v>
      </c>
      <c r="D13" t="s">
        <v>24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STOWA2019_NDJF_T(A13*60,J13,I13,"","center")</f>
        <v>264.26098717628463</v>
      </c>
      <c r="L13">
        <f t="shared" si="4"/>
        <v>1.1352413506268876E-2</v>
      </c>
    </row>
    <row r="14" spans="1:12" x14ac:dyDescent="0.3">
      <c r="A14">
        <v>24</v>
      </c>
      <c r="B14">
        <f t="shared" si="5"/>
        <v>4.7378445424249502E-3</v>
      </c>
      <c r="C14">
        <f t="shared" si="1"/>
        <v>4.7378445424249502E-3</v>
      </c>
      <c r="D14" t="s">
        <v>24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STOWA2019_NDJF_T(A14*60,J14,I14,"","center")</f>
        <v>453.54429236408009</v>
      </c>
      <c r="L14">
        <f t="shared" si="4"/>
        <v>6.614568963843926E-3</v>
      </c>
    </row>
    <row r="15" spans="1:12" x14ac:dyDescent="0.3">
      <c r="A15">
        <v>24</v>
      </c>
      <c r="B15">
        <f t="shared" si="5"/>
        <v>2.6807921713420798E-3</v>
      </c>
      <c r="C15">
        <f t="shared" si="1"/>
        <v>2.6807921713420798E-3</v>
      </c>
      <c r="D15" t="s">
        <v>24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STOWA2019_NDJF_T(A15*60,J15,I15,"","center")</f>
        <v>762.62588302373581</v>
      </c>
      <c r="L15">
        <f t="shared" si="4"/>
        <v>3.9337767925018462E-3</v>
      </c>
    </row>
    <row r="16" spans="1:12" x14ac:dyDescent="0.3">
      <c r="A16">
        <v>24</v>
      </c>
      <c r="B16">
        <f t="shared" si="5"/>
        <v>1.5494207057299356E-3</v>
      </c>
      <c r="C16">
        <f t="shared" si="1"/>
        <v>1.5494207057299356E-3</v>
      </c>
      <c r="D16" t="s">
        <v>24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STOWA2019_NDJF_T(A16*60,J16,I16,"","center")</f>
        <v>1258.2013301803368</v>
      </c>
      <c r="L16">
        <f t="shared" si="4"/>
        <v>2.3843560867719106E-3</v>
      </c>
    </row>
    <row r="17" spans="1:12" x14ac:dyDescent="0.3">
      <c r="A17">
        <v>24</v>
      </c>
      <c r="B17">
        <f t="shared" si="5"/>
        <v>9.1340050105237014E-4</v>
      </c>
      <c r="C17">
        <f t="shared" si="1"/>
        <v>9.1340050105237014E-4</v>
      </c>
      <c r="D17" t="s">
        <v>24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STOWA2019_NDJF_T(A17*60,J17,I17,"","center")</f>
        <v>2039.4905387524018</v>
      </c>
      <c r="L17">
        <f t="shared" si="4"/>
        <v>1.4709555857195405E-3</v>
      </c>
    </row>
    <row r="18" spans="1:12" x14ac:dyDescent="0.3">
      <c r="A18">
        <v>24</v>
      </c>
      <c r="B18">
        <f t="shared" si="5"/>
        <v>5.484342822780038E-4</v>
      </c>
      <c r="C18">
        <f t="shared" si="1"/>
        <v>5.484342822780038E-4</v>
      </c>
      <c r="D18" t="s">
        <v>24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STOWA2019_NDJF_T(A18*60,J18,I18,"","center")</f>
        <v>3251.9574223470713</v>
      </c>
      <c r="L18">
        <f t="shared" si="4"/>
        <v>9.2252130344153669E-4</v>
      </c>
    </row>
    <row r="19" spans="1:12" x14ac:dyDescent="0.3">
      <c r="A19">
        <v>24</v>
      </c>
      <c r="B19">
        <f t="shared" si="5"/>
        <v>3.3500013912965345E-4</v>
      </c>
      <c r="C19">
        <f t="shared" si="1"/>
        <v>3.3500013912965345E-4</v>
      </c>
      <c r="D19" t="s">
        <v>24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STOWA2019_NDJF_T(A19*60,J19,I19,"","center")</f>
        <v>5106.1990311679428</v>
      </c>
      <c r="L19">
        <f t="shared" si="4"/>
        <v>5.8752116431188325E-4</v>
      </c>
    </row>
    <row r="20" spans="1:12" x14ac:dyDescent="0.3">
      <c r="A20">
        <v>24</v>
      </c>
      <c r="B20">
        <f t="shared" si="5"/>
        <v>2.0792439437457451E-4</v>
      </c>
      <c r="C20">
        <f t="shared" si="1"/>
        <v>2.0792439437457451E-4</v>
      </c>
      <c r="D20" t="s">
        <v>24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STOWA2019_NDJF_T(A20*60,J20,I20,"","center")</f>
        <v>7903.1230968995251</v>
      </c>
      <c r="L20">
        <f t="shared" si="4"/>
        <v>3.7959676993730874E-4</v>
      </c>
    </row>
    <row r="21" spans="1:12" x14ac:dyDescent="0.3">
      <c r="A21">
        <v>24</v>
      </c>
      <c r="B21">
        <f t="shared" si="5"/>
        <v>1.3100869006470585E-4</v>
      </c>
      <c r="C21">
        <f t="shared" si="1"/>
        <v>1.3100869006470585E-4</v>
      </c>
      <c r="D21" t="s">
        <v>24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STOWA2019_NDJF_T(A21*60,J21,I21,"","center")</f>
        <v>12068.157095615559</v>
      </c>
      <c r="L21">
        <f t="shared" si="4"/>
        <v>2.4858807987260289E-4</v>
      </c>
    </row>
    <row r="22" spans="1:12" x14ac:dyDescent="0.3">
      <c r="A22">
        <v>24</v>
      </c>
      <c r="B22">
        <f t="shared" si="5"/>
        <v>8.3714139250436057E-5</v>
      </c>
      <c r="C22">
        <f t="shared" si="1"/>
        <v>8.3714139250436057E-5</v>
      </c>
      <c r="D22" t="s">
        <v>24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STOWA2019_NDJF_T(A22*60,J22,I22,"","center")</f>
        <v>18195.719643014698</v>
      </c>
      <c r="L22">
        <f t="shared" si="4"/>
        <v>1.6487394062216683E-4</v>
      </c>
    </row>
    <row r="23" spans="1:12" x14ac:dyDescent="0.3">
      <c r="A23">
        <v>24</v>
      </c>
      <c r="B23">
        <f t="shared" si="5"/>
        <v>5.4208094818097743E-5</v>
      </c>
      <c r="C23">
        <f t="shared" si="1"/>
        <v>5.4208094818097743E-5</v>
      </c>
      <c r="D23" t="s">
        <v>24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STOWA2019_NDJF_T(A23*60,J23,I23,"","center")</f>
        <v>27108.634811425196</v>
      </c>
      <c r="L23">
        <f t="shared" si="4"/>
        <v>1.1066584580406909E-4</v>
      </c>
    </row>
    <row r="24" spans="1:12" x14ac:dyDescent="0.3">
      <c r="A24">
        <v>24</v>
      </c>
      <c r="B24">
        <f t="shared" si="5"/>
        <v>3.5543087741167422E-5</v>
      </c>
      <c r="C24">
        <f t="shared" si="1"/>
        <v>3.5543087741167422E-5</v>
      </c>
      <c r="D24" t="s">
        <v>24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STOWA2019_NDJF_T(A24*60,J24,I24,"","center")</f>
        <v>39934.636019194673</v>
      </c>
      <c r="L24">
        <f t="shared" si="4"/>
        <v>7.5122758062901666E-5</v>
      </c>
    </row>
    <row r="25" spans="1:12" x14ac:dyDescent="0.3">
      <c r="A25">
        <v>24</v>
      </c>
      <c r="B25">
        <f t="shared" si="5"/>
        <v>2.3581329505884631E-5</v>
      </c>
      <c r="C25">
        <f t="shared" si="1"/>
        <v>2.3581329505884631E-5</v>
      </c>
      <c r="D25" t="s">
        <v>24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STOWA2019_NDJF_T(A25*60,J25,I25,"","center")</f>
        <v>58205.604384466933</v>
      </c>
      <c r="L25">
        <f t="shared" si="4"/>
        <v>5.1541428557017036E-5</v>
      </c>
    </row>
    <row r="26" spans="1:12" x14ac:dyDescent="0.3">
      <c r="A26">
        <v>24</v>
      </c>
      <c r="B26">
        <f t="shared" si="5"/>
        <v>1.5820667421596893E-5</v>
      </c>
      <c r="C26">
        <f t="shared" si="1"/>
        <v>1.5820667421596893E-5</v>
      </c>
      <c r="D26" t="s">
        <v>24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STOWA2019_NDJF_T(A26*60,J26,I26,"","center")</f>
        <v>83984.77257040437</v>
      </c>
      <c r="L26">
        <f t="shared" si="4"/>
        <v>3.5720761135420143E-5</v>
      </c>
    </row>
    <row r="27" spans="1:12" x14ac:dyDescent="0.3">
      <c r="A27">
        <v>24</v>
      </c>
      <c r="B27">
        <f t="shared" si="5"/>
        <v>1.0726749346939106E-5</v>
      </c>
      <c r="C27">
        <f t="shared" si="1"/>
        <v>1.0726749346939106E-5</v>
      </c>
      <c r="D27" t="s">
        <v>24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STOWA2019_NDJF_T(A27*60,J27,I27,"","center")</f>
        <v>120028.75030180656</v>
      </c>
      <c r="L27">
        <f t="shared" si="4"/>
        <v>2.4994011788481038E-5</v>
      </c>
    </row>
    <row r="28" spans="1:12" x14ac:dyDescent="0.3">
      <c r="A28">
        <v>24</v>
      </c>
      <c r="B28">
        <f t="shared" si="5"/>
        <v>7.3460830306110262E-6</v>
      </c>
      <c r="C28">
        <f t="shared" si="1"/>
        <v>7.3460830306110262E-6</v>
      </c>
      <c r="D28" t="s">
        <v>24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STOWA2019_NDJF_T(A28*60,J28,I28,"","center")</f>
        <v>169991.62004561943</v>
      </c>
      <c r="L28">
        <f t="shared" si="4"/>
        <v>1.7647928757870011E-5</v>
      </c>
    </row>
    <row r="29" spans="1:12" x14ac:dyDescent="0.3">
      <c r="A29">
        <v>24</v>
      </c>
      <c r="B29">
        <f t="shared" si="5"/>
        <v>5.0791286507113677E-6</v>
      </c>
      <c r="C29">
        <f t="shared" si="1"/>
        <v>5.0791286507113677E-6</v>
      </c>
      <c r="D29" t="s">
        <v>24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STOWA2019_NDJF_T(A29*60,J29,I29,"","center")</f>
        <v>238686.2687307224</v>
      </c>
      <c r="L29">
        <f t="shared" si="4"/>
        <v>1.2568800107158644E-5</v>
      </c>
    </row>
    <row r="30" spans="1:12" x14ac:dyDescent="0.3">
      <c r="A30">
        <v>24</v>
      </c>
      <c r="B30">
        <f t="shared" si="5"/>
        <v>3.5435343249301773E-6</v>
      </c>
      <c r="C30">
        <f t="shared" si="1"/>
        <v>3.5435343249301773E-6</v>
      </c>
      <c r="D30" t="s">
        <v>24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STOWA2019_NDJF_T(A30*60,J30,I30,"","center")</f>
        <v>332400.18326188915</v>
      </c>
      <c r="L30">
        <f t="shared" si="4"/>
        <v>9.0252657822284664E-6</v>
      </c>
    </row>
    <row r="31" spans="1:12" x14ac:dyDescent="0.3">
      <c r="A31">
        <v>24</v>
      </c>
      <c r="B31">
        <f t="shared" si="5"/>
        <v>2.4936706827824921E-6</v>
      </c>
      <c r="C31">
        <f t="shared" si="1"/>
        <v>2.4936706827824921E-6</v>
      </c>
      <c r="D31" t="s">
        <v>24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STOWA2019_NDJF_T(A31*60,J31,I31,"","center")</f>
        <v>459305.8746483638</v>
      </c>
      <c r="L31">
        <f t="shared" si="4"/>
        <v>6.5315950994459743E-6</v>
      </c>
    </row>
    <row r="32" spans="1:12" x14ac:dyDescent="0.3">
      <c r="A32">
        <v>24</v>
      </c>
      <c r="B32" s="1">
        <f>L31</f>
        <v>6.5315950994459743E-6</v>
      </c>
      <c r="C32">
        <f t="shared" si="1"/>
        <v>6.5315950994459743E-6</v>
      </c>
      <c r="D32" t="s">
        <v>24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STOWA2019_NDJF_T(A32*60,J32,I32,"","center")</f>
        <v>1605.3081271556364</v>
      </c>
      <c r="L32">
        <f t="shared" si="4"/>
        <v>1.8688001071268151E-3</v>
      </c>
    </row>
    <row r="33" spans="1:12" x14ac:dyDescent="0.3">
      <c r="A33">
        <v>48</v>
      </c>
      <c r="B33" s="1">
        <f>365.25*24/A33 - L33</f>
        <v>141.01902500144777</v>
      </c>
      <c r="C33">
        <f>B33</f>
        <v>141.01902500144777</v>
      </c>
      <c r="D33" t="s">
        <v>24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STOWA2019_NDJF_T(A33*60,J33,I33,"","center")</f>
        <v>7.2105028186561934E-2</v>
      </c>
      <c r="L33">
        <f t="shared" si="4"/>
        <v>41.605974998552234</v>
      </c>
    </row>
    <row r="34" spans="1:12" x14ac:dyDescent="0.3">
      <c r="A34">
        <v>48</v>
      </c>
      <c r="B34">
        <f t="shared" ref="B34:B38" si="8">L33-L34</f>
        <v>12.377184648170271</v>
      </c>
      <c r="C34">
        <f t="shared" ref="C34:C63" si="9">B34</f>
        <v>12.377184648170271</v>
      </c>
      <c r="D34" t="s">
        <v>24</v>
      </c>
      <c r="E34" t="s">
        <v>19</v>
      </c>
      <c r="F34">
        <v>1</v>
      </c>
      <c r="G34">
        <f t="shared" ref="G34:G38" si="10">G33+5</f>
        <v>15</v>
      </c>
      <c r="I34">
        <v>2030</v>
      </c>
      <c r="J34">
        <f t="shared" ref="J34:J38" si="11">AVERAGE(G34:G35)</f>
        <v>17.5</v>
      </c>
      <c r="K34" cm="1">
        <f t="array" ref="K34">STOWA2019_NDJF_T(A34*60,J34,I34,"","center")</f>
        <v>0.1026385274257782</v>
      </c>
      <c r="L34">
        <f t="shared" si="4"/>
        <v>29.228790350381963</v>
      </c>
    </row>
    <row r="35" spans="1:12" x14ac:dyDescent="0.3">
      <c r="A35">
        <v>48</v>
      </c>
      <c r="B35">
        <f t="shared" si="8"/>
        <v>14.508131892465736</v>
      </c>
      <c r="C35">
        <f t="shared" si="9"/>
        <v>14.508131892465736</v>
      </c>
      <c r="D35" t="s">
        <v>24</v>
      </c>
      <c r="E35" t="s">
        <v>19</v>
      </c>
      <c r="F35">
        <v>1</v>
      </c>
      <c r="G35">
        <f t="shared" si="10"/>
        <v>20</v>
      </c>
      <c r="I35">
        <v>2030</v>
      </c>
      <c r="J35">
        <f t="shared" si="11"/>
        <v>22.5</v>
      </c>
      <c r="K35" cm="1">
        <f t="array" ref="K35">STOWA2019_NDJF_T(A35*60,J35,I35,"","center")</f>
        <v>0.20379523161796545</v>
      </c>
      <c r="L35">
        <f t="shared" si="4"/>
        <v>14.720658457916228</v>
      </c>
    </row>
    <row r="36" spans="1:12" x14ac:dyDescent="0.3">
      <c r="A36">
        <v>48</v>
      </c>
      <c r="B36">
        <f t="shared" si="8"/>
        <v>7.1163526829686559</v>
      </c>
      <c r="C36">
        <f t="shared" si="9"/>
        <v>7.1163526829686559</v>
      </c>
      <c r="D36" t="s">
        <v>24</v>
      </c>
      <c r="E36" t="s">
        <v>19</v>
      </c>
      <c r="F36">
        <v>1</v>
      </c>
      <c r="G36">
        <f t="shared" si="10"/>
        <v>25</v>
      </c>
      <c r="I36">
        <v>2030</v>
      </c>
      <c r="J36">
        <f t="shared" si="11"/>
        <v>27.5</v>
      </c>
      <c r="K36" cm="1">
        <f t="array" ref="K36">STOWA2019_NDJF_T(A36*60,J36,I36,"","center")</f>
        <v>0.39451333083994555</v>
      </c>
      <c r="L36">
        <f t="shared" si="4"/>
        <v>7.604305774947572</v>
      </c>
    </row>
    <row r="37" spans="1:12" x14ac:dyDescent="0.3">
      <c r="A37">
        <v>48</v>
      </c>
      <c r="B37">
        <f t="shared" si="8"/>
        <v>3.5824462158223422</v>
      </c>
      <c r="C37">
        <f t="shared" si="9"/>
        <v>3.5824462158223422</v>
      </c>
      <c r="D37" t="s">
        <v>24</v>
      </c>
      <c r="E37" t="s">
        <v>19</v>
      </c>
      <c r="F37">
        <v>1</v>
      </c>
      <c r="G37">
        <f t="shared" si="10"/>
        <v>30</v>
      </c>
      <c r="I37">
        <v>2030</v>
      </c>
      <c r="J37">
        <f t="shared" si="11"/>
        <v>32.5</v>
      </c>
      <c r="K37" cm="1">
        <f t="array" ref="K37">STOWA2019_NDJF_T(A37*60,J37,I37,"","center")</f>
        <v>0.74592360968778126</v>
      </c>
      <c r="L37">
        <f t="shared" si="4"/>
        <v>4.0218595591252297</v>
      </c>
    </row>
    <row r="38" spans="1:12" x14ac:dyDescent="0.3">
      <c r="A38">
        <v>48</v>
      </c>
      <c r="B38">
        <f t="shared" si="8"/>
        <v>1.8472437070549219</v>
      </c>
      <c r="C38">
        <f t="shared" si="9"/>
        <v>1.8472437070549219</v>
      </c>
      <c r="D38" t="s">
        <v>24</v>
      </c>
      <c r="E38" t="s">
        <v>19</v>
      </c>
      <c r="F38">
        <v>1</v>
      </c>
      <c r="G38">
        <f t="shared" si="10"/>
        <v>35</v>
      </c>
      <c r="I38">
        <v>2030</v>
      </c>
      <c r="J38">
        <f t="shared" si="11"/>
        <v>37.5</v>
      </c>
      <c r="K38" cm="1">
        <f t="array" ref="K38">STOWA2019_NDJF_T(A38*60,J38,I38,"","center")</f>
        <v>1.379554001293561</v>
      </c>
      <c r="L38">
        <f t="shared" si="4"/>
        <v>2.1746158520703078</v>
      </c>
    </row>
    <row r="39" spans="1:12" x14ac:dyDescent="0.3">
      <c r="A39">
        <v>48</v>
      </c>
      <c r="B39">
        <f>L38-L39</f>
        <v>0.9746280411397763</v>
      </c>
      <c r="C39">
        <f t="shared" si="9"/>
        <v>0.9746280411397763</v>
      </c>
      <c r="D39" t="s">
        <v>24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STOWA2019_NDJF_T(A39*60,J39,I39,"","center")</f>
        <v>2.5000253941526687</v>
      </c>
      <c r="L39">
        <f t="shared" si="4"/>
        <v>1.1999878109305315</v>
      </c>
    </row>
    <row r="40" spans="1:12" x14ac:dyDescent="0.3">
      <c r="A40">
        <v>48</v>
      </c>
      <c r="B40">
        <f t="shared" ref="B40:B62" si="12">L39-L40</f>
        <v>0.5250075743902578</v>
      </c>
      <c r="C40">
        <f t="shared" si="9"/>
        <v>0.5250075743902578</v>
      </c>
      <c r="D40" t="s">
        <v>24</v>
      </c>
      <c r="E40" t="s">
        <v>19</v>
      </c>
      <c r="F40">
        <v>1</v>
      </c>
      <c r="G40">
        <f t="shared" ref="G40:G63" si="13">G39+5</f>
        <v>45</v>
      </c>
      <c r="I40">
        <v>2030</v>
      </c>
      <c r="J40">
        <f t="shared" ref="J40:J62" si="14">AVERAGE(G40:G41)</f>
        <v>47.5</v>
      </c>
      <c r="K40" cm="1">
        <f t="array" ref="K40">STOWA2019_NDJF_T(A40*60,J40,I40,"","center")</f>
        <v>4.4445745780306272</v>
      </c>
      <c r="L40">
        <f t="shared" si="4"/>
        <v>0.67498023654027373</v>
      </c>
    </row>
    <row r="41" spans="1:12" x14ac:dyDescent="0.3">
      <c r="A41">
        <v>48</v>
      </c>
      <c r="B41">
        <f t="shared" si="12"/>
        <v>0.28842839212169646</v>
      </c>
      <c r="C41">
        <f t="shared" si="9"/>
        <v>0.28842839212169646</v>
      </c>
      <c r="D41" t="s">
        <v>24</v>
      </c>
      <c r="E41" t="s">
        <v>19</v>
      </c>
      <c r="F41">
        <v>1</v>
      </c>
      <c r="G41">
        <f t="shared" si="13"/>
        <v>50</v>
      </c>
      <c r="I41">
        <v>2030</v>
      </c>
      <c r="J41">
        <f t="shared" si="14"/>
        <v>52.5</v>
      </c>
      <c r="K41" cm="1">
        <f t="array" ref="K41">STOWA2019_NDJF_T(A41*60,J41,I41,"","center")</f>
        <v>7.7609253281726769</v>
      </c>
      <c r="L41">
        <f t="shared" si="4"/>
        <v>0.38655184441857726</v>
      </c>
    </row>
    <row r="42" spans="1:12" x14ac:dyDescent="0.3">
      <c r="A42">
        <v>48</v>
      </c>
      <c r="B42">
        <f t="shared" si="12"/>
        <v>0.16141302194312812</v>
      </c>
      <c r="C42">
        <f t="shared" si="9"/>
        <v>0.16141302194312812</v>
      </c>
      <c r="D42" t="s">
        <v>24</v>
      </c>
      <c r="E42" t="s">
        <v>19</v>
      </c>
      <c r="F42">
        <v>1</v>
      </c>
      <c r="G42">
        <f t="shared" si="13"/>
        <v>55</v>
      </c>
      <c r="I42">
        <v>2030</v>
      </c>
      <c r="J42">
        <f t="shared" si="14"/>
        <v>57.5</v>
      </c>
      <c r="K42" cm="1">
        <f t="array" ref="K42">STOWA2019_NDJF_T(A42*60,J42,I42,"","center")</f>
        <v>13.325111888808706</v>
      </c>
      <c r="L42">
        <f t="shared" si="4"/>
        <v>0.22513882247544914</v>
      </c>
    </row>
    <row r="43" spans="1:12" x14ac:dyDescent="0.3">
      <c r="A43">
        <v>48</v>
      </c>
      <c r="B43">
        <f t="shared" si="12"/>
        <v>9.1912678883568272E-2</v>
      </c>
      <c r="C43">
        <f t="shared" si="9"/>
        <v>9.1912678883568272E-2</v>
      </c>
      <c r="D43" t="s">
        <v>24</v>
      </c>
      <c r="E43" t="s">
        <v>19</v>
      </c>
      <c r="F43">
        <v>1</v>
      </c>
      <c r="G43">
        <f t="shared" si="13"/>
        <v>60</v>
      </c>
      <c r="I43">
        <v>2030</v>
      </c>
      <c r="J43">
        <f t="shared" si="14"/>
        <v>62.5</v>
      </c>
      <c r="K43" cm="1">
        <f t="array" ref="K43">STOWA2019_NDJF_T(A43*60,J43,I43,"","center")</f>
        <v>22.518102822146297</v>
      </c>
      <c r="L43">
        <f t="shared" si="4"/>
        <v>0.13322614359188087</v>
      </c>
    </row>
    <row r="44" spans="1:12" x14ac:dyDescent="0.3">
      <c r="A44">
        <v>48</v>
      </c>
      <c r="B44">
        <f t="shared" si="12"/>
        <v>5.3199203480066432E-2</v>
      </c>
      <c r="C44">
        <f t="shared" si="9"/>
        <v>5.3199203480066432E-2</v>
      </c>
      <c r="D44" t="s">
        <v>24</v>
      </c>
      <c r="E44" t="s">
        <v>19</v>
      </c>
      <c r="F44">
        <v>1</v>
      </c>
      <c r="G44">
        <f t="shared" si="13"/>
        <v>65</v>
      </c>
      <c r="I44">
        <v>2030</v>
      </c>
      <c r="J44">
        <f t="shared" si="14"/>
        <v>67.5</v>
      </c>
      <c r="K44" cm="1">
        <f t="array" ref="K44">STOWA2019_NDJF_T(A44*60,J44,I44,"","center")</f>
        <v>37.487376073711808</v>
      </c>
      <c r="L44">
        <f t="shared" si="4"/>
        <v>8.0026940111814437E-2</v>
      </c>
    </row>
    <row r="45" spans="1:12" x14ac:dyDescent="0.3">
      <c r="A45">
        <v>48</v>
      </c>
      <c r="B45">
        <f t="shared" si="12"/>
        <v>3.1271296957879863E-2</v>
      </c>
      <c r="C45">
        <f t="shared" si="9"/>
        <v>3.1271296957879863E-2</v>
      </c>
      <c r="D45" t="s">
        <v>24</v>
      </c>
      <c r="E45" t="s">
        <v>19</v>
      </c>
      <c r="F45">
        <v>1</v>
      </c>
      <c r="G45">
        <f t="shared" si="13"/>
        <v>70</v>
      </c>
      <c r="I45">
        <v>2030</v>
      </c>
      <c r="J45">
        <f t="shared" si="14"/>
        <v>72.5</v>
      </c>
      <c r="K45" cm="1">
        <f t="array" ref="K45">STOWA2019_NDJF_T(A45*60,J45,I45,"","center")</f>
        <v>61.531338855036736</v>
      </c>
      <c r="L45">
        <f t="shared" si="4"/>
        <v>4.8755643153934575E-2</v>
      </c>
    </row>
    <row r="46" spans="1:12" x14ac:dyDescent="0.3">
      <c r="A46">
        <v>48</v>
      </c>
      <c r="B46">
        <f t="shared" si="12"/>
        <v>1.8651659388049538E-2</v>
      </c>
      <c r="C46">
        <f t="shared" si="9"/>
        <v>1.8651659388049538E-2</v>
      </c>
      <c r="D46" t="s">
        <v>24</v>
      </c>
      <c r="E46" t="s">
        <v>19</v>
      </c>
      <c r="F46">
        <v>1</v>
      </c>
      <c r="G46">
        <f t="shared" si="13"/>
        <v>75</v>
      </c>
      <c r="I46">
        <v>2030</v>
      </c>
      <c r="J46">
        <f t="shared" si="14"/>
        <v>77.5</v>
      </c>
      <c r="K46" cm="1">
        <f t="array" ref="K46">STOWA2019_NDJF_T(A46*60,J46,I46,"","center")</f>
        <v>99.654584699840029</v>
      </c>
      <c r="L46">
        <f t="shared" si="4"/>
        <v>3.0103983765885037E-2</v>
      </c>
    </row>
    <row r="47" spans="1:12" x14ac:dyDescent="0.3">
      <c r="A47">
        <v>48</v>
      </c>
      <c r="B47">
        <f t="shared" si="12"/>
        <v>1.1279282173280419E-2</v>
      </c>
      <c r="C47">
        <f t="shared" si="9"/>
        <v>1.1279282173280419E-2</v>
      </c>
      <c r="D47" t="s">
        <v>24</v>
      </c>
      <c r="E47" t="s">
        <v>19</v>
      </c>
      <c r="F47">
        <v>1</v>
      </c>
      <c r="G47">
        <f t="shared" si="13"/>
        <v>80</v>
      </c>
      <c r="I47">
        <v>2030</v>
      </c>
      <c r="J47">
        <f t="shared" si="14"/>
        <v>82.5</v>
      </c>
      <c r="K47" cm="1">
        <f t="array" ref="K47">STOWA2019_NDJF_T(A47*60,J47,I47,"","center")</f>
        <v>159.36507600091605</v>
      </c>
      <c r="L47">
        <f t="shared" si="4"/>
        <v>1.8824701592604617E-2</v>
      </c>
    </row>
    <row r="48" spans="1:12" x14ac:dyDescent="0.3">
      <c r="A48">
        <v>48</v>
      </c>
      <c r="B48">
        <f t="shared" si="12"/>
        <v>6.9106635792875078E-3</v>
      </c>
      <c r="C48">
        <f t="shared" si="9"/>
        <v>6.9106635792875078E-3</v>
      </c>
      <c r="D48" t="s">
        <v>24</v>
      </c>
      <c r="E48" t="s">
        <v>19</v>
      </c>
      <c r="F48">
        <v>1</v>
      </c>
      <c r="G48">
        <f t="shared" si="13"/>
        <v>85</v>
      </c>
      <c r="I48">
        <v>2030</v>
      </c>
      <c r="J48">
        <f t="shared" si="14"/>
        <v>87.5</v>
      </c>
      <c r="K48" cm="1">
        <f t="array" ref="K48">STOWA2019_NDJF_T(A48*60,J48,I48,"","center")</f>
        <v>251.80379621474273</v>
      </c>
      <c r="L48">
        <f t="shared" si="4"/>
        <v>1.191403801331711E-2</v>
      </c>
    </row>
    <row r="49" spans="1:12" x14ac:dyDescent="0.3">
      <c r="A49">
        <v>48</v>
      </c>
      <c r="B49">
        <f t="shared" si="12"/>
        <v>4.2871354153628831E-3</v>
      </c>
      <c r="C49">
        <f t="shared" si="9"/>
        <v>4.2871354153628831E-3</v>
      </c>
      <c r="D49" t="s">
        <v>24</v>
      </c>
      <c r="E49" t="s">
        <v>19</v>
      </c>
      <c r="F49">
        <v>1</v>
      </c>
      <c r="G49">
        <f t="shared" si="13"/>
        <v>90</v>
      </c>
      <c r="I49">
        <v>2030</v>
      </c>
      <c r="J49">
        <f t="shared" si="14"/>
        <v>92.5</v>
      </c>
      <c r="K49" cm="1">
        <f t="array" ref="K49">STOWA2019_NDJF_T(A49*60,J49,I49,"","center")</f>
        <v>393.344475227033</v>
      </c>
      <c r="L49">
        <f t="shared" si="4"/>
        <v>7.6269025979542266E-3</v>
      </c>
    </row>
    <row r="50" spans="1:12" x14ac:dyDescent="0.3">
      <c r="A50">
        <v>48</v>
      </c>
      <c r="B50">
        <f t="shared" si="12"/>
        <v>2.6910612267816965E-3</v>
      </c>
      <c r="C50">
        <f t="shared" si="9"/>
        <v>2.6910612267816965E-3</v>
      </c>
      <c r="D50" t="s">
        <v>24</v>
      </c>
      <c r="E50" t="s">
        <v>19</v>
      </c>
      <c r="F50">
        <v>1</v>
      </c>
      <c r="G50">
        <f t="shared" si="13"/>
        <v>95</v>
      </c>
      <c r="I50">
        <v>2030</v>
      </c>
      <c r="J50">
        <f t="shared" si="14"/>
        <v>97.5</v>
      </c>
      <c r="K50" cm="1">
        <f t="array" ref="K50">STOWA2019_NDJF_T(A50*60,J50,I50,"","center")</f>
        <v>607.79911151952956</v>
      </c>
      <c r="L50">
        <f t="shared" si="4"/>
        <v>4.9358413711725301E-3</v>
      </c>
    </row>
    <row r="51" spans="1:12" x14ac:dyDescent="0.3">
      <c r="A51">
        <v>48</v>
      </c>
      <c r="B51">
        <f t="shared" si="12"/>
        <v>1.7083150407415136E-3</v>
      </c>
      <c r="C51">
        <f t="shared" si="9"/>
        <v>1.7083150407415136E-3</v>
      </c>
      <c r="D51" t="s">
        <v>24</v>
      </c>
      <c r="E51" t="s">
        <v>19</v>
      </c>
      <c r="F51">
        <v>1</v>
      </c>
      <c r="G51">
        <f t="shared" si="13"/>
        <v>100</v>
      </c>
      <c r="I51">
        <v>2030</v>
      </c>
      <c r="J51">
        <f t="shared" si="14"/>
        <v>102.5</v>
      </c>
      <c r="K51" cm="1">
        <f t="array" ref="K51">STOWA2019_NDJF_T(A51*60,J51,I51,"","center")</f>
        <v>929.50442315969212</v>
      </c>
      <c r="L51">
        <f t="shared" si="4"/>
        <v>3.2275263304310164E-3</v>
      </c>
    </row>
    <row r="52" spans="1:12" x14ac:dyDescent="0.3">
      <c r="A52">
        <v>48</v>
      </c>
      <c r="B52">
        <f t="shared" si="12"/>
        <v>1.0961256367470499E-3</v>
      </c>
      <c r="C52">
        <f t="shared" si="9"/>
        <v>1.0961256367470499E-3</v>
      </c>
      <c r="D52" t="s">
        <v>24</v>
      </c>
      <c r="E52" t="s">
        <v>19</v>
      </c>
      <c r="F52">
        <v>1</v>
      </c>
      <c r="G52">
        <f t="shared" si="13"/>
        <v>105</v>
      </c>
      <c r="I52">
        <v>2030</v>
      </c>
      <c r="J52">
        <f t="shared" si="14"/>
        <v>107.5</v>
      </c>
      <c r="K52" cm="1">
        <f t="array" ref="K52">STOWA2019_NDJF_T(A52*60,J52,I52,"","center")</f>
        <v>1407.5251119557086</v>
      </c>
      <c r="L52">
        <f t="shared" si="4"/>
        <v>2.1314006936839665E-3</v>
      </c>
    </row>
    <row r="53" spans="1:12" x14ac:dyDescent="0.3">
      <c r="A53">
        <v>48</v>
      </c>
      <c r="B53">
        <f t="shared" si="12"/>
        <v>7.105368443151587E-4</v>
      </c>
      <c r="C53">
        <f t="shared" si="9"/>
        <v>7.105368443151587E-4</v>
      </c>
      <c r="D53" t="s">
        <v>24</v>
      </c>
      <c r="E53" t="s">
        <v>19</v>
      </c>
      <c r="F53">
        <v>1</v>
      </c>
      <c r="G53">
        <f t="shared" si="13"/>
        <v>110</v>
      </c>
      <c r="I53">
        <v>2030</v>
      </c>
      <c r="J53">
        <f t="shared" si="14"/>
        <v>112.5</v>
      </c>
      <c r="K53" cm="1">
        <f t="array" ref="K53">STOWA2019_NDJF_T(A53*60,J53,I53,"","center")</f>
        <v>2111.3916026033698</v>
      </c>
      <c r="L53">
        <f t="shared" si="4"/>
        <v>1.4208638493688078E-3</v>
      </c>
    </row>
    <row r="54" spans="1:12" x14ac:dyDescent="0.3">
      <c r="A54">
        <v>48</v>
      </c>
      <c r="B54">
        <f t="shared" si="12"/>
        <v>4.6510088762482746E-4</v>
      </c>
      <c r="C54">
        <f t="shared" si="9"/>
        <v>4.6510088762482746E-4</v>
      </c>
      <c r="D54" t="s">
        <v>24</v>
      </c>
      <c r="E54" t="s">
        <v>19</v>
      </c>
      <c r="F54">
        <v>1</v>
      </c>
      <c r="G54">
        <f t="shared" si="13"/>
        <v>115</v>
      </c>
      <c r="I54">
        <v>2030</v>
      </c>
      <c r="J54">
        <f t="shared" si="14"/>
        <v>117.5</v>
      </c>
      <c r="K54" cm="1">
        <f t="array" ref="K54">STOWA2019_NDJF_T(A54*60,J54,I54,"","center")</f>
        <v>3138.8535861715136</v>
      </c>
      <c r="L54">
        <f t="shared" si="4"/>
        <v>9.5576296174398033E-4</v>
      </c>
    </row>
    <row r="55" spans="1:12" x14ac:dyDescent="0.3">
      <c r="A55">
        <v>48</v>
      </c>
      <c r="B55">
        <f t="shared" si="12"/>
        <v>3.0729100185506754E-4</v>
      </c>
      <c r="C55">
        <f t="shared" si="9"/>
        <v>3.0729100185506754E-4</v>
      </c>
      <c r="D55" t="s">
        <v>24</v>
      </c>
      <c r="E55" t="s">
        <v>19</v>
      </c>
      <c r="F55">
        <v>1</v>
      </c>
      <c r="G55">
        <f t="shared" si="13"/>
        <v>120</v>
      </c>
      <c r="I55">
        <v>2030</v>
      </c>
      <c r="J55">
        <f t="shared" si="14"/>
        <v>122.5</v>
      </c>
      <c r="K55" cm="1">
        <f t="array" ref="K55">STOWA2019_NDJF_T(A55*60,J55,I55,"","center")</f>
        <v>4626.2601709315522</v>
      </c>
      <c r="L55">
        <f t="shared" si="4"/>
        <v>6.4847195988891279E-4</v>
      </c>
    </row>
    <row r="56" spans="1:12" x14ac:dyDescent="0.3">
      <c r="A56">
        <v>48</v>
      </c>
      <c r="B56">
        <f t="shared" si="12"/>
        <v>2.0485231833630322E-4</v>
      </c>
      <c r="C56">
        <f t="shared" si="9"/>
        <v>2.0485231833630322E-4</v>
      </c>
      <c r="D56" t="s">
        <v>24</v>
      </c>
      <c r="E56" t="s">
        <v>19</v>
      </c>
      <c r="F56">
        <v>1</v>
      </c>
      <c r="G56">
        <f t="shared" si="13"/>
        <v>125</v>
      </c>
      <c r="I56">
        <v>2030</v>
      </c>
      <c r="J56">
        <f t="shared" si="14"/>
        <v>127.5</v>
      </c>
      <c r="K56" cm="1">
        <f t="array" ref="K56">STOWA2019_NDJF_T(A56*60,J56,I56,"","center")</f>
        <v>6762.5499842621948</v>
      </c>
      <c r="L56">
        <f t="shared" si="4"/>
        <v>4.4361964155260956E-4</v>
      </c>
    </row>
    <row r="57" spans="1:12" x14ac:dyDescent="0.3">
      <c r="A57">
        <v>48</v>
      </c>
      <c r="B57">
        <f t="shared" si="12"/>
        <v>1.3772958782723622E-4</v>
      </c>
      <c r="C57">
        <f t="shared" si="9"/>
        <v>1.3772958782723622E-4</v>
      </c>
      <c r="D57" t="s">
        <v>24</v>
      </c>
      <c r="E57" t="s">
        <v>19</v>
      </c>
      <c r="F57">
        <v>1</v>
      </c>
      <c r="G57">
        <f t="shared" si="13"/>
        <v>130</v>
      </c>
      <c r="I57">
        <v>2030</v>
      </c>
      <c r="J57">
        <f t="shared" si="14"/>
        <v>132.5</v>
      </c>
      <c r="K57" cm="1">
        <f t="array" ref="K57">STOWA2019_NDJF_T(A57*60,J57,I57,"","center")</f>
        <v>9807.4453989713111</v>
      </c>
      <c r="L57">
        <f t="shared" si="4"/>
        <v>3.0589005372537334E-4</v>
      </c>
    </row>
    <row r="58" spans="1:12" x14ac:dyDescent="0.3">
      <c r="A58">
        <v>48</v>
      </c>
      <c r="B58">
        <f t="shared" si="12"/>
        <v>9.3365264507921383E-5</v>
      </c>
      <c r="C58">
        <f t="shared" si="9"/>
        <v>9.3365264507921383E-5</v>
      </c>
      <c r="D58" t="s">
        <v>24</v>
      </c>
      <c r="E58" t="s">
        <v>19</v>
      </c>
      <c r="F58">
        <v>1</v>
      </c>
      <c r="G58">
        <f t="shared" si="13"/>
        <v>135</v>
      </c>
      <c r="I58">
        <v>2030</v>
      </c>
      <c r="J58">
        <f t="shared" si="14"/>
        <v>137.5</v>
      </c>
      <c r="K58" cm="1">
        <f t="array" ref="K58">STOWA2019_NDJF_T(A58*60,J58,I58,"","center")</f>
        <v>14116.000354812482</v>
      </c>
      <c r="L58">
        <f t="shared" si="4"/>
        <v>2.1252478921745196E-4</v>
      </c>
    </row>
    <row r="59" spans="1:12" x14ac:dyDescent="0.3">
      <c r="A59">
        <v>48</v>
      </c>
      <c r="B59">
        <f t="shared" si="12"/>
        <v>6.3788443328174931E-5</v>
      </c>
      <c r="C59">
        <f t="shared" si="9"/>
        <v>6.3788443328174931E-5</v>
      </c>
      <c r="D59" t="s">
        <v>24</v>
      </c>
      <c r="E59" t="s">
        <v>19</v>
      </c>
      <c r="F59">
        <v>1</v>
      </c>
      <c r="G59">
        <f t="shared" si="13"/>
        <v>140</v>
      </c>
      <c r="I59">
        <v>2030</v>
      </c>
      <c r="J59">
        <f t="shared" si="14"/>
        <v>142.5</v>
      </c>
      <c r="K59" cm="1">
        <f t="array" ref="K59">STOWA2019_NDJF_T(A59*60,J59,I59,"","center")</f>
        <v>20169.918670943236</v>
      </c>
      <c r="L59">
        <f t="shared" si="4"/>
        <v>1.4873634588927703E-4</v>
      </c>
    </row>
    <row r="60" spans="1:12" x14ac:dyDescent="0.3">
      <c r="A60">
        <v>48</v>
      </c>
      <c r="B60">
        <f t="shared" si="12"/>
        <v>4.3912174150556371E-5</v>
      </c>
      <c r="C60">
        <f t="shared" si="9"/>
        <v>4.3912174150556371E-5</v>
      </c>
      <c r="D60" t="s">
        <v>24</v>
      </c>
      <c r="E60" t="s">
        <v>19</v>
      </c>
      <c r="F60">
        <v>1</v>
      </c>
      <c r="G60">
        <f t="shared" si="13"/>
        <v>145</v>
      </c>
      <c r="I60">
        <v>2030</v>
      </c>
      <c r="J60">
        <f t="shared" si="14"/>
        <v>147.5</v>
      </c>
      <c r="K60" cm="1">
        <f t="array" ref="K60">STOWA2019_NDJF_T(A60*60,J60,I60,"","center")</f>
        <v>28619.35324876829</v>
      </c>
      <c r="L60">
        <f t="shared" si="4"/>
        <v>1.0482417173872065E-4</v>
      </c>
    </row>
    <row r="61" spans="1:12" x14ac:dyDescent="0.3">
      <c r="A61">
        <v>48</v>
      </c>
      <c r="B61">
        <f t="shared" si="12"/>
        <v>3.0449762024486107E-5</v>
      </c>
      <c r="C61">
        <f t="shared" si="9"/>
        <v>3.0449762024486107E-5</v>
      </c>
      <c r="D61" t="s">
        <v>24</v>
      </c>
      <c r="E61" t="s">
        <v>19</v>
      </c>
      <c r="F61">
        <v>1</v>
      </c>
      <c r="G61">
        <f t="shared" si="13"/>
        <v>150</v>
      </c>
      <c r="I61">
        <v>2030</v>
      </c>
      <c r="J61">
        <f t="shared" si="14"/>
        <v>152.5</v>
      </c>
      <c r="K61" cm="1">
        <f t="array" ref="K61">STOWA2019_NDJF_T(A61*60,J61,I61,"","center")</f>
        <v>40336.454588705514</v>
      </c>
      <c r="L61">
        <f t="shared" si="4"/>
        <v>7.4374409714234548E-5</v>
      </c>
    </row>
    <row r="62" spans="1:12" x14ac:dyDescent="0.3">
      <c r="A62">
        <v>48</v>
      </c>
      <c r="B62">
        <f t="shared" si="12"/>
        <v>2.1261758381355502E-5</v>
      </c>
      <c r="C62">
        <f t="shared" si="9"/>
        <v>2.1261758381355502E-5</v>
      </c>
      <c r="D62" t="s">
        <v>24</v>
      </c>
      <c r="E62" t="s">
        <v>19</v>
      </c>
      <c r="F62">
        <v>1</v>
      </c>
      <c r="G62">
        <f t="shared" si="13"/>
        <v>155</v>
      </c>
      <c r="I62">
        <v>2030</v>
      </c>
      <c r="J62">
        <f t="shared" si="14"/>
        <v>157.5</v>
      </c>
      <c r="K62" cm="1">
        <f t="array" ref="K62">STOWA2019_NDJF_T(A62*60,J62,I62,"","center")</f>
        <v>56483.717621207681</v>
      </c>
      <c r="L62">
        <f t="shared" si="4"/>
        <v>5.3112651332879045E-5</v>
      </c>
    </row>
    <row r="63" spans="1:12" x14ac:dyDescent="0.3">
      <c r="A63">
        <v>48</v>
      </c>
      <c r="B63" s="1">
        <f>L62</f>
        <v>5.3112651332879045E-5</v>
      </c>
      <c r="C63">
        <f t="shared" si="9"/>
        <v>5.3112651332879045E-5</v>
      </c>
      <c r="D63" t="s">
        <v>24</v>
      </c>
      <c r="E63" t="s">
        <v>19</v>
      </c>
      <c r="F63">
        <v>1</v>
      </c>
      <c r="G63">
        <f t="shared" si="13"/>
        <v>160</v>
      </c>
      <c r="I63">
        <v>2030</v>
      </c>
      <c r="J63">
        <f>AVERAGE(G63:G64)</f>
        <v>85</v>
      </c>
      <c r="K63" cm="1">
        <f t="array" ref="K63">STOWA2019_NDJF_T(A63*60,J63,I63,"","center")</f>
        <v>200.61427122823329</v>
      </c>
      <c r="L63">
        <f t="shared" si="4"/>
        <v>1.4954070723049325E-2</v>
      </c>
    </row>
    <row r="64" spans="1:12" x14ac:dyDescent="0.3">
      <c r="A64">
        <v>96</v>
      </c>
      <c r="B64" s="1">
        <f>365.25*24/A64 - L64</f>
        <v>28.39686401700768</v>
      </c>
      <c r="C64">
        <f>B64</f>
        <v>28.39686401700768</v>
      </c>
      <c r="D64" t="s">
        <v>24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STOWA2019_NDJF_T(A64*60,J64,I64,"","center")</f>
        <v>4.7682900333566931E-2</v>
      </c>
      <c r="L64">
        <f t="shared" si="4"/>
        <v>62.91563598299232</v>
      </c>
    </row>
    <row r="65" spans="1:12" x14ac:dyDescent="0.3">
      <c r="A65">
        <v>96</v>
      </c>
      <c r="B65">
        <f t="shared" ref="B65:B69" si="15">L64-L65</f>
        <v>13.407181579014143</v>
      </c>
      <c r="C65">
        <f t="shared" ref="C65:C94" si="16">B65</f>
        <v>13.407181579014143</v>
      </c>
      <c r="D65" t="s">
        <v>24</v>
      </c>
      <c r="E65" t="s">
        <v>19</v>
      </c>
      <c r="F65">
        <v>1</v>
      </c>
      <c r="G65">
        <f t="shared" ref="G65:G69" si="17">G64+5</f>
        <v>15</v>
      </c>
      <c r="I65">
        <v>2030</v>
      </c>
      <c r="J65">
        <f t="shared" ref="J65:J69" si="18">AVERAGE(G65:G66)</f>
        <v>17.5</v>
      </c>
      <c r="K65" cm="1">
        <f t="array" ref="K65">STOWA2019_NDJF_T(A65*60,J65,I65,"","center")</f>
        <v>6.0595711098566214E-2</v>
      </c>
      <c r="L65">
        <f t="shared" si="4"/>
        <v>49.508454403978178</v>
      </c>
    </row>
    <row r="66" spans="1:12" x14ac:dyDescent="0.3">
      <c r="A66">
        <v>96</v>
      </c>
      <c r="B66">
        <f t="shared" si="15"/>
        <v>18.736177099922433</v>
      </c>
      <c r="C66">
        <f t="shared" si="16"/>
        <v>18.736177099922433</v>
      </c>
      <c r="D66" t="s">
        <v>24</v>
      </c>
      <c r="E66" t="s">
        <v>19</v>
      </c>
      <c r="F66">
        <v>1</v>
      </c>
      <c r="G66">
        <f t="shared" si="17"/>
        <v>20</v>
      </c>
      <c r="I66">
        <v>2030</v>
      </c>
      <c r="J66">
        <f t="shared" si="18"/>
        <v>22.5</v>
      </c>
      <c r="K66" cm="1">
        <f t="array" ref="K66">STOWA2019_NDJF_T(A66*60,J66,I66,"","center")</f>
        <v>9.7490347248515269E-2</v>
      </c>
      <c r="L66">
        <f t="shared" si="4"/>
        <v>30.772277304055745</v>
      </c>
    </row>
    <row r="67" spans="1:12" x14ac:dyDescent="0.3">
      <c r="A67">
        <v>96</v>
      </c>
      <c r="B67">
        <f t="shared" si="15"/>
        <v>11.551275442236985</v>
      </c>
      <c r="C67">
        <f t="shared" si="16"/>
        <v>11.551275442236985</v>
      </c>
      <c r="D67" t="s">
        <v>24</v>
      </c>
      <c r="E67" t="s">
        <v>19</v>
      </c>
      <c r="F67">
        <v>1</v>
      </c>
      <c r="G67">
        <f t="shared" si="17"/>
        <v>25</v>
      </c>
      <c r="I67">
        <v>2030</v>
      </c>
      <c r="J67">
        <f t="shared" si="18"/>
        <v>27.5</v>
      </c>
      <c r="K67" cm="1">
        <f t="array" ref="K67">STOWA2019_NDJF_T(A67*60,J67,I67,"","center")</f>
        <v>0.15607927316001671</v>
      </c>
      <c r="L67">
        <f t="shared" ref="L67:L130" si="19">1/K67 * 12/4</f>
        <v>19.22100186181876</v>
      </c>
    </row>
    <row r="68" spans="1:12" x14ac:dyDescent="0.3">
      <c r="A68">
        <v>96</v>
      </c>
      <c r="B68">
        <f t="shared" si="15"/>
        <v>7.1571941430537009</v>
      </c>
      <c r="C68">
        <f t="shared" si="16"/>
        <v>7.1571941430537009</v>
      </c>
      <c r="D68" t="s">
        <v>24</v>
      </c>
      <c r="E68" t="s">
        <v>19</v>
      </c>
      <c r="F68">
        <v>1</v>
      </c>
      <c r="G68">
        <f t="shared" si="17"/>
        <v>30</v>
      </c>
      <c r="I68">
        <v>2030</v>
      </c>
      <c r="J68">
        <f t="shared" si="18"/>
        <v>32.5</v>
      </c>
      <c r="K68" cm="1">
        <f t="array" ref="K68">STOWA2019_NDJF_T(A68*60,J68,I68,"","center")</f>
        <v>0.24867770358553945</v>
      </c>
      <c r="L68">
        <f t="shared" si="19"/>
        <v>12.063807718765059</v>
      </c>
    </row>
    <row r="69" spans="1:12" x14ac:dyDescent="0.3">
      <c r="A69">
        <v>96</v>
      </c>
      <c r="B69">
        <f t="shared" si="15"/>
        <v>4.4561848039948773</v>
      </c>
      <c r="C69">
        <f t="shared" si="16"/>
        <v>4.4561848039948773</v>
      </c>
      <c r="D69" t="s">
        <v>24</v>
      </c>
      <c r="E69" t="s">
        <v>19</v>
      </c>
      <c r="F69">
        <v>1</v>
      </c>
      <c r="G69">
        <f t="shared" si="17"/>
        <v>35</v>
      </c>
      <c r="I69">
        <v>2030</v>
      </c>
      <c r="J69">
        <f t="shared" si="18"/>
        <v>37.5</v>
      </c>
      <c r="K69" cm="1">
        <f t="array" ref="K69">STOWA2019_NDJF_T(A69*60,J69,I69,"","center")</f>
        <v>0.39434131181443116</v>
      </c>
      <c r="L69">
        <f t="shared" si="19"/>
        <v>7.6076229147701815</v>
      </c>
    </row>
    <row r="70" spans="1:12" x14ac:dyDescent="0.3">
      <c r="A70">
        <v>96</v>
      </c>
      <c r="B70">
        <f>L69-L70</f>
        <v>2.7879147346933797</v>
      </c>
      <c r="C70">
        <f t="shared" si="16"/>
        <v>2.7879147346933797</v>
      </c>
      <c r="D70" t="s">
        <v>24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STOWA2019_NDJF_T(A70*60,J70,I70,"","center")</f>
        <v>0.62244432399477667</v>
      </c>
      <c r="L70">
        <f t="shared" si="19"/>
        <v>4.8197081800768018</v>
      </c>
    </row>
    <row r="71" spans="1:12" x14ac:dyDescent="0.3">
      <c r="A71">
        <v>96</v>
      </c>
      <c r="B71">
        <f t="shared" ref="B71:B93" si="20">L70-L71</f>
        <v>1.7523330655714293</v>
      </c>
      <c r="C71">
        <f t="shared" si="16"/>
        <v>1.7523330655714293</v>
      </c>
      <c r="D71" t="s">
        <v>24</v>
      </c>
      <c r="E71" t="s">
        <v>19</v>
      </c>
      <c r="F71">
        <v>1</v>
      </c>
      <c r="G71">
        <f t="shared" ref="G71:G94" si="21">G70+5</f>
        <v>45</v>
      </c>
      <c r="I71">
        <v>2030</v>
      </c>
      <c r="J71">
        <f t="shared" ref="J71:J93" si="22">AVERAGE(G71:G72)</f>
        <v>47.5</v>
      </c>
      <c r="K71" cm="1">
        <f t="array" ref="K71">STOWA2019_NDJF_T(A71*60,J71,I71,"","center")</f>
        <v>0.97803492823986193</v>
      </c>
      <c r="L71">
        <f t="shared" si="19"/>
        <v>3.0673751145053725</v>
      </c>
    </row>
    <row r="72" spans="1:12" x14ac:dyDescent="0.3">
      <c r="A72">
        <v>96</v>
      </c>
      <c r="B72">
        <f t="shared" si="20"/>
        <v>1.1063175878111851</v>
      </c>
      <c r="C72">
        <f t="shared" si="16"/>
        <v>1.1063175878111851</v>
      </c>
      <c r="D72" t="s">
        <v>24</v>
      </c>
      <c r="E72" t="s">
        <v>19</v>
      </c>
      <c r="F72">
        <v>1</v>
      </c>
      <c r="G72">
        <f t="shared" si="21"/>
        <v>50</v>
      </c>
      <c r="I72">
        <v>2030</v>
      </c>
      <c r="J72">
        <f t="shared" si="22"/>
        <v>52.5</v>
      </c>
      <c r="K72" cm="1">
        <f t="array" ref="K72">STOWA2019_NDJF_T(A72*60,J72,I72,"","center")</f>
        <v>1.5297868416217186</v>
      </c>
      <c r="L72">
        <f t="shared" si="19"/>
        <v>1.9610575266941874</v>
      </c>
    </row>
    <row r="73" spans="1:12" x14ac:dyDescent="0.3">
      <c r="A73">
        <v>96</v>
      </c>
      <c r="B73">
        <f t="shared" si="20"/>
        <v>0.70195491687140854</v>
      </c>
      <c r="C73">
        <f t="shared" si="16"/>
        <v>0.70195491687140854</v>
      </c>
      <c r="D73" t="s">
        <v>24</v>
      </c>
      <c r="E73" t="s">
        <v>19</v>
      </c>
      <c r="F73">
        <v>1</v>
      </c>
      <c r="G73">
        <f t="shared" si="21"/>
        <v>55</v>
      </c>
      <c r="I73">
        <v>2030</v>
      </c>
      <c r="J73">
        <f t="shared" si="22"/>
        <v>57.5</v>
      </c>
      <c r="K73" cm="1">
        <f t="array" ref="K73">STOWA2019_NDJF_T(A73*60,J73,I73,"","center")</f>
        <v>2.3826493381840068</v>
      </c>
      <c r="L73">
        <f t="shared" si="19"/>
        <v>1.2591026098227789</v>
      </c>
    </row>
    <row r="74" spans="1:12" x14ac:dyDescent="0.3">
      <c r="A74">
        <v>96</v>
      </c>
      <c r="B74">
        <f t="shared" si="20"/>
        <v>0.44721773086047301</v>
      </c>
      <c r="C74">
        <f t="shared" si="16"/>
        <v>0.44721773086047301</v>
      </c>
      <c r="D74" t="s">
        <v>24</v>
      </c>
      <c r="E74" t="s">
        <v>19</v>
      </c>
      <c r="F74">
        <v>1</v>
      </c>
      <c r="G74">
        <f t="shared" si="21"/>
        <v>60</v>
      </c>
      <c r="I74">
        <v>2030</v>
      </c>
      <c r="J74">
        <f t="shared" si="22"/>
        <v>62.5</v>
      </c>
      <c r="K74" cm="1">
        <f t="array" ref="K74">STOWA2019_NDJF_T(A74*60,J74,I74,"","center")</f>
        <v>3.6951051531276069</v>
      </c>
      <c r="L74">
        <f t="shared" si="19"/>
        <v>0.81188487896230588</v>
      </c>
    </row>
    <row r="75" spans="1:12" x14ac:dyDescent="0.3">
      <c r="A75">
        <v>96</v>
      </c>
      <c r="B75">
        <f t="shared" si="20"/>
        <v>0.28617300866473516</v>
      </c>
      <c r="C75">
        <f t="shared" si="16"/>
        <v>0.28617300866473516</v>
      </c>
      <c r="D75" t="s">
        <v>24</v>
      </c>
      <c r="E75" t="s">
        <v>19</v>
      </c>
      <c r="F75">
        <v>1</v>
      </c>
      <c r="G75">
        <f t="shared" si="21"/>
        <v>65</v>
      </c>
      <c r="I75">
        <v>2030</v>
      </c>
      <c r="J75">
        <f t="shared" si="22"/>
        <v>67.5</v>
      </c>
      <c r="K75" cm="1">
        <f t="array" ref="K75">STOWA2019_NDJF_T(A75*60,J75,I75,"","center")</f>
        <v>5.7065479581084952</v>
      </c>
      <c r="L75">
        <f t="shared" si="19"/>
        <v>0.52571187029757072</v>
      </c>
    </row>
    <row r="76" spans="1:12" x14ac:dyDescent="0.3">
      <c r="A76">
        <v>96</v>
      </c>
      <c r="B76">
        <f t="shared" si="20"/>
        <v>0.18389962976135599</v>
      </c>
      <c r="C76">
        <f t="shared" si="16"/>
        <v>0.18389962976135599</v>
      </c>
      <c r="D76" t="s">
        <v>24</v>
      </c>
      <c r="E76" t="s">
        <v>19</v>
      </c>
      <c r="F76">
        <v>1</v>
      </c>
      <c r="G76">
        <f t="shared" si="21"/>
        <v>70</v>
      </c>
      <c r="I76">
        <v>2030</v>
      </c>
      <c r="J76">
        <f t="shared" si="22"/>
        <v>72.5</v>
      </c>
      <c r="K76" cm="1">
        <f t="array" ref="K76">STOWA2019_NDJF_T(A76*60,J76,I76,"","center")</f>
        <v>8.7767482969415553</v>
      </c>
      <c r="L76">
        <f t="shared" si="19"/>
        <v>0.34181224053621473</v>
      </c>
    </row>
    <row r="77" spans="1:12" x14ac:dyDescent="0.3">
      <c r="A77">
        <v>96</v>
      </c>
      <c r="B77">
        <f t="shared" si="20"/>
        <v>0.11867044791631748</v>
      </c>
      <c r="C77">
        <f t="shared" si="16"/>
        <v>0.11867044791631748</v>
      </c>
      <c r="D77" t="s">
        <v>24</v>
      </c>
      <c r="E77" t="s">
        <v>19</v>
      </c>
      <c r="F77">
        <v>1</v>
      </c>
      <c r="G77">
        <f t="shared" si="21"/>
        <v>75</v>
      </c>
      <c r="I77">
        <v>2030</v>
      </c>
      <c r="J77">
        <f t="shared" si="22"/>
        <v>77.5</v>
      </c>
      <c r="K77" cm="1">
        <f t="array" ref="K77">STOWA2019_NDJF_T(A77*60,J77,I77,"","center")</f>
        <v>13.444366314248629</v>
      </c>
      <c r="L77">
        <f t="shared" si="19"/>
        <v>0.22314179261989725</v>
      </c>
    </row>
    <row r="78" spans="1:12" x14ac:dyDescent="0.3">
      <c r="A78">
        <v>96</v>
      </c>
      <c r="B78">
        <f t="shared" si="20"/>
        <v>7.6890675370742123E-2</v>
      </c>
      <c r="C78">
        <f t="shared" si="16"/>
        <v>7.6890675370742123E-2</v>
      </c>
      <c r="D78" t="s">
        <v>24</v>
      </c>
      <c r="E78" t="s">
        <v>19</v>
      </c>
      <c r="F78">
        <v>1</v>
      </c>
      <c r="G78">
        <f t="shared" si="21"/>
        <v>80</v>
      </c>
      <c r="I78">
        <v>2030</v>
      </c>
      <c r="J78">
        <f t="shared" si="22"/>
        <v>82.5</v>
      </c>
      <c r="K78" cm="1">
        <f t="array" ref="K78">STOWA2019_NDJF_T(A78*60,J78,I78,"","center")</f>
        <v>20.512663810213258</v>
      </c>
      <c r="L78">
        <f t="shared" si="19"/>
        <v>0.14625111724915513</v>
      </c>
    </row>
    <row r="79" spans="1:12" x14ac:dyDescent="0.3">
      <c r="A79">
        <v>96</v>
      </c>
      <c r="B79">
        <f t="shared" si="20"/>
        <v>5.0022813379097739E-2</v>
      </c>
      <c r="C79">
        <f t="shared" si="16"/>
        <v>5.0022813379097739E-2</v>
      </c>
      <c r="D79" t="s">
        <v>24</v>
      </c>
      <c r="E79" t="s">
        <v>19</v>
      </c>
      <c r="F79">
        <v>1</v>
      </c>
      <c r="G79">
        <f t="shared" si="21"/>
        <v>85</v>
      </c>
      <c r="I79">
        <v>2030</v>
      </c>
      <c r="J79">
        <f t="shared" si="22"/>
        <v>87.5</v>
      </c>
      <c r="K79" cm="1">
        <f t="array" ref="K79">STOWA2019_NDJF_T(A79*60,J79,I79,"","center")</f>
        <v>31.175858654342203</v>
      </c>
      <c r="L79">
        <f t="shared" si="19"/>
        <v>9.6228303870057388E-2</v>
      </c>
    </row>
    <row r="80" spans="1:12" x14ac:dyDescent="0.3">
      <c r="A80">
        <v>96</v>
      </c>
      <c r="B80">
        <f t="shared" si="20"/>
        <v>3.2670510649403073E-2</v>
      </c>
      <c r="C80">
        <f t="shared" si="16"/>
        <v>3.2670510649403073E-2</v>
      </c>
      <c r="D80" t="s">
        <v>24</v>
      </c>
      <c r="E80" t="s">
        <v>19</v>
      </c>
      <c r="F80">
        <v>1</v>
      </c>
      <c r="G80">
        <f t="shared" si="21"/>
        <v>90</v>
      </c>
      <c r="I80">
        <v>2030</v>
      </c>
      <c r="J80">
        <f t="shared" si="22"/>
        <v>92.5</v>
      </c>
      <c r="K80" cm="1">
        <f t="array" ref="K80">STOWA2019_NDJF_T(A80*60,J80,I80,"","center")</f>
        <v>47.20113534440798</v>
      </c>
      <c r="L80">
        <f t="shared" si="19"/>
        <v>6.3557793220654316E-2</v>
      </c>
    </row>
    <row r="81" spans="1:12" x14ac:dyDescent="0.3">
      <c r="A81">
        <v>96</v>
      </c>
      <c r="B81">
        <f t="shared" si="20"/>
        <v>2.1421153762168486E-2</v>
      </c>
      <c r="C81">
        <f t="shared" si="16"/>
        <v>2.1421153762168486E-2</v>
      </c>
      <c r="D81" t="s">
        <v>24</v>
      </c>
      <c r="E81" t="s">
        <v>19</v>
      </c>
      <c r="F81">
        <v>1</v>
      </c>
      <c r="G81">
        <f t="shared" si="21"/>
        <v>95</v>
      </c>
      <c r="I81">
        <v>2030</v>
      </c>
      <c r="J81">
        <f t="shared" si="22"/>
        <v>97.5</v>
      </c>
      <c r="K81" cm="1">
        <f t="array" ref="K81">STOWA2019_NDJF_T(A81*60,J81,I81,"","center")</f>
        <v>71.196944952282735</v>
      </c>
      <c r="L81">
        <f t="shared" si="19"/>
        <v>4.2136639458485829E-2</v>
      </c>
    </row>
    <row r="82" spans="1:12" x14ac:dyDescent="0.3">
      <c r="A82">
        <v>96</v>
      </c>
      <c r="B82">
        <f t="shared" si="20"/>
        <v>1.4098200333625053E-2</v>
      </c>
      <c r="C82">
        <f t="shared" si="16"/>
        <v>1.4098200333625053E-2</v>
      </c>
      <c r="D82" t="s">
        <v>24</v>
      </c>
      <c r="E82" t="s">
        <v>19</v>
      </c>
      <c r="F82">
        <v>1</v>
      </c>
      <c r="G82">
        <f t="shared" si="21"/>
        <v>100</v>
      </c>
      <c r="I82">
        <v>2030</v>
      </c>
      <c r="J82">
        <f t="shared" si="22"/>
        <v>102.5</v>
      </c>
      <c r="K82" cm="1">
        <f t="array" ref="K82">STOWA2019_NDJF_T(A82*60,J82,I82,"","center")</f>
        <v>106.99597030492318</v>
      </c>
      <c r="L82">
        <f t="shared" si="19"/>
        <v>2.8038439124860776E-2</v>
      </c>
    </row>
    <row r="83" spans="1:12" x14ac:dyDescent="0.3">
      <c r="A83">
        <v>96</v>
      </c>
      <c r="B83">
        <f t="shared" si="20"/>
        <v>9.3135698733557391E-3</v>
      </c>
      <c r="C83">
        <f t="shared" si="16"/>
        <v>9.3135698733557391E-3</v>
      </c>
      <c r="D83" t="s">
        <v>24</v>
      </c>
      <c r="E83" t="s">
        <v>19</v>
      </c>
      <c r="F83">
        <v>1</v>
      </c>
      <c r="G83">
        <f t="shared" si="21"/>
        <v>105</v>
      </c>
      <c r="I83">
        <v>2030</v>
      </c>
      <c r="J83">
        <f t="shared" si="22"/>
        <v>107.5</v>
      </c>
      <c r="K83" cm="1">
        <f t="array" ref="K83">STOWA2019_NDJF_T(A83*60,J83,I83,"","center")</f>
        <v>160.21473686706094</v>
      </c>
      <c r="L83">
        <f t="shared" si="19"/>
        <v>1.8724869251505037E-2</v>
      </c>
    </row>
    <row r="84" spans="1:12" x14ac:dyDescent="0.3">
      <c r="A84">
        <v>96</v>
      </c>
      <c r="B84">
        <f t="shared" si="20"/>
        <v>6.1753486512721202E-3</v>
      </c>
      <c r="C84">
        <f t="shared" si="16"/>
        <v>6.1753486512721202E-3</v>
      </c>
      <c r="D84" t="s">
        <v>24</v>
      </c>
      <c r="E84" t="s">
        <v>19</v>
      </c>
      <c r="F84">
        <v>1</v>
      </c>
      <c r="G84">
        <f t="shared" si="21"/>
        <v>110</v>
      </c>
      <c r="I84">
        <v>2030</v>
      </c>
      <c r="J84">
        <f t="shared" si="22"/>
        <v>112.5</v>
      </c>
      <c r="K84" cm="1">
        <f t="array" ref="K84">STOWA2019_NDJF_T(A84*60,J84,I84,"","center")</f>
        <v>239.05295632920991</v>
      </c>
      <c r="L84">
        <f t="shared" si="19"/>
        <v>1.2549520600232917E-2</v>
      </c>
    </row>
    <row r="85" spans="1:12" x14ac:dyDescent="0.3">
      <c r="A85">
        <v>96</v>
      </c>
      <c r="B85">
        <f t="shared" si="20"/>
        <v>4.109336074165023E-3</v>
      </c>
      <c r="C85">
        <f t="shared" si="16"/>
        <v>4.109336074165023E-3</v>
      </c>
      <c r="D85" t="s">
        <v>24</v>
      </c>
      <c r="E85" t="s">
        <v>19</v>
      </c>
      <c r="F85">
        <v>1</v>
      </c>
      <c r="G85">
        <f t="shared" si="21"/>
        <v>115</v>
      </c>
      <c r="I85">
        <v>2030</v>
      </c>
      <c r="J85">
        <f t="shared" si="22"/>
        <v>117.5</v>
      </c>
      <c r="K85" cm="1">
        <f t="array" ref="K85">STOWA2019_NDJF_T(A85*60,J85,I85,"","center")</f>
        <v>355.44246582931487</v>
      </c>
      <c r="L85">
        <f t="shared" si="19"/>
        <v>8.440184526067894E-3</v>
      </c>
    </row>
    <row r="86" spans="1:12" x14ac:dyDescent="0.3">
      <c r="A86">
        <v>96</v>
      </c>
      <c r="B86">
        <f t="shared" si="20"/>
        <v>2.744223709327448E-3</v>
      </c>
      <c r="C86">
        <f t="shared" si="16"/>
        <v>2.744223709327448E-3</v>
      </c>
      <c r="D86" t="s">
        <v>24</v>
      </c>
      <c r="E86" t="s">
        <v>19</v>
      </c>
      <c r="F86">
        <v>1</v>
      </c>
      <c r="G86">
        <f t="shared" si="21"/>
        <v>120</v>
      </c>
      <c r="I86">
        <v>2030</v>
      </c>
      <c r="J86">
        <f t="shared" si="22"/>
        <v>122.5</v>
      </c>
      <c r="K86" cm="1">
        <f t="array" ref="K86">STOWA2019_NDJF_T(A86*60,J86,I86,"","center")</f>
        <v>526.68901639614353</v>
      </c>
      <c r="L86">
        <f t="shared" si="19"/>
        <v>5.695960816740446E-3</v>
      </c>
    </row>
    <row r="87" spans="1:12" x14ac:dyDescent="0.3">
      <c r="A87">
        <v>96</v>
      </c>
      <c r="B87">
        <f t="shared" si="20"/>
        <v>1.8389865052751714E-3</v>
      </c>
      <c r="C87">
        <f t="shared" si="16"/>
        <v>1.8389865052751714E-3</v>
      </c>
      <c r="D87" t="s">
        <v>24</v>
      </c>
      <c r="E87" t="s">
        <v>19</v>
      </c>
      <c r="F87">
        <v>1</v>
      </c>
      <c r="G87">
        <f t="shared" si="21"/>
        <v>125</v>
      </c>
      <c r="I87">
        <v>2030</v>
      </c>
      <c r="J87">
        <f t="shared" si="22"/>
        <v>127.5</v>
      </c>
      <c r="K87" cm="1">
        <f t="array" ref="K87">STOWA2019_NDJF_T(A87*60,J87,I87,"","center")</f>
        <v>777.81176583991623</v>
      </c>
      <c r="L87">
        <f t="shared" si="19"/>
        <v>3.8569743114652746E-3</v>
      </c>
    </row>
    <row r="88" spans="1:12" x14ac:dyDescent="0.3">
      <c r="A88">
        <v>96</v>
      </c>
      <c r="B88">
        <f t="shared" si="20"/>
        <v>1.2365820468091663E-3</v>
      </c>
      <c r="C88">
        <f t="shared" si="16"/>
        <v>1.2365820468091663E-3</v>
      </c>
      <c r="D88" t="s">
        <v>24</v>
      </c>
      <c r="E88" t="s">
        <v>19</v>
      </c>
      <c r="F88">
        <v>1</v>
      </c>
      <c r="G88">
        <f t="shared" si="21"/>
        <v>130</v>
      </c>
      <c r="I88">
        <v>2030</v>
      </c>
      <c r="J88">
        <f t="shared" si="22"/>
        <v>132.5</v>
      </c>
      <c r="K88" cm="1">
        <f t="array" ref="K88">STOWA2019_NDJF_T(A88*60,J88,I88,"","center")</f>
        <v>1144.8667592497684</v>
      </c>
      <c r="L88">
        <f t="shared" si="19"/>
        <v>2.6203922646561083E-3</v>
      </c>
    </row>
    <row r="89" spans="1:12" x14ac:dyDescent="0.3">
      <c r="A89">
        <v>96</v>
      </c>
      <c r="B89">
        <f t="shared" si="20"/>
        <v>8.3431017184632254E-4</v>
      </c>
      <c r="C89">
        <f t="shared" si="16"/>
        <v>8.3431017184632254E-4</v>
      </c>
      <c r="D89" t="s">
        <v>24</v>
      </c>
      <c r="E89" t="s">
        <v>19</v>
      </c>
      <c r="F89">
        <v>1</v>
      </c>
      <c r="G89">
        <f t="shared" si="21"/>
        <v>135</v>
      </c>
      <c r="I89">
        <v>2030</v>
      </c>
      <c r="J89">
        <f t="shared" si="22"/>
        <v>137.5</v>
      </c>
      <c r="K89" cm="1">
        <f t="array" ref="K89">STOWA2019_NDJF_T(A89*60,J89,I89,"","center")</f>
        <v>1679.654038342959</v>
      </c>
      <c r="L89">
        <f t="shared" si="19"/>
        <v>1.7860820928097857E-3</v>
      </c>
    </row>
    <row r="90" spans="1:12" x14ac:dyDescent="0.3">
      <c r="A90">
        <v>96</v>
      </c>
      <c r="B90">
        <f t="shared" si="20"/>
        <v>5.647650637295987E-4</v>
      </c>
      <c r="C90">
        <f t="shared" si="16"/>
        <v>5.647650637295987E-4</v>
      </c>
      <c r="D90" t="s">
        <v>24</v>
      </c>
      <c r="E90" t="s">
        <v>19</v>
      </c>
      <c r="F90">
        <v>1</v>
      </c>
      <c r="G90">
        <f t="shared" si="21"/>
        <v>140</v>
      </c>
      <c r="I90">
        <v>2030</v>
      </c>
      <c r="J90">
        <f t="shared" si="22"/>
        <v>142.5</v>
      </c>
      <c r="K90" cm="1">
        <f t="array" ref="K90">STOWA2019_NDJF_T(A90*60,J90,I90,"","center")</f>
        <v>2456.3646690977494</v>
      </c>
      <c r="L90">
        <f t="shared" si="19"/>
        <v>1.221317029080187E-3</v>
      </c>
    </row>
    <row r="91" spans="1:12" x14ac:dyDescent="0.3">
      <c r="A91">
        <v>96</v>
      </c>
      <c r="B91">
        <f t="shared" si="20"/>
        <v>3.8354347757020677E-4</v>
      </c>
      <c r="C91">
        <f t="shared" si="16"/>
        <v>3.8354347757020677E-4</v>
      </c>
      <c r="D91" t="s">
        <v>24</v>
      </c>
      <c r="E91" t="s">
        <v>19</v>
      </c>
      <c r="F91">
        <v>1</v>
      </c>
      <c r="G91">
        <f t="shared" si="21"/>
        <v>145</v>
      </c>
      <c r="I91">
        <v>2030</v>
      </c>
      <c r="J91">
        <f t="shared" si="22"/>
        <v>147.5</v>
      </c>
      <c r="K91" cm="1">
        <f t="array" ref="K91">STOWA2019_NDJF_T(A91*60,J91,I91,"","center")</f>
        <v>3580.9199211324844</v>
      </c>
      <c r="L91">
        <f t="shared" si="19"/>
        <v>8.3777355150998025E-4</v>
      </c>
    </row>
    <row r="92" spans="1:12" x14ac:dyDescent="0.3">
      <c r="A92">
        <v>96</v>
      </c>
      <c r="B92">
        <f t="shared" si="20"/>
        <v>2.6131425263705658E-4</v>
      </c>
      <c r="C92">
        <f t="shared" si="16"/>
        <v>2.6131425263705658E-4</v>
      </c>
      <c r="D92" t="s">
        <v>24</v>
      </c>
      <c r="E92" t="s">
        <v>19</v>
      </c>
      <c r="F92">
        <v>1</v>
      </c>
      <c r="G92">
        <f t="shared" si="21"/>
        <v>150</v>
      </c>
      <c r="I92">
        <v>2030</v>
      </c>
      <c r="J92">
        <f t="shared" si="22"/>
        <v>152.5</v>
      </c>
      <c r="K92" cm="1">
        <f t="array" ref="K92">STOWA2019_NDJF_T(A92*60,J92,I92,"","center")</f>
        <v>5204.1835492384498</v>
      </c>
      <c r="L92">
        <f t="shared" si="19"/>
        <v>5.7645929887292367E-4</v>
      </c>
    </row>
    <row r="93" spans="1:12" x14ac:dyDescent="0.3">
      <c r="A93">
        <v>96</v>
      </c>
      <c r="B93">
        <f t="shared" si="20"/>
        <v>1.7859495292222341E-4</v>
      </c>
      <c r="C93">
        <f t="shared" si="16"/>
        <v>1.7859495292222341E-4</v>
      </c>
      <c r="D93" t="s">
        <v>24</v>
      </c>
      <c r="E93" t="s">
        <v>19</v>
      </c>
      <c r="F93">
        <v>1</v>
      </c>
      <c r="G93">
        <f t="shared" si="21"/>
        <v>155</v>
      </c>
      <c r="I93">
        <v>2030</v>
      </c>
      <c r="J93">
        <f t="shared" si="22"/>
        <v>157.5</v>
      </c>
      <c r="K93" cm="1">
        <f t="array" ref="K93">STOWA2019_NDJF_T(A93*60,J93,I93,"","center")</f>
        <v>7540.2584587756264</v>
      </c>
      <c r="L93">
        <f t="shared" si="19"/>
        <v>3.9786434595070027E-4</v>
      </c>
    </row>
    <row r="94" spans="1:12" x14ac:dyDescent="0.3">
      <c r="A94">
        <v>96</v>
      </c>
      <c r="B94" s="1">
        <f>L93</f>
        <v>3.9786434595070027E-4</v>
      </c>
      <c r="C94">
        <f t="shared" si="16"/>
        <v>3.9786434595070027E-4</v>
      </c>
      <c r="D94" t="s">
        <v>24</v>
      </c>
      <c r="E94" t="s">
        <v>19</v>
      </c>
      <c r="F94">
        <v>1</v>
      </c>
      <c r="G94">
        <f t="shared" si="21"/>
        <v>160</v>
      </c>
      <c r="I94">
        <v>2030</v>
      </c>
      <c r="J94">
        <f>AVERAGE(G94:G95)</f>
        <v>85</v>
      </c>
      <c r="K94" cm="1">
        <f t="array" ref="K94">STOWA2019_NDJF_T(A94*60,J94,I94,"","center")</f>
        <v>25.30063207907795</v>
      </c>
      <c r="L94">
        <f t="shared" si="19"/>
        <v>0.11857411271874166</v>
      </c>
    </row>
    <row r="95" spans="1:12" x14ac:dyDescent="0.3">
      <c r="A95">
        <v>192</v>
      </c>
      <c r="B95" s="1">
        <f>365.25*24/A95 - L95</f>
        <v>-20.68569584407426</v>
      </c>
      <c r="C95">
        <f>B95</f>
        <v>-20.68569584407426</v>
      </c>
      <c r="D95" t="s">
        <v>24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STOWA2019_NDJF_T(A95*60,J95,I95,"","center")</f>
        <v>4.5220259397440683E-2</v>
      </c>
      <c r="L95">
        <f t="shared" si="19"/>
        <v>66.34194584407426</v>
      </c>
    </row>
    <row r="96" spans="1:12" x14ac:dyDescent="0.3">
      <c r="A96">
        <v>192</v>
      </c>
      <c r="B96">
        <f t="shared" ref="B96:B100" si="23">L95-L96</f>
        <v>8.6572407794326551</v>
      </c>
      <c r="C96">
        <f t="shared" ref="C96:C125" si="24">B96</f>
        <v>8.6572407794326551</v>
      </c>
      <c r="D96" t="s">
        <v>24</v>
      </c>
      <c r="E96" t="s">
        <v>19</v>
      </c>
      <c r="F96">
        <v>1</v>
      </c>
      <c r="G96">
        <f t="shared" ref="G96:G100" si="25">G95+5</f>
        <v>15</v>
      </c>
      <c r="I96">
        <v>2030</v>
      </c>
      <c r="J96">
        <f t="shared" ref="J96:J100" si="26">AVERAGE(G96:G97)</f>
        <v>17.5</v>
      </c>
      <c r="K96" cm="1">
        <f t="array" ref="K96">STOWA2019_NDJF_T(A96*60,J96,I96,"","center")</f>
        <v>5.2006853404870379E-2</v>
      </c>
      <c r="L96">
        <f t="shared" si="19"/>
        <v>57.684705064641605</v>
      </c>
    </row>
    <row r="97" spans="1:12" x14ac:dyDescent="0.3">
      <c r="A97">
        <v>192</v>
      </c>
      <c r="B97">
        <f t="shared" si="23"/>
        <v>14.191518385724471</v>
      </c>
      <c r="C97">
        <f t="shared" si="24"/>
        <v>14.191518385724471</v>
      </c>
      <c r="D97" t="s">
        <v>24</v>
      </c>
      <c r="E97" t="s">
        <v>19</v>
      </c>
      <c r="F97">
        <v>1</v>
      </c>
      <c r="G97">
        <f t="shared" si="25"/>
        <v>20</v>
      </c>
      <c r="I97">
        <v>2030</v>
      </c>
      <c r="J97">
        <f t="shared" si="26"/>
        <v>22.5</v>
      </c>
      <c r="K97" cm="1">
        <f t="array" ref="K97">STOWA2019_NDJF_T(A97*60,J97,I97,"","center")</f>
        <v>6.8976320869452837E-2</v>
      </c>
      <c r="L97">
        <f t="shared" si="19"/>
        <v>43.493186678917134</v>
      </c>
    </row>
    <row r="98" spans="1:12" x14ac:dyDescent="0.3">
      <c r="A98">
        <v>192</v>
      </c>
      <c r="B98">
        <f t="shared" si="23"/>
        <v>10.821874202674515</v>
      </c>
      <c r="C98">
        <f t="shared" si="24"/>
        <v>10.821874202674515</v>
      </c>
      <c r="D98" t="s">
        <v>24</v>
      </c>
      <c r="E98" t="s">
        <v>19</v>
      </c>
      <c r="F98">
        <v>1</v>
      </c>
      <c r="G98">
        <f t="shared" si="25"/>
        <v>25</v>
      </c>
      <c r="I98">
        <v>2030</v>
      </c>
      <c r="J98">
        <f t="shared" si="26"/>
        <v>27.5</v>
      </c>
      <c r="K98" cm="1">
        <f t="array" ref="K98">STOWA2019_NDJF_T(A98*60,J98,I98,"","center")</f>
        <v>9.182367565372497E-2</v>
      </c>
      <c r="L98">
        <f t="shared" si="19"/>
        <v>32.671312476242619</v>
      </c>
    </row>
    <row r="99" spans="1:12" x14ac:dyDescent="0.3">
      <c r="A99">
        <v>192</v>
      </c>
      <c r="B99">
        <f t="shared" si="23"/>
        <v>8.2226967225600234</v>
      </c>
      <c r="C99">
        <f t="shared" si="24"/>
        <v>8.2226967225600234</v>
      </c>
      <c r="D99" t="s">
        <v>24</v>
      </c>
      <c r="E99" t="s">
        <v>19</v>
      </c>
      <c r="F99">
        <v>1</v>
      </c>
      <c r="G99">
        <f t="shared" si="25"/>
        <v>30</v>
      </c>
      <c r="I99">
        <v>2030</v>
      </c>
      <c r="J99">
        <f t="shared" si="26"/>
        <v>32.5</v>
      </c>
      <c r="K99" cm="1">
        <f t="array" ref="K99">STOWA2019_NDJF_T(A99*60,J99,I99,"","center")</f>
        <v>0.12270633357015814</v>
      </c>
      <c r="L99">
        <f t="shared" si="19"/>
        <v>24.448615753682596</v>
      </c>
    </row>
    <row r="100" spans="1:12" x14ac:dyDescent="0.3">
      <c r="A100">
        <v>192</v>
      </c>
      <c r="B100">
        <f t="shared" si="23"/>
        <v>6.2247641324885059</v>
      </c>
      <c r="C100">
        <f t="shared" si="24"/>
        <v>6.2247641324885059</v>
      </c>
      <c r="D100" t="s">
        <v>24</v>
      </c>
      <c r="E100" t="s">
        <v>19</v>
      </c>
      <c r="F100">
        <v>1</v>
      </c>
      <c r="G100">
        <f t="shared" si="25"/>
        <v>35</v>
      </c>
      <c r="I100">
        <v>2030</v>
      </c>
      <c r="J100">
        <f t="shared" si="26"/>
        <v>37.5</v>
      </c>
      <c r="K100" cm="1">
        <f t="array" ref="K100">STOWA2019_NDJF_T(A100*60,J100,I100,"","center")</f>
        <v>0.16461942636270374</v>
      </c>
      <c r="L100">
        <f t="shared" si="19"/>
        <v>18.22385162119409</v>
      </c>
    </row>
    <row r="101" spans="1:12" x14ac:dyDescent="0.3">
      <c r="A101">
        <v>192</v>
      </c>
      <c r="B101">
        <f>L100-L101</f>
        <v>4.6944689055591162</v>
      </c>
      <c r="C101">
        <f t="shared" si="24"/>
        <v>4.6944689055591162</v>
      </c>
      <c r="D101" t="s">
        <v>24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STOWA2019_NDJF_T(A101*60,J101,I101,"","center")</f>
        <v>0.22173960653305394</v>
      </c>
      <c r="L101">
        <f t="shared" si="19"/>
        <v>13.529382715634974</v>
      </c>
    </row>
    <row r="102" spans="1:12" x14ac:dyDescent="0.3">
      <c r="A102">
        <v>192</v>
      </c>
      <c r="B102">
        <f t="shared" ref="B102:B124" si="27">L101-L102</f>
        <v>3.5266341069228258</v>
      </c>
      <c r="C102">
        <f t="shared" si="24"/>
        <v>3.5266341069228258</v>
      </c>
      <c r="D102" t="s">
        <v>24</v>
      </c>
      <c r="E102" t="s">
        <v>19</v>
      </c>
      <c r="F102">
        <v>1</v>
      </c>
      <c r="G102">
        <f t="shared" ref="G102:G125" si="28">G101+5</f>
        <v>45</v>
      </c>
      <c r="I102">
        <v>2030</v>
      </c>
      <c r="J102">
        <f t="shared" ref="J102:J124" si="29">AVERAGE(G102:G103)</f>
        <v>47.5</v>
      </c>
      <c r="K102" cm="1">
        <f t="array" ref="K102">STOWA2019_NDJF_T(A102*60,J102,I102,"","center")</f>
        <v>0.29991756439695721</v>
      </c>
      <c r="L102">
        <f t="shared" si="19"/>
        <v>10.002748608712148</v>
      </c>
    </row>
    <row r="103" spans="1:12" x14ac:dyDescent="0.3">
      <c r="A103">
        <v>192</v>
      </c>
      <c r="B103">
        <f t="shared" si="27"/>
        <v>2.6388042464259716</v>
      </c>
      <c r="C103">
        <f t="shared" si="24"/>
        <v>2.6388042464259716</v>
      </c>
      <c r="D103" t="s">
        <v>24</v>
      </c>
      <c r="E103" t="s">
        <v>19</v>
      </c>
      <c r="F103">
        <v>1</v>
      </c>
      <c r="G103">
        <f t="shared" si="28"/>
        <v>50</v>
      </c>
      <c r="I103">
        <v>2030</v>
      </c>
      <c r="J103">
        <f t="shared" si="29"/>
        <v>52.5</v>
      </c>
      <c r="K103" cm="1">
        <f t="array" ref="K103">STOWA2019_NDJF_T(A103*60,J103,I103,"","center")</f>
        <v>0.40739036749982094</v>
      </c>
      <c r="L103">
        <f t="shared" si="19"/>
        <v>7.3639443622861762</v>
      </c>
    </row>
    <row r="104" spans="1:12" x14ac:dyDescent="0.3">
      <c r="A104">
        <v>192</v>
      </c>
      <c r="B104">
        <f t="shared" si="27"/>
        <v>1.9663136732136461</v>
      </c>
      <c r="C104">
        <f t="shared" si="24"/>
        <v>1.9663136732136461</v>
      </c>
      <c r="D104" t="s">
        <v>24</v>
      </c>
      <c r="E104" t="s">
        <v>19</v>
      </c>
      <c r="F104">
        <v>1</v>
      </c>
      <c r="G104">
        <f t="shared" si="28"/>
        <v>55</v>
      </c>
      <c r="I104">
        <v>2030</v>
      </c>
      <c r="J104">
        <f t="shared" si="29"/>
        <v>57.5</v>
      </c>
      <c r="K104" cm="1">
        <f t="array" ref="K104">STOWA2019_NDJF_T(A104*60,J104,I104,"","center")</f>
        <v>0.55579941882157324</v>
      </c>
      <c r="L104">
        <f t="shared" si="19"/>
        <v>5.3976306890725301</v>
      </c>
    </row>
    <row r="105" spans="1:12" x14ac:dyDescent="0.3">
      <c r="A105">
        <v>192</v>
      </c>
      <c r="B105">
        <f t="shared" si="27"/>
        <v>1.4590668276909744</v>
      </c>
      <c r="C105">
        <f t="shared" si="24"/>
        <v>1.4590668276909744</v>
      </c>
      <c r="D105" t="s">
        <v>24</v>
      </c>
      <c r="E105" t="s">
        <v>19</v>
      </c>
      <c r="F105">
        <v>1</v>
      </c>
      <c r="G105">
        <f t="shared" si="28"/>
        <v>60</v>
      </c>
      <c r="I105">
        <v>2030</v>
      </c>
      <c r="J105">
        <f t="shared" si="29"/>
        <v>62.5</v>
      </c>
      <c r="K105" cm="1">
        <f t="array" ref="K105">STOWA2019_NDJF_T(A105*60,J105,I105,"","center")</f>
        <v>0.76169896073429944</v>
      </c>
      <c r="L105">
        <f t="shared" si="19"/>
        <v>3.9385638613815557</v>
      </c>
    </row>
    <row r="106" spans="1:12" x14ac:dyDescent="0.3">
      <c r="A106">
        <v>192</v>
      </c>
      <c r="B106">
        <f t="shared" si="27"/>
        <v>1.0777357187806302</v>
      </c>
      <c r="C106">
        <f t="shared" si="24"/>
        <v>1.0777357187806302</v>
      </c>
      <c r="D106" t="s">
        <v>24</v>
      </c>
      <c r="E106" t="s">
        <v>19</v>
      </c>
      <c r="F106">
        <v>1</v>
      </c>
      <c r="G106">
        <f t="shared" si="28"/>
        <v>65</v>
      </c>
      <c r="I106">
        <v>2030</v>
      </c>
      <c r="J106">
        <f t="shared" si="29"/>
        <v>67.5</v>
      </c>
      <c r="K106" cm="1">
        <f t="array" ref="K106">STOWA2019_NDJF_T(A106*60,J106,I106,"","center")</f>
        <v>1.0486474022422565</v>
      </c>
      <c r="L106">
        <f t="shared" si="19"/>
        <v>2.8608281426009254</v>
      </c>
    </row>
    <row r="107" spans="1:12" x14ac:dyDescent="0.3">
      <c r="A107">
        <v>192</v>
      </c>
      <c r="B107">
        <f t="shared" si="27"/>
        <v>0.79285671799301394</v>
      </c>
      <c r="C107">
        <f t="shared" si="24"/>
        <v>0.79285671799301394</v>
      </c>
      <c r="D107" t="s">
        <v>24</v>
      </c>
      <c r="E107" t="s">
        <v>19</v>
      </c>
      <c r="F107">
        <v>1</v>
      </c>
      <c r="G107">
        <f t="shared" si="28"/>
        <v>70</v>
      </c>
      <c r="I107">
        <v>2030</v>
      </c>
      <c r="J107">
        <f t="shared" si="29"/>
        <v>72.5</v>
      </c>
      <c r="K107" cm="1">
        <f t="array" ref="K107">STOWA2019_NDJF_T(A107*60,J107,I107,"","center")</f>
        <v>1.4506970281607259</v>
      </c>
      <c r="L107">
        <f t="shared" si="19"/>
        <v>2.0679714246079115</v>
      </c>
    </row>
    <row r="108" spans="1:12" x14ac:dyDescent="0.3">
      <c r="A108">
        <v>192</v>
      </c>
      <c r="B108">
        <f t="shared" si="27"/>
        <v>0.58045571103124627</v>
      </c>
      <c r="C108">
        <f t="shared" si="24"/>
        <v>0.58045571103124627</v>
      </c>
      <c r="D108" t="s">
        <v>24</v>
      </c>
      <c r="E108" t="s">
        <v>19</v>
      </c>
      <c r="F108">
        <v>1</v>
      </c>
      <c r="G108">
        <f t="shared" si="28"/>
        <v>75</v>
      </c>
      <c r="I108">
        <v>2030</v>
      </c>
      <c r="J108">
        <f t="shared" si="29"/>
        <v>77.5</v>
      </c>
      <c r="K108" cm="1">
        <f t="array" ref="K108">STOWA2019_NDJF_T(A108*60,J108,I108,"","center")</f>
        <v>2.0167854178740967</v>
      </c>
      <c r="L108">
        <f t="shared" si="19"/>
        <v>1.4875157135766652</v>
      </c>
    </row>
    <row r="109" spans="1:12" x14ac:dyDescent="0.3">
      <c r="A109">
        <v>192</v>
      </c>
      <c r="B109">
        <f t="shared" si="27"/>
        <v>0.42293638014405044</v>
      </c>
      <c r="C109">
        <f t="shared" si="24"/>
        <v>0.42293638014405044</v>
      </c>
      <c r="D109" t="s">
        <v>24</v>
      </c>
      <c r="E109" t="s">
        <v>19</v>
      </c>
      <c r="F109">
        <v>1</v>
      </c>
      <c r="G109">
        <f t="shared" si="28"/>
        <v>80</v>
      </c>
      <c r="I109">
        <v>2030</v>
      </c>
      <c r="J109">
        <f t="shared" si="29"/>
        <v>82.5</v>
      </c>
      <c r="K109" cm="1">
        <f t="array" ref="K109">STOWA2019_NDJF_T(A109*60,J109,I109,"","center")</f>
        <v>2.8180145018660485</v>
      </c>
      <c r="L109">
        <f t="shared" si="19"/>
        <v>1.0645793334326148</v>
      </c>
    </row>
    <row r="110" spans="1:12" x14ac:dyDescent="0.3">
      <c r="A110">
        <v>192</v>
      </c>
      <c r="B110">
        <f t="shared" si="27"/>
        <v>0.30666597785564731</v>
      </c>
      <c r="C110">
        <f t="shared" si="24"/>
        <v>0.30666597785564731</v>
      </c>
      <c r="D110" t="s">
        <v>24</v>
      </c>
      <c r="E110" t="s">
        <v>19</v>
      </c>
      <c r="F110">
        <v>1</v>
      </c>
      <c r="G110">
        <f t="shared" si="28"/>
        <v>85</v>
      </c>
      <c r="I110">
        <v>2030</v>
      </c>
      <c r="J110">
        <f t="shared" si="29"/>
        <v>87.5</v>
      </c>
      <c r="K110" cm="1">
        <f t="array" ref="K110">STOWA2019_NDJF_T(A110*60,J110,I110,"","center")</f>
        <v>3.9582360937764802</v>
      </c>
      <c r="L110">
        <f t="shared" si="19"/>
        <v>0.75791335557696748</v>
      </c>
    </row>
    <row r="111" spans="1:12" x14ac:dyDescent="0.3">
      <c r="A111">
        <v>192</v>
      </c>
      <c r="B111">
        <f t="shared" si="27"/>
        <v>0.22122556162427753</v>
      </c>
      <c r="C111">
        <f t="shared" si="24"/>
        <v>0.22122556162427753</v>
      </c>
      <c r="D111" t="s">
        <v>24</v>
      </c>
      <c r="E111" t="s">
        <v>19</v>
      </c>
      <c r="F111">
        <v>1</v>
      </c>
      <c r="G111">
        <f t="shared" si="28"/>
        <v>90</v>
      </c>
      <c r="I111">
        <v>2030</v>
      </c>
      <c r="J111">
        <f t="shared" si="29"/>
        <v>92.5</v>
      </c>
      <c r="K111" cm="1">
        <f t="array" ref="K111">STOWA2019_NDJF_T(A111*60,J111,I111,"","center")</f>
        <v>5.589842053058609</v>
      </c>
      <c r="L111">
        <f t="shared" si="19"/>
        <v>0.53668779395268995</v>
      </c>
    </row>
    <row r="112" spans="1:12" x14ac:dyDescent="0.3">
      <c r="A112">
        <v>192</v>
      </c>
      <c r="B112">
        <f t="shared" si="27"/>
        <v>0.15876563342022071</v>
      </c>
      <c r="C112">
        <f t="shared" si="24"/>
        <v>0.15876563342022071</v>
      </c>
      <c r="D112" t="s">
        <v>24</v>
      </c>
      <c r="E112" t="s">
        <v>19</v>
      </c>
      <c r="F112">
        <v>1</v>
      </c>
      <c r="G112">
        <f t="shared" si="28"/>
        <v>95</v>
      </c>
      <c r="I112">
        <v>2030</v>
      </c>
      <c r="J112">
        <f t="shared" si="29"/>
        <v>97.5</v>
      </c>
      <c r="K112" cm="1">
        <f t="array" ref="K112">STOWA2019_NDJF_T(A112*60,J112,I112,"","center")</f>
        <v>7.9381425946898245</v>
      </c>
      <c r="L112">
        <f t="shared" si="19"/>
        <v>0.37792216053246924</v>
      </c>
    </row>
    <row r="113" spans="1:12" x14ac:dyDescent="0.3">
      <c r="A113">
        <v>192</v>
      </c>
      <c r="B113">
        <f t="shared" si="27"/>
        <v>0.11332280961823377</v>
      </c>
      <c r="C113">
        <f t="shared" si="24"/>
        <v>0.11332280961823377</v>
      </c>
      <c r="D113" t="s">
        <v>24</v>
      </c>
      <c r="E113" t="s">
        <v>19</v>
      </c>
      <c r="F113">
        <v>1</v>
      </c>
      <c r="G113">
        <f t="shared" si="28"/>
        <v>100</v>
      </c>
      <c r="I113">
        <v>2030</v>
      </c>
      <c r="J113">
        <f t="shared" si="29"/>
        <v>102.5</v>
      </c>
      <c r="K113" cm="1">
        <f t="array" ref="K113">STOWA2019_NDJF_T(A113*60,J113,I113,"","center")</f>
        <v>11.337896293526395</v>
      </c>
      <c r="L113">
        <f t="shared" si="19"/>
        <v>0.26459935091423548</v>
      </c>
    </row>
    <row r="114" spans="1:12" x14ac:dyDescent="0.3">
      <c r="A114">
        <v>192</v>
      </c>
      <c r="B114">
        <f t="shared" si="27"/>
        <v>8.0441003207676498E-2</v>
      </c>
      <c r="C114">
        <f t="shared" si="24"/>
        <v>8.0441003207676498E-2</v>
      </c>
      <c r="D114" t="s">
        <v>24</v>
      </c>
      <c r="E114" t="s">
        <v>19</v>
      </c>
      <c r="F114">
        <v>1</v>
      </c>
      <c r="G114">
        <f t="shared" si="28"/>
        <v>105</v>
      </c>
      <c r="I114">
        <v>2030</v>
      </c>
      <c r="J114">
        <f t="shared" si="29"/>
        <v>107.5</v>
      </c>
      <c r="K114" cm="1">
        <f t="array" ref="K114">STOWA2019_NDJF_T(A114*60,J114,I114,"","center")</f>
        <v>16.290328607749299</v>
      </c>
      <c r="L114">
        <f t="shared" si="19"/>
        <v>0.18415834770655898</v>
      </c>
    </row>
    <row r="115" spans="1:12" x14ac:dyDescent="0.3">
      <c r="A115">
        <v>192</v>
      </c>
      <c r="B115">
        <f t="shared" si="27"/>
        <v>5.6771084775689845E-2</v>
      </c>
      <c r="C115">
        <f t="shared" si="24"/>
        <v>5.6771084775689845E-2</v>
      </c>
      <c r="D115" t="s">
        <v>24</v>
      </c>
      <c r="E115" t="s">
        <v>19</v>
      </c>
      <c r="F115">
        <v>1</v>
      </c>
      <c r="G115">
        <f t="shared" si="28"/>
        <v>110</v>
      </c>
      <c r="I115">
        <v>2030</v>
      </c>
      <c r="J115">
        <f t="shared" si="29"/>
        <v>112.5</v>
      </c>
      <c r="K115" cm="1">
        <f t="array" ref="K115">STOWA2019_NDJF_T(A115*60,J115,I115,"","center")</f>
        <v>23.550235172475983</v>
      </c>
      <c r="L115">
        <f t="shared" si="19"/>
        <v>0.12738726293086913</v>
      </c>
    </row>
    <row r="116" spans="1:12" x14ac:dyDescent="0.3">
      <c r="A116">
        <v>192</v>
      </c>
      <c r="B116">
        <f t="shared" si="27"/>
        <v>3.9828322279692879E-2</v>
      </c>
      <c r="C116">
        <f t="shared" si="24"/>
        <v>3.9828322279692879E-2</v>
      </c>
      <c r="D116" t="s">
        <v>24</v>
      </c>
      <c r="E116" t="s">
        <v>19</v>
      </c>
      <c r="F116">
        <v>1</v>
      </c>
      <c r="G116">
        <f t="shared" si="28"/>
        <v>115</v>
      </c>
      <c r="I116">
        <v>2030</v>
      </c>
      <c r="J116">
        <f t="shared" si="29"/>
        <v>117.5</v>
      </c>
      <c r="K116" cm="1">
        <f t="array" ref="K116">STOWA2019_NDJF_T(A116*60,J116,I116,"","center")</f>
        <v>34.262634719983886</v>
      </c>
      <c r="L116">
        <f t="shared" si="19"/>
        <v>8.7558940651176254E-2</v>
      </c>
    </row>
    <row r="117" spans="1:12" x14ac:dyDescent="0.3">
      <c r="A117">
        <v>192</v>
      </c>
      <c r="B117">
        <f t="shared" si="27"/>
        <v>2.777039287376501E-2</v>
      </c>
      <c r="C117">
        <f t="shared" si="24"/>
        <v>2.777039287376501E-2</v>
      </c>
      <c r="D117" t="s">
        <v>24</v>
      </c>
      <c r="E117" t="s">
        <v>19</v>
      </c>
      <c r="F117">
        <v>1</v>
      </c>
      <c r="G117">
        <f t="shared" si="28"/>
        <v>120</v>
      </c>
      <c r="I117">
        <v>2030</v>
      </c>
      <c r="J117">
        <f t="shared" si="29"/>
        <v>122.5</v>
      </c>
      <c r="K117" cm="1">
        <f t="array" ref="K117">STOWA2019_NDJF_T(A117*60,J117,I117,"","center")</f>
        <v>50.176833382352733</v>
      </c>
      <c r="L117">
        <f t="shared" si="19"/>
        <v>5.9788547777411244E-2</v>
      </c>
    </row>
    <row r="118" spans="1:12" x14ac:dyDescent="0.3">
      <c r="A118">
        <v>192</v>
      </c>
      <c r="B118">
        <f t="shared" si="27"/>
        <v>1.9240148632148249E-2</v>
      </c>
      <c r="C118">
        <f t="shared" si="24"/>
        <v>1.9240148632148249E-2</v>
      </c>
      <c r="D118" t="s">
        <v>24</v>
      </c>
      <c r="E118" t="s">
        <v>19</v>
      </c>
      <c r="F118">
        <v>1</v>
      </c>
      <c r="G118">
        <f t="shared" si="28"/>
        <v>125</v>
      </c>
      <c r="I118">
        <v>2030</v>
      </c>
      <c r="J118">
        <f t="shared" si="29"/>
        <v>127.5</v>
      </c>
      <c r="K118" cm="1">
        <f t="array" ref="K118">STOWA2019_NDJF_T(A118*60,J118,I118,"","center")</f>
        <v>73.98565820693986</v>
      </c>
      <c r="L118">
        <f t="shared" si="19"/>
        <v>4.0548399145262995E-2</v>
      </c>
    </row>
    <row r="119" spans="1:12" x14ac:dyDescent="0.3">
      <c r="A119">
        <v>192</v>
      </c>
      <c r="B119">
        <f t="shared" si="27"/>
        <v>1.324193585560432E-2</v>
      </c>
      <c r="C119">
        <f t="shared" si="24"/>
        <v>1.324193585560432E-2</v>
      </c>
      <c r="D119" t="s">
        <v>24</v>
      </c>
      <c r="E119" t="s">
        <v>19</v>
      </c>
      <c r="F119">
        <v>1</v>
      </c>
      <c r="G119">
        <f t="shared" si="28"/>
        <v>130</v>
      </c>
      <c r="I119">
        <v>2030</v>
      </c>
      <c r="J119">
        <f t="shared" si="29"/>
        <v>132.5</v>
      </c>
      <c r="K119" cm="1">
        <f t="array" ref="K119">STOWA2019_NDJF_T(A119*60,J119,I119,"","center")</f>
        <v>109.86409950556066</v>
      </c>
      <c r="L119">
        <f t="shared" si="19"/>
        <v>2.7306463289658675E-2</v>
      </c>
    </row>
    <row r="120" spans="1:12" x14ac:dyDescent="0.3">
      <c r="A120">
        <v>192</v>
      </c>
      <c r="B120">
        <f t="shared" si="27"/>
        <v>9.051783878612045E-3</v>
      </c>
      <c r="C120">
        <f t="shared" si="24"/>
        <v>9.051783878612045E-3</v>
      </c>
      <c r="D120" t="s">
        <v>24</v>
      </c>
      <c r="E120" t="s">
        <v>19</v>
      </c>
      <c r="F120">
        <v>1</v>
      </c>
      <c r="G120">
        <f t="shared" si="28"/>
        <v>135</v>
      </c>
      <c r="I120">
        <v>2030</v>
      </c>
      <c r="J120">
        <f t="shared" si="29"/>
        <v>137.5</v>
      </c>
      <c r="K120" cm="1">
        <f t="array" ref="K120">STOWA2019_NDJF_T(A120*60,J120,I120,"","center")</f>
        <v>164.34142350287351</v>
      </c>
      <c r="L120">
        <f t="shared" si="19"/>
        <v>1.825467941104663E-2</v>
      </c>
    </row>
    <row r="121" spans="1:12" x14ac:dyDescent="0.3">
      <c r="A121">
        <v>192</v>
      </c>
      <c r="B121">
        <f t="shared" si="27"/>
        <v>6.1436058879210283E-3</v>
      </c>
      <c r="C121">
        <f t="shared" si="24"/>
        <v>6.1436058879210283E-3</v>
      </c>
      <c r="D121" t="s">
        <v>24</v>
      </c>
      <c r="E121" t="s">
        <v>19</v>
      </c>
      <c r="F121">
        <v>1</v>
      </c>
      <c r="G121">
        <f t="shared" si="28"/>
        <v>140</v>
      </c>
      <c r="I121">
        <v>2030</v>
      </c>
      <c r="J121">
        <f t="shared" si="29"/>
        <v>142.5</v>
      </c>
      <c r="K121" cm="1">
        <f t="array" ref="K121">STOWA2019_NDJF_T(A121*60,J121,I121,"","center")</f>
        <v>247.70719080118059</v>
      </c>
      <c r="L121">
        <f t="shared" si="19"/>
        <v>1.2111073523125602E-2</v>
      </c>
    </row>
    <row r="122" spans="1:12" x14ac:dyDescent="0.3">
      <c r="A122">
        <v>192</v>
      </c>
      <c r="B122">
        <f t="shared" si="27"/>
        <v>4.1391851710182708E-3</v>
      </c>
      <c r="C122">
        <f t="shared" si="24"/>
        <v>4.1391851710182708E-3</v>
      </c>
      <c r="D122" t="s">
        <v>24</v>
      </c>
      <c r="E122" t="s">
        <v>19</v>
      </c>
      <c r="F122">
        <v>1</v>
      </c>
      <c r="G122">
        <f t="shared" si="28"/>
        <v>145</v>
      </c>
      <c r="I122">
        <v>2030</v>
      </c>
      <c r="J122">
        <f t="shared" si="29"/>
        <v>147.5</v>
      </c>
      <c r="K122" cm="1">
        <f t="array" ref="K122">STOWA2019_NDJF_T(A122*60,J122,I122,"","center")</f>
        <v>376.32238028107406</v>
      </c>
      <c r="L122">
        <f t="shared" si="19"/>
        <v>7.971888352107331E-3</v>
      </c>
    </row>
    <row r="123" spans="1:12" x14ac:dyDescent="0.3">
      <c r="A123">
        <v>192</v>
      </c>
      <c r="B123">
        <f t="shared" si="27"/>
        <v>2.7673996310477109E-3</v>
      </c>
      <c r="C123">
        <f t="shared" si="24"/>
        <v>2.7673996310477109E-3</v>
      </c>
      <c r="D123" t="s">
        <v>24</v>
      </c>
      <c r="E123" t="s">
        <v>19</v>
      </c>
      <c r="F123">
        <v>1</v>
      </c>
      <c r="G123">
        <f t="shared" si="28"/>
        <v>150</v>
      </c>
      <c r="I123">
        <v>2030</v>
      </c>
      <c r="J123">
        <f t="shared" si="29"/>
        <v>152.5</v>
      </c>
      <c r="K123" cm="1">
        <f t="array" ref="K123">STOWA2019_NDJF_T(A123*60,J123,I123,"","center")</f>
        <v>576.42549744813516</v>
      </c>
      <c r="L123">
        <f t="shared" si="19"/>
        <v>5.2044887210596202E-3</v>
      </c>
    </row>
    <row r="124" spans="1:12" x14ac:dyDescent="0.3">
      <c r="A124">
        <v>192</v>
      </c>
      <c r="B124">
        <f t="shared" si="27"/>
        <v>1.8355693404526908E-3</v>
      </c>
      <c r="C124">
        <f t="shared" si="24"/>
        <v>1.8355693404526908E-3</v>
      </c>
      <c r="D124" t="s">
        <v>24</v>
      </c>
      <c r="E124" t="s">
        <v>19</v>
      </c>
      <c r="F124">
        <v>1</v>
      </c>
      <c r="G124">
        <f t="shared" si="28"/>
        <v>155</v>
      </c>
      <c r="I124">
        <v>2030</v>
      </c>
      <c r="J124">
        <f t="shared" si="29"/>
        <v>157.5</v>
      </c>
      <c r="K124" cm="1">
        <f t="array" ref="K124">STOWA2019_NDJF_T(A124*60,J124,I124,"","center")</f>
        <v>890.49325943191116</v>
      </c>
      <c r="L124">
        <f t="shared" si="19"/>
        <v>3.3689193806069294E-3</v>
      </c>
    </row>
    <row r="125" spans="1:12" x14ac:dyDescent="0.3">
      <c r="A125">
        <v>192</v>
      </c>
      <c r="B125" s="1">
        <f>L124</f>
        <v>3.3689193806069294E-3</v>
      </c>
      <c r="C125">
        <f t="shared" si="24"/>
        <v>3.3689193806069294E-3</v>
      </c>
      <c r="D125" t="s">
        <v>24</v>
      </c>
      <c r="E125" t="s">
        <v>19</v>
      </c>
      <c r="F125">
        <v>1</v>
      </c>
      <c r="G125">
        <f t="shared" si="28"/>
        <v>160</v>
      </c>
      <c r="I125">
        <v>2030</v>
      </c>
      <c r="J125">
        <f>AVERAGE(G125:G126)</f>
        <v>85</v>
      </c>
      <c r="K125" cm="1">
        <f t="array" ref="K125">STOWA2019_NDJF_T(A125*60,J125,I125,"","center")</f>
        <v>3.3375994240192921</v>
      </c>
      <c r="L125">
        <f t="shared" si="19"/>
        <v>0.89884962779243915</v>
      </c>
    </row>
    <row r="126" spans="1:12" x14ac:dyDescent="0.3">
      <c r="A126">
        <v>216</v>
      </c>
      <c r="B126" s="1">
        <f>365.25*24/A126 - L126</f>
        <v>-23.830124012075551</v>
      </c>
      <c r="C126">
        <f>B126</f>
        <v>-23.830124012075551</v>
      </c>
      <c r="D126" t="s">
        <v>24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STOWA2019_NDJF_T(A126*60,J126,I126,"","center")</f>
        <v>4.6574118571417238E-2</v>
      </c>
      <c r="L126">
        <f t="shared" si="19"/>
        <v>64.413457345408887</v>
      </c>
    </row>
    <row r="127" spans="1:12" x14ac:dyDescent="0.3">
      <c r="A127">
        <v>216</v>
      </c>
      <c r="B127">
        <f t="shared" ref="B127:B131" si="30">L126-L127</f>
        <v>7.5892591252882511</v>
      </c>
      <c r="C127">
        <f t="shared" ref="C127:C156" si="31">B127</f>
        <v>7.5892591252882511</v>
      </c>
      <c r="D127" t="s">
        <v>24</v>
      </c>
      <c r="E127" t="s">
        <v>19</v>
      </c>
      <c r="F127">
        <v>1</v>
      </c>
      <c r="G127">
        <f t="shared" ref="G127:G131" si="32">G126+5</f>
        <v>15</v>
      </c>
      <c r="I127">
        <v>2030</v>
      </c>
      <c r="J127">
        <f t="shared" ref="J127:J131" si="33">AVERAGE(G127:G128)</f>
        <v>17.5</v>
      </c>
      <c r="K127" cm="1">
        <f t="array" ref="K127">STOWA2019_NDJF_T(A127*60,J127,I127,"","center")</f>
        <v>5.2794409669958936E-2</v>
      </c>
      <c r="L127">
        <f t="shared" si="19"/>
        <v>56.824198220120635</v>
      </c>
    </row>
    <row r="128" spans="1:12" x14ac:dyDescent="0.3">
      <c r="A128">
        <v>216</v>
      </c>
      <c r="B128">
        <f t="shared" si="30"/>
        <v>12.7339758171114</v>
      </c>
      <c r="C128">
        <f t="shared" si="31"/>
        <v>12.7339758171114</v>
      </c>
      <c r="D128" t="s">
        <v>24</v>
      </c>
      <c r="E128" t="s">
        <v>19</v>
      </c>
      <c r="F128">
        <v>1</v>
      </c>
      <c r="G128">
        <f t="shared" si="32"/>
        <v>20</v>
      </c>
      <c r="I128">
        <v>2030</v>
      </c>
      <c r="J128">
        <f t="shared" si="33"/>
        <v>22.5</v>
      </c>
      <c r="K128" cm="1">
        <f t="array" ref="K128">STOWA2019_NDJF_T(A128*60,J128,I128,"","center")</f>
        <v>6.8042296828950549E-2</v>
      </c>
      <c r="L128">
        <f t="shared" si="19"/>
        <v>44.090222403009236</v>
      </c>
    </row>
    <row r="129" spans="1:12" x14ac:dyDescent="0.3">
      <c r="A129">
        <v>216</v>
      </c>
      <c r="B129">
        <f t="shared" si="30"/>
        <v>10.0211765468501</v>
      </c>
      <c r="C129">
        <f t="shared" si="31"/>
        <v>10.0211765468501</v>
      </c>
      <c r="D129" t="s">
        <v>24</v>
      </c>
      <c r="E129" t="s">
        <v>19</v>
      </c>
      <c r="F129">
        <v>1</v>
      </c>
      <c r="G129">
        <f t="shared" si="32"/>
        <v>25</v>
      </c>
      <c r="I129">
        <v>2030</v>
      </c>
      <c r="J129">
        <f t="shared" si="33"/>
        <v>27.5</v>
      </c>
      <c r="K129" cm="1">
        <f t="array" ref="K129">STOWA2019_NDJF_T(A129*60,J129,I129,"","center")</f>
        <v>8.8056472513674697E-2</v>
      </c>
      <c r="L129">
        <f t="shared" si="19"/>
        <v>34.069045856159136</v>
      </c>
    </row>
    <row r="130" spans="1:12" x14ac:dyDescent="0.3">
      <c r="A130">
        <v>216</v>
      </c>
      <c r="B130">
        <f t="shared" si="30"/>
        <v>7.8553549757625376</v>
      </c>
      <c r="C130">
        <f t="shared" si="31"/>
        <v>7.8553549757625376</v>
      </c>
      <c r="D130" t="s">
        <v>24</v>
      </c>
      <c r="E130" t="s">
        <v>19</v>
      </c>
      <c r="F130">
        <v>1</v>
      </c>
      <c r="G130">
        <f t="shared" si="32"/>
        <v>30</v>
      </c>
      <c r="I130">
        <v>2030</v>
      </c>
      <c r="J130">
        <f t="shared" si="33"/>
        <v>32.5</v>
      </c>
      <c r="K130" cm="1">
        <f t="array" ref="K130">STOWA2019_NDJF_T(A130*60,J130,I130,"","center")</f>
        <v>0.11444401376700036</v>
      </c>
      <c r="L130">
        <f t="shared" si="19"/>
        <v>26.213690880396598</v>
      </c>
    </row>
    <row r="131" spans="1:12" x14ac:dyDescent="0.3">
      <c r="A131">
        <v>216</v>
      </c>
      <c r="B131">
        <f t="shared" si="30"/>
        <v>6.1326905060171129</v>
      </c>
      <c r="C131">
        <f t="shared" si="31"/>
        <v>6.1326905060171129</v>
      </c>
      <c r="D131" t="s">
        <v>24</v>
      </c>
      <c r="E131" t="s">
        <v>19</v>
      </c>
      <c r="F131">
        <v>1</v>
      </c>
      <c r="G131">
        <f t="shared" si="32"/>
        <v>35</v>
      </c>
      <c r="I131">
        <v>2030</v>
      </c>
      <c r="J131">
        <f t="shared" si="33"/>
        <v>37.5</v>
      </c>
      <c r="K131" cm="1">
        <f t="array" ref="K131">STOWA2019_NDJF_T(A131*60,J131,I131,"","center")</f>
        <v>0.14939494766543482</v>
      </c>
      <c r="L131">
        <f t="shared" ref="L131:L156" si="34">1/K131 * 12/4</f>
        <v>20.081000374379485</v>
      </c>
    </row>
    <row r="132" spans="1:12" x14ac:dyDescent="0.3">
      <c r="A132">
        <v>216</v>
      </c>
      <c r="B132">
        <f>L131-L132</f>
        <v>4.7677870090417436</v>
      </c>
      <c r="C132">
        <f t="shared" si="31"/>
        <v>4.7677870090417436</v>
      </c>
      <c r="D132" t="s">
        <v>24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STOWA2019_NDJF_T(A132*60,J132,I132,"","center")</f>
        <v>0.19590924049883984</v>
      </c>
      <c r="L132">
        <f t="shared" si="34"/>
        <v>15.313213365337742</v>
      </c>
    </row>
    <row r="133" spans="1:12" x14ac:dyDescent="0.3">
      <c r="A133">
        <v>216</v>
      </c>
      <c r="B133">
        <f t="shared" ref="B133:B155" si="35">L132-L133</f>
        <v>3.6906336304814289</v>
      </c>
      <c r="C133">
        <f t="shared" si="31"/>
        <v>3.6906336304814289</v>
      </c>
      <c r="D133" t="s">
        <v>24</v>
      </c>
      <c r="E133" t="s">
        <v>19</v>
      </c>
      <c r="F133">
        <v>1</v>
      </c>
      <c r="G133">
        <f t="shared" ref="G133:G156" si="36">G132+5</f>
        <v>45</v>
      </c>
      <c r="I133">
        <v>2030</v>
      </c>
      <c r="J133">
        <f t="shared" ref="J133:J155" si="37">AVERAGE(G133:G134)</f>
        <v>47.5</v>
      </c>
      <c r="K133" cm="1">
        <f t="array" ref="K133">STOWA2019_NDJF_T(A133*60,J133,I133,"","center")</f>
        <v>0.25811825502069474</v>
      </c>
      <c r="L133">
        <f t="shared" si="34"/>
        <v>11.622579734856313</v>
      </c>
    </row>
    <row r="134" spans="1:12" x14ac:dyDescent="0.3">
      <c r="A134">
        <v>216</v>
      </c>
      <c r="B134">
        <f t="shared" si="35"/>
        <v>2.8441183400413426</v>
      </c>
      <c r="C134">
        <f t="shared" si="31"/>
        <v>2.8441183400413426</v>
      </c>
      <c r="D134" t="s">
        <v>24</v>
      </c>
      <c r="E134" t="s">
        <v>19</v>
      </c>
      <c r="F134">
        <v>1</v>
      </c>
      <c r="G134">
        <f t="shared" si="36"/>
        <v>50</v>
      </c>
      <c r="I134">
        <v>2030</v>
      </c>
      <c r="J134">
        <f t="shared" si="37"/>
        <v>52.5</v>
      </c>
      <c r="K134" cm="1">
        <f t="array" ref="K134">STOWA2019_NDJF_T(A134*60,J134,I134,"","center")</f>
        <v>0.34174553661214035</v>
      </c>
      <c r="L134">
        <f t="shared" si="34"/>
        <v>8.7784613948149701</v>
      </c>
    </row>
    <row r="135" spans="1:12" x14ac:dyDescent="0.3">
      <c r="A135">
        <v>216</v>
      </c>
      <c r="B135">
        <f t="shared" si="35"/>
        <v>2.1814813507444955</v>
      </c>
      <c r="C135">
        <f t="shared" si="31"/>
        <v>2.1814813507444955</v>
      </c>
      <c r="D135" t="s">
        <v>24</v>
      </c>
      <c r="E135" t="s">
        <v>19</v>
      </c>
      <c r="F135">
        <v>1</v>
      </c>
      <c r="G135">
        <f t="shared" si="36"/>
        <v>55</v>
      </c>
      <c r="I135">
        <v>2030</v>
      </c>
      <c r="J135">
        <f t="shared" si="37"/>
        <v>57.5</v>
      </c>
      <c r="K135" cm="1">
        <f t="array" ref="K135">STOWA2019_NDJF_T(A135*60,J135,I135,"","center")</f>
        <v>0.45475353570251775</v>
      </c>
      <c r="L135">
        <f t="shared" si="34"/>
        <v>6.5969800440704747</v>
      </c>
    </row>
    <row r="136" spans="1:12" x14ac:dyDescent="0.3">
      <c r="A136">
        <v>216</v>
      </c>
      <c r="B136">
        <f t="shared" si="35"/>
        <v>1.6653230633969445</v>
      </c>
      <c r="C136">
        <f t="shared" si="31"/>
        <v>1.6653230633969445</v>
      </c>
      <c r="D136" t="s">
        <v>24</v>
      </c>
      <c r="E136" t="s">
        <v>19</v>
      </c>
      <c r="F136">
        <v>1</v>
      </c>
      <c r="G136">
        <f t="shared" si="36"/>
        <v>60</v>
      </c>
      <c r="I136">
        <v>2030</v>
      </c>
      <c r="J136">
        <f t="shared" si="37"/>
        <v>62.5</v>
      </c>
      <c r="K136" cm="1">
        <f t="array" ref="K136">STOWA2019_NDJF_T(A136*60,J136,I136,"","center")</f>
        <v>0.60831481422097644</v>
      </c>
      <c r="L136">
        <f t="shared" si="34"/>
        <v>4.9316569806735302</v>
      </c>
    </row>
    <row r="137" spans="1:12" x14ac:dyDescent="0.3">
      <c r="A137">
        <v>216</v>
      </c>
      <c r="B137">
        <f t="shared" si="35"/>
        <v>1.2648801025792</v>
      </c>
      <c r="C137">
        <f t="shared" si="31"/>
        <v>1.2648801025792</v>
      </c>
      <c r="D137" t="s">
        <v>24</v>
      </c>
      <c r="E137" t="s">
        <v>19</v>
      </c>
      <c r="F137">
        <v>1</v>
      </c>
      <c r="G137">
        <f t="shared" si="36"/>
        <v>65</v>
      </c>
      <c r="I137">
        <v>2030</v>
      </c>
      <c r="J137">
        <f t="shared" si="37"/>
        <v>67.5</v>
      </c>
      <c r="K137" cm="1">
        <f t="array" ref="K137">STOWA2019_NDJF_T(A137*60,J137,I137,"","center")</f>
        <v>0.81815722628837384</v>
      </c>
      <c r="L137">
        <f t="shared" si="34"/>
        <v>3.6667768780943302</v>
      </c>
    </row>
    <row r="138" spans="1:12" x14ac:dyDescent="0.3">
      <c r="A138">
        <v>216</v>
      </c>
      <c r="B138">
        <f t="shared" si="35"/>
        <v>0.95560707252302901</v>
      </c>
      <c r="C138">
        <f t="shared" si="31"/>
        <v>0.95560707252302901</v>
      </c>
      <c r="D138" t="s">
        <v>24</v>
      </c>
      <c r="E138" t="s">
        <v>19</v>
      </c>
      <c r="F138">
        <v>1</v>
      </c>
      <c r="G138">
        <f t="shared" si="36"/>
        <v>70</v>
      </c>
      <c r="I138">
        <v>2030</v>
      </c>
      <c r="J138">
        <f t="shared" si="37"/>
        <v>72.5</v>
      </c>
      <c r="K138" cm="1">
        <f t="array" ref="K138">STOWA2019_NDJF_T(A138*60,J138,I138,"","center")</f>
        <v>1.1065334210476854</v>
      </c>
      <c r="L138">
        <f t="shared" si="34"/>
        <v>2.7111698055713012</v>
      </c>
    </row>
    <row r="139" spans="1:12" x14ac:dyDescent="0.3">
      <c r="A139">
        <v>216</v>
      </c>
      <c r="B139">
        <f t="shared" si="35"/>
        <v>0.71840381374375495</v>
      </c>
      <c r="C139">
        <f t="shared" si="31"/>
        <v>0.71840381374375495</v>
      </c>
      <c r="D139" t="s">
        <v>24</v>
      </c>
      <c r="E139" t="s">
        <v>19</v>
      </c>
      <c r="F139">
        <v>1</v>
      </c>
      <c r="G139">
        <f t="shared" si="36"/>
        <v>75</v>
      </c>
      <c r="I139">
        <v>2030</v>
      </c>
      <c r="J139">
        <f t="shared" si="37"/>
        <v>77.5</v>
      </c>
      <c r="K139" cm="1">
        <f t="array" ref="K139">STOWA2019_NDJF_T(A139*60,J139,I139,"","center")</f>
        <v>1.505445201445218</v>
      </c>
      <c r="L139">
        <f t="shared" si="34"/>
        <v>1.9927659918275462</v>
      </c>
    </row>
    <row r="140" spans="1:12" x14ac:dyDescent="0.3">
      <c r="A140">
        <v>216</v>
      </c>
      <c r="B140">
        <f t="shared" si="35"/>
        <v>0.53692927810917479</v>
      </c>
      <c r="C140">
        <f t="shared" si="31"/>
        <v>0.53692927810917479</v>
      </c>
      <c r="D140" t="s">
        <v>24</v>
      </c>
      <c r="E140" t="s">
        <v>19</v>
      </c>
      <c r="F140">
        <v>1</v>
      </c>
      <c r="G140">
        <f t="shared" si="36"/>
        <v>80</v>
      </c>
      <c r="I140">
        <v>2030</v>
      </c>
      <c r="J140">
        <f t="shared" si="37"/>
        <v>82.5</v>
      </c>
      <c r="K140" cm="1">
        <f t="array" ref="K140">STOWA2019_NDJF_T(A140*60,J140,I140,"","center")</f>
        <v>2.0606706588252339</v>
      </c>
      <c r="L140">
        <f t="shared" si="34"/>
        <v>1.4558367137183714</v>
      </c>
    </row>
    <row r="141" spans="1:12" x14ac:dyDescent="0.3">
      <c r="A141">
        <v>216</v>
      </c>
      <c r="B141">
        <f t="shared" si="35"/>
        <v>0.39897932382493595</v>
      </c>
      <c r="C141">
        <f t="shared" si="31"/>
        <v>0.39897932382493595</v>
      </c>
      <c r="D141" t="s">
        <v>24</v>
      </c>
      <c r="E141" t="s">
        <v>19</v>
      </c>
      <c r="F141">
        <v>1</v>
      </c>
      <c r="G141">
        <f t="shared" si="36"/>
        <v>85</v>
      </c>
      <c r="I141">
        <v>2030</v>
      </c>
      <c r="J141">
        <f t="shared" si="37"/>
        <v>87.5</v>
      </c>
      <c r="K141" cm="1">
        <f t="array" ref="K141">STOWA2019_NDJF_T(A141*60,J141,I141,"","center")</f>
        <v>2.8386043648731967</v>
      </c>
      <c r="L141">
        <f t="shared" si="34"/>
        <v>1.0568573898934355</v>
      </c>
    </row>
    <row r="142" spans="1:12" x14ac:dyDescent="0.3">
      <c r="A142">
        <v>216</v>
      </c>
      <c r="B142">
        <f t="shared" si="35"/>
        <v>0.29467559984132141</v>
      </c>
      <c r="C142">
        <f t="shared" si="31"/>
        <v>0.29467559984132141</v>
      </c>
      <c r="D142" t="s">
        <v>24</v>
      </c>
      <c r="E142" t="s">
        <v>19</v>
      </c>
      <c r="F142">
        <v>1</v>
      </c>
      <c r="G142">
        <f t="shared" si="36"/>
        <v>90</v>
      </c>
      <c r="I142">
        <v>2030</v>
      </c>
      <c r="J142">
        <f t="shared" si="37"/>
        <v>92.5</v>
      </c>
      <c r="K142" cm="1">
        <f t="array" ref="K142">STOWA2019_NDJF_T(A142*60,J142,I142,"","center")</f>
        <v>3.9360688475578449</v>
      </c>
      <c r="L142">
        <f t="shared" si="34"/>
        <v>0.76218179005211406</v>
      </c>
    </row>
    <row r="143" spans="1:12" x14ac:dyDescent="0.3">
      <c r="A143">
        <v>216</v>
      </c>
      <c r="B143">
        <f t="shared" si="35"/>
        <v>0.21628218060911364</v>
      </c>
      <c r="C143">
        <f t="shared" si="31"/>
        <v>0.21628218060911364</v>
      </c>
      <c r="D143" t="s">
        <v>24</v>
      </c>
      <c r="E143" t="s">
        <v>19</v>
      </c>
      <c r="F143">
        <v>1</v>
      </c>
      <c r="G143">
        <f t="shared" si="36"/>
        <v>95</v>
      </c>
      <c r="I143">
        <v>2030</v>
      </c>
      <c r="J143">
        <f t="shared" si="37"/>
        <v>97.5</v>
      </c>
      <c r="K143" cm="1">
        <f t="array" ref="K143">STOWA2019_NDJF_T(A143*60,J143,I143,"","center")</f>
        <v>5.4955159302293692</v>
      </c>
      <c r="L143">
        <f t="shared" si="34"/>
        <v>0.54589960944300042</v>
      </c>
    </row>
    <row r="144" spans="1:12" x14ac:dyDescent="0.3">
      <c r="A144">
        <v>216</v>
      </c>
      <c r="B144">
        <f t="shared" si="35"/>
        <v>0.1576979944194673</v>
      </c>
      <c r="C144">
        <f t="shared" si="31"/>
        <v>0.1576979944194673</v>
      </c>
      <c r="D144" t="s">
        <v>24</v>
      </c>
      <c r="E144" t="s">
        <v>19</v>
      </c>
      <c r="F144">
        <v>1</v>
      </c>
      <c r="G144">
        <f t="shared" si="36"/>
        <v>100</v>
      </c>
      <c r="I144">
        <v>2030</v>
      </c>
      <c r="J144">
        <f t="shared" si="37"/>
        <v>102.5</v>
      </c>
      <c r="K144" cm="1">
        <f t="array" ref="K144">STOWA2019_NDJF_T(A144*60,J144,I144,"","center")</f>
        <v>7.7279431200154525</v>
      </c>
      <c r="L144">
        <f t="shared" si="34"/>
        <v>0.38820161502353312</v>
      </c>
    </row>
    <row r="145" spans="1:12" x14ac:dyDescent="0.3">
      <c r="A145">
        <v>216</v>
      </c>
      <c r="B145">
        <f t="shared" si="35"/>
        <v>0.11420235541653417</v>
      </c>
      <c r="C145">
        <f t="shared" si="31"/>
        <v>0.11420235541653417</v>
      </c>
      <c r="D145" t="s">
        <v>24</v>
      </c>
      <c r="E145" t="s">
        <v>19</v>
      </c>
      <c r="F145">
        <v>1</v>
      </c>
      <c r="G145">
        <f t="shared" si="36"/>
        <v>105</v>
      </c>
      <c r="I145">
        <v>2030</v>
      </c>
      <c r="J145">
        <f t="shared" si="37"/>
        <v>107.5</v>
      </c>
      <c r="K145" cm="1">
        <f t="array" ref="K145">STOWA2019_NDJF_T(A145*60,J145,I145,"","center")</f>
        <v>10.948934695308823</v>
      </c>
      <c r="L145">
        <f t="shared" si="34"/>
        <v>0.27399925960699895</v>
      </c>
    </row>
    <row r="146" spans="1:12" x14ac:dyDescent="0.3">
      <c r="A146">
        <v>216</v>
      </c>
      <c r="B146">
        <f t="shared" si="35"/>
        <v>8.2111909348140777E-2</v>
      </c>
      <c r="C146">
        <f t="shared" si="31"/>
        <v>8.2111909348140777E-2</v>
      </c>
      <c r="D146" t="s">
        <v>24</v>
      </c>
      <c r="E146" t="s">
        <v>19</v>
      </c>
      <c r="F146">
        <v>1</v>
      </c>
      <c r="G146">
        <f t="shared" si="36"/>
        <v>110</v>
      </c>
      <c r="I146">
        <v>2030</v>
      </c>
      <c r="J146">
        <f t="shared" si="37"/>
        <v>112.5</v>
      </c>
      <c r="K146" cm="1">
        <f t="array" ref="K146">STOWA2019_NDJF_T(A146*60,J146,I146,"","center")</f>
        <v>15.634172841268414</v>
      </c>
      <c r="L146">
        <f t="shared" si="34"/>
        <v>0.19188735025885817</v>
      </c>
    </row>
    <row r="147" spans="1:12" x14ac:dyDescent="0.3">
      <c r="A147">
        <v>216</v>
      </c>
      <c r="B147">
        <f t="shared" si="35"/>
        <v>5.8599861633760797E-2</v>
      </c>
      <c r="C147">
        <f t="shared" si="31"/>
        <v>5.8599861633760797E-2</v>
      </c>
      <c r="D147" t="s">
        <v>24</v>
      </c>
      <c r="E147" t="s">
        <v>19</v>
      </c>
      <c r="F147">
        <v>1</v>
      </c>
      <c r="G147">
        <f t="shared" si="36"/>
        <v>115</v>
      </c>
      <c r="I147">
        <v>2030</v>
      </c>
      <c r="J147">
        <f t="shared" si="37"/>
        <v>117.5</v>
      </c>
      <c r="K147" cm="1">
        <f t="array" ref="K147">STOWA2019_NDJF_T(A147*60,J147,I147,"","center")</f>
        <v>22.507738955440974</v>
      </c>
      <c r="L147">
        <f t="shared" si="34"/>
        <v>0.13328748862509737</v>
      </c>
    </row>
    <row r="148" spans="1:12" x14ac:dyDescent="0.3">
      <c r="A148">
        <v>216</v>
      </c>
      <c r="B148">
        <f t="shared" si="35"/>
        <v>4.149281537812427E-2</v>
      </c>
      <c r="C148">
        <f t="shared" si="31"/>
        <v>4.149281537812427E-2</v>
      </c>
      <c r="D148" t="s">
        <v>24</v>
      </c>
      <c r="E148" t="s">
        <v>19</v>
      </c>
      <c r="F148">
        <v>1</v>
      </c>
      <c r="G148">
        <f t="shared" si="36"/>
        <v>120</v>
      </c>
      <c r="I148">
        <v>2030</v>
      </c>
      <c r="J148">
        <f t="shared" si="37"/>
        <v>122.5</v>
      </c>
      <c r="K148" cm="1">
        <f t="array" ref="K148">STOWA2019_NDJF_T(A148*60,J148,I148,"","center")</f>
        <v>32.681634934616689</v>
      </c>
      <c r="L148">
        <f t="shared" si="34"/>
        <v>9.1794673246973102E-2</v>
      </c>
    </row>
    <row r="149" spans="1:12" x14ac:dyDescent="0.3">
      <c r="A149">
        <v>216</v>
      </c>
      <c r="B149">
        <f t="shared" si="35"/>
        <v>2.9141083480327873E-2</v>
      </c>
      <c r="C149">
        <f t="shared" si="31"/>
        <v>2.9141083480327873E-2</v>
      </c>
      <c r="D149" t="s">
        <v>24</v>
      </c>
      <c r="E149" t="s">
        <v>19</v>
      </c>
      <c r="F149">
        <v>1</v>
      </c>
      <c r="G149">
        <f t="shared" si="36"/>
        <v>125</v>
      </c>
      <c r="I149">
        <v>2030</v>
      </c>
      <c r="J149">
        <f t="shared" si="37"/>
        <v>127.5</v>
      </c>
      <c r="K149" cm="1">
        <f t="array" ref="K149">STOWA2019_NDJF_T(A149*60,J149,I149,"","center")</f>
        <v>47.882332220285718</v>
      </c>
      <c r="L149">
        <f t="shared" si="34"/>
        <v>6.2653589766645229E-2</v>
      </c>
    </row>
    <row r="150" spans="1:12" x14ac:dyDescent="0.3">
      <c r="A150">
        <v>216</v>
      </c>
      <c r="B150">
        <f t="shared" si="35"/>
        <v>2.0290702802787462E-2</v>
      </c>
      <c r="C150">
        <f t="shared" si="31"/>
        <v>2.0290702802787462E-2</v>
      </c>
      <c r="D150" t="s">
        <v>24</v>
      </c>
      <c r="E150" t="s">
        <v>19</v>
      </c>
      <c r="F150">
        <v>1</v>
      </c>
      <c r="G150">
        <f t="shared" si="36"/>
        <v>130</v>
      </c>
      <c r="I150">
        <v>2030</v>
      </c>
      <c r="J150">
        <f t="shared" si="37"/>
        <v>132.5</v>
      </c>
      <c r="K150" cm="1">
        <f t="array" ref="K150">STOWA2019_NDJF_T(A150*60,J150,I150,"","center")</f>
        <v>70.816703369613919</v>
      </c>
      <c r="L150">
        <f t="shared" si="34"/>
        <v>4.2362886963857767E-2</v>
      </c>
    </row>
    <row r="151" spans="1:12" x14ac:dyDescent="0.3">
      <c r="A151">
        <v>216</v>
      </c>
      <c r="B151">
        <f t="shared" si="35"/>
        <v>1.400154545687933E-2</v>
      </c>
      <c r="C151">
        <f t="shared" si="31"/>
        <v>1.400154545687933E-2</v>
      </c>
      <c r="D151" t="s">
        <v>24</v>
      </c>
      <c r="E151" t="s">
        <v>19</v>
      </c>
      <c r="F151">
        <v>1</v>
      </c>
      <c r="G151">
        <f t="shared" si="36"/>
        <v>135</v>
      </c>
      <c r="I151">
        <v>2030</v>
      </c>
      <c r="J151">
        <f t="shared" si="37"/>
        <v>137.5</v>
      </c>
      <c r="K151" cm="1">
        <f t="array" ref="K151">STOWA2019_NDJF_T(A151*60,J151,I151,"","center")</f>
        <v>105.77778908172719</v>
      </c>
      <c r="L151">
        <f t="shared" si="34"/>
        <v>2.8361341506978437E-2</v>
      </c>
    </row>
    <row r="152" spans="1:12" x14ac:dyDescent="0.3">
      <c r="A152">
        <v>216</v>
      </c>
      <c r="B152">
        <f t="shared" si="35"/>
        <v>9.5703549799919657E-3</v>
      </c>
      <c r="C152">
        <f t="shared" si="31"/>
        <v>9.5703549799919657E-3</v>
      </c>
      <c r="D152" t="s">
        <v>24</v>
      </c>
      <c r="E152" t="s">
        <v>19</v>
      </c>
      <c r="F152">
        <v>1</v>
      </c>
      <c r="G152">
        <f t="shared" si="36"/>
        <v>140</v>
      </c>
      <c r="I152">
        <v>2030</v>
      </c>
      <c r="J152">
        <f t="shared" si="37"/>
        <v>142.5</v>
      </c>
      <c r="K152" cm="1">
        <f t="array" ref="K152">STOWA2019_NDJF_T(A152*60,J152,I152,"","center")</f>
        <v>159.65101117451084</v>
      </c>
      <c r="L152">
        <f t="shared" si="34"/>
        <v>1.8790986526986471E-2</v>
      </c>
    </row>
    <row r="153" spans="1:12" x14ac:dyDescent="0.3">
      <c r="A153">
        <v>216</v>
      </c>
      <c r="B153">
        <f t="shared" si="35"/>
        <v>6.4765852840090246E-3</v>
      </c>
      <c r="C153">
        <f t="shared" si="31"/>
        <v>6.4765852840090246E-3</v>
      </c>
      <c r="D153" t="s">
        <v>24</v>
      </c>
      <c r="E153" t="s">
        <v>19</v>
      </c>
      <c r="F153">
        <v>1</v>
      </c>
      <c r="G153">
        <f t="shared" si="36"/>
        <v>145</v>
      </c>
      <c r="I153">
        <v>2030</v>
      </c>
      <c r="J153">
        <f t="shared" si="37"/>
        <v>147.5</v>
      </c>
      <c r="K153" cm="1">
        <f t="array" ref="K153">STOWA2019_NDJF_T(A153*60,J153,I153,"","center")</f>
        <v>243.61720402044031</v>
      </c>
      <c r="L153">
        <f t="shared" si="34"/>
        <v>1.2314401242977446E-2</v>
      </c>
    </row>
    <row r="154" spans="1:12" x14ac:dyDescent="0.3">
      <c r="A154">
        <v>216</v>
      </c>
      <c r="B154">
        <f t="shared" si="35"/>
        <v>4.3371180120610822E-3</v>
      </c>
      <c r="C154">
        <f t="shared" si="31"/>
        <v>4.3371180120610822E-3</v>
      </c>
      <c r="D154" t="s">
        <v>24</v>
      </c>
      <c r="E154" t="s">
        <v>19</v>
      </c>
      <c r="F154">
        <v>1</v>
      </c>
      <c r="G154">
        <f t="shared" si="36"/>
        <v>150</v>
      </c>
      <c r="I154">
        <v>2030</v>
      </c>
      <c r="J154">
        <f t="shared" si="37"/>
        <v>152.5</v>
      </c>
      <c r="K154" cm="1">
        <f t="array" ref="K154">STOWA2019_NDJF_T(A154*60,J154,I154,"","center")</f>
        <v>376.06788090127577</v>
      </c>
      <c r="L154">
        <f t="shared" si="34"/>
        <v>7.9772832309163641E-3</v>
      </c>
    </row>
    <row r="155" spans="1:12" x14ac:dyDescent="0.3">
      <c r="A155">
        <v>216</v>
      </c>
      <c r="B155">
        <f t="shared" si="35"/>
        <v>2.8723208884121601E-3</v>
      </c>
      <c r="C155">
        <f t="shared" si="31"/>
        <v>2.8723208884121601E-3</v>
      </c>
      <c r="D155" t="s">
        <v>24</v>
      </c>
      <c r="E155" t="s">
        <v>19</v>
      </c>
      <c r="F155">
        <v>1</v>
      </c>
      <c r="G155">
        <f t="shared" si="36"/>
        <v>155</v>
      </c>
      <c r="I155">
        <v>2030</v>
      </c>
      <c r="J155">
        <f t="shared" si="37"/>
        <v>157.5</v>
      </c>
      <c r="K155" cm="1">
        <f t="array" ref="K155">STOWA2019_NDJF_T(A155*60,J155,I155,"","center")</f>
        <v>587.66349264162659</v>
      </c>
      <c r="L155">
        <f t="shared" si="34"/>
        <v>5.104962342504204E-3</v>
      </c>
    </row>
    <row r="156" spans="1:12" x14ac:dyDescent="0.3">
      <c r="A156">
        <v>216</v>
      </c>
      <c r="B156" s="1">
        <f>L155</f>
        <v>5.104962342504204E-3</v>
      </c>
      <c r="C156">
        <f t="shared" si="31"/>
        <v>5.104962342504204E-3</v>
      </c>
      <c r="D156" t="s">
        <v>24</v>
      </c>
      <c r="E156" t="s">
        <v>19</v>
      </c>
      <c r="F156">
        <v>1</v>
      </c>
      <c r="G156">
        <f t="shared" si="36"/>
        <v>160</v>
      </c>
      <c r="I156">
        <v>2030</v>
      </c>
      <c r="J156">
        <f>AVERAGE(G156:G157)</f>
        <v>160</v>
      </c>
      <c r="K156" cm="1">
        <f t="array" ref="K156">STOWA2019_NDJF_T(A156*60,J156,I156,"","center")</f>
        <v>738.14317677783265</v>
      </c>
      <c r="L156">
        <f t="shared" si="34"/>
        <v>4.0642521591755416E-3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DF81D-1D52-40DE-84B6-F12D47A98673}">
  <sheetPr codeName="Blad5"/>
  <dimension ref="A1:L156"/>
  <sheetViews>
    <sheetView workbookViewId="0">
      <selection activeCell="L27" sqref="L27"/>
    </sheetView>
  </sheetViews>
  <sheetFormatPr defaultRowHeight="14.4" x14ac:dyDescent="0.3"/>
  <cols>
    <col min="4" max="4" width="24" bestFit="1" customWidth="1"/>
    <col min="8" max="8" width="12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343.15620028585528</v>
      </c>
      <c r="C2">
        <f>B2</f>
        <v>343.15620028585528</v>
      </c>
      <c r="D2" t="s">
        <v>25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STOWA2019_JAARROND_T(A2*60,J2,I2,"","upper")</f>
        <v>6.7892350768423176E-2</v>
      </c>
      <c r="L2">
        <f>1/K2 * 12/8</f>
        <v>22.093799714144705</v>
      </c>
    </row>
    <row r="3" spans="1:12" x14ac:dyDescent="0.3">
      <c r="A3">
        <v>24</v>
      </c>
      <c r="B3">
        <f t="shared" ref="B3:B7" si="0">L2-L3</f>
        <v>6.3268349734434679</v>
      </c>
      <c r="C3">
        <f t="shared" ref="C3:C32" si="1">B3</f>
        <v>6.3268349734434679</v>
      </c>
      <c r="D3" t="s">
        <v>25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STOWA2019_JAARROND_T(A3*60,J3,I3,"","upper")</f>
        <v>9.5135622148495233E-2</v>
      </c>
      <c r="L3">
        <f t="shared" ref="L3:L66" si="4">1/K3 * 12/8</f>
        <v>15.766964740701237</v>
      </c>
    </row>
    <row r="4" spans="1:12" x14ac:dyDescent="0.3">
      <c r="A4">
        <v>24</v>
      </c>
      <c r="B4">
        <f t="shared" si="0"/>
        <v>7.4041718402026309</v>
      </c>
      <c r="C4">
        <f t="shared" si="1"/>
        <v>7.4041718402026309</v>
      </c>
      <c r="D4" t="s">
        <v>25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STOWA2019_JAARROND_T(A4*60,J4,I4,"","upper")</f>
        <v>0.17936591493382156</v>
      </c>
      <c r="L4">
        <f t="shared" si="4"/>
        <v>8.3627929004986061</v>
      </c>
    </row>
    <row r="5" spans="1:12" x14ac:dyDescent="0.3">
      <c r="A5">
        <v>24</v>
      </c>
      <c r="B5">
        <f t="shared" si="0"/>
        <v>3.7041353657041025</v>
      </c>
      <c r="C5">
        <f t="shared" si="1"/>
        <v>3.7041353657041025</v>
      </c>
      <c r="D5" t="s">
        <v>25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STOWA2019_JAARROND_T(A5*60,J5,I5,"","upper")</f>
        <v>0.32198116920954695</v>
      </c>
      <c r="L5">
        <f t="shared" si="4"/>
        <v>4.6586575347945036</v>
      </c>
    </row>
    <row r="6" spans="1:12" x14ac:dyDescent="0.3">
      <c r="A6">
        <v>24</v>
      </c>
      <c r="B6">
        <f t="shared" si="0"/>
        <v>1.9500531326259716</v>
      </c>
      <c r="C6">
        <f t="shared" si="1"/>
        <v>1.9500531326259716</v>
      </c>
      <c r="D6" t="s">
        <v>25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STOWA2019_JAARROND_T(A6*60,J6,I6,"","upper")</f>
        <v>0.55379072661887685</v>
      </c>
      <c r="L6">
        <f t="shared" si="4"/>
        <v>2.708604402168532</v>
      </c>
    </row>
    <row r="7" spans="1:12" x14ac:dyDescent="0.3">
      <c r="A7">
        <v>24</v>
      </c>
      <c r="B7">
        <f t="shared" si="0"/>
        <v>1.074022299479293</v>
      </c>
      <c r="C7">
        <f t="shared" si="1"/>
        <v>1.074022299479293</v>
      </c>
      <c r="D7" t="s">
        <v>25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STOWA2019_JAARROND_T(A7*60,J7,I7,"","upper")</f>
        <v>0.91766574314754668</v>
      </c>
      <c r="L7">
        <f t="shared" si="4"/>
        <v>1.6345821026892391</v>
      </c>
    </row>
    <row r="8" spans="1:12" x14ac:dyDescent="0.3">
      <c r="A8">
        <v>24</v>
      </c>
      <c r="B8">
        <f>L7-L8</f>
        <v>0.61536401049918643</v>
      </c>
      <c r="C8">
        <f t="shared" si="1"/>
        <v>0.61536401049918643</v>
      </c>
      <c r="D8" t="s">
        <v>25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STOWA2019_JAARROND_T(A8*60,J8,I8,"","upper")</f>
        <v>1.4717164181974671</v>
      </c>
      <c r="L8">
        <f t="shared" si="4"/>
        <v>1.0192180921900527</v>
      </c>
    </row>
    <row r="9" spans="1:12" x14ac:dyDescent="0.3">
      <c r="A9">
        <v>24</v>
      </c>
      <c r="B9">
        <f t="shared" ref="B9:B31" si="5">L8-L9</f>
        <v>0.36527939083588312</v>
      </c>
      <c r="C9">
        <f t="shared" si="1"/>
        <v>0.36527939083588312</v>
      </c>
      <c r="D9" t="s">
        <v>25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STOWA2019_JAARROND_T(A9*60,J9,I9,"","upper")</f>
        <v>2.2937929761517641</v>
      </c>
      <c r="L9">
        <f t="shared" si="4"/>
        <v>0.65393870135416954</v>
      </c>
    </row>
    <row r="10" spans="1:12" x14ac:dyDescent="0.3">
      <c r="A10">
        <v>24</v>
      </c>
      <c r="B10">
        <f t="shared" si="5"/>
        <v>0.22354128152143804</v>
      </c>
      <c r="C10">
        <f t="shared" si="1"/>
        <v>0.22354128152143804</v>
      </c>
      <c r="D10" t="s">
        <v>25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STOWA2019_JAARROND_T(A10*60,J10,I10,"","upper")</f>
        <v>3.4851510043507137</v>
      </c>
      <c r="L10">
        <f t="shared" si="4"/>
        <v>0.4303974198327315</v>
      </c>
    </row>
    <row r="11" spans="1:12" x14ac:dyDescent="0.3">
      <c r="A11">
        <v>24</v>
      </c>
      <c r="B11">
        <f t="shared" si="5"/>
        <v>0.14061913579050545</v>
      </c>
      <c r="C11">
        <f t="shared" si="1"/>
        <v>0.14061913579050545</v>
      </c>
      <c r="D11" t="s">
        <v>25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STOWA2019_JAARROND_T(A11*60,J11,I11,"","upper")</f>
        <v>5.1763713245724867</v>
      </c>
      <c r="L11">
        <f t="shared" si="4"/>
        <v>0.28977828404222605</v>
      </c>
    </row>
    <row r="12" spans="1:12" x14ac:dyDescent="0.3">
      <c r="A12">
        <v>24</v>
      </c>
      <c r="B12">
        <f t="shared" si="5"/>
        <v>9.0654650492023231E-2</v>
      </c>
      <c r="C12">
        <f t="shared" si="1"/>
        <v>9.0654650492023231E-2</v>
      </c>
      <c r="D12" t="s">
        <v>25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STOWA2019_JAARROND_T(A12*60,J12,I12,"","upper")</f>
        <v>7.5330083790471907</v>
      </c>
      <c r="L12">
        <f t="shared" si="4"/>
        <v>0.19912363355020282</v>
      </c>
    </row>
    <row r="13" spans="1:12" x14ac:dyDescent="0.3">
      <c r="A13">
        <v>24</v>
      </c>
      <c r="B13">
        <f t="shared" si="5"/>
        <v>5.9754898568424281E-2</v>
      </c>
      <c r="C13">
        <f t="shared" si="1"/>
        <v>5.9754898568424281E-2</v>
      </c>
      <c r="D13" t="s">
        <v>25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STOWA2019_JAARROND_T(A13*60,J13,I13,"","upper")</f>
        <v>10.76281563577451</v>
      </c>
      <c r="L13">
        <f t="shared" si="4"/>
        <v>0.13936873498177854</v>
      </c>
    </row>
    <row r="14" spans="1:12" x14ac:dyDescent="0.3">
      <c r="A14">
        <v>24</v>
      </c>
      <c r="B14">
        <f t="shared" si="5"/>
        <v>4.0180540585162725E-2</v>
      </c>
      <c r="C14">
        <f t="shared" si="1"/>
        <v>4.0180540585162725E-2</v>
      </c>
      <c r="D14" t="s">
        <v>25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STOWA2019_JAARROND_T(A14*60,J14,I14,"","upper")</f>
        <v>15.122767473738572</v>
      </c>
      <c r="L14">
        <f t="shared" si="4"/>
        <v>9.9188194396615817E-2</v>
      </c>
    </row>
    <row r="15" spans="1:12" x14ac:dyDescent="0.3">
      <c r="A15">
        <v>24</v>
      </c>
      <c r="B15">
        <f t="shared" si="5"/>
        <v>2.7514455697137036E-2</v>
      </c>
      <c r="C15">
        <f t="shared" si="1"/>
        <v>2.7514455697137036E-2</v>
      </c>
      <c r="D15" t="s">
        <v>25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STOWA2019_JAARROND_T(A15*60,J15,I15,"","upper")</f>
        <v>20.928167376469062</v>
      </c>
      <c r="L15">
        <f t="shared" si="4"/>
        <v>7.1673738699478781E-2</v>
      </c>
    </row>
    <row r="16" spans="1:12" x14ac:dyDescent="0.3">
      <c r="A16">
        <v>24</v>
      </c>
      <c r="B16">
        <f t="shared" si="5"/>
        <v>1.9157573406238734E-2</v>
      </c>
      <c r="C16">
        <f t="shared" si="1"/>
        <v>1.9157573406238734E-2</v>
      </c>
      <c r="D16" t="s">
        <v>25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STOWA2019_JAARROND_T(A16*60,J16,I16,"","upper")</f>
        <v>28.562633840919116</v>
      </c>
      <c r="L16">
        <f t="shared" si="4"/>
        <v>5.2516165293240047E-2</v>
      </c>
    </row>
    <row r="17" spans="1:12" x14ac:dyDescent="0.3">
      <c r="A17">
        <v>24</v>
      </c>
      <c r="B17">
        <f t="shared" si="5"/>
        <v>1.3542682354271758E-2</v>
      </c>
      <c r="C17">
        <f t="shared" si="1"/>
        <v>1.3542682354271758E-2</v>
      </c>
      <c r="D17" t="s">
        <v>25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STOWA2019_JAARROND_T(A17*60,J17,I17,"","upper")</f>
        <v>38.487707202073025</v>
      </c>
      <c r="L17">
        <f t="shared" si="4"/>
        <v>3.8973482938968289E-2</v>
      </c>
    </row>
    <row r="18" spans="1:12" x14ac:dyDescent="0.3">
      <c r="A18">
        <v>24</v>
      </c>
      <c r="B18">
        <f t="shared" si="5"/>
        <v>9.7079931882794457E-3</v>
      </c>
      <c r="C18">
        <f t="shared" si="1"/>
        <v>9.7079931882794457E-3</v>
      </c>
      <c r="D18" t="s">
        <v>25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STOWA2019_JAARROND_T(A18*60,J18,I18,"","upper")</f>
        <v>51.254908521211178</v>
      </c>
      <c r="L18">
        <f t="shared" si="4"/>
        <v>2.9265489750688843E-2</v>
      </c>
    </row>
    <row r="19" spans="1:12" x14ac:dyDescent="0.3">
      <c r="A19">
        <v>24</v>
      </c>
      <c r="B19">
        <f t="shared" si="5"/>
        <v>7.0496893911231179E-3</v>
      </c>
      <c r="C19">
        <f t="shared" si="1"/>
        <v>7.0496893911231179E-3</v>
      </c>
      <c r="D19" t="s">
        <v>25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STOWA2019_JAARROND_T(A19*60,J19,I19,"","upper")</f>
        <v>67.519512046484834</v>
      </c>
      <c r="L19">
        <f t="shared" si="4"/>
        <v>2.2215800359565725E-2</v>
      </c>
    </row>
    <row r="20" spans="1:12" x14ac:dyDescent="0.3">
      <c r="A20">
        <v>24</v>
      </c>
      <c r="B20">
        <f t="shared" si="5"/>
        <v>5.1809019552401143E-3</v>
      </c>
      <c r="C20">
        <f t="shared" si="1"/>
        <v>5.1809019552401143E-3</v>
      </c>
      <c r="D20" t="s">
        <v>25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STOWA2019_JAARROND_T(A20*60,J20,I20,"","upper")</f>
        <v>88.054531609012145</v>
      </c>
      <c r="L20">
        <f t="shared" si="4"/>
        <v>1.7034898404325611E-2</v>
      </c>
    </row>
    <row r="21" spans="1:12" x14ac:dyDescent="0.3">
      <c r="A21">
        <v>24</v>
      </c>
      <c r="B21">
        <f t="shared" si="5"/>
        <v>3.8496819425959724E-3</v>
      </c>
      <c r="C21">
        <f t="shared" si="1"/>
        <v>3.8496819425959724E-3</v>
      </c>
      <c r="D21" t="s">
        <v>25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STOWA2019_JAARROND_T(A21*60,J21,I21,"","upper")</f>
        <v>113.76377508505686</v>
      </c>
      <c r="L21">
        <f t="shared" si="4"/>
        <v>1.3185216461729639E-2</v>
      </c>
    </row>
    <row r="22" spans="1:12" x14ac:dyDescent="0.3">
      <c r="A22">
        <v>24</v>
      </c>
      <c r="B22">
        <f t="shared" si="5"/>
        <v>2.8902538630002483E-3</v>
      </c>
      <c r="C22">
        <f t="shared" si="1"/>
        <v>2.8902538630002483E-3</v>
      </c>
      <c r="D22" t="s">
        <v>25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STOWA2019_JAARROND_T(A22*60,J22,I22,"","upper")</f>
        <v>145.70232631880864</v>
      </c>
      <c r="L22">
        <f t="shared" si="4"/>
        <v>1.029496259872939E-2</v>
      </c>
    </row>
    <row r="23" spans="1:12" x14ac:dyDescent="0.3">
      <c r="A23">
        <v>24</v>
      </c>
      <c r="B23">
        <f t="shared" si="5"/>
        <v>2.1909049022332903E-3</v>
      </c>
      <c r="C23">
        <f t="shared" si="1"/>
        <v>2.1909049022332903E-3</v>
      </c>
      <c r="D23" t="s">
        <v>25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STOWA2019_JAARROND_T(A23*60,J23,I23,"","upper")</f>
        <v>185.09246308161718</v>
      </c>
      <c r="L23">
        <f t="shared" si="4"/>
        <v>8.1040576964961E-3</v>
      </c>
    </row>
    <row r="24" spans="1:12" x14ac:dyDescent="0.3">
      <c r="A24">
        <v>24</v>
      </c>
      <c r="B24">
        <f t="shared" si="5"/>
        <v>1.6757773517739813E-3</v>
      </c>
      <c r="C24">
        <f t="shared" si="1"/>
        <v>1.6757773517739813E-3</v>
      </c>
      <c r="D24" t="s">
        <v>25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STOWA2019_JAARROND_T(A24*60,J24,I24,"","upper")</f>
        <v>233.34389907738881</v>
      </c>
      <c r="L24">
        <f t="shared" si="4"/>
        <v>6.4282803447221187E-3</v>
      </c>
    </row>
    <row r="25" spans="1:12" x14ac:dyDescent="0.3">
      <c r="A25">
        <v>24</v>
      </c>
      <c r="B25">
        <f t="shared" si="5"/>
        <v>1.2926137752684135E-3</v>
      </c>
      <c r="C25">
        <f t="shared" si="1"/>
        <v>1.2926137752684135E-3</v>
      </c>
      <c r="D25" t="s">
        <v>25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STOWA2019_JAARROND_T(A25*60,J25,I25,"","upper")</f>
        <v>292.07503635882637</v>
      </c>
      <c r="L25">
        <f t="shared" si="4"/>
        <v>5.1356665694537052E-3</v>
      </c>
    </row>
    <row r="26" spans="1:12" x14ac:dyDescent="0.3">
      <c r="A26">
        <v>24</v>
      </c>
      <c r="B26">
        <f t="shared" si="5"/>
        <v>1.0049808593142456E-3</v>
      </c>
      <c r="C26">
        <f t="shared" si="1"/>
        <v>1.0049808593142456E-3</v>
      </c>
      <c r="D26" t="s">
        <v>25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STOWA2019_JAARROND_T(A26*60,J26,I26,"","upper")</f>
        <v>363.13583391687212</v>
      </c>
      <c r="L26">
        <f t="shared" si="4"/>
        <v>4.1306857101394596E-3</v>
      </c>
    </row>
    <row r="27" spans="1:12" x14ac:dyDescent="0.3">
      <c r="A27">
        <v>24</v>
      </c>
      <c r="B27">
        <f t="shared" si="5"/>
        <v>7.8719081889094215E-4</v>
      </c>
      <c r="C27">
        <f t="shared" si="1"/>
        <v>7.8719081889094215E-4</v>
      </c>
      <c r="D27" t="s">
        <v>25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STOWA2019_JAARROND_T(A27*60,J27,I27,"","upper")</f>
        <v>448.63235889075179</v>
      </c>
      <c r="L27">
        <f t="shared" si="4"/>
        <v>3.3434948912485175E-3</v>
      </c>
    </row>
    <row r="28" spans="1:12" x14ac:dyDescent="0.3">
      <c r="A28">
        <v>24</v>
      </c>
      <c r="B28">
        <f t="shared" si="5"/>
        <v>6.2092435546185799E-4</v>
      </c>
      <c r="C28">
        <f t="shared" si="1"/>
        <v>6.2092435546185799E-4</v>
      </c>
      <c r="D28" t="s">
        <v>25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STOWA2019_JAARROND_T(A28*60,J28,I28,"","upper")</f>
        <v>550.94991306316695</v>
      </c>
      <c r="L28">
        <f t="shared" si="4"/>
        <v>2.7225705357866595E-3</v>
      </c>
    </row>
    <row r="29" spans="1:12" x14ac:dyDescent="0.3">
      <c r="A29">
        <v>24</v>
      </c>
      <c r="B29">
        <f t="shared" si="5"/>
        <v>4.9306002613357146E-4</v>
      </c>
      <c r="C29">
        <f t="shared" si="1"/>
        <v>4.9306002613357146E-4</v>
      </c>
      <c r="D29" t="s">
        <v>25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STOWA2019_JAARROND_T(A29*60,J29,I29,"","upper")</f>
        <v>672.79341967910261</v>
      </c>
      <c r="L29">
        <f t="shared" si="4"/>
        <v>2.229510509653088E-3</v>
      </c>
    </row>
    <row r="30" spans="1:12" x14ac:dyDescent="0.3">
      <c r="A30">
        <v>24</v>
      </c>
      <c r="B30">
        <f t="shared" si="5"/>
        <v>3.9397374496857483E-4</v>
      </c>
      <c r="C30">
        <f t="shared" si="1"/>
        <v>3.9397374496857483E-4</v>
      </c>
      <c r="D30" t="s">
        <v>25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STOWA2019_JAARROND_T(A30*60,J30,I30,"","upper")</f>
        <v>817.19964909437033</v>
      </c>
      <c r="L30">
        <f t="shared" si="4"/>
        <v>1.8355367646845132E-3</v>
      </c>
    </row>
    <row r="31" spans="1:12" x14ac:dyDescent="0.3">
      <c r="A31">
        <v>24</v>
      </c>
      <c r="B31">
        <f t="shared" si="5"/>
        <v>3.1667343301726219E-4</v>
      </c>
      <c r="C31">
        <f t="shared" si="1"/>
        <v>3.1667343301726219E-4</v>
      </c>
      <c r="D31" t="s">
        <v>25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STOWA2019_JAARROND_T(A31*60,J31,I31,"","upper")</f>
        <v>987.58062606821602</v>
      </c>
      <c r="L31">
        <f t="shared" si="4"/>
        <v>1.518863331667251E-3</v>
      </c>
    </row>
    <row r="32" spans="1:12" x14ac:dyDescent="0.3">
      <c r="A32">
        <v>24</v>
      </c>
      <c r="B32" s="1">
        <f>L31</f>
        <v>1.518863331667251E-3</v>
      </c>
      <c r="C32">
        <f t="shared" si="1"/>
        <v>1.518863331667251E-3</v>
      </c>
      <c r="D32" t="s">
        <v>25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STOWA2019_JAARROND_T(A32*60,J32,I32,"","upper")</f>
        <v>33.206609453054369</v>
      </c>
      <c r="L32">
        <f t="shared" si="4"/>
        <v>4.5171730107544265E-2</v>
      </c>
    </row>
    <row r="33" spans="1:12" x14ac:dyDescent="0.3">
      <c r="A33">
        <v>48</v>
      </c>
      <c r="B33" s="1">
        <f>365.25*24/A33 - L33</f>
        <v>144.49049358699219</v>
      </c>
      <c r="C33">
        <f>B33</f>
        <v>144.49049358699219</v>
      </c>
      <c r="D33" t="s">
        <v>25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STOWA2019_JAARROND_T(A33*60,J33,I33,"","upper")</f>
        <v>3.9334454306411179E-2</v>
      </c>
      <c r="L33">
        <f t="shared" si="4"/>
        <v>38.13450641300782</v>
      </c>
    </row>
    <row r="34" spans="1:12" x14ac:dyDescent="0.3">
      <c r="A34">
        <v>48</v>
      </c>
      <c r="B34">
        <f t="shared" ref="B34:B38" si="8">L33-L34</f>
        <v>9.4138294178405317</v>
      </c>
      <c r="C34">
        <f t="shared" ref="C34:C63" si="9">B34</f>
        <v>9.4138294178405317</v>
      </c>
      <c r="D34" t="s">
        <v>25</v>
      </c>
      <c r="E34" t="s">
        <v>21</v>
      </c>
      <c r="F34">
        <v>1</v>
      </c>
      <c r="G34">
        <f t="shared" ref="G34:G38" si="10">G33+5</f>
        <v>15</v>
      </c>
      <c r="I34">
        <v>2030</v>
      </c>
      <c r="J34">
        <f t="shared" ref="J34:J38" si="11">AVERAGE(G34:G35)</f>
        <v>17.5</v>
      </c>
      <c r="K34" cm="1">
        <f t="array" ref="K34">STOWA2019_JAARROND_T(A34*60,J34,I34,"","upper")</f>
        <v>5.2227181143828849E-2</v>
      </c>
      <c r="L34">
        <f t="shared" si="4"/>
        <v>28.720676995167288</v>
      </c>
    </row>
    <row r="35" spans="1:12" x14ac:dyDescent="0.3">
      <c r="A35">
        <v>48</v>
      </c>
      <c r="B35">
        <f t="shared" si="8"/>
        <v>12.097757138210088</v>
      </c>
      <c r="C35">
        <f t="shared" si="9"/>
        <v>12.097757138210088</v>
      </c>
      <c r="D35" t="s">
        <v>25</v>
      </c>
      <c r="E35" t="s">
        <v>21</v>
      </c>
      <c r="F35">
        <v>1</v>
      </c>
      <c r="G35">
        <f t="shared" si="10"/>
        <v>20</v>
      </c>
      <c r="I35">
        <v>2030</v>
      </c>
      <c r="J35">
        <f t="shared" si="11"/>
        <v>22.5</v>
      </c>
      <c r="K35" cm="1">
        <f t="array" ref="K35">STOWA2019_JAARROND_T(A35*60,J35,I35,"","upper")</f>
        <v>9.0236854470076996E-2</v>
      </c>
      <c r="L35">
        <f t="shared" si="4"/>
        <v>16.6229198569572</v>
      </c>
    </row>
    <row r="36" spans="1:12" x14ac:dyDescent="0.3">
      <c r="A36">
        <v>48</v>
      </c>
      <c r="B36">
        <f t="shared" si="8"/>
        <v>6.7425007229033227</v>
      </c>
      <c r="C36">
        <f t="shared" si="9"/>
        <v>6.7425007229033227</v>
      </c>
      <c r="D36" t="s">
        <v>25</v>
      </c>
      <c r="E36" t="s">
        <v>21</v>
      </c>
      <c r="F36">
        <v>1</v>
      </c>
      <c r="G36">
        <f t="shared" si="10"/>
        <v>25</v>
      </c>
      <c r="I36">
        <v>2030</v>
      </c>
      <c r="J36">
        <f t="shared" si="11"/>
        <v>27.5</v>
      </c>
      <c r="K36" cm="1">
        <f t="array" ref="K36">STOWA2019_JAARROND_T(A36*60,J36,I36,"","upper")</f>
        <v>0.15181542196222184</v>
      </c>
      <c r="L36">
        <f t="shared" si="4"/>
        <v>9.8804191340538772</v>
      </c>
    </row>
    <row r="37" spans="1:12" x14ac:dyDescent="0.3">
      <c r="A37">
        <v>48</v>
      </c>
      <c r="B37">
        <f t="shared" si="8"/>
        <v>3.8588606824048863</v>
      </c>
      <c r="C37">
        <f t="shared" si="9"/>
        <v>3.8588606824048863</v>
      </c>
      <c r="D37" t="s">
        <v>25</v>
      </c>
      <c r="E37" t="s">
        <v>21</v>
      </c>
      <c r="F37">
        <v>1</v>
      </c>
      <c r="G37">
        <f t="shared" si="10"/>
        <v>30</v>
      </c>
      <c r="I37">
        <v>2030</v>
      </c>
      <c r="J37">
        <f t="shared" si="11"/>
        <v>32.5</v>
      </c>
      <c r="K37" cm="1">
        <f t="array" ref="K37">STOWA2019_JAARROND_T(A37*60,J37,I37,"","upper")</f>
        <v>0.2491049471734727</v>
      </c>
      <c r="L37">
        <f t="shared" si="4"/>
        <v>6.0215584516489908</v>
      </c>
    </row>
    <row r="38" spans="1:12" x14ac:dyDescent="0.3">
      <c r="A38">
        <v>48</v>
      </c>
      <c r="B38">
        <f t="shared" si="8"/>
        <v>2.2661715167326371</v>
      </c>
      <c r="C38">
        <f t="shared" si="9"/>
        <v>2.2661715167326371</v>
      </c>
      <c r="D38" t="s">
        <v>25</v>
      </c>
      <c r="E38" t="s">
        <v>21</v>
      </c>
      <c r="F38">
        <v>1</v>
      </c>
      <c r="G38">
        <f t="shared" si="10"/>
        <v>35</v>
      </c>
      <c r="I38">
        <v>2030</v>
      </c>
      <c r="J38">
        <f t="shared" si="11"/>
        <v>37.5</v>
      </c>
      <c r="K38" cm="1">
        <f t="array" ref="K38">STOWA2019_JAARROND_T(A38*60,J38,I38,"","upper")</f>
        <v>0.39942621785613963</v>
      </c>
      <c r="L38">
        <f t="shared" si="4"/>
        <v>3.7553869349163538</v>
      </c>
    </row>
    <row r="39" spans="1:12" x14ac:dyDescent="0.3">
      <c r="A39">
        <v>48</v>
      </c>
      <c r="B39">
        <f>L38-L39</f>
        <v>1.3632183542339202</v>
      </c>
      <c r="C39">
        <f t="shared" si="9"/>
        <v>1.3632183542339202</v>
      </c>
      <c r="D39" t="s">
        <v>25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STOWA2019_JAARROND_T(A39*60,J39,I39,"","upper")</f>
        <v>0.62704610875379141</v>
      </c>
      <c r="L39">
        <f t="shared" si="4"/>
        <v>2.3921685806824335</v>
      </c>
    </row>
    <row r="40" spans="1:12" x14ac:dyDescent="0.3">
      <c r="A40">
        <v>48</v>
      </c>
      <c r="B40">
        <f t="shared" ref="B40:B62" si="12">L39-L40</f>
        <v>0.83841047927354895</v>
      </c>
      <c r="C40">
        <f t="shared" si="9"/>
        <v>0.83841047927354895</v>
      </c>
      <c r="D40" t="s">
        <v>25</v>
      </c>
      <c r="E40" t="s">
        <v>21</v>
      </c>
      <c r="F40">
        <v>1</v>
      </c>
      <c r="G40">
        <f t="shared" ref="G40:G63" si="13">G39+5</f>
        <v>45</v>
      </c>
      <c r="I40">
        <v>2030</v>
      </c>
      <c r="J40">
        <f t="shared" ref="J40:J62" si="14">AVERAGE(G40:G41)</f>
        <v>47.5</v>
      </c>
      <c r="K40" cm="1">
        <f t="array" ref="K40">STOWA2019_JAARROND_T(A40*60,J40,I40,"","upper")</f>
        <v>0.96540124144154815</v>
      </c>
      <c r="L40">
        <f t="shared" si="4"/>
        <v>1.5537581014088846</v>
      </c>
    </row>
    <row r="41" spans="1:12" x14ac:dyDescent="0.3">
      <c r="A41">
        <v>48</v>
      </c>
      <c r="B41">
        <f t="shared" si="12"/>
        <v>0.52625554575988098</v>
      </c>
      <c r="C41">
        <f t="shared" si="9"/>
        <v>0.52625554575988098</v>
      </c>
      <c r="D41" t="s">
        <v>25</v>
      </c>
      <c r="E41" t="s">
        <v>21</v>
      </c>
      <c r="F41">
        <v>1</v>
      </c>
      <c r="G41">
        <f t="shared" si="13"/>
        <v>50</v>
      </c>
      <c r="I41">
        <v>2030</v>
      </c>
      <c r="J41">
        <f t="shared" si="14"/>
        <v>52.5</v>
      </c>
      <c r="K41" cm="1">
        <f t="array" ref="K41">STOWA2019_JAARROND_T(A41*60,J41,I41,"","upper")</f>
        <v>1.4598503835862011</v>
      </c>
      <c r="L41">
        <f t="shared" si="4"/>
        <v>1.0275025556490036</v>
      </c>
    </row>
    <row r="42" spans="1:12" x14ac:dyDescent="0.3">
      <c r="A42">
        <v>48</v>
      </c>
      <c r="B42">
        <f t="shared" si="12"/>
        <v>0.3367845626389292</v>
      </c>
      <c r="C42">
        <f t="shared" si="9"/>
        <v>0.3367845626389292</v>
      </c>
      <c r="D42" t="s">
        <v>25</v>
      </c>
      <c r="E42" t="s">
        <v>21</v>
      </c>
      <c r="F42">
        <v>1</v>
      </c>
      <c r="G42">
        <f t="shared" si="13"/>
        <v>55</v>
      </c>
      <c r="I42">
        <v>2030</v>
      </c>
      <c r="J42">
        <f t="shared" si="14"/>
        <v>57.5</v>
      </c>
      <c r="K42" cm="1">
        <f t="array" ref="K42">STOWA2019_JAARROND_T(A42*60,J42,I42,"","upper")</f>
        <v>2.1716532871297618</v>
      </c>
      <c r="L42">
        <f t="shared" si="4"/>
        <v>0.69071799301007442</v>
      </c>
    </row>
    <row r="43" spans="1:12" x14ac:dyDescent="0.3">
      <c r="A43">
        <v>48</v>
      </c>
      <c r="B43">
        <f t="shared" si="12"/>
        <v>0.21925643600322853</v>
      </c>
      <c r="C43">
        <f t="shared" si="9"/>
        <v>0.21925643600322853</v>
      </c>
      <c r="D43" t="s">
        <v>25</v>
      </c>
      <c r="E43" t="s">
        <v>21</v>
      </c>
      <c r="F43">
        <v>1</v>
      </c>
      <c r="G43">
        <f t="shared" si="13"/>
        <v>60</v>
      </c>
      <c r="I43">
        <v>2030</v>
      </c>
      <c r="J43">
        <f t="shared" si="14"/>
        <v>62.5</v>
      </c>
      <c r="K43" cm="1">
        <f t="array" ref="K43">STOWA2019_JAARROND_T(A43*60,J43,I43,"","upper")</f>
        <v>3.1815955674583645</v>
      </c>
      <c r="L43">
        <f t="shared" si="4"/>
        <v>0.47146155700684589</v>
      </c>
    </row>
    <row r="44" spans="1:12" x14ac:dyDescent="0.3">
      <c r="A44">
        <v>48</v>
      </c>
      <c r="B44">
        <f t="shared" si="12"/>
        <v>0.14507859568357706</v>
      </c>
      <c r="C44">
        <f t="shared" si="9"/>
        <v>0.14507859568357706</v>
      </c>
      <c r="D44" t="s">
        <v>25</v>
      </c>
      <c r="E44" t="s">
        <v>21</v>
      </c>
      <c r="F44">
        <v>1</v>
      </c>
      <c r="G44">
        <f t="shared" si="13"/>
        <v>65</v>
      </c>
      <c r="I44">
        <v>2030</v>
      </c>
      <c r="J44">
        <f t="shared" si="14"/>
        <v>67.5</v>
      </c>
      <c r="K44" cm="1">
        <f t="array" ref="K44">STOWA2019_JAARROND_T(A44*60,J44,I44,"","upper")</f>
        <v>4.5958281459255224</v>
      </c>
      <c r="L44">
        <f t="shared" si="4"/>
        <v>0.32638296132326883</v>
      </c>
    </row>
    <row r="45" spans="1:12" x14ac:dyDescent="0.3">
      <c r="A45">
        <v>48</v>
      </c>
      <c r="B45">
        <f t="shared" si="12"/>
        <v>9.7448475171050375E-2</v>
      </c>
      <c r="C45">
        <f t="shared" si="9"/>
        <v>9.7448475171050375E-2</v>
      </c>
      <c r="D45" t="s">
        <v>25</v>
      </c>
      <c r="E45" t="s">
        <v>21</v>
      </c>
      <c r="F45">
        <v>1</v>
      </c>
      <c r="G45">
        <f t="shared" si="13"/>
        <v>70</v>
      </c>
      <c r="I45">
        <v>2030</v>
      </c>
      <c r="J45">
        <f t="shared" si="14"/>
        <v>72.5</v>
      </c>
      <c r="K45" cm="1">
        <f t="array" ref="K45">STOWA2019_JAARROND_T(A45*60,J45,I45,"","upper")</f>
        <v>6.5520928070341071</v>
      </c>
      <c r="L45">
        <f t="shared" si="4"/>
        <v>0.22893448615221845</v>
      </c>
    </row>
    <row r="46" spans="1:12" x14ac:dyDescent="0.3">
      <c r="A46">
        <v>48</v>
      </c>
      <c r="B46">
        <f t="shared" si="12"/>
        <v>6.6376762911501991E-2</v>
      </c>
      <c r="C46">
        <f t="shared" si="9"/>
        <v>6.6376762911501991E-2</v>
      </c>
      <c r="D46" t="s">
        <v>25</v>
      </c>
      <c r="E46" t="s">
        <v>21</v>
      </c>
      <c r="F46">
        <v>1</v>
      </c>
      <c r="G46">
        <f t="shared" si="13"/>
        <v>75</v>
      </c>
      <c r="I46">
        <v>2030</v>
      </c>
      <c r="J46">
        <f t="shared" si="14"/>
        <v>77.5</v>
      </c>
      <c r="K46" cm="1">
        <f t="array" ref="K46">STOWA2019_JAARROND_T(A46*60,J46,I46,"","upper")</f>
        <v>9.2274914417864409</v>
      </c>
      <c r="L46">
        <f t="shared" si="4"/>
        <v>0.16255772324071646</v>
      </c>
    </row>
    <row r="47" spans="1:12" x14ac:dyDescent="0.3">
      <c r="A47">
        <v>48</v>
      </c>
      <c r="B47">
        <f t="shared" si="12"/>
        <v>4.5804563196326697E-2</v>
      </c>
      <c r="C47">
        <f t="shared" si="9"/>
        <v>4.5804563196326697E-2</v>
      </c>
      <c r="D47" t="s">
        <v>25</v>
      </c>
      <c r="E47" t="s">
        <v>21</v>
      </c>
      <c r="F47">
        <v>1</v>
      </c>
      <c r="G47">
        <f t="shared" si="13"/>
        <v>80</v>
      </c>
      <c r="I47">
        <v>2030</v>
      </c>
      <c r="J47">
        <f t="shared" si="14"/>
        <v>82.5</v>
      </c>
      <c r="K47" cm="1">
        <f t="array" ref="K47">STOWA2019_JAARROND_T(A47*60,J47,I47,"","upper")</f>
        <v>12.847617995347596</v>
      </c>
      <c r="L47">
        <f t="shared" si="4"/>
        <v>0.11675316004438976</v>
      </c>
    </row>
    <row r="48" spans="1:12" x14ac:dyDescent="0.3">
      <c r="A48">
        <v>48</v>
      </c>
      <c r="B48">
        <f t="shared" si="12"/>
        <v>3.1997062463412163E-2</v>
      </c>
      <c r="C48">
        <f t="shared" si="9"/>
        <v>3.1997062463412163E-2</v>
      </c>
      <c r="D48" t="s">
        <v>25</v>
      </c>
      <c r="E48" t="s">
        <v>21</v>
      </c>
      <c r="F48">
        <v>1</v>
      </c>
      <c r="G48">
        <f t="shared" si="13"/>
        <v>85</v>
      </c>
      <c r="I48">
        <v>2030</v>
      </c>
      <c r="J48">
        <f t="shared" si="14"/>
        <v>87.5</v>
      </c>
      <c r="K48" cm="1">
        <f t="array" ref="K48">STOWA2019_JAARROND_T(A48*60,J48,I48,"","upper")</f>
        <v>17.697841722442107</v>
      </c>
      <c r="L48">
        <f t="shared" si="4"/>
        <v>8.4756097580977602E-2</v>
      </c>
    </row>
    <row r="49" spans="1:12" x14ac:dyDescent="0.3">
      <c r="A49">
        <v>48</v>
      </c>
      <c r="B49">
        <f t="shared" si="12"/>
        <v>2.2608374955467629E-2</v>
      </c>
      <c r="C49">
        <f t="shared" si="9"/>
        <v>2.2608374955467629E-2</v>
      </c>
      <c r="D49" t="s">
        <v>25</v>
      </c>
      <c r="E49" t="s">
        <v>21</v>
      </c>
      <c r="F49">
        <v>1</v>
      </c>
      <c r="G49">
        <f t="shared" si="13"/>
        <v>90</v>
      </c>
      <c r="I49">
        <v>2030</v>
      </c>
      <c r="J49">
        <f t="shared" si="14"/>
        <v>92.5</v>
      </c>
      <c r="K49" cm="1">
        <f t="array" ref="K49">STOWA2019_JAARROND_T(A49*60,J49,I49,"","upper")</f>
        <v>24.136041300156833</v>
      </c>
      <c r="L49">
        <f t="shared" si="4"/>
        <v>6.2147722625509973E-2</v>
      </c>
    </row>
    <row r="50" spans="1:12" x14ac:dyDescent="0.3">
      <c r="A50">
        <v>48</v>
      </c>
      <c r="B50">
        <f t="shared" si="12"/>
        <v>1.6146624498170843E-2</v>
      </c>
      <c r="C50">
        <f t="shared" si="9"/>
        <v>1.6146624498170843E-2</v>
      </c>
      <c r="D50" t="s">
        <v>25</v>
      </c>
      <c r="E50" t="s">
        <v>21</v>
      </c>
      <c r="F50">
        <v>1</v>
      </c>
      <c r="G50">
        <f t="shared" si="13"/>
        <v>95</v>
      </c>
      <c r="I50">
        <v>2030</v>
      </c>
      <c r="J50">
        <f t="shared" si="14"/>
        <v>97.5</v>
      </c>
      <c r="K50" cm="1">
        <f t="array" ref="K50">STOWA2019_JAARROND_T(A50*60,J50,I50,"","upper")</f>
        <v>32.607917225100501</v>
      </c>
      <c r="L50">
        <f t="shared" si="4"/>
        <v>4.600109812733913E-2</v>
      </c>
    </row>
    <row r="51" spans="1:12" x14ac:dyDescent="0.3">
      <c r="A51">
        <v>48</v>
      </c>
      <c r="B51">
        <f t="shared" si="12"/>
        <v>1.1648490372312054E-2</v>
      </c>
      <c r="C51">
        <f t="shared" si="9"/>
        <v>1.1648490372312054E-2</v>
      </c>
      <c r="D51" t="s">
        <v>25</v>
      </c>
      <c r="E51" t="s">
        <v>21</v>
      </c>
      <c r="F51">
        <v>1</v>
      </c>
      <c r="G51">
        <f t="shared" si="13"/>
        <v>100</v>
      </c>
      <c r="I51">
        <v>2030</v>
      </c>
      <c r="J51">
        <f t="shared" si="14"/>
        <v>102.5</v>
      </c>
      <c r="K51" cm="1">
        <f t="array" ref="K51">STOWA2019_JAARROND_T(A51*60,J51,I51,"","upper")</f>
        <v>43.664807361836857</v>
      </c>
      <c r="L51">
        <f t="shared" si="4"/>
        <v>3.4352607755027076E-2</v>
      </c>
    </row>
    <row r="52" spans="1:12" x14ac:dyDescent="0.3">
      <c r="A52">
        <v>48</v>
      </c>
      <c r="B52">
        <f t="shared" si="12"/>
        <v>8.4835842720991164E-3</v>
      </c>
      <c r="C52">
        <f t="shared" si="9"/>
        <v>8.4835842720991164E-3</v>
      </c>
      <c r="D52" t="s">
        <v>25</v>
      </c>
      <c r="E52" t="s">
        <v>21</v>
      </c>
      <c r="F52">
        <v>1</v>
      </c>
      <c r="G52">
        <f t="shared" si="13"/>
        <v>105</v>
      </c>
      <c r="I52">
        <v>2030</v>
      </c>
      <c r="J52">
        <f t="shared" si="14"/>
        <v>107.5</v>
      </c>
      <c r="K52" cm="1">
        <f t="array" ref="K52">STOWA2019_JAARROND_T(A52*60,J52,I52,"","upper")</f>
        <v>57.984407528560645</v>
      </c>
      <c r="L52">
        <f t="shared" si="4"/>
        <v>2.5869023482927959E-2</v>
      </c>
    </row>
    <row r="53" spans="1:12" x14ac:dyDescent="0.3">
      <c r="A53">
        <v>48</v>
      </c>
      <c r="B53">
        <f t="shared" si="12"/>
        <v>6.2341695784346243E-3</v>
      </c>
      <c r="C53">
        <f t="shared" si="9"/>
        <v>6.2341695784346243E-3</v>
      </c>
      <c r="D53" t="s">
        <v>25</v>
      </c>
      <c r="E53" t="s">
        <v>21</v>
      </c>
      <c r="F53">
        <v>1</v>
      </c>
      <c r="G53">
        <f t="shared" si="13"/>
        <v>110</v>
      </c>
      <c r="I53">
        <v>2030</v>
      </c>
      <c r="J53">
        <f t="shared" si="14"/>
        <v>112.5</v>
      </c>
      <c r="K53" cm="1">
        <f t="array" ref="K53">STOWA2019_JAARROND_T(A53*60,J53,I53,"","upper")</f>
        <v>76.394762461498772</v>
      </c>
      <c r="L53">
        <f t="shared" si="4"/>
        <v>1.9634853904493335E-2</v>
      </c>
    </row>
    <row r="54" spans="1:12" x14ac:dyDescent="0.3">
      <c r="A54">
        <v>48</v>
      </c>
      <c r="B54">
        <f t="shared" si="12"/>
        <v>4.6200245380690064E-3</v>
      </c>
      <c r="C54">
        <f t="shared" si="9"/>
        <v>4.6200245380690064E-3</v>
      </c>
      <c r="D54" t="s">
        <v>25</v>
      </c>
      <c r="E54" t="s">
        <v>21</v>
      </c>
      <c r="F54">
        <v>1</v>
      </c>
      <c r="G54">
        <f t="shared" si="13"/>
        <v>115</v>
      </c>
      <c r="I54">
        <v>2030</v>
      </c>
      <c r="J54">
        <f t="shared" si="14"/>
        <v>117.5</v>
      </c>
      <c r="K54" cm="1">
        <f t="array" ref="K54">STOWA2019_JAARROND_T(A54*60,J54,I54,"","upper")</f>
        <v>99.901235198466594</v>
      </c>
      <c r="L54">
        <f t="shared" si="4"/>
        <v>1.5014829366424329E-2</v>
      </c>
    </row>
    <row r="55" spans="1:12" x14ac:dyDescent="0.3">
      <c r="A55">
        <v>48</v>
      </c>
      <c r="B55">
        <f t="shared" si="12"/>
        <v>3.4515446320975297E-3</v>
      </c>
      <c r="C55">
        <f t="shared" si="9"/>
        <v>3.4515446320975297E-3</v>
      </c>
      <c r="D55" t="s">
        <v>25</v>
      </c>
      <c r="E55" t="s">
        <v>21</v>
      </c>
      <c r="F55">
        <v>1</v>
      </c>
      <c r="G55">
        <f t="shared" si="13"/>
        <v>120</v>
      </c>
      <c r="I55">
        <v>2030</v>
      </c>
      <c r="J55">
        <f t="shared" si="14"/>
        <v>122.5</v>
      </c>
      <c r="K55" cm="1">
        <f t="array" ref="K55">STOWA2019_JAARROND_T(A55*60,J55,I55,"","upper")</f>
        <v>129.72092571128132</v>
      </c>
      <c r="L55">
        <f t="shared" si="4"/>
        <v>1.1563284734326799E-2</v>
      </c>
    </row>
    <row r="56" spans="1:12" x14ac:dyDescent="0.3">
      <c r="A56">
        <v>48</v>
      </c>
      <c r="B56">
        <f t="shared" si="12"/>
        <v>2.5981110979829258E-3</v>
      </c>
      <c r="C56">
        <f t="shared" si="9"/>
        <v>2.5981110979829258E-3</v>
      </c>
      <c r="D56" t="s">
        <v>25</v>
      </c>
      <c r="E56" t="s">
        <v>21</v>
      </c>
      <c r="F56">
        <v>1</v>
      </c>
      <c r="G56">
        <f t="shared" si="13"/>
        <v>125</v>
      </c>
      <c r="I56">
        <v>2030</v>
      </c>
      <c r="J56">
        <f t="shared" si="14"/>
        <v>127.5</v>
      </c>
      <c r="K56" cm="1">
        <f t="array" ref="K56">STOWA2019_JAARROND_T(A56*60,J56,I56,"","upper")</f>
        <v>167.31410465037257</v>
      </c>
      <c r="L56">
        <f t="shared" si="4"/>
        <v>8.9651736363438733E-3</v>
      </c>
    </row>
    <row r="57" spans="1:12" x14ac:dyDescent="0.3">
      <c r="A57">
        <v>48</v>
      </c>
      <c r="B57">
        <f t="shared" si="12"/>
        <v>1.9699569921532382E-3</v>
      </c>
      <c r="C57">
        <f t="shared" si="9"/>
        <v>1.9699569921532382E-3</v>
      </c>
      <c r="D57" t="s">
        <v>25</v>
      </c>
      <c r="E57" t="s">
        <v>21</v>
      </c>
      <c r="F57">
        <v>1</v>
      </c>
      <c r="G57">
        <f t="shared" si="13"/>
        <v>130</v>
      </c>
      <c r="I57">
        <v>2030</v>
      </c>
      <c r="J57">
        <f t="shared" si="14"/>
        <v>132.5</v>
      </c>
      <c r="K57" cm="1">
        <f t="array" ref="K57">STOWA2019_JAARROND_T(A57*60,J57,I57,"","upper")</f>
        <v>214.43224367407049</v>
      </c>
      <c r="L57">
        <f t="shared" si="4"/>
        <v>6.9952166441906351E-3</v>
      </c>
    </row>
    <row r="58" spans="1:12" x14ac:dyDescent="0.3">
      <c r="A58">
        <v>48</v>
      </c>
      <c r="B58">
        <f t="shared" si="12"/>
        <v>1.5038664668443075E-3</v>
      </c>
      <c r="C58">
        <f t="shared" si="9"/>
        <v>1.5038664668443075E-3</v>
      </c>
      <c r="D58" t="s">
        <v>25</v>
      </c>
      <c r="E58" t="s">
        <v>21</v>
      </c>
      <c r="F58">
        <v>1</v>
      </c>
      <c r="G58">
        <f t="shared" si="13"/>
        <v>135</v>
      </c>
      <c r="I58">
        <v>2030</v>
      </c>
      <c r="J58">
        <f t="shared" si="14"/>
        <v>137.5</v>
      </c>
      <c r="K58" cm="1">
        <f t="array" ref="K58">STOWA2019_JAARROND_T(A58*60,J58,I58,"","upper")</f>
        <v>273.15686517097492</v>
      </c>
      <c r="L58">
        <f t="shared" si="4"/>
        <v>5.4913501773463276E-3</v>
      </c>
    </row>
    <row r="59" spans="1:12" x14ac:dyDescent="0.3">
      <c r="A59">
        <v>48</v>
      </c>
      <c r="B59">
        <f t="shared" si="12"/>
        <v>1.1555992029676013E-3</v>
      </c>
      <c r="C59">
        <f t="shared" si="9"/>
        <v>1.1555992029676013E-3</v>
      </c>
      <c r="D59" t="s">
        <v>25</v>
      </c>
      <c r="E59" t="s">
        <v>21</v>
      </c>
      <c r="F59">
        <v>1</v>
      </c>
      <c r="G59">
        <f t="shared" si="13"/>
        <v>140</v>
      </c>
      <c r="I59">
        <v>2030</v>
      </c>
      <c r="J59">
        <f t="shared" si="14"/>
        <v>142.5</v>
      </c>
      <c r="K59" cm="1">
        <f t="array" ref="K59">STOWA2019_JAARROND_T(A59*60,J59,I59,"","upper")</f>
        <v>345.9608286693487</v>
      </c>
      <c r="L59">
        <f t="shared" si="4"/>
        <v>4.3357509743787263E-3</v>
      </c>
    </row>
    <row r="60" spans="1:12" x14ac:dyDescent="0.3">
      <c r="A60">
        <v>48</v>
      </c>
      <c r="B60">
        <f t="shared" si="12"/>
        <v>8.9354024113466124E-4</v>
      </c>
      <c r="C60">
        <f t="shared" si="9"/>
        <v>8.9354024113466124E-4</v>
      </c>
      <c r="D60" t="s">
        <v>25</v>
      </c>
      <c r="E60" t="s">
        <v>21</v>
      </c>
      <c r="F60">
        <v>1</v>
      </c>
      <c r="G60">
        <f t="shared" si="13"/>
        <v>145</v>
      </c>
      <c r="I60">
        <v>2030</v>
      </c>
      <c r="J60">
        <f t="shared" si="14"/>
        <v>147.5</v>
      </c>
      <c r="K60" cm="1">
        <f t="array" ref="K60">STOWA2019_JAARROND_T(A60*60,J60,I60,"","upper")</f>
        <v>435.7664641253225</v>
      </c>
      <c r="L60">
        <f t="shared" si="4"/>
        <v>3.4422107332440651E-3</v>
      </c>
    </row>
    <row r="61" spans="1:12" x14ac:dyDescent="0.3">
      <c r="A61">
        <v>48</v>
      </c>
      <c r="B61">
        <f t="shared" si="12"/>
        <v>6.949820567646787E-4</v>
      </c>
      <c r="C61">
        <f t="shared" si="9"/>
        <v>6.949820567646787E-4</v>
      </c>
      <c r="D61" t="s">
        <v>25</v>
      </c>
      <c r="E61" t="s">
        <v>21</v>
      </c>
      <c r="F61">
        <v>1</v>
      </c>
      <c r="G61">
        <f t="shared" si="13"/>
        <v>150</v>
      </c>
      <c r="I61">
        <v>2030</v>
      </c>
      <c r="J61">
        <f t="shared" si="14"/>
        <v>152.5</v>
      </c>
      <c r="K61" cm="1">
        <f t="array" ref="K61">STOWA2019_JAARROND_T(A61*60,J61,I61,"","upper")</f>
        <v>546.00478396369681</v>
      </c>
      <c r="L61">
        <f t="shared" si="4"/>
        <v>2.7472286764793864E-3</v>
      </c>
    </row>
    <row r="62" spans="1:12" x14ac:dyDescent="0.3">
      <c r="A62">
        <v>48</v>
      </c>
      <c r="B62">
        <f t="shared" si="12"/>
        <v>5.4363081027103497E-4</v>
      </c>
      <c r="C62">
        <f t="shared" si="9"/>
        <v>5.4363081027103497E-4</v>
      </c>
      <c r="D62" t="s">
        <v>25</v>
      </c>
      <c r="E62" t="s">
        <v>21</v>
      </c>
      <c r="F62">
        <v>1</v>
      </c>
      <c r="G62">
        <f t="shared" si="13"/>
        <v>155</v>
      </c>
      <c r="I62">
        <v>2030</v>
      </c>
      <c r="J62">
        <f t="shared" si="14"/>
        <v>157.5</v>
      </c>
      <c r="K62" cm="1">
        <f t="array" ref="K62">STOWA2019_JAARROND_T(A62*60,J62,I62,"","upper")</f>
        <v>680.70496119194104</v>
      </c>
      <c r="L62">
        <f t="shared" si="4"/>
        <v>2.2035978662083514E-3</v>
      </c>
    </row>
    <row r="63" spans="1:12" x14ac:dyDescent="0.3">
      <c r="A63">
        <v>48</v>
      </c>
      <c r="B63" s="1">
        <f>L62</f>
        <v>2.2035978662083514E-3</v>
      </c>
      <c r="C63">
        <f t="shared" si="9"/>
        <v>2.2035978662083514E-3</v>
      </c>
      <c r="D63" t="s">
        <v>25</v>
      </c>
      <c r="E63" t="s">
        <v>21</v>
      </c>
      <c r="F63">
        <v>1</v>
      </c>
      <c r="G63">
        <f t="shared" si="13"/>
        <v>160</v>
      </c>
      <c r="I63">
        <v>2030</v>
      </c>
      <c r="J63">
        <f>AVERAGE(G63:G64)</f>
        <v>85</v>
      </c>
      <c r="K63" cm="1">
        <f t="array" ref="K63">STOWA2019_JAARROND_T(A63*60,J63,I63,"","upper")</f>
        <v>15.098468192014128</v>
      </c>
      <c r="L63">
        <f t="shared" si="4"/>
        <v>9.9347826608885997E-2</v>
      </c>
    </row>
    <row r="64" spans="1:12" x14ac:dyDescent="0.3">
      <c r="A64">
        <v>96</v>
      </c>
      <c r="B64" s="1">
        <f>365.25*24/A64 - L64</f>
        <v>32.474081188287954</v>
      </c>
      <c r="C64">
        <f>B64</f>
        <v>32.474081188287954</v>
      </c>
      <c r="D64" t="s">
        <v>25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STOWA2019_JAARROND_T(A64*60,J64,I64,"","upper")</f>
        <v>2.5493547078485022E-2</v>
      </c>
      <c r="L64">
        <f t="shared" si="4"/>
        <v>58.838418811712046</v>
      </c>
    </row>
    <row r="65" spans="1:12" x14ac:dyDescent="0.3">
      <c r="A65">
        <v>96</v>
      </c>
      <c r="B65">
        <f t="shared" ref="B65:B69" si="15">L64-L65</f>
        <v>11.207595839981956</v>
      </c>
      <c r="C65">
        <f t="shared" ref="C65:C94" si="16">B65</f>
        <v>11.207595839981956</v>
      </c>
      <c r="D65" t="s">
        <v>25</v>
      </c>
      <c r="E65" t="s">
        <v>21</v>
      </c>
      <c r="F65">
        <v>1</v>
      </c>
      <c r="G65">
        <f t="shared" ref="G65:G69" si="17">G64+5</f>
        <v>15</v>
      </c>
      <c r="I65">
        <v>2030</v>
      </c>
      <c r="J65">
        <f t="shared" ref="J65:J69" si="18">AVERAGE(G65:G66)</f>
        <v>17.5</v>
      </c>
      <c r="K65" cm="1">
        <f t="array" ref="K65">STOWA2019_JAARROND_T(A65*60,J65,I65,"","upper")</f>
        <v>3.1492212529904889E-2</v>
      </c>
      <c r="L65">
        <f t="shared" si="4"/>
        <v>47.63082297173009</v>
      </c>
    </row>
    <row r="66" spans="1:12" x14ac:dyDescent="0.3">
      <c r="A66">
        <v>96</v>
      </c>
      <c r="B66">
        <f t="shared" si="15"/>
        <v>16.365731030289762</v>
      </c>
      <c r="C66">
        <f t="shared" si="16"/>
        <v>16.365731030289762</v>
      </c>
      <c r="D66" t="s">
        <v>25</v>
      </c>
      <c r="E66" t="s">
        <v>21</v>
      </c>
      <c r="F66">
        <v>1</v>
      </c>
      <c r="G66">
        <f t="shared" si="17"/>
        <v>20</v>
      </c>
      <c r="I66">
        <v>2030</v>
      </c>
      <c r="J66">
        <f t="shared" si="18"/>
        <v>22.5</v>
      </c>
      <c r="K66" cm="1">
        <f t="array" ref="K66">STOWA2019_JAARROND_T(A66*60,J66,I66,"","upper")</f>
        <v>4.7976829967732303E-2</v>
      </c>
      <c r="L66">
        <f t="shared" si="4"/>
        <v>31.265091941440328</v>
      </c>
    </row>
    <row r="67" spans="1:12" x14ac:dyDescent="0.3">
      <c r="A67">
        <v>96</v>
      </c>
      <c r="B67">
        <f t="shared" si="15"/>
        <v>10.62086031082038</v>
      </c>
      <c r="C67">
        <f t="shared" si="16"/>
        <v>10.62086031082038</v>
      </c>
      <c r="D67" t="s">
        <v>25</v>
      </c>
      <c r="E67" t="s">
        <v>21</v>
      </c>
      <c r="F67">
        <v>1</v>
      </c>
      <c r="G67">
        <f t="shared" si="17"/>
        <v>25</v>
      </c>
      <c r="I67">
        <v>2030</v>
      </c>
      <c r="J67">
        <f t="shared" si="18"/>
        <v>27.5</v>
      </c>
      <c r="K67" cm="1">
        <f t="array" ref="K67">STOWA2019_JAARROND_T(A67*60,J67,I67,"","upper")</f>
        <v>7.2659521886741921E-2</v>
      </c>
      <c r="L67">
        <f t="shared" ref="L67:L130" si="19">1/K67 * 12/8</f>
        <v>20.644231630619949</v>
      </c>
    </row>
    <row r="68" spans="1:12" x14ac:dyDescent="0.3">
      <c r="A68">
        <v>96</v>
      </c>
      <c r="B68">
        <f t="shared" si="15"/>
        <v>6.9111519139129456</v>
      </c>
      <c r="C68">
        <f t="shared" si="16"/>
        <v>6.9111519139129456</v>
      </c>
      <c r="D68" t="s">
        <v>25</v>
      </c>
      <c r="E68" t="s">
        <v>21</v>
      </c>
      <c r="F68">
        <v>1</v>
      </c>
      <c r="G68">
        <f t="shared" si="17"/>
        <v>30</v>
      </c>
      <c r="I68">
        <v>2030</v>
      </c>
      <c r="J68">
        <f t="shared" si="18"/>
        <v>32.5</v>
      </c>
      <c r="K68" cm="1">
        <f t="array" ref="K68">STOWA2019_JAARROND_T(A68*60,J68,I68,"","upper")</f>
        <v>0.10922531805995216</v>
      </c>
      <c r="L68">
        <f t="shared" si="19"/>
        <v>13.733079716707003</v>
      </c>
    </row>
    <row r="69" spans="1:12" x14ac:dyDescent="0.3">
      <c r="A69">
        <v>96</v>
      </c>
      <c r="B69">
        <f t="shared" si="15"/>
        <v>4.5253264995163427</v>
      </c>
      <c r="C69">
        <f t="shared" si="16"/>
        <v>4.5253264995163427</v>
      </c>
      <c r="D69" t="s">
        <v>25</v>
      </c>
      <c r="E69" t="s">
        <v>21</v>
      </c>
      <c r="F69">
        <v>1</v>
      </c>
      <c r="G69">
        <f t="shared" si="17"/>
        <v>35</v>
      </c>
      <c r="I69">
        <v>2030</v>
      </c>
      <c r="J69">
        <f t="shared" si="18"/>
        <v>37.5</v>
      </c>
      <c r="K69" cm="1">
        <f t="array" ref="K69">STOWA2019_JAARROND_T(A69*60,J69,I69,"","upper")</f>
        <v>0.16290619053511718</v>
      </c>
      <c r="L69">
        <f t="shared" si="19"/>
        <v>9.2077532171906604</v>
      </c>
    </row>
    <row r="70" spans="1:12" x14ac:dyDescent="0.3">
      <c r="A70">
        <v>96</v>
      </c>
      <c r="B70">
        <f>L69-L70</f>
        <v>2.9853725477181428</v>
      </c>
      <c r="C70">
        <f t="shared" si="16"/>
        <v>2.9853725477181428</v>
      </c>
      <c r="D70" t="s">
        <v>25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STOWA2019_JAARROND_T(A70*60,J70,I70,"","upper")</f>
        <v>0.2410652899073045</v>
      </c>
      <c r="L70">
        <f t="shared" si="19"/>
        <v>6.2223806694725177</v>
      </c>
    </row>
    <row r="71" spans="1:12" x14ac:dyDescent="0.3">
      <c r="A71">
        <v>96</v>
      </c>
      <c r="B71">
        <f t="shared" ref="B71:B93" si="20">L70-L71</f>
        <v>1.9847351622196783</v>
      </c>
      <c r="C71">
        <f t="shared" si="16"/>
        <v>1.9847351622196783</v>
      </c>
      <c r="D71" t="s">
        <v>25</v>
      </c>
      <c r="E71" t="s">
        <v>21</v>
      </c>
      <c r="F71">
        <v>1</v>
      </c>
      <c r="G71">
        <f t="shared" ref="G71:G94" si="21">G70+5</f>
        <v>45</v>
      </c>
      <c r="I71">
        <v>2030</v>
      </c>
      <c r="J71">
        <f t="shared" ref="J71:J93" si="22">AVERAGE(G71:G72)</f>
        <v>47.5</v>
      </c>
      <c r="K71" cm="1">
        <f t="array" ref="K71">STOWA2019_JAARROND_T(A71*60,J71,I71,"","upper")</f>
        <v>0.35397014625992468</v>
      </c>
      <c r="L71">
        <f t="shared" si="19"/>
        <v>4.2376455072528394</v>
      </c>
    </row>
    <row r="72" spans="1:12" x14ac:dyDescent="0.3">
      <c r="A72">
        <v>96</v>
      </c>
      <c r="B72">
        <f t="shared" si="20"/>
        <v>1.3298126631400922</v>
      </c>
      <c r="C72">
        <f t="shared" si="16"/>
        <v>1.3298126631400922</v>
      </c>
      <c r="D72" t="s">
        <v>25</v>
      </c>
      <c r="E72" t="s">
        <v>21</v>
      </c>
      <c r="F72">
        <v>1</v>
      </c>
      <c r="G72">
        <f t="shared" si="21"/>
        <v>50</v>
      </c>
      <c r="I72">
        <v>2030</v>
      </c>
      <c r="J72">
        <f t="shared" si="22"/>
        <v>52.5</v>
      </c>
      <c r="K72" cm="1">
        <f t="array" ref="K72">STOWA2019_JAARROND_T(A72*60,J72,I72,"","upper")</f>
        <v>0.51584808357775036</v>
      </c>
      <c r="L72">
        <f t="shared" si="19"/>
        <v>2.9078328441127472</v>
      </c>
    </row>
    <row r="73" spans="1:12" x14ac:dyDescent="0.3">
      <c r="A73">
        <v>96</v>
      </c>
      <c r="B73">
        <f t="shared" si="20"/>
        <v>0.8979188845620194</v>
      </c>
      <c r="C73">
        <f t="shared" si="16"/>
        <v>0.8979188845620194</v>
      </c>
      <c r="D73" t="s">
        <v>25</v>
      </c>
      <c r="E73" t="s">
        <v>21</v>
      </c>
      <c r="F73">
        <v>1</v>
      </c>
      <c r="G73">
        <f t="shared" si="21"/>
        <v>55</v>
      </c>
      <c r="I73">
        <v>2030</v>
      </c>
      <c r="J73">
        <f t="shared" si="22"/>
        <v>57.5</v>
      </c>
      <c r="K73" cm="1">
        <f t="array" ref="K73">STOWA2019_JAARROND_T(A73*60,J73,I73,"","upper")</f>
        <v>0.74630060300456447</v>
      </c>
      <c r="L73">
        <f t="shared" si="19"/>
        <v>2.0099139595507278</v>
      </c>
    </row>
    <row r="74" spans="1:12" x14ac:dyDescent="0.3">
      <c r="A74">
        <v>96</v>
      </c>
      <c r="B74">
        <f t="shared" si="20"/>
        <v>0.61065664894690053</v>
      </c>
      <c r="C74">
        <f t="shared" si="16"/>
        <v>0.61065664894690053</v>
      </c>
      <c r="D74" t="s">
        <v>25</v>
      </c>
      <c r="E74" t="s">
        <v>21</v>
      </c>
      <c r="F74">
        <v>1</v>
      </c>
      <c r="G74">
        <f t="shared" si="21"/>
        <v>60</v>
      </c>
      <c r="I74">
        <v>2030</v>
      </c>
      <c r="J74">
        <f t="shared" si="22"/>
        <v>62.5</v>
      </c>
      <c r="K74" cm="1">
        <f t="array" ref="K74">STOWA2019_JAARROND_T(A74*60,J74,I74,"","upper")</f>
        <v>1.0719972578543819</v>
      </c>
      <c r="L74">
        <f t="shared" si="19"/>
        <v>1.3992573106038273</v>
      </c>
    </row>
    <row r="75" spans="1:12" x14ac:dyDescent="0.3">
      <c r="A75">
        <v>96</v>
      </c>
      <c r="B75">
        <f t="shared" si="20"/>
        <v>0.41854866572837024</v>
      </c>
      <c r="C75">
        <f t="shared" si="16"/>
        <v>0.41854866572837024</v>
      </c>
      <c r="D75" t="s">
        <v>25</v>
      </c>
      <c r="E75" t="s">
        <v>21</v>
      </c>
      <c r="F75">
        <v>1</v>
      </c>
      <c r="G75">
        <f t="shared" si="21"/>
        <v>65</v>
      </c>
      <c r="I75">
        <v>2030</v>
      </c>
      <c r="J75">
        <f t="shared" si="22"/>
        <v>67.5</v>
      </c>
      <c r="K75" cm="1">
        <f t="array" ref="K75">STOWA2019_JAARROND_T(A75*60,J75,I75,"","upper")</f>
        <v>1.5295062481992185</v>
      </c>
      <c r="L75">
        <f t="shared" si="19"/>
        <v>0.98070864487545706</v>
      </c>
    </row>
    <row r="76" spans="1:12" x14ac:dyDescent="0.3">
      <c r="A76">
        <v>96</v>
      </c>
      <c r="B76">
        <f t="shared" si="20"/>
        <v>0.28881497004514733</v>
      </c>
      <c r="C76">
        <f t="shared" si="16"/>
        <v>0.28881497004514733</v>
      </c>
      <c r="D76" t="s">
        <v>25</v>
      </c>
      <c r="E76" t="s">
        <v>21</v>
      </c>
      <c r="F76">
        <v>1</v>
      </c>
      <c r="G76">
        <f t="shared" si="21"/>
        <v>70</v>
      </c>
      <c r="I76">
        <v>2030</v>
      </c>
      <c r="J76">
        <f t="shared" si="22"/>
        <v>72.5</v>
      </c>
      <c r="K76" cm="1">
        <f t="array" ref="K76">STOWA2019_JAARROND_T(A76*60,J76,I76,"","upper")</f>
        <v>2.1679631633688259</v>
      </c>
      <c r="L76">
        <f t="shared" si="19"/>
        <v>0.69189367483030972</v>
      </c>
    </row>
    <row r="77" spans="1:12" x14ac:dyDescent="0.3">
      <c r="A77">
        <v>96</v>
      </c>
      <c r="B77">
        <f t="shared" si="20"/>
        <v>0.20064612788995212</v>
      </c>
      <c r="C77">
        <f t="shared" si="16"/>
        <v>0.20064612788995212</v>
      </c>
      <c r="D77" t="s">
        <v>25</v>
      </c>
      <c r="E77" t="s">
        <v>21</v>
      </c>
      <c r="F77">
        <v>1</v>
      </c>
      <c r="G77">
        <f t="shared" si="21"/>
        <v>75</v>
      </c>
      <c r="I77">
        <v>2030</v>
      </c>
      <c r="J77">
        <f t="shared" si="22"/>
        <v>77.5</v>
      </c>
      <c r="K77" cm="1">
        <f t="array" ref="K77">STOWA2019_JAARROND_T(A77*60,J77,I77,"","upper")</f>
        <v>3.0534503619254005</v>
      </c>
      <c r="L77">
        <f t="shared" si="19"/>
        <v>0.4912475469403576</v>
      </c>
    </row>
    <row r="78" spans="1:12" x14ac:dyDescent="0.3">
      <c r="A78">
        <v>96</v>
      </c>
      <c r="B78">
        <f t="shared" si="20"/>
        <v>0.14031334164437942</v>
      </c>
      <c r="C78">
        <f t="shared" si="16"/>
        <v>0.14031334164437942</v>
      </c>
      <c r="D78" t="s">
        <v>25</v>
      </c>
      <c r="E78" t="s">
        <v>21</v>
      </c>
      <c r="F78">
        <v>1</v>
      </c>
      <c r="G78">
        <f t="shared" si="21"/>
        <v>80</v>
      </c>
      <c r="I78">
        <v>2030</v>
      </c>
      <c r="J78">
        <f t="shared" si="22"/>
        <v>82.5</v>
      </c>
      <c r="K78" cm="1">
        <f t="array" ref="K78">STOWA2019_JAARROND_T(A78*60,J78,I78,"","upper")</f>
        <v>4.2743054890727983</v>
      </c>
      <c r="L78">
        <f t="shared" si="19"/>
        <v>0.35093420529597819</v>
      </c>
    </row>
    <row r="79" spans="1:12" x14ac:dyDescent="0.3">
      <c r="A79">
        <v>96</v>
      </c>
      <c r="B79">
        <f t="shared" si="20"/>
        <v>9.8743497949867809E-2</v>
      </c>
      <c r="C79">
        <f t="shared" si="16"/>
        <v>9.8743497949867809E-2</v>
      </c>
      <c r="D79" t="s">
        <v>25</v>
      </c>
      <c r="E79" t="s">
        <v>21</v>
      </c>
      <c r="F79">
        <v>1</v>
      </c>
      <c r="G79">
        <f t="shared" si="21"/>
        <v>85</v>
      </c>
      <c r="I79">
        <v>2030</v>
      </c>
      <c r="J79">
        <f t="shared" si="22"/>
        <v>87.5</v>
      </c>
      <c r="K79" cm="1">
        <f t="array" ref="K79">STOWA2019_JAARROND_T(A79*60,J79,I79,"","upper")</f>
        <v>5.9478797445989038</v>
      </c>
      <c r="L79">
        <f t="shared" si="19"/>
        <v>0.25219070734611038</v>
      </c>
    </row>
    <row r="80" spans="1:12" x14ac:dyDescent="0.3">
      <c r="A80">
        <v>96</v>
      </c>
      <c r="B80">
        <f t="shared" si="20"/>
        <v>6.9918893078431965E-2</v>
      </c>
      <c r="C80">
        <f t="shared" si="16"/>
        <v>6.9918893078431965E-2</v>
      </c>
      <c r="D80" t="s">
        <v>25</v>
      </c>
      <c r="E80" t="s">
        <v>21</v>
      </c>
      <c r="F80">
        <v>1</v>
      </c>
      <c r="G80">
        <f t="shared" si="21"/>
        <v>90</v>
      </c>
      <c r="I80">
        <v>2030</v>
      </c>
      <c r="J80">
        <f t="shared" si="22"/>
        <v>92.5</v>
      </c>
      <c r="K80" cm="1">
        <f t="array" ref="K80">STOWA2019_JAARROND_T(A80*60,J80,I80,"","upper")</f>
        <v>8.2294676553619475</v>
      </c>
      <c r="L80">
        <f t="shared" si="19"/>
        <v>0.18227181426767841</v>
      </c>
    </row>
    <row r="81" spans="1:12" x14ac:dyDescent="0.3">
      <c r="A81">
        <v>96</v>
      </c>
      <c r="B81">
        <f t="shared" si="20"/>
        <v>4.9802881442686048E-2</v>
      </c>
      <c r="C81">
        <f t="shared" si="16"/>
        <v>4.9802881442686048E-2</v>
      </c>
      <c r="D81" t="s">
        <v>25</v>
      </c>
      <c r="E81" t="s">
        <v>21</v>
      </c>
      <c r="F81">
        <v>1</v>
      </c>
      <c r="G81">
        <f t="shared" si="21"/>
        <v>95</v>
      </c>
      <c r="I81">
        <v>2030</v>
      </c>
      <c r="J81">
        <f t="shared" si="22"/>
        <v>97.5</v>
      </c>
      <c r="K81" cm="1">
        <f t="array" ref="K81">STOWA2019_JAARROND_T(A81*60,J81,I81,"","upper")</f>
        <v>11.323409708310123</v>
      </c>
      <c r="L81">
        <f t="shared" si="19"/>
        <v>0.13246893282499236</v>
      </c>
    </row>
    <row r="82" spans="1:12" x14ac:dyDescent="0.3">
      <c r="A82">
        <v>96</v>
      </c>
      <c r="B82">
        <f t="shared" si="20"/>
        <v>3.5678277104327666E-2</v>
      </c>
      <c r="C82">
        <f t="shared" si="16"/>
        <v>3.5678277104327666E-2</v>
      </c>
      <c r="D82" t="s">
        <v>25</v>
      </c>
      <c r="E82" t="s">
        <v>21</v>
      </c>
      <c r="F82">
        <v>1</v>
      </c>
      <c r="G82">
        <f t="shared" si="21"/>
        <v>100</v>
      </c>
      <c r="I82">
        <v>2030</v>
      </c>
      <c r="J82">
        <f t="shared" si="22"/>
        <v>102.5</v>
      </c>
      <c r="K82" cm="1">
        <f t="array" ref="K82">STOWA2019_JAARROND_T(A82*60,J82,I82,"","upper")</f>
        <v>15.497363757189131</v>
      </c>
      <c r="L82">
        <f t="shared" si="19"/>
        <v>9.6790655720664698E-2</v>
      </c>
    </row>
    <row r="83" spans="1:12" x14ac:dyDescent="0.3">
      <c r="A83">
        <v>96</v>
      </c>
      <c r="B83">
        <f t="shared" si="20"/>
        <v>2.5701706160613458E-2</v>
      </c>
      <c r="C83">
        <f t="shared" si="16"/>
        <v>2.5701706160613458E-2</v>
      </c>
      <c r="D83" t="s">
        <v>25</v>
      </c>
      <c r="E83" t="s">
        <v>21</v>
      </c>
      <c r="F83">
        <v>1</v>
      </c>
      <c r="G83">
        <f t="shared" si="21"/>
        <v>105</v>
      </c>
      <c r="I83">
        <v>2030</v>
      </c>
      <c r="J83">
        <f t="shared" si="22"/>
        <v>107.5</v>
      </c>
      <c r="K83" cm="1">
        <f t="array" ref="K83">STOWA2019_JAARROND_T(A83*60,J83,I83,"","upper")</f>
        <v>21.100325849278434</v>
      </c>
      <c r="L83">
        <f t="shared" si="19"/>
        <v>7.108894956005124E-2</v>
      </c>
    </row>
    <row r="84" spans="1:12" x14ac:dyDescent="0.3">
      <c r="A84">
        <v>96</v>
      </c>
      <c r="B84">
        <f t="shared" si="20"/>
        <v>1.8614502236550319E-2</v>
      </c>
      <c r="C84">
        <f t="shared" si="16"/>
        <v>1.8614502236550319E-2</v>
      </c>
      <c r="D84" t="s">
        <v>25</v>
      </c>
      <c r="E84" t="s">
        <v>21</v>
      </c>
      <c r="F84">
        <v>1</v>
      </c>
      <c r="G84">
        <f t="shared" si="21"/>
        <v>110</v>
      </c>
      <c r="I84">
        <v>2030</v>
      </c>
      <c r="J84">
        <f t="shared" si="22"/>
        <v>112.5</v>
      </c>
      <c r="K84" cm="1">
        <f t="array" ref="K84">STOWA2019_JAARROND_T(A84*60,J84,I84,"","upper")</f>
        <v>28.585341561629335</v>
      </c>
      <c r="L84">
        <f t="shared" si="19"/>
        <v>5.2474447323500921E-2</v>
      </c>
    </row>
    <row r="85" spans="1:12" x14ac:dyDescent="0.3">
      <c r="A85">
        <v>96</v>
      </c>
      <c r="B85">
        <f t="shared" si="20"/>
        <v>1.3551569093175425E-2</v>
      </c>
      <c r="C85">
        <f t="shared" si="16"/>
        <v>1.3551569093175425E-2</v>
      </c>
      <c r="D85" t="s">
        <v>25</v>
      </c>
      <c r="E85" t="s">
        <v>21</v>
      </c>
      <c r="F85">
        <v>1</v>
      </c>
      <c r="G85">
        <f t="shared" si="21"/>
        <v>115</v>
      </c>
      <c r="I85">
        <v>2030</v>
      </c>
      <c r="J85">
        <f t="shared" si="22"/>
        <v>117.5</v>
      </c>
      <c r="K85" cm="1">
        <f t="array" ref="K85">STOWA2019_JAARROND_T(A85*60,J85,I85,"","upper")</f>
        <v>38.537746132846969</v>
      </c>
      <c r="L85">
        <f t="shared" si="19"/>
        <v>3.8922878230325496E-2</v>
      </c>
    </row>
    <row r="86" spans="1:12" x14ac:dyDescent="0.3">
      <c r="A86">
        <v>96</v>
      </c>
      <c r="B86">
        <f t="shared" si="20"/>
        <v>9.9159931570519874E-3</v>
      </c>
      <c r="C86">
        <f t="shared" si="16"/>
        <v>9.9159931570519874E-3</v>
      </c>
      <c r="D86" t="s">
        <v>25</v>
      </c>
      <c r="E86" t="s">
        <v>21</v>
      </c>
      <c r="F86">
        <v>1</v>
      </c>
      <c r="G86">
        <f t="shared" si="21"/>
        <v>120</v>
      </c>
      <c r="I86">
        <v>2030</v>
      </c>
      <c r="J86">
        <f t="shared" si="22"/>
        <v>122.5</v>
      </c>
      <c r="K86" cm="1">
        <f t="array" ref="K86">STOWA2019_JAARROND_T(A86*60,J86,I86,"","upper")</f>
        <v>51.711860691380359</v>
      </c>
      <c r="L86">
        <f t="shared" si="19"/>
        <v>2.9006885073273508E-2</v>
      </c>
    </row>
    <row r="87" spans="1:12" x14ac:dyDescent="0.3">
      <c r="A87">
        <v>96</v>
      </c>
      <c r="B87">
        <f t="shared" si="20"/>
        <v>7.2908897182981693E-3</v>
      </c>
      <c r="C87">
        <f t="shared" si="16"/>
        <v>7.2908897182981693E-3</v>
      </c>
      <c r="D87" t="s">
        <v>25</v>
      </c>
      <c r="E87" t="s">
        <v>21</v>
      </c>
      <c r="F87">
        <v>1</v>
      </c>
      <c r="G87">
        <f t="shared" si="21"/>
        <v>125</v>
      </c>
      <c r="I87">
        <v>2030</v>
      </c>
      <c r="J87">
        <f t="shared" si="22"/>
        <v>127.5</v>
      </c>
      <c r="K87" cm="1">
        <f t="array" ref="K87">STOWA2019_JAARROND_T(A87*60,J87,I87,"","upper")</f>
        <v>69.073508972561825</v>
      </c>
      <c r="L87">
        <f t="shared" si="19"/>
        <v>2.1715995354975339E-2</v>
      </c>
    </row>
    <row r="88" spans="1:12" x14ac:dyDescent="0.3">
      <c r="A88">
        <v>96</v>
      </c>
      <c r="B88">
        <f t="shared" si="20"/>
        <v>5.3864242853818058E-3</v>
      </c>
      <c r="C88">
        <f t="shared" si="16"/>
        <v>5.3864242853818058E-3</v>
      </c>
      <c r="D88" t="s">
        <v>25</v>
      </c>
      <c r="E88" t="s">
        <v>21</v>
      </c>
      <c r="F88">
        <v>1</v>
      </c>
      <c r="G88">
        <f t="shared" si="21"/>
        <v>130</v>
      </c>
      <c r="I88">
        <v>2030</v>
      </c>
      <c r="J88">
        <f t="shared" si="22"/>
        <v>132.5</v>
      </c>
      <c r="K88" cm="1">
        <f t="array" ref="K88">STOWA2019_JAARROND_T(A88*60,J88,I88,"","upper")</f>
        <v>91.857893487053914</v>
      </c>
      <c r="L88">
        <f t="shared" si="19"/>
        <v>1.6329571069593533E-2</v>
      </c>
    </row>
    <row r="89" spans="1:12" x14ac:dyDescent="0.3">
      <c r="A89">
        <v>96</v>
      </c>
      <c r="B89">
        <f t="shared" si="20"/>
        <v>3.9975401368922796E-3</v>
      </c>
      <c r="C89">
        <f t="shared" si="16"/>
        <v>3.9975401368922796E-3</v>
      </c>
      <c r="D89" t="s">
        <v>25</v>
      </c>
      <c r="E89" t="s">
        <v>21</v>
      </c>
      <c r="F89">
        <v>1</v>
      </c>
      <c r="G89">
        <f t="shared" si="21"/>
        <v>135</v>
      </c>
      <c r="I89">
        <v>2030</v>
      </c>
      <c r="J89">
        <f t="shared" si="22"/>
        <v>137.5</v>
      </c>
      <c r="K89" cm="1">
        <f t="array" ref="K89">STOWA2019_JAARROND_T(A89*60,J89,I89,"","upper")</f>
        <v>121.63446622748899</v>
      </c>
      <c r="L89">
        <f t="shared" si="19"/>
        <v>1.2332030932701254E-2</v>
      </c>
    </row>
    <row r="90" spans="1:12" x14ac:dyDescent="0.3">
      <c r="A90">
        <v>96</v>
      </c>
      <c r="B90">
        <f t="shared" si="20"/>
        <v>2.9800972824559381E-3</v>
      </c>
      <c r="C90">
        <f t="shared" si="16"/>
        <v>2.9800972824559381E-3</v>
      </c>
      <c r="D90" t="s">
        <v>25</v>
      </c>
      <c r="E90" t="s">
        <v>21</v>
      </c>
      <c r="F90">
        <v>1</v>
      </c>
      <c r="G90">
        <f t="shared" si="21"/>
        <v>140</v>
      </c>
      <c r="I90">
        <v>2030</v>
      </c>
      <c r="J90">
        <f t="shared" si="22"/>
        <v>142.5</v>
      </c>
      <c r="K90" cm="1">
        <f t="array" ref="K90">STOWA2019_JAARROND_T(A90*60,J90,I90,"","upper")</f>
        <v>160.39463667074378</v>
      </c>
      <c r="L90">
        <f t="shared" si="19"/>
        <v>9.3519336502453157E-3</v>
      </c>
    </row>
    <row r="91" spans="1:12" x14ac:dyDescent="0.3">
      <c r="A91">
        <v>96</v>
      </c>
      <c r="B91">
        <f t="shared" si="20"/>
        <v>2.2312771981763497E-3</v>
      </c>
      <c r="C91">
        <f t="shared" si="16"/>
        <v>2.2312771981763497E-3</v>
      </c>
      <c r="D91" t="s">
        <v>25</v>
      </c>
      <c r="E91" t="s">
        <v>21</v>
      </c>
      <c r="F91">
        <v>1</v>
      </c>
      <c r="G91">
        <f t="shared" si="21"/>
        <v>145</v>
      </c>
      <c r="I91">
        <v>2030</v>
      </c>
      <c r="J91">
        <f t="shared" si="22"/>
        <v>147.5</v>
      </c>
      <c r="K91" cm="1">
        <f t="array" ref="K91">STOWA2019_JAARROND_T(A91*60,J91,I91,"","upper")</f>
        <v>210.65473528977267</v>
      </c>
      <c r="L91">
        <f t="shared" si="19"/>
        <v>7.120656452068966E-3</v>
      </c>
    </row>
    <row r="92" spans="1:12" x14ac:dyDescent="0.3">
      <c r="A92">
        <v>96</v>
      </c>
      <c r="B92">
        <f t="shared" si="20"/>
        <v>1.6775683219552922E-3</v>
      </c>
      <c r="C92">
        <f t="shared" si="16"/>
        <v>1.6775683219552922E-3</v>
      </c>
      <c r="D92" t="s">
        <v>25</v>
      </c>
      <c r="E92" t="s">
        <v>21</v>
      </c>
      <c r="F92">
        <v>1</v>
      </c>
      <c r="G92">
        <f t="shared" si="21"/>
        <v>150</v>
      </c>
      <c r="I92">
        <v>2030</v>
      </c>
      <c r="J92">
        <f t="shared" si="22"/>
        <v>152.5</v>
      </c>
      <c r="K92" cm="1">
        <f t="array" ref="K92">STOWA2019_JAARROND_T(A92*60,J92,I92,"","upper")</f>
        <v>275.5788559992825</v>
      </c>
      <c r="L92">
        <f t="shared" si="19"/>
        <v>5.4430881301136737E-3</v>
      </c>
    </row>
    <row r="93" spans="1:12" x14ac:dyDescent="0.3">
      <c r="A93">
        <v>96</v>
      </c>
      <c r="B93">
        <f t="shared" si="20"/>
        <v>1.2664525055252063E-3</v>
      </c>
      <c r="C93">
        <f t="shared" si="16"/>
        <v>1.2664525055252063E-3</v>
      </c>
      <c r="D93" t="s">
        <v>25</v>
      </c>
      <c r="E93" t="s">
        <v>21</v>
      </c>
      <c r="F93">
        <v>1</v>
      </c>
      <c r="G93">
        <f t="shared" si="21"/>
        <v>155</v>
      </c>
      <c r="I93">
        <v>2030</v>
      </c>
      <c r="J93">
        <f t="shared" si="22"/>
        <v>157.5</v>
      </c>
      <c r="K93" cm="1">
        <f t="array" ref="K93">STOWA2019_JAARROND_T(A93*60,J93,I93,"","upper")</f>
        <v>359.14073786309723</v>
      </c>
      <c r="L93">
        <f t="shared" si="19"/>
        <v>4.1766356245884675E-3</v>
      </c>
    </row>
    <row r="94" spans="1:12" x14ac:dyDescent="0.3">
      <c r="A94">
        <v>96</v>
      </c>
      <c r="B94" s="1">
        <f>L93</f>
        <v>4.1766356245884675E-3</v>
      </c>
      <c r="C94">
        <f t="shared" si="16"/>
        <v>4.1766356245884675E-3</v>
      </c>
      <c r="D94" t="s">
        <v>25</v>
      </c>
      <c r="E94" t="s">
        <v>21</v>
      </c>
      <c r="F94">
        <v>1</v>
      </c>
      <c r="G94">
        <f t="shared" si="21"/>
        <v>160</v>
      </c>
      <c r="I94">
        <v>2030</v>
      </c>
      <c r="J94">
        <f>AVERAGE(G94:G95)</f>
        <v>85</v>
      </c>
      <c r="K94" cm="1">
        <f t="array" ref="K94">STOWA2019_JAARROND_T(A94*60,J94,I94,"","upper")</f>
        <v>5.0457755787744905</v>
      </c>
      <c r="L94">
        <f t="shared" si="19"/>
        <v>0.29727838200134882</v>
      </c>
    </row>
    <row r="95" spans="1:12" x14ac:dyDescent="0.3">
      <c r="A95">
        <v>192</v>
      </c>
      <c r="B95" s="1">
        <f>365.25*24/A95 - L95</f>
        <v>-26.617637808018387</v>
      </c>
      <c r="C95">
        <f>B95</f>
        <v>-26.617637808018387</v>
      </c>
      <c r="D95" t="s">
        <v>25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STOWA2019_JAARROND_T(A95*60,J95,I95,"","upper")</f>
        <v>2.0754383713028693E-2</v>
      </c>
      <c r="L95">
        <f t="shared" si="19"/>
        <v>72.273887808018387</v>
      </c>
    </row>
    <row r="96" spans="1:12" x14ac:dyDescent="0.3">
      <c r="A96">
        <v>192</v>
      </c>
      <c r="B96">
        <f t="shared" ref="B96:B100" si="23">L95-L96</f>
        <v>7.1834247088518595</v>
      </c>
      <c r="C96">
        <f t="shared" ref="C96:C125" si="24">B96</f>
        <v>7.1834247088518595</v>
      </c>
      <c r="D96" t="s">
        <v>25</v>
      </c>
      <c r="E96" t="s">
        <v>21</v>
      </c>
      <c r="F96">
        <v>1</v>
      </c>
      <c r="G96">
        <f t="shared" ref="G96:G100" si="25">G95+5</f>
        <v>15</v>
      </c>
      <c r="I96">
        <v>2030</v>
      </c>
      <c r="J96">
        <f t="shared" ref="J96:J100" si="26">AVERAGE(G96:G97)</f>
        <v>17.5</v>
      </c>
      <c r="K96" cm="1">
        <f t="array" ref="K96">STOWA2019_JAARROND_T(A96*60,J96,I96,"","upper")</f>
        <v>2.3044850636793322E-2</v>
      </c>
      <c r="L96">
        <f t="shared" si="19"/>
        <v>65.090463099166527</v>
      </c>
    </row>
    <row r="97" spans="1:12" x14ac:dyDescent="0.3">
      <c r="A97">
        <v>192</v>
      </c>
      <c r="B97">
        <f t="shared" si="23"/>
        <v>14.836854821776583</v>
      </c>
      <c r="C97">
        <f t="shared" si="24"/>
        <v>14.836854821776583</v>
      </c>
      <c r="D97" t="s">
        <v>25</v>
      </c>
      <c r="E97" t="s">
        <v>21</v>
      </c>
      <c r="F97">
        <v>1</v>
      </c>
      <c r="G97">
        <f t="shared" si="25"/>
        <v>20</v>
      </c>
      <c r="I97">
        <v>2030</v>
      </c>
      <c r="J97">
        <f t="shared" si="26"/>
        <v>22.5</v>
      </c>
      <c r="K97" cm="1">
        <f t="array" ref="K97">STOWA2019_JAARROND_T(A97*60,J97,I97,"","upper")</f>
        <v>2.9848602944495001E-2</v>
      </c>
      <c r="L97">
        <f t="shared" si="19"/>
        <v>50.253608277389944</v>
      </c>
    </row>
    <row r="98" spans="1:12" x14ac:dyDescent="0.3">
      <c r="A98">
        <v>192</v>
      </c>
      <c r="B98">
        <f t="shared" si="23"/>
        <v>12.344177371008143</v>
      </c>
      <c r="C98">
        <f t="shared" si="24"/>
        <v>12.344177371008143</v>
      </c>
      <c r="D98" t="s">
        <v>25</v>
      </c>
      <c r="E98" t="s">
        <v>21</v>
      </c>
      <c r="F98">
        <v>1</v>
      </c>
      <c r="G98">
        <f t="shared" si="25"/>
        <v>25</v>
      </c>
      <c r="I98">
        <v>2030</v>
      </c>
      <c r="J98">
        <f t="shared" si="26"/>
        <v>27.5</v>
      </c>
      <c r="K98" cm="1">
        <f t="array" ref="K98">STOWA2019_JAARROND_T(A98*60,J98,I98,"","upper")</f>
        <v>3.9567990448189108E-2</v>
      </c>
      <c r="L98">
        <f t="shared" si="19"/>
        <v>37.9094309063818</v>
      </c>
    </row>
    <row r="99" spans="1:12" x14ac:dyDescent="0.3">
      <c r="A99">
        <v>192</v>
      </c>
      <c r="B99">
        <f t="shared" si="23"/>
        <v>9.5257765321534222</v>
      </c>
      <c r="C99">
        <f t="shared" si="24"/>
        <v>9.5257765321534222</v>
      </c>
      <c r="D99" t="s">
        <v>25</v>
      </c>
      <c r="E99" t="s">
        <v>21</v>
      </c>
      <c r="F99">
        <v>1</v>
      </c>
      <c r="G99">
        <f t="shared" si="25"/>
        <v>30</v>
      </c>
      <c r="I99">
        <v>2030</v>
      </c>
      <c r="J99">
        <f t="shared" si="26"/>
        <v>32.5</v>
      </c>
      <c r="K99" cm="1">
        <f t="array" ref="K99">STOWA2019_JAARROND_T(A99*60,J99,I99,"","upper")</f>
        <v>5.2847317692888807E-2</v>
      </c>
      <c r="L99">
        <f t="shared" si="19"/>
        <v>28.383654374228378</v>
      </c>
    </row>
    <row r="100" spans="1:12" x14ac:dyDescent="0.3">
      <c r="A100">
        <v>192</v>
      </c>
      <c r="B100">
        <f t="shared" si="23"/>
        <v>7.2033512136786015</v>
      </c>
      <c r="C100">
        <f t="shared" si="24"/>
        <v>7.2033512136786015</v>
      </c>
      <c r="D100" t="s">
        <v>25</v>
      </c>
      <c r="E100" t="s">
        <v>21</v>
      </c>
      <c r="F100">
        <v>1</v>
      </c>
      <c r="G100">
        <f t="shared" si="25"/>
        <v>35</v>
      </c>
      <c r="I100">
        <v>2030</v>
      </c>
      <c r="J100">
        <f t="shared" si="26"/>
        <v>37.5</v>
      </c>
      <c r="K100" cm="1">
        <f t="array" ref="K100">STOWA2019_JAARROND_T(A100*60,J100,I100,"","upper")</f>
        <v>7.0820516053513582E-2</v>
      </c>
      <c r="L100">
        <f t="shared" si="19"/>
        <v>21.180303160549776</v>
      </c>
    </row>
    <row r="101" spans="1:12" x14ac:dyDescent="0.3">
      <c r="A101">
        <v>192</v>
      </c>
      <c r="B101">
        <f>L100-L101</f>
        <v>5.4047104074796977</v>
      </c>
      <c r="C101">
        <f t="shared" si="24"/>
        <v>5.4047104074796977</v>
      </c>
      <c r="D101" t="s">
        <v>25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STOWA2019_JAARROND_T(A101*60,J101,I101,"","upper")</f>
        <v>9.5083590422178316E-2</v>
      </c>
      <c r="L101">
        <f t="shared" si="19"/>
        <v>15.775592753070079</v>
      </c>
    </row>
    <row r="102" spans="1:12" x14ac:dyDescent="0.3">
      <c r="A102">
        <v>192</v>
      </c>
      <c r="B102">
        <f t="shared" ref="B102:B124" si="27">L101-L102</f>
        <v>4.0399529520455779</v>
      </c>
      <c r="C102">
        <f t="shared" si="24"/>
        <v>4.0399529520455779</v>
      </c>
      <c r="D102" t="s">
        <v>25</v>
      </c>
      <c r="E102" t="s">
        <v>21</v>
      </c>
      <c r="F102">
        <v>1</v>
      </c>
      <c r="G102">
        <f t="shared" ref="G102:G125" si="28">G101+5</f>
        <v>45</v>
      </c>
      <c r="I102">
        <v>2030</v>
      </c>
      <c r="J102">
        <f t="shared" ref="J102:J124" si="29">AVERAGE(G102:G103)</f>
        <v>47.5</v>
      </c>
      <c r="K102" cm="1">
        <f t="array" ref="K102">STOWA2019_JAARROND_T(A102*60,J102,I102,"","upper")</f>
        <v>0.1278157838372862</v>
      </c>
      <c r="L102">
        <f t="shared" si="19"/>
        <v>11.735639801024501</v>
      </c>
    </row>
    <row r="103" spans="1:12" x14ac:dyDescent="0.3">
      <c r="A103">
        <v>192</v>
      </c>
      <c r="B103">
        <f t="shared" si="27"/>
        <v>3.0133768746286673</v>
      </c>
      <c r="C103">
        <f t="shared" si="24"/>
        <v>3.0133768746286673</v>
      </c>
      <c r="D103" t="s">
        <v>25</v>
      </c>
      <c r="E103" t="s">
        <v>21</v>
      </c>
      <c r="F103">
        <v>1</v>
      </c>
      <c r="G103">
        <f t="shared" si="28"/>
        <v>50</v>
      </c>
      <c r="I103">
        <v>2030</v>
      </c>
      <c r="J103">
        <f t="shared" si="29"/>
        <v>52.5</v>
      </c>
      <c r="K103" cm="1">
        <f t="array" ref="K103">STOWA2019_JAARROND_T(A103*60,J103,I103,"","upper")</f>
        <v>0.17197371973970313</v>
      </c>
      <c r="L103">
        <f t="shared" si="19"/>
        <v>8.7222629263958336</v>
      </c>
    </row>
    <row r="104" spans="1:12" x14ac:dyDescent="0.3">
      <c r="A104">
        <v>192</v>
      </c>
      <c r="B104">
        <f t="shared" si="27"/>
        <v>2.2442727336772244</v>
      </c>
      <c r="C104">
        <f t="shared" si="24"/>
        <v>2.2442727336772244</v>
      </c>
      <c r="D104" t="s">
        <v>25</v>
      </c>
      <c r="E104" t="s">
        <v>21</v>
      </c>
      <c r="F104">
        <v>1</v>
      </c>
      <c r="G104">
        <f t="shared" si="28"/>
        <v>55</v>
      </c>
      <c r="I104">
        <v>2030</v>
      </c>
      <c r="J104">
        <f t="shared" si="29"/>
        <v>57.5</v>
      </c>
      <c r="K104" cm="1">
        <f t="array" ref="K104">STOWA2019_JAARROND_T(A104*60,J104,I104,"","upper")</f>
        <v>0.23155329899789442</v>
      </c>
      <c r="L104">
        <f t="shared" si="19"/>
        <v>6.4779901927186092</v>
      </c>
    </row>
    <row r="105" spans="1:12" x14ac:dyDescent="0.3">
      <c r="A105">
        <v>192</v>
      </c>
      <c r="B105">
        <f t="shared" si="27"/>
        <v>1.6698677930829682</v>
      </c>
      <c r="C105">
        <f t="shared" si="24"/>
        <v>1.6698677930829682</v>
      </c>
      <c r="D105" t="s">
        <v>25</v>
      </c>
      <c r="E105" t="s">
        <v>21</v>
      </c>
      <c r="F105">
        <v>1</v>
      </c>
      <c r="G105">
        <f t="shared" si="28"/>
        <v>60</v>
      </c>
      <c r="I105">
        <v>2030</v>
      </c>
      <c r="J105">
        <f t="shared" si="29"/>
        <v>62.5</v>
      </c>
      <c r="K105" cm="1">
        <f t="array" ref="K105">STOWA2019_JAARROND_T(A105*60,J105,I105,"","upper")</f>
        <v>0.3119720912499378</v>
      </c>
      <c r="L105">
        <f t="shared" si="19"/>
        <v>4.808122399635641</v>
      </c>
    </row>
    <row r="106" spans="1:12" x14ac:dyDescent="0.3">
      <c r="A106">
        <v>192</v>
      </c>
      <c r="B106">
        <f t="shared" si="27"/>
        <v>1.241400899858518</v>
      </c>
      <c r="C106">
        <f t="shared" si="24"/>
        <v>1.241400899858518</v>
      </c>
      <c r="D106" t="s">
        <v>25</v>
      </c>
      <c r="E106" t="s">
        <v>21</v>
      </c>
      <c r="F106">
        <v>1</v>
      </c>
      <c r="G106">
        <f t="shared" si="28"/>
        <v>65</v>
      </c>
      <c r="I106">
        <v>2030</v>
      </c>
      <c r="J106">
        <f t="shared" si="29"/>
        <v>67.5</v>
      </c>
      <c r="K106" cm="1">
        <f t="array" ref="K106">STOWA2019_JAARROND_T(A106*60,J106,I106,"","upper")</f>
        <v>0.42055428215904495</v>
      </c>
      <c r="L106">
        <f t="shared" si="19"/>
        <v>3.5667214997771231</v>
      </c>
    </row>
    <row r="107" spans="1:12" x14ac:dyDescent="0.3">
      <c r="A107">
        <v>192</v>
      </c>
      <c r="B107">
        <f t="shared" si="27"/>
        <v>0.92226166189467396</v>
      </c>
      <c r="C107">
        <f t="shared" si="24"/>
        <v>0.92226166189467396</v>
      </c>
      <c r="D107" t="s">
        <v>25</v>
      </c>
      <c r="E107" t="s">
        <v>21</v>
      </c>
      <c r="F107">
        <v>1</v>
      </c>
      <c r="G107">
        <f t="shared" si="28"/>
        <v>70</v>
      </c>
      <c r="I107">
        <v>2030</v>
      </c>
      <c r="J107">
        <f t="shared" si="29"/>
        <v>72.5</v>
      </c>
      <c r="K107" cm="1">
        <f t="array" ref="K107">STOWA2019_JAARROND_T(A107*60,J107,I107,"","upper")</f>
        <v>0.56722358892057323</v>
      </c>
      <c r="L107">
        <f t="shared" si="19"/>
        <v>2.6444598378824491</v>
      </c>
    </row>
    <row r="108" spans="1:12" x14ac:dyDescent="0.3">
      <c r="A108">
        <v>192</v>
      </c>
      <c r="B108">
        <f t="shared" si="27"/>
        <v>0.68475127402521641</v>
      </c>
      <c r="C108">
        <f t="shared" si="24"/>
        <v>0.68475127402521641</v>
      </c>
      <c r="D108" t="s">
        <v>25</v>
      </c>
      <c r="E108" t="s">
        <v>21</v>
      </c>
      <c r="F108">
        <v>1</v>
      </c>
      <c r="G108">
        <f t="shared" si="28"/>
        <v>75</v>
      </c>
      <c r="I108">
        <v>2030</v>
      </c>
      <c r="J108">
        <f t="shared" si="29"/>
        <v>77.5</v>
      </c>
      <c r="K108" cm="1">
        <f t="array" ref="K108">STOWA2019_JAARROND_T(A108*60,J108,I108,"","upper")</f>
        <v>0.76541993420062282</v>
      </c>
      <c r="L108">
        <f t="shared" si="19"/>
        <v>1.9597085638572327</v>
      </c>
    </row>
    <row r="109" spans="1:12" x14ac:dyDescent="0.3">
      <c r="A109">
        <v>192</v>
      </c>
      <c r="B109">
        <f t="shared" si="27"/>
        <v>0.50797577758508194</v>
      </c>
      <c r="C109">
        <f t="shared" si="24"/>
        <v>0.50797577758508194</v>
      </c>
      <c r="D109" t="s">
        <v>25</v>
      </c>
      <c r="E109" t="s">
        <v>21</v>
      </c>
      <c r="F109">
        <v>1</v>
      </c>
      <c r="G109">
        <f t="shared" si="28"/>
        <v>80</v>
      </c>
      <c r="I109">
        <v>2030</v>
      </c>
      <c r="J109">
        <f t="shared" si="29"/>
        <v>82.5</v>
      </c>
      <c r="K109" cm="1">
        <f t="array" ref="K109">STOWA2019_JAARROND_T(A109*60,J109,I109,"","upper")</f>
        <v>1.033248001412018</v>
      </c>
      <c r="L109">
        <f t="shared" si="19"/>
        <v>1.4517327862721507</v>
      </c>
    </row>
    <row r="110" spans="1:12" x14ac:dyDescent="0.3">
      <c r="A110">
        <v>192</v>
      </c>
      <c r="B110">
        <f t="shared" si="27"/>
        <v>0.37688982209070598</v>
      </c>
      <c r="C110">
        <f t="shared" si="24"/>
        <v>0.37688982209070598</v>
      </c>
      <c r="D110" t="s">
        <v>25</v>
      </c>
      <c r="E110" t="s">
        <v>21</v>
      </c>
      <c r="F110">
        <v>1</v>
      </c>
      <c r="G110">
        <f t="shared" si="28"/>
        <v>85</v>
      </c>
      <c r="I110">
        <v>2030</v>
      </c>
      <c r="J110">
        <f t="shared" si="29"/>
        <v>87.5</v>
      </c>
      <c r="K110" cm="1">
        <f t="array" ref="K110">STOWA2019_JAARROND_T(A110*60,J110,I110,"","upper")</f>
        <v>1.3955526993120684</v>
      </c>
      <c r="L110">
        <f t="shared" si="19"/>
        <v>1.0748429641814448</v>
      </c>
    </row>
    <row r="111" spans="1:12" x14ac:dyDescent="0.3">
      <c r="A111">
        <v>192</v>
      </c>
      <c r="B111">
        <f t="shared" si="27"/>
        <v>0.27939460774633662</v>
      </c>
      <c r="C111">
        <f t="shared" si="24"/>
        <v>0.27939460774633662</v>
      </c>
      <c r="D111" t="s">
        <v>25</v>
      </c>
      <c r="E111" t="s">
        <v>21</v>
      </c>
      <c r="F111">
        <v>1</v>
      </c>
      <c r="G111">
        <f t="shared" si="28"/>
        <v>90</v>
      </c>
      <c r="I111">
        <v>2030</v>
      </c>
      <c r="J111">
        <f t="shared" si="29"/>
        <v>92.5</v>
      </c>
      <c r="K111" cm="1">
        <f t="array" ref="K111">STOWA2019_JAARROND_T(A111*60,J111,I111,"","upper")</f>
        <v>1.8857289575937022</v>
      </c>
      <c r="L111">
        <f t="shared" si="19"/>
        <v>0.79544835643510814</v>
      </c>
    </row>
    <row r="112" spans="1:12" x14ac:dyDescent="0.3">
      <c r="A112">
        <v>192</v>
      </c>
      <c r="B112">
        <f t="shared" si="27"/>
        <v>0.2070229865479617</v>
      </c>
      <c r="C112">
        <f t="shared" si="24"/>
        <v>0.2070229865479617</v>
      </c>
      <c r="D112" t="s">
        <v>25</v>
      </c>
      <c r="E112" t="s">
        <v>21</v>
      </c>
      <c r="F112">
        <v>1</v>
      </c>
      <c r="G112">
        <f t="shared" si="28"/>
        <v>95</v>
      </c>
      <c r="I112">
        <v>2030</v>
      </c>
      <c r="J112">
        <f t="shared" si="29"/>
        <v>97.5</v>
      </c>
      <c r="K112" cm="1">
        <f t="array" ref="K112">STOWA2019_JAARROND_T(A112*60,J112,I112,"","upper")</f>
        <v>2.5491762877043924</v>
      </c>
      <c r="L112">
        <f t="shared" si="19"/>
        <v>0.58842536988714644</v>
      </c>
    </row>
    <row r="113" spans="1:12" x14ac:dyDescent="0.3">
      <c r="A113">
        <v>192</v>
      </c>
      <c r="B113">
        <f t="shared" si="27"/>
        <v>0.15332661597873731</v>
      </c>
      <c r="C113">
        <f t="shared" si="24"/>
        <v>0.15332661597873731</v>
      </c>
      <c r="D113" t="s">
        <v>25</v>
      </c>
      <c r="E113" t="s">
        <v>21</v>
      </c>
      <c r="F113">
        <v>1</v>
      </c>
      <c r="G113">
        <f t="shared" si="28"/>
        <v>100</v>
      </c>
      <c r="I113">
        <v>2030</v>
      </c>
      <c r="J113">
        <f t="shared" si="29"/>
        <v>102.5</v>
      </c>
      <c r="K113" cm="1">
        <f t="array" ref="K113">STOWA2019_JAARROND_T(A113*60,J113,I113,"","upper")</f>
        <v>3.4474932105086169</v>
      </c>
      <c r="L113">
        <f t="shared" si="19"/>
        <v>0.43509875390840913</v>
      </c>
    </row>
    <row r="114" spans="1:12" x14ac:dyDescent="0.3">
      <c r="A114">
        <v>192</v>
      </c>
      <c r="B114">
        <f t="shared" si="27"/>
        <v>0.11351036051872154</v>
      </c>
      <c r="C114">
        <f t="shared" si="24"/>
        <v>0.11351036051872154</v>
      </c>
      <c r="D114" t="s">
        <v>25</v>
      </c>
      <c r="E114" t="s">
        <v>21</v>
      </c>
      <c r="F114">
        <v>1</v>
      </c>
      <c r="G114">
        <f t="shared" si="28"/>
        <v>105</v>
      </c>
      <c r="I114">
        <v>2030</v>
      </c>
      <c r="J114">
        <f t="shared" si="29"/>
        <v>107.5</v>
      </c>
      <c r="K114" cm="1">
        <f t="array" ref="K114">STOWA2019_JAARROND_T(A114*60,J114,I114,"","upper")</f>
        <v>4.6643474417385509</v>
      </c>
      <c r="L114">
        <f t="shared" si="19"/>
        <v>0.32158839338968759</v>
      </c>
    </row>
    <row r="115" spans="1:12" x14ac:dyDescent="0.3">
      <c r="A115">
        <v>192</v>
      </c>
      <c r="B115">
        <f t="shared" si="27"/>
        <v>8.3996975684065167E-2</v>
      </c>
      <c r="C115">
        <f t="shared" si="24"/>
        <v>8.3996975684065167E-2</v>
      </c>
      <c r="D115" t="s">
        <v>25</v>
      </c>
      <c r="E115" t="s">
        <v>21</v>
      </c>
      <c r="F115">
        <v>1</v>
      </c>
      <c r="G115">
        <f t="shared" si="28"/>
        <v>110</v>
      </c>
      <c r="I115">
        <v>2030</v>
      </c>
      <c r="J115">
        <f t="shared" si="29"/>
        <v>112.5</v>
      </c>
      <c r="K115" cm="1">
        <f t="array" ref="K115">STOWA2019_JAARROND_T(A115*60,J115,I115,"","upper")</f>
        <v>6.3133593565172932</v>
      </c>
      <c r="L115">
        <f t="shared" si="19"/>
        <v>0.23759141770562242</v>
      </c>
    </row>
    <row r="116" spans="1:12" x14ac:dyDescent="0.3">
      <c r="A116">
        <v>192</v>
      </c>
      <c r="B116">
        <f t="shared" si="27"/>
        <v>6.2131843213857896E-2</v>
      </c>
      <c r="C116">
        <f t="shared" si="24"/>
        <v>6.2131843213857896E-2</v>
      </c>
      <c r="D116" t="s">
        <v>25</v>
      </c>
      <c r="E116" t="s">
        <v>21</v>
      </c>
      <c r="F116">
        <v>1</v>
      </c>
      <c r="G116">
        <f t="shared" si="28"/>
        <v>115</v>
      </c>
      <c r="I116">
        <v>2030</v>
      </c>
      <c r="J116">
        <f t="shared" si="29"/>
        <v>117.5</v>
      </c>
      <c r="K116" cm="1">
        <f t="array" ref="K116">STOWA2019_JAARROND_T(A116*60,J116,I116,"","upper")</f>
        <v>8.5489777593778715</v>
      </c>
      <c r="L116">
        <f t="shared" si="19"/>
        <v>0.17545957449176453</v>
      </c>
    </row>
    <row r="117" spans="1:12" x14ac:dyDescent="0.3">
      <c r="A117">
        <v>192</v>
      </c>
      <c r="B117">
        <f t="shared" si="27"/>
        <v>4.5936611441457886E-2</v>
      </c>
      <c r="C117">
        <f t="shared" si="24"/>
        <v>4.5936611441457886E-2</v>
      </c>
      <c r="D117" t="s">
        <v>25</v>
      </c>
      <c r="E117" t="s">
        <v>21</v>
      </c>
      <c r="F117">
        <v>1</v>
      </c>
      <c r="G117">
        <f t="shared" si="28"/>
        <v>120</v>
      </c>
      <c r="I117">
        <v>2030</v>
      </c>
      <c r="J117">
        <f t="shared" si="29"/>
        <v>122.5</v>
      </c>
      <c r="K117" cm="1">
        <f t="array" ref="K117">STOWA2019_JAARROND_T(A117*60,J117,I117,"","upper")</f>
        <v>11.580958037667815</v>
      </c>
      <c r="L117">
        <f t="shared" si="19"/>
        <v>0.12952296305030664</v>
      </c>
    </row>
    <row r="118" spans="1:12" x14ac:dyDescent="0.3">
      <c r="A118">
        <v>192</v>
      </c>
      <c r="B118">
        <f t="shared" si="27"/>
        <v>3.3949524987293506E-2</v>
      </c>
      <c r="C118">
        <f t="shared" si="24"/>
        <v>3.3949524987293506E-2</v>
      </c>
      <c r="D118" t="s">
        <v>25</v>
      </c>
      <c r="E118" t="s">
        <v>21</v>
      </c>
      <c r="F118">
        <v>1</v>
      </c>
      <c r="G118">
        <f t="shared" si="28"/>
        <v>125</v>
      </c>
      <c r="I118">
        <v>2030</v>
      </c>
      <c r="J118">
        <f t="shared" si="29"/>
        <v>127.5</v>
      </c>
      <c r="K118" cm="1">
        <f t="array" ref="K118">STOWA2019_JAARROND_T(A118*60,J118,I118,"","upper")</f>
        <v>15.694737265923461</v>
      </c>
      <c r="L118">
        <f t="shared" si="19"/>
        <v>9.5573438063013133E-2</v>
      </c>
    </row>
    <row r="119" spans="1:12" x14ac:dyDescent="0.3">
      <c r="A119">
        <v>192</v>
      </c>
      <c r="B119">
        <f t="shared" si="27"/>
        <v>2.5079975577163405E-2</v>
      </c>
      <c r="C119">
        <f t="shared" si="24"/>
        <v>2.5079975577163405E-2</v>
      </c>
      <c r="D119" t="s">
        <v>25</v>
      </c>
      <c r="E119" t="s">
        <v>21</v>
      </c>
      <c r="F119">
        <v>1</v>
      </c>
      <c r="G119">
        <f t="shared" si="28"/>
        <v>130</v>
      </c>
      <c r="I119">
        <v>2030</v>
      </c>
      <c r="J119">
        <f t="shared" si="29"/>
        <v>132.5</v>
      </c>
      <c r="K119" cm="1">
        <f t="array" ref="K119">STOWA2019_JAARROND_T(A119*60,J119,I119,"","upper")</f>
        <v>21.27856892121163</v>
      </c>
      <c r="L119">
        <f t="shared" si="19"/>
        <v>7.0493462485849728E-2</v>
      </c>
    </row>
    <row r="120" spans="1:12" x14ac:dyDescent="0.3">
      <c r="A120">
        <v>192</v>
      </c>
      <c r="B120">
        <f t="shared" si="27"/>
        <v>1.8519961356653195E-2</v>
      </c>
      <c r="C120">
        <f t="shared" si="24"/>
        <v>1.8519961356653195E-2</v>
      </c>
      <c r="D120" t="s">
        <v>25</v>
      </c>
      <c r="E120" t="s">
        <v>21</v>
      </c>
      <c r="F120">
        <v>1</v>
      </c>
      <c r="G120">
        <f t="shared" si="28"/>
        <v>135</v>
      </c>
      <c r="I120">
        <v>2030</v>
      </c>
      <c r="J120">
        <f t="shared" si="29"/>
        <v>137.5</v>
      </c>
      <c r="K120" cm="1">
        <f t="array" ref="K120">STOWA2019_JAARROND_T(A120*60,J120,I120,"","upper")</f>
        <v>28.860861158290582</v>
      </c>
      <c r="L120">
        <f t="shared" si="19"/>
        <v>5.1973501129196534E-2</v>
      </c>
    </row>
    <row r="121" spans="1:12" x14ac:dyDescent="0.3">
      <c r="A121">
        <v>192</v>
      </c>
      <c r="B121">
        <f t="shared" si="27"/>
        <v>1.3670149225549266E-2</v>
      </c>
      <c r="C121">
        <f t="shared" si="24"/>
        <v>1.3670149225549266E-2</v>
      </c>
      <c r="D121" t="s">
        <v>25</v>
      </c>
      <c r="E121" t="s">
        <v>21</v>
      </c>
      <c r="F121">
        <v>1</v>
      </c>
      <c r="G121">
        <f t="shared" si="28"/>
        <v>140</v>
      </c>
      <c r="I121">
        <v>2030</v>
      </c>
      <c r="J121">
        <f t="shared" si="29"/>
        <v>142.5</v>
      </c>
      <c r="K121" cm="1">
        <f t="array" ref="K121">STOWA2019_JAARROND_T(A121*60,J121,I121,"","upper")</f>
        <v>39.161063600211165</v>
      </c>
      <c r="L121">
        <f t="shared" si="19"/>
        <v>3.8303351903647267E-2</v>
      </c>
    </row>
    <row r="122" spans="1:12" x14ac:dyDescent="0.3">
      <c r="A122">
        <v>192</v>
      </c>
      <c r="B122">
        <f t="shared" si="27"/>
        <v>1.0086189130393657E-2</v>
      </c>
      <c r="C122">
        <f t="shared" si="24"/>
        <v>1.0086189130393657E-2</v>
      </c>
      <c r="D122" t="s">
        <v>25</v>
      </c>
      <c r="E122" t="s">
        <v>21</v>
      </c>
      <c r="F122">
        <v>1</v>
      </c>
      <c r="G122">
        <f t="shared" si="28"/>
        <v>145</v>
      </c>
      <c r="I122">
        <v>2030</v>
      </c>
      <c r="J122">
        <f t="shared" si="29"/>
        <v>147.5</v>
      </c>
      <c r="K122" cm="1">
        <f t="array" ref="K122">STOWA2019_JAARROND_T(A122*60,J122,I122,"","upper")</f>
        <v>53.159136233987887</v>
      </c>
      <c r="L122">
        <f t="shared" si="19"/>
        <v>2.8217162773253611E-2</v>
      </c>
    </row>
    <row r="123" spans="1:12" x14ac:dyDescent="0.3">
      <c r="A123">
        <v>192</v>
      </c>
      <c r="B123">
        <f t="shared" si="27"/>
        <v>7.4386622218861852E-3</v>
      </c>
      <c r="C123">
        <f t="shared" si="24"/>
        <v>7.4386622218861852E-3</v>
      </c>
      <c r="D123" t="s">
        <v>25</v>
      </c>
      <c r="E123" t="s">
        <v>21</v>
      </c>
      <c r="F123">
        <v>1</v>
      </c>
      <c r="G123">
        <f t="shared" si="28"/>
        <v>150</v>
      </c>
      <c r="I123">
        <v>2030</v>
      </c>
      <c r="J123">
        <f t="shared" si="29"/>
        <v>152.5</v>
      </c>
      <c r="K123" cm="1">
        <f t="array" ref="K123">STOWA2019_JAARROND_T(A123*60,J123,I123,"","upper")</f>
        <v>72.190002175170704</v>
      </c>
      <c r="L123">
        <f t="shared" si="19"/>
        <v>2.0778500551367426E-2</v>
      </c>
    </row>
    <row r="124" spans="1:12" x14ac:dyDescent="0.3">
      <c r="A124">
        <v>192</v>
      </c>
      <c r="B124">
        <f t="shared" si="27"/>
        <v>5.4841279214293964E-3</v>
      </c>
      <c r="C124">
        <f t="shared" si="24"/>
        <v>5.4841279214293964E-3</v>
      </c>
      <c r="D124" t="s">
        <v>25</v>
      </c>
      <c r="E124" t="s">
        <v>21</v>
      </c>
      <c r="F124">
        <v>1</v>
      </c>
      <c r="G124">
        <f t="shared" si="28"/>
        <v>155</v>
      </c>
      <c r="I124">
        <v>2030</v>
      </c>
      <c r="J124">
        <f t="shared" si="29"/>
        <v>157.5</v>
      </c>
      <c r="K124" cm="1">
        <f t="array" ref="K124">STOWA2019_JAARROND_T(A124*60,J124,I124,"","upper")</f>
        <v>98.075287969891562</v>
      </c>
      <c r="L124">
        <f t="shared" si="19"/>
        <v>1.5294372629938029E-2</v>
      </c>
    </row>
    <row r="125" spans="1:12" x14ac:dyDescent="0.3">
      <c r="A125">
        <v>192</v>
      </c>
      <c r="B125" s="1">
        <f>L124</f>
        <v>1.5294372629938029E-2</v>
      </c>
      <c r="C125">
        <f t="shared" si="24"/>
        <v>1.5294372629938029E-2</v>
      </c>
      <c r="D125" t="s">
        <v>25</v>
      </c>
      <c r="E125" t="s">
        <v>21</v>
      </c>
      <c r="F125">
        <v>1</v>
      </c>
      <c r="G125">
        <f t="shared" si="28"/>
        <v>160</v>
      </c>
      <c r="I125">
        <v>2030</v>
      </c>
      <c r="J125">
        <f>AVERAGE(G125:G126)</f>
        <v>85</v>
      </c>
      <c r="K125" cm="1">
        <f t="array" ref="K125">STOWA2019_JAARROND_T(A125*60,J125,I125,"","upper")</f>
        <v>1.2007475511170707</v>
      </c>
      <c r="L125">
        <f t="shared" si="19"/>
        <v>1.2492217857155161</v>
      </c>
    </row>
    <row r="126" spans="1:12" x14ac:dyDescent="0.3">
      <c r="A126">
        <v>216</v>
      </c>
      <c r="B126" s="1">
        <f>365.25*24/A126 - L126</f>
        <v>-1459.4166666666667</v>
      </c>
      <c r="C126">
        <f>B126</f>
        <v>-1459.4166666666667</v>
      </c>
      <c r="D126" t="s">
        <v>25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s="1">
        <v>1E-3</v>
      </c>
      <c r="L126">
        <f t="shared" si="19"/>
        <v>1500</v>
      </c>
    </row>
    <row r="127" spans="1:12" x14ac:dyDescent="0.3">
      <c r="A127">
        <v>216</v>
      </c>
      <c r="B127">
        <f t="shared" ref="B127:B131" si="30">L126-L127</f>
        <v>1434.5552056007382</v>
      </c>
      <c r="C127">
        <f t="shared" ref="C127:C156" si="31">B127</f>
        <v>1434.5552056007382</v>
      </c>
      <c r="D127" t="s">
        <v>25</v>
      </c>
      <c r="E127" t="s">
        <v>21</v>
      </c>
      <c r="F127">
        <v>1</v>
      </c>
      <c r="G127">
        <f t="shared" ref="G127:G131" si="32">G126+5</f>
        <v>15</v>
      </c>
      <c r="I127">
        <v>2030</v>
      </c>
      <c r="J127">
        <f t="shared" ref="J127:J131" si="33">AVERAGE(G127:G128)</f>
        <v>17.5</v>
      </c>
      <c r="K127" cm="1">
        <f t="array" ref="K127">STOWA2019_JAARROND_T(A127*60,J127,I127,"","upper")</f>
        <v>2.2920081173284552E-2</v>
      </c>
      <c r="L127">
        <f t="shared" si="19"/>
        <v>65.444794399261866</v>
      </c>
    </row>
    <row r="128" spans="1:12" x14ac:dyDescent="0.3">
      <c r="A128">
        <v>216</v>
      </c>
      <c r="B128">
        <f t="shared" si="30"/>
        <v>12.339866829152953</v>
      </c>
      <c r="C128">
        <f t="shared" si="31"/>
        <v>12.339866829152953</v>
      </c>
      <c r="D128" t="s">
        <v>25</v>
      </c>
      <c r="E128" t="s">
        <v>21</v>
      </c>
      <c r="F128">
        <v>1</v>
      </c>
      <c r="G128">
        <f t="shared" si="32"/>
        <v>20</v>
      </c>
      <c r="I128">
        <v>2030</v>
      </c>
      <c r="J128">
        <f t="shared" si="33"/>
        <v>22.5</v>
      </c>
      <c r="K128" cm="1">
        <f t="array" ref="K128">STOWA2019_JAARROND_T(A128*60,J128,I128,"","upper")</f>
        <v>2.82459664033946E-2</v>
      </c>
      <c r="L128">
        <f t="shared" si="19"/>
        <v>53.104927570108913</v>
      </c>
    </row>
    <row r="129" spans="1:12" x14ac:dyDescent="0.3">
      <c r="A129">
        <v>216</v>
      </c>
      <c r="B129">
        <f t="shared" si="30"/>
        <v>11.92654763079976</v>
      </c>
      <c r="C129">
        <f t="shared" si="31"/>
        <v>11.92654763079976</v>
      </c>
      <c r="D129" t="s">
        <v>25</v>
      </c>
      <c r="E129" t="s">
        <v>21</v>
      </c>
      <c r="F129">
        <v>1</v>
      </c>
      <c r="G129">
        <f t="shared" si="32"/>
        <v>25</v>
      </c>
      <c r="I129">
        <v>2030</v>
      </c>
      <c r="J129">
        <f t="shared" si="33"/>
        <v>27.5</v>
      </c>
      <c r="K129" cm="1">
        <f t="array" ref="K129">STOWA2019_JAARROND_T(A129*60,J129,I129,"","upper")</f>
        <v>3.6426882315690377E-2</v>
      </c>
      <c r="L129">
        <f t="shared" si="19"/>
        <v>41.178379939309153</v>
      </c>
    </row>
    <row r="130" spans="1:12" x14ac:dyDescent="0.3">
      <c r="A130">
        <v>216</v>
      </c>
      <c r="B130">
        <f t="shared" si="30"/>
        <v>9.6627134901497413</v>
      </c>
      <c r="C130">
        <f t="shared" si="31"/>
        <v>9.6627134901497413</v>
      </c>
      <c r="D130" t="s">
        <v>25</v>
      </c>
      <c r="E130" t="s">
        <v>21</v>
      </c>
      <c r="F130">
        <v>1</v>
      </c>
      <c r="G130">
        <f t="shared" si="32"/>
        <v>30</v>
      </c>
      <c r="I130">
        <v>2030</v>
      </c>
      <c r="J130">
        <f t="shared" si="33"/>
        <v>32.5</v>
      </c>
      <c r="K130" cm="1">
        <f t="array" ref="K130">STOWA2019_JAARROND_T(A130*60,J130,I130,"","upper")</f>
        <v>4.7595376173300251E-2</v>
      </c>
      <c r="L130">
        <f t="shared" si="19"/>
        <v>31.515666449159411</v>
      </c>
    </row>
    <row r="131" spans="1:12" x14ac:dyDescent="0.3">
      <c r="A131">
        <v>216</v>
      </c>
      <c r="B131">
        <f t="shared" si="30"/>
        <v>7.5251930544296783</v>
      </c>
      <c r="C131">
        <f t="shared" si="31"/>
        <v>7.5251930544296783</v>
      </c>
      <c r="D131" t="s">
        <v>25</v>
      </c>
      <c r="E131" t="s">
        <v>21</v>
      </c>
      <c r="F131">
        <v>1</v>
      </c>
      <c r="G131">
        <f t="shared" si="32"/>
        <v>35</v>
      </c>
      <c r="I131">
        <v>2030</v>
      </c>
      <c r="J131">
        <f t="shared" si="33"/>
        <v>37.5</v>
      </c>
      <c r="K131" cm="1">
        <f t="array" ref="K131">STOWA2019_JAARROND_T(A131*60,J131,I131,"","upper")</f>
        <v>6.2524818719480638E-2</v>
      </c>
      <c r="L131">
        <f t="shared" ref="L131:L156" si="34">1/K131 * 12/8</f>
        <v>23.990473394729733</v>
      </c>
    </row>
    <row r="132" spans="1:12" x14ac:dyDescent="0.3">
      <c r="A132">
        <v>216</v>
      </c>
      <c r="B132">
        <f>L131-L132</f>
        <v>5.7848974172285281</v>
      </c>
      <c r="C132">
        <f t="shared" si="31"/>
        <v>5.7848974172285281</v>
      </c>
      <c r="D132" t="s">
        <v>25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STOWA2019_JAARROND_T(A132*60,J132,I132,"","upper")</f>
        <v>8.2392339679542598E-2</v>
      </c>
      <c r="L132">
        <f t="shared" si="34"/>
        <v>18.205575977501205</v>
      </c>
    </row>
    <row r="133" spans="1:12" x14ac:dyDescent="0.3">
      <c r="A133">
        <v>216</v>
      </c>
      <c r="B133">
        <f t="shared" ref="B133:B155" si="35">L132-L133</f>
        <v>4.4205102650357873</v>
      </c>
      <c r="C133">
        <f t="shared" si="31"/>
        <v>4.4205102650357873</v>
      </c>
      <c r="D133" t="s">
        <v>25</v>
      </c>
      <c r="E133" t="s">
        <v>21</v>
      </c>
      <c r="F133">
        <v>1</v>
      </c>
      <c r="G133">
        <f t="shared" ref="G133:G156" si="36">G132+5</f>
        <v>45</v>
      </c>
      <c r="I133">
        <v>2030</v>
      </c>
      <c r="J133">
        <f t="shared" ref="J133:J155" si="37">AVERAGE(G133:G134)</f>
        <v>47.5</v>
      </c>
      <c r="K133" cm="1">
        <f t="array" ref="K133">STOWA2019_JAARROND_T(A133*60,J133,I133,"","upper")</f>
        <v>0.10881340947425411</v>
      </c>
      <c r="L133">
        <f t="shared" si="34"/>
        <v>13.785065712465418</v>
      </c>
    </row>
    <row r="134" spans="1:12" x14ac:dyDescent="0.3">
      <c r="A134">
        <v>216</v>
      </c>
      <c r="B134">
        <f t="shared" si="35"/>
        <v>3.3660056823450404</v>
      </c>
      <c r="C134">
        <f t="shared" si="31"/>
        <v>3.3660056823450404</v>
      </c>
      <c r="D134" t="s">
        <v>25</v>
      </c>
      <c r="E134" t="s">
        <v>21</v>
      </c>
      <c r="F134">
        <v>1</v>
      </c>
      <c r="G134">
        <f t="shared" si="36"/>
        <v>50</v>
      </c>
      <c r="I134">
        <v>2030</v>
      </c>
      <c r="J134">
        <f t="shared" si="37"/>
        <v>52.5</v>
      </c>
      <c r="K134" cm="1">
        <f t="array" ref="K134">STOWA2019_JAARROND_T(A134*60,J134,I134,"","upper")</f>
        <v>0.14396692174377171</v>
      </c>
      <c r="L134">
        <f t="shared" si="34"/>
        <v>10.419060030120377</v>
      </c>
    </row>
    <row r="135" spans="1:12" x14ac:dyDescent="0.3">
      <c r="A135">
        <v>216</v>
      </c>
      <c r="B135">
        <f t="shared" si="35"/>
        <v>2.5567742332064478</v>
      </c>
      <c r="C135">
        <f t="shared" si="31"/>
        <v>2.5567742332064478</v>
      </c>
      <c r="D135" t="s">
        <v>25</v>
      </c>
      <c r="E135" t="s">
        <v>21</v>
      </c>
      <c r="F135">
        <v>1</v>
      </c>
      <c r="G135">
        <f t="shared" si="36"/>
        <v>55</v>
      </c>
      <c r="I135">
        <v>2030</v>
      </c>
      <c r="J135">
        <f t="shared" si="37"/>
        <v>57.5</v>
      </c>
      <c r="K135" cm="1">
        <f t="array" ref="K135">STOWA2019_JAARROND_T(A135*60,J135,I135,"","upper")</f>
        <v>0.19078421196400333</v>
      </c>
      <c r="L135">
        <f t="shared" si="34"/>
        <v>7.8622857969139295</v>
      </c>
    </row>
    <row r="136" spans="1:12" x14ac:dyDescent="0.3">
      <c r="A136">
        <v>216</v>
      </c>
      <c r="B136">
        <f t="shared" si="35"/>
        <v>1.9380696915660911</v>
      </c>
      <c r="C136">
        <f t="shared" si="31"/>
        <v>1.9380696915660911</v>
      </c>
      <c r="D136" t="s">
        <v>25</v>
      </c>
      <c r="E136" t="s">
        <v>21</v>
      </c>
      <c r="F136">
        <v>1</v>
      </c>
      <c r="G136">
        <f t="shared" si="36"/>
        <v>60</v>
      </c>
      <c r="I136">
        <v>2030</v>
      </c>
      <c r="J136">
        <f t="shared" si="37"/>
        <v>62.5</v>
      </c>
      <c r="K136" cm="1">
        <f t="array" ref="K136">STOWA2019_JAARROND_T(A136*60,J136,I136,"","upper")</f>
        <v>0.25319805579778526</v>
      </c>
      <c r="L136">
        <f t="shared" si="34"/>
        <v>5.9242161053478384</v>
      </c>
    </row>
    <row r="137" spans="1:12" x14ac:dyDescent="0.3">
      <c r="A137">
        <v>216</v>
      </c>
      <c r="B137">
        <f t="shared" si="35"/>
        <v>1.4666974955810188</v>
      </c>
      <c r="C137">
        <f t="shared" si="31"/>
        <v>1.4666974955810188</v>
      </c>
      <c r="D137" t="s">
        <v>25</v>
      </c>
      <c r="E137" t="s">
        <v>21</v>
      </c>
      <c r="F137">
        <v>1</v>
      </c>
      <c r="G137">
        <f t="shared" si="36"/>
        <v>65</v>
      </c>
      <c r="I137">
        <v>2030</v>
      </c>
      <c r="J137">
        <f t="shared" si="37"/>
        <v>67.5</v>
      </c>
      <c r="K137" cm="1">
        <f t="array" ref="K137">STOWA2019_JAARROND_T(A137*60,J137,I137,"","upper")</f>
        <v>0.33651009256884912</v>
      </c>
      <c r="L137">
        <f t="shared" si="34"/>
        <v>4.4575186097668196</v>
      </c>
    </row>
    <row r="138" spans="1:12" x14ac:dyDescent="0.3">
      <c r="A138">
        <v>216</v>
      </c>
      <c r="B138">
        <f t="shared" si="35"/>
        <v>1.1081858185178772</v>
      </c>
      <c r="C138">
        <f t="shared" si="31"/>
        <v>1.1081858185178772</v>
      </c>
      <c r="D138" t="s">
        <v>25</v>
      </c>
      <c r="E138" t="s">
        <v>21</v>
      </c>
      <c r="F138">
        <v>1</v>
      </c>
      <c r="G138">
        <f t="shared" si="36"/>
        <v>70</v>
      </c>
      <c r="I138">
        <v>2030</v>
      </c>
      <c r="J138">
        <f t="shared" si="37"/>
        <v>72.5</v>
      </c>
      <c r="K138" cm="1">
        <f t="array" ref="K138">STOWA2019_JAARROND_T(A138*60,J138,I138,"","upper")</f>
        <v>0.44785039095522688</v>
      </c>
      <c r="L138">
        <f t="shared" si="34"/>
        <v>3.3493327912489423</v>
      </c>
    </row>
    <row r="139" spans="1:12" x14ac:dyDescent="0.3">
      <c r="A139">
        <v>216</v>
      </c>
      <c r="B139">
        <f t="shared" si="35"/>
        <v>0.83609722562152555</v>
      </c>
      <c r="C139">
        <f t="shared" si="31"/>
        <v>0.83609722562152555</v>
      </c>
      <c r="D139" t="s">
        <v>25</v>
      </c>
      <c r="E139" t="s">
        <v>21</v>
      </c>
      <c r="F139">
        <v>1</v>
      </c>
      <c r="G139">
        <f t="shared" si="36"/>
        <v>75</v>
      </c>
      <c r="I139">
        <v>2030</v>
      </c>
      <c r="J139">
        <f t="shared" si="37"/>
        <v>77.5</v>
      </c>
      <c r="K139" cm="1">
        <f t="array" ref="K139">STOWA2019_JAARROND_T(A139*60,J139,I139,"","upper")</f>
        <v>0.5968401929826791</v>
      </c>
      <c r="L139">
        <f t="shared" si="34"/>
        <v>2.5132355656274168</v>
      </c>
    </row>
    <row r="140" spans="1:12" x14ac:dyDescent="0.3">
      <c r="A140">
        <v>216</v>
      </c>
      <c r="B140">
        <f t="shared" si="35"/>
        <v>0.62991612683825426</v>
      </c>
      <c r="C140">
        <f t="shared" si="31"/>
        <v>0.62991612683825426</v>
      </c>
      <c r="D140" t="s">
        <v>25</v>
      </c>
      <c r="E140" t="s">
        <v>21</v>
      </c>
      <c r="F140">
        <v>1</v>
      </c>
      <c r="G140">
        <f t="shared" si="36"/>
        <v>80</v>
      </c>
      <c r="I140">
        <v>2030</v>
      </c>
      <c r="J140">
        <f t="shared" si="37"/>
        <v>82.5</v>
      </c>
      <c r="K140" cm="1">
        <f t="array" ref="K140">STOWA2019_JAARROND_T(A140*60,J140,I140,"","upper")</f>
        <v>0.79646605302624129</v>
      </c>
      <c r="L140">
        <f t="shared" si="34"/>
        <v>1.8833194387891625</v>
      </c>
    </row>
    <row r="141" spans="1:12" x14ac:dyDescent="0.3">
      <c r="A141">
        <v>216</v>
      </c>
      <c r="B141">
        <f t="shared" si="35"/>
        <v>0.47379890608741748</v>
      </c>
      <c r="C141">
        <f t="shared" si="31"/>
        <v>0.47379890608741748</v>
      </c>
      <c r="D141" t="s">
        <v>25</v>
      </c>
      <c r="E141" t="s">
        <v>21</v>
      </c>
      <c r="F141">
        <v>1</v>
      </c>
      <c r="G141">
        <f t="shared" si="36"/>
        <v>85</v>
      </c>
      <c r="I141">
        <v>2030</v>
      </c>
      <c r="J141">
        <f t="shared" si="37"/>
        <v>87.5</v>
      </c>
      <c r="K141" cm="1">
        <f t="array" ref="K141">STOWA2019_JAARROND_T(A141*60,J141,I141,"","upper")</f>
        <v>1.0641916631926074</v>
      </c>
      <c r="L141">
        <f t="shared" si="34"/>
        <v>1.409520532701745</v>
      </c>
    </row>
    <row r="142" spans="1:12" x14ac:dyDescent="0.3">
      <c r="A142">
        <v>216</v>
      </c>
      <c r="B142">
        <f t="shared" si="35"/>
        <v>0.35610378671286202</v>
      </c>
      <c r="C142">
        <f t="shared" si="31"/>
        <v>0.35610378671286202</v>
      </c>
      <c r="D142" t="s">
        <v>25</v>
      </c>
      <c r="E142" t="s">
        <v>21</v>
      </c>
      <c r="F142">
        <v>1</v>
      </c>
      <c r="G142">
        <f t="shared" si="36"/>
        <v>90</v>
      </c>
      <c r="I142">
        <v>2030</v>
      </c>
      <c r="J142">
        <f t="shared" si="37"/>
        <v>92.5</v>
      </c>
      <c r="K142" cm="1">
        <f t="array" ref="K142">STOWA2019_JAARROND_T(A142*60,J142,I142,"","upper")</f>
        <v>1.4239378723677796</v>
      </c>
      <c r="L142">
        <f t="shared" si="34"/>
        <v>1.053416745988883</v>
      </c>
    </row>
    <row r="143" spans="1:12" x14ac:dyDescent="0.3">
      <c r="A143">
        <v>216</v>
      </c>
      <c r="B143">
        <f t="shared" si="35"/>
        <v>0.26718851702930446</v>
      </c>
      <c r="C143">
        <f t="shared" si="31"/>
        <v>0.26718851702930446</v>
      </c>
      <c r="D143" t="s">
        <v>25</v>
      </c>
      <c r="E143" t="s">
        <v>21</v>
      </c>
      <c r="F143">
        <v>1</v>
      </c>
      <c r="G143">
        <f t="shared" si="36"/>
        <v>95</v>
      </c>
      <c r="I143">
        <v>2030</v>
      </c>
      <c r="J143">
        <f t="shared" si="37"/>
        <v>97.5</v>
      </c>
      <c r="K143" cm="1">
        <f t="array" ref="K143">STOWA2019_JAARROND_T(A143*60,J143,I143,"","upper")</f>
        <v>1.9078429707172442</v>
      </c>
      <c r="L143">
        <f t="shared" si="34"/>
        <v>0.78622822895957856</v>
      </c>
    </row>
    <row r="144" spans="1:12" x14ac:dyDescent="0.3">
      <c r="A144">
        <v>216</v>
      </c>
      <c r="B144">
        <f t="shared" si="35"/>
        <v>0.20020110592492735</v>
      </c>
      <c r="C144">
        <f t="shared" si="31"/>
        <v>0.20020110592492735</v>
      </c>
      <c r="D144" t="s">
        <v>25</v>
      </c>
      <c r="E144" t="s">
        <v>21</v>
      </c>
      <c r="F144">
        <v>1</v>
      </c>
      <c r="G144">
        <f t="shared" si="36"/>
        <v>100</v>
      </c>
      <c r="I144">
        <v>2030</v>
      </c>
      <c r="J144">
        <f t="shared" si="37"/>
        <v>102.5</v>
      </c>
      <c r="K144" cm="1">
        <f t="array" ref="K144">STOWA2019_JAARROND_T(A144*60,J144,I144,"","upper")</f>
        <v>2.5596084908706631</v>
      </c>
      <c r="L144">
        <f t="shared" si="34"/>
        <v>0.58602712303465121</v>
      </c>
    </row>
    <row r="145" spans="1:12" x14ac:dyDescent="0.3">
      <c r="A145">
        <v>216</v>
      </c>
      <c r="B145">
        <f t="shared" si="35"/>
        <v>0.1498167072954868</v>
      </c>
      <c r="C145">
        <f t="shared" si="31"/>
        <v>0.1498167072954868</v>
      </c>
      <c r="D145" t="s">
        <v>25</v>
      </c>
      <c r="E145" t="s">
        <v>21</v>
      </c>
      <c r="F145">
        <v>1</v>
      </c>
      <c r="G145">
        <f t="shared" si="36"/>
        <v>105</v>
      </c>
      <c r="I145">
        <v>2030</v>
      </c>
      <c r="J145">
        <f t="shared" si="37"/>
        <v>107.5</v>
      </c>
      <c r="K145" cm="1">
        <f t="array" ref="K145">STOWA2019_JAARROND_T(A145*60,J145,I145,"","upper")</f>
        <v>3.4387074353972724</v>
      </c>
      <c r="L145">
        <f t="shared" si="34"/>
        <v>0.43621041573916441</v>
      </c>
    </row>
    <row r="146" spans="1:12" x14ac:dyDescent="0.3">
      <c r="A146">
        <v>216</v>
      </c>
      <c r="B146">
        <f t="shared" si="35"/>
        <v>0.11195438131475793</v>
      </c>
      <c r="C146">
        <f t="shared" si="31"/>
        <v>0.11195438131475793</v>
      </c>
      <c r="D146" t="s">
        <v>25</v>
      </c>
      <c r="E146" t="s">
        <v>21</v>
      </c>
      <c r="F146">
        <v>1</v>
      </c>
      <c r="G146">
        <f t="shared" si="36"/>
        <v>110</v>
      </c>
      <c r="I146">
        <v>2030</v>
      </c>
      <c r="J146">
        <f t="shared" si="37"/>
        <v>112.5</v>
      </c>
      <c r="K146" cm="1">
        <f t="array" ref="K146">STOWA2019_JAARROND_T(A146*60,J146,I146,"","upper")</f>
        <v>4.6259740475229112</v>
      </c>
      <c r="L146">
        <f t="shared" si="34"/>
        <v>0.32425603442440648</v>
      </c>
    </row>
    <row r="147" spans="1:12" x14ac:dyDescent="0.3">
      <c r="A147">
        <v>216</v>
      </c>
      <c r="B147">
        <f t="shared" si="35"/>
        <v>8.3551812252816382E-2</v>
      </c>
      <c r="C147">
        <f t="shared" si="31"/>
        <v>8.3551812252816382E-2</v>
      </c>
      <c r="D147" t="s">
        <v>25</v>
      </c>
      <c r="E147" t="s">
        <v>21</v>
      </c>
      <c r="F147">
        <v>1</v>
      </c>
      <c r="G147">
        <f t="shared" si="36"/>
        <v>115</v>
      </c>
      <c r="I147">
        <v>2030</v>
      </c>
      <c r="J147">
        <f t="shared" si="37"/>
        <v>117.5</v>
      </c>
      <c r="K147" cm="1">
        <f t="array" ref="K147">STOWA2019_JAARROND_T(A147*60,J147,I147,"","upper")</f>
        <v>6.2317145352386021</v>
      </c>
      <c r="L147">
        <f t="shared" si="34"/>
        <v>0.2407042221715901</v>
      </c>
    </row>
    <row r="148" spans="1:12" x14ac:dyDescent="0.3">
      <c r="A148">
        <v>216</v>
      </c>
      <c r="B148">
        <f t="shared" si="35"/>
        <v>6.2267003733982945E-2</v>
      </c>
      <c r="C148">
        <f t="shared" si="31"/>
        <v>6.2267003733982945E-2</v>
      </c>
      <c r="D148" t="s">
        <v>25</v>
      </c>
      <c r="E148" t="s">
        <v>21</v>
      </c>
      <c r="F148">
        <v>1</v>
      </c>
      <c r="G148">
        <f t="shared" si="36"/>
        <v>120</v>
      </c>
      <c r="I148">
        <v>2030</v>
      </c>
      <c r="J148">
        <f t="shared" si="37"/>
        <v>122.5</v>
      </c>
      <c r="K148" cm="1">
        <f t="array" ref="K148">STOWA2019_JAARROND_T(A148*60,J148,I148,"","upper")</f>
        <v>8.4063179931517151</v>
      </c>
      <c r="L148">
        <f t="shared" si="34"/>
        <v>0.17843721843760715</v>
      </c>
    </row>
    <row r="149" spans="1:12" x14ac:dyDescent="0.3">
      <c r="A149">
        <v>216</v>
      </c>
      <c r="B149">
        <f t="shared" si="35"/>
        <v>4.6342384147909865E-2</v>
      </c>
      <c r="C149">
        <f t="shared" si="31"/>
        <v>4.6342384147909865E-2</v>
      </c>
      <c r="D149" t="s">
        <v>25</v>
      </c>
      <c r="E149" t="s">
        <v>21</v>
      </c>
      <c r="F149">
        <v>1</v>
      </c>
      <c r="G149">
        <f t="shared" si="36"/>
        <v>125</v>
      </c>
      <c r="I149">
        <v>2030</v>
      </c>
      <c r="J149">
        <f t="shared" si="37"/>
        <v>127.5</v>
      </c>
      <c r="K149" cm="1">
        <f t="array" ref="K149">STOWA2019_JAARROND_T(A149*60,J149,I149,"","upper")</f>
        <v>11.355478115899285</v>
      </c>
      <c r="L149">
        <f t="shared" si="34"/>
        <v>0.13209483428969729</v>
      </c>
    </row>
    <row r="150" spans="1:12" x14ac:dyDescent="0.3">
      <c r="A150">
        <v>216</v>
      </c>
      <c r="B150">
        <f t="shared" si="35"/>
        <v>3.4443018085860311E-2</v>
      </c>
      <c r="C150">
        <f t="shared" si="31"/>
        <v>3.4443018085860311E-2</v>
      </c>
      <c r="D150" t="s">
        <v>25</v>
      </c>
      <c r="E150" t="s">
        <v>21</v>
      </c>
      <c r="F150">
        <v>1</v>
      </c>
      <c r="G150">
        <f t="shared" si="36"/>
        <v>130</v>
      </c>
      <c r="I150">
        <v>2030</v>
      </c>
      <c r="J150">
        <f t="shared" si="37"/>
        <v>132.5</v>
      </c>
      <c r="K150" cm="1">
        <f t="array" ref="K150">STOWA2019_JAARROND_T(A150*60,J150,I150,"","upper")</f>
        <v>15.360697407500563</v>
      </c>
      <c r="L150">
        <f t="shared" si="34"/>
        <v>9.7651816203836977E-2</v>
      </c>
    </row>
    <row r="151" spans="1:12" x14ac:dyDescent="0.3">
      <c r="A151">
        <v>216</v>
      </c>
      <c r="B151">
        <f t="shared" si="35"/>
        <v>2.5564090397942815E-2</v>
      </c>
      <c r="C151">
        <f t="shared" si="31"/>
        <v>2.5564090397942815E-2</v>
      </c>
      <c r="D151" t="s">
        <v>25</v>
      </c>
      <c r="E151" t="s">
        <v>21</v>
      </c>
      <c r="F151">
        <v>1</v>
      </c>
      <c r="G151">
        <f t="shared" si="36"/>
        <v>135</v>
      </c>
      <c r="I151">
        <v>2030</v>
      </c>
      <c r="J151">
        <f t="shared" si="37"/>
        <v>137.5</v>
      </c>
      <c r="K151" cm="1">
        <f t="array" ref="K151">STOWA2019_JAARROND_T(A151*60,J151,I151,"","upper")</f>
        <v>20.807980599068287</v>
      </c>
      <c r="L151">
        <f t="shared" si="34"/>
        <v>7.2087725805894162E-2</v>
      </c>
    </row>
    <row r="152" spans="1:12" x14ac:dyDescent="0.3">
      <c r="A152">
        <v>216</v>
      </c>
      <c r="B152">
        <f t="shared" si="35"/>
        <v>1.8946758965639202E-2</v>
      </c>
      <c r="C152">
        <f t="shared" si="31"/>
        <v>1.8946758965639202E-2</v>
      </c>
      <c r="D152" t="s">
        <v>25</v>
      </c>
      <c r="E152" t="s">
        <v>21</v>
      </c>
      <c r="F152">
        <v>1</v>
      </c>
      <c r="G152">
        <f t="shared" si="36"/>
        <v>140</v>
      </c>
      <c r="I152">
        <v>2030</v>
      </c>
      <c r="J152">
        <f t="shared" si="37"/>
        <v>142.5</v>
      </c>
      <c r="K152" cm="1">
        <f t="array" ref="K152">STOWA2019_JAARROND_T(A152*60,J152,I152,"","upper")</f>
        <v>28.226810485196719</v>
      </c>
      <c r="L152">
        <f t="shared" si="34"/>
        <v>5.3140966840254961E-2</v>
      </c>
    </row>
    <row r="153" spans="1:12" x14ac:dyDescent="0.3">
      <c r="A153">
        <v>216</v>
      </c>
      <c r="B153">
        <f t="shared" si="35"/>
        <v>1.4022957736425867E-2</v>
      </c>
      <c r="C153">
        <f t="shared" si="31"/>
        <v>1.4022957736425867E-2</v>
      </c>
      <c r="D153" t="s">
        <v>25</v>
      </c>
      <c r="E153" t="s">
        <v>21</v>
      </c>
      <c r="F153">
        <v>1</v>
      </c>
      <c r="G153">
        <f t="shared" si="36"/>
        <v>145</v>
      </c>
      <c r="I153">
        <v>2030</v>
      </c>
      <c r="J153">
        <f t="shared" si="37"/>
        <v>147.5</v>
      </c>
      <c r="K153" cm="1">
        <f t="array" ref="K153">STOWA2019_JAARROND_T(A153*60,J153,I153,"","upper")</f>
        <v>38.34550976299996</v>
      </c>
      <c r="L153">
        <f t="shared" si="34"/>
        <v>3.9118009103829093E-2</v>
      </c>
    </row>
    <row r="154" spans="1:12" x14ac:dyDescent="0.3">
      <c r="A154">
        <v>216</v>
      </c>
      <c r="B154">
        <f t="shared" si="35"/>
        <v>1.0364203479397281E-2</v>
      </c>
      <c r="C154">
        <f t="shared" si="31"/>
        <v>1.0364203479397281E-2</v>
      </c>
      <c r="D154" t="s">
        <v>25</v>
      </c>
      <c r="E154" t="s">
        <v>21</v>
      </c>
      <c r="F154">
        <v>1</v>
      </c>
      <c r="G154">
        <f t="shared" si="36"/>
        <v>150</v>
      </c>
      <c r="I154">
        <v>2030</v>
      </c>
      <c r="J154">
        <f t="shared" si="37"/>
        <v>152.5</v>
      </c>
      <c r="K154" cm="1">
        <f t="array" ref="K154">STOWA2019_JAARROND_T(A154*60,J154,I154,"","upper")</f>
        <v>52.167007720378599</v>
      </c>
      <c r="L154">
        <f t="shared" si="34"/>
        <v>2.8753805624431812E-2</v>
      </c>
    </row>
    <row r="155" spans="1:12" x14ac:dyDescent="0.3">
      <c r="A155">
        <v>216</v>
      </c>
      <c r="B155">
        <f t="shared" si="35"/>
        <v>7.6488321357220321E-3</v>
      </c>
      <c r="C155">
        <f t="shared" si="31"/>
        <v>7.6488321357220321E-3</v>
      </c>
      <c r="D155" t="s">
        <v>25</v>
      </c>
      <c r="E155" t="s">
        <v>21</v>
      </c>
      <c r="F155">
        <v>1</v>
      </c>
      <c r="G155">
        <f t="shared" si="36"/>
        <v>155</v>
      </c>
      <c r="I155">
        <v>2030</v>
      </c>
      <c r="J155">
        <f t="shared" si="37"/>
        <v>157.5</v>
      </c>
      <c r="K155" cm="1">
        <f t="array" ref="K155">STOWA2019_JAARROND_T(A155*60,J155,I155,"","upper")</f>
        <v>71.073294681106006</v>
      </c>
      <c r="L155">
        <f t="shared" si="34"/>
        <v>2.110497348870978E-2</v>
      </c>
    </row>
    <row r="156" spans="1:12" x14ac:dyDescent="0.3">
      <c r="A156">
        <v>216</v>
      </c>
      <c r="B156" s="1">
        <f>L155</f>
        <v>2.110497348870978E-2</v>
      </c>
      <c r="C156">
        <f t="shared" si="31"/>
        <v>2.110497348870978E-2</v>
      </c>
      <c r="D156" t="s">
        <v>25</v>
      </c>
      <c r="E156" t="s">
        <v>21</v>
      </c>
      <c r="F156">
        <v>1</v>
      </c>
      <c r="G156">
        <f t="shared" si="36"/>
        <v>160</v>
      </c>
      <c r="I156">
        <v>2030</v>
      </c>
      <c r="J156">
        <f>AVERAGE(G156:G157)</f>
        <v>160</v>
      </c>
      <c r="K156" cm="1">
        <f t="array" ref="K156">STOWA2019_JAARROND_T(A156*60,J156,I156,"","upper")</f>
        <v>83.004247300720778</v>
      </c>
      <c r="L156">
        <f t="shared" si="34"/>
        <v>1.8071364403384867E-2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FF83-B249-4308-BF01-EC5D8CE368CB}">
  <sheetPr codeName="Blad6"/>
  <dimension ref="A1:L156"/>
  <sheetViews>
    <sheetView workbookViewId="0">
      <selection activeCell="L29" sqref="L29"/>
    </sheetView>
  </sheetViews>
  <sheetFormatPr defaultRowHeight="14.4" x14ac:dyDescent="0.3"/>
  <cols>
    <col min="4" max="4" width="22.777343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344.44737509103521</v>
      </c>
      <c r="C2">
        <f>B2</f>
        <v>344.44737509103521</v>
      </c>
      <c r="D2" t="s">
        <v>25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STOWA2019_NDJF_T(A2*60,J2,I2,"","upper")</f>
        <v>0.14421256995828291</v>
      </c>
      <c r="L2">
        <f>1/K2 * 12/4</f>
        <v>20.802624908964766</v>
      </c>
    </row>
    <row r="3" spans="1:12" x14ac:dyDescent="0.3">
      <c r="A3">
        <v>24</v>
      </c>
      <c r="B3">
        <f t="shared" ref="B3:B7" si="0">L2-L3</f>
        <v>7.6569426624323746</v>
      </c>
      <c r="C3">
        <f t="shared" ref="C3:C32" si="1">B3</f>
        <v>7.6569426624323746</v>
      </c>
      <c r="D3" t="s">
        <v>25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STOWA2019_NDJF_T(A3*60,J3,I3,"","upper")</f>
        <v>0.2282118146276774</v>
      </c>
      <c r="L3">
        <f t="shared" ref="L3:L66" si="4">1/K3 * 12/4</f>
        <v>13.145682246532392</v>
      </c>
    </row>
    <row r="4" spans="1:12" x14ac:dyDescent="0.3">
      <c r="A4">
        <v>24</v>
      </c>
      <c r="B4">
        <f t="shared" si="0"/>
        <v>7.6617862509332593</v>
      </c>
      <c r="C4">
        <f t="shared" si="1"/>
        <v>7.6617862509332593</v>
      </c>
      <c r="D4" t="s">
        <v>25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STOWA2019_NDJF_T(A4*60,J4,I4,"","upper")</f>
        <v>0.54705632681719762</v>
      </c>
      <c r="L4">
        <f t="shared" si="4"/>
        <v>5.4838959955991324</v>
      </c>
    </row>
    <row r="5" spans="1:12" x14ac:dyDescent="0.3">
      <c r="A5">
        <v>24</v>
      </c>
      <c r="B5">
        <f t="shared" si="0"/>
        <v>3.0725837318813745</v>
      </c>
      <c r="C5">
        <f t="shared" si="1"/>
        <v>3.0725837318813745</v>
      </c>
      <c r="D5" t="s">
        <v>25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STOWA2019_NDJF_T(A5*60,J5,I5,"","upper")</f>
        <v>1.244135836382553</v>
      </c>
      <c r="L5">
        <f t="shared" si="4"/>
        <v>2.411312263717758</v>
      </c>
    </row>
    <row r="6" spans="1:12" x14ac:dyDescent="0.3">
      <c r="A6">
        <v>24</v>
      </c>
      <c r="B6">
        <f t="shared" si="0"/>
        <v>1.3007391660363787</v>
      </c>
      <c r="C6">
        <f t="shared" si="1"/>
        <v>1.3007391660363787</v>
      </c>
      <c r="D6" t="s">
        <v>25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STOWA2019_NDJF_T(A6*60,J6,I6,"","upper")</f>
        <v>2.7013080059865566</v>
      </c>
      <c r="L6">
        <f t="shared" si="4"/>
        <v>1.1105730976813792</v>
      </c>
    </row>
    <row r="7" spans="1:12" x14ac:dyDescent="0.3">
      <c r="A7">
        <v>24</v>
      </c>
      <c r="B7">
        <f t="shared" si="0"/>
        <v>0.577371259083856</v>
      </c>
      <c r="C7">
        <f t="shared" si="1"/>
        <v>0.577371259083856</v>
      </c>
      <c r="D7" t="s">
        <v>25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STOWA2019_NDJF_T(A7*60,J7,I7,"","upper")</f>
        <v>5.6263872005596927</v>
      </c>
      <c r="L7">
        <f t="shared" si="4"/>
        <v>0.53320183859752324</v>
      </c>
    </row>
    <row r="8" spans="1:12" x14ac:dyDescent="0.3">
      <c r="A8">
        <v>24</v>
      </c>
      <c r="B8">
        <f>L7-L8</f>
        <v>0.26747719028646844</v>
      </c>
      <c r="C8">
        <f t="shared" si="1"/>
        <v>0.26747719028646844</v>
      </c>
      <c r="D8" t="s">
        <v>25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STOWA2019_NDJF_T(A8*60,J8,I8,"","upper")</f>
        <v>11.289882286298967</v>
      </c>
      <c r="L8">
        <f t="shared" si="4"/>
        <v>0.2657246483110548</v>
      </c>
    </row>
    <row r="9" spans="1:12" x14ac:dyDescent="0.3">
      <c r="A9">
        <v>24</v>
      </c>
      <c r="B9">
        <f t="shared" ref="B9:B31" si="5">L8-L9</f>
        <v>0.1287593566768411</v>
      </c>
      <c r="C9">
        <f t="shared" si="1"/>
        <v>0.1287593566768411</v>
      </c>
      <c r="D9" t="s">
        <v>25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STOWA2019_NDJF_T(A9*60,J9,I9,"","upper")</f>
        <v>21.903359341664082</v>
      </c>
      <c r="L9">
        <f t="shared" si="4"/>
        <v>0.1369652916342137</v>
      </c>
    </row>
    <row r="10" spans="1:12" x14ac:dyDescent="0.3">
      <c r="A10">
        <v>24</v>
      </c>
      <c r="B10">
        <f t="shared" si="5"/>
        <v>6.4175469247923417E-2</v>
      </c>
      <c r="C10">
        <f t="shared" si="1"/>
        <v>6.4175469247923417E-2</v>
      </c>
      <c r="D10" t="s">
        <v>25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STOWA2019_NDJF_T(A10*60,J10,I10,"","upper")</f>
        <v>41.214553101657792</v>
      </c>
      <c r="L10">
        <f t="shared" si="4"/>
        <v>7.2789822386290282E-2</v>
      </c>
    </row>
    <row r="11" spans="1:12" x14ac:dyDescent="0.3">
      <c r="A11">
        <v>24</v>
      </c>
      <c r="B11">
        <f t="shared" si="5"/>
        <v>3.3011488767953318E-2</v>
      </c>
      <c r="C11">
        <f t="shared" si="1"/>
        <v>3.3011488767953318E-2</v>
      </c>
      <c r="D11" t="s">
        <v>25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STOWA2019_NDJF_T(A11*60,J11,I11,"","upper")</f>
        <v>75.417940549854109</v>
      </c>
      <c r="L11">
        <f t="shared" si="4"/>
        <v>3.9778333618336964E-2</v>
      </c>
    </row>
    <row r="12" spans="1:12" x14ac:dyDescent="0.3">
      <c r="A12">
        <v>24</v>
      </c>
      <c r="B12">
        <f t="shared" si="5"/>
        <v>1.7478122820162461E-2</v>
      </c>
      <c r="C12">
        <f t="shared" si="1"/>
        <v>1.7478122820162461E-2</v>
      </c>
      <c r="D12" t="s">
        <v>25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STOWA2019_NDJF_T(A12*60,J12,I12,"","upper")</f>
        <v>134.52787631252258</v>
      </c>
      <c r="L12">
        <f t="shared" si="4"/>
        <v>2.2300210798174503E-2</v>
      </c>
    </row>
    <row r="13" spans="1:12" x14ac:dyDescent="0.3">
      <c r="A13">
        <v>24</v>
      </c>
      <c r="B13">
        <f t="shared" si="5"/>
        <v>9.5017066207250551E-3</v>
      </c>
      <c r="C13">
        <f t="shared" si="1"/>
        <v>9.5017066207250551E-3</v>
      </c>
      <c r="D13" t="s">
        <v>25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STOWA2019_NDJF_T(A13*60,J13,I13,"","upper")</f>
        <v>234.40239253005075</v>
      </c>
      <c r="L13">
        <f t="shared" si="4"/>
        <v>1.2798504177449448E-2</v>
      </c>
    </row>
    <row r="14" spans="1:12" x14ac:dyDescent="0.3">
      <c r="A14">
        <v>24</v>
      </c>
      <c r="B14">
        <f t="shared" si="5"/>
        <v>5.2925097134379432E-3</v>
      </c>
      <c r="C14">
        <f t="shared" si="1"/>
        <v>5.2925097134379432E-3</v>
      </c>
      <c r="D14" t="s">
        <v>25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STOWA2019_NDJF_T(A14*60,J14,I14,"","upper")</f>
        <v>399.68055057646279</v>
      </c>
      <c r="L14">
        <f t="shared" si="4"/>
        <v>7.5059944640115048E-3</v>
      </c>
    </row>
    <row r="15" spans="1:12" x14ac:dyDescent="0.3">
      <c r="A15">
        <v>24</v>
      </c>
      <c r="B15">
        <f t="shared" si="5"/>
        <v>3.0150028916594313E-3</v>
      </c>
      <c r="C15">
        <f t="shared" si="1"/>
        <v>3.0150028916594313E-3</v>
      </c>
      <c r="D15" t="s">
        <v>25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STOWA2019_NDJF_T(A15*60,J15,I15,"","upper")</f>
        <v>668.00392556265831</v>
      </c>
      <c r="L15">
        <f t="shared" si="4"/>
        <v>4.4909915723520735E-3</v>
      </c>
    </row>
    <row r="16" spans="1:12" x14ac:dyDescent="0.3">
      <c r="A16">
        <v>24</v>
      </c>
      <c r="B16">
        <f t="shared" si="5"/>
        <v>1.7535679735664962E-3</v>
      </c>
      <c r="C16">
        <f t="shared" si="1"/>
        <v>1.7535679735664962E-3</v>
      </c>
      <c r="D16" t="s">
        <v>25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STOWA2019_NDJF_T(A16*60,J16,I16,"","upper")</f>
        <v>1095.9209971488926</v>
      </c>
      <c r="L16">
        <f t="shared" si="4"/>
        <v>2.7374235987855772E-3</v>
      </c>
    </row>
    <row r="17" spans="1:12" x14ac:dyDescent="0.3">
      <c r="A17">
        <v>24</v>
      </c>
      <c r="B17">
        <f t="shared" si="5"/>
        <v>1.0398024719499024E-3</v>
      </c>
      <c r="C17">
        <f t="shared" si="1"/>
        <v>1.0398024719499024E-3</v>
      </c>
      <c r="D17" t="s">
        <v>25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STOWA2019_NDJF_T(A17*60,J17,I17,"","upper")</f>
        <v>1767.1787612539483</v>
      </c>
      <c r="L17">
        <f t="shared" si="4"/>
        <v>1.6976211268356748E-3</v>
      </c>
    </row>
    <row r="18" spans="1:12" x14ac:dyDescent="0.3">
      <c r="A18">
        <v>24</v>
      </c>
      <c r="B18">
        <f t="shared" si="5"/>
        <v>6.2773724450288773E-4</v>
      </c>
      <c r="C18">
        <f t="shared" si="1"/>
        <v>6.2773724450288773E-4</v>
      </c>
      <c r="D18" t="s">
        <v>25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STOWA2019_NDJF_T(A18*60,J18,I18,"","upper")</f>
        <v>2804.0426157825327</v>
      </c>
      <c r="L18">
        <f t="shared" si="4"/>
        <v>1.0698838823327871E-3</v>
      </c>
    </row>
    <row r="19" spans="1:12" x14ac:dyDescent="0.3">
      <c r="A19">
        <v>24</v>
      </c>
      <c r="B19">
        <f t="shared" si="5"/>
        <v>3.8539531850845547E-4</v>
      </c>
      <c r="C19">
        <f t="shared" si="1"/>
        <v>3.8539531850845547E-4</v>
      </c>
      <c r="D19" t="s">
        <v>25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STOWA2019_NDJF_T(A19*60,J19,I19,"","upper")</f>
        <v>4382.8343650310062</v>
      </c>
      <c r="L19">
        <f t="shared" si="4"/>
        <v>6.8448856382433165E-4</v>
      </c>
    </row>
    <row r="20" spans="1:12" x14ac:dyDescent="0.3">
      <c r="A20">
        <v>24</v>
      </c>
      <c r="B20">
        <f t="shared" si="5"/>
        <v>2.4034459161667663E-4</v>
      </c>
      <c r="C20">
        <f t="shared" si="1"/>
        <v>2.4034459161667663E-4</v>
      </c>
      <c r="D20" t="s">
        <v>25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STOWA2019_NDJF_T(A20*60,J20,I20,"","upper")</f>
        <v>6754.5665093421112</v>
      </c>
      <c r="L20">
        <f t="shared" si="4"/>
        <v>4.4414397220765502E-4</v>
      </c>
    </row>
    <row r="21" spans="1:12" x14ac:dyDescent="0.3">
      <c r="A21">
        <v>24</v>
      </c>
      <c r="B21">
        <f t="shared" si="5"/>
        <v>1.5211388560709493E-4</v>
      </c>
      <c r="C21">
        <f t="shared" si="1"/>
        <v>1.5211388560709493E-4</v>
      </c>
      <c r="D21" t="s">
        <v>25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STOWA2019_NDJF_T(A21*60,J21,I21,"","upper")</f>
        <v>10272.914119644844</v>
      </c>
      <c r="L21">
        <f t="shared" si="4"/>
        <v>2.9203008660056009E-4</v>
      </c>
    </row>
    <row r="22" spans="1:12" x14ac:dyDescent="0.3">
      <c r="A22">
        <v>24</v>
      </c>
      <c r="B22">
        <f t="shared" si="5"/>
        <v>9.7609309142751295E-5</v>
      </c>
      <c r="C22">
        <f t="shared" si="1"/>
        <v>9.7609309142751295E-5</v>
      </c>
      <c r="D22" t="s">
        <v>25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STOWA2019_NDJF_T(A22*60,J22,I22,"","upper")</f>
        <v>15430.449560109539</v>
      </c>
      <c r="L22">
        <f t="shared" si="4"/>
        <v>1.944207774578088E-4</v>
      </c>
    </row>
    <row r="23" spans="1:12" x14ac:dyDescent="0.3">
      <c r="A23">
        <v>24</v>
      </c>
      <c r="B23">
        <f t="shared" si="5"/>
        <v>6.3456222700309701E-5</v>
      </c>
      <c r="C23">
        <f t="shared" si="1"/>
        <v>6.3456222700309701E-5</v>
      </c>
      <c r="D23" t="s">
        <v>25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STOWA2019_NDJF_T(A23*60,J23,I23,"","upper")</f>
        <v>22906.961395432212</v>
      </c>
      <c r="L23">
        <f t="shared" si="4"/>
        <v>1.309645547574991E-4</v>
      </c>
    </row>
    <row r="24" spans="1:12" x14ac:dyDescent="0.3">
      <c r="A24">
        <v>24</v>
      </c>
      <c r="B24">
        <f t="shared" si="5"/>
        <v>4.1762439075766804E-5</v>
      </c>
      <c r="C24">
        <f t="shared" si="1"/>
        <v>4.1762439075766804E-5</v>
      </c>
      <c r="D24" t="s">
        <v>25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STOWA2019_NDJF_T(A24*60,J24,I24,"","upper")</f>
        <v>33631.48931022911</v>
      </c>
      <c r="L24">
        <f t="shared" si="4"/>
        <v>8.9202115681732291E-5</v>
      </c>
    </row>
    <row r="25" spans="1:12" x14ac:dyDescent="0.3">
      <c r="A25">
        <v>24</v>
      </c>
      <c r="B25">
        <f t="shared" si="5"/>
        <v>2.7805492811877605E-5</v>
      </c>
      <c r="C25">
        <f t="shared" si="1"/>
        <v>2.7805492811877605E-5</v>
      </c>
      <c r="D25" t="s">
        <v>25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STOWA2019_NDJF_T(A25*60,J25,I25,"","upper")</f>
        <v>48862.622401222965</v>
      </c>
      <c r="L25">
        <f t="shared" si="4"/>
        <v>6.1396622869854686E-5</v>
      </c>
    </row>
    <row r="26" spans="1:12" x14ac:dyDescent="0.3">
      <c r="A26">
        <v>24</v>
      </c>
      <c r="B26">
        <f t="shared" si="5"/>
        <v>1.8717025983737613E-5</v>
      </c>
      <c r="C26">
        <f t="shared" si="1"/>
        <v>1.8717025983737613E-5</v>
      </c>
      <c r="D26" t="s">
        <v>25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STOWA2019_NDJF_T(A26*60,J26,I26,"","upper")</f>
        <v>70291.19811053903</v>
      </c>
      <c r="L26">
        <f t="shared" si="4"/>
        <v>4.2679596886117073E-5</v>
      </c>
    </row>
    <row r="27" spans="1:12" x14ac:dyDescent="0.3">
      <c r="A27">
        <v>24</v>
      </c>
      <c r="B27">
        <f t="shared" si="5"/>
        <v>1.2730762903640145E-5</v>
      </c>
      <c r="C27">
        <f t="shared" si="1"/>
        <v>1.2730762903640145E-5</v>
      </c>
      <c r="D27" t="s">
        <v>25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STOWA2019_NDJF_T(A27*60,J27,I27,"","upper")</f>
        <v>100170.84477329905</v>
      </c>
      <c r="L27">
        <f t="shared" si="4"/>
        <v>2.9948833982476928E-5</v>
      </c>
    </row>
    <row r="28" spans="1:12" x14ac:dyDescent="0.3">
      <c r="A28">
        <v>24</v>
      </c>
      <c r="B28">
        <f t="shared" si="5"/>
        <v>8.7447340811500466E-6</v>
      </c>
      <c r="C28">
        <f t="shared" si="1"/>
        <v>8.7447340811500466E-6</v>
      </c>
      <c r="D28" t="s">
        <v>25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STOWA2019_NDJF_T(A28*60,J28,I28,"","upper")</f>
        <v>141482.07252184613</v>
      </c>
      <c r="L28">
        <f t="shared" si="4"/>
        <v>2.1204099901326881E-5</v>
      </c>
    </row>
    <row r="29" spans="1:12" x14ac:dyDescent="0.3">
      <c r="A29">
        <v>24</v>
      </c>
      <c r="B29">
        <f t="shared" si="5"/>
        <v>6.063452957753512E-6</v>
      </c>
      <c r="C29">
        <f t="shared" si="1"/>
        <v>6.063452957753512E-6</v>
      </c>
      <c r="D29" t="s">
        <v>25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STOWA2019_NDJF_T(A29*60,J29,I29,"","upper")</f>
        <v>198142.12768982016</v>
      </c>
      <c r="L29">
        <f t="shared" si="4"/>
        <v>1.5140646943573369E-5</v>
      </c>
    </row>
    <row r="30" spans="1:12" x14ac:dyDescent="0.3">
      <c r="A30">
        <v>24</v>
      </c>
      <c r="B30">
        <f t="shared" si="5"/>
        <v>4.2418314901495473E-6</v>
      </c>
      <c r="C30">
        <f t="shared" si="1"/>
        <v>4.2418314901495473E-6</v>
      </c>
      <c r="D30" t="s">
        <v>25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STOWA2019_NDJF_T(A30*60,J30,I30,"","upper")</f>
        <v>275259.27132361539</v>
      </c>
      <c r="L30">
        <f t="shared" si="4"/>
        <v>1.0898815453423822E-5</v>
      </c>
    </row>
    <row r="31" spans="1:12" x14ac:dyDescent="0.3">
      <c r="A31">
        <v>24</v>
      </c>
      <c r="B31">
        <f t="shared" si="5"/>
        <v>2.9927200512626939E-6</v>
      </c>
      <c r="C31">
        <f t="shared" si="1"/>
        <v>2.9927200512626939E-6</v>
      </c>
      <c r="D31" t="s">
        <v>25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STOWA2019_NDJF_T(A31*60,J31,I31,"","upper")</f>
        <v>379454.06011416845</v>
      </c>
      <c r="L31">
        <f t="shared" si="4"/>
        <v>7.9060954021611282E-6</v>
      </c>
    </row>
    <row r="32" spans="1:12" x14ac:dyDescent="0.3">
      <c r="A32">
        <v>24</v>
      </c>
      <c r="B32" s="1">
        <f>L31</f>
        <v>7.9060954021611282E-6</v>
      </c>
      <c r="C32">
        <f t="shared" si="1"/>
        <v>7.9060954021611282E-6</v>
      </c>
      <c r="D32" t="s">
        <v>25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STOWA2019_NDJF_T(A32*60,J32,I32,"","upper")</f>
        <v>1394.5448042284104</v>
      </c>
      <c r="L32">
        <f t="shared" si="4"/>
        <v>2.151239595102055E-3</v>
      </c>
    </row>
    <row r="33" spans="1:12" x14ac:dyDescent="0.3">
      <c r="A33">
        <v>48</v>
      </c>
      <c r="B33" s="1">
        <f>365.25*24/A33 - L33</f>
        <v>141.94961800411468</v>
      </c>
      <c r="C33">
        <f>B33</f>
        <v>141.94961800411468</v>
      </c>
      <c r="D33" t="s">
        <v>25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STOWA2019_NDJF_T(A33*60,J33,I33,"","upper")</f>
        <v>7.3754685335308628E-2</v>
      </c>
      <c r="L33">
        <f t="shared" si="4"/>
        <v>40.675381995885324</v>
      </c>
    </row>
    <row r="34" spans="1:12" x14ac:dyDescent="0.3">
      <c r="A34">
        <v>48</v>
      </c>
      <c r="B34">
        <f t="shared" ref="B34:B38" si="8">L33-L34</f>
        <v>11.89777933033151</v>
      </c>
      <c r="C34">
        <f t="shared" ref="C34:C63" si="9">B34</f>
        <v>11.89777933033151</v>
      </c>
      <c r="D34" t="s">
        <v>25</v>
      </c>
      <c r="E34" t="s">
        <v>19</v>
      </c>
      <c r="F34">
        <v>1</v>
      </c>
      <c r="G34">
        <f t="shared" ref="G34:G38" si="10">G33+5</f>
        <v>15</v>
      </c>
      <c r="I34">
        <v>2030</v>
      </c>
      <c r="J34">
        <f t="shared" ref="J34:J38" si="11">AVERAGE(G34:G35)</f>
        <v>17.5</v>
      </c>
      <c r="K34" cm="1">
        <f t="array" ref="K34">STOWA2019_NDJF_T(A34*60,J34,I34,"","upper")</f>
        <v>0.10424773859258737</v>
      </c>
      <c r="L34">
        <f t="shared" si="4"/>
        <v>28.777602665553815</v>
      </c>
    </row>
    <row r="35" spans="1:12" x14ac:dyDescent="0.3">
      <c r="A35">
        <v>48</v>
      </c>
      <c r="B35">
        <f t="shared" si="8"/>
        <v>14.089823360958938</v>
      </c>
      <c r="C35">
        <f t="shared" si="9"/>
        <v>14.089823360958938</v>
      </c>
      <c r="D35" t="s">
        <v>25</v>
      </c>
      <c r="E35" t="s">
        <v>19</v>
      </c>
      <c r="F35">
        <v>1</v>
      </c>
      <c r="G35">
        <f t="shared" si="10"/>
        <v>20</v>
      </c>
      <c r="I35">
        <v>2030</v>
      </c>
      <c r="J35">
        <f t="shared" si="11"/>
        <v>22.5</v>
      </c>
      <c r="K35" cm="1">
        <f t="array" ref="K35">STOWA2019_NDJF_T(A35*60,J35,I35,"","upper")</f>
        <v>0.20425143500498336</v>
      </c>
      <c r="L35">
        <f t="shared" si="4"/>
        <v>14.687779304594876</v>
      </c>
    </row>
    <row r="36" spans="1:12" x14ac:dyDescent="0.3">
      <c r="A36">
        <v>48</v>
      </c>
      <c r="B36">
        <f t="shared" si="8"/>
        <v>7.0059588595418951</v>
      </c>
      <c r="C36">
        <f t="shared" si="9"/>
        <v>7.0059588595418951</v>
      </c>
      <c r="D36" t="s">
        <v>25</v>
      </c>
      <c r="E36" t="s">
        <v>19</v>
      </c>
      <c r="F36">
        <v>1</v>
      </c>
      <c r="G36">
        <f t="shared" si="10"/>
        <v>25</v>
      </c>
      <c r="I36">
        <v>2030</v>
      </c>
      <c r="J36">
        <f t="shared" si="11"/>
        <v>27.5</v>
      </c>
      <c r="K36" cm="1">
        <f t="array" ref="K36">STOWA2019_NDJF_T(A36*60,J36,I36,"","upper")</f>
        <v>0.39053242931914289</v>
      </c>
      <c r="L36">
        <f t="shared" si="4"/>
        <v>7.6818204450529812</v>
      </c>
    </row>
    <row r="37" spans="1:12" x14ac:dyDescent="0.3">
      <c r="A37">
        <v>48</v>
      </c>
      <c r="B37">
        <f t="shared" si="8"/>
        <v>3.5718367950425733</v>
      </c>
      <c r="C37">
        <f t="shared" si="9"/>
        <v>3.5718367950425733</v>
      </c>
      <c r="D37" t="s">
        <v>25</v>
      </c>
      <c r="E37" t="s">
        <v>19</v>
      </c>
      <c r="F37">
        <v>1</v>
      </c>
      <c r="G37">
        <f t="shared" si="10"/>
        <v>30</v>
      </c>
      <c r="I37">
        <v>2030</v>
      </c>
      <c r="J37">
        <f t="shared" si="11"/>
        <v>32.5</v>
      </c>
      <c r="K37" cm="1">
        <f t="array" ref="K37">STOWA2019_NDJF_T(A37*60,J37,I37,"","upper")</f>
        <v>0.72992991103319904</v>
      </c>
      <c r="L37">
        <f t="shared" si="4"/>
        <v>4.1099836500104079</v>
      </c>
    </row>
    <row r="38" spans="1:12" x14ac:dyDescent="0.3">
      <c r="A38">
        <v>48</v>
      </c>
      <c r="B38">
        <f t="shared" si="8"/>
        <v>1.8637278092139451</v>
      </c>
      <c r="C38">
        <f t="shared" si="9"/>
        <v>1.8637278092139451</v>
      </c>
      <c r="D38" t="s">
        <v>25</v>
      </c>
      <c r="E38" t="s">
        <v>19</v>
      </c>
      <c r="F38">
        <v>1</v>
      </c>
      <c r="G38">
        <f t="shared" si="10"/>
        <v>35</v>
      </c>
      <c r="I38">
        <v>2030</v>
      </c>
      <c r="J38">
        <f t="shared" si="11"/>
        <v>37.5</v>
      </c>
      <c r="K38" cm="1">
        <f t="array" ref="K38">STOWA2019_NDJF_T(A38*60,J38,I38,"","upper")</f>
        <v>1.335555792672432</v>
      </c>
      <c r="L38">
        <f t="shared" si="4"/>
        <v>2.2462558407964628</v>
      </c>
    </row>
    <row r="39" spans="1:12" x14ac:dyDescent="0.3">
      <c r="A39">
        <v>48</v>
      </c>
      <c r="B39">
        <f>L38-L39</f>
        <v>0.9942172371529101</v>
      </c>
      <c r="C39">
        <f t="shared" si="9"/>
        <v>0.9942172371529101</v>
      </c>
      <c r="D39" t="s">
        <v>25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STOWA2019_NDJF_T(A39*60,J39,I39,"","upper")</f>
        <v>2.3960922540804348</v>
      </c>
      <c r="L39">
        <f t="shared" si="4"/>
        <v>1.2520386036435527</v>
      </c>
    </row>
    <row r="40" spans="1:12" x14ac:dyDescent="0.3">
      <c r="A40">
        <v>48</v>
      </c>
      <c r="B40">
        <f t="shared" ref="B40:B62" si="12">L39-L40</f>
        <v>0.54111850929142058</v>
      </c>
      <c r="C40">
        <f t="shared" si="9"/>
        <v>0.54111850929142058</v>
      </c>
      <c r="D40" t="s">
        <v>25</v>
      </c>
      <c r="E40" t="s">
        <v>19</v>
      </c>
      <c r="F40">
        <v>1</v>
      </c>
      <c r="G40">
        <f t="shared" ref="G40:G63" si="13">G39+5</f>
        <v>45</v>
      </c>
      <c r="I40">
        <v>2030</v>
      </c>
      <c r="J40">
        <f t="shared" ref="J40:J62" si="14">AVERAGE(G40:G41)</f>
        <v>47.5</v>
      </c>
      <c r="K40" cm="1">
        <f t="array" ref="K40">STOWA2019_NDJF_T(A40*60,J40,I40,"","upper")</f>
        <v>4.2198835337942269</v>
      </c>
      <c r="L40">
        <f t="shared" si="4"/>
        <v>0.7109200943521321</v>
      </c>
    </row>
    <row r="41" spans="1:12" x14ac:dyDescent="0.3">
      <c r="A41">
        <v>48</v>
      </c>
      <c r="B41">
        <f t="shared" si="12"/>
        <v>0.30017067995086721</v>
      </c>
      <c r="C41">
        <f t="shared" si="9"/>
        <v>0.30017067995086721</v>
      </c>
      <c r="D41" t="s">
        <v>25</v>
      </c>
      <c r="E41" t="s">
        <v>19</v>
      </c>
      <c r="F41">
        <v>1</v>
      </c>
      <c r="G41">
        <f t="shared" si="13"/>
        <v>50</v>
      </c>
      <c r="I41">
        <v>2030</v>
      </c>
      <c r="J41">
        <f t="shared" si="14"/>
        <v>52.5</v>
      </c>
      <c r="K41" cm="1">
        <f t="array" ref="K41">STOWA2019_NDJF_T(A41*60,J41,I41,"","upper")</f>
        <v>7.3037231334169892</v>
      </c>
      <c r="L41">
        <f t="shared" si="4"/>
        <v>0.41074941440126489</v>
      </c>
    </row>
    <row r="42" spans="1:12" x14ac:dyDescent="0.3">
      <c r="A42">
        <v>48</v>
      </c>
      <c r="B42">
        <f t="shared" si="12"/>
        <v>0.1695191165855113</v>
      </c>
      <c r="C42">
        <f t="shared" si="9"/>
        <v>0.1695191165855113</v>
      </c>
      <c r="D42" t="s">
        <v>25</v>
      </c>
      <c r="E42" t="s">
        <v>19</v>
      </c>
      <c r="F42">
        <v>1</v>
      </c>
      <c r="G42">
        <f t="shared" si="13"/>
        <v>55</v>
      </c>
      <c r="I42">
        <v>2030</v>
      </c>
      <c r="J42">
        <f t="shared" si="14"/>
        <v>57.5</v>
      </c>
      <c r="K42" cm="1">
        <f t="array" ref="K42">STOWA2019_NDJF_T(A42*60,J42,I42,"","upper")</f>
        <v>12.436248792808497</v>
      </c>
      <c r="L42">
        <f t="shared" si="4"/>
        <v>0.24123029781575359</v>
      </c>
    </row>
    <row r="43" spans="1:12" x14ac:dyDescent="0.3">
      <c r="A43">
        <v>48</v>
      </c>
      <c r="B43">
        <f t="shared" si="12"/>
        <v>9.7358521142418136E-2</v>
      </c>
      <c r="C43">
        <f t="shared" si="9"/>
        <v>9.7358521142418136E-2</v>
      </c>
      <c r="D43" t="s">
        <v>25</v>
      </c>
      <c r="E43" t="s">
        <v>19</v>
      </c>
      <c r="F43">
        <v>1</v>
      </c>
      <c r="G43">
        <f t="shared" si="13"/>
        <v>60</v>
      </c>
      <c r="I43">
        <v>2030</v>
      </c>
      <c r="J43">
        <f t="shared" si="14"/>
        <v>62.5</v>
      </c>
      <c r="K43" cm="1">
        <f t="array" ref="K43">STOWA2019_NDJF_T(A43*60,J43,I43,"","upper")</f>
        <v>20.851900694961017</v>
      </c>
      <c r="L43">
        <f t="shared" si="4"/>
        <v>0.14387177667333545</v>
      </c>
    </row>
    <row r="44" spans="1:12" x14ac:dyDescent="0.3">
      <c r="A44">
        <v>48</v>
      </c>
      <c r="B44">
        <f t="shared" si="12"/>
        <v>5.6808138304649675E-2</v>
      </c>
      <c r="C44">
        <f t="shared" si="9"/>
        <v>5.6808138304649675E-2</v>
      </c>
      <c r="D44" t="s">
        <v>25</v>
      </c>
      <c r="E44" t="s">
        <v>19</v>
      </c>
      <c r="F44">
        <v>1</v>
      </c>
      <c r="G44">
        <f t="shared" si="13"/>
        <v>65</v>
      </c>
      <c r="I44">
        <v>2030</v>
      </c>
      <c r="J44">
        <f t="shared" si="14"/>
        <v>67.5</v>
      </c>
      <c r="K44" cm="1">
        <f t="array" ref="K44">STOWA2019_NDJF_T(A44*60,J44,I44,"","upper")</f>
        <v>34.457553764247599</v>
      </c>
      <c r="L44">
        <f t="shared" si="4"/>
        <v>8.7063638368685775E-2</v>
      </c>
    </row>
    <row r="45" spans="1:12" x14ac:dyDescent="0.3">
      <c r="A45">
        <v>48</v>
      </c>
      <c r="B45">
        <f t="shared" si="12"/>
        <v>3.3648390457764299E-2</v>
      </c>
      <c r="C45">
        <f t="shared" si="9"/>
        <v>3.3648390457764299E-2</v>
      </c>
      <c r="D45" t="s">
        <v>25</v>
      </c>
      <c r="E45" t="s">
        <v>19</v>
      </c>
      <c r="F45">
        <v>1</v>
      </c>
      <c r="G45">
        <f t="shared" si="13"/>
        <v>70</v>
      </c>
      <c r="I45">
        <v>2030</v>
      </c>
      <c r="J45">
        <f t="shared" si="14"/>
        <v>72.5</v>
      </c>
      <c r="K45" cm="1">
        <f t="array" ref="K45">STOWA2019_NDJF_T(A45*60,J45,I45,"","upper")</f>
        <v>56.163738208291818</v>
      </c>
      <c r="L45">
        <f t="shared" si="4"/>
        <v>5.3415247910921476E-2</v>
      </c>
    </row>
    <row r="46" spans="1:12" x14ac:dyDescent="0.3">
      <c r="A46">
        <v>48</v>
      </c>
      <c r="B46">
        <f t="shared" si="12"/>
        <v>2.0214851755977585E-2</v>
      </c>
      <c r="C46">
        <f t="shared" si="9"/>
        <v>2.0214851755977585E-2</v>
      </c>
      <c r="D46" t="s">
        <v>25</v>
      </c>
      <c r="E46" t="s">
        <v>19</v>
      </c>
      <c r="F46">
        <v>1</v>
      </c>
      <c r="G46">
        <f t="shared" si="13"/>
        <v>75</v>
      </c>
      <c r="I46">
        <v>2030</v>
      </c>
      <c r="J46">
        <f t="shared" si="14"/>
        <v>77.5</v>
      </c>
      <c r="K46" cm="1">
        <f t="array" ref="K46">STOWA2019_NDJF_T(A46*60,J46,I46,"","upper")</f>
        <v>90.360367569086009</v>
      </c>
      <c r="L46">
        <f t="shared" si="4"/>
        <v>3.3200396154943891E-2</v>
      </c>
    </row>
    <row r="47" spans="1:12" x14ac:dyDescent="0.3">
      <c r="A47">
        <v>48</v>
      </c>
      <c r="B47">
        <f t="shared" si="12"/>
        <v>1.2308306566521866E-2</v>
      </c>
      <c r="C47">
        <f t="shared" si="9"/>
        <v>1.2308306566521866E-2</v>
      </c>
      <c r="D47" t="s">
        <v>25</v>
      </c>
      <c r="E47" t="s">
        <v>19</v>
      </c>
      <c r="F47">
        <v>1</v>
      </c>
      <c r="G47">
        <f t="shared" si="13"/>
        <v>80</v>
      </c>
      <c r="I47">
        <v>2030</v>
      </c>
      <c r="J47">
        <f t="shared" si="14"/>
        <v>82.5</v>
      </c>
      <c r="K47" cm="1">
        <f t="array" ref="K47">STOWA2019_NDJF_T(A47*60,J47,I47,"","upper")</f>
        <v>143.59501893302905</v>
      </c>
      <c r="L47">
        <f t="shared" si="4"/>
        <v>2.0892089588422025E-2</v>
      </c>
    </row>
    <row r="48" spans="1:12" x14ac:dyDescent="0.3">
      <c r="A48">
        <v>48</v>
      </c>
      <c r="B48">
        <f t="shared" si="12"/>
        <v>7.5905448447533448E-3</v>
      </c>
      <c r="C48">
        <f t="shared" si="9"/>
        <v>7.5905448447533448E-3</v>
      </c>
      <c r="D48" t="s">
        <v>25</v>
      </c>
      <c r="E48" t="s">
        <v>19</v>
      </c>
      <c r="F48">
        <v>1</v>
      </c>
      <c r="G48">
        <f t="shared" si="13"/>
        <v>85</v>
      </c>
      <c r="I48">
        <v>2030</v>
      </c>
      <c r="J48">
        <f t="shared" si="14"/>
        <v>87.5</v>
      </c>
      <c r="K48" cm="1">
        <f t="array" ref="K48">STOWA2019_NDJF_T(A48*60,J48,I48,"","upper")</f>
        <v>225.53771443936623</v>
      </c>
      <c r="L48">
        <f t="shared" si="4"/>
        <v>1.3301544743668681E-2</v>
      </c>
    </row>
    <row r="49" spans="1:12" x14ac:dyDescent="0.3">
      <c r="A49">
        <v>48</v>
      </c>
      <c r="B49">
        <f t="shared" si="12"/>
        <v>4.737852507665093E-3</v>
      </c>
      <c r="C49">
        <f t="shared" si="9"/>
        <v>4.737852507665093E-3</v>
      </c>
      <c r="D49" t="s">
        <v>25</v>
      </c>
      <c r="E49" t="s">
        <v>19</v>
      </c>
      <c r="F49">
        <v>1</v>
      </c>
      <c r="G49">
        <f t="shared" si="13"/>
        <v>90</v>
      </c>
      <c r="I49">
        <v>2030</v>
      </c>
      <c r="J49">
        <f t="shared" si="14"/>
        <v>92.5</v>
      </c>
      <c r="K49" cm="1">
        <f t="array" ref="K49">STOWA2019_NDJF_T(A49*60,J49,I49,"","upper")</f>
        <v>350.31618574373334</v>
      </c>
      <c r="L49">
        <f t="shared" si="4"/>
        <v>8.5636922360035877E-3</v>
      </c>
    </row>
    <row r="50" spans="1:12" x14ac:dyDescent="0.3">
      <c r="A50">
        <v>48</v>
      </c>
      <c r="B50">
        <f t="shared" si="12"/>
        <v>2.9915952272878783E-3</v>
      </c>
      <c r="C50">
        <f t="shared" si="9"/>
        <v>2.9915952272878783E-3</v>
      </c>
      <c r="D50" t="s">
        <v>25</v>
      </c>
      <c r="E50" t="s">
        <v>19</v>
      </c>
      <c r="F50">
        <v>1</v>
      </c>
      <c r="G50">
        <f t="shared" si="13"/>
        <v>95</v>
      </c>
      <c r="I50">
        <v>2030</v>
      </c>
      <c r="J50">
        <f t="shared" si="14"/>
        <v>97.5</v>
      </c>
      <c r="K50" cm="1">
        <f t="array" ref="K50">STOWA2019_NDJF_T(A50*60,J50,I50,"","upper")</f>
        <v>538.39694379108778</v>
      </c>
      <c r="L50">
        <f t="shared" si="4"/>
        <v>5.5720970087157094E-3</v>
      </c>
    </row>
    <row r="51" spans="1:12" x14ac:dyDescent="0.3">
      <c r="A51">
        <v>48</v>
      </c>
      <c r="B51">
        <f t="shared" si="12"/>
        <v>1.909697719695065E-3</v>
      </c>
      <c r="C51">
        <f t="shared" si="9"/>
        <v>1.909697719695065E-3</v>
      </c>
      <c r="D51" t="s">
        <v>25</v>
      </c>
      <c r="E51" t="s">
        <v>19</v>
      </c>
      <c r="F51">
        <v>1</v>
      </c>
      <c r="G51">
        <f t="shared" si="13"/>
        <v>100</v>
      </c>
      <c r="I51">
        <v>2030</v>
      </c>
      <c r="J51">
        <f t="shared" si="14"/>
        <v>102.5</v>
      </c>
      <c r="K51" cm="1">
        <f t="array" ref="K51">STOWA2019_NDJF_T(A51*60,J51,I51,"","upper")</f>
        <v>819.13515246510019</v>
      </c>
      <c r="L51">
        <f t="shared" si="4"/>
        <v>3.6623992890206444E-3</v>
      </c>
    </row>
    <row r="52" spans="1:12" x14ac:dyDescent="0.3">
      <c r="A52">
        <v>48</v>
      </c>
      <c r="B52">
        <f t="shared" si="12"/>
        <v>1.2318903951315904E-3</v>
      </c>
      <c r="C52">
        <f t="shared" si="9"/>
        <v>1.2318903951315904E-3</v>
      </c>
      <c r="D52" t="s">
        <v>25</v>
      </c>
      <c r="E52" t="s">
        <v>19</v>
      </c>
      <c r="F52">
        <v>1</v>
      </c>
      <c r="G52">
        <f t="shared" si="13"/>
        <v>105</v>
      </c>
      <c r="I52">
        <v>2030</v>
      </c>
      <c r="J52">
        <f t="shared" si="14"/>
        <v>107.5</v>
      </c>
      <c r="K52" cm="1">
        <f t="array" ref="K52">STOWA2019_NDJF_T(A52*60,J52,I52,"","upper")</f>
        <v>1234.3094104871609</v>
      </c>
      <c r="L52">
        <f t="shared" si="4"/>
        <v>2.430508893889054E-3</v>
      </c>
    </row>
    <row r="53" spans="1:12" x14ac:dyDescent="0.3">
      <c r="A53">
        <v>48</v>
      </c>
      <c r="B53">
        <f t="shared" si="12"/>
        <v>8.026174983800712E-4</v>
      </c>
      <c r="C53">
        <f t="shared" si="9"/>
        <v>8.026174983800712E-4</v>
      </c>
      <c r="D53" t="s">
        <v>25</v>
      </c>
      <c r="E53" t="s">
        <v>19</v>
      </c>
      <c r="F53">
        <v>1</v>
      </c>
      <c r="G53">
        <f t="shared" si="13"/>
        <v>110</v>
      </c>
      <c r="I53">
        <v>2030</v>
      </c>
      <c r="J53">
        <f t="shared" si="14"/>
        <v>112.5</v>
      </c>
      <c r="K53" cm="1">
        <f t="array" ref="K53">STOWA2019_NDJF_T(A53*60,J53,I53,"","upper")</f>
        <v>1842.8747816201881</v>
      </c>
      <c r="L53">
        <f t="shared" si="4"/>
        <v>1.6278913955089828E-3</v>
      </c>
    </row>
    <row r="54" spans="1:12" x14ac:dyDescent="0.3">
      <c r="A54">
        <v>48</v>
      </c>
      <c r="B54">
        <f t="shared" si="12"/>
        <v>5.2792920302221677E-4</v>
      </c>
      <c r="C54">
        <f t="shared" si="9"/>
        <v>5.2792920302221677E-4</v>
      </c>
      <c r="D54" t="s">
        <v>25</v>
      </c>
      <c r="E54" t="s">
        <v>19</v>
      </c>
      <c r="F54">
        <v>1</v>
      </c>
      <c r="G54">
        <f t="shared" si="13"/>
        <v>115</v>
      </c>
      <c r="I54">
        <v>2030</v>
      </c>
      <c r="J54">
        <f t="shared" si="14"/>
        <v>117.5</v>
      </c>
      <c r="K54" cm="1">
        <f t="array" ref="K54">STOWA2019_NDJF_T(A54*60,J54,I54,"","upper")</f>
        <v>2727.3664681307619</v>
      </c>
      <c r="L54">
        <f t="shared" si="4"/>
        <v>1.099962192486766E-3</v>
      </c>
    </row>
    <row r="55" spans="1:12" x14ac:dyDescent="0.3">
      <c r="A55">
        <v>48</v>
      </c>
      <c r="B55">
        <f t="shared" si="12"/>
        <v>3.5044061185636943E-4</v>
      </c>
      <c r="C55">
        <f t="shared" si="9"/>
        <v>3.5044061185636943E-4</v>
      </c>
      <c r="D55" t="s">
        <v>25</v>
      </c>
      <c r="E55" t="s">
        <v>19</v>
      </c>
      <c r="F55">
        <v>1</v>
      </c>
      <c r="G55">
        <f t="shared" si="13"/>
        <v>120</v>
      </c>
      <c r="I55">
        <v>2030</v>
      </c>
      <c r="J55">
        <f t="shared" si="14"/>
        <v>122.5</v>
      </c>
      <c r="K55" cm="1">
        <f t="array" ref="K55">STOWA2019_NDJF_T(A55*60,J55,I55,"","upper")</f>
        <v>4002.5531986374617</v>
      </c>
      <c r="L55">
        <f t="shared" si="4"/>
        <v>7.4952158063039658E-4</v>
      </c>
    </row>
    <row r="56" spans="1:12" x14ac:dyDescent="0.3">
      <c r="A56">
        <v>48</v>
      </c>
      <c r="B56">
        <f t="shared" si="12"/>
        <v>2.3465599397159054E-4</v>
      </c>
      <c r="C56">
        <f t="shared" si="9"/>
        <v>2.3465599397159054E-4</v>
      </c>
      <c r="D56" t="s">
        <v>25</v>
      </c>
      <c r="E56" t="s">
        <v>19</v>
      </c>
      <c r="F56">
        <v>1</v>
      </c>
      <c r="G56">
        <f t="shared" si="13"/>
        <v>125</v>
      </c>
      <c r="I56">
        <v>2030</v>
      </c>
      <c r="J56">
        <f t="shared" si="14"/>
        <v>127.5</v>
      </c>
      <c r="K56" cm="1">
        <f t="array" ref="K56">STOWA2019_NDJF_T(A56*60,J56,I56,"","upper")</f>
        <v>5826.7634849482702</v>
      </c>
      <c r="L56">
        <f t="shared" si="4"/>
        <v>5.1486558665880605E-4</v>
      </c>
    </row>
    <row r="57" spans="1:12" x14ac:dyDescent="0.3">
      <c r="A57">
        <v>48</v>
      </c>
      <c r="B57">
        <f t="shared" si="12"/>
        <v>1.5844304129017785E-4</v>
      </c>
      <c r="C57">
        <f t="shared" si="9"/>
        <v>1.5844304129017785E-4</v>
      </c>
      <c r="D57" t="s">
        <v>25</v>
      </c>
      <c r="E57" t="s">
        <v>19</v>
      </c>
      <c r="F57">
        <v>1</v>
      </c>
      <c r="G57">
        <f t="shared" si="13"/>
        <v>130</v>
      </c>
      <c r="I57">
        <v>2030</v>
      </c>
      <c r="J57">
        <f t="shared" si="14"/>
        <v>132.5</v>
      </c>
      <c r="K57" cm="1">
        <f t="array" ref="K57">STOWA2019_NDJF_T(A57*60,J57,I57,"","upper")</f>
        <v>8416.9759713074982</v>
      </c>
      <c r="L57">
        <f t="shared" si="4"/>
        <v>3.564225453686282E-4</v>
      </c>
    </row>
    <row r="58" spans="1:12" x14ac:dyDescent="0.3">
      <c r="A58">
        <v>48</v>
      </c>
      <c r="B58">
        <f t="shared" si="12"/>
        <v>1.0784620113741709E-4</v>
      </c>
      <c r="C58">
        <f t="shared" si="9"/>
        <v>1.0784620113741709E-4</v>
      </c>
      <c r="D58" t="s">
        <v>25</v>
      </c>
      <c r="E58" t="s">
        <v>19</v>
      </c>
      <c r="F58">
        <v>1</v>
      </c>
      <c r="G58">
        <f t="shared" si="13"/>
        <v>135</v>
      </c>
      <c r="I58">
        <v>2030</v>
      </c>
      <c r="J58">
        <f t="shared" si="14"/>
        <v>137.5</v>
      </c>
      <c r="K58" cm="1">
        <f t="array" ref="K58">STOWA2019_NDJF_T(A58*60,J58,I58,"","upper")</f>
        <v>12068.726850410094</v>
      </c>
      <c r="L58">
        <f t="shared" si="4"/>
        <v>2.4857634423121111E-4</v>
      </c>
    </row>
    <row r="59" spans="1:12" x14ac:dyDescent="0.3">
      <c r="A59">
        <v>48</v>
      </c>
      <c r="B59">
        <f t="shared" si="12"/>
        <v>7.3974968001017918E-5</v>
      </c>
      <c r="C59">
        <f t="shared" si="9"/>
        <v>7.3974968001017918E-5</v>
      </c>
      <c r="D59" t="s">
        <v>25</v>
      </c>
      <c r="E59" t="s">
        <v>19</v>
      </c>
      <c r="F59">
        <v>1</v>
      </c>
      <c r="G59">
        <f t="shared" si="13"/>
        <v>140</v>
      </c>
      <c r="I59">
        <v>2030</v>
      </c>
      <c r="J59">
        <f t="shared" si="14"/>
        <v>142.5</v>
      </c>
      <c r="K59" cm="1">
        <f t="array" ref="K59">STOWA2019_NDJF_T(A59*60,J59,I59,"","upper")</f>
        <v>17181.995152459862</v>
      </c>
      <c r="L59">
        <f t="shared" si="4"/>
        <v>1.7460137623019319E-4</v>
      </c>
    </row>
    <row r="60" spans="1:12" x14ac:dyDescent="0.3">
      <c r="A60">
        <v>48</v>
      </c>
      <c r="B60">
        <f t="shared" si="12"/>
        <v>5.111649823329249E-5</v>
      </c>
      <c r="C60">
        <f t="shared" si="9"/>
        <v>5.111649823329249E-5</v>
      </c>
      <c r="D60" t="s">
        <v>25</v>
      </c>
      <c r="E60" t="s">
        <v>19</v>
      </c>
      <c r="F60">
        <v>1</v>
      </c>
      <c r="G60">
        <f t="shared" si="13"/>
        <v>145</v>
      </c>
      <c r="I60">
        <v>2030</v>
      </c>
      <c r="J60">
        <f t="shared" si="14"/>
        <v>147.5</v>
      </c>
      <c r="K60" cm="1">
        <f t="array" ref="K60">STOWA2019_NDJF_T(A60*60,J60,I60,"","upper")</f>
        <v>24294.472721391001</v>
      </c>
      <c r="L60">
        <f t="shared" si="4"/>
        <v>1.234848779969007E-4</v>
      </c>
    </row>
    <row r="61" spans="1:12" x14ac:dyDescent="0.3">
      <c r="A61">
        <v>48</v>
      </c>
      <c r="B61">
        <f t="shared" si="12"/>
        <v>3.557405494075947E-5</v>
      </c>
      <c r="C61">
        <f t="shared" si="9"/>
        <v>3.557405494075947E-5</v>
      </c>
      <c r="D61" t="s">
        <v>25</v>
      </c>
      <c r="E61" t="s">
        <v>19</v>
      </c>
      <c r="F61">
        <v>1</v>
      </c>
      <c r="G61">
        <f t="shared" si="13"/>
        <v>150</v>
      </c>
      <c r="I61">
        <v>2030</v>
      </c>
      <c r="J61">
        <f t="shared" si="14"/>
        <v>152.5</v>
      </c>
      <c r="K61" cm="1">
        <f t="array" ref="K61">STOWA2019_NDJF_T(A61*60,J61,I61,"","upper")</f>
        <v>34125.490988568643</v>
      </c>
      <c r="L61">
        <f t="shared" si="4"/>
        <v>8.791082305614123E-5</v>
      </c>
    </row>
    <row r="62" spans="1:12" x14ac:dyDescent="0.3">
      <c r="A62">
        <v>48</v>
      </c>
      <c r="B62">
        <f t="shared" si="12"/>
        <v>2.4927369727330417E-5</v>
      </c>
      <c r="C62">
        <f t="shared" si="9"/>
        <v>2.4927369727330417E-5</v>
      </c>
      <c r="D62" t="s">
        <v>25</v>
      </c>
      <c r="E62" t="s">
        <v>19</v>
      </c>
      <c r="F62">
        <v>1</v>
      </c>
      <c r="G62">
        <f t="shared" si="13"/>
        <v>155</v>
      </c>
      <c r="I62">
        <v>2030</v>
      </c>
      <c r="J62">
        <f t="shared" si="14"/>
        <v>157.5</v>
      </c>
      <c r="K62" cm="1">
        <f t="array" ref="K62">STOWA2019_NDJF_T(A62*60,J62,I62,"","upper")</f>
        <v>47631.557836916763</v>
      </c>
      <c r="L62">
        <f t="shared" si="4"/>
        <v>6.2983453328810813E-5</v>
      </c>
    </row>
    <row r="63" spans="1:12" x14ac:dyDescent="0.3">
      <c r="A63">
        <v>48</v>
      </c>
      <c r="B63" s="1">
        <f>L62</f>
        <v>6.2983453328810813E-5</v>
      </c>
      <c r="C63">
        <f t="shared" si="9"/>
        <v>6.2983453328810813E-5</v>
      </c>
      <c r="D63" t="s">
        <v>25</v>
      </c>
      <c r="E63" t="s">
        <v>19</v>
      </c>
      <c r="F63">
        <v>1</v>
      </c>
      <c r="G63">
        <f t="shared" si="13"/>
        <v>160</v>
      </c>
      <c r="I63">
        <v>2030</v>
      </c>
      <c r="J63">
        <f>AVERAGE(G63:G64)</f>
        <v>85</v>
      </c>
      <c r="K63" cm="1">
        <f t="array" ref="K63">STOWA2019_NDJF_T(A63*60,J63,I63,"","upper")</f>
        <v>180.21830647662296</v>
      </c>
      <c r="L63">
        <f t="shared" si="4"/>
        <v>1.6646477589606832E-2</v>
      </c>
    </row>
    <row r="64" spans="1:12" x14ac:dyDescent="0.3">
      <c r="A64">
        <v>96</v>
      </c>
      <c r="B64" s="1">
        <f>365.25*24/A64 - L64</f>
        <v>30.528756951345834</v>
      </c>
      <c r="C64">
        <f>B64</f>
        <v>30.528756951345834</v>
      </c>
      <c r="D64" t="s">
        <v>25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STOWA2019_NDJF_T(A64*60,J64,I64,"","upper")</f>
        <v>4.9355302084615929E-2</v>
      </c>
      <c r="L64">
        <f t="shared" si="4"/>
        <v>60.783743048654166</v>
      </c>
    </row>
    <row r="65" spans="1:12" x14ac:dyDescent="0.3">
      <c r="A65">
        <v>96</v>
      </c>
      <c r="B65">
        <f t="shared" ref="B65:B69" si="15">L64-L65</f>
        <v>12.754716608480202</v>
      </c>
      <c r="C65">
        <f t="shared" ref="C65:C94" si="16">B65</f>
        <v>12.754716608480202</v>
      </c>
      <c r="D65" t="s">
        <v>25</v>
      </c>
      <c r="E65" t="s">
        <v>19</v>
      </c>
      <c r="F65">
        <v>1</v>
      </c>
      <c r="G65">
        <f t="shared" ref="G65:G69" si="17">G64+5</f>
        <v>15</v>
      </c>
      <c r="I65">
        <v>2030</v>
      </c>
      <c r="J65">
        <f t="shared" ref="J65:J69" si="18">AVERAGE(G65:G66)</f>
        <v>17.5</v>
      </c>
      <c r="K65" cm="1">
        <f t="array" ref="K65">STOWA2019_NDJF_T(A65*60,J65,I65,"","upper")</f>
        <v>6.2462227997414591E-2</v>
      </c>
      <c r="L65">
        <f t="shared" si="4"/>
        <v>48.029026440173965</v>
      </c>
    </row>
    <row r="66" spans="1:12" x14ac:dyDescent="0.3">
      <c r="A66">
        <v>96</v>
      </c>
      <c r="B66">
        <f t="shared" si="15"/>
        <v>17.932757945215496</v>
      </c>
      <c r="C66">
        <f t="shared" si="16"/>
        <v>17.932757945215496</v>
      </c>
      <c r="D66" t="s">
        <v>25</v>
      </c>
      <c r="E66" t="s">
        <v>19</v>
      </c>
      <c r="F66">
        <v>1</v>
      </c>
      <c r="G66">
        <f t="shared" si="17"/>
        <v>20</v>
      </c>
      <c r="I66">
        <v>2030</v>
      </c>
      <c r="J66">
        <f t="shared" si="18"/>
        <v>22.5</v>
      </c>
      <c r="K66" cm="1">
        <f t="array" ref="K66">STOWA2019_NDJF_T(A66*60,J66,I66,"","upper")</f>
        <v>9.9680131458906293E-2</v>
      </c>
      <c r="L66">
        <f t="shared" si="4"/>
        <v>30.096268494958469</v>
      </c>
    </row>
    <row r="67" spans="1:12" x14ac:dyDescent="0.3">
      <c r="A67">
        <v>96</v>
      </c>
      <c r="B67">
        <f t="shared" si="15"/>
        <v>11.147079741149632</v>
      </c>
      <c r="C67">
        <f t="shared" si="16"/>
        <v>11.147079741149632</v>
      </c>
      <c r="D67" t="s">
        <v>25</v>
      </c>
      <c r="E67" t="s">
        <v>19</v>
      </c>
      <c r="F67">
        <v>1</v>
      </c>
      <c r="G67">
        <f t="shared" si="17"/>
        <v>25</v>
      </c>
      <c r="I67">
        <v>2030</v>
      </c>
      <c r="J67">
        <f t="shared" si="18"/>
        <v>27.5</v>
      </c>
      <c r="K67" cm="1">
        <f t="array" ref="K67">STOWA2019_NDJF_T(A67*60,J67,I67,"","upper")</f>
        <v>0.15831812321764921</v>
      </c>
      <c r="L67">
        <f t="shared" ref="L67:L130" si="19">1/K67 * 12/4</f>
        <v>18.949188753808837</v>
      </c>
    </row>
    <row r="68" spans="1:12" x14ac:dyDescent="0.3">
      <c r="A68">
        <v>96</v>
      </c>
      <c r="B68">
        <f t="shared" si="15"/>
        <v>6.9625839357864461</v>
      </c>
      <c r="C68">
        <f t="shared" si="16"/>
        <v>6.9625839357864461</v>
      </c>
      <c r="D68" t="s">
        <v>25</v>
      </c>
      <c r="E68" t="s">
        <v>19</v>
      </c>
      <c r="F68">
        <v>1</v>
      </c>
      <c r="G68">
        <f t="shared" si="17"/>
        <v>30</v>
      </c>
      <c r="I68">
        <v>2030</v>
      </c>
      <c r="J68">
        <f t="shared" si="18"/>
        <v>32.5</v>
      </c>
      <c r="K68" cm="1">
        <f t="array" ref="K68">STOWA2019_NDJF_T(A68*60,J68,I68,"","upper")</f>
        <v>0.2502793781512983</v>
      </c>
      <c r="L68">
        <f t="shared" si="19"/>
        <v>11.986604818022391</v>
      </c>
    </row>
    <row r="69" spans="1:12" x14ac:dyDescent="0.3">
      <c r="A69">
        <v>96</v>
      </c>
      <c r="B69">
        <f t="shared" si="15"/>
        <v>4.3696992433411967</v>
      </c>
      <c r="C69">
        <f t="shared" si="16"/>
        <v>4.3696992433411967</v>
      </c>
      <c r="D69" t="s">
        <v>25</v>
      </c>
      <c r="E69" t="s">
        <v>19</v>
      </c>
      <c r="F69">
        <v>1</v>
      </c>
      <c r="G69">
        <f t="shared" si="17"/>
        <v>35</v>
      </c>
      <c r="I69">
        <v>2030</v>
      </c>
      <c r="J69">
        <f t="shared" si="18"/>
        <v>37.5</v>
      </c>
      <c r="K69" cm="1">
        <f t="array" ref="K69">STOWA2019_NDJF_T(A69*60,J69,I69,"","upper")</f>
        <v>0.39386073131483779</v>
      </c>
      <c r="L69">
        <f t="shared" si="19"/>
        <v>7.6169055746811942</v>
      </c>
    </row>
    <row r="70" spans="1:12" x14ac:dyDescent="0.3">
      <c r="A70">
        <v>96</v>
      </c>
      <c r="B70">
        <f>L69-L70</f>
        <v>2.7549215676257406</v>
      </c>
      <c r="C70">
        <f t="shared" si="16"/>
        <v>2.7549215676257406</v>
      </c>
      <c r="D70" t="s">
        <v>25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STOWA2019_NDJF_T(A70*60,J70,I70,"","upper")</f>
        <v>0.61703205844498032</v>
      </c>
      <c r="L70">
        <f t="shared" si="19"/>
        <v>4.8619840070554536</v>
      </c>
    </row>
    <row r="71" spans="1:12" x14ac:dyDescent="0.3">
      <c r="A71">
        <v>96</v>
      </c>
      <c r="B71">
        <f t="shared" ref="B71:B93" si="20">L70-L71</f>
        <v>1.7448706166928685</v>
      </c>
      <c r="C71">
        <f t="shared" si="16"/>
        <v>1.7448706166928685</v>
      </c>
      <c r="D71" t="s">
        <v>25</v>
      </c>
      <c r="E71" t="s">
        <v>19</v>
      </c>
      <c r="F71">
        <v>1</v>
      </c>
      <c r="G71">
        <f t="shared" ref="G71:G94" si="21">G70+5</f>
        <v>45</v>
      </c>
      <c r="I71">
        <v>2030</v>
      </c>
      <c r="J71">
        <f t="shared" ref="J71:J93" si="22">AVERAGE(G71:G72)</f>
        <v>47.5</v>
      </c>
      <c r="K71" cm="1">
        <f t="array" ref="K71">STOWA2019_NDJF_T(A71*60,J71,I71,"","upper")</f>
        <v>0.96242889632290129</v>
      </c>
      <c r="L71">
        <f t="shared" si="19"/>
        <v>3.1171133903625852</v>
      </c>
    </row>
    <row r="72" spans="1:12" x14ac:dyDescent="0.3">
      <c r="A72">
        <v>96</v>
      </c>
      <c r="B72">
        <f t="shared" si="20"/>
        <v>1.1098668088220163</v>
      </c>
      <c r="C72">
        <f t="shared" si="16"/>
        <v>1.1098668088220163</v>
      </c>
      <c r="D72" t="s">
        <v>25</v>
      </c>
      <c r="E72" t="s">
        <v>19</v>
      </c>
      <c r="F72">
        <v>1</v>
      </c>
      <c r="G72">
        <f t="shared" si="21"/>
        <v>50</v>
      </c>
      <c r="I72">
        <v>2030</v>
      </c>
      <c r="J72">
        <f t="shared" si="22"/>
        <v>52.5</v>
      </c>
      <c r="K72" cm="1">
        <f t="array" ref="K72">STOWA2019_NDJF_T(A72*60,J72,I72,"","upper")</f>
        <v>1.4945846851050504</v>
      </c>
      <c r="L72">
        <f t="shared" si="19"/>
        <v>2.0072465815405689</v>
      </c>
    </row>
    <row r="73" spans="1:12" x14ac:dyDescent="0.3">
      <c r="A73">
        <v>96</v>
      </c>
      <c r="B73">
        <f t="shared" si="20"/>
        <v>0.70932679331571213</v>
      </c>
      <c r="C73">
        <f t="shared" si="16"/>
        <v>0.70932679331571213</v>
      </c>
      <c r="D73" t="s">
        <v>25</v>
      </c>
      <c r="E73" t="s">
        <v>19</v>
      </c>
      <c r="F73">
        <v>1</v>
      </c>
      <c r="G73">
        <f t="shared" si="21"/>
        <v>55</v>
      </c>
      <c r="I73">
        <v>2030</v>
      </c>
      <c r="J73">
        <f t="shared" si="22"/>
        <v>57.5</v>
      </c>
      <c r="K73" cm="1">
        <f t="array" ref="K73">STOWA2019_NDJF_T(A73*60,J73,I73,"","upper")</f>
        <v>2.3113909096825238</v>
      </c>
      <c r="L73">
        <f t="shared" si="19"/>
        <v>1.2979197882248568</v>
      </c>
    </row>
    <row r="74" spans="1:12" x14ac:dyDescent="0.3">
      <c r="A74">
        <v>96</v>
      </c>
      <c r="B74">
        <f t="shared" si="20"/>
        <v>0.45517960237076283</v>
      </c>
      <c r="C74">
        <f t="shared" si="16"/>
        <v>0.45517960237076283</v>
      </c>
      <c r="D74" t="s">
        <v>25</v>
      </c>
      <c r="E74" t="s">
        <v>19</v>
      </c>
      <c r="F74">
        <v>1</v>
      </c>
      <c r="G74">
        <f t="shared" si="21"/>
        <v>60</v>
      </c>
      <c r="I74">
        <v>2030</v>
      </c>
      <c r="J74">
        <f t="shared" si="22"/>
        <v>62.5</v>
      </c>
      <c r="K74" cm="1">
        <f t="array" ref="K74">STOWA2019_NDJF_T(A74*60,J74,I74,"","upper")</f>
        <v>3.5598160030301425</v>
      </c>
      <c r="L74">
        <f t="shared" si="19"/>
        <v>0.84274018585409394</v>
      </c>
    </row>
    <row r="75" spans="1:12" x14ac:dyDescent="0.3">
      <c r="A75">
        <v>96</v>
      </c>
      <c r="B75">
        <f t="shared" si="20"/>
        <v>0.29332252761256739</v>
      </c>
      <c r="C75">
        <f t="shared" si="16"/>
        <v>0.29332252761256739</v>
      </c>
      <c r="D75" t="s">
        <v>25</v>
      </c>
      <c r="E75" t="s">
        <v>19</v>
      </c>
      <c r="F75">
        <v>1</v>
      </c>
      <c r="G75">
        <f t="shared" si="21"/>
        <v>65</v>
      </c>
      <c r="I75">
        <v>2030</v>
      </c>
      <c r="J75">
        <f t="shared" si="22"/>
        <v>67.5</v>
      </c>
      <c r="K75" cm="1">
        <f t="array" ref="K75">STOWA2019_NDJF_T(A75*60,J75,I75,"","upper")</f>
        <v>5.4603268660891606</v>
      </c>
      <c r="L75">
        <f t="shared" si="19"/>
        <v>0.54941765824152655</v>
      </c>
    </row>
    <row r="76" spans="1:12" x14ac:dyDescent="0.3">
      <c r="A76">
        <v>96</v>
      </c>
      <c r="B76">
        <f t="shared" si="20"/>
        <v>0.18979854594825368</v>
      </c>
      <c r="C76">
        <f t="shared" si="16"/>
        <v>0.18979854594825368</v>
      </c>
      <c r="D76" t="s">
        <v>25</v>
      </c>
      <c r="E76" t="s">
        <v>19</v>
      </c>
      <c r="F76">
        <v>1</v>
      </c>
      <c r="G76">
        <f t="shared" si="21"/>
        <v>70</v>
      </c>
      <c r="I76">
        <v>2030</v>
      </c>
      <c r="J76">
        <f t="shared" si="22"/>
        <v>72.5</v>
      </c>
      <c r="K76" cm="1">
        <f t="array" ref="K76">STOWA2019_NDJF_T(A76*60,J76,I76,"","upper")</f>
        <v>8.3421595166873974</v>
      </c>
      <c r="L76">
        <f t="shared" si="19"/>
        <v>0.35961911229327287</v>
      </c>
    </row>
    <row r="77" spans="1:12" x14ac:dyDescent="0.3">
      <c r="A77">
        <v>96</v>
      </c>
      <c r="B77">
        <f t="shared" si="20"/>
        <v>0.12330878711913729</v>
      </c>
      <c r="C77">
        <f t="shared" si="16"/>
        <v>0.12330878711913729</v>
      </c>
      <c r="D77" t="s">
        <v>25</v>
      </c>
      <c r="E77" t="s">
        <v>19</v>
      </c>
      <c r="F77">
        <v>1</v>
      </c>
      <c r="G77">
        <f t="shared" si="21"/>
        <v>75</v>
      </c>
      <c r="I77">
        <v>2030</v>
      </c>
      <c r="J77">
        <f t="shared" si="22"/>
        <v>77.5</v>
      </c>
      <c r="K77" cm="1">
        <f t="array" ref="K77">STOWA2019_NDJF_T(A77*60,J77,I77,"","upper")</f>
        <v>12.695171054372333</v>
      </c>
      <c r="L77">
        <f t="shared" si="19"/>
        <v>0.23631032517413558</v>
      </c>
    </row>
    <row r="78" spans="1:12" x14ac:dyDescent="0.3">
      <c r="A78">
        <v>96</v>
      </c>
      <c r="B78">
        <f t="shared" si="20"/>
        <v>8.0428568594448635E-2</v>
      </c>
      <c r="C78">
        <f t="shared" si="16"/>
        <v>8.0428568594448635E-2</v>
      </c>
      <c r="D78" t="s">
        <v>25</v>
      </c>
      <c r="E78" t="s">
        <v>19</v>
      </c>
      <c r="F78">
        <v>1</v>
      </c>
      <c r="G78">
        <f t="shared" si="21"/>
        <v>80</v>
      </c>
      <c r="I78">
        <v>2030</v>
      </c>
      <c r="J78">
        <f t="shared" si="22"/>
        <v>82.5</v>
      </c>
      <c r="K78" cm="1">
        <f t="array" ref="K78">STOWA2019_NDJF_T(A78*60,J78,I78,"","upper")</f>
        <v>19.245356646121678</v>
      </c>
      <c r="L78">
        <f t="shared" si="19"/>
        <v>0.15588175657968695</v>
      </c>
    </row>
    <row r="79" spans="1:12" x14ac:dyDescent="0.3">
      <c r="A79">
        <v>96</v>
      </c>
      <c r="B79">
        <f t="shared" si="20"/>
        <v>5.2666826462553773E-2</v>
      </c>
      <c r="C79">
        <f t="shared" si="16"/>
        <v>5.2666826462553773E-2</v>
      </c>
      <c r="D79" t="s">
        <v>25</v>
      </c>
      <c r="E79" t="s">
        <v>19</v>
      </c>
      <c r="F79">
        <v>1</v>
      </c>
      <c r="G79">
        <f t="shared" si="21"/>
        <v>85</v>
      </c>
      <c r="I79">
        <v>2030</v>
      </c>
      <c r="J79">
        <f t="shared" si="22"/>
        <v>87.5</v>
      </c>
      <c r="K79" cm="1">
        <f t="array" ref="K79">STOWA2019_NDJF_T(A79*60,J79,I79,"","upper")</f>
        <v>29.065562478174996</v>
      </c>
      <c r="L79">
        <f t="shared" si="19"/>
        <v>0.10321493011713317</v>
      </c>
    </row>
    <row r="80" spans="1:12" x14ac:dyDescent="0.3">
      <c r="A80">
        <v>96</v>
      </c>
      <c r="B80">
        <f t="shared" si="20"/>
        <v>3.4618337641881922E-2</v>
      </c>
      <c r="C80">
        <f t="shared" si="16"/>
        <v>3.4618337641881922E-2</v>
      </c>
      <c r="D80" t="s">
        <v>25</v>
      </c>
      <c r="E80" t="s">
        <v>19</v>
      </c>
      <c r="F80">
        <v>1</v>
      </c>
      <c r="G80">
        <f t="shared" si="21"/>
        <v>90</v>
      </c>
      <c r="I80">
        <v>2030</v>
      </c>
      <c r="J80">
        <f t="shared" si="22"/>
        <v>92.5</v>
      </c>
      <c r="K80" cm="1">
        <f t="array" ref="K80">STOWA2019_NDJF_T(A80*60,J80,I80,"","upper")</f>
        <v>43.73395079474772</v>
      </c>
      <c r="L80">
        <f t="shared" si="19"/>
        <v>6.8596592475251253E-2</v>
      </c>
    </row>
    <row r="81" spans="1:12" x14ac:dyDescent="0.3">
      <c r="A81">
        <v>96</v>
      </c>
      <c r="B81">
        <f t="shared" si="20"/>
        <v>2.284112660154667E-2</v>
      </c>
      <c r="C81">
        <f t="shared" si="16"/>
        <v>2.284112660154667E-2</v>
      </c>
      <c r="D81" t="s">
        <v>25</v>
      </c>
      <c r="E81" t="s">
        <v>19</v>
      </c>
      <c r="F81">
        <v>1</v>
      </c>
      <c r="G81">
        <f t="shared" si="21"/>
        <v>95</v>
      </c>
      <c r="I81">
        <v>2030</v>
      </c>
      <c r="J81">
        <f t="shared" si="22"/>
        <v>97.5</v>
      </c>
      <c r="K81" cm="1">
        <f t="array" ref="K81">STOWA2019_NDJF_T(A81*60,J81,I81,"","upper")</f>
        <v>65.565937155588742</v>
      </c>
      <c r="L81">
        <f t="shared" si="19"/>
        <v>4.5755465873704583E-2</v>
      </c>
    </row>
    <row r="82" spans="1:12" x14ac:dyDescent="0.3">
      <c r="A82">
        <v>96</v>
      </c>
      <c r="B82">
        <f t="shared" si="20"/>
        <v>1.5126244707971245E-2</v>
      </c>
      <c r="C82">
        <f t="shared" si="16"/>
        <v>1.5126244707971245E-2</v>
      </c>
      <c r="D82" t="s">
        <v>25</v>
      </c>
      <c r="E82" t="s">
        <v>19</v>
      </c>
      <c r="F82">
        <v>1</v>
      </c>
      <c r="G82">
        <f t="shared" si="21"/>
        <v>100</v>
      </c>
      <c r="I82">
        <v>2030</v>
      </c>
      <c r="J82">
        <f t="shared" si="22"/>
        <v>102.5</v>
      </c>
      <c r="K82" cm="1">
        <f t="array" ref="K82">STOWA2019_NDJF_T(A82*60,J82,I82,"","upper")</f>
        <v>97.945683429791927</v>
      </c>
      <c r="L82">
        <f t="shared" si="19"/>
        <v>3.0629221165733338E-2</v>
      </c>
    </row>
    <row r="83" spans="1:12" x14ac:dyDescent="0.3">
      <c r="A83">
        <v>96</v>
      </c>
      <c r="B83">
        <f t="shared" si="20"/>
        <v>1.0053686984290686E-2</v>
      </c>
      <c r="C83">
        <f t="shared" si="16"/>
        <v>1.0053686984290686E-2</v>
      </c>
      <c r="D83" t="s">
        <v>25</v>
      </c>
      <c r="E83" t="s">
        <v>19</v>
      </c>
      <c r="F83">
        <v>1</v>
      </c>
      <c r="G83">
        <f t="shared" si="21"/>
        <v>105</v>
      </c>
      <c r="I83">
        <v>2030</v>
      </c>
      <c r="J83">
        <f t="shared" si="22"/>
        <v>107.5</v>
      </c>
      <c r="K83" cm="1">
        <f t="array" ref="K83">STOWA2019_NDJF_T(A83*60,J83,I83,"","upper")</f>
        <v>145.80423397734867</v>
      </c>
      <c r="L83">
        <f t="shared" si="19"/>
        <v>2.0575534181442652E-2</v>
      </c>
    </row>
    <row r="84" spans="1:12" x14ac:dyDescent="0.3">
      <c r="A84">
        <v>96</v>
      </c>
      <c r="B84">
        <f t="shared" si="20"/>
        <v>6.7057884548508417E-3</v>
      </c>
      <c r="C84">
        <f t="shared" si="16"/>
        <v>6.7057884548508417E-3</v>
      </c>
      <c r="D84" t="s">
        <v>25</v>
      </c>
      <c r="E84" t="s">
        <v>19</v>
      </c>
      <c r="F84">
        <v>1</v>
      </c>
      <c r="G84">
        <f t="shared" si="21"/>
        <v>110</v>
      </c>
      <c r="I84">
        <v>2030</v>
      </c>
      <c r="J84">
        <f t="shared" si="22"/>
        <v>112.5</v>
      </c>
      <c r="K84" cm="1">
        <f t="array" ref="K84">STOWA2019_NDJF_T(A84*60,J84,I84,"","upper")</f>
        <v>216.29812536853083</v>
      </c>
      <c r="L84">
        <f t="shared" si="19"/>
        <v>1.386974572659181E-2</v>
      </c>
    </row>
    <row r="85" spans="1:12" x14ac:dyDescent="0.3">
      <c r="A85">
        <v>96</v>
      </c>
      <c r="B85">
        <f t="shared" si="20"/>
        <v>4.4885311365809762E-3</v>
      </c>
      <c r="C85">
        <f t="shared" si="16"/>
        <v>4.4885311365809762E-3</v>
      </c>
      <c r="D85" t="s">
        <v>25</v>
      </c>
      <c r="E85" t="s">
        <v>19</v>
      </c>
      <c r="F85">
        <v>1</v>
      </c>
      <c r="G85">
        <f t="shared" si="21"/>
        <v>115</v>
      </c>
      <c r="I85">
        <v>2030</v>
      </c>
      <c r="J85">
        <f t="shared" si="22"/>
        <v>117.5</v>
      </c>
      <c r="K85" cm="1">
        <f t="array" ref="K85">STOWA2019_NDJF_T(A85*60,J85,I85,"","upper")</f>
        <v>319.78801584971905</v>
      </c>
      <c r="L85">
        <f t="shared" si="19"/>
        <v>9.3812145900108342E-3</v>
      </c>
    </row>
    <row r="86" spans="1:12" x14ac:dyDescent="0.3">
      <c r="A86">
        <v>96</v>
      </c>
      <c r="B86">
        <f t="shared" si="20"/>
        <v>3.0147588473980157E-3</v>
      </c>
      <c r="C86">
        <f t="shared" si="16"/>
        <v>3.0147588473980157E-3</v>
      </c>
      <c r="D86" t="s">
        <v>25</v>
      </c>
      <c r="E86" t="s">
        <v>19</v>
      </c>
      <c r="F86">
        <v>1</v>
      </c>
      <c r="G86">
        <f t="shared" si="21"/>
        <v>120</v>
      </c>
      <c r="I86">
        <v>2030</v>
      </c>
      <c r="J86">
        <f t="shared" si="22"/>
        <v>122.5</v>
      </c>
      <c r="K86" cm="1">
        <f t="array" ref="K86">STOWA2019_NDJF_T(A86*60,J86,I86,"","upper")</f>
        <v>471.21979972624274</v>
      </c>
      <c r="L86">
        <f t="shared" si="19"/>
        <v>6.3664557426128185E-3</v>
      </c>
    </row>
    <row r="87" spans="1:12" x14ac:dyDescent="0.3">
      <c r="A87">
        <v>96</v>
      </c>
      <c r="B87">
        <f t="shared" si="20"/>
        <v>2.0317463211034399E-3</v>
      </c>
      <c r="C87">
        <f t="shared" si="16"/>
        <v>2.0317463211034399E-3</v>
      </c>
      <c r="D87" t="s">
        <v>25</v>
      </c>
      <c r="E87" t="s">
        <v>19</v>
      </c>
      <c r="F87">
        <v>1</v>
      </c>
      <c r="G87">
        <f t="shared" si="21"/>
        <v>125</v>
      </c>
      <c r="I87">
        <v>2030</v>
      </c>
      <c r="J87">
        <f t="shared" si="22"/>
        <v>127.5</v>
      </c>
      <c r="K87" cm="1">
        <f t="array" ref="K87">STOWA2019_NDJF_T(A87*60,J87,I87,"","upper")</f>
        <v>692.08791369350365</v>
      </c>
      <c r="L87">
        <f t="shared" si="19"/>
        <v>4.3347094215093786E-3</v>
      </c>
    </row>
    <row r="88" spans="1:12" x14ac:dyDescent="0.3">
      <c r="A88">
        <v>96</v>
      </c>
      <c r="B88">
        <f t="shared" si="20"/>
        <v>1.3738032704058122E-3</v>
      </c>
      <c r="C88">
        <f t="shared" si="16"/>
        <v>1.3738032704058122E-3</v>
      </c>
      <c r="D88" t="s">
        <v>25</v>
      </c>
      <c r="E88" t="s">
        <v>19</v>
      </c>
      <c r="F88">
        <v>1</v>
      </c>
      <c r="G88">
        <f t="shared" si="21"/>
        <v>130</v>
      </c>
      <c r="I88">
        <v>2030</v>
      </c>
      <c r="J88">
        <f t="shared" si="22"/>
        <v>132.5</v>
      </c>
      <c r="K88" cm="1">
        <f t="array" ref="K88">STOWA2019_NDJF_T(A88*60,J88,I88,"","upper")</f>
        <v>1013.2033394175168</v>
      </c>
      <c r="L88">
        <f t="shared" si="19"/>
        <v>2.9609061511035664E-3</v>
      </c>
    </row>
    <row r="89" spans="1:12" x14ac:dyDescent="0.3">
      <c r="A89">
        <v>96</v>
      </c>
      <c r="B89">
        <f t="shared" si="20"/>
        <v>9.3199502101632466E-4</v>
      </c>
      <c r="C89">
        <f t="shared" si="16"/>
        <v>9.3199502101632466E-4</v>
      </c>
      <c r="D89" t="s">
        <v>25</v>
      </c>
      <c r="E89" t="s">
        <v>19</v>
      </c>
      <c r="F89">
        <v>1</v>
      </c>
      <c r="G89">
        <f t="shared" si="21"/>
        <v>135</v>
      </c>
      <c r="I89">
        <v>2030</v>
      </c>
      <c r="J89">
        <f t="shared" si="22"/>
        <v>137.5</v>
      </c>
      <c r="K89" cm="1">
        <f t="array" ref="K89">STOWA2019_NDJF_T(A89*60,J89,I89,"","upper")</f>
        <v>1478.625631015688</v>
      </c>
      <c r="L89">
        <f t="shared" si="19"/>
        <v>2.0289111300872418E-3</v>
      </c>
    </row>
    <row r="90" spans="1:12" x14ac:dyDescent="0.3">
      <c r="A90">
        <v>96</v>
      </c>
      <c r="B90">
        <f t="shared" si="20"/>
        <v>6.3429331203321824E-4</v>
      </c>
      <c r="C90">
        <f t="shared" si="16"/>
        <v>6.3429331203321824E-4</v>
      </c>
      <c r="D90" t="s">
        <v>25</v>
      </c>
      <c r="E90" t="s">
        <v>19</v>
      </c>
      <c r="F90">
        <v>1</v>
      </c>
      <c r="G90">
        <f t="shared" si="21"/>
        <v>140</v>
      </c>
      <c r="I90">
        <v>2030</v>
      </c>
      <c r="J90">
        <f t="shared" si="22"/>
        <v>142.5</v>
      </c>
      <c r="K90" cm="1">
        <f t="array" ref="K90">STOWA2019_NDJF_T(A90*60,J90,I90,"","upper")</f>
        <v>2151.1269690975573</v>
      </c>
      <c r="L90">
        <f t="shared" si="19"/>
        <v>1.3946178180540235E-3</v>
      </c>
    </row>
    <row r="91" spans="1:12" x14ac:dyDescent="0.3">
      <c r="A91">
        <v>96</v>
      </c>
      <c r="B91">
        <f t="shared" si="20"/>
        <v>4.3305189133411117E-4</v>
      </c>
      <c r="C91">
        <f t="shared" si="16"/>
        <v>4.3305189133411117E-4</v>
      </c>
      <c r="D91" t="s">
        <v>25</v>
      </c>
      <c r="E91" t="s">
        <v>19</v>
      </c>
      <c r="F91">
        <v>1</v>
      </c>
      <c r="G91">
        <f t="shared" si="21"/>
        <v>145</v>
      </c>
      <c r="I91">
        <v>2030</v>
      </c>
      <c r="J91">
        <f t="shared" si="22"/>
        <v>147.5</v>
      </c>
      <c r="K91" cm="1">
        <f t="array" ref="K91">STOWA2019_NDJF_T(A91*60,J91,I91,"","upper")</f>
        <v>3119.910883524733</v>
      </c>
      <c r="L91">
        <f t="shared" si="19"/>
        <v>9.6156592671991234E-4</v>
      </c>
    </row>
    <row r="92" spans="1:12" x14ac:dyDescent="0.3">
      <c r="A92">
        <v>96</v>
      </c>
      <c r="B92">
        <f t="shared" si="20"/>
        <v>2.9657560220521851E-4</v>
      </c>
      <c r="C92">
        <f t="shared" si="16"/>
        <v>2.9657560220521851E-4</v>
      </c>
      <c r="D92" t="s">
        <v>25</v>
      </c>
      <c r="E92" t="s">
        <v>19</v>
      </c>
      <c r="F92">
        <v>1</v>
      </c>
      <c r="G92">
        <f t="shared" si="21"/>
        <v>150</v>
      </c>
      <c r="I92">
        <v>2030</v>
      </c>
      <c r="J92">
        <f t="shared" si="22"/>
        <v>152.5</v>
      </c>
      <c r="K92" cm="1">
        <f t="array" ref="K92">STOWA2019_NDJF_T(A92*60,J92,I92,"","upper")</f>
        <v>4511.3438337458265</v>
      </c>
      <c r="L92">
        <f t="shared" si="19"/>
        <v>6.6499032451469383E-4</v>
      </c>
    </row>
    <row r="93" spans="1:12" x14ac:dyDescent="0.3">
      <c r="A93">
        <v>96</v>
      </c>
      <c r="B93">
        <f t="shared" si="20"/>
        <v>2.0373847442150557E-4</v>
      </c>
      <c r="C93">
        <f t="shared" si="16"/>
        <v>2.0373847442150557E-4</v>
      </c>
      <c r="D93" t="s">
        <v>25</v>
      </c>
      <c r="E93" t="s">
        <v>19</v>
      </c>
      <c r="F93">
        <v>1</v>
      </c>
      <c r="G93">
        <f t="shared" si="21"/>
        <v>155</v>
      </c>
      <c r="I93">
        <v>2030</v>
      </c>
      <c r="J93">
        <f t="shared" si="22"/>
        <v>157.5</v>
      </c>
      <c r="K93" cm="1">
        <f t="array" ref="K93">STOWA2019_NDJF_T(A93*60,J93,I93,"","upper")</f>
        <v>6504.03895267607</v>
      </c>
      <c r="L93">
        <f t="shared" si="19"/>
        <v>4.6125185009318826E-4</v>
      </c>
    </row>
    <row r="94" spans="1:12" x14ac:dyDescent="0.3">
      <c r="A94">
        <v>96</v>
      </c>
      <c r="B94" s="1">
        <f>L93</f>
        <v>4.6125185009318826E-4</v>
      </c>
      <c r="C94">
        <f t="shared" si="16"/>
        <v>4.6125185009318826E-4</v>
      </c>
      <c r="D94" t="s">
        <v>25</v>
      </c>
      <c r="E94" t="s">
        <v>19</v>
      </c>
      <c r="F94">
        <v>1</v>
      </c>
      <c r="G94">
        <f t="shared" si="21"/>
        <v>160</v>
      </c>
      <c r="I94">
        <v>2030</v>
      </c>
      <c r="J94">
        <f>AVERAGE(G94:G95)</f>
        <v>85</v>
      </c>
      <c r="K94" cm="1">
        <f t="array" ref="K94">STOWA2019_NDJF_T(A94*60,J94,I94,"","upper")</f>
        <v>23.662311246219186</v>
      </c>
      <c r="L94">
        <f t="shared" si="19"/>
        <v>0.12678389565513581</v>
      </c>
    </row>
    <row r="95" spans="1:12" x14ac:dyDescent="0.3">
      <c r="A95">
        <v>192</v>
      </c>
      <c r="B95" s="1">
        <f>365.25*24/A95 - L95</f>
        <v>-18.340171813092276</v>
      </c>
      <c r="C95">
        <f>B95</f>
        <v>-18.340171813092276</v>
      </c>
      <c r="D95" t="s">
        <v>25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STOWA2019_NDJF_T(A95*60,J95,I95,"","upper")</f>
        <v>4.6877620888895778E-2</v>
      </c>
      <c r="L95">
        <f t="shared" si="19"/>
        <v>63.996421813092276</v>
      </c>
    </row>
    <row r="96" spans="1:12" x14ac:dyDescent="0.3">
      <c r="A96">
        <v>192</v>
      </c>
      <c r="B96">
        <f t="shared" ref="B96:B100" si="23">L95-L96</f>
        <v>8.2579208361128309</v>
      </c>
      <c r="C96">
        <f t="shared" ref="C96:C125" si="24">B96</f>
        <v>8.2579208361128309</v>
      </c>
      <c r="D96" t="s">
        <v>25</v>
      </c>
      <c r="E96" t="s">
        <v>19</v>
      </c>
      <c r="F96">
        <v>1</v>
      </c>
      <c r="G96">
        <f t="shared" ref="G96:G100" si="25">G95+5</f>
        <v>15</v>
      </c>
      <c r="I96">
        <v>2030</v>
      </c>
      <c r="J96">
        <f t="shared" ref="J96:J100" si="26">AVERAGE(G96:G97)</f>
        <v>17.5</v>
      </c>
      <c r="K96" cm="1">
        <f t="array" ref="K96">STOWA2019_NDJF_T(A96*60,J96,I96,"","upper")</f>
        <v>5.3822760702499514E-2</v>
      </c>
      <c r="L96">
        <f t="shared" si="19"/>
        <v>55.738500976979445</v>
      </c>
    </row>
    <row r="97" spans="1:12" x14ac:dyDescent="0.3">
      <c r="A97">
        <v>192</v>
      </c>
      <c r="B97">
        <f t="shared" si="23"/>
        <v>13.569041580739189</v>
      </c>
      <c r="C97">
        <f t="shared" si="24"/>
        <v>13.569041580739189</v>
      </c>
      <c r="D97" t="s">
        <v>25</v>
      </c>
      <c r="E97" t="s">
        <v>19</v>
      </c>
      <c r="F97">
        <v>1</v>
      </c>
      <c r="G97">
        <f t="shared" si="25"/>
        <v>20</v>
      </c>
      <c r="I97">
        <v>2030</v>
      </c>
      <c r="J97">
        <f t="shared" si="26"/>
        <v>22.5</v>
      </c>
      <c r="K97" cm="1">
        <f t="array" ref="K97">STOWA2019_NDJF_T(A97*60,J97,I97,"","upper")</f>
        <v>7.1141533302830864E-2</v>
      </c>
      <c r="L97">
        <f t="shared" si="19"/>
        <v>42.169459396240256</v>
      </c>
    </row>
    <row r="98" spans="1:12" x14ac:dyDescent="0.3">
      <c r="A98">
        <v>192</v>
      </c>
      <c r="B98">
        <f t="shared" si="23"/>
        <v>10.381246441851797</v>
      </c>
      <c r="C98">
        <f t="shared" si="24"/>
        <v>10.381246441851797</v>
      </c>
      <c r="D98" t="s">
        <v>25</v>
      </c>
      <c r="E98" t="s">
        <v>19</v>
      </c>
      <c r="F98">
        <v>1</v>
      </c>
      <c r="G98">
        <f t="shared" si="25"/>
        <v>25</v>
      </c>
      <c r="I98">
        <v>2030</v>
      </c>
      <c r="J98">
        <f t="shared" si="26"/>
        <v>27.5</v>
      </c>
      <c r="K98" cm="1">
        <f t="array" ref="K98">STOWA2019_NDJF_T(A98*60,J98,I98,"","upper")</f>
        <v>9.4374603703094945E-2</v>
      </c>
      <c r="L98">
        <f t="shared" si="19"/>
        <v>31.78821295438846</v>
      </c>
    </row>
    <row r="99" spans="1:12" x14ac:dyDescent="0.3">
      <c r="A99">
        <v>192</v>
      </c>
      <c r="B99">
        <f t="shared" si="23"/>
        <v>7.9146880464335077</v>
      </c>
      <c r="C99">
        <f t="shared" si="24"/>
        <v>7.9146880464335077</v>
      </c>
      <c r="D99" t="s">
        <v>25</v>
      </c>
      <c r="E99" t="s">
        <v>19</v>
      </c>
      <c r="F99">
        <v>1</v>
      </c>
      <c r="G99">
        <f t="shared" si="25"/>
        <v>30</v>
      </c>
      <c r="I99">
        <v>2030</v>
      </c>
      <c r="J99">
        <f t="shared" si="26"/>
        <v>32.5</v>
      </c>
      <c r="K99" cm="1">
        <f t="array" ref="K99">STOWA2019_NDJF_T(A99*60,J99,I99,"","upper")</f>
        <v>0.12566221417099421</v>
      </c>
      <c r="L99">
        <f t="shared" si="19"/>
        <v>23.873524907954952</v>
      </c>
    </row>
    <row r="100" spans="1:12" x14ac:dyDescent="0.3">
      <c r="A100">
        <v>192</v>
      </c>
      <c r="B100">
        <f t="shared" si="23"/>
        <v>6.0124595806594279</v>
      </c>
      <c r="C100">
        <f t="shared" si="24"/>
        <v>6.0124595806594279</v>
      </c>
      <c r="D100" t="s">
        <v>25</v>
      </c>
      <c r="E100" t="s">
        <v>19</v>
      </c>
      <c r="F100">
        <v>1</v>
      </c>
      <c r="G100">
        <f t="shared" si="25"/>
        <v>35</v>
      </c>
      <c r="I100">
        <v>2030</v>
      </c>
      <c r="J100">
        <f t="shared" si="26"/>
        <v>37.5</v>
      </c>
      <c r="K100" cm="1">
        <f t="array" ref="K100">STOWA2019_NDJF_T(A100*60,J100,I100,"","upper")</f>
        <v>0.16796310550498683</v>
      </c>
      <c r="L100">
        <f t="shared" si="19"/>
        <v>17.861065327295524</v>
      </c>
    </row>
    <row r="101" spans="1:12" x14ac:dyDescent="0.3">
      <c r="A101">
        <v>192</v>
      </c>
      <c r="B101">
        <f>L100-L101</f>
        <v>4.550691252697046</v>
      </c>
      <c r="C101">
        <f t="shared" si="24"/>
        <v>4.550691252697046</v>
      </c>
      <c r="D101" t="s">
        <v>25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STOWA2019_NDJF_T(A101*60,J101,I101,"","upper")</f>
        <v>0.22538810578774046</v>
      </c>
      <c r="L101">
        <f t="shared" si="19"/>
        <v>13.310374074598478</v>
      </c>
    </row>
    <row r="102" spans="1:12" x14ac:dyDescent="0.3">
      <c r="A102">
        <v>192</v>
      </c>
      <c r="B102">
        <f t="shared" ref="B102:B124" si="27">L101-L102</f>
        <v>3.4310681027538585</v>
      </c>
      <c r="C102">
        <f t="shared" si="24"/>
        <v>3.4310681027538585</v>
      </c>
      <c r="D102" t="s">
        <v>25</v>
      </c>
      <c r="E102" t="s">
        <v>19</v>
      </c>
      <c r="F102">
        <v>1</v>
      </c>
      <c r="G102">
        <f t="shared" ref="G102:G125" si="28">G101+5</f>
        <v>45</v>
      </c>
      <c r="I102">
        <v>2030</v>
      </c>
      <c r="J102">
        <f t="shared" ref="J102:J124" si="29">AVERAGE(G102:G103)</f>
        <v>47.5</v>
      </c>
      <c r="K102" cm="1">
        <f t="array" ref="K102">STOWA2019_NDJF_T(A102*60,J102,I102,"","upper")</f>
        <v>0.30366505588042375</v>
      </c>
      <c r="L102">
        <f t="shared" si="19"/>
        <v>9.8793059718446194</v>
      </c>
    </row>
    <row r="103" spans="1:12" x14ac:dyDescent="0.3">
      <c r="A103">
        <v>192</v>
      </c>
      <c r="B103">
        <f t="shared" si="27"/>
        <v>2.5769397429322547</v>
      </c>
      <c r="C103">
        <f t="shared" si="24"/>
        <v>2.5769397429322547</v>
      </c>
      <c r="D103" t="s">
        <v>25</v>
      </c>
      <c r="E103" t="s">
        <v>19</v>
      </c>
      <c r="F103">
        <v>1</v>
      </c>
      <c r="G103">
        <f t="shared" si="28"/>
        <v>50</v>
      </c>
      <c r="I103">
        <v>2030</v>
      </c>
      <c r="J103">
        <f t="shared" si="29"/>
        <v>52.5</v>
      </c>
      <c r="K103" cm="1">
        <f t="array" ref="K103">STOWA2019_NDJF_T(A103*60,J103,I103,"","upper")</f>
        <v>0.41082573866564737</v>
      </c>
      <c r="L103">
        <f t="shared" si="19"/>
        <v>7.3023662289123648</v>
      </c>
    </row>
    <row r="104" spans="1:12" x14ac:dyDescent="0.3">
      <c r="A104">
        <v>192</v>
      </c>
      <c r="B104">
        <f t="shared" si="27"/>
        <v>1.9277391159324715</v>
      </c>
      <c r="C104">
        <f t="shared" si="24"/>
        <v>1.9277391159324715</v>
      </c>
      <c r="D104" t="s">
        <v>25</v>
      </c>
      <c r="E104" t="s">
        <v>19</v>
      </c>
      <c r="F104">
        <v>1</v>
      </c>
      <c r="G104">
        <f t="shared" si="28"/>
        <v>55</v>
      </c>
      <c r="I104">
        <v>2030</v>
      </c>
      <c r="J104">
        <f t="shared" si="29"/>
        <v>57.5</v>
      </c>
      <c r="K104" cm="1">
        <f t="array" ref="K104">STOWA2019_NDJF_T(A104*60,J104,I104,"","upper")</f>
        <v>0.55817825812602062</v>
      </c>
      <c r="L104">
        <f t="shared" si="19"/>
        <v>5.3746271129798933</v>
      </c>
    </row>
    <row r="105" spans="1:12" x14ac:dyDescent="0.3">
      <c r="A105">
        <v>192</v>
      </c>
      <c r="B105">
        <f t="shared" si="27"/>
        <v>1.4361598080571722</v>
      </c>
      <c r="C105">
        <f t="shared" si="24"/>
        <v>1.4361598080571722</v>
      </c>
      <c r="D105" t="s">
        <v>25</v>
      </c>
      <c r="E105" t="s">
        <v>19</v>
      </c>
      <c r="F105">
        <v>1</v>
      </c>
      <c r="G105">
        <f t="shared" si="28"/>
        <v>60</v>
      </c>
      <c r="I105">
        <v>2030</v>
      </c>
      <c r="J105">
        <f t="shared" si="29"/>
        <v>62.5</v>
      </c>
      <c r="K105" cm="1">
        <f t="array" ref="K105">STOWA2019_NDJF_T(A105*60,J105,I105,"","upper")</f>
        <v>0.76171763473833509</v>
      </c>
      <c r="L105">
        <f t="shared" si="19"/>
        <v>3.938467304922721</v>
      </c>
    </row>
    <row r="106" spans="1:12" x14ac:dyDescent="0.3">
      <c r="A106">
        <v>192</v>
      </c>
      <c r="B106">
        <f t="shared" si="27"/>
        <v>1.0651864755684377</v>
      </c>
      <c r="C106">
        <f t="shared" si="24"/>
        <v>1.0651864755684377</v>
      </c>
      <c r="D106" t="s">
        <v>25</v>
      </c>
      <c r="E106" t="s">
        <v>19</v>
      </c>
      <c r="F106">
        <v>1</v>
      </c>
      <c r="G106">
        <f t="shared" si="28"/>
        <v>65</v>
      </c>
      <c r="I106">
        <v>2030</v>
      </c>
      <c r="J106">
        <f t="shared" si="29"/>
        <v>67.5</v>
      </c>
      <c r="K106" cm="1">
        <f t="array" ref="K106">STOWA2019_NDJF_T(A106*60,J106,I106,"","upper")</f>
        <v>1.0441026054088123</v>
      </c>
      <c r="L106">
        <f t="shared" si="19"/>
        <v>2.8732808293542833</v>
      </c>
    </row>
    <row r="107" spans="1:12" x14ac:dyDescent="0.3">
      <c r="A107">
        <v>192</v>
      </c>
      <c r="B107">
        <f t="shared" si="27"/>
        <v>0.7869358798887891</v>
      </c>
      <c r="C107">
        <f t="shared" si="24"/>
        <v>0.7869358798887891</v>
      </c>
      <c r="D107" t="s">
        <v>25</v>
      </c>
      <c r="E107" t="s">
        <v>19</v>
      </c>
      <c r="F107">
        <v>1</v>
      </c>
      <c r="G107">
        <f t="shared" si="28"/>
        <v>70</v>
      </c>
      <c r="I107">
        <v>2030</v>
      </c>
      <c r="J107">
        <f t="shared" si="29"/>
        <v>72.5</v>
      </c>
      <c r="K107" cm="1">
        <f t="array" ref="K107">STOWA2019_NDJF_T(A107*60,J107,I107,"","upper")</f>
        <v>1.437921375738263</v>
      </c>
      <c r="L107">
        <f t="shared" si="19"/>
        <v>2.0863449494654942</v>
      </c>
    </row>
    <row r="108" spans="1:12" x14ac:dyDescent="0.3">
      <c r="A108">
        <v>192</v>
      </c>
      <c r="B108">
        <f t="shared" si="27"/>
        <v>0.57863752635369115</v>
      </c>
      <c r="C108">
        <f t="shared" si="24"/>
        <v>0.57863752635369115</v>
      </c>
      <c r="D108" t="s">
        <v>25</v>
      </c>
      <c r="E108" t="s">
        <v>19</v>
      </c>
      <c r="F108">
        <v>1</v>
      </c>
      <c r="G108">
        <f t="shared" si="28"/>
        <v>75</v>
      </c>
      <c r="I108">
        <v>2030</v>
      </c>
      <c r="J108">
        <f t="shared" si="29"/>
        <v>77.5</v>
      </c>
      <c r="K108" cm="1">
        <f t="array" ref="K108">STOWA2019_NDJF_T(A108*60,J108,I108,"","upper")</f>
        <v>1.9897759698020252</v>
      </c>
      <c r="L108">
        <f t="shared" si="19"/>
        <v>1.5077074231118031</v>
      </c>
    </row>
    <row r="109" spans="1:12" x14ac:dyDescent="0.3">
      <c r="A109">
        <v>192</v>
      </c>
      <c r="B109">
        <f t="shared" si="27"/>
        <v>0.42351611305481907</v>
      </c>
      <c r="C109">
        <f t="shared" si="24"/>
        <v>0.42351611305481907</v>
      </c>
      <c r="D109" t="s">
        <v>25</v>
      </c>
      <c r="E109" t="s">
        <v>19</v>
      </c>
      <c r="F109">
        <v>1</v>
      </c>
      <c r="G109">
        <f t="shared" si="28"/>
        <v>80</v>
      </c>
      <c r="I109">
        <v>2030</v>
      </c>
      <c r="J109">
        <f t="shared" si="29"/>
        <v>82.5</v>
      </c>
      <c r="K109" cm="1">
        <f t="array" ref="K109">STOWA2019_NDJF_T(A109*60,J109,I109,"","upper")</f>
        <v>2.767039333530835</v>
      </c>
      <c r="L109">
        <f t="shared" si="19"/>
        <v>1.084191310056984</v>
      </c>
    </row>
    <row r="110" spans="1:12" x14ac:dyDescent="0.3">
      <c r="A110">
        <v>192</v>
      </c>
      <c r="B110">
        <f t="shared" si="27"/>
        <v>0.30849478954550702</v>
      </c>
      <c r="C110">
        <f t="shared" si="24"/>
        <v>0.30849478954550702</v>
      </c>
      <c r="D110" t="s">
        <v>25</v>
      </c>
      <c r="E110" t="s">
        <v>19</v>
      </c>
      <c r="F110">
        <v>1</v>
      </c>
      <c r="G110">
        <f t="shared" si="28"/>
        <v>85</v>
      </c>
      <c r="I110">
        <v>2030</v>
      </c>
      <c r="J110">
        <f t="shared" si="29"/>
        <v>87.5</v>
      </c>
      <c r="K110" cm="1">
        <f t="array" ref="K110">STOWA2019_NDJF_T(A110*60,J110,I110,"","upper")</f>
        <v>3.8674918871904524</v>
      </c>
      <c r="L110">
        <f t="shared" si="19"/>
        <v>0.77569652051147697</v>
      </c>
    </row>
    <row r="111" spans="1:12" x14ac:dyDescent="0.3">
      <c r="A111">
        <v>192</v>
      </c>
      <c r="B111">
        <f t="shared" si="27"/>
        <v>0.22361538536962589</v>
      </c>
      <c r="C111">
        <f t="shared" si="24"/>
        <v>0.22361538536962589</v>
      </c>
      <c r="D111" t="s">
        <v>25</v>
      </c>
      <c r="E111" t="s">
        <v>19</v>
      </c>
      <c r="F111">
        <v>1</v>
      </c>
      <c r="G111">
        <f t="shared" si="28"/>
        <v>90</v>
      </c>
      <c r="I111">
        <v>2030</v>
      </c>
      <c r="J111">
        <f t="shared" si="29"/>
        <v>92.5</v>
      </c>
      <c r="K111" cm="1">
        <f t="array" ref="K111">STOWA2019_NDJF_T(A111*60,J111,I111,"","upper")</f>
        <v>5.4339839002634704</v>
      </c>
      <c r="L111">
        <f t="shared" si="19"/>
        <v>0.55208113514185109</v>
      </c>
    </row>
    <row r="112" spans="1:12" x14ac:dyDescent="0.3">
      <c r="A112">
        <v>192</v>
      </c>
      <c r="B112">
        <f t="shared" si="27"/>
        <v>0.16127283098634942</v>
      </c>
      <c r="C112">
        <f t="shared" si="24"/>
        <v>0.16127283098634942</v>
      </c>
      <c r="D112" t="s">
        <v>25</v>
      </c>
      <c r="E112" t="s">
        <v>19</v>
      </c>
      <c r="F112">
        <v>1</v>
      </c>
      <c r="G112">
        <f t="shared" si="28"/>
        <v>95</v>
      </c>
      <c r="I112">
        <v>2030</v>
      </c>
      <c r="J112">
        <f t="shared" si="29"/>
        <v>97.5</v>
      </c>
      <c r="K112" cm="1">
        <f t="array" ref="K112">STOWA2019_NDJF_T(A112*60,J112,I112,"","upper")</f>
        <v>7.6763977840304731</v>
      </c>
      <c r="L112">
        <f t="shared" si="19"/>
        <v>0.39080830415550166</v>
      </c>
    </row>
    <row r="113" spans="1:12" x14ac:dyDescent="0.3">
      <c r="A113">
        <v>192</v>
      </c>
      <c r="B113">
        <f t="shared" si="27"/>
        <v>0.11569903524585684</v>
      </c>
      <c r="C113">
        <f t="shared" si="24"/>
        <v>0.11569903524585684</v>
      </c>
      <c r="D113" t="s">
        <v>25</v>
      </c>
      <c r="E113" t="s">
        <v>19</v>
      </c>
      <c r="F113">
        <v>1</v>
      </c>
      <c r="G113">
        <f t="shared" si="28"/>
        <v>100</v>
      </c>
      <c r="I113">
        <v>2030</v>
      </c>
      <c r="J113">
        <f t="shared" si="29"/>
        <v>102.5</v>
      </c>
      <c r="K113" cm="1">
        <f t="array" ref="K113">STOWA2019_NDJF_T(A113*60,J113,I113,"","upper")</f>
        <v>10.904757996304738</v>
      </c>
      <c r="L113">
        <f t="shared" si="19"/>
        <v>0.27510926890964482</v>
      </c>
    </row>
    <row r="114" spans="1:12" x14ac:dyDescent="0.3">
      <c r="A114">
        <v>192</v>
      </c>
      <c r="B114">
        <f t="shared" si="27"/>
        <v>8.2560155928865175E-2</v>
      </c>
      <c r="C114">
        <f t="shared" si="24"/>
        <v>8.2560155928865175E-2</v>
      </c>
      <c r="D114" t="s">
        <v>25</v>
      </c>
      <c r="E114" t="s">
        <v>19</v>
      </c>
      <c r="F114">
        <v>1</v>
      </c>
      <c r="G114">
        <f t="shared" si="28"/>
        <v>105</v>
      </c>
      <c r="I114">
        <v>2030</v>
      </c>
      <c r="J114">
        <f t="shared" si="29"/>
        <v>107.5</v>
      </c>
      <c r="K114" cm="1">
        <f t="array" ref="K114">STOWA2019_NDJF_T(A114*60,J114,I114,"","upper")</f>
        <v>15.580440509738736</v>
      </c>
      <c r="L114">
        <f t="shared" si="19"/>
        <v>0.19254911298077965</v>
      </c>
    </row>
    <row r="115" spans="1:12" x14ac:dyDescent="0.3">
      <c r="A115">
        <v>192</v>
      </c>
      <c r="B115">
        <f t="shared" si="27"/>
        <v>5.8582896904385534E-2</v>
      </c>
      <c r="C115">
        <f t="shared" si="24"/>
        <v>5.8582896904385534E-2</v>
      </c>
      <c r="D115" t="s">
        <v>25</v>
      </c>
      <c r="E115" t="s">
        <v>19</v>
      </c>
      <c r="F115">
        <v>1</v>
      </c>
      <c r="G115">
        <f t="shared" si="28"/>
        <v>110</v>
      </c>
      <c r="I115">
        <v>2030</v>
      </c>
      <c r="J115">
        <f t="shared" si="29"/>
        <v>112.5</v>
      </c>
      <c r="K115" cm="1">
        <f t="array" ref="K115">STOWA2019_NDJF_T(A115*60,J115,I115,"","upper")</f>
        <v>22.393705576406315</v>
      </c>
      <c r="L115">
        <f t="shared" si="19"/>
        <v>0.13396621607639411</v>
      </c>
    </row>
    <row r="116" spans="1:12" x14ac:dyDescent="0.3">
      <c r="A116">
        <v>192</v>
      </c>
      <c r="B116">
        <f t="shared" si="27"/>
        <v>4.1331720234280667E-2</v>
      </c>
      <c r="C116">
        <f t="shared" si="24"/>
        <v>4.1331720234280667E-2</v>
      </c>
      <c r="D116" t="s">
        <v>25</v>
      </c>
      <c r="E116" t="s">
        <v>19</v>
      </c>
      <c r="F116">
        <v>1</v>
      </c>
      <c r="G116">
        <f t="shared" si="28"/>
        <v>115</v>
      </c>
      <c r="I116">
        <v>2030</v>
      </c>
      <c r="J116">
        <f t="shared" si="29"/>
        <v>117.5</v>
      </c>
      <c r="K116" cm="1">
        <f t="array" ref="K116">STOWA2019_NDJF_T(A116*60,J116,I116,"","upper")</f>
        <v>32.38534384764408</v>
      </c>
      <c r="L116">
        <f t="shared" si="19"/>
        <v>9.2634495842113446E-2</v>
      </c>
    </row>
    <row r="117" spans="1:12" x14ac:dyDescent="0.3">
      <c r="A117">
        <v>192</v>
      </c>
      <c r="B117">
        <f t="shared" si="27"/>
        <v>2.8986511503306917E-2</v>
      </c>
      <c r="C117">
        <f t="shared" si="24"/>
        <v>2.8986511503306917E-2</v>
      </c>
      <c r="D117" t="s">
        <v>25</v>
      </c>
      <c r="E117" t="s">
        <v>19</v>
      </c>
      <c r="F117">
        <v>1</v>
      </c>
      <c r="G117">
        <f t="shared" si="28"/>
        <v>120</v>
      </c>
      <c r="I117">
        <v>2030</v>
      </c>
      <c r="J117">
        <f t="shared" si="29"/>
        <v>122.5</v>
      </c>
      <c r="K117" cm="1">
        <f t="array" ref="K117">STOWA2019_NDJF_T(A117*60,J117,I117,"","upper")</f>
        <v>47.13424990853769</v>
      </c>
      <c r="L117">
        <f t="shared" si="19"/>
        <v>6.3647984338806529E-2</v>
      </c>
    </row>
    <row r="118" spans="1:12" x14ac:dyDescent="0.3">
      <c r="A118">
        <v>192</v>
      </c>
      <c r="B118">
        <f t="shared" si="27"/>
        <v>2.0203862376268499E-2</v>
      </c>
      <c r="C118">
        <f t="shared" si="24"/>
        <v>2.0203862376268499E-2</v>
      </c>
      <c r="D118" t="s">
        <v>25</v>
      </c>
      <c r="E118" t="s">
        <v>19</v>
      </c>
      <c r="F118">
        <v>1</v>
      </c>
      <c r="G118">
        <f t="shared" si="28"/>
        <v>125</v>
      </c>
      <c r="I118">
        <v>2030</v>
      </c>
      <c r="J118">
        <f t="shared" si="29"/>
        <v>127.5</v>
      </c>
      <c r="K118" cm="1">
        <f t="array" ref="K118">STOWA2019_NDJF_T(A118*60,J118,I118,"","upper")</f>
        <v>69.054221019518067</v>
      </c>
      <c r="L118">
        <f t="shared" si="19"/>
        <v>4.3444121962538031E-2</v>
      </c>
    </row>
    <row r="119" spans="1:12" x14ac:dyDescent="0.3">
      <c r="A119">
        <v>192</v>
      </c>
      <c r="B119">
        <f t="shared" si="27"/>
        <v>1.3992101957944505E-2</v>
      </c>
      <c r="C119">
        <f t="shared" si="24"/>
        <v>1.3992101957944505E-2</v>
      </c>
      <c r="D119" t="s">
        <v>25</v>
      </c>
      <c r="E119" t="s">
        <v>19</v>
      </c>
      <c r="F119">
        <v>1</v>
      </c>
      <c r="G119">
        <f t="shared" si="28"/>
        <v>130</v>
      </c>
      <c r="I119">
        <v>2030</v>
      </c>
      <c r="J119">
        <f t="shared" si="29"/>
        <v>132.5</v>
      </c>
      <c r="K119" cm="1">
        <f t="array" ref="K119">STOWA2019_NDJF_T(A119*60,J119,I119,"","upper")</f>
        <v>101.86058543801413</v>
      </c>
      <c r="L119">
        <f t="shared" si="19"/>
        <v>2.9452020004593526E-2</v>
      </c>
    </row>
    <row r="120" spans="1:12" x14ac:dyDescent="0.3">
      <c r="A120">
        <v>192</v>
      </c>
      <c r="B120">
        <f t="shared" si="27"/>
        <v>9.6265561090441744E-3</v>
      </c>
      <c r="C120">
        <f t="shared" si="24"/>
        <v>9.6265561090441744E-3</v>
      </c>
      <c r="D120" t="s">
        <v>25</v>
      </c>
      <c r="E120" t="s">
        <v>19</v>
      </c>
      <c r="F120">
        <v>1</v>
      </c>
      <c r="G120">
        <f t="shared" si="28"/>
        <v>135</v>
      </c>
      <c r="I120">
        <v>2030</v>
      </c>
      <c r="J120">
        <f t="shared" si="29"/>
        <v>137.5</v>
      </c>
      <c r="K120" cm="1">
        <f t="array" ref="K120">STOWA2019_NDJF_T(A120*60,J120,I120,"","upper")</f>
        <v>151.32054492169914</v>
      </c>
      <c r="L120">
        <f t="shared" si="19"/>
        <v>1.9825463895549351E-2</v>
      </c>
    </row>
    <row r="121" spans="1:12" x14ac:dyDescent="0.3">
      <c r="A121">
        <v>192</v>
      </c>
      <c r="B121">
        <f t="shared" si="27"/>
        <v>6.5776382019548905E-3</v>
      </c>
      <c r="C121">
        <f t="shared" si="24"/>
        <v>6.5776382019548905E-3</v>
      </c>
      <c r="D121" t="s">
        <v>25</v>
      </c>
      <c r="E121" t="s">
        <v>19</v>
      </c>
      <c r="F121">
        <v>1</v>
      </c>
      <c r="G121">
        <f t="shared" si="28"/>
        <v>140</v>
      </c>
      <c r="I121">
        <v>2030</v>
      </c>
      <c r="J121">
        <f t="shared" si="29"/>
        <v>142.5</v>
      </c>
      <c r="K121" cm="1">
        <f t="array" ref="K121">STOWA2019_NDJF_T(A121*60,J121,I121,"","upper")</f>
        <v>226.45225483684834</v>
      </c>
      <c r="L121">
        <f t="shared" si="19"/>
        <v>1.3247825693594461E-2</v>
      </c>
    </row>
    <row r="122" spans="1:12" x14ac:dyDescent="0.3">
      <c r="A122">
        <v>192</v>
      </c>
      <c r="B122">
        <f t="shared" si="27"/>
        <v>4.4624901458170316E-3</v>
      </c>
      <c r="C122">
        <f t="shared" si="24"/>
        <v>4.4624901458170316E-3</v>
      </c>
      <c r="D122" t="s">
        <v>25</v>
      </c>
      <c r="E122" t="s">
        <v>19</v>
      </c>
      <c r="F122">
        <v>1</v>
      </c>
      <c r="G122">
        <f t="shared" si="28"/>
        <v>145</v>
      </c>
      <c r="I122">
        <v>2030</v>
      </c>
      <c r="J122">
        <f t="shared" si="29"/>
        <v>147.5</v>
      </c>
      <c r="K122" cm="1">
        <f t="array" ref="K122">STOWA2019_NDJF_T(A122*60,J122,I122,"","upper")</f>
        <v>341.47813520440428</v>
      </c>
      <c r="L122">
        <f t="shared" si="19"/>
        <v>8.7853355477774293E-3</v>
      </c>
    </row>
    <row r="123" spans="1:12" x14ac:dyDescent="0.3">
      <c r="A123">
        <v>192</v>
      </c>
      <c r="B123">
        <f t="shared" si="27"/>
        <v>3.0052442528951187E-3</v>
      </c>
      <c r="C123">
        <f t="shared" si="24"/>
        <v>3.0052442528951187E-3</v>
      </c>
      <c r="D123" t="s">
        <v>25</v>
      </c>
      <c r="E123" t="s">
        <v>19</v>
      </c>
      <c r="F123">
        <v>1</v>
      </c>
      <c r="G123">
        <f t="shared" si="28"/>
        <v>150</v>
      </c>
      <c r="I123">
        <v>2030</v>
      </c>
      <c r="J123">
        <f t="shared" si="29"/>
        <v>152.5</v>
      </c>
      <c r="K123" cm="1">
        <f t="array" ref="K123">STOWA2019_NDJF_T(A123*60,J123,I123,"","upper")</f>
        <v>519.02294392066062</v>
      </c>
      <c r="L123">
        <f t="shared" si="19"/>
        <v>5.7800912948823106E-3</v>
      </c>
    </row>
    <row r="124" spans="1:12" x14ac:dyDescent="0.3">
      <c r="A124">
        <v>192</v>
      </c>
      <c r="B124">
        <f t="shared" si="27"/>
        <v>2.0083552775662372E-3</v>
      </c>
      <c r="C124">
        <f t="shared" si="24"/>
        <v>2.0083552775662372E-3</v>
      </c>
      <c r="D124" t="s">
        <v>25</v>
      </c>
      <c r="E124" t="s">
        <v>19</v>
      </c>
      <c r="F124">
        <v>1</v>
      </c>
      <c r="G124">
        <f t="shared" si="28"/>
        <v>155</v>
      </c>
      <c r="I124">
        <v>2030</v>
      </c>
      <c r="J124">
        <f t="shared" si="29"/>
        <v>157.5</v>
      </c>
      <c r="K124" cm="1">
        <f t="array" ref="K124">STOWA2019_NDJF_T(A124*60,J124,I124,"","upper")</f>
        <v>795.38970549024998</v>
      </c>
      <c r="L124">
        <f t="shared" si="19"/>
        <v>3.7717360173160734E-3</v>
      </c>
    </row>
    <row r="125" spans="1:12" x14ac:dyDescent="0.3">
      <c r="A125">
        <v>192</v>
      </c>
      <c r="B125" s="1">
        <f>L124</f>
        <v>3.7717360173160734E-3</v>
      </c>
      <c r="C125">
        <f t="shared" si="24"/>
        <v>3.7717360173160734E-3</v>
      </c>
      <c r="D125" t="s">
        <v>25</v>
      </c>
      <c r="E125" t="s">
        <v>19</v>
      </c>
      <c r="F125">
        <v>1</v>
      </c>
      <c r="G125">
        <f t="shared" si="28"/>
        <v>160</v>
      </c>
      <c r="I125">
        <v>2030</v>
      </c>
      <c r="J125">
        <f>AVERAGE(G125:G126)</f>
        <v>85</v>
      </c>
      <c r="K125" cm="1">
        <f t="array" ref="K125">STOWA2019_NDJF_T(A125*60,J125,I125,"","upper")</f>
        <v>3.2691935843951327</v>
      </c>
      <c r="L125">
        <f t="shared" si="19"/>
        <v>0.9176574964296772</v>
      </c>
    </row>
    <row r="126" spans="1:12" x14ac:dyDescent="0.3">
      <c r="A126">
        <v>216</v>
      </c>
      <c r="B126" s="1">
        <f>365.25*24/A126 - L126</f>
        <v>-21.598015730348912</v>
      </c>
      <c r="C126">
        <f>B126</f>
        <v>-21.598015730348912</v>
      </c>
      <c r="D126" t="s">
        <v>25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STOWA2019_NDJF_T(A126*60,J126,I126,"","upper")</f>
        <v>4.8245978017099428E-2</v>
      </c>
      <c r="L126">
        <f t="shared" si="19"/>
        <v>62.181349063682248</v>
      </c>
    </row>
    <row r="127" spans="1:12" x14ac:dyDescent="0.3">
      <c r="A127">
        <v>216</v>
      </c>
      <c r="B127">
        <f t="shared" ref="B127:B131" si="30">L126-L127</f>
        <v>7.2518004095074247</v>
      </c>
      <c r="C127">
        <f t="shared" ref="C127:C156" si="31">B127</f>
        <v>7.2518004095074247</v>
      </c>
      <c r="D127" t="s">
        <v>25</v>
      </c>
      <c r="E127" t="s">
        <v>19</v>
      </c>
      <c r="F127">
        <v>1</v>
      </c>
      <c r="G127">
        <f t="shared" ref="G127:G131" si="32">G126+5</f>
        <v>15</v>
      </c>
      <c r="I127">
        <v>2030</v>
      </c>
      <c r="J127">
        <f t="shared" ref="J127:J131" si="33">AVERAGE(G127:G128)</f>
        <v>17.5</v>
      </c>
      <c r="K127" cm="1">
        <f t="array" ref="K127">STOWA2019_NDJF_T(A127*60,J127,I127,"","upper")</f>
        <v>5.461541326121911E-2</v>
      </c>
      <c r="L127">
        <f t="shared" si="19"/>
        <v>54.929548654174823</v>
      </c>
    </row>
    <row r="128" spans="1:12" x14ac:dyDescent="0.3">
      <c r="A128">
        <v>216</v>
      </c>
      <c r="B128">
        <f t="shared" si="30"/>
        <v>12.190504787120005</v>
      </c>
      <c r="C128">
        <f t="shared" si="31"/>
        <v>12.190504787120005</v>
      </c>
      <c r="D128" t="s">
        <v>25</v>
      </c>
      <c r="E128" t="s">
        <v>19</v>
      </c>
      <c r="F128">
        <v>1</v>
      </c>
      <c r="G128">
        <f t="shared" si="32"/>
        <v>20</v>
      </c>
      <c r="I128">
        <v>2030</v>
      </c>
      <c r="J128">
        <f t="shared" si="33"/>
        <v>22.5</v>
      </c>
      <c r="K128" cm="1">
        <f t="array" ref="K128">STOWA2019_NDJF_T(A128*60,J128,I128,"","upper")</f>
        <v>7.0193428035776328E-2</v>
      </c>
      <c r="L128">
        <f t="shared" si="19"/>
        <v>42.739043867054818</v>
      </c>
    </row>
    <row r="129" spans="1:12" x14ac:dyDescent="0.3">
      <c r="A129">
        <v>216</v>
      </c>
      <c r="B129">
        <f t="shared" si="30"/>
        <v>9.6189259678848202</v>
      </c>
      <c r="C129">
        <f t="shared" si="31"/>
        <v>9.6189259678848202</v>
      </c>
      <c r="D129" t="s">
        <v>25</v>
      </c>
      <c r="E129" t="s">
        <v>19</v>
      </c>
      <c r="F129">
        <v>1</v>
      </c>
      <c r="G129">
        <f t="shared" si="32"/>
        <v>25</v>
      </c>
      <c r="I129">
        <v>2030</v>
      </c>
      <c r="J129">
        <f t="shared" si="33"/>
        <v>27.5</v>
      </c>
      <c r="K129" cm="1">
        <f t="array" ref="K129">STOWA2019_NDJF_T(A129*60,J129,I129,"","upper")</f>
        <v>9.0579387704268446E-2</v>
      </c>
      <c r="L129">
        <f t="shared" si="19"/>
        <v>33.120117899169998</v>
      </c>
    </row>
    <row r="130" spans="1:12" x14ac:dyDescent="0.3">
      <c r="A130">
        <v>216</v>
      </c>
      <c r="B130">
        <f t="shared" si="30"/>
        <v>7.5607100083369048</v>
      </c>
      <c r="C130">
        <f t="shared" si="31"/>
        <v>7.5607100083369048</v>
      </c>
      <c r="D130" t="s">
        <v>25</v>
      </c>
      <c r="E130" t="s">
        <v>19</v>
      </c>
      <c r="F130">
        <v>1</v>
      </c>
      <c r="G130">
        <f t="shared" si="32"/>
        <v>30</v>
      </c>
      <c r="I130">
        <v>2030</v>
      </c>
      <c r="J130">
        <f t="shared" si="33"/>
        <v>32.5</v>
      </c>
      <c r="K130" cm="1">
        <f t="array" ref="K130">STOWA2019_NDJF_T(A130*60,J130,I130,"","upper")</f>
        <v>0.11737361103251351</v>
      </c>
      <c r="L130">
        <f t="shared" si="19"/>
        <v>25.559407890833093</v>
      </c>
    </row>
    <row r="131" spans="1:12" x14ac:dyDescent="0.3">
      <c r="A131">
        <v>216</v>
      </c>
      <c r="B131">
        <f t="shared" si="30"/>
        <v>5.9193831190773665</v>
      </c>
      <c r="C131">
        <f t="shared" si="31"/>
        <v>5.9193831190773665</v>
      </c>
      <c r="D131" t="s">
        <v>25</v>
      </c>
      <c r="E131" t="s">
        <v>19</v>
      </c>
      <c r="F131">
        <v>1</v>
      </c>
      <c r="G131">
        <f t="shared" si="32"/>
        <v>35</v>
      </c>
      <c r="I131">
        <v>2030</v>
      </c>
      <c r="J131">
        <f t="shared" si="33"/>
        <v>37.5</v>
      </c>
      <c r="K131" cm="1">
        <f t="array" ref="K131">STOWA2019_NDJF_T(A131*60,J131,I131,"","upper")</f>
        <v>0.15274929817371172</v>
      </c>
      <c r="L131">
        <f t="shared" ref="L131:L156" si="34">1/K131 * 12/4</f>
        <v>19.640024771755726</v>
      </c>
    </row>
    <row r="132" spans="1:12" x14ac:dyDescent="0.3">
      <c r="A132">
        <v>216</v>
      </c>
      <c r="B132">
        <f>L131-L132</f>
        <v>4.6154325176119428</v>
      </c>
      <c r="C132">
        <f t="shared" si="31"/>
        <v>4.6154325176119428</v>
      </c>
      <c r="D132" t="s">
        <v>25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STOWA2019_NDJF_T(A132*60,J132,I132,"","upper")</f>
        <v>0.19967263997947099</v>
      </c>
      <c r="L132">
        <f t="shared" si="34"/>
        <v>15.024592254143784</v>
      </c>
    </row>
    <row r="133" spans="1:12" x14ac:dyDescent="0.3">
      <c r="A133">
        <v>216</v>
      </c>
      <c r="B133">
        <f t="shared" ref="B133:B155" si="35">L132-L133</f>
        <v>3.5836094765303521</v>
      </c>
      <c r="C133">
        <f t="shared" si="31"/>
        <v>3.5836094765303521</v>
      </c>
      <c r="D133" t="s">
        <v>25</v>
      </c>
      <c r="E133" t="s">
        <v>19</v>
      </c>
      <c r="F133">
        <v>1</v>
      </c>
      <c r="G133">
        <f t="shared" ref="G133:G156" si="36">G132+5</f>
        <v>45</v>
      </c>
      <c r="I133">
        <v>2030</v>
      </c>
      <c r="J133">
        <f t="shared" ref="J133:J155" si="37">AVERAGE(G133:G134)</f>
        <v>47.5</v>
      </c>
      <c r="K133" cm="1">
        <f t="array" ref="K133">STOWA2019_NDJF_T(A133*60,J133,I133,"","upper")</f>
        <v>0.26221523607832881</v>
      </c>
      <c r="L133">
        <f t="shared" si="34"/>
        <v>11.440982777613431</v>
      </c>
    </row>
    <row r="134" spans="1:12" x14ac:dyDescent="0.3">
      <c r="A134">
        <v>216</v>
      </c>
      <c r="B134">
        <f t="shared" si="35"/>
        <v>2.7701432906647714</v>
      </c>
      <c r="C134">
        <f t="shared" si="31"/>
        <v>2.7701432906647714</v>
      </c>
      <c r="D134" t="s">
        <v>25</v>
      </c>
      <c r="E134" t="s">
        <v>19</v>
      </c>
      <c r="F134">
        <v>1</v>
      </c>
      <c r="G134">
        <f t="shared" si="36"/>
        <v>50</v>
      </c>
      <c r="I134">
        <v>2030</v>
      </c>
      <c r="J134">
        <f t="shared" si="37"/>
        <v>52.5</v>
      </c>
      <c r="K134" cm="1">
        <f t="array" ref="K134">STOWA2019_NDJF_T(A134*60,J134,I134,"","upper")</f>
        <v>0.34598726046256506</v>
      </c>
      <c r="L134">
        <f t="shared" si="34"/>
        <v>8.67083948694866</v>
      </c>
    </row>
    <row r="135" spans="1:12" x14ac:dyDescent="0.3">
      <c r="A135">
        <v>216</v>
      </c>
      <c r="B135">
        <f t="shared" si="35"/>
        <v>2.1317689997937865</v>
      </c>
      <c r="C135">
        <f t="shared" si="31"/>
        <v>2.1317689997937865</v>
      </c>
      <c r="D135" t="s">
        <v>25</v>
      </c>
      <c r="E135" t="s">
        <v>19</v>
      </c>
      <c r="F135">
        <v>1</v>
      </c>
      <c r="G135">
        <f t="shared" si="36"/>
        <v>55</v>
      </c>
      <c r="I135">
        <v>2030</v>
      </c>
      <c r="J135">
        <f t="shared" si="37"/>
        <v>57.5</v>
      </c>
      <c r="K135" cm="1">
        <f t="array" ref="K135">STOWA2019_NDJF_T(A135*60,J135,I135,"","upper")</f>
        <v>0.45878080162816676</v>
      </c>
      <c r="L135">
        <f t="shared" si="34"/>
        <v>6.5390704871548735</v>
      </c>
    </row>
    <row r="136" spans="1:12" x14ac:dyDescent="0.3">
      <c r="A136">
        <v>216</v>
      </c>
      <c r="B136">
        <f t="shared" si="35"/>
        <v>1.6327571883137164</v>
      </c>
      <c r="C136">
        <f t="shared" si="31"/>
        <v>1.6327571883137164</v>
      </c>
      <c r="D136" t="s">
        <v>25</v>
      </c>
      <c r="E136" t="s">
        <v>19</v>
      </c>
      <c r="F136">
        <v>1</v>
      </c>
      <c r="G136">
        <f t="shared" si="36"/>
        <v>60</v>
      </c>
      <c r="I136">
        <v>2030</v>
      </c>
      <c r="J136">
        <f t="shared" si="37"/>
        <v>62.5</v>
      </c>
      <c r="K136" cm="1">
        <f t="array" ref="K136">STOWA2019_NDJF_T(A136*60,J136,I136,"","upper")</f>
        <v>0.61145707933257809</v>
      </c>
      <c r="L136">
        <f t="shared" si="34"/>
        <v>4.9063132988411571</v>
      </c>
    </row>
    <row r="137" spans="1:12" x14ac:dyDescent="0.3">
      <c r="A137">
        <v>216</v>
      </c>
      <c r="B137">
        <f t="shared" si="35"/>
        <v>1.244517394267175</v>
      </c>
      <c r="C137">
        <f t="shared" si="31"/>
        <v>1.244517394267175</v>
      </c>
      <c r="D137" t="s">
        <v>25</v>
      </c>
      <c r="E137" t="s">
        <v>19</v>
      </c>
      <c r="F137">
        <v>1</v>
      </c>
      <c r="G137">
        <f t="shared" si="36"/>
        <v>65</v>
      </c>
      <c r="I137">
        <v>2030</v>
      </c>
      <c r="J137">
        <f t="shared" si="37"/>
        <v>67.5</v>
      </c>
      <c r="K137" cm="1">
        <f t="array" ref="K137">STOWA2019_NDJF_T(A137*60,J137,I137,"","upper")</f>
        <v>0.81927012815014433</v>
      </c>
      <c r="L137">
        <f t="shared" si="34"/>
        <v>3.6617959045739821</v>
      </c>
    </row>
    <row r="138" spans="1:12" x14ac:dyDescent="0.3">
      <c r="A138">
        <v>216</v>
      </c>
      <c r="B138">
        <f t="shared" si="35"/>
        <v>0.94365016307266147</v>
      </c>
      <c r="C138">
        <f t="shared" si="31"/>
        <v>0.94365016307266147</v>
      </c>
      <c r="D138" t="s">
        <v>25</v>
      </c>
      <c r="E138" t="s">
        <v>19</v>
      </c>
      <c r="F138">
        <v>1</v>
      </c>
      <c r="G138">
        <f t="shared" si="36"/>
        <v>70</v>
      </c>
      <c r="I138">
        <v>2030</v>
      </c>
      <c r="J138">
        <f t="shared" si="37"/>
        <v>72.5</v>
      </c>
      <c r="K138" cm="1">
        <f t="array" ref="K138">STOWA2019_NDJF_T(A138*60,J138,I138,"","upper")</f>
        <v>1.1036935783814896</v>
      </c>
      <c r="L138">
        <f t="shared" si="34"/>
        <v>2.7181457415013206</v>
      </c>
    </row>
    <row r="139" spans="1:12" x14ac:dyDescent="0.3">
      <c r="A139">
        <v>216</v>
      </c>
      <c r="B139">
        <f t="shared" si="35"/>
        <v>0.71204680064699133</v>
      </c>
      <c r="C139">
        <f t="shared" si="31"/>
        <v>0.71204680064699133</v>
      </c>
      <c r="D139" t="s">
        <v>25</v>
      </c>
      <c r="E139" t="s">
        <v>19</v>
      </c>
      <c r="F139">
        <v>1</v>
      </c>
      <c r="G139">
        <f t="shared" si="36"/>
        <v>75</v>
      </c>
      <c r="I139">
        <v>2030</v>
      </c>
      <c r="J139">
        <f t="shared" si="37"/>
        <v>77.5</v>
      </c>
      <c r="K139" cm="1">
        <f t="array" ref="K139">STOWA2019_NDJF_T(A139*60,J139,I139,"","upper")</f>
        <v>1.49543970085663</v>
      </c>
      <c r="L139">
        <f t="shared" si="34"/>
        <v>2.0060989408543293</v>
      </c>
    </row>
    <row r="140" spans="1:12" x14ac:dyDescent="0.3">
      <c r="A140">
        <v>216</v>
      </c>
      <c r="B140">
        <f t="shared" si="35"/>
        <v>0.53427603394426937</v>
      </c>
      <c r="C140">
        <f t="shared" si="31"/>
        <v>0.53427603394426937</v>
      </c>
      <c r="D140" t="s">
        <v>25</v>
      </c>
      <c r="E140" t="s">
        <v>19</v>
      </c>
      <c r="F140">
        <v>1</v>
      </c>
      <c r="G140">
        <f t="shared" si="36"/>
        <v>80</v>
      </c>
      <c r="I140">
        <v>2030</v>
      </c>
      <c r="J140">
        <f t="shared" si="37"/>
        <v>82.5</v>
      </c>
      <c r="K140" cm="1">
        <f t="array" ref="K140">STOWA2019_NDJF_T(A140*60,J140,I140,"","upper")</f>
        <v>2.0382887003017163</v>
      </c>
      <c r="L140">
        <f t="shared" si="34"/>
        <v>1.4718229069100599</v>
      </c>
    </row>
    <row r="141" spans="1:12" x14ac:dyDescent="0.3">
      <c r="A141">
        <v>216</v>
      </c>
      <c r="B141">
        <f t="shared" si="35"/>
        <v>0.39862239808437616</v>
      </c>
      <c r="C141">
        <f t="shared" si="31"/>
        <v>0.39862239808437616</v>
      </c>
      <c r="D141" t="s">
        <v>25</v>
      </c>
      <c r="E141" t="s">
        <v>19</v>
      </c>
      <c r="F141">
        <v>1</v>
      </c>
      <c r="G141">
        <f t="shared" si="36"/>
        <v>85</v>
      </c>
      <c r="I141">
        <v>2030</v>
      </c>
      <c r="J141">
        <f t="shared" si="37"/>
        <v>87.5</v>
      </c>
      <c r="K141" cm="1">
        <f t="array" ref="K141">STOWA2019_NDJF_T(A141*60,J141,I141,"","upper")</f>
        <v>2.7953769825199366</v>
      </c>
      <c r="L141">
        <f t="shared" si="34"/>
        <v>1.0732005088256837</v>
      </c>
    </row>
    <row r="142" spans="1:12" x14ac:dyDescent="0.3">
      <c r="A142">
        <v>216</v>
      </c>
      <c r="B142">
        <f t="shared" si="35"/>
        <v>0.29565791951825404</v>
      </c>
      <c r="C142">
        <f t="shared" si="31"/>
        <v>0.29565791951825404</v>
      </c>
      <c r="D142" t="s">
        <v>25</v>
      </c>
      <c r="E142" t="s">
        <v>19</v>
      </c>
      <c r="F142">
        <v>1</v>
      </c>
      <c r="G142">
        <f t="shared" si="36"/>
        <v>90</v>
      </c>
      <c r="I142">
        <v>2030</v>
      </c>
      <c r="J142">
        <f t="shared" si="37"/>
        <v>92.5</v>
      </c>
      <c r="K142" cm="1">
        <f t="array" ref="K142">STOWA2019_NDJF_T(A142*60,J142,I142,"","upper")</f>
        <v>3.858309552756654</v>
      </c>
      <c r="L142">
        <f t="shared" si="34"/>
        <v>0.7775425893074297</v>
      </c>
    </row>
    <row r="143" spans="1:12" x14ac:dyDescent="0.3">
      <c r="A143">
        <v>216</v>
      </c>
      <c r="B143">
        <f t="shared" si="35"/>
        <v>0.21796036394314755</v>
      </c>
      <c r="C143">
        <f t="shared" si="31"/>
        <v>0.21796036394314755</v>
      </c>
      <c r="D143" t="s">
        <v>25</v>
      </c>
      <c r="E143" t="s">
        <v>19</v>
      </c>
      <c r="F143">
        <v>1</v>
      </c>
      <c r="G143">
        <f t="shared" si="36"/>
        <v>95</v>
      </c>
      <c r="I143">
        <v>2030</v>
      </c>
      <c r="J143">
        <f t="shared" si="37"/>
        <v>97.5</v>
      </c>
      <c r="K143" cm="1">
        <f t="array" ref="K143">STOWA2019_NDJF_T(A143*60,J143,I143,"","upper")</f>
        <v>5.361142409494926</v>
      </c>
      <c r="L143">
        <f t="shared" si="34"/>
        <v>0.55958222536428215</v>
      </c>
    </row>
    <row r="144" spans="1:12" x14ac:dyDescent="0.3">
      <c r="A144">
        <v>216</v>
      </c>
      <c r="B144">
        <f t="shared" si="35"/>
        <v>0.15965232989120715</v>
      </c>
      <c r="C144">
        <f t="shared" si="31"/>
        <v>0.15965232989120715</v>
      </c>
      <c r="D144" t="s">
        <v>25</v>
      </c>
      <c r="E144" t="s">
        <v>19</v>
      </c>
      <c r="F144">
        <v>1</v>
      </c>
      <c r="G144">
        <f t="shared" si="36"/>
        <v>100</v>
      </c>
      <c r="I144">
        <v>2030</v>
      </c>
      <c r="J144">
        <f t="shared" si="37"/>
        <v>102.5</v>
      </c>
      <c r="K144" cm="1">
        <f t="array" ref="K144">STOWA2019_NDJF_T(A144*60,J144,I144,"","upper")</f>
        <v>7.5013146902941967</v>
      </c>
      <c r="L144">
        <f t="shared" si="34"/>
        <v>0.399929895473075</v>
      </c>
    </row>
    <row r="145" spans="1:12" x14ac:dyDescent="0.3">
      <c r="A145">
        <v>216</v>
      </c>
      <c r="B145">
        <f t="shared" si="35"/>
        <v>0.11617251623664293</v>
      </c>
      <c r="C145">
        <f t="shared" si="31"/>
        <v>0.11617251623664293</v>
      </c>
      <c r="D145" t="s">
        <v>25</v>
      </c>
      <c r="E145" t="s">
        <v>19</v>
      </c>
      <c r="F145">
        <v>1</v>
      </c>
      <c r="G145">
        <f t="shared" si="36"/>
        <v>105</v>
      </c>
      <c r="I145">
        <v>2030</v>
      </c>
      <c r="J145">
        <f t="shared" si="37"/>
        <v>107.5</v>
      </c>
      <c r="K145" cm="1">
        <f t="array" ref="K145">STOWA2019_NDJF_T(A145*60,J145,I145,"","upper")</f>
        <v>10.572412277251626</v>
      </c>
      <c r="L145">
        <f t="shared" si="34"/>
        <v>0.28375737923643207</v>
      </c>
    </row>
    <row r="146" spans="1:12" x14ac:dyDescent="0.3">
      <c r="A146">
        <v>216</v>
      </c>
      <c r="B146">
        <f t="shared" si="35"/>
        <v>8.3947179383887127E-2</v>
      </c>
      <c r="C146">
        <f t="shared" si="31"/>
        <v>8.3947179383887127E-2</v>
      </c>
      <c r="D146" t="s">
        <v>25</v>
      </c>
      <c r="E146" t="s">
        <v>19</v>
      </c>
      <c r="F146">
        <v>1</v>
      </c>
      <c r="G146">
        <f t="shared" si="36"/>
        <v>110</v>
      </c>
      <c r="I146">
        <v>2030</v>
      </c>
      <c r="J146">
        <f t="shared" si="37"/>
        <v>112.5</v>
      </c>
      <c r="K146" cm="1">
        <f t="array" ref="K146">STOWA2019_NDJF_T(A146*60,J146,I146,"","upper")</f>
        <v>15.014248532927384</v>
      </c>
      <c r="L146">
        <f t="shared" si="34"/>
        <v>0.19981019985254495</v>
      </c>
    </row>
    <row r="147" spans="1:12" x14ac:dyDescent="0.3">
      <c r="A147">
        <v>216</v>
      </c>
      <c r="B147">
        <f t="shared" si="35"/>
        <v>6.0222704807142841E-2</v>
      </c>
      <c r="C147">
        <f t="shared" si="31"/>
        <v>6.0222704807142841E-2</v>
      </c>
      <c r="D147" t="s">
        <v>25</v>
      </c>
      <c r="E147" t="s">
        <v>19</v>
      </c>
      <c r="F147">
        <v>1</v>
      </c>
      <c r="G147">
        <f t="shared" si="36"/>
        <v>115</v>
      </c>
      <c r="I147">
        <v>2030</v>
      </c>
      <c r="J147">
        <f t="shared" si="37"/>
        <v>117.5</v>
      </c>
      <c r="K147" cm="1">
        <f t="array" ref="K147">STOWA2019_NDJF_T(A147*60,J147,I147,"","upper")</f>
        <v>21.491896527151106</v>
      </c>
      <c r="L147">
        <f t="shared" si="34"/>
        <v>0.1395874950454021</v>
      </c>
    </row>
    <row r="148" spans="1:12" x14ac:dyDescent="0.3">
      <c r="A148">
        <v>216</v>
      </c>
      <c r="B148">
        <f t="shared" si="35"/>
        <v>4.2877414332424008E-2</v>
      </c>
      <c r="C148">
        <f t="shared" si="31"/>
        <v>4.2877414332424008E-2</v>
      </c>
      <c r="D148" t="s">
        <v>25</v>
      </c>
      <c r="E148" t="s">
        <v>19</v>
      </c>
      <c r="F148">
        <v>1</v>
      </c>
      <c r="G148">
        <f t="shared" si="36"/>
        <v>120</v>
      </c>
      <c r="I148">
        <v>2030</v>
      </c>
      <c r="J148">
        <f t="shared" si="37"/>
        <v>122.5</v>
      </c>
      <c r="K148" cm="1">
        <f t="array" ref="K148">STOWA2019_NDJF_T(A148*60,J148,I148,"","upper")</f>
        <v>31.020551093360961</v>
      </c>
      <c r="L148">
        <f t="shared" si="34"/>
        <v>9.6710080712978097E-2</v>
      </c>
    </row>
    <row r="149" spans="1:12" x14ac:dyDescent="0.3">
      <c r="A149">
        <v>216</v>
      </c>
      <c r="B149">
        <f t="shared" si="35"/>
        <v>3.0285951152838261E-2</v>
      </c>
      <c r="C149">
        <f t="shared" si="31"/>
        <v>3.0285951152838261E-2</v>
      </c>
      <c r="D149" t="s">
        <v>25</v>
      </c>
      <c r="E149" t="s">
        <v>19</v>
      </c>
      <c r="F149">
        <v>1</v>
      </c>
      <c r="G149">
        <f t="shared" si="36"/>
        <v>125</v>
      </c>
      <c r="I149">
        <v>2030</v>
      </c>
      <c r="J149">
        <f t="shared" si="37"/>
        <v>127.5</v>
      </c>
      <c r="K149" cm="1">
        <f t="array" ref="K149">STOWA2019_NDJF_T(A149*60,J149,I149,"","upper")</f>
        <v>45.164310317138984</v>
      </c>
      <c r="L149">
        <f t="shared" si="34"/>
        <v>6.6424129560139836E-2</v>
      </c>
    </row>
    <row r="150" spans="1:12" x14ac:dyDescent="0.3">
      <c r="A150">
        <v>216</v>
      </c>
      <c r="B150">
        <f t="shared" si="35"/>
        <v>2.1215019697241336E-2</v>
      </c>
      <c r="C150">
        <f t="shared" si="31"/>
        <v>2.1215019697241336E-2</v>
      </c>
      <c r="D150" t="s">
        <v>25</v>
      </c>
      <c r="E150" t="s">
        <v>19</v>
      </c>
      <c r="F150">
        <v>1</v>
      </c>
      <c r="G150">
        <f t="shared" si="36"/>
        <v>130</v>
      </c>
      <c r="I150">
        <v>2030</v>
      </c>
      <c r="J150">
        <f t="shared" si="37"/>
        <v>132.5</v>
      </c>
      <c r="K150" cm="1">
        <f t="array" ref="K150">STOWA2019_NDJF_T(A150*60,J150,I150,"","upper")</f>
        <v>66.358307188480893</v>
      </c>
      <c r="L150">
        <f t="shared" si="34"/>
        <v>4.52091098628985E-2</v>
      </c>
    </row>
    <row r="151" spans="1:12" x14ac:dyDescent="0.3">
      <c r="A151">
        <v>216</v>
      </c>
      <c r="B151">
        <f t="shared" si="35"/>
        <v>1.4731877956426574E-2</v>
      </c>
      <c r="C151">
        <f t="shared" si="31"/>
        <v>1.4731877956426574E-2</v>
      </c>
      <c r="D151" t="s">
        <v>25</v>
      </c>
      <c r="E151" t="s">
        <v>19</v>
      </c>
      <c r="F151">
        <v>1</v>
      </c>
      <c r="G151">
        <f t="shared" si="36"/>
        <v>135</v>
      </c>
      <c r="I151">
        <v>2030</v>
      </c>
      <c r="J151">
        <f t="shared" si="37"/>
        <v>137.5</v>
      </c>
      <c r="K151" cm="1">
        <f t="array" ref="K151">STOWA2019_NDJF_T(A151*60,J151,I151,"","upper")</f>
        <v>98.434136315474944</v>
      </c>
      <c r="L151">
        <f t="shared" si="34"/>
        <v>3.0477231906471926E-2</v>
      </c>
    </row>
    <row r="152" spans="1:12" x14ac:dyDescent="0.3">
      <c r="A152">
        <v>216</v>
      </c>
      <c r="B152">
        <f t="shared" si="35"/>
        <v>1.0136783750924798E-2</v>
      </c>
      <c r="C152">
        <f t="shared" si="31"/>
        <v>1.0136783750924798E-2</v>
      </c>
      <c r="D152" t="s">
        <v>25</v>
      </c>
      <c r="E152" t="s">
        <v>19</v>
      </c>
      <c r="F152">
        <v>1</v>
      </c>
      <c r="G152">
        <f t="shared" si="36"/>
        <v>140</v>
      </c>
      <c r="I152">
        <v>2030</v>
      </c>
      <c r="J152">
        <f t="shared" si="37"/>
        <v>142.5</v>
      </c>
      <c r="K152" cm="1">
        <f t="array" ref="K152">STOWA2019_NDJF_T(A152*60,J152,I152,"","upper")</f>
        <v>147.4893757039398</v>
      </c>
      <c r="L152">
        <f t="shared" si="34"/>
        <v>2.0340448155547128E-2</v>
      </c>
    </row>
    <row r="153" spans="1:12" x14ac:dyDescent="0.3">
      <c r="A153">
        <v>216</v>
      </c>
      <c r="B153">
        <f t="shared" si="35"/>
        <v>6.9079906992456485E-3</v>
      </c>
      <c r="C153">
        <f t="shared" si="31"/>
        <v>6.9079906992456485E-3</v>
      </c>
      <c r="D153" t="s">
        <v>25</v>
      </c>
      <c r="E153" t="s">
        <v>19</v>
      </c>
      <c r="F153">
        <v>1</v>
      </c>
      <c r="G153">
        <f t="shared" si="36"/>
        <v>145</v>
      </c>
      <c r="I153">
        <v>2030</v>
      </c>
      <c r="J153">
        <f t="shared" si="37"/>
        <v>147.5</v>
      </c>
      <c r="K153" cm="1">
        <f t="array" ref="K153">STOWA2019_NDJF_T(A153*60,J153,I153,"","upper")</f>
        <v>223.33962417224186</v>
      </c>
      <c r="L153">
        <f t="shared" si="34"/>
        <v>1.3432457456301479E-2</v>
      </c>
    </row>
    <row r="154" spans="1:12" x14ac:dyDescent="0.3">
      <c r="A154">
        <v>216</v>
      </c>
      <c r="B154">
        <f t="shared" si="35"/>
        <v>4.6601975682386467E-3</v>
      </c>
      <c r="C154">
        <f t="shared" si="31"/>
        <v>4.6601975682386467E-3</v>
      </c>
      <c r="D154" t="s">
        <v>25</v>
      </c>
      <c r="E154" t="s">
        <v>19</v>
      </c>
      <c r="F154">
        <v>1</v>
      </c>
      <c r="G154">
        <f t="shared" si="36"/>
        <v>150</v>
      </c>
      <c r="I154">
        <v>2030</v>
      </c>
      <c r="J154">
        <f t="shared" si="37"/>
        <v>152.5</v>
      </c>
      <c r="K154" cm="1">
        <f t="array" ref="K154">STOWA2019_NDJF_T(A154*60,J154,I154,"","upper")</f>
        <v>341.98713196839475</v>
      </c>
      <c r="L154">
        <f t="shared" si="34"/>
        <v>8.7722598880628326E-3</v>
      </c>
    </row>
    <row r="155" spans="1:12" x14ac:dyDescent="0.3">
      <c r="A155">
        <v>216</v>
      </c>
      <c r="B155">
        <f t="shared" si="35"/>
        <v>3.1103339536303863E-3</v>
      </c>
      <c r="C155">
        <f t="shared" si="31"/>
        <v>3.1103339536303863E-3</v>
      </c>
      <c r="D155" t="s">
        <v>25</v>
      </c>
      <c r="E155" t="s">
        <v>19</v>
      </c>
      <c r="F155">
        <v>1</v>
      </c>
      <c r="G155">
        <f t="shared" si="36"/>
        <v>155</v>
      </c>
      <c r="I155">
        <v>2030</v>
      </c>
      <c r="J155">
        <f t="shared" si="37"/>
        <v>157.5</v>
      </c>
      <c r="K155" cm="1">
        <f t="array" ref="K155">STOWA2019_NDJF_T(A155*60,J155,I155,"","upper")</f>
        <v>529.85504133068832</v>
      </c>
      <c r="L155">
        <f t="shared" si="34"/>
        <v>5.6619259344324463E-3</v>
      </c>
    </row>
    <row r="156" spans="1:12" x14ac:dyDescent="0.3">
      <c r="A156">
        <v>216</v>
      </c>
      <c r="B156" s="1">
        <f>L155</f>
        <v>5.6619259344324463E-3</v>
      </c>
      <c r="C156">
        <f t="shared" si="31"/>
        <v>5.6619259344324463E-3</v>
      </c>
      <c r="D156" t="s">
        <v>25</v>
      </c>
      <c r="E156" t="s">
        <v>19</v>
      </c>
      <c r="F156">
        <v>1</v>
      </c>
      <c r="G156">
        <f t="shared" si="36"/>
        <v>160</v>
      </c>
      <c r="I156">
        <v>2030</v>
      </c>
      <c r="J156">
        <f>AVERAGE(G156:G157)</f>
        <v>160</v>
      </c>
      <c r="K156" cm="1">
        <f t="array" ref="K156">STOWA2019_NDJF_T(A156*60,J156,I156,"","upper")</f>
        <v>662.57161006521858</v>
      </c>
      <c r="L156">
        <f t="shared" si="34"/>
        <v>4.5278124725336519E-3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2CD07-90EB-4F76-8F50-30A484987D79}">
  <sheetPr codeName="Blad7"/>
  <dimension ref="A1:L156"/>
  <sheetViews>
    <sheetView workbookViewId="0">
      <selection activeCell="L2" sqref="L2"/>
    </sheetView>
  </sheetViews>
  <sheetFormatPr defaultRowHeight="14.4" x14ac:dyDescent="0.3"/>
  <cols>
    <col min="2" max="3" width="12" bestFit="1" customWidth="1"/>
    <col min="4" max="4" width="23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342.47681317189205</v>
      </c>
      <c r="C2">
        <f>B2</f>
        <v>342.47681317189205</v>
      </c>
      <c r="D2" t="s">
        <v>26</v>
      </c>
      <c r="E2" t="s">
        <v>21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STOWA2019_JAARROND_T(A2*60,J2,I2,"","lower")</f>
        <v>6.5866934273275016E-2</v>
      </c>
      <c r="L2">
        <f>1/K2 * 12/8</f>
        <v>22.773186828107967</v>
      </c>
    </row>
    <row r="3" spans="1:12" x14ac:dyDescent="0.3">
      <c r="A3">
        <v>24</v>
      </c>
      <c r="B3">
        <f t="shared" ref="B3:B7" si="0">L2-L3</f>
        <v>6.9865613535804503</v>
      </c>
      <c r="C3">
        <f t="shared" ref="C3:C32" si="1">B3</f>
        <v>6.9865613535804503</v>
      </c>
      <c r="D3" t="s">
        <v>26</v>
      </c>
      <c r="E3" t="s">
        <v>21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STOWA2019_JAARROND_T(A3*60,J3,I3,"","lower")</f>
        <v>9.5017139820053526E-2</v>
      </c>
      <c r="L3">
        <f t="shared" ref="L3:L66" si="4">1/K3 * 12/8</f>
        <v>15.786625474527517</v>
      </c>
    </row>
    <row r="4" spans="1:12" x14ac:dyDescent="0.3">
      <c r="A4">
        <v>24</v>
      </c>
      <c r="B4">
        <f t="shared" si="0"/>
        <v>7.7984138539873928</v>
      </c>
      <c r="C4">
        <f t="shared" si="1"/>
        <v>7.7984138539873928</v>
      </c>
      <c r="D4" t="s">
        <v>26</v>
      </c>
      <c r="E4" t="s">
        <v>21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STOWA2019_JAARROND_T(A4*60,J4,I4,"","lower")</f>
        <v>0.18777669787102827</v>
      </c>
      <c r="L4">
        <f t="shared" si="4"/>
        <v>7.9882116205401239</v>
      </c>
    </row>
    <row r="5" spans="1:12" x14ac:dyDescent="0.3">
      <c r="A5">
        <v>24</v>
      </c>
      <c r="B5">
        <f t="shared" si="0"/>
        <v>3.7019209781871627</v>
      </c>
      <c r="C5">
        <f t="shared" si="1"/>
        <v>3.7019209781871627</v>
      </c>
      <c r="D5" t="s">
        <v>26</v>
      </c>
      <c r="E5" t="s">
        <v>21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STOWA2019_JAARROND_T(A5*60,J5,I5,"","lower")</f>
        <v>0.34995293720366433</v>
      </c>
      <c r="L5">
        <f t="shared" si="4"/>
        <v>4.2862906423529612</v>
      </c>
    </row>
    <row r="6" spans="1:12" x14ac:dyDescent="0.3">
      <c r="A6">
        <v>24</v>
      </c>
      <c r="B6">
        <f t="shared" si="0"/>
        <v>1.8702624751815673</v>
      </c>
      <c r="C6">
        <f t="shared" si="1"/>
        <v>1.8702624751815673</v>
      </c>
      <c r="D6" t="s">
        <v>26</v>
      </c>
      <c r="E6" t="s">
        <v>21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STOWA2019_JAARROND_T(A6*60,J6,I6,"","lower")</f>
        <v>0.62085368886909564</v>
      </c>
      <c r="L6">
        <f t="shared" si="4"/>
        <v>2.4160281671713939</v>
      </c>
    </row>
    <row r="7" spans="1:12" x14ac:dyDescent="0.3">
      <c r="A7">
        <v>24</v>
      </c>
      <c r="B7">
        <f t="shared" si="0"/>
        <v>0.99558973382256655</v>
      </c>
      <c r="C7">
        <f t="shared" si="1"/>
        <v>0.99558973382256655</v>
      </c>
      <c r="D7" t="s">
        <v>26</v>
      </c>
      <c r="E7" t="s">
        <v>21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STOWA2019_JAARROND_T(A7*60,J7,I7,"","lower")</f>
        <v>1.0560119782619499</v>
      </c>
      <c r="L7">
        <f t="shared" si="4"/>
        <v>1.4204384333488274</v>
      </c>
    </row>
    <row r="8" spans="1:12" x14ac:dyDescent="0.3">
      <c r="A8">
        <v>24</v>
      </c>
      <c r="B8">
        <f>L7-L8</f>
        <v>0.55464777808213195</v>
      </c>
      <c r="C8">
        <f t="shared" si="1"/>
        <v>0.55464777808213195</v>
      </c>
      <c r="D8" t="s">
        <v>26</v>
      </c>
      <c r="E8" t="s">
        <v>21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STOWA2019_JAARROND_T(A8*60,J8,I8,"","lower")</f>
        <v>1.732520431902727</v>
      </c>
      <c r="L8">
        <f t="shared" si="4"/>
        <v>0.86579065526669541</v>
      </c>
    </row>
    <row r="9" spans="1:12" x14ac:dyDescent="0.3">
      <c r="A9">
        <v>24</v>
      </c>
      <c r="B9">
        <f t="shared" ref="B9:B31" si="5">L8-L9</f>
        <v>0.32112632553633991</v>
      </c>
      <c r="C9">
        <f t="shared" si="1"/>
        <v>0.32112632553633991</v>
      </c>
      <c r="D9" t="s">
        <v>26</v>
      </c>
      <c r="E9" t="s">
        <v>21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STOWA2019_JAARROND_T(A9*60,J9,I9,"","lower")</f>
        <v>2.7539897843917887</v>
      </c>
      <c r="L9">
        <f t="shared" si="4"/>
        <v>0.5446643297303555</v>
      </c>
    </row>
    <row r="10" spans="1:12" x14ac:dyDescent="0.3">
      <c r="A10">
        <v>24</v>
      </c>
      <c r="B10">
        <f t="shared" si="5"/>
        <v>0.19235996936633448</v>
      </c>
      <c r="C10">
        <f t="shared" si="1"/>
        <v>0.19235996936633448</v>
      </c>
      <c r="D10" t="s">
        <v>26</v>
      </c>
      <c r="E10" t="s">
        <v>21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STOWA2019_JAARROND_T(A10*60,J10,I10,"","lower")</f>
        <v>4.2576821883501932</v>
      </c>
      <c r="L10">
        <f t="shared" si="4"/>
        <v>0.35230436036402102</v>
      </c>
    </row>
    <row r="11" spans="1:12" x14ac:dyDescent="0.3">
      <c r="A11">
        <v>24</v>
      </c>
      <c r="B11">
        <f t="shared" si="5"/>
        <v>0.11873882159258897</v>
      </c>
      <c r="C11">
        <f t="shared" si="1"/>
        <v>0.11873882159258897</v>
      </c>
      <c r="D11" t="s">
        <v>26</v>
      </c>
      <c r="E11" t="s">
        <v>21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STOWA2019_JAARROND_T(A11*60,J11,I11,"","lower")</f>
        <v>6.4221802920502951</v>
      </c>
      <c r="L11">
        <f t="shared" si="4"/>
        <v>0.23356553877143205</v>
      </c>
    </row>
    <row r="12" spans="1:12" x14ac:dyDescent="0.3">
      <c r="A12">
        <v>24</v>
      </c>
      <c r="B12">
        <f t="shared" si="5"/>
        <v>7.5272756316261485E-2</v>
      </c>
      <c r="C12">
        <f t="shared" si="1"/>
        <v>7.5272756316261485E-2</v>
      </c>
      <c r="D12" t="s">
        <v>26</v>
      </c>
      <c r="E12" t="s">
        <v>21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STOWA2019_JAARROND_T(A12*60,J12,I12,"","lower")</f>
        <v>9.4761111450220969</v>
      </c>
      <c r="L12">
        <f t="shared" si="4"/>
        <v>0.15829278245517056</v>
      </c>
    </row>
    <row r="13" spans="1:12" x14ac:dyDescent="0.3">
      <c r="A13">
        <v>24</v>
      </c>
      <c r="B13">
        <f t="shared" si="5"/>
        <v>4.8873971600827015E-2</v>
      </c>
      <c r="C13">
        <f t="shared" si="1"/>
        <v>4.8873971600827015E-2</v>
      </c>
      <c r="D13" t="s">
        <v>26</v>
      </c>
      <c r="E13" t="s">
        <v>21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STOWA2019_JAARROND_T(A13*60,J13,I13,"","lower")</f>
        <v>13.708794569123718</v>
      </c>
      <c r="L13">
        <f t="shared" si="4"/>
        <v>0.10941881085434355</v>
      </c>
    </row>
    <row r="14" spans="1:12" x14ac:dyDescent="0.3">
      <c r="A14">
        <v>24</v>
      </c>
      <c r="B14">
        <f t="shared" si="5"/>
        <v>3.241955538304378E-2</v>
      </c>
      <c r="C14">
        <f t="shared" si="1"/>
        <v>3.241955538304378E-2</v>
      </c>
      <c r="D14" t="s">
        <v>26</v>
      </c>
      <c r="E14" t="s">
        <v>21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STOWA2019_JAARROND_T(A14*60,J14,I14,"","lower")</f>
        <v>19.480707843455718</v>
      </c>
      <c r="L14">
        <f t="shared" si="4"/>
        <v>7.6999255471299766E-2</v>
      </c>
    </row>
    <row r="15" spans="1:12" x14ac:dyDescent="0.3">
      <c r="A15">
        <v>24</v>
      </c>
      <c r="B15">
        <f t="shared" si="5"/>
        <v>2.1929400747991615E-2</v>
      </c>
      <c r="C15">
        <f t="shared" si="1"/>
        <v>2.1929400747991615E-2</v>
      </c>
      <c r="D15" t="s">
        <v>26</v>
      </c>
      <c r="E15" t="s">
        <v>21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STOWA2019_JAARROND_T(A15*60,J15,I15,"","lower")</f>
        <v>27.238132505280237</v>
      </c>
      <c r="L15">
        <f t="shared" si="4"/>
        <v>5.5069854723308151E-2</v>
      </c>
    </row>
    <row r="16" spans="1:12" x14ac:dyDescent="0.3">
      <c r="A16">
        <v>24</v>
      </c>
      <c r="B16">
        <f t="shared" si="5"/>
        <v>1.5097587263180709E-2</v>
      </c>
      <c r="C16">
        <f t="shared" si="1"/>
        <v>1.5097587263180709E-2</v>
      </c>
      <c r="D16" t="s">
        <v>26</v>
      </c>
      <c r="E16" t="s">
        <v>21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STOWA2019_JAARROND_T(A16*60,J16,I16,"","lower")</f>
        <v>37.526017294271796</v>
      </c>
      <c r="L16">
        <f t="shared" si="4"/>
        <v>3.9972267460127442E-2</v>
      </c>
    </row>
    <row r="17" spans="1:12" x14ac:dyDescent="0.3">
      <c r="A17">
        <v>24</v>
      </c>
      <c r="B17">
        <f t="shared" si="5"/>
        <v>1.0563077675710228E-2</v>
      </c>
      <c r="C17">
        <f t="shared" si="1"/>
        <v>1.0563077675710228E-2</v>
      </c>
      <c r="D17" t="s">
        <v>26</v>
      </c>
      <c r="E17" t="s">
        <v>21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STOWA2019_JAARROND_T(A17*60,J17,I17,"","lower")</f>
        <v>51.004465304746056</v>
      </c>
      <c r="L17">
        <f t="shared" si="4"/>
        <v>2.9409189784417214E-2</v>
      </c>
    </row>
    <row r="18" spans="1:12" x14ac:dyDescent="0.3">
      <c r="A18">
        <v>24</v>
      </c>
      <c r="B18">
        <f t="shared" si="5"/>
        <v>7.5012147906538748E-3</v>
      </c>
      <c r="C18">
        <f t="shared" si="1"/>
        <v>7.5012147906538748E-3</v>
      </c>
      <c r="D18" t="s">
        <v>26</v>
      </c>
      <c r="E18" t="s">
        <v>21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STOWA2019_JAARROND_T(A18*60,J18,I18,"","lower")</f>
        <v>68.468217643438663</v>
      </c>
      <c r="L18">
        <f t="shared" si="4"/>
        <v>2.1907974993763339E-2</v>
      </c>
    </row>
    <row r="19" spans="1:12" x14ac:dyDescent="0.3">
      <c r="A19">
        <v>24</v>
      </c>
      <c r="B19">
        <f t="shared" si="5"/>
        <v>5.3996199388186214E-3</v>
      </c>
      <c r="C19">
        <f t="shared" si="1"/>
        <v>5.3996199388186214E-3</v>
      </c>
      <c r="D19" t="s">
        <v>26</v>
      </c>
      <c r="E19" t="s">
        <v>21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STOWA2019_JAARROND_T(A19*60,J19,I19,"","lower")</f>
        <v>90.86308084648978</v>
      </c>
      <c r="L19">
        <f t="shared" si="4"/>
        <v>1.6508355054944718E-2</v>
      </c>
    </row>
    <row r="20" spans="1:12" x14ac:dyDescent="0.3">
      <c r="A20">
        <v>24</v>
      </c>
      <c r="B20">
        <f t="shared" si="5"/>
        <v>3.9361742593327972E-3</v>
      </c>
      <c r="C20">
        <f t="shared" si="1"/>
        <v>3.9361742593327972E-3</v>
      </c>
      <c r="D20" t="s">
        <v>26</v>
      </c>
      <c r="E20" t="s">
        <v>21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STOWA2019_JAARROND_T(A20*60,J20,I20,"","lower")</f>
        <v>119.31104272088947</v>
      </c>
      <c r="L20">
        <f t="shared" si="4"/>
        <v>1.2572180795611921E-2</v>
      </c>
    </row>
    <row r="21" spans="1:12" x14ac:dyDescent="0.3">
      <c r="A21">
        <v>24</v>
      </c>
      <c r="B21">
        <f t="shared" si="5"/>
        <v>2.9029941984730825E-3</v>
      </c>
      <c r="C21">
        <f t="shared" si="1"/>
        <v>2.9029941984730825E-3</v>
      </c>
      <c r="D21" t="s">
        <v>26</v>
      </c>
      <c r="E21" t="s">
        <v>21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STOWA2019_JAARROND_T(A21*60,J21,I21,"","lower")</f>
        <v>155.13197360818933</v>
      </c>
      <c r="L21">
        <f t="shared" si="4"/>
        <v>9.6691865971388381E-3</v>
      </c>
    </row>
    <row r="22" spans="1:12" x14ac:dyDescent="0.3">
      <c r="A22">
        <v>24</v>
      </c>
      <c r="B22">
        <f t="shared" si="5"/>
        <v>2.1643604273639955E-3</v>
      </c>
      <c r="C22">
        <f t="shared" si="1"/>
        <v>2.1643604273639955E-3</v>
      </c>
      <c r="D22" t="s">
        <v>26</v>
      </c>
      <c r="E22" t="s">
        <v>21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STOWA2019_JAARROND_T(A22*60,J22,I22,"","lower")</f>
        <v>199.8713849017775</v>
      </c>
      <c r="L22">
        <f t="shared" si="4"/>
        <v>7.5048261697748427E-3</v>
      </c>
    </row>
    <row r="23" spans="1:12" x14ac:dyDescent="0.3">
      <c r="A23">
        <v>24</v>
      </c>
      <c r="B23">
        <f t="shared" si="5"/>
        <v>1.6299130822092006E-3</v>
      </c>
      <c r="C23">
        <f t="shared" si="1"/>
        <v>1.6299130822092006E-3</v>
      </c>
      <c r="D23" t="s">
        <v>26</v>
      </c>
      <c r="E23" t="s">
        <v>21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STOWA2019_JAARROND_T(A23*60,J23,I23,"","lower")</f>
        <v>255.32292608290268</v>
      </c>
      <c r="L23">
        <f t="shared" si="4"/>
        <v>5.8749130875656421E-3</v>
      </c>
    </row>
    <row r="24" spans="1:12" x14ac:dyDescent="0.3">
      <c r="A24">
        <v>24</v>
      </c>
      <c r="B24">
        <f t="shared" si="5"/>
        <v>1.2390834996830078E-3</v>
      </c>
      <c r="C24">
        <f t="shared" si="1"/>
        <v>1.2390834996830078E-3</v>
      </c>
      <c r="D24" t="s">
        <v>26</v>
      </c>
      <c r="E24" t="s">
        <v>21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STOWA2019_JAARROND_T(A24*60,J24,I24,"","lower")</f>
        <v>323.56668241662197</v>
      </c>
      <c r="L24">
        <f t="shared" si="4"/>
        <v>4.6358295878826342E-3</v>
      </c>
    </row>
    <row r="25" spans="1:12" x14ac:dyDescent="0.3">
      <c r="A25">
        <v>24</v>
      </c>
      <c r="B25">
        <f t="shared" si="5"/>
        <v>9.5029949280533207E-4</v>
      </c>
      <c r="C25">
        <f t="shared" si="1"/>
        <v>9.5029949280533207E-4</v>
      </c>
      <c r="D25" t="s">
        <v>26</v>
      </c>
      <c r="E25" t="s">
        <v>21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STOWA2019_JAARROND_T(A25*60,J25,I25,"","lower")</f>
        <v>406.99708354125875</v>
      </c>
      <c r="L25">
        <f t="shared" si="4"/>
        <v>3.6855300950773022E-3</v>
      </c>
    </row>
    <row r="26" spans="1:12" x14ac:dyDescent="0.3">
      <c r="A26">
        <v>24</v>
      </c>
      <c r="B26">
        <f t="shared" si="5"/>
        <v>7.3484439754866295E-4</v>
      </c>
      <c r="C26">
        <f t="shared" si="1"/>
        <v>7.3484439754866295E-4</v>
      </c>
      <c r="D26" t="s">
        <v>26</v>
      </c>
      <c r="E26" t="s">
        <v>21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STOWA2019_JAARROND_T(A26*60,J26,I26,"","lower")</f>
        <v>508.35641398754609</v>
      </c>
      <c r="L26">
        <f t="shared" si="4"/>
        <v>2.9506856975286392E-3</v>
      </c>
    </row>
    <row r="27" spans="1:12" x14ac:dyDescent="0.3">
      <c r="A27">
        <v>24</v>
      </c>
      <c r="B27">
        <f t="shared" si="5"/>
        <v>5.7269579783859013E-4</v>
      </c>
      <c r="C27">
        <f t="shared" si="1"/>
        <v>5.7269579783859013E-4</v>
      </c>
      <c r="D27" t="s">
        <v>26</v>
      </c>
      <c r="E27" t="s">
        <v>21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STOWA2019_JAARROND_T(A27*60,J27,I27,"","lower")</f>
        <v>630.7848490843096</v>
      </c>
      <c r="L27">
        <f t="shared" si="4"/>
        <v>2.3779898996900491E-3</v>
      </c>
    </row>
    <row r="28" spans="1:12" x14ac:dyDescent="0.3">
      <c r="A28">
        <v>24</v>
      </c>
      <c r="B28">
        <f t="shared" si="5"/>
        <v>4.4958313812677123E-4</v>
      </c>
      <c r="C28">
        <f t="shared" si="1"/>
        <v>4.4958313812677123E-4</v>
      </c>
      <c r="D28" t="s">
        <v>26</v>
      </c>
      <c r="E28" t="s">
        <v>21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STOWA2019_JAARROND_T(A28*60,J28,I28,"","lower")</f>
        <v>777.84419236531483</v>
      </c>
      <c r="L28">
        <f t="shared" si="4"/>
        <v>1.9284067615632778E-3</v>
      </c>
    </row>
    <row r="29" spans="1:12" x14ac:dyDescent="0.3">
      <c r="A29">
        <v>24</v>
      </c>
      <c r="B29">
        <f t="shared" si="5"/>
        <v>3.5537506520739613E-4</v>
      </c>
      <c r="C29">
        <f t="shared" si="1"/>
        <v>3.5537506520739613E-4</v>
      </c>
      <c r="D29" t="s">
        <v>26</v>
      </c>
      <c r="E29" t="s">
        <v>21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STOWA2019_JAARROND_T(A29*60,J29,I29,"","lower")</f>
        <v>953.57264794786488</v>
      </c>
      <c r="L29">
        <f t="shared" si="4"/>
        <v>1.5730316963558817E-3</v>
      </c>
    </row>
    <row r="30" spans="1:12" x14ac:dyDescent="0.3">
      <c r="A30">
        <v>24</v>
      </c>
      <c r="B30">
        <f t="shared" si="5"/>
        <v>2.8274127604293394E-4</v>
      </c>
      <c r="C30">
        <f t="shared" si="1"/>
        <v>2.8274127604293394E-4</v>
      </c>
      <c r="D30" t="s">
        <v>26</v>
      </c>
      <c r="E30" t="s">
        <v>21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STOWA2019_JAARROND_T(A30*60,J30,I30,"","lower")</f>
        <v>1162.5289751714884</v>
      </c>
      <c r="L30">
        <f t="shared" si="4"/>
        <v>1.2902904203129478E-3</v>
      </c>
    </row>
    <row r="31" spans="1:12" x14ac:dyDescent="0.3">
      <c r="A31">
        <v>24</v>
      </c>
      <c r="B31">
        <f t="shared" si="5"/>
        <v>2.2633635167783935E-4</v>
      </c>
      <c r="C31">
        <f t="shared" si="1"/>
        <v>2.2633635167783935E-4</v>
      </c>
      <c r="D31" t="s">
        <v>26</v>
      </c>
      <c r="E31" t="s">
        <v>21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STOWA2019_JAARROND_T(A31*60,J31,I31,"","lower")</f>
        <v>1409.835296672414</v>
      </c>
      <c r="L31">
        <f t="shared" si="4"/>
        <v>1.0639540686351084E-3</v>
      </c>
    </row>
    <row r="32" spans="1:12" x14ac:dyDescent="0.3">
      <c r="A32">
        <v>24</v>
      </c>
      <c r="B32" s="1">
        <f>L31</f>
        <v>1.0639540686351084E-3</v>
      </c>
      <c r="C32">
        <f t="shared" si="1"/>
        <v>1.0639540686351084E-3</v>
      </c>
      <c r="D32" t="s">
        <v>26</v>
      </c>
      <c r="E32" t="s">
        <v>21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STOWA2019_JAARROND_T(A32*60,J32,I32,"","lower")</f>
        <v>43.820322025778125</v>
      </c>
      <c r="L32">
        <f t="shared" si="4"/>
        <v>3.4230693218493397E-2</v>
      </c>
    </row>
    <row r="33" spans="1:12" x14ac:dyDescent="0.3">
      <c r="A33">
        <v>48</v>
      </c>
      <c r="B33" s="1">
        <f>365.25*24/A33 - L33</f>
        <v>141.2143239838359</v>
      </c>
      <c r="C33">
        <f>B33</f>
        <v>141.2143239838359</v>
      </c>
      <c r="D33" t="s">
        <v>26</v>
      </c>
      <c r="E33" t="s">
        <v>21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STOWA2019_JAARROND_T(A33*60,J33,I33,"","lower")</f>
        <v>3.622254317738003E-2</v>
      </c>
      <c r="L33">
        <f t="shared" si="4"/>
        <v>41.410676016164103</v>
      </c>
    </row>
    <row r="34" spans="1:12" x14ac:dyDescent="0.3">
      <c r="A34">
        <v>48</v>
      </c>
      <c r="B34">
        <f t="shared" ref="B34:B38" si="8">L33-L34</f>
        <v>11.033194752224972</v>
      </c>
      <c r="C34">
        <f t="shared" ref="C34:C63" si="9">B34</f>
        <v>11.033194752224972</v>
      </c>
      <c r="D34" t="s">
        <v>26</v>
      </c>
      <c r="E34" t="s">
        <v>21</v>
      </c>
      <c r="F34">
        <v>1</v>
      </c>
      <c r="G34">
        <f t="shared" ref="G34:G38" si="10">G33+5</f>
        <v>15</v>
      </c>
      <c r="I34">
        <v>2030</v>
      </c>
      <c r="J34">
        <f t="shared" ref="J34:J38" si="11">AVERAGE(G34:G35)</f>
        <v>17.5</v>
      </c>
      <c r="K34" cm="1">
        <f t="array" ref="K34">STOWA2019_JAARROND_T(A34*60,J34,I34,"","lower")</f>
        <v>4.9378682418303003E-2</v>
      </c>
      <c r="L34">
        <f t="shared" si="4"/>
        <v>30.377481263939131</v>
      </c>
    </row>
    <row r="35" spans="1:12" x14ac:dyDescent="0.3">
      <c r="A35">
        <v>48</v>
      </c>
      <c r="B35">
        <f t="shared" si="8"/>
        <v>13.547754752512837</v>
      </c>
      <c r="C35">
        <f t="shared" si="9"/>
        <v>13.547754752512837</v>
      </c>
      <c r="D35" t="s">
        <v>26</v>
      </c>
      <c r="E35" t="s">
        <v>21</v>
      </c>
      <c r="F35">
        <v>1</v>
      </c>
      <c r="G35">
        <f t="shared" si="10"/>
        <v>20</v>
      </c>
      <c r="I35">
        <v>2030</v>
      </c>
      <c r="J35">
        <f t="shared" si="11"/>
        <v>22.5</v>
      </c>
      <c r="K35" cm="1">
        <f t="array" ref="K35">STOWA2019_JAARROND_T(A35*60,J35,I35,"","lower")</f>
        <v>8.9128008050611954E-2</v>
      </c>
      <c r="L35">
        <f t="shared" si="4"/>
        <v>16.829726511426294</v>
      </c>
    </row>
    <row r="36" spans="1:12" x14ac:dyDescent="0.3">
      <c r="A36">
        <v>48</v>
      </c>
      <c r="B36">
        <f t="shared" si="8"/>
        <v>7.1823875126460699</v>
      </c>
      <c r="C36">
        <f t="shared" si="9"/>
        <v>7.1823875126460699</v>
      </c>
      <c r="D36" t="s">
        <v>26</v>
      </c>
      <c r="E36" t="s">
        <v>21</v>
      </c>
      <c r="F36">
        <v>1</v>
      </c>
      <c r="G36">
        <f t="shared" si="10"/>
        <v>25</v>
      </c>
      <c r="I36">
        <v>2030</v>
      </c>
      <c r="J36">
        <f t="shared" si="11"/>
        <v>27.5</v>
      </c>
      <c r="K36" cm="1">
        <f t="array" ref="K36">STOWA2019_JAARROND_T(A36*60,J36,I36,"","lower")</f>
        <v>0.15548328924583812</v>
      </c>
      <c r="L36">
        <f t="shared" si="4"/>
        <v>9.6473389987802243</v>
      </c>
    </row>
    <row r="37" spans="1:12" x14ac:dyDescent="0.3">
      <c r="A37">
        <v>48</v>
      </c>
      <c r="B37">
        <f t="shared" si="8"/>
        <v>3.9487593814713122</v>
      </c>
      <c r="C37">
        <f t="shared" si="9"/>
        <v>3.9487593814713122</v>
      </c>
      <c r="D37" t="s">
        <v>26</v>
      </c>
      <c r="E37" t="s">
        <v>21</v>
      </c>
      <c r="F37">
        <v>1</v>
      </c>
      <c r="G37">
        <f t="shared" si="10"/>
        <v>30</v>
      </c>
      <c r="I37">
        <v>2030</v>
      </c>
      <c r="J37">
        <f t="shared" si="11"/>
        <v>32.5</v>
      </c>
      <c r="K37" cm="1">
        <f t="array" ref="K37">STOWA2019_JAARROND_T(A37*60,J37,I37,"","lower")</f>
        <v>0.26322348738339774</v>
      </c>
      <c r="L37">
        <f t="shared" si="4"/>
        <v>5.698579617308912</v>
      </c>
    </row>
    <row r="38" spans="1:12" x14ac:dyDescent="0.3">
      <c r="A38">
        <v>48</v>
      </c>
      <c r="B38">
        <f t="shared" si="8"/>
        <v>2.2412460851804825</v>
      </c>
      <c r="C38">
        <f t="shared" si="9"/>
        <v>2.2412460851804825</v>
      </c>
      <c r="D38" t="s">
        <v>26</v>
      </c>
      <c r="E38" t="s">
        <v>21</v>
      </c>
      <c r="F38">
        <v>1</v>
      </c>
      <c r="G38">
        <f t="shared" si="10"/>
        <v>35</v>
      </c>
      <c r="I38">
        <v>2030</v>
      </c>
      <c r="J38">
        <f t="shared" si="11"/>
        <v>37.5</v>
      </c>
      <c r="K38" cm="1">
        <f t="array" ref="K38">STOWA2019_JAARROND_T(A38*60,J38,I38,"","lower")</f>
        <v>0.43386036841998254</v>
      </c>
      <c r="L38">
        <f t="shared" si="4"/>
        <v>3.4573335321284295</v>
      </c>
    </row>
    <row r="39" spans="1:12" x14ac:dyDescent="0.3">
      <c r="A39">
        <v>48</v>
      </c>
      <c r="B39">
        <f>L38-L39</f>
        <v>1.3085497105131045</v>
      </c>
      <c r="C39">
        <f t="shared" si="9"/>
        <v>1.3085497105131045</v>
      </c>
      <c r="D39" t="s">
        <v>26</v>
      </c>
      <c r="E39" t="s">
        <v>21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STOWA2019_JAARROND_T(A39*60,J39,I39,"","lower")</f>
        <v>0.69806929152714448</v>
      </c>
      <c r="L39">
        <f t="shared" si="4"/>
        <v>2.148783821615325</v>
      </c>
    </row>
    <row r="40" spans="1:12" x14ac:dyDescent="0.3">
      <c r="A40">
        <v>48</v>
      </c>
      <c r="B40">
        <f t="shared" ref="B40:B62" si="12">L39-L40</f>
        <v>0.78361888715389449</v>
      </c>
      <c r="C40">
        <f t="shared" si="9"/>
        <v>0.78361888715389449</v>
      </c>
      <c r="D40" t="s">
        <v>26</v>
      </c>
      <c r="E40" t="s">
        <v>21</v>
      </c>
      <c r="F40">
        <v>1</v>
      </c>
      <c r="G40">
        <f t="shared" ref="G40:G63" si="13">G39+5</f>
        <v>45</v>
      </c>
      <c r="I40">
        <v>2030</v>
      </c>
      <c r="J40">
        <f t="shared" ref="J40:J62" si="14">AVERAGE(G40:G41)</f>
        <v>47.5</v>
      </c>
      <c r="K40" cm="1">
        <f t="array" ref="K40">STOWA2019_JAARROND_T(A40*60,J40,I40,"","lower")</f>
        <v>1.0987683335067224</v>
      </c>
      <c r="L40">
        <f t="shared" si="4"/>
        <v>1.3651649344614305</v>
      </c>
    </row>
    <row r="41" spans="1:12" x14ac:dyDescent="0.3">
      <c r="A41">
        <v>48</v>
      </c>
      <c r="B41">
        <f t="shared" si="12"/>
        <v>0.48051798261013412</v>
      </c>
      <c r="C41">
        <f t="shared" si="9"/>
        <v>0.48051798261013412</v>
      </c>
      <c r="D41" t="s">
        <v>26</v>
      </c>
      <c r="E41" t="s">
        <v>21</v>
      </c>
      <c r="F41">
        <v>1</v>
      </c>
      <c r="G41">
        <f t="shared" si="13"/>
        <v>50</v>
      </c>
      <c r="I41">
        <v>2030</v>
      </c>
      <c r="J41">
        <f t="shared" si="14"/>
        <v>52.5</v>
      </c>
      <c r="K41" cm="1">
        <f t="array" ref="K41">STOWA2019_JAARROND_T(A41*60,J41,I41,"","lower")</f>
        <v>1.6955916672305908</v>
      </c>
      <c r="L41">
        <f t="shared" si="4"/>
        <v>0.88464695185129638</v>
      </c>
    </row>
    <row r="42" spans="1:12" x14ac:dyDescent="0.3">
      <c r="A42">
        <v>48</v>
      </c>
      <c r="B42">
        <f t="shared" si="12"/>
        <v>0.30083025120974449</v>
      </c>
      <c r="C42">
        <f t="shared" si="9"/>
        <v>0.30083025120974449</v>
      </c>
      <c r="D42" t="s">
        <v>26</v>
      </c>
      <c r="E42" t="s">
        <v>21</v>
      </c>
      <c r="F42">
        <v>1</v>
      </c>
      <c r="G42">
        <f t="shared" si="13"/>
        <v>55</v>
      </c>
      <c r="I42">
        <v>2030</v>
      </c>
      <c r="J42">
        <f t="shared" si="14"/>
        <v>57.5</v>
      </c>
      <c r="K42" cm="1">
        <f t="array" ref="K42">STOWA2019_JAARROND_T(A42*60,J42,I42,"","lower")</f>
        <v>2.5692995735676298</v>
      </c>
      <c r="L42">
        <f t="shared" si="4"/>
        <v>0.58381670064155189</v>
      </c>
    </row>
    <row r="43" spans="1:12" x14ac:dyDescent="0.3">
      <c r="A43">
        <v>48</v>
      </c>
      <c r="B43">
        <f t="shared" si="12"/>
        <v>0.1920277046909693</v>
      </c>
      <c r="C43">
        <f t="shared" si="9"/>
        <v>0.1920277046909693</v>
      </c>
      <c r="D43" t="s">
        <v>26</v>
      </c>
      <c r="E43" t="s">
        <v>21</v>
      </c>
      <c r="F43">
        <v>1</v>
      </c>
      <c r="G43">
        <f t="shared" si="13"/>
        <v>60</v>
      </c>
      <c r="I43">
        <v>2030</v>
      </c>
      <c r="J43">
        <f t="shared" si="14"/>
        <v>62.5</v>
      </c>
      <c r="K43" cm="1">
        <f t="array" ref="K43">STOWA2019_JAARROND_T(A43*60,J43,I43,"","lower")</f>
        <v>3.8285914497435223</v>
      </c>
      <c r="L43">
        <f t="shared" si="4"/>
        <v>0.39178899595058259</v>
      </c>
    </row>
    <row r="44" spans="1:12" x14ac:dyDescent="0.3">
      <c r="A44">
        <v>48</v>
      </c>
      <c r="B44">
        <f t="shared" si="12"/>
        <v>0.12477154166674342</v>
      </c>
      <c r="C44">
        <f t="shared" si="9"/>
        <v>0.12477154166674342</v>
      </c>
      <c r="D44" t="s">
        <v>26</v>
      </c>
      <c r="E44" t="s">
        <v>21</v>
      </c>
      <c r="F44">
        <v>1</v>
      </c>
      <c r="G44">
        <f t="shared" si="13"/>
        <v>65</v>
      </c>
      <c r="I44">
        <v>2030</v>
      </c>
      <c r="J44">
        <f t="shared" si="14"/>
        <v>67.5</v>
      </c>
      <c r="K44" cm="1">
        <f t="array" ref="K44">STOWA2019_JAARROND_T(A44*60,J44,I44,"","lower")</f>
        <v>5.6176102945146882</v>
      </c>
      <c r="L44">
        <f t="shared" si="4"/>
        <v>0.26701745428383916</v>
      </c>
    </row>
    <row r="45" spans="1:12" x14ac:dyDescent="0.3">
      <c r="A45">
        <v>48</v>
      </c>
      <c r="B45">
        <f t="shared" si="12"/>
        <v>8.2417080733585363E-2</v>
      </c>
      <c r="C45">
        <f t="shared" si="9"/>
        <v>8.2417080733585363E-2</v>
      </c>
      <c r="D45" t="s">
        <v>26</v>
      </c>
      <c r="E45" t="s">
        <v>21</v>
      </c>
      <c r="F45">
        <v>1</v>
      </c>
      <c r="G45">
        <f t="shared" si="13"/>
        <v>70</v>
      </c>
      <c r="I45">
        <v>2030</v>
      </c>
      <c r="J45">
        <f t="shared" si="14"/>
        <v>72.5</v>
      </c>
      <c r="K45" cm="1">
        <f t="array" ref="K45">STOWA2019_JAARROND_T(A45*60,J45,I45,"","lower")</f>
        <v>8.1256606969522451</v>
      </c>
      <c r="L45">
        <f t="shared" si="4"/>
        <v>0.1846003735502538</v>
      </c>
    </row>
    <row r="46" spans="1:12" x14ac:dyDescent="0.3">
      <c r="A46">
        <v>48</v>
      </c>
      <c r="B46">
        <f t="shared" si="12"/>
        <v>5.5273490755775062E-2</v>
      </c>
      <c r="C46">
        <f t="shared" si="9"/>
        <v>5.5273490755775062E-2</v>
      </c>
      <c r="D46" t="s">
        <v>26</v>
      </c>
      <c r="E46" t="s">
        <v>21</v>
      </c>
      <c r="F46">
        <v>1</v>
      </c>
      <c r="G46">
        <f t="shared" si="13"/>
        <v>75</v>
      </c>
      <c r="I46">
        <v>2030</v>
      </c>
      <c r="J46">
        <f t="shared" si="14"/>
        <v>77.5</v>
      </c>
      <c r="K46" cm="1">
        <f t="array" ref="K46">STOWA2019_JAARROND_T(A46*60,J46,I46,"","lower")</f>
        <v>11.598516623830962</v>
      </c>
      <c r="L46">
        <f t="shared" si="4"/>
        <v>0.12932688279447874</v>
      </c>
    </row>
    <row r="47" spans="1:12" x14ac:dyDescent="0.3">
      <c r="A47">
        <v>48</v>
      </c>
      <c r="B47">
        <f t="shared" si="12"/>
        <v>3.7598504535006821E-2</v>
      </c>
      <c r="C47">
        <f t="shared" si="9"/>
        <v>3.7598504535006821E-2</v>
      </c>
      <c r="D47" t="s">
        <v>26</v>
      </c>
      <c r="E47" t="s">
        <v>21</v>
      </c>
      <c r="F47">
        <v>1</v>
      </c>
      <c r="G47">
        <f t="shared" si="13"/>
        <v>80</v>
      </c>
      <c r="I47">
        <v>2030</v>
      </c>
      <c r="J47">
        <f t="shared" si="14"/>
        <v>82.5</v>
      </c>
      <c r="K47" cm="1">
        <f t="array" ref="K47">STOWA2019_JAARROND_T(A47*60,J47,I47,"","lower")</f>
        <v>16.352627490665455</v>
      </c>
      <c r="L47">
        <f t="shared" si="4"/>
        <v>9.1728378259471915E-2</v>
      </c>
    </row>
    <row r="48" spans="1:12" x14ac:dyDescent="0.3">
      <c r="A48">
        <v>48</v>
      </c>
      <c r="B48">
        <f t="shared" si="12"/>
        <v>2.5915128987626629E-2</v>
      </c>
      <c r="C48">
        <f t="shared" si="9"/>
        <v>2.5915128987626629E-2</v>
      </c>
      <c r="D48" t="s">
        <v>26</v>
      </c>
      <c r="E48" t="s">
        <v>21</v>
      </c>
      <c r="F48">
        <v>1</v>
      </c>
      <c r="G48">
        <f t="shared" si="13"/>
        <v>85</v>
      </c>
      <c r="I48">
        <v>2030</v>
      </c>
      <c r="J48">
        <f t="shared" si="14"/>
        <v>87.5</v>
      </c>
      <c r="K48" cm="1">
        <f t="array" ref="K48">STOWA2019_JAARROND_T(A48*60,J48,I48,"","lower")</f>
        <v>22.791763308998263</v>
      </c>
      <c r="L48">
        <f t="shared" si="4"/>
        <v>6.5813249271845287E-2</v>
      </c>
    </row>
    <row r="49" spans="1:12" x14ac:dyDescent="0.3">
      <c r="A49">
        <v>48</v>
      </c>
      <c r="B49">
        <f t="shared" si="12"/>
        <v>1.8082106596075176E-2</v>
      </c>
      <c r="C49">
        <f t="shared" si="9"/>
        <v>1.8082106596075176E-2</v>
      </c>
      <c r="D49" t="s">
        <v>26</v>
      </c>
      <c r="E49" t="s">
        <v>21</v>
      </c>
      <c r="F49">
        <v>1</v>
      </c>
      <c r="G49">
        <f t="shared" si="13"/>
        <v>90</v>
      </c>
      <c r="I49">
        <v>2030</v>
      </c>
      <c r="J49">
        <f t="shared" si="14"/>
        <v>92.5</v>
      </c>
      <c r="K49" cm="1">
        <f t="array" ref="K49">STOWA2019_JAARROND_T(A49*60,J49,I49,"","lower")</f>
        <v>31.426023260940056</v>
      </c>
      <c r="L49">
        <f t="shared" si="4"/>
        <v>4.7731142675770111E-2</v>
      </c>
    </row>
    <row r="50" spans="1:12" x14ac:dyDescent="0.3">
      <c r="A50">
        <v>48</v>
      </c>
      <c r="B50">
        <f t="shared" si="12"/>
        <v>1.2763120902850596E-2</v>
      </c>
      <c r="C50">
        <f t="shared" si="9"/>
        <v>1.2763120902850596E-2</v>
      </c>
      <c r="D50" t="s">
        <v>26</v>
      </c>
      <c r="E50" t="s">
        <v>21</v>
      </c>
      <c r="F50">
        <v>1</v>
      </c>
      <c r="G50">
        <f t="shared" si="13"/>
        <v>95</v>
      </c>
      <c r="I50">
        <v>2030</v>
      </c>
      <c r="J50">
        <f t="shared" si="14"/>
        <v>97.5</v>
      </c>
      <c r="K50" cm="1">
        <f t="array" ref="K50">STOWA2019_JAARROND_T(A50*60,J50,I50,"","lower")</f>
        <v>42.896335678950351</v>
      </c>
      <c r="L50">
        <f t="shared" si="4"/>
        <v>3.4968021772919515E-2</v>
      </c>
    </row>
    <row r="51" spans="1:12" x14ac:dyDescent="0.3">
      <c r="A51">
        <v>48</v>
      </c>
      <c r="B51">
        <f t="shared" si="12"/>
        <v>9.1064972286948216E-3</v>
      </c>
      <c r="C51">
        <f t="shared" si="9"/>
        <v>9.1064972286948216E-3</v>
      </c>
      <c r="D51" t="s">
        <v>26</v>
      </c>
      <c r="E51" t="s">
        <v>21</v>
      </c>
      <c r="F51">
        <v>1</v>
      </c>
      <c r="G51">
        <f t="shared" si="13"/>
        <v>100</v>
      </c>
      <c r="I51">
        <v>2030</v>
      </c>
      <c r="J51">
        <f t="shared" si="14"/>
        <v>102.5</v>
      </c>
      <c r="K51" cm="1">
        <f t="array" ref="K51">STOWA2019_JAARROND_T(A51*60,J51,I51,"","lower")</f>
        <v>58.00122098118824</v>
      </c>
      <c r="L51">
        <f t="shared" si="4"/>
        <v>2.5861524544224693E-2</v>
      </c>
    </row>
    <row r="52" spans="1:12" x14ac:dyDescent="0.3">
      <c r="A52">
        <v>48</v>
      </c>
      <c r="B52">
        <f t="shared" si="12"/>
        <v>6.5635766954950624E-3</v>
      </c>
      <c r="C52">
        <f t="shared" si="9"/>
        <v>6.5635766954950624E-3</v>
      </c>
      <c r="D52" t="s">
        <v>26</v>
      </c>
      <c r="E52" t="s">
        <v>21</v>
      </c>
      <c r="F52">
        <v>1</v>
      </c>
      <c r="G52">
        <f t="shared" si="13"/>
        <v>105</v>
      </c>
      <c r="I52">
        <v>2030</v>
      </c>
      <c r="J52">
        <f t="shared" si="14"/>
        <v>107.5</v>
      </c>
      <c r="K52" cm="1">
        <f t="array" ref="K52">STOWA2019_JAARROND_T(A52*60,J52,I52,"","lower")</f>
        <v>77.728472050915187</v>
      </c>
      <c r="L52">
        <f t="shared" si="4"/>
        <v>1.9297947848729631E-2</v>
      </c>
    </row>
    <row r="53" spans="1:12" x14ac:dyDescent="0.3">
      <c r="A53">
        <v>48</v>
      </c>
      <c r="B53">
        <f t="shared" si="12"/>
        <v>4.7763992611718851E-3</v>
      </c>
      <c r="C53">
        <f t="shared" si="9"/>
        <v>4.7763992611718851E-3</v>
      </c>
      <c r="D53" t="s">
        <v>26</v>
      </c>
      <c r="E53" t="s">
        <v>21</v>
      </c>
      <c r="F53">
        <v>1</v>
      </c>
      <c r="G53">
        <f t="shared" si="13"/>
        <v>110</v>
      </c>
      <c r="I53">
        <v>2030</v>
      </c>
      <c r="J53">
        <f t="shared" si="14"/>
        <v>112.5</v>
      </c>
      <c r="K53" cm="1">
        <f t="array" ref="K53">STOWA2019_JAARROND_T(A53*60,J53,I53,"","lower")</f>
        <v>103.29476852663082</v>
      </c>
      <c r="L53">
        <f t="shared" si="4"/>
        <v>1.4521548587557746E-2</v>
      </c>
    </row>
    <row r="54" spans="1:12" x14ac:dyDescent="0.3">
      <c r="A54">
        <v>48</v>
      </c>
      <c r="B54">
        <f t="shared" si="12"/>
        <v>3.5071811000486567E-3</v>
      </c>
      <c r="C54">
        <f t="shared" si="9"/>
        <v>3.5071811000486567E-3</v>
      </c>
      <c r="D54" t="s">
        <v>26</v>
      </c>
      <c r="E54" t="s">
        <v>21</v>
      </c>
      <c r="F54">
        <v>1</v>
      </c>
      <c r="G54">
        <f t="shared" si="13"/>
        <v>115</v>
      </c>
      <c r="I54">
        <v>2030</v>
      </c>
      <c r="J54">
        <f t="shared" si="14"/>
        <v>117.5</v>
      </c>
      <c r="K54" cm="1">
        <f t="array" ref="K54">STOWA2019_JAARROND_T(A54*60,J54,I54,"","lower")</f>
        <v>136.18575934578942</v>
      </c>
      <c r="L54">
        <f t="shared" si="4"/>
        <v>1.1014367487509089E-2</v>
      </c>
    </row>
    <row r="55" spans="1:12" x14ac:dyDescent="0.3">
      <c r="A55">
        <v>48</v>
      </c>
      <c r="B55">
        <f t="shared" si="12"/>
        <v>2.5971828540868949E-3</v>
      </c>
      <c r="C55">
        <f t="shared" si="9"/>
        <v>2.5971828540868949E-3</v>
      </c>
      <c r="D55" t="s">
        <v>26</v>
      </c>
      <c r="E55" t="s">
        <v>21</v>
      </c>
      <c r="F55">
        <v>1</v>
      </c>
      <c r="G55">
        <f t="shared" si="13"/>
        <v>120</v>
      </c>
      <c r="I55">
        <v>2030</v>
      </c>
      <c r="J55">
        <f t="shared" si="14"/>
        <v>122.5</v>
      </c>
      <c r="K55" cm="1">
        <f t="array" ref="K55">STOWA2019_JAARROND_T(A55*60,J55,I55,"","lower")</f>
        <v>178.20685482458538</v>
      </c>
      <c r="L55">
        <f t="shared" si="4"/>
        <v>8.4171846334221943E-3</v>
      </c>
    </row>
    <row r="56" spans="1:12" x14ac:dyDescent="0.3">
      <c r="A56">
        <v>48</v>
      </c>
      <c r="B56">
        <f t="shared" si="12"/>
        <v>1.9389504630442714E-3</v>
      </c>
      <c r="C56">
        <f t="shared" si="9"/>
        <v>1.9389504630442714E-3</v>
      </c>
      <c r="D56" t="s">
        <v>26</v>
      </c>
      <c r="E56" t="s">
        <v>21</v>
      </c>
      <c r="F56">
        <v>1</v>
      </c>
      <c r="G56">
        <f t="shared" si="13"/>
        <v>125</v>
      </c>
      <c r="I56">
        <v>2030</v>
      </c>
      <c r="J56">
        <f t="shared" si="14"/>
        <v>127.5</v>
      </c>
      <c r="K56" cm="1">
        <f t="array" ref="K56">STOWA2019_JAARROND_T(A56*60,J56,I56,"","lower")</f>
        <v>231.54457843756731</v>
      </c>
      <c r="L56">
        <f t="shared" si="4"/>
        <v>6.478234170377923E-3</v>
      </c>
    </row>
    <row r="57" spans="1:12" x14ac:dyDescent="0.3">
      <c r="A57">
        <v>48</v>
      </c>
      <c r="B57">
        <f t="shared" si="12"/>
        <v>1.4585565953602816E-3</v>
      </c>
      <c r="C57">
        <f t="shared" si="9"/>
        <v>1.4585565953602816E-3</v>
      </c>
      <c r="D57" t="s">
        <v>26</v>
      </c>
      <c r="E57" t="s">
        <v>21</v>
      </c>
      <c r="F57">
        <v>1</v>
      </c>
      <c r="G57">
        <f t="shared" si="13"/>
        <v>130</v>
      </c>
      <c r="I57">
        <v>2030</v>
      </c>
      <c r="J57">
        <f t="shared" si="14"/>
        <v>132.5</v>
      </c>
      <c r="K57" cm="1">
        <f t="array" ref="K57">STOWA2019_JAARROND_T(A57*60,J57,I57,"","lower")</f>
        <v>298.82397376782279</v>
      </c>
      <c r="L57">
        <f t="shared" si="4"/>
        <v>5.0196775750176413E-3</v>
      </c>
    </row>
    <row r="58" spans="1:12" x14ac:dyDescent="0.3">
      <c r="A58">
        <v>48</v>
      </c>
      <c r="B58">
        <f t="shared" si="12"/>
        <v>1.1051925450923658E-3</v>
      </c>
      <c r="C58">
        <f t="shared" si="9"/>
        <v>1.1051925450923658E-3</v>
      </c>
      <c r="D58" t="s">
        <v>26</v>
      </c>
      <c r="E58" t="s">
        <v>21</v>
      </c>
      <c r="F58">
        <v>1</v>
      </c>
      <c r="G58">
        <f t="shared" si="13"/>
        <v>135</v>
      </c>
      <c r="I58">
        <v>2030</v>
      </c>
      <c r="J58">
        <f t="shared" si="14"/>
        <v>137.5</v>
      </c>
      <c r="K58" cm="1">
        <f t="array" ref="K58">STOWA2019_JAARROND_T(A58*60,J58,I58,"","lower")</f>
        <v>383.19216666633514</v>
      </c>
      <c r="L58">
        <f t="shared" si="4"/>
        <v>3.9144850299252755E-3</v>
      </c>
    </row>
    <row r="59" spans="1:12" x14ac:dyDescent="0.3">
      <c r="A59">
        <v>48</v>
      </c>
      <c r="B59">
        <f t="shared" si="12"/>
        <v>8.4324105186990225E-4</v>
      </c>
      <c r="C59">
        <f t="shared" si="9"/>
        <v>8.4324105186990225E-4</v>
      </c>
      <c r="D59" t="s">
        <v>26</v>
      </c>
      <c r="E59" t="s">
        <v>21</v>
      </c>
      <c r="F59">
        <v>1</v>
      </c>
      <c r="G59">
        <f t="shared" si="13"/>
        <v>140</v>
      </c>
      <c r="I59">
        <v>2030</v>
      </c>
      <c r="J59">
        <f t="shared" si="14"/>
        <v>142.5</v>
      </c>
      <c r="K59" cm="1">
        <f t="array" ref="K59">STOWA2019_JAARROND_T(A59*60,J59,I59,"","lower")</f>
        <v>488.40144603222257</v>
      </c>
      <c r="L59">
        <f t="shared" si="4"/>
        <v>3.0712439780553732E-3</v>
      </c>
    </row>
    <row r="60" spans="1:12" x14ac:dyDescent="0.3">
      <c r="A60">
        <v>48</v>
      </c>
      <c r="B60">
        <f t="shared" si="12"/>
        <v>6.475722762798895E-4</v>
      </c>
      <c r="C60">
        <f t="shared" si="9"/>
        <v>6.475722762798895E-4</v>
      </c>
      <c r="D60" t="s">
        <v>26</v>
      </c>
      <c r="E60" t="s">
        <v>21</v>
      </c>
      <c r="F60">
        <v>1</v>
      </c>
      <c r="G60">
        <f t="shared" si="13"/>
        <v>145</v>
      </c>
      <c r="I60">
        <v>2030</v>
      </c>
      <c r="J60">
        <f t="shared" si="14"/>
        <v>147.5</v>
      </c>
      <c r="K60" cm="1">
        <f t="array" ref="K60">STOWA2019_JAARROND_T(A60*60,J60,I60,"","lower")</f>
        <v>618.89570229382161</v>
      </c>
      <c r="L60">
        <f t="shared" si="4"/>
        <v>2.4236717017754837E-3</v>
      </c>
    </row>
    <row r="61" spans="1:12" x14ac:dyDescent="0.3">
      <c r="A61">
        <v>48</v>
      </c>
      <c r="B61">
        <f t="shared" si="12"/>
        <v>5.0043410342021913E-4</v>
      </c>
      <c r="C61">
        <f t="shared" si="9"/>
        <v>5.0043410342021913E-4</v>
      </c>
      <c r="D61" t="s">
        <v>26</v>
      </c>
      <c r="E61" t="s">
        <v>21</v>
      </c>
      <c r="F61">
        <v>1</v>
      </c>
      <c r="G61">
        <f t="shared" si="13"/>
        <v>150</v>
      </c>
      <c r="I61">
        <v>2030</v>
      </c>
      <c r="J61">
        <f t="shared" si="14"/>
        <v>152.5</v>
      </c>
      <c r="K61" cm="1">
        <f t="array" ref="K61">STOWA2019_JAARROND_T(A61*60,J61,I61,"","lower")</f>
        <v>779.93483555166904</v>
      </c>
      <c r="L61">
        <f t="shared" si="4"/>
        <v>1.9232375983552646E-3</v>
      </c>
    </row>
    <row r="62" spans="1:12" x14ac:dyDescent="0.3">
      <c r="A62">
        <v>48</v>
      </c>
      <c r="B62">
        <f t="shared" si="12"/>
        <v>3.8903643995527072E-4</v>
      </c>
      <c r="C62">
        <f t="shared" si="9"/>
        <v>3.8903643995527072E-4</v>
      </c>
      <c r="D62" t="s">
        <v>26</v>
      </c>
      <c r="E62" t="s">
        <v>21</v>
      </c>
      <c r="F62">
        <v>1</v>
      </c>
      <c r="G62">
        <f t="shared" si="13"/>
        <v>155</v>
      </c>
      <c r="I62">
        <v>2030</v>
      </c>
      <c r="J62">
        <f t="shared" si="14"/>
        <v>157.5</v>
      </c>
      <c r="K62" cm="1">
        <f t="array" ref="K62">STOWA2019_JAARROND_T(A62*60,J62,I62,"","lower")</f>
        <v>977.70751363813201</v>
      </c>
      <c r="L62">
        <f t="shared" si="4"/>
        <v>1.5342011583999939E-3</v>
      </c>
    </row>
    <row r="63" spans="1:12" x14ac:dyDescent="0.3">
      <c r="A63">
        <v>48</v>
      </c>
      <c r="B63" s="1">
        <f>L62</f>
        <v>1.5342011583999939E-3</v>
      </c>
      <c r="C63">
        <f t="shared" si="9"/>
        <v>1.5342011583999939E-3</v>
      </c>
      <c r="D63" t="s">
        <v>26</v>
      </c>
      <c r="E63" t="s">
        <v>21</v>
      </c>
      <c r="F63">
        <v>1</v>
      </c>
      <c r="G63">
        <f t="shared" si="13"/>
        <v>160</v>
      </c>
      <c r="I63">
        <v>2030</v>
      </c>
      <c r="J63">
        <f>AVERAGE(G63:G64)</f>
        <v>85</v>
      </c>
      <c r="K63" cm="1">
        <f t="array" ref="K63">STOWA2019_JAARROND_T(A63*60,J63,I63,"","lower")</f>
        <v>19.332531559950507</v>
      </c>
      <c r="L63">
        <f t="shared" si="4"/>
        <v>7.7589424610453872E-2</v>
      </c>
    </row>
    <row r="64" spans="1:12" x14ac:dyDescent="0.3">
      <c r="A64">
        <v>96</v>
      </c>
      <c r="B64" s="1">
        <f>365.25*24/A64 - L64</f>
        <v>22.48796420817682</v>
      </c>
      <c r="C64">
        <f>B64</f>
        <v>22.48796420817682</v>
      </c>
      <c r="D64" t="s">
        <v>26</v>
      </c>
      <c r="E64" t="s">
        <v>21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STOWA2019_JAARROND_T(A64*60,J64,I64,"","lower")</f>
        <v>2.1794553101485793E-2</v>
      </c>
      <c r="L64">
        <f t="shared" si="4"/>
        <v>68.82453579182318</v>
      </c>
    </row>
    <row r="65" spans="1:12" x14ac:dyDescent="0.3">
      <c r="A65">
        <v>96</v>
      </c>
      <c r="B65">
        <f t="shared" ref="B65:B69" si="15">L64-L65</f>
        <v>14.794832006727972</v>
      </c>
      <c r="C65">
        <f t="shared" ref="C65:C94" si="16">B65</f>
        <v>14.794832006727972</v>
      </c>
      <c r="D65" t="s">
        <v>26</v>
      </c>
      <c r="E65" t="s">
        <v>21</v>
      </c>
      <c r="F65">
        <v>1</v>
      </c>
      <c r="G65">
        <f t="shared" ref="G65:G69" si="17">G64+5</f>
        <v>15</v>
      </c>
      <c r="I65">
        <v>2030</v>
      </c>
      <c r="J65">
        <f t="shared" ref="J65:J69" si="18">AVERAGE(G65:G66)</f>
        <v>17.5</v>
      </c>
      <c r="K65" cm="1">
        <f t="array" ref="K65">STOWA2019_JAARROND_T(A65*60,J65,I65,"","lower")</f>
        <v>2.7762506453233495E-2</v>
      </c>
      <c r="L65">
        <f t="shared" si="4"/>
        <v>54.029703785095208</v>
      </c>
    </row>
    <row r="66" spans="1:12" x14ac:dyDescent="0.3">
      <c r="A66">
        <v>96</v>
      </c>
      <c r="B66">
        <f t="shared" si="15"/>
        <v>20.101365661153032</v>
      </c>
      <c r="C66">
        <f t="shared" si="16"/>
        <v>20.101365661153032</v>
      </c>
      <c r="D66" t="s">
        <v>26</v>
      </c>
      <c r="E66" t="s">
        <v>21</v>
      </c>
      <c r="F66">
        <v>1</v>
      </c>
      <c r="G66">
        <f t="shared" si="17"/>
        <v>20</v>
      </c>
      <c r="I66">
        <v>2030</v>
      </c>
      <c r="J66">
        <f t="shared" si="18"/>
        <v>22.5</v>
      </c>
      <c r="K66" cm="1">
        <f t="array" ref="K66">STOWA2019_JAARROND_T(A66*60,J66,I66,"","lower")</f>
        <v>4.4210830324798507E-2</v>
      </c>
      <c r="L66">
        <f t="shared" si="4"/>
        <v>33.928338123942176</v>
      </c>
    </row>
    <row r="67" spans="1:12" x14ac:dyDescent="0.3">
      <c r="A67">
        <v>96</v>
      </c>
      <c r="B67">
        <f t="shared" si="15"/>
        <v>12.277575830232312</v>
      </c>
      <c r="C67">
        <f t="shared" si="16"/>
        <v>12.277575830232312</v>
      </c>
      <c r="D67" t="s">
        <v>26</v>
      </c>
      <c r="E67" t="s">
        <v>21</v>
      </c>
      <c r="F67">
        <v>1</v>
      </c>
      <c r="G67">
        <f t="shared" si="17"/>
        <v>25</v>
      </c>
      <c r="I67">
        <v>2030</v>
      </c>
      <c r="J67">
        <f t="shared" si="18"/>
        <v>27.5</v>
      </c>
      <c r="K67" cm="1">
        <f t="array" ref="K67">STOWA2019_JAARROND_T(A67*60,J67,I67,"","lower")</f>
        <v>6.9281625268029973E-2</v>
      </c>
      <c r="L67">
        <f t="shared" ref="L67:L130" si="19">1/K67 * 12/8</f>
        <v>21.650762293709864</v>
      </c>
    </row>
    <row r="68" spans="1:12" x14ac:dyDescent="0.3">
      <c r="A68">
        <v>96</v>
      </c>
      <c r="B68">
        <f t="shared" si="15"/>
        <v>7.6607306555018155</v>
      </c>
      <c r="C68">
        <f t="shared" si="16"/>
        <v>7.6607306555018155</v>
      </c>
      <c r="D68" t="s">
        <v>26</v>
      </c>
      <c r="E68" t="s">
        <v>21</v>
      </c>
      <c r="F68">
        <v>1</v>
      </c>
      <c r="G68">
        <f t="shared" si="17"/>
        <v>30</v>
      </c>
      <c r="I68">
        <v>2030</v>
      </c>
      <c r="J68">
        <f t="shared" si="18"/>
        <v>32.5</v>
      </c>
      <c r="K68" cm="1">
        <f t="array" ref="K68">STOWA2019_JAARROND_T(A68*60,J68,I68,"","lower")</f>
        <v>0.1072191999840346</v>
      </c>
      <c r="L68">
        <f t="shared" si="19"/>
        <v>13.990031638208048</v>
      </c>
    </row>
    <row r="69" spans="1:12" x14ac:dyDescent="0.3">
      <c r="A69">
        <v>96</v>
      </c>
      <c r="B69">
        <f t="shared" si="15"/>
        <v>4.8508386243602146</v>
      </c>
      <c r="C69">
        <f t="shared" si="16"/>
        <v>4.8508386243602146</v>
      </c>
      <c r="D69" t="s">
        <v>26</v>
      </c>
      <c r="E69" t="s">
        <v>21</v>
      </c>
      <c r="F69">
        <v>1</v>
      </c>
      <c r="G69">
        <f t="shared" si="17"/>
        <v>35</v>
      </c>
      <c r="I69">
        <v>2030</v>
      </c>
      <c r="J69">
        <f t="shared" si="18"/>
        <v>37.5</v>
      </c>
      <c r="K69" cm="1">
        <f t="array" ref="K69">STOWA2019_JAARROND_T(A69*60,J69,I69,"","lower")</f>
        <v>0.16412827672281116</v>
      </c>
      <c r="L69">
        <f t="shared" si="19"/>
        <v>9.1391930138478337</v>
      </c>
    </row>
    <row r="70" spans="1:12" x14ac:dyDescent="0.3">
      <c r="A70">
        <v>96</v>
      </c>
      <c r="B70">
        <f>L69-L70</f>
        <v>3.108414242302727</v>
      </c>
      <c r="C70">
        <f t="shared" si="16"/>
        <v>3.108414242302727</v>
      </c>
      <c r="D70" t="s">
        <v>26</v>
      </c>
      <c r="E70" t="s">
        <v>21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STOWA2019_JAARROND_T(A70*60,J70,I70,"","lower")</f>
        <v>0.24872409631031694</v>
      </c>
      <c r="L70">
        <f t="shared" si="19"/>
        <v>6.0307787715451067</v>
      </c>
    </row>
    <row r="71" spans="1:12" x14ac:dyDescent="0.3">
      <c r="A71">
        <v>96</v>
      </c>
      <c r="B71">
        <f t="shared" ref="B71:B93" si="20">L70-L71</f>
        <v>2.0136248783598347</v>
      </c>
      <c r="C71">
        <f t="shared" si="16"/>
        <v>2.0136248783598347</v>
      </c>
      <c r="D71" t="s">
        <v>26</v>
      </c>
      <c r="E71" t="s">
        <v>21</v>
      </c>
      <c r="F71">
        <v>1</v>
      </c>
      <c r="G71">
        <f t="shared" ref="G71:G94" si="21">G70+5</f>
        <v>45</v>
      </c>
      <c r="I71">
        <v>2030</v>
      </c>
      <c r="J71">
        <f t="shared" ref="J71:J93" si="22">AVERAGE(G71:G72)</f>
        <v>47.5</v>
      </c>
      <c r="K71" cm="1">
        <f t="array" ref="K71">STOWA2019_JAARROND_T(A71*60,J71,I71,"","lower")</f>
        <v>0.3733986896903827</v>
      </c>
      <c r="L71">
        <f t="shared" si="19"/>
        <v>4.0171538931852719</v>
      </c>
    </row>
    <row r="72" spans="1:12" x14ac:dyDescent="0.3">
      <c r="A72">
        <v>96</v>
      </c>
      <c r="B72">
        <f t="shared" si="20"/>
        <v>1.3174135824583377</v>
      </c>
      <c r="C72">
        <f t="shared" si="16"/>
        <v>1.3174135824583377</v>
      </c>
      <c r="D72" t="s">
        <v>26</v>
      </c>
      <c r="E72" t="s">
        <v>21</v>
      </c>
      <c r="F72">
        <v>1</v>
      </c>
      <c r="G72">
        <f t="shared" si="21"/>
        <v>50</v>
      </c>
      <c r="I72">
        <v>2030</v>
      </c>
      <c r="J72">
        <f t="shared" si="22"/>
        <v>52.5</v>
      </c>
      <c r="K72" cm="1">
        <f t="array" ref="K72">STOWA2019_JAARROND_T(A72*60,J72,I72,"","lower")</f>
        <v>0.55560899470220115</v>
      </c>
      <c r="L72">
        <f t="shared" si="19"/>
        <v>2.6997403107269342</v>
      </c>
    </row>
    <row r="73" spans="1:12" x14ac:dyDescent="0.3">
      <c r="A73">
        <v>96</v>
      </c>
      <c r="B73">
        <f t="shared" si="20"/>
        <v>0.86999365839708664</v>
      </c>
      <c r="C73">
        <f t="shared" si="16"/>
        <v>0.86999365839708664</v>
      </c>
      <c r="D73" t="s">
        <v>26</v>
      </c>
      <c r="E73" t="s">
        <v>21</v>
      </c>
      <c r="F73">
        <v>1</v>
      </c>
      <c r="G73">
        <f t="shared" si="21"/>
        <v>55</v>
      </c>
      <c r="I73">
        <v>2030</v>
      </c>
      <c r="J73">
        <f t="shared" si="22"/>
        <v>57.5</v>
      </c>
      <c r="K73" cm="1">
        <f t="array" ref="K73">STOWA2019_JAARROND_T(A73*60,J73,I73,"","lower")</f>
        <v>0.81978562337579608</v>
      </c>
      <c r="L73">
        <f t="shared" si="19"/>
        <v>1.8297466523298476</v>
      </c>
    </row>
    <row r="74" spans="1:12" x14ac:dyDescent="0.3">
      <c r="A74">
        <v>96</v>
      </c>
      <c r="B74">
        <f t="shared" si="20"/>
        <v>0.57946271680060502</v>
      </c>
      <c r="C74">
        <f t="shared" si="16"/>
        <v>0.57946271680060502</v>
      </c>
      <c r="D74" t="s">
        <v>26</v>
      </c>
      <c r="E74" t="s">
        <v>21</v>
      </c>
      <c r="F74">
        <v>1</v>
      </c>
      <c r="G74">
        <f t="shared" si="21"/>
        <v>60</v>
      </c>
      <c r="I74">
        <v>2030</v>
      </c>
      <c r="J74">
        <f t="shared" si="22"/>
        <v>62.5</v>
      </c>
      <c r="K74" cm="1">
        <f t="array" ref="K74">STOWA2019_JAARROND_T(A74*60,J74,I74,"","lower")</f>
        <v>1.1997274837935539</v>
      </c>
      <c r="L74">
        <f t="shared" si="19"/>
        <v>1.2502839355292426</v>
      </c>
    </row>
    <row r="75" spans="1:12" x14ac:dyDescent="0.3">
      <c r="A75">
        <v>96</v>
      </c>
      <c r="B75">
        <f t="shared" si="20"/>
        <v>0.38943890721044094</v>
      </c>
      <c r="C75">
        <f t="shared" si="16"/>
        <v>0.38943890721044094</v>
      </c>
      <c r="D75" t="s">
        <v>26</v>
      </c>
      <c r="E75" t="s">
        <v>21</v>
      </c>
      <c r="F75">
        <v>1</v>
      </c>
      <c r="G75">
        <f t="shared" si="21"/>
        <v>65</v>
      </c>
      <c r="I75">
        <v>2030</v>
      </c>
      <c r="J75">
        <f t="shared" si="22"/>
        <v>67.5</v>
      </c>
      <c r="K75" cm="1">
        <f t="array" ref="K75">STOWA2019_JAARROND_T(A75*60,J75,I75,"","lower")</f>
        <v>1.7424739072135254</v>
      </c>
      <c r="L75">
        <f t="shared" si="19"/>
        <v>0.86084502831880161</v>
      </c>
    </row>
    <row r="76" spans="1:12" x14ac:dyDescent="0.3">
      <c r="A76">
        <v>96</v>
      </c>
      <c r="B76">
        <f t="shared" si="20"/>
        <v>0.26374723142860357</v>
      </c>
      <c r="C76">
        <f t="shared" si="16"/>
        <v>0.26374723142860357</v>
      </c>
      <c r="D76" t="s">
        <v>26</v>
      </c>
      <c r="E76" t="s">
        <v>21</v>
      </c>
      <c r="F76">
        <v>1</v>
      </c>
      <c r="G76">
        <f t="shared" si="21"/>
        <v>70</v>
      </c>
      <c r="I76">
        <v>2030</v>
      </c>
      <c r="J76">
        <f t="shared" si="22"/>
        <v>72.5</v>
      </c>
      <c r="K76" cm="1">
        <f t="array" ref="K76">STOWA2019_JAARROND_T(A76*60,J76,I76,"","lower")</f>
        <v>2.5121512888044353</v>
      </c>
      <c r="L76">
        <f t="shared" si="19"/>
        <v>0.59709779689019804</v>
      </c>
    </row>
    <row r="77" spans="1:12" x14ac:dyDescent="0.3">
      <c r="A77">
        <v>96</v>
      </c>
      <c r="B77">
        <f t="shared" si="20"/>
        <v>0.17999414759419585</v>
      </c>
      <c r="C77">
        <f t="shared" si="16"/>
        <v>0.17999414759419585</v>
      </c>
      <c r="D77" t="s">
        <v>26</v>
      </c>
      <c r="E77" t="s">
        <v>21</v>
      </c>
      <c r="F77">
        <v>1</v>
      </c>
      <c r="G77">
        <f t="shared" si="21"/>
        <v>75</v>
      </c>
      <c r="I77">
        <v>2030</v>
      </c>
      <c r="J77">
        <f t="shared" si="22"/>
        <v>77.5</v>
      </c>
      <c r="K77" cm="1">
        <f t="array" ref="K77">STOWA2019_JAARROND_T(A77*60,J77,I77,"","lower")</f>
        <v>3.5962284255525865</v>
      </c>
      <c r="L77">
        <f t="shared" si="19"/>
        <v>0.41710364929600219</v>
      </c>
    </row>
    <row r="78" spans="1:12" x14ac:dyDescent="0.3">
      <c r="A78">
        <v>96</v>
      </c>
      <c r="B78">
        <f t="shared" si="20"/>
        <v>0.1237463119673734</v>
      </c>
      <c r="C78">
        <f t="shared" si="16"/>
        <v>0.1237463119673734</v>
      </c>
      <c r="D78" t="s">
        <v>26</v>
      </c>
      <c r="E78" t="s">
        <v>21</v>
      </c>
      <c r="F78">
        <v>1</v>
      </c>
      <c r="G78">
        <f t="shared" si="21"/>
        <v>80</v>
      </c>
      <c r="I78">
        <v>2030</v>
      </c>
      <c r="J78">
        <f t="shared" si="22"/>
        <v>82.5</v>
      </c>
      <c r="K78" cm="1">
        <f t="array" ref="K78">STOWA2019_JAARROND_T(A78*60,J78,I78,"","lower")</f>
        <v>5.1132179397975976</v>
      </c>
      <c r="L78">
        <f t="shared" si="19"/>
        <v>0.29335733732862879</v>
      </c>
    </row>
    <row r="79" spans="1:12" x14ac:dyDescent="0.3">
      <c r="A79">
        <v>96</v>
      </c>
      <c r="B79">
        <f t="shared" si="20"/>
        <v>8.5676595724275828E-2</v>
      </c>
      <c r="C79">
        <f t="shared" si="16"/>
        <v>8.5676595724275828E-2</v>
      </c>
      <c r="D79" t="s">
        <v>26</v>
      </c>
      <c r="E79" t="s">
        <v>21</v>
      </c>
      <c r="F79">
        <v>1</v>
      </c>
      <c r="G79">
        <f t="shared" si="21"/>
        <v>85</v>
      </c>
      <c r="I79">
        <v>2030</v>
      </c>
      <c r="J79">
        <f t="shared" si="22"/>
        <v>87.5</v>
      </c>
      <c r="K79" cm="1">
        <f t="array" ref="K79">STOWA2019_JAARROND_T(A79*60,J79,I79,"","lower")</f>
        <v>7.2226244398607271</v>
      </c>
      <c r="L79">
        <f t="shared" si="19"/>
        <v>0.20768074160435296</v>
      </c>
    </row>
    <row r="80" spans="1:12" x14ac:dyDescent="0.3">
      <c r="A80">
        <v>96</v>
      </c>
      <c r="B80">
        <f t="shared" si="20"/>
        <v>5.972492566355489E-2</v>
      </c>
      <c r="C80">
        <f t="shared" si="16"/>
        <v>5.972492566355489E-2</v>
      </c>
      <c r="D80" t="s">
        <v>26</v>
      </c>
      <c r="E80" t="s">
        <v>21</v>
      </c>
      <c r="F80">
        <v>1</v>
      </c>
      <c r="G80">
        <f t="shared" si="21"/>
        <v>90</v>
      </c>
      <c r="I80">
        <v>2030</v>
      </c>
      <c r="J80">
        <f t="shared" si="22"/>
        <v>92.5</v>
      </c>
      <c r="K80" cm="1">
        <f t="array" ref="K80">STOWA2019_JAARROND_T(A80*60,J80,I80,"","lower")</f>
        <v>10.138161791491852</v>
      </c>
      <c r="L80">
        <f t="shared" si="19"/>
        <v>0.14795581594079807</v>
      </c>
    </row>
    <row r="81" spans="1:12" x14ac:dyDescent="0.3">
      <c r="A81">
        <v>96</v>
      </c>
      <c r="B81">
        <f t="shared" si="20"/>
        <v>4.1907226100097589E-2</v>
      </c>
      <c r="C81">
        <f t="shared" si="16"/>
        <v>4.1907226100097589E-2</v>
      </c>
      <c r="D81" t="s">
        <v>26</v>
      </c>
      <c r="E81" t="s">
        <v>21</v>
      </c>
      <c r="F81">
        <v>1</v>
      </c>
      <c r="G81">
        <f t="shared" si="21"/>
        <v>95</v>
      </c>
      <c r="I81">
        <v>2030</v>
      </c>
      <c r="J81">
        <f t="shared" si="22"/>
        <v>97.5</v>
      </c>
      <c r="K81" cm="1">
        <f t="array" ref="K81">STOWA2019_JAARROND_T(A81*60,J81,I81,"","lower")</f>
        <v>14.144459650554577</v>
      </c>
      <c r="L81">
        <f t="shared" si="19"/>
        <v>0.10604858984070048</v>
      </c>
    </row>
    <row r="82" spans="1:12" x14ac:dyDescent="0.3">
      <c r="A82">
        <v>96</v>
      </c>
      <c r="B82">
        <f t="shared" si="20"/>
        <v>2.9590945020393389E-2</v>
      </c>
      <c r="C82">
        <f t="shared" si="16"/>
        <v>2.9590945020393389E-2</v>
      </c>
      <c r="D82" t="s">
        <v>26</v>
      </c>
      <c r="E82" t="s">
        <v>21</v>
      </c>
      <c r="F82">
        <v>1</v>
      </c>
      <c r="G82">
        <f t="shared" si="21"/>
        <v>100</v>
      </c>
      <c r="I82">
        <v>2030</v>
      </c>
      <c r="J82">
        <f t="shared" si="22"/>
        <v>102.5</v>
      </c>
      <c r="K82" cm="1">
        <f t="array" ref="K82">STOWA2019_JAARROND_T(A82*60,J82,I82,"","lower")</f>
        <v>19.618705278266706</v>
      </c>
      <c r="L82">
        <f t="shared" si="19"/>
        <v>7.6457644820307091E-2</v>
      </c>
    </row>
    <row r="83" spans="1:12" x14ac:dyDescent="0.3">
      <c r="A83">
        <v>96</v>
      </c>
      <c r="B83">
        <f t="shared" si="20"/>
        <v>2.1021712917967228E-2</v>
      </c>
      <c r="C83">
        <f t="shared" si="16"/>
        <v>2.1021712917967228E-2</v>
      </c>
      <c r="D83" t="s">
        <v>26</v>
      </c>
      <c r="E83" t="s">
        <v>21</v>
      </c>
      <c r="F83">
        <v>1</v>
      </c>
      <c r="G83">
        <f t="shared" si="21"/>
        <v>105</v>
      </c>
      <c r="I83">
        <v>2030</v>
      </c>
      <c r="J83">
        <f t="shared" si="22"/>
        <v>107.5</v>
      </c>
      <c r="K83" cm="1">
        <f t="array" ref="K83">STOWA2019_JAARROND_T(A83*60,J83,I83,"","lower")</f>
        <v>27.058262547881643</v>
      </c>
      <c r="L83">
        <f t="shared" si="19"/>
        <v>5.5435931902339863E-2</v>
      </c>
    </row>
    <row r="84" spans="1:12" x14ac:dyDescent="0.3">
      <c r="A84">
        <v>96</v>
      </c>
      <c r="B84">
        <f t="shared" si="20"/>
        <v>1.5021899587824517E-2</v>
      </c>
      <c r="C84">
        <f t="shared" si="16"/>
        <v>1.5021899587824517E-2</v>
      </c>
      <c r="D84" t="s">
        <v>26</v>
      </c>
      <c r="E84" t="s">
        <v>21</v>
      </c>
      <c r="F84">
        <v>1</v>
      </c>
      <c r="G84">
        <f t="shared" si="21"/>
        <v>110</v>
      </c>
      <c r="I84">
        <v>2030</v>
      </c>
      <c r="J84">
        <f t="shared" si="22"/>
        <v>112.5</v>
      </c>
      <c r="K84" cm="1">
        <f t="array" ref="K84">STOWA2019_JAARROND_T(A84*60,J84,I84,"","lower")</f>
        <v>37.115821265408627</v>
      </c>
      <c r="L84">
        <f t="shared" si="19"/>
        <v>4.0414032314515347E-2</v>
      </c>
    </row>
    <row r="85" spans="1:12" x14ac:dyDescent="0.3">
      <c r="A85">
        <v>96</v>
      </c>
      <c r="B85">
        <f t="shared" si="20"/>
        <v>1.0795485684208791E-2</v>
      </c>
      <c r="C85">
        <f t="shared" si="16"/>
        <v>1.0795485684208791E-2</v>
      </c>
      <c r="D85" t="s">
        <v>26</v>
      </c>
      <c r="E85" t="s">
        <v>21</v>
      </c>
      <c r="F85">
        <v>1</v>
      </c>
      <c r="G85">
        <f t="shared" si="21"/>
        <v>115</v>
      </c>
      <c r="I85">
        <v>2030</v>
      </c>
      <c r="J85">
        <f t="shared" si="22"/>
        <v>117.5</v>
      </c>
      <c r="K85" cm="1">
        <f t="array" ref="K85">STOWA2019_JAARROND_T(A85*60,J85,I85,"","lower")</f>
        <v>50.643943429187594</v>
      </c>
      <c r="L85">
        <f t="shared" si="19"/>
        <v>2.9618546630306556E-2</v>
      </c>
    </row>
    <row r="86" spans="1:12" x14ac:dyDescent="0.3">
      <c r="A86">
        <v>96</v>
      </c>
      <c r="B86">
        <f t="shared" si="20"/>
        <v>7.8006284513681551E-3</v>
      </c>
      <c r="C86">
        <f t="shared" si="16"/>
        <v>7.8006284513681551E-3</v>
      </c>
      <c r="D86" t="s">
        <v>26</v>
      </c>
      <c r="E86" t="s">
        <v>21</v>
      </c>
      <c r="F86">
        <v>1</v>
      </c>
      <c r="G86">
        <f t="shared" si="21"/>
        <v>120</v>
      </c>
      <c r="I86">
        <v>2030</v>
      </c>
      <c r="J86">
        <f t="shared" si="22"/>
        <v>122.5</v>
      </c>
      <c r="K86" cm="1">
        <f t="array" ref="K86">STOWA2019_JAARROND_T(A86*60,J86,I86,"","lower")</f>
        <v>68.750830748279299</v>
      </c>
      <c r="L86">
        <f t="shared" si="19"/>
        <v>2.1817918178938401E-2</v>
      </c>
    </row>
    <row r="87" spans="1:12" x14ac:dyDescent="0.3">
      <c r="A87">
        <v>96</v>
      </c>
      <c r="B87">
        <f t="shared" si="20"/>
        <v>5.6667888517070719E-3</v>
      </c>
      <c r="C87">
        <f t="shared" si="16"/>
        <v>5.6667888517070719E-3</v>
      </c>
      <c r="D87" t="s">
        <v>26</v>
      </c>
      <c r="E87" t="s">
        <v>21</v>
      </c>
      <c r="F87">
        <v>1</v>
      </c>
      <c r="G87">
        <f t="shared" si="21"/>
        <v>125</v>
      </c>
      <c r="I87">
        <v>2030</v>
      </c>
      <c r="J87">
        <f t="shared" si="22"/>
        <v>127.5</v>
      </c>
      <c r="K87" cm="1">
        <f t="array" ref="K87">STOWA2019_JAARROND_T(A87*60,J87,I87,"","lower")</f>
        <v>92.872762616726206</v>
      </c>
      <c r="L87">
        <f t="shared" si="19"/>
        <v>1.6151129327231329E-2</v>
      </c>
    </row>
    <row r="88" spans="1:12" x14ac:dyDescent="0.3">
      <c r="A88">
        <v>96</v>
      </c>
      <c r="B88">
        <f t="shared" si="20"/>
        <v>4.1376162839794894E-3</v>
      </c>
      <c r="C88">
        <f t="shared" si="16"/>
        <v>4.1376162839794894E-3</v>
      </c>
      <c r="D88" t="s">
        <v>26</v>
      </c>
      <c r="E88" t="s">
        <v>21</v>
      </c>
      <c r="F88">
        <v>1</v>
      </c>
      <c r="G88">
        <f t="shared" si="21"/>
        <v>130</v>
      </c>
      <c r="I88">
        <v>2030</v>
      </c>
      <c r="J88">
        <f t="shared" si="22"/>
        <v>132.5</v>
      </c>
      <c r="K88" cm="1">
        <f t="array" ref="K88">STOWA2019_JAARROND_T(A88*60,J88,I88,"","lower")</f>
        <v>124.85939746347313</v>
      </c>
      <c r="L88">
        <f t="shared" si="19"/>
        <v>1.201351304325184E-2</v>
      </c>
    </row>
    <row r="89" spans="1:12" x14ac:dyDescent="0.3">
      <c r="A89">
        <v>96</v>
      </c>
      <c r="B89">
        <f t="shared" si="20"/>
        <v>3.0361947495685035E-3</v>
      </c>
      <c r="C89">
        <f t="shared" si="16"/>
        <v>3.0361947495685035E-3</v>
      </c>
      <c r="D89" t="s">
        <v>26</v>
      </c>
      <c r="E89" t="s">
        <v>21</v>
      </c>
      <c r="F89">
        <v>1</v>
      </c>
      <c r="G89">
        <f t="shared" si="21"/>
        <v>135</v>
      </c>
      <c r="I89">
        <v>2030</v>
      </c>
      <c r="J89">
        <f t="shared" si="22"/>
        <v>137.5</v>
      </c>
      <c r="K89" cm="1">
        <f t="array" ref="K89">STOWA2019_JAARROND_T(A89*60,J89,I89,"","lower")</f>
        <v>167.08775949889593</v>
      </c>
      <c r="L89">
        <f t="shared" si="19"/>
        <v>8.9773182936833361E-3</v>
      </c>
    </row>
    <row r="90" spans="1:12" x14ac:dyDescent="0.3">
      <c r="A90">
        <v>96</v>
      </c>
      <c r="B90">
        <f t="shared" si="20"/>
        <v>2.2387472410302246E-3</v>
      </c>
      <c r="C90">
        <f t="shared" si="16"/>
        <v>2.2387472410302246E-3</v>
      </c>
      <c r="D90" t="s">
        <v>26</v>
      </c>
      <c r="E90" t="s">
        <v>21</v>
      </c>
      <c r="F90">
        <v>1</v>
      </c>
      <c r="G90">
        <f t="shared" si="21"/>
        <v>140</v>
      </c>
      <c r="I90">
        <v>2030</v>
      </c>
      <c r="J90">
        <f t="shared" si="22"/>
        <v>142.5</v>
      </c>
      <c r="K90" cm="1">
        <f t="array" ref="K90">STOWA2019_JAARROND_T(A90*60,J90,I90,"","lower")</f>
        <v>222.59912202148845</v>
      </c>
      <c r="L90">
        <f t="shared" si="19"/>
        <v>6.7385710526531115E-3</v>
      </c>
    </row>
    <row r="91" spans="1:12" x14ac:dyDescent="0.3">
      <c r="A91">
        <v>96</v>
      </c>
      <c r="B91">
        <f t="shared" si="20"/>
        <v>1.6583815077618564E-3</v>
      </c>
      <c r="C91">
        <f t="shared" si="16"/>
        <v>1.6583815077618564E-3</v>
      </c>
      <c r="D91" t="s">
        <v>26</v>
      </c>
      <c r="E91" t="s">
        <v>21</v>
      </c>
      <c r="F91">
        <v>1</v>
      </c>
      <c r="G91">
        <f t="shared" si="21"/>
        <v>145</v>
      </c>
      <c r="I91">
        <v>2030</v>
      </c>
      <c r="J91">
        <f t="shared" si="22"/>
        <v>147.5</v>
      </c>
      <c r="K91" cm="1">
        <f t="array" ref="K91">STOWA2019_JAARROND_T(A91*60,J91,I91,"","lower")</f>
        <v>295.26457364340496</v>
      </c>
      <c r="L91">
        <f t="shared" si="19"/>
        <v>5.0801895448912551E-3</v>
      </c>
    </row>
    <row r="92" spans="1:12" x14ac:dyDescent="0.3">
      <c r="A92">
        <v>96</v>
      </c>
      <c r="B92">
        <f t="shared" si="20"/>
        <v>1.2340623953320477E-3</v>
      </c>
      <c r="C92">
        <f t="shared" si="16"/>
        <v>1.2340623953320477E-3</v>
      </c>
      <c r="D92" t="s">
        <v>26</v>
      </c>
      <c r="E92" t="s">
        <v>21</v>
      </c>
      <c r="F92">
        <v>1</v>
      </c>
      <c r="G92">
        <f t="shared" si="21"/>
        <v>150</v>
      </c>
      <c r="I92">
        <v>2030</v>
      </c>
      <c r="J92">
        <f t="shared" si="22"/>
        <v>152.5</v>
      </c>
      <c r="K92" cm="1">
        <f t="array" ref="K92">STOWA2019_JAARROND_T(A92*60,J92,I92,"","lower")</f>
        <v>390.00270705348635</v>
      </c>
      <c r="L92">
        <f t="shared" si="19"/>
        <v>3.8461271495592074E-3</v>
      </c>
    </row>
    <row r="93" spans="1:12" x14ac:dyDescent="0.3">
      <c r="A93">
        <v>96</v>
      </c>
      <c r="B93">
        <f t="shared" si="20"/>
        <v>9.2234536404277529E-4</v>
      </c>
      <c r="C93">
        <f t="shared" si="16"/>
        <v>9.2234536404277529E-4</v>
      </c>
      <c r="D93" t="s">
        <v>26</v>
      </c>
      <c r="E93" t="s">
        <v>21</v>
      </c>
      <c r="F93">
        <v>1</v>
      </c>
      <c r="G93">
        <f t="shared" si="21"/>
        <v>155</v>
      </c>
      <c r="I93">
        <v>2030</v>
      </c>
      <c r="J93">
        <f t="shared" si="22"/>
        <v>157.5</v>
      </c>
      <c r="K93" cm="1">
        <f t="array" ref="K93">STOWA2019_JAARROND_T(A93*60,J93,I93,"","lower")</f>
        <v>513.03418313588429</v>
      </c>
      <c r="L93">
        <f t="shared" si="19"/>
        <v>2.9237817855164321E-3</v>
      </c>
    </row>
    <row r="94" spans="1:12" x14ac:dyDescent="0.3">
      <c r="A94">
        <v>96</v>
      </c>
      <c r="B94" s="1">
        <f>L93</f>
        <v>2.9237817855164321E-3</v>
      </c>
      <c r="C94">
        <f t="shared" si="16"/>
        <v>2.9237817855164321E-3</v>
      </c>
      <c r="D94" t="s">
        <v>26</v>
      </c>
      <c r="E94" t="s">
        <v>21</v>
      </c>
      <c r="F94">
        <v>1</v>
      </c>
      <c r="G94">
        <f t="shared" si="21"/>
        <v>160</v>
      </c>
      <c r="I94">
        <v>2030</v>
      </c>
      <c r="J94">
        <f>AVERAGE(G94:G95)</f>
        <v>85</v>
      </c>
      <c r="K94" cm="1">
        <f t="array" ref="K94">STOWA2019_JAARROND_T(A94*60,J94,I94,"","lower")</f>
        <v>6.0819250975509398</v>
      </c>
      <c r="L94">
        <f t="shared" si="19"/>
        <v>0.2466324356089189</v>
      </c>
    </row>
    <row r="95" spans="1:12" x14ac:dyDescent="0.3">
      <c r="A95">
        <v>192</v>
      </c>
      <c r="B95" s="1">
        <f>365.25*24/A95 - L95</f>
        <v>-1454.34375</v>
      </c>
      <c r="C95">
        <f>B95</f>
        <v>-1454.34375</v>
      </c>
      <c r="D95" t="s">
        <v>26</v>
      </c>
      <c r="E95" t="s">
        <v>21</v>
      </c>
      <c r="F95">
        <v>1</v>
      </c>
      <c r="G95">
        <v>10</v>
      </c>
      <c r="I95">
        <v>2030</v>
      </c>
      <c r="J95">
        <f>AVERAGE(G95:G97)</f>
        <v>15</v>
      </c>
      <c r="K95" s="1">
        <v>1E-3</v>
      </c>
      <c r="L95">
        <f t="shared" si="19"/>
        <v>1500</v>
      </c>
    </row>
    <row r="96" spans="1:12" x14ac:dyDescent="0.3">
      <c r="A96">
        <v>192</v>
      </c>
      <c r="B96">
        <f t="shared" ref="B96:B100" si="23">L95-L96</f>
        <v>0</v>
      </c>
      <c r="C96">
        <f t="shared" ref="C96:C125" si="24">B96</f>
        <v>0</v>
      </c>
      <c r="D96" t="s">
        <v>26</v>
      </c>
      <c r="E96" t="s">
        <v>21</v>
      </c>
      <c r="F96">
        <v>1</v>
      </c>
      <c r="G96">
        <f t="shared" ref="G96:G100" si="25">G95+5</f>
        <v>15</v>
      </c>
      <c r="I96">
        <v>2030</v>
      </c>
      <c r="J96">
        <f t="shared" ref="J96:J100" si="26">AVERAGE(G96:G97)</f>
        <v>17.5</v>
      </c>
      <c r="K96" s="1">
        <v>1E-3</v>
      </c>
      <c r="L96">
        <f t="shared" si="19"/>
        <v>1500</v>
      </c>
    </row>
    <row r="97" spans="1:12" x14ac:dyDescent="0.3">
      <c r="A97">
        <v>192</v>
      </c>
      <c r="B97">
        <f t="shared" si="23"/>
        <v>0</v>
      </c>
      <c r="C97">
        <f t="shared" si="24"/>
        <v>0</v>
      </c>
      <c r="D97" t="s">
        <v>26</v>
      </c>
      <c r="E97" t="s">
        <v>21</v>
      </c>
      <c r="F97">
        <v>1</v>
      </c>
      <c r="G97">
        <f t="shared" si="25"/>
        <v>20</v>
      </c>
      <c r="I97">
        <v>2030</v>
      </c>
      <c r="J97">
        <f t="shared" si="26"/>
        <v>22.5</v>
      </c>
      <c r="K97" s="1">
        <v>1E-3</v>
      </c>
      <c r="L97">
        <f t="shared" si="19"/>
        <v>1500</v>
      </c>
    </row>
    <row r="98" spans="1:12" x14ac:dyDescent="0.3">
      <c r="A98">
        <v>192</v>
      </c>
      <c r="B98">
        <f t="shared" si="23"/>
        <v>1454.1242280670126</v>
      </c>
      <c r="C98">
        <f t="shared" si="24"/>
        <v>1454.1242280670126</v>
      </c>
      <c r="D98" t="s">
        <v>26</v>
      </c>
      <c r="E98" t="s">
        <v>21</v>
      </c>
      <c r="F98">
        <v>1</v>
      </c>
      <c r="G98">
        <f t="shared" si="25"/>
        <v>25</v>
      </c>
      <c r="I98">
        <v>2030</v>
      </c>
      <c r="J98">
        <f t="shared" si="26"/>
        <v>27.5</v>
      </c>
      <c r="K98" cm="1">
        <f t="array" ref="K98">STOWA2019_JAARROND_T(A98*60,J98,I98,"","lower")</f>
        <v>3.2696997495564969E-2</v>
      </c>
      <c r="L98">
        <f t="shared" si="19"/>
        <v>45.87577193298744</v>
      </c>
    </row>
    <row r="99" spans="1:12" x14ac:dyDescent="0.3">
      <c r="A99">
        <v>192</v>
      </c>
      <c r="B99">
        <f t="shared" si="23"/>
        <v>13.54887534572201</v>
      </c>
      <c r="C99">
        <f t="shared" si="24"/>
        <v>13.54887534572201</v>
      </c>
      <c r="D99" t="s">
        <v>26</v>
      </c>
      <c r="E99" t="s">
        <v>21</v>
      </c>
      <c r="F99">
        <v>1</v>
      </c>
      <c r="G99">
        <f t="shared" si="25"/>
        <v>30</v>
      </c>
      <c r="I99">
        <v>2030</v>
      </c>
      <c r="J99">
        <f t="shared" si="26"/>
        <v>32.5</v>
      </c>
      <c r="K99" cm="1">
        <f t="array" ref="K99">STOWA2019_JAARROND_T(A99*60,J99,I99,"","lower")</f>
        <v>4.6400989836769442E-2</v>
      </c>
      <c r="L99">
        <f t="shared" si="19"/>
        <v>32.326896587265431</v>
      </c>
    </row>
    <row r="100" spans="1:12" x14ac:dyDescent="0.3">
      <c r="A100">
        <v>192</v>
      </c>
      <c r="B100">
        <f t="shared" si="23"/>
        <v>9.0547782104241108</v>
      </c>
      <c r="C100">
        <f t="shared" si="24"/>
        <v>9.0547782104241108</v>
      </c>
      <c r="D100" t="s">
        <v>26</v>
      </c>
      <c r="E100" t="s">
        <v>21</v>
      </c>
      <c r="F100">
        <v>1</v>
      </c>
      <c r="G100">
        <f t="shared" si="25"/>
        <v>35</v>
      </c>
      <c r="I100">
        <v>2030</v>
      </c>
      <c r="J100">
        <f t="shared" si="26"/>
        <v>37.5</v>
      </c>
      <c r="K100" cm="1">
        <f t="array" ref="K100">STOWA2019_JAARROND_T(A100*60,J100,I100,"","lower")</f>
        <v>6.445481136314124E-2</v>
      </c>
      <c r="L100">
        <f t="shared" si="19"/>
        <v>23.27211837684132</v>
      </c>
    </row>
    <row r="101" spans="1:12" x14ac:dyDescent="0.3">
      <c r="A101">
        <v>192</v>
      </c>
      <c r="B101">
        <f>L100-L101</f>
        <v>6.3987890545309369</v>
      </c>
      <c r="C101">
        <f t="shared" si="24"/>
        <v>6.3987890545309369</v>
      </c>
      <c r="D101" t="s">
        <v>26</v>
      </c>
      <c r="E101" t="s">
        <v>21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STOWA2019_JAARROND_T(A101*60,J101,I101,"","lower")</f>
        <v>8.8897690037772134E-2</v>
      </c>
      <c r="L101">
        <f t="shared" si="19"/>
        <v>16.873329322310383</v>
      </c>
    </row>
    <row r="102" spans="1:12" x14ac:dyDescent="0.3">
      <c r="A102">
        <v>192</v>
      </c>
      <c r="B102">
        <f t="shared" ref="B102:B124" si="27">L101-L102</f>
        <v>4.599997863614508</v>
      </c>
      <c r="C102">
        <f t="shared" si="24"/>
        <v>4.599997863614508</v>
      </c>
      <c r="D102" t="s">
        <v>26</v>
      </c>
      <c r="E102" t="s">
        <v>21</v>
      </c>
      <c r="F102">
        <v>1</v>
      </c>
      <c r="G102">
        <f t="shared" ref="G102:G125" si="28">G101+5</f>
        <v>45</v>
      </c>
      <c r="I102">
        <v>2030</v>
      </c>
      <c r="J102">
        <f t="shared" ref="J102:J124" si="29">AVERAGE(G102:G103)</f>
        <v>47.5</v>
      </c>
      <c r="K102" cm="1">
        <f t="array" ref="K102">STOWA2019_JAARROND_T(A102*60,J102,I102,"","lower")</f>
        <v>0.12221620552235825</v>
      </c>
      <c r="L102">
        <f t="shared" si="19"/>
        <v>12.273331458695875</v>
      </c>
    </row>
    <row r="103" spans="1:12" x14ac:dyDescent="0.3">
      <c r="A103">
        <v>192</v>
      </c>
      <c r="B103">
        <f t="shared" si="27"/>
        <v>3.3310268417391011</v>
      </c>
      <c r="C103">
        <f t="shared" si="24"/>
        <v>3.3310268417391011</v>
      </c>
      <c r="D103" t="s">
        <v>26</v>
      </c>
      <c r="E103" t="s">
        <v>21</v>
      </c>
      <c r="F103">
        <v>1</v>
      </c>
      <c r="G103">
        <f t="shared" si="28"/>
        <v>50</v>
      </c>
      <c r="I103">
        <v>2030</v>
      </c>
      <c r="J103">
        <f t="shared" si="29"/>
        <v>52.5</v>
      </c>
      <c r="K103" cm="1">
        <f t="array" ref="K103">STOWA2019_JAARROND_T(A103*60,J103,I103,"","lower")</f>
        <v>0.16774199317205513</v>
      </c>
      <c r="L103">
        <f t="shared" si="19"/>
        <v>8.9423046169567737</v>
      </c>
    </row>
    <row r="104" spans="1:12" x14ac:dyDescent="0.3">
      <c r="A104">
        <v>192</v>
      </c>
      <c r="B104">
        <f t="shared" si="27"/>
        <v>2.4212398363434575</v>
      </c>
      <c r="C104">
        <f t="shared" si="24"/>
        <v>2.4212398363434575</v>
      </c>
      <c r="D104" t="s">
        <v>26</v>
      </c>
      <c r="E104" t="s">
        <v>21</v>
      </c>
      <c r="F104">
        <v>1</v>
      </c>
      <c r="G104">
        <f t="shared" si="28"/>
        <v>55</v>
      </c>
      <c r="I104">
        <v>2030</v>
      </c>
      <c r="J104">
        <f t="shared" si="29"/>
        <v>57.5</v>
      </c>
      <c r="K104" cm="1">
        <f t="array" ref="K104">STOWA2019_JAARROND_T(A104*60,J104,I104,"","lower")</f>
        <v>0.23002378452969804</v>
      </c>
      <c r="L104">
        <f t="shared" si="19"/>
        <v>6.5210647806133162</v>
      </c>
    </row>
    <row r="105" spans="1:12" x14ac:dyDescent="0.3">
      <c r="A105">
        <v>192</v>
      </c>
      <c r="B105">
        <f t="shared" si="27"/>
        <v>1.7635552728941191</v>
      </c>
      <c r="C105">
        <f t="shared" si="24"/>
        <v>1.7635552728941191</v>
      </c>
      <c r="D105" t="s">
        <v>26</v>
      </c>
      <c r="E105" t="s">
        <v>21</v>
      </c>
      <c r="F105">
        <v>1</v>
      </c>
      <c r="G105">
        <f t="shared" si="28"/>
        <v>60</v>
      </c>
      <c r="I105">
        <v>2030</v>
      </c>
      <c r="J105">
        <f t="shared" si="29"/>
        <v>62.5</v>
      </c>
      <c r="K105" cm="1">
        <f t="array" ref="K105">STOWA2019_JAARROND_T(A105*60,J105,I105,"","lower")</f>
        <v>0.31529101467190063</v>
      </c>
      <c r="L105">
        <f t="shared" si="19"/>
        <v>4.7575095077191971</v>
      </c>
    </row>
    <row r="106" spans="1:12" x14ac:dyDescent="0.3">
      <c r="A106">
        <v>192</v>
      </c>
      <c r="B106">
        <f t="shared" si="27"/>
        <v>1.2859706948114646</v>
      </c>
      <c r="C106">
        <f t="shared" si="24"/>
        <v>1.2859706948114646</v>
      </c>
      <c r="D106" t="s">
        <v>26</v>
      </c>
      <c r="E106" t="s">
        <v>21</v>
      </c>
      <c r="F106">
        <v>1</v>
      </c>
      <c r="G106">
        <f t="shared" si="28"/>
        <v>65</v>
      </c>
      <c r="I106">
        <v>2030</v>
      </c>
      <c r="J106">
        <f t="shared" si="29"/>
        <v>67.5</v>
      </c>
      <c r="K106" cm="1">
        <f t="array" ref="K106">STOWA2019_JAARROND_T(A106*60,J106,I106,"","lower")</f>
        <v>0.43208504379175078</v>
      </c>
      <c r="L106">
        <f t="shared" si="19"/>
        <v>3.4715388129077325</v>
      </c>
    </row>
    <row r="107" spans="1:12" x14ac:dyDescent="0.3">
      <c r="A107">
        <v>192</v>
      </c>
      <c r="B107">
        <f t="shared" si="27"/>
        <v>0.93827088542633641</v>
      </c>
      <c r="C107">
        <f t="shared" si="24"/>
        <v>0.93827088542633641</v>
      </c>
      <c r="D107" t="s">
        <v>26</v>
      </c>
      <c r="E107" t="s">
        <v>21</v>
      </c>
      <c r="F107">
        <v>1</v>
      </c>
      <c r="G107">
        <f t="shared" si="28"/>
        <v>70</v>
      </c>
      <c r="I107">
        <v>2030</v>
      </c>
      <c r="J107">
        <f t="shared" si="29"/>
        <v>72.5</v>
      </c>
      <c r="K107" cm="1">
        <f t="array" ref="K107">STOWA2019_JAARROND_T(A107*60,J107,I107,"","lower")</f>
        <v>0.59212055058515556</v>
      </c>
      <c r="L107">
        <f t="shared" si="19"/>
        <v>2.5332679274813961</v>
      </c>
    </row>
    <row r="108" spans="1:12" x14ac:dyDescent="0.3">
      <c r="A108">
        <v>192</v>
      </c>
      <c r="B108">
        <f t="shared" si="27"/>
        <v>0.68482597178258153</v>
      </c>
      <c r="C108">
        <f t="shared" si="24"/>
        <v>0.68482597178258153</v>
      </c>
      <c r="D108" t="s">
        <v>26</v>
      </c>
      <c r="E108" t="s">
        <v>21</v>
      </c>
      <c r="F108">
        <v>1</v>
      </c>
      <c r="G108">
        <f t="shared" si="28"/>
        <v>75</v>
      </c>
      <c r="I108">
        <v>2030</v>
      </c>
      <c r="J108">
        <f t="shared" si="29"/>
        <v>77.5</v>
      </c>
      <c r="K108" cm="1">
        <f t="array" ref="K108">STOWA2019_JAARROND_T(A108*60,J108,I108,"","lower")</f>
        <v>0.81149423998705772</v>
      </c>
      <c r="L108">
        <f t="shared" si="19"/>
        <v>1.8484419556988145</v>
      </c>
    </row>
    <row r="109" spans="1:12" x14ac:dyDescent="0.3">
      <c r="A109">
        <v>192</v>
      </c>
      <c r="B109">
        <f t="shared" si="27"/>
        <v>0.4997868630089437</v>
      </c>
      <c r="C109">
        <f t="shared" si="24"/>
        <v>0.4997868630089437</v>
      </c>
      <c r="D109" t="s">
        <v>26</v>
      </c>
      <c r="E109" t="s">
        <v>21</v>
      </c>
      <c r="F109">
        <v>1</v>
      </c>
      <c r="G109">
        <f t="shared" si="28"/>
        <v>80</v>
      </c>
      <c r="I109">
        <v>2030</v>
      </c>
      <c r="J109">
        <f t="shared" si="29"/>
        <v>82.5</v>
      </c>
      <c r="K109" cm="1">
        <f t="array" ref="K109">STOWA2019_JAARROND_T(A109*60,J109,I109,"","lower")</f>
        <v>1.1122191345514991</v>
      </c>
      <c r="L109">
        <f t="shared" si="19"/>
        <v>1.3486550926898708</v>
      </c>
    </row>
    <row r="110" spans="1:12" x14ac:dyDescent="0.3">
      <c r="A110">
        <v>192</v>
      </c>
      <c r="B110">
        <f t="shared" si="27"/>
        <v>0.364954596229219</v>
      </c>
      <c r="C110">
        <f t="shared" si="24"/>
        <v>0.364954596229219</v>
      </c>
      <c r="D110" t="s">
        <v>26</v>
      </c>
      <c r="E110" t="s">
        <v>21</v>
      </c>
      <c r="F110">
        <v>1</v>
      </c>
      <c r="G110">
        <f t="shared" si="28"/>
        <v>85</v>
      </c>
      <c r="I110">
        <v>2030</v>
      </c>
      <c r="J110">
        <f t="shared" si="29"/>
        <v>87.5</v>
      </c>
      <c r="K110" cm="1">
        <f t="array" ref="K110">STOWA2019_JAARROND_T(A110*60,J110,I110,"","lower")</f>
        <v>1.5248543691875631</v>
      </c>
      <c r="L110">
        <f t="shared" si="19"/>
        <v>0.98370049646065183</v>
      </c>
    </row>
    <row r="111" spans="1:12" x14ac:dyDescent="0.3">
      <c r="A111">
        <v>192</v>
      </c>
      <c r="B111">
        <f t="shared" si="27"/>
        <v>0.26638270959914012</v>
      </c>
      <c r="C111">
        <f t="shared" si="24"/>
        <v>0.26638270959914012</v>
      </c>
      <c r="D111" t="s">
        <v>26</v>
      </c>
      <c r="E111" t="s">
        <v>21</v>
      </c>
      <c r="F111">
        <v>1</v>
      </c>
      <c r="G111">
        <f t="shared" si="28"/>
        <v>90</v>
      </c>
      <c r="I111">
        <v>2030</v>
      </c>
      <c r="J111">
        <f t="shared" si="29"/>
        <v>92.5</v>
      </c>
      <c r="K111" cm="1">
        <f t="array" ref="K111">STOWA2019_JAARROND_T(A111*60,J111,I111,"","lower")</f>
        <v>2.0911233869760379</v>
      </c>
      <c r="L111">
        <f t="shared" si="19"/>
        <v>0.71731778686151171</v>
      </c>
    </row>
    <row r="112" spans="1:12" x14ac:dyDescent="0.3">
      <c r="A112">
        <v>192</v>
      </c>
      <c r="B112">
        <f t="shared" si="27"/>
        <v>0.19439647107835234</v>
      </c>
      <c r="C112">
        <f t="shared" si="24"/>
        <v>0.19439647107835234</v>
      </c>
      <c r="D112" t="s">
        <v>26</v>
      </c>
      <c r="E112" t="s">
        <v>21</v>
      </c>
      <c r="F112">
        <v>1</v>
      </c>
      <c r="G112">
        <f t="shared" si="28"/>
        <v>95</v>
      </c>
      <c r="I112">
        <v>2030</v>
      </c>
      <c r="J112">
        <f t="shared" si="29"/>
        <v>97.5</v>
      </c>
      <c r="K112" cm="1">
        <f t="array" ref="K112">STOWA2019_JAARROND_T(A112*60,J112,I112,"","lower")</f>
        <v>2.8685003933211388</v>
      </c>
      <c r="L112">
        <f t="shared" si="19"/>
        <v>0.52292131578315937</v>
      </c>
    </row>
    <row r="113" spans="1:12" x14ac:dyDescent="0.3">
      <c r="A113">
        <v>192</v>
      </c>
      <c r="B113">
        <f t="shared" si="27"/>
        <v>0.14183092482828114</v>
      </c>
      <c r="C113">
        <f t="shared" si="24"/>
        <v>0.14183092482828114</v>
      </c>
      <c r="D113" t="s">
        <v>26</v>
      </c>
      <c r="E113" t="s">
        <v>21</v>
      </c>
      <c r="F113">
        <v>1</v>
      </c>
      <c r="G113">
        <f t="shared" si="28"/>
        <v>100</v>
      </c>
      <c r="I113">
        <v>2030</v>
      </c>
      <c r="J113">
        <f t="shared" si="29"/>
        <v>102.5</v>
      </c>
      <c r="K113" cm="1">
        <f t="array" ref="K113">STOWA2019_JAARROND_T(A113*60,J113,I113,"","lower")</f>
        <v>3.9360740538262551</v>
      </c>
      <c r="L113">
        <f t="shared" si="19"/>
        <v>0.38109039095487823</v>
      </c>
    </row>
    <row r="114" spans="1:12" x14ac:dyDescent="0.3">
      <c r="A114">
        <v>192</v>
      </c>
      <c r="B114">
        <f t="shared" si="27"/>
        <v>0.10345714303263992</v>
      </c>
      <c r="C114">
        <f t="shared" si="24"/>
        <v>0.10345714303263992</v>
      </c>
      <c r="D114" t="s">
        <v>26</v>
      </c>
      <c r="E114" t="s">
        <v>21</v>
      </c>
      <c r="F114">
        <v>1</v>
      </c>
      <c r="G114">
        <f t="shared" si="28"/>
        <v>105</v>
      </c>
      <c r="I114">
        <v>2030</v>
      </c>
      <c r="J114">
        <f t="shared" si="29"/>
        <v>107.5</v>
      </c>
      <c r="K114" cm="1">
        <f t="array" ref="K114">STOWA2019_JAARROND_T(A114*60,J114,I114,"","lower")</f>
        <v>5.4028111230400313</v>
      </c>
      <c r="L114">
        <f t="shared" si="19"/>
        <v>0.27763324792223831</v>
      </c>
    </row>
    <row r="115" spans="1:12" x14ac:dyDescent="0.3">
      <c r="A115">
        <v>192</v>
      </c>
      <c r="B115">
        <f t="shared" si="27"/>
        <v>7.5439640827327126E-2</v>
      </c>
      <c r="C115">
        <f t="shared" si="24"/>
        <v>7.5439640827327126E-2</v>
      </c>
      <c r="D115" t="s">
        <v>26</v>
      </c>
      <c r="E115" t="s">
        <v>21</v>
      </c>
      <c r="F115">
        <v>1</v>
      </c>
      <c r="G115">
        <f t="shared" si="28"/>
        <v>110</v>
      </c>
      <c r="I115">
        <v>2030</v>
      </c>
      <c r="J115">
        <f t="shared" si="29"/>
        <v>112.5</v>
      </c>
      <c r="K115" cm="1">
        <f t="array" ref="K115">STOWA2019_JAARROND_T(A115*60,J115,I115,"","lower")</f>
        <v>7.4186321790870897</v>
      </c>
      <c r="L115">
        <f t="shared" si="19"/>
        <v>0.20219360709491119</v>
      </c>
    </row>
    <row r="116" spans="1:12" x14ac:dyDescent="0.3">
      <c r="A116">
        <v>192</v>
      </c>
      <c r="B116">
        <f t="shared" si="27"/>
        <v>5.4993901971525261E-2</v>
      </c>
      <c r="C116">
        <f t="shared" si="24"/>
        <v>5.4993901971525261E-2</v>
      </c>
      <c r="D116" t="s">
        <v>26</v>
      </c>
      <c r="E116" t="s">
        <v>21</v>
      </c>
      <c r="F116">
        <v>1</v>
      </c>
      <c r="G116">
        <f t="shared" si="28"/>
        <v>115</v>
      </c>
      <c r="I116">
        <v>2030</v>
      </c>
      <c r="J116">
        <f t="shared" si="29"/>
        <v>117.5</v>
      </c>
      <c r="K116" cm="1">
        <f t="array" ref="K116">STOWA2019_JAARROND_T(A116*60,J116,I116,"","lower")</f>
        <v>10.190237804774595</v>
      </c>
      <c r="L116">
        <f t="shared" si="19"/>
        <v>0.14719970512338593</v>
      </c>
    </row>
    <row r="117" spans="1:12" x14ac:dyDescent="0.3">
      <c r="A117">
        <v>192</v>
      </c>
      <c r="B117">
        <f t="shared" si="27"/>
        <v>4.0076011090781238E-2</v>
      </c>
      <c r="C117">
        <f t="shared" si="24"/>
        <v>4.0076011090781238E-2</v>
      </c>
      <c r="D117" t="s">
        <v>26</v>
      </c>
      <c r="E117" t="s">
        <v>21</v>
      </c>
      <c r="F117">
        <v>1</v>
      </c>
      <c r="G117">
        <f t="shared" si="28"/>
        <v>120</v>
      </c>
      <c r="I117">
        <v>2030</v>
      </c>
      <c r="J117">
        <f t="shared" si="29"/>
        <v>122.5</v>
      </c>
      <c r="K117" cm="1">
        <f t="array" ref="K117">STOWA2019_JAARROND_T(A117*60,J117,I117,"","lower")</f>
        <v>14.002504427670805</v>
      </c>
      <c r="L117">
        <f t="shared" si="19"/>
        <v>0.10712369403260469</v>
      </c>
    </row>
    <row r="118" spans="1:12" x14ac:dyDescent="0.3">
      <c r="A118">
        <v>192</v>
      </c>
      <c r="B118">
        <f t="shared" si="27"/>
        <v>2.9195174873363788E-2</v>
      </c>
      <c r="C118">
        <f t="shared" si="24"/>
        <v>2.9195174873363788E-2</v>
      </c>
      <c r="D118" t="s">
        <v>26</v>
      </c>
      <c r="E118" t="s">
        <v>21</v>
      </c>
      <c r="F118">
        <v>1</v>
      </c>
      <c r="G118">
        <f t="shared" si="28"/>
        <v>125</v>
      </c>
      <c r="I118">
        <v>2030</v>
      </c>
      <c r="J118">
        <f t="shared" si="29"/>
        <v>127.5</v>
      </c>
      <c r="K118" cm="1">
        <f t="array" ref="K118">STOWA2019_JAARROND_T(A118*60,J118,I118,"","lower")</f>
        <v>19.248408877562088</v>
      </c>
      <c r="L118">
        <f t="shared" si="19"/>
        <v>7.79285191592409E-2</v>
      </c>
    </row>
    <row r="119" spans="1:12" x14ac:dyDescent="0.3">
      <c r="A119">
        <v>192</v>
      </c>
      <c r="B119">
        <f t="shared" si="27"/>
        <v>2.1259929055262389E-2</v>
      </c>
      <c r="C119">
        <f t="shared" si="24"/>
        <v>2.1259929055262389E-2</v>
      </c>
      <c r="D119" t="s">
        <v>26</v>
      </c>
      <c r="E119" t="s">
        <v>21</v>
      </c>
      <c r="F119">
        <v>1</v>
      </c>
      <c r="G119">
        <f t="shared" si="28"/>
        <v>130</v>
      </c>
      <c r="I119">
        <v>2030</v>
      </c>
      <c r="J119">
        <f t="shared" si="29"/>
        <v>132.5</v>
      </c>
      <c r="K119" cm="1">
        <f t="array" ref="K119">STOWA2019_JAARROND_T(A119*60,J119,I119,"","lower")</f>
        <v>26.469689774312741</v>
      </c>
      <c r="L119">
        <f t="shared" si="19"/>
        <v>5.6668590103978511E-2</v>
      </c>
    </row>
    <row r="120" spans="1:12" x14ac:dyDescent="0.3">
      <c r="A120">
        <v>192</v>
      </c>
      <c r="B120">
        <f t="shared" si="27"/>
        <v>1.5476137412670718E-2</v>
      </c>
      <c r="C120">
        <f t="shared" si="24"/>
        <v>1.5476137412670718E-2</v>
      </c>
      <c r="D120" t="s">
        <v>26</v>
      </c>
      <c r="E120" t="s">
        <v>21</v>
      </c>
      <c r="F120">
        <v>1</v>
      </c>
      <c r="G120">
        <f t="shared" si="28"/>
        <v>135</v>
      </c>
      <c r="I120">
        <v>2030</v>
      </c>
      <c r="J120">
        <f t="shared" si="29"/>
        <v>137.5</v>
      </c>
      <c r="K120" cm="1">
        <f t="array" ref="K120">STOWA2019_JAARROND_T(A120*60,J120,I120,"","lower")</f>
        <v>36.414437645673907</v>
      </c>
      <c r="L120">
        <f t="shared" si="19"/>
        <v>4.1192452691307793E-2</v>
      </c>
    </row>
    <row r="121" spans="1:12" x14ac:dyDescent="0.3">
      <c r="A121">
        <v>192</v>
      </c>
      <c r="B121">
        <f t="shared" si="27"/>
        <v>1.1261556892026712E-2</v>
      </c>
      <c r="C121">
        <f t="shared" si="24"/>
        <v>1.1261556892026712E-2</v>
      </c>
      <c r="D121" t="s">
        <v>26</v>
      </c>
      <c r="E121" t="s">
        <v>21</v>
      </c>
      <c r="F121">
        <v>1</v>
      </c>
      <c r="G121">
        <f t="shared" si="28"/>
        <v>140</v>
      </c>
      <c r="I121">
        <v>2030</v>
      </c>
      <c r="J121">
        <f t="shared" si="29"/>
        <v>142.5</v>
      </c>
      <c r="K121" cm="1">
        <f t="array" ref="K121">STOWA2019_JAARROND_T(A121*60,J121,I121,"","lower")</f>
        <v>50.115439579861452</v>
      </c>
      <c r="L121">
        <f t="shared" si="19"/>
        <v>2.9930895799281081E-2</v>
      </c>
    </row>
    <row r="122" spans="1:12" x14ac:dyDescent="0.3">
      <c r="A122">
        <v>192</v>
      </c>
      <c r="B122">
        <f t="shared" si="27"/>
        <v>8.1915511824425732E-3</v>
      </c>
      <c r="C122">
        <f t="shared" si="24"/>
        <v>8.1915511824425732E-3</v>
      </c>
      <c r="D122" t="s">
        <v>26</v>
      </c>
      <c r="E122" t="s">
        <v>21</v>
      </c>
      <c r="F122">
        <v>1</v>
      </c>
      <c r="G122">
        <f t="shared" si="28"/>
        <v>145</v>
      </c>
      <c r="I122">
        <v>2030</v>
      </c>
      <c r="J122">
        <f t="shared" si="29"/>
        <v>147.5</v>
      </c>
      <c r="K122" cm="1">
        <f t="array" ref="K122">STOWA2019_JAARROND_T(A122*60,J122,I122,"","lower")</f>
        <v>68.999320192852295</v>
      </c>
      <c r="L122">
        <f t="shared" si="19"/>
        <v>2.1739344616838508E-2</v>
      </c>
    </row>
    <row r="123" spans="1:12" x14ac:dyDescent="0.3">
      <c r="A123">
        <v>192</v>
      </c>
      <c r="B123">
        <f t="shared" si="27"/>
        <v>5.9561128490346546E-3</v>
      </c>
      <c r="C123">
        <f t="shared" si="24"/>
        <v>5.9561128490346546E-3</v>
      </c>
      <c r="D123" t="s">
        <v>26</v>
      </c>
      <c r="E123" t="s">
        <v>21</v>
      </c>
      <c r="F123">
        <v>1</v>
      </c>
      <c r="G123">
        <f t="shared" si="28"/>
        <v>150</v>
      </c>
      <c r="I123">
        <v>2030</v>
      </c>
      <c r="J123">
        <f t="shared" si="29"/>
        <v>152.5</v>
      </c>
      <c r="K123" cm="1">
        <f t="array" ref="K123">STOWA2019_JAARROND_T(A123*60,J123,I123,"","lower")</f>
        <v>95.037570382755433</v>
      </c>
      <c r="L123">
        <f t="shared" si="19"/>
        <v>1.5783231767803853E-2</v>
      </c>
    </row>
    <row r="124" spans="1:12" x14ac:dyDescent="0.3">
      <c r="A124">
        <v>192</v>
      </c>
      <c r="B124">
        <f t="shared" si="27"/>
        <v>4.3290526833808345E-3</v>
      </c>
      <c r="C124">
        <f t="shared" si="24"/>
        <v>4.3290526833808345E-3</v>
      </c>
      <c r="D124" t="s">
        <v>26</v>
      </c>
      <c r="E124" t="s">
        <v>21</v>
      </c>
      <c r="F124">
        <v>1</v>
      </c>
      <c r="G124">
        <f t="shared" si="28"/>
        <v>155</v>
      </c>
      <c r="I124">
        <v>2030</v>
      </c>
      <c r="J124">
        <f t="shared" si="29"/>
        <v>157.5</v>
      </c>
      <c r="K124" cm="1">
        <f t="array" ref="K124">STOWA2019_JAARROND_T(A124*60,J124,I124,"","lower")</f>
        <v>130.95656955808454</v>
      </c>
      <c r="L124">
        <f t="shared" si="19"/>
        <v>1.1454179084423019E-2</v>
      </c>
    </row>
    <row r="125" spans="1:12" x14ac:dyDescent="0.3">
      <c r="A125">
        <v>192</v>
      </c>
      <c r="B125" s="1">
        <f>L124</f>
        <v>1.1454179084423019E-2</v>
      </c>
      <c r="C125">
        <f t="shared" si="24"/>
        <v>1.1454179084423019E-2</v>
      </c>
      <c r="D125" t="s">
        <v>26</v>
      </c>
      <c r="E125" t="s">
        <v>21</v>
      </c>
      <c r="F125">
        <v>1</v>
      </c>
      <c r="G125">
        <f t="shared" si="28"/>
        <v>160</v>
      </c>
      <c r="I125">
        <v>2030</v>
      </c>
      <c r="J125">
        <f>AVERAGE(G125:G126)</f>
        <v>85</v>
      </c>
      <c r="K125" cm="1">
        <f t="array" ref="K125">STOWA2019_JAARROND_T(A125*60,J125,I125,"","lower")</f>
        <v>1.3022630574681624</v>
      </c>
      <c r="L125">
        <f t="shared" si="19"/>
        <v>1.1518410135324535</v>
      </c>
    </row>
    <row r="126" spans="1:12" x14ac:dyDescent="0.3">
      <c r="A126">
        <v>216</v>
      </c>
      <c r="B126" s="1">
        <f>365.25*24/A126 - L126</f>
        <v>-1459.4166666666667</v>
      </c>
      <c r="C126">
        <f>B126</f>
        <v>-1459.4166666666667</v>
      </c>
      <c r="D126" t="s">
        <v>26</v>
      </c>
      <c r="E126" t="s">
        <v>21</v>
      </c>
      <c r="F126">
        <v>1</v>
      </c>
      <c r="G126">
        <v>10</v>
      </c>
      <c r="I126">
        <v>2030</v>
      </c>
      <c r="J126">
        <f>AVERAGE(G126:G128)</f>
        <v>15</v>
      </c>
      <c r="K126" s="1">
        <v>1E-3</v>
      </c>
      <c r="L126">
        <f t="shared" si="19"/>
        <v>1500</v>
      </c>
    </row>
    <row r="127" spans="1:12" x14ac:dyDescent="0.3">
      <c r="A127">
        <v>216</v>
      </c>
      <c r="B127">
        <f t="shared" ref="B127:B131" si="30">L126-L127</f>
        <v>0</v>
      </c>
      <c r="C127">
        <f t="shared" ref="C127:C156" si="31">B127</f>
        <v>0</v>
      </c>
      <c r="D127" t="s">
        <v>26</v>
      </c>
      <c r="E127" t="s">
        <v>21</v>
      </c>
      <c r="F127">
        <v>1</v>
      </c>
      <c r="G127">
        <f t="shared" ref="G127:G131" si="32">G126+5</f>
        <v>15</v>
      </c>
      <c r="I127">
        <v>2030</v>
      </c>
      <c r="J127">
        <f t="shared" ref="J127:J131" si="33">AVERAGE(G127:G128)</f>
        <v>17.5</v>
      </c>
      <c r="K127" s="1">
        <v>1E-3</v>
      </c>
      <c r="L127">
        <f t="shared" si="19"/>
        <v>1500</v>
      </c>
    </row>
    <row r="128" spans="1:12" x14ac:dyDescent="0.3">
      <c r="A128">
        <v>216</v>
      </c>
      <c r="B128">
        <f t="shared" si="30"/>
        <v>0</v>
      </c>
      <c r="C128">
        <f t="shared" si="31"/>
        <v>0</v>
      </c>
      <c r="D128" t="s">
        <v>26</v>
      </c>
      <c r="E128" t="s">
        <v>21</v>
      </c>
      <c r="F128">
        <v>1</v>
      </c>
      <c r="G128">
        <f t="shared" si="32"/>
        <v>20</v>
      </c>
      <c r="I128">
        <v>2030</v>
      </c>
      <c r="J128">
        <f t="shared" si="33"/>
        <v>22.5</v>
      </c>
      <c r="K128" s="1">
        <v>1E-3</v>
      </c>
      <c r="L128">
        <f t="shared" si="19"/>
        <v>1500</v>
      </c>
    </row>
    <row r="129" spans="1:12" x14ac:dyDescent="0.3">
      <c r="A129">
        <v>216</v>
      </c>
      <c r="B129">
        <f t="shared" si="30"/>
        <v>0</v>
      </c>
      <c r="C129">
        <f t="shared" si="31"/>
        <v>0</v>
      </c>
      <c r="D129" t="s">
        <v>26</v>
      </c>
      <c r="E129" t="s">
        <v>21</v>
      </c>
      <c r="F129">
        <v>1</v>
      </c>
      <c r="G129">
        <f t="shared" si="32"/>
        <v>25</v>
      </c>
      <c r="I129">
        <v>2030</v>
      </c>
      <c r="J129">
        <f t="shared" si="33"/>
        <v>27.5</v>
      </c>
      <c r="K129" s="1">
        <v>1E-3</v>
      </c>
      <c r="L129">
        <f t="shared" si="19"/>
        <v>1500</v>
      </c>
    </row>
    <row r="130" spans="1:12" x14ac:dyDescent="0.3">
      <c r="A130">
        <v>216</v>
      </c>
      <c r="B130">
        <f t="shared" si="30"/>
        <v>1462.4119041366869</v>
      </c>
      <c r="C130">
        <f t="shared" si="31"/>
        <v>1462.4119041366869</v>
      </c>
      <c r="D130" t="s">
        <v>26</v>
      </c>
      <c r="E130" t="s">
        <v>21</v>
      </c>
      <c r="F130">
        <v>1</v>
      </c>
      <c r="G130">
        <f t="shared" si="32"/>
        <v>30</v>
      </c>
      <c r="I130">
        <v>2030</v>
      </c>
      <c r="J130">
        <f t="shared" si="33"/>
        <v>32.5</v>
      </c>
      <c r="K130" cm="1">
        <f t="array" ref="K130">STOWA2019_JAARROND_T(A130*60,J130,I130,"","lower")</f>
        <v>3.9906251315700067E-2</v>
      </c>
      <c r="L130">
        <f t="shared" si="19"/>
        <v>37.588095863313136</v>
      </c>
    </row>
    <row r="131" spans="1:12" x14ac:dyDescent="0.3">
      <c r="A131">
        <v>216</v>
      </c>
      <c r="B131">
        <f t="shared" si="30"/>
        <v>10.431308252556789</v>
      </c>
      <c r="C131">
        <f t="shared" si="31"/>
        <v>10.431308252556789</v>
      </c>
      <c r="D131" t="s">
        <v>26</v>
      </c>
      <c r="E131" t="s">
        <v>21</v>
      </c>
      <c r="F131">
        <v>1</v>
      </c>
      <c r="G131">
        <f t="shared" si="32"/>
        <v>35</v>
      </c>
      <c r="I131">
        <v>2030</v>
      </c>
      <c r="J131">
        <f t="shared" si="33"/>
        <v>37.5</v>
      </c>
      <c r="K131" cm="1">
        <f t="array" ref="K131">STOWA2019_JAARROND_T(A131*60,J131,I131,"","lower")</f>
        <v>5.5234809856740029E-2</v>
      </c>
      <c r="L131">
        <f t="shared" ref="L131:L156" si="34">1/K131 * 12/8</f>
        <v>27.156787610756346</v>
      </c>
    </row>
    <row r="132" spans="1:12" x14ac:dyDescent="0.3">
      <c r="A132">
        <v>216</v>
      </c>
      <c r="B132">
        <f>L131-L132</f>
        <v>7.213268199829546</v>
      </c>
      <c r="C132">
        <f t="shared" si="31"/>
        <v>7.213268199829546</v>
      </c>
      <c r="D132" t="s">
        <v>26</v>
      </c>
      <c r="E132" t="s">
        <v>21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STOWA2019_JAARROND_T(A132*60,J132,I132,"","lower")</f>
        <v>7.5212402038637632E-2</v>
      </c>
      <c r="L132">
        <f t="shared" si="34"/>
        <v>19.9435194109268</v>
      </c>
    </row>
    <row r="133" spans="1:12" x14ac:dyDescent="0.3">
      <c r="A133">
        <v>216</v>
      </c>
      <c r="B133">
        <f t="shared" ref="B133:B155" si="35">L132-L133</f>
        <v>5.215833376821978</v>
      </c>
      <c r="C133">
        <f t="shared" si="31"/>
        <v>5.215833376821978</v>
      </c>
      <c r="D133" t="s">
        <v>26</v>
      </c>
      <c r="E133" t="s">
        <v>21</v>
      </c>
      <c r="F133">
        <v>1</v>
      </c>
      <c r="G133">
        <f t="shared" ref="G133:G156" si="36">G132+5</f>
        <v>45</v>
      </c>
      <c r="I133">
        <v>2030</v>
      </c>
      <c r="J133">
        <f t="shared" ref="J133:J155" si="37">AVERAGE(G133:G134)</f>
        <v>47.5</v>
      </c>
      <c r="K133" cm="1">
        <f t="array" ref="K133">STOWA2019_JAARROND_T(A133*60,J133,I133,"","lower")</f>
        <v>0.10184899355719956</v>
      </c>
      <c r="L133">
        <f t="shared" si="34"/>
        <v>14.727686034104822</v>
      </c>
    </row>
    <row r="134" spans="1:12" x14ac:dyDescent="0.3">
      <c r="A134">
        <v>216</v>
      </c>
      <c r="B134">
        <f t="shared" si="35"/>
        <v>3.8275963237846558</v>
      </c>
      <c r="C134">
        <f t="shared" si="31"/>
        <v>3.8275963237846558</v>
      </c>
      <c r="D134" t="s">
        <v>26</v>
      </c>
      <c r="E134" t="s">
        <v>21</v>
      </c>
      <c r="F134">
        <v>1</v>
      </c>
      <c r="G134">
        <f t="shared" si="36"/>
        <v>50</v>
      </c>
      <c r="I134">
        <v>2030</v>
      </c>
      <c r="J134">
        <f t="shared" si="37"/>
        <v>52.5</v>
      </c>
      <c r="K134" cm="1">
        <f t="array" ref="K134">STOWA2019_JAARROND_T(A134*60,J134,I134,"","lower")</f>
        <v>0.13761354629767913</v>
      </c>
      <c r="L134">
        <f t="shared" si="34"/>
        <v>10.900089710320167</v>
      </c>
    </row>
    <row r="135" spans="1:12" x14ac:dyDescent="0.3">
      <c r="A135">
        <v>216</v>
      </c>
      <c r="B135">
        <f t="shared" si="35"/>
        <v>2.8269066431520518</v>
      </c>
      <c r="C135">
        <f t="shared" si="31"/>
        <v>2.8269066431520518</v>
      </c>
      <c r="D135" t="s">
        <v>26</v>
      </c>
      <c r="E135" t="s">
        <v>21</v>
      </c>
      <c r="F135">
        <v>1</v>
      </c>
      <c r="G135">
        <f t="shared" si="36"/>
        <v>55</v>
      </c>
      <c r="I135">
        <v>2030</v>
      </c>
      <c r="J135">
        <f t="shared" si="37"/>
        <v>57.5</v>
      </c>
      <c r="K135" cm="1">
        <f t="array" ref="K135">STOWA2019_JAARROND_T(A135*60,J135,I135,"","lower")</f>
        <v>0.18580032033463664</v>
      </c>
      <c r="L135">
        <f t="shared" si="34"/>
        <v>8.0731830671681148</v>
      </c>
    </row>
    <row r="136" spans="1:12" x14ac:dyDescent="0.3">
      <c r="A136">
        <v>216</v>
      </c>
      <c r="B136">
        <f t="shared" si="35"/>
        <v>2.0936766524982433</v>
      </c>
      <c r="C136">
        <f t="shared" si="31"/>
        <v>2.0936766524982433</v>
      </c>
      <c r="D136" t="s">
        <v>26</v>
      </c>
      <c r="E136" t="s">
        <v>21</v>
      </c>
      <c r="F136">
        <v>1</v>
      </c>
      <c r="G136">
        <f t="shared" si="36"/>
        <v>60</v>
      </c>
      <c r="I136">
        <v>2030</v>
      </c>
      <c r="J136">
        <f t="shared" si="37"/>
        <v>62.5</v>
      </c>
      <c r="K136" cm="1">
        <f t="array" ref="K136">STOWA2019_JAARROND_T(A136*60,J136,I136,"","lower")</f>
        <v>0.25085682596141423</v>
      </c>
      <c r="L136">
        <f t="shared" si="34"/>
        <v>5.9795064146698715</v>
      </c>
    </row>
    <row r="137" spans="1:12" x14ac:dyDescent="0.3">
      <c r="A137">
        <v>216</v>
      </c>
      <c r="B137">
        <f t="shared" si="35"/>
        <v>1.552662081264919</v>
      </c>
      <c r="C137">
        <f t="shared" si="31"/>
        <v>1.552662081264919</v>
      </c>
      <c r="D137" t="s">
        <v>26</v>
      </c>
      <c r="E137" t="s">
        <v>21</v>
      </c>
      <c r="F137">
        <v>1</v>
      </c>
      <c r="G137">
        <f t="shared" si="36"/>
        <v>65</v>
      </c>
      <c r="I137">
        <v>2030</v>
      </c>
      <c r="J137">
        <f t="shared" si="37"/>
        <v>67.5</v>
      </c>
      <c r="K137" cm="1">
        <f t="array" ref="K137">STOWA2019_JAARROND_T(A137*60,J137,I137,"","lower")</f>
        <v>0.3388418220810262</v>
      </c>
      <c r="L137">
        <f t="shared" si="34"/>
        <v>4.4268443334049525</v>
      </c>
    </row>
    <row r="138" spans="1:12" x14ac:dyDescent="0.3">
      <c r="A138">
        <v>216</v>
      </c>
      <c r="B138">
        <f t="shared" si="35"/>
        <v>1.151808720679881</v>
      </c>
      <c r="C138">
        <f t="shared" si="31"/>
        <v>1.151808720679881</v>
      </c>
      <c r="D138" t="s">
        <v>26</v>
      </c>
      <c r="E138" t="s">
        <v>21</v>
      </c>
      <c r="F138">
        <v>1</v>
      </c>
      <c r="G138">
        <f t="shared" si="36"/>
        <v>70</v>
      </c>
      <c r="I138">
        <v>2030</v>
      </c>
      <c r="J138">
        <f t="shared" si="37"/>
        <v>72.5</v>
      </c>
      <c r="K138" cm="1">
        <f t="array" ref="K138">STOWA2019_JAARROND_T(A138*60,J138,I138,"","lower")</f>
        <v>0.45801028671926081</v>
      </c>
      <c r="L138">
        <f t="shared" si="34"/>
        <v>3.2750356127250715</v>
      </c>
    </row>
    <row r="139" spans="1:12" x14ac:dyDescent="0.3">
      <c r="A139">
        <v>216</v>
      </c>
      <c r="B139">
        <f t="shared" si="35"/>
        <v>0.85423031717902376</v>
      </c>
      <c r="C139">
        <f t="shared" si="31"/>
        <v>0.85423031717902376</v>
      </c>
      <c r="D139" t="s">
        <v>26</v>
      </c>
      <c r="E139" t="s">
        <v>21</v>
      </c>
      <c r="F139">
        <v>1</v>
      </c>
      <c r="G139">
        <f t="shared" si="36"/>
        <v>75</v>
      </c>
      <c r="I139">
        <v>2030</v>
      </c>
      <c r="J139">
        <f t="shared" si="37"/>
        <v>77.5</v>
      </c>
      <c r="K139" cm="1">
        <f t="array" ref="K139">STOWA2019_JAARROND_T(A139*60,J139,I139,"","lower")</f>
        <v>0.61962851897250715</v>
      </c>
      <c r="L139">
        <f t="shared" si="34"/>
        <v>2.4208052955460477</v>
      </c>
    </row>
    <row r="140" spans="1:12" x14ac:dyDescent="0.3">
      <c r="A140">
        <v>216</v>
      </c>
      <c r="B140">
        <f t="shared" si="35"/>
        <v>0.63322713311461332</v>
      </c>
      <c r="C140">
        <f t="shared" si="31"/>
        <v>0.63322713311461332</v>
      </c>
      <c r="D140" t="s">
        <v>26</v>
      </c>
      <c r="E140" t="s">
        <v>21</v>
      </c>
      <c r="F140">
        <v>1</v>
      </c>
      <c r="G140">
        <f t="shared" si="36"/>
        <v>80</v>
      </c>
      <c r="I140">
        <v>2030</v>
      </c>
      <c r="J140">
        <f t="shared" si="37"/>
        <v>82.5</v>
      </c>
      <c r="K140" cm="1">
        <f t="array" ref="K140">STOWA2019_JAARROND_T(A140*60,J140,I140,"","lower")</f>
        <v>0.83912414658261691</v>
      </c>
      <c r="L140">
        <f t="shared" si="34"/>
        <v>1.7875781624314344</v>
      </c>
    </row>
    <row r="141" spans="1:12" x14ac:dyDescent="0.3">
      <c r="A141">
        <v>216</v>
      </c>
      <c r="B141">
        <f t="shared" si="35"/>
        <v>0.46890809505957121</v>
      </c>
      <c r="C141">
        <f t="shared" si="31"/>
        <v>0.46890809505957121</v>
      </c>
      <c r="D141" t="s">
        <v>26</v>
      </c>
      <c r="E141" t="s">
        <v>21</v>
      </c>
      <c r="F141">
        <v>1</v>
      </c>
      <c r="G141">
        <f t="shared" si="36"/>
        <v>85</v>
      </c>
      <c r="I141">
        <v>2030</v>
      </c>
      <c r="J141">
        <f t="shared" si="37"/>
        <v>87.5</v>
      </c>
      <c r="K141" cm="1">
        <f t="array" ref="K141">STOWA2019_JAARROND_T(A141*60,J141,I141,"","lower")</f>
        <v>1.1375097055092265</v>
      </c>
      <c r="L141">
        <f t="shared" si="34"/>
        <v>1.3186700673718632</v>
      </c>
    </row>
    <row r="142" spans="1:12" x14ac:dyDescent="0.3">
      <c r="A142">
        <v>216</v>
      </c>
      <c r="B142">
        <f t="shared" si="35"/>
        <v>0.34713799512648791</v>
      </c>
      <c r="C142">
        <f t="shared" si="31"/>
        <v>0.34713799512648791</v>
      </c>
      <c r="D142" t="s">
        <v>26</v>
      </c>
      <c r="E142" t="s">
        <v>21</v>
      </c>
      <c r="F142">
        <v>1</v>
      </c>
      <c r="G142">
        <f t="shared" si="36"/>
        <v>90</v>
      </c>
      <c r="I142">
        <v>2030</v>
      </c>
      <c r="J142">
        <f t="shared" si="37"/>
        <v>92.5</v>
      </c>
      <c r="K142" cm="1">
        <f t="array" ref="K142">STOWA2019_JAARROND_T(A142*60,J142,I142,"","lower")</f>
        <v>1.5439531466349288</v>
      </c>
      <c r="L142">
        <f t="shared" si="34"/>
        <v>0.9715320722453753</v>
      </c>
    </row>
    <row r="143" spans="1:12" x14ac:dyDescent="0.3">
      <c r="A143">
        <v>216</v>
      </c>
      <c r="B143">
        <f t="shared" si="35"/>
        <v>0.25662910021695717</v>
      </c>
      <c r="C143">
        <f t="shared" si="31"/>
        <v>0.25662910021695717</v>
      </c>
      <c r="D143" t="s">
        <v>26</v>
      </c>
      <c r="E143" t="s">
        <v>21</v>
      </c>
      <c r="F143">
        <v>1</v>
      </c>
      <c r="G143">
        <f t="shared" si="36"/>
        <v>95</v>
      </c>
      <c r="I143">
        <v>2030</v>
      </c>
      <c r="J143">
        <f t="shared" si="37"/>
        <v>97.5</v>
      </c>
      <c r="K143" cm="1">
        <f t="array" ref="K143">STOWA2019_JAARROND_T(A143*60,J143,I143,"","lower")</f>
        <v>2.0981868291077315</v>
      </c>
      <c r="L143">
        <f t="shared" si="34"/>
        <v>0.71490297202841813</v>
      </c>
    </row>
    <row r="144" spans="1:12" x14ac:dyDescent="0.3">
      <c r="A144">
        <v>216</v>
      </c>
      <c r="B144">
        <f t="shared" si="35"/>
        <v>0.18950269263913588</v>
      </c>
      <c r="C144">
        <f t="shared" si="31"/>
        <v>0.18950269263913588</v>
      </c>
      <c r="D144" t="s">
        <v>26</v>
      </c>
      <c r="E144" t="s">
        <v>21</v>
      </c>
      <c r="F144">
        <v>1</v>
      </c>
      <c r="G144">
        <f t="shared" si="36"/>
        <v>100</v>
      </c>
      <c r="I144">
        <v>2030</v>
      </c>
      <c r="J144">
        <f t="shared" si="37"/>
        <v>102.5</v>
      </c>
      <c r="K144" cm="1">
        <f t="array" ref="K144">STOWA2019_JAARROND_T(A144*60,J144,I144,"","lower")</f>
        <v>2.8549661255292409</v>
      </c>
      <c r="L144">
        <f t="shared" si="34"/>
        <v>0.52540027938928224</v>
      </c>
    </row>
    <row r="145" spans="1:12" x14ac:dyDescent="0.3">
      <c r="A145">
        <v>216</v>
      </c>
      <c r="B145">
        <f t="shared" si="35"/>
        <v>0.13977928091649239</v>
      </c>
      <c r="C145">
        <f t="shared" si="31"/>
        <v>0.13977928091649239</v>
      </c>
      <c r="D145" t="s">
        <v>26</v>
      </c>
      <c r="E145" t="s">
        <v>21</v>
      </c>
      <c r="F145">
        <v>1</v>
      </c>
      <c r="G145">
        <f t="shared" si="36"/>
        <v>105</v>
      </c>
      <c r="I145">
        <v>2030</v>
      </c>
      <c r="J145">
        <f t="shared" si="37"/>
        <v>107.5</v>
      </c>
      <c r="K145" cm="1">
        <f t="array" ref="K145">STOWA2019_JAARROND_T(A145*60,J145,I145,"","lower")</f>
        <v>3.8898296667987156</v>
      </c>
      <c r="L145">
        <f t="shared" si="34"/>
        <v>0.38562099847278986</v>
      </c>
    </row>
    <row r="146" spans="1:12" x14ac:dyDescent="0.3">
      <c r="A146">
        <v>216</v>
      </c>
      <c r="B146">
        <f t="shared" si="35"/>
        <v>0.10297144241781864</v>
      </c>
      <c r="C146">
        <f t="shared" si="31"/>
        <v>0.10297144241781864</v>
      </c>
      <c r="D146" t="s">
        <v>26</v>
      </c>
      <c r="E146" t="s">
        <v>21</v>
      </c>
      <c r="F146">
        <v>1</v>
      </c>
      <c r="G146">
        <f t="shared" si="36"/>
        <v>110</v>
      </c>
      <c r="I146">
        <v>2030</v>
      </c>
      <c r="J146">
        <f t="shared" si="37"/>
        <v>112.5</v>
      </c>
      <c r="K146" cm="1">
        <f t="array" ref="K146">STOWA2019_JAARROND_T(A146*60,J146,I146,"","lower")</f>
        <v>5.3069250167450184</v>
      </c>
      <c r="L146">
        <f t="shared" si="34"/>
        <v>0.28264955605497122</v>
      </c>
    </row>
    <row r="147" spans="1:12" x14ac:dyDescent="0.3">
      <c r="A147">
        <v>216</v>
      </c>
      <c r="B147">
        <f t="shared" si="35"/>
        <v>7.5757509910467008E-2</v>
      </c>
      <c r="C147">
        <f t="shared" si="31"/>
        <v>7.5757509910467008E-2</v>
      </c>
      <c r="D147" t="s">
        <v>26</v>
      </c>
      <c r="E147" t="s">
        <v>21</v>
      </c>
      <c r="F147">
        <v>1</v>
      </c>
      <c r="G147">
        <f t="shared" si="36"/>
        <v>115</v>
      </c>
      <c r="I147">
        <v>2030</v>
      </c>
      <c r="J147">
        <f t="shared" si="37"/>
        <v>117.5</v>
      </c>
      <c r="K147" cm="1">
        <f t="array" ref="K147">STOWA2019_JAARROND_T(A147*60,J147,I147,"","lower")</f>
        <v>7.2501578864579539</v>
      </c>
      <c r="L147">
        <f t="shared" si="34"/>
        <v>0.20689204614450421</v>
      </c>
    </row>
    <row r="148" spans="1:12" x14ac:dyDescent="0.3">
      <c r="A148">
        <v>216</v>
      </c>
      <c r="B148">
        <f t="shared" si="35"/>
        <v>5.5665028571846048E-2</v>
      </c>
      <c r="C148">
        <f t="shared" si="31"/>
        <v>5.5665028571846048E-2</v>
      </c>
      <c r="D148" t="s">
        <v>26</v>
      </c>
      <c r="E148" t="s">
        <v>21</v>
      </c>
      <c r="F148">
        <v>1</v>
      </c>
      <c r="G148">
        <f t="shared" si="36"/>
        <v>120</v>
      </c>
      <c r="I148">
        <v>2030</v>
      </c>
      <c r="J148">
        <f t="shared" si="37"/>
        <v>122.5</v>
      </c>
      <c r="K148" cm="1">
        <f t="array" ref="K148">STOWA2019_JAARROND_T(A148*60,J148,I148,"","lower")</f>
        <v>9.9188625423979797</v>
      </c>
      <c r="L148">
        <f t="shared" si="34"/>
        <v>0.15122701757265816</v>
      </c>
    </row>
    <row r="149" spans="1:12" x14ac:dyDescent="0.3">
      <c r="A149">
        <v>216</v>
      </c>
      <c r="B149">
        <f t="shared" si="35"/>
        <v>4.0844385896150859E-2</v>
      </c>
      <c r="C149">
        <f t="shared" si="31"/>
        <v>4.0844385896150859E-2</v>
      </c>
      <c r="D149" t="s">
        <v>26</v>
      </c>
      <c r="E149" t="s">
        <v>21</v>
      </c>
      <c r="F149">
        <v>1</v>
      </c>
      <c r="G149">
        <f t="shared" si="36"/>
        <v>125</v>
      </c>
      <c r="I149">
        <v>2030</v>
      </c>
      <c r="J149">
        <f t="shared" si="37"/>
        <v>127.5</v>
      </c>
      <c r="K149" cm="1">
        <f t="array" ref="K149">STOWA2019_JAARROND_T(A149*60,J149,I149,"","lower")</f>
        <v>13.589094382130448</v>
      </c>
      <c r="L149">
        <f t="shared" si="34"/>
        <v>0.1103826316765073</v>
      </c>
    </row>
    <row r="150" spans="1:12" x14ac:dyDescent="0.3">
      <c r="A150">
        <v>216</v>
      </c>
      <c r="B150">
        <f t="shared" si="35"/>
        <v>2.9929116910048709E-2</v>
      </c>
      <c r="C150">
        <f t="shared" si="31"/>
        <v>2.9929116910048709E-2</v>
      </c>
      <c r="D150" t="s">
        <v>26</v>
      </c>
      <c r="E150" t="s">
        <v>21</v>
      </c>
      <c r="F150">
        <v>1</v>
      </c>
      <c r="G150">
        <f t="shared" si="36"/>
        <v>130</v>
      </c>
      <c r="I150">
        <v>2030</v>
      </c>
      <c r="J150">
        <f t="shared" si="37"/>
        <v>132.5</v>
      </c>
      <c r="K150" cm="1">
        <f t="array" ref="K150">STOWA2019_JAARROND_T(A150*60,J150,I150,"","lower")</f>
        <v>18.644306645324541</v>
      </c>
      <c r="L150">
        <f t="shared" si="34"/>
        <v>8.0453514766458595E-2</v>
      </c>
    </row>
    <row r="151" spans="1:12" x14ac:dyDescent="0.3">
      <c r="A151">
        <v>216</v>
      </c>
      <c r="B151">
        <f t="shared" si="35"/>
        <v>2.1900399662939954E-2</v>
      </c>
      <c r="C151">
        <f t="shared" si="31"/>
        <v>2.1900399662939954E-2</v>
      </c>
      <c r="D151" t="s">
        <v>26</v>
      </c>
      <c r="E151" t="s">
        <v>21</v>
      </c>
      <c r="F151">
        <v>1</v>
      </c>
      <c r="G151">
        <f t="shared" si="36"/>
        <v>135</v>
      </c>
      <c r="I151">
        <v>2030</v>
      </c>
      <c r="J151">
        <f t="shared" si="37"/>
        <v>137.5</v>
      </c>
      <c r="K151" cm="1">
        <f t="array" ref="K151">STOWA2019_JAARROND_T(A151*60,J151,I151,"","lower")</f>
        <v>25.617765977917376</v>
      </c>
      <c r="L151">
        <f t="shared" si="34"/>
        <v>5.8553115103518641E-2</v>
      </c>
    </row>
    <row r="152" spans="1:12" x14ac:dyDescent="0.3">
      <c r="A152">
        <v>216</v>
      </c>
      <c r="B152">
        <f t="shared" si="35"/>
        <v>1.6001839412880421E-2</v>
      </c>
      <c r="C152">
        <f t="shared" si="31"/>
        <v>1.6001839412880421E-2</v>
      </c>
      <c r="D152" t="s">
        <v>26</v>
      </c>
      <c r="E152" t="s">
        <v>21</v>
      </c>
      <c r="F152">
        <v>1</v>
      </c>
      <c r="G152">
        <f t="shared" si="36"/>
        <v>140</v>
      </c>
      <c r="I152">
        <v>2030</v>
      </c>
      <c r="J152">
        <f t="shared" si="37"/>
        <v>142.5</v>
      </c>
      <c r="K152" cm="1">
        <f t="array" ref="K152">STOWA2019_JAARROND_T(A152*60,J152,I152,"","lower")</f>
        <v>35.251587071219525</v>
      </c>
      <c r="L152">
        <f t="shared" si="34"/>
        <v>4.255127569063822E-2</v>
      </c>
    </row>
    <row r="153" spans="1:12" x14ac:dyDescent="0.3">
      <c r="A153">
        <v>216</v>
      </c>
      <c r="B153">
        <f t="shared" si="35"/>
        <v>1.1675450167384353E-2</v>
      </c>
      <c r="C153">
        <f t="shared" si="31"/>
        <v>1.1675450167384353E-2</v>
      </c>
      <c r="D153" t="s">
        <v>26</v>
      </c>
      <c r="E153" t="s">
        <v>21</v>
      </c>
      <c r="F153">
        <v>1</v>
      </c>
      <c r="G153">
        <f t="shared" si="36"/>
        <v>145</v>
      </c>
      <c r="I153">
        <v>2030</v>
      </c>
      <c r="J153">
        <f t="shared" si="37"/>
        <v>147.5</v>
      </c>
      <c r="K153" cm="1">
        <f t="array" ref="K153">STOWA2019_JAARROND_T(A153*60,J153,I153,"","lower")</f>
        <v>48.581696993665403</v>
      </c>
      <c r="L153">
        <f t="shared" si="34"/>
        <v>3.0875825523253866E-2</v>
      </c>
    </row>
    <row r="154" spans="1:12" x14ac:dyDescent="0.3">
      <c r="A154">
        <v>216</v>
      </c>
      <c r="B154">
        <f t="shared" si="35"/>
        <v>8.5058748854552925E-3</v>
      </c>
      <c r="C154">
        <f t="shared" si="31"/>
        <v>8.5058748854552925E-3</v>
      </c>
      <c r="D154" t="s">
        <v>26</v>
      </c>
      <c r="E154" t="s">
        <v>21</v>
      </c>
      <c r="F154">
        <v>1</v>
      </c>
      <c r="G154">
        <f t="shared" si="36"/>
        <v>150</v>
      </c>
      <c r="I154">
        <v>2030</v>
      </c>
      <c r="J154">
        <f t="shared" si="37"/>
        <v>152.5</v>
      </c>
      <c r="K154" cm="1">
        <f t="array" ref="K154">STOWA2019_JAARROND_T(A154*60,J154,I154,"","lower")</f>
        <v>67.054238263067305</v>
      </c>
      <c r="L154">
        <f t="shared" si="34"/>
        <v>2.2369950637798574E-2</v>
      </c>
    </row>
    <row r="155" spans="1:12" x14ac:dyDescent="0.3">
      <c r="A155">
        <v>216</v>
      </c>
      <c r="B155">
        <f t="shared" si="35"/>
        <v>6.1877171909661237E-3</v>
      </c>
      <c r="C155">
        <f t="shared" si="31"/>
        <v>6.1877171909661237E-3</v>
      </c>
      <c r="D155" t="s">
        <v>26</v>
      </c>
      <c r="E155" t="s">
        <v>21</v>
      </c>
      <c r="F155">
        <v>1</v>
      </c>
      <c r="G155">
        <f t="shared" si="36"/>
        <v>155</v>
      </c>
      <c r="I155">
        <v>2030</v>
      </c>
      <c r="J155">
        <f t="shared" si="37"/>
        <v>157.5</v>
      </c>
      <c r="K155" cm="1">
        <f t="array" ref="K155">STOWA2019_JAARROND_T(A155*60,J155,I155,"","lower")</f>
        <v>92.694250452406706</v>
      </c>
      <c r="L155">
        <f t="shared" si="34"/>
        <v>1.618223344683245E-2</v>
      </c>
    </row>
    <row r="156" spans="1:12" x14ac:dyDescent="0.3">
      <c r="A156">
        <v>216</v>
      </c>
      <c r="B156" s="1">
        <f>L155</f>
        <v>1.618223344683245E-2</v>
      </c>
      <c r="C156">
        <f t="shared" si="31"/>
        <v>1.618223344683245E-2</v>
      </c>
      <c r="D156" t="s">
        <v>26</v>
      </c>
      <c r="E156" t="s">
        <v>21</v>
      </c>
      <c r="F156">
        <v>1</v>
      </c>
      <c r="G156">
        <f t="shared" si="36"/>
        <v>160</v>
      </c>
      <c r="I156">
        <v>2030</v>
      </c>
      <c r="J156">
        <f>AVERAGE(G156:G157)</f>
        <v>160</v>
      </c>
      <c r="K156" cm="1">
        <f t="array" ref="K156">STOWA2019_JAARROND_T(A156*60,J156,I156,"","lower")</f>
        <v>109.04826005967705</v>
      </c>
      <c r="L156">
        <f t="shared" si="34"/>
        <v>1.3755377657370411E-2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E52F-3262-43EE-8F89-4AAAE281067F}">
  <sheetPr codeName="Blad8"/>
  <dimension ref="A1:L156"/>
  <sheetViews>
    <sheetView workbookViewId="0">
      <selection activeCell="L19" sqref="L19"/>
    </sheetView>
  </sheetViews>
  <sheetFormatPr defaultRowHeight="14.4" x14ac:dyDescent="0.3"/>
  <cols>
    <col min="4" max="4" width="23.5546875" bestFit="1" customWidth="1"/>
    <col min="11" max="11" width="13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345.05709846682078</v>
      </c>
      <c r="C2">
        <f>B2</f>
        <v>345.05709846682078</v>
      </c>
      <c r="D2" t="s">
        <v>26</v>
      </c>
      <c r="E2" t="s">
        <v>19</v>
      </c>
      <c r="F2">
        <v>1</v>
      </c>
      <c r="G2">
        <v>10</v>
      </c>
      <c r="I2">
        <v>2030</v>
      </c>
      <c r="J2">
        <f>AVERAGE(G2:G4)</f>
        <v>15</v>
      </c>
      <c r="K2" cm="1">
        <f t="array" ref="K2">STOWA2019_NDJF_T(A2*60,J2,I2,"","lower")</f>
        <v>0.14856705932382544</v>
      </c>
      <c r="L2">
        <f>1/K2* 12/4</f>
        <v>20.192901533179203</v>
      </c>
    </row>
    <row r="3" spans="1:12" x14ac:dyDescent="0.3">
      <c r="A3">
        <v>24</v>
      </c>
      <c r="B3">
        <f t="shared" ref="B3:B7" si="0">L2-L3</f>
        <v>7.7387837128383481</v>
      </c>
      <c r="C3">
        <f t="shared" ref="C3:C32" si="1">B3</f>
        <v>7.7387837128383481</v>
      </c>
      <c r="D3" t="s">
        <v>26</v>
      </c>
      <c r="E3" t="s">
        <v>19</v>
      </c>
      <c r="F3">
        <v>1</v>
      </c>
      <c r="G3">
        <f t="shared" ref="G3:G7" si="2">G2+5</f>
        <v>15</v>
      </c>
      <c r="I3">
        <v>2030</v>
      </c>
      <c r="J3">
        <f t="shared" ref="J3:J7" si="3">AVERAGE(G3:G4)</f>
        <v>17.5</v>
      </c>
      <c r="K3" cm="1">
        <f t="array" ref="K3">STOWA2019_NDJF_T(A3*60,J3,I3,"","lower")</f>
        <v>0.24088418331005429</v>
      </c>
      <c r="L3">
        <f t="shared" ref="L3:L66" si="4">1/K3* 12/4</f>
        <v>12.454117820340855</v>
      </c>
    </row>
    <row r="4" spans="1:12" x14ac:dyDescent="0.3">
      <c r="A4">
        <v>24</v>
      </c>
      <c r="B4">
        <f t="shared" si="0"/>
        <v>7.482033148705999</v>
      </c>
      <c r="C4">
        <f t="shared" si="1"/>
        <v>7.482033148705999</v>
      </c>
      <c r="D4" t="s">
        <v>26</v>
      </c>
      <c r="E4" t="s">
        <v>19</v>
      </c>
      <c r="F4">
        <v>1</v>
      </c>
      <c r="G4">
        <f t="shared" si="2"/>
        <v>20</v>
      </c>
      <c r="I4">
        <v>2030</v>
      </c>
      <c r="J4">
        <f t="shared" si="3"/>
        <v>22.5</v>
      </c>
      <c r="K4" cm="1">
        <f t="array" ref="K4">STOWA2019_NDJF_T(A4*60,J4,I4,"","lower")</f>
        <v>0.60336864678001934</v>
      </c>
      <c r="L4">
        <f t="shared" si="4"/>
        <v>4.9720846716348559</v>
      </c>
    </row>
    <row r="5" spans="1:12" x14ac:dyDescent="0.3">
      <c r="A5">
        <v>24</v>
      </c>
      <c r="B5">
        <f t="shared" si="0"/>
        <v>2.868766000979289</v>
      </c>
      <c r="C5">
        <f t="shared" si="1"/>
        <v>2.868766000979289</v>
      </c>
      <c r="D5" t="s">
        <v>26</v>
      </c>
      <c r="E5" t="s">
        <v>19</v>
      </c>
      <c r="F5">
        <v>1</v>
      </c>
      <c r="G5">
        <f t="shared" si="2"/>
        <v>25</v>
      </c>
      <c r="I5">
        <v>2030</v>
      </c>
      <c r="J5">
        <f t="shared" si="3"/>
        <v>27.5</v>
      </c>
      <c r="K5" cm="1">
        <f t="array" ref="K5">STOWA2019_NDJF_T(A5*60,J5,I5,"","lower")</f>
        <v>1.4263173915842975</v>
      </c>
      <c r="L5">
        <f t="shared" si="4"/>
        <v>2.1033186706555669</v>
      </c>
    </row>
    <row r="6" spans="1:12" x14ac:dyDescent="0.3">
      <c r="A6">
        <v>24</v>
      </c>
      <c r="B6">
        <f t="shared" si="0"/>
        <v>1.1672790173758605</v>
      </c>
      <c r="C6">
        <f t="shared" si="1"/>
        <v>1.1672790173758605</v>
      </c>
      <c r="D6" t="s">
        <v>26</v>
      </c>
      <c r="E6" t="s">
        <v>19</v>
      </c>
      <c r="F6">
        <v>1</v>
      </c>
      <c r="G6">
        <f t="shared" si="2"/>
        <v>30</v>
      </c>
      <c r="I6">
        <v>2030</v>
      </c>
      <c r="J6">
        <f t="shared" si="3"/>
        <v>32.5</v>
      </c>
      <c r="K6" cm="1">
        <f t="array" ref="K6">STOWA2019_NDJF_T(A6*60,J6,I6,"","lower")</f>
        <v>3.2049924268577357</v>
      </c>
      <c r="L6">
        <f t="shared" si="4"/>
        <v>0.9360396532797064</v>
      </c>
    </row>
    <row r="7" spans="1:12" x14ac:dyDescent="0.3">
      <c r="A7">
        <v>24</v>
      </c>
      <c r="B7">
        <f t="shared" si="0"/>
        <v>0.50022332358595833</v>
      </c>
      <c r="C7">
        <f t="shared" si="1"/>
        <v>0.50022332358595833</v>
      </c>
      <c r="D7" t="s">
        <v>26</v>
      </c>
      <c r="E7" t="s">
        <v>19</v>
      </c>
      <c r="F7">
        <v>1</v>
      </c>
      <c r="G7">
        <f t="shared" si="2"/>
        <v>35</v>
      </c>
      <c r="I7">
        <v>2030</v>
      </c>
      <c r="J7">
        <f t="shared" si="3"/>
        <v>37.5</v>
      </c>
      <c r="K7" cm="1">
        <f t="array" ref="K7">STOWA2019_NDJF_T(A7*60,J7,I7,"","lower")</f>
        <v>6.8836337594512047</v>
      </c>
      <c r="L7">
        <f t="shared" si="4"/>
        <v>0.43581632969374801</v>
      </c>
    </row>
    <row r="8" spans="1:12" x14ac:dyDescent="0.3">
      <c r="A8">
        <v>24</v>
      </c>
      <c r="B8">
        <f>L7-L8</f>
        <v>0.22453356370864955</v>
      </c>
      <c r="C8">
        <f t="shared" si="1"/>
        <v>0.22453356370864955</v>
      </c>
      <c r="D8" t="s">
        <v>26</v>
      </c>
      <c r="E8" t="s">
        <v>19</v>
      </c>
      <c r="F8">
        <v>1</v>
      </c>
      <c r="G8">
        <f>G7+5</f>
        <v>40</v>
      </c>
      <c r="I8">
        <v>2030</v>
      </c>
      <c r="J8">
        <f>AVERAGE(G8:G9)</f>
        <v>42.5</v>
      </c>
      <c r="K8" cm="1">
        <f t="array" ref="K8">STOWA2019_NDJF_T(A8*60,J8,I8,"","lower")</f>
        <v>14.198981095370488</v>
      </c>
      <c r="L8">
        <f t="shared" si="4"/>
        <v>0.21128276598509846</v>
      </c>
    </row>
    <row r="9" spans="1:12" x14ac:dyDescent="0.3">
      <c r="A9">
        <v>24</v>
      </c>
      <c r="B9">
        <f t="shared" ref="B9:B31" si="5">L8-L9</f>
        <v>0.10506060536808161</v>
      </c>
      <c r="C9">
        <f t="shared" si="1"/>
        <v>0.10506060536808161</v>
      </c>
      <c r="D9" t="s">
        <v>26</v>
      </c>
      <c r="E9" t="s">
        <v>19</v>
      </c>
      <c r="F9">
        <v>1</v>
      </c>
      <c r="G9">
        <f t="shared" ref="G9:G32" si="6">G8+5</f>
        <v>45</v>
      </c>
      <c r="I9">
        <v>2030</v>
      </c>
      <c r="J9">
        <f t="shared" ref="J9:J31" si="7">AVERAGE(G9:G10)</f>
        <v>47.5</v>
      </c>
      <c r="K9" cm="1">
        <f t="array" ref="K9">STOWA2019_NDJF_T(A9*60,J9,I9,"","lower")</f>
        <v>28.242694204051034</v>
      </c>
      <c r="L9">
        <f t="shared" si="4"/>
        <v>0.10622216061701685</v>
      </c>
    </row>
    <row r="10" spans="1:12" x14ac:dyDescent="0.3">
      <c r="A10">
        <v>24</v>
      </c>
      <c r="B10">
        <f t="shared" si="5"/>
        <v>5.1033814836610403E-2</v>
      </c>
      <c r="C10">
        <f t="shared" si="1"/>
        <v>5.1033814836610403E-2</v>
      </c>
      <c r="D10" t="s">
        <v>26</v>
      </c>
      <c r="E10" t="s">
        <v>19</v>
      </c>
      <c r="F10">
        <v>1</v>
      </c>
      <c r="G10">
        <f t="shared" si="6"/>
        <v>50</v>
      </c>
      <c r="I10">
        <v>2030</v>
      </c>
      <c r="J10">
        <f t="shared" si="7"/>
        <v>52.5</v>
      </c>
      <c r="K10" cm="1">
        <f t="array" ref="K10">STOWA2019_NDJF_T(A10*60,J10,I10,"","lower")</f>
        <v>54.359302812534956</v>
      </c>
      <c r="L10">
        <f t="shared" si="4"/>
        <v>5.5188345780406448E-2</v>
      </c>
    </row>
    <row r="11" spans="1:12" x14ac:dyDescent="0.3">
      <c r="A11">
        <v>24</v>
      </c>
      <c r="B11">
        <f t="shared" si="5"/>
        <v>2.5645922490572112E-2</v>
      </c>
      <c r="C11">
        <f t="shared" si="1"/>
        <v>2.5645922490572112E-2</v>
      </c>
      <c r="D11" t="s">
        <v>26</v>
      </c>
      <c r="E11" t="s">
        <v>19</v>
      </c>
      <c r="F11">
        <v>1</v>
      </c>
      <c r="G11">
        <f t="shared" si="6"/>
        <v>55</v>
      </c>
      <c r="I11">
        <v>2030</v>
      </c>
      <c r="J11">
        <f t="shared" si="7"/>
        <v>57.5</v>
      </c>
      <c r="K11" cm="1">
        <f t="array" ref="K11">STOWA2019_NDJF_T(A11*60,J11,I11,"","lower")</f>
        <v>101.54888008230225</v>
      </c>
      <c r="L11">
        <f t="shared" si="4"/>
        <v>2.9542423289834335E-2</v>
      </c>
    </row>
    <row r="12" spans="1:12" x14ac:dyDescent="0.3">
      <c r="A12">
        <v>24</v>
      </c>
      <c r="B12">
        <f t="shared" si="5"/>
        <v>1.3291000203335263E-2</v>
      </c>
      <c r="C12">
        <f t="shared" si="1"/>
        <v>1.3291000203335263E-2</v>
      </c>
      <c r="D12" t="s">
        <v>26</v>
      </c>
      <c r="E12" t="s">
        <v>19</v>
      </c>
      <c r="F12">
        <v>1</v>
      </c>
      <c r="G12">
        <f t="shared" si="6"/>
        <v>60</v>
      </c>
      <c r="I12">
        <v>2030</v>
      </c>
      <c r="J12">
        <f t="shared" si="7"/>
        <v>62.5</v>
      </c>
      <c r="K12" cm="1">
        <f t="array" ref="K12">STOWA2019_NDJF_T(A12*60,J12,I12,"","lower")</f>
        <v>184.59921842120156</v>
      </c>
      <c r="L12">
        <f t="shared" si="4"/>
        <v>1.6251423086499073E-2</v>
      </c>
    </row>
    <row r="13" spans="1:12" x14ac:dyDescent="0.3">
      <c r="A13">
        <v>24</v>
      </c>
      <c r="B13">
        <f t="shared" si="5"/>
        <v>7.085263881283178E-3</v>
      </c>
      <c r="C13">
        <f t="shared" si="1"/>
        <v>7.085263881283178E-3</v>
      </c>
      <c r="D13" t="s">
        <v>26</v>
      </c>
      <c r="E13" t="s">
        <v>19</v>
      </c>
      <c r="F13">
        <v>1</v>
      </c>
      <c r="G13">
        <f t="shared" si="6"/>
        <v>65</v>
      </c>
      <c r="I13">
        <v>2030</v>
      </c>
      <c r="J13">
        <f t="shared" si="7"/>
        <v>67.5</v>
      </c>
      <c r="K13" cm="1">
        <f t="array" ref="K13">STOWA2019_NDJF_T(A13*60,J13,I13,"","lower")</f>
        <v>327.29084590772601</v>
      </c>
      <c r="L13">
        <f t="shared" si="4"/>
        <v>9.1661592052158947E-3</v>
      </c>
    </row>
    <row r="14" spans="1:12" x14ac:dyDescent="0.3">
      <c r="A14">
        <v>24</v>
      </c>
      <c r="B14">
        <f t="shared" si="5"/>
        <v>3.8760124002312204E-3</v>
      </c>
      <c r="C14">
        <f t="shared" si="1"/>
        <v>3.8760124002312204E-3</v>
      </c>
      <c r="D14" t="s">
        <v>26</v>
      </c>
      <c r="E14" t="s">
        <v>19</v>
      </c>
      <c r="F14">
        <v>1</v>
      </c>
      <c r="G14">
        <f t="shared" si="6"/>
        <v>70</v>
      </c>
      <c r="I14">
        <v>2030</v>
      </c>
      <c r="J14">
        <f t="shared" si="7"/>
        <v>72.5</v>
      </c>
      <c r="K14" cm="1">
        <f t="array" ref="K14">STOWA2019_NDJF_T(A14*60,J14,I14,"","lower")</f>
        <v>567.09201286686994</v>
      </c>
      <c r="L14">
        <f t="shared" si="4"/>
        <v>5.2901468049846743E-3</v>
      </c>
    </row>
    <row r="15" spans="1:12" x14ac:dyDescent="0.3">
      <c r="A15">
        <v>24</v>
      </c>
      <c r="B15">
        <f t="shared" si="5"/>
        <v>2.171562035506217E-3</v>
      </c>
      <c r="C15">
        <f t="shared" si="1"/>
        <v>2.171562035506217E-3</v>
      </c>
      <c r="D15" t="s">
        <v>26</v>
      </c>
      <c r="E15" t="s">
        <v>19</v>
      </c>
      <c r="F15">
        <v>1</v>
      </c>
      <c r="G15">
        <f t="shared" si="6"/>
        <v>75</v>
      </c>
      <c r="I15">
        <v>2030</v>
      </c>
      <c r="J15">
        <f t="shared" si="7"/>
        <v>77.5</v>
      </c>
      <c r="K15" cm="1">
        <f t="array" ref="K15">STOWA2019_NDJF_T(A15*60,J15,I15,"","lower")</f>
        <v>961.97481285772824</v>
      </c>
      <c r="L15">
        <f t="shared" si="4"/>
        <v>3.1185847694784573E-3</v>
      </c>
    </row>
    <row r="16" spans="1:12" x14ac:dyDescent="0.3">
      <c r="A16">
        <v>24</v>
      </c>
      <c r="B16">
        <f t="shared" si="5"/>
        <v>1.2437083390306426E-3</v>
      </c>
      <c r="C16">
        <f t="shared" si="1"/>
        <v>1.2437083390306426E-3</v>
      </c>
      <c r="D16" t="s">
        <v>26</v>
      </c>
      <c r="E16" t="s">
        <v>19</v>
      </c>
      <c r="F16">
        <v>1</v>
      </c>
      <c r="G16">
        <f t="shared" si="6"/>
        <v>80</v>
      </c>
      <c r="I16">
        <v>2030</v>
      </c>
      <c r="J16">
        <f t="shared" si="7"/>
        <v>82.5</v>
      </c>
      <c r="K16" cm="1">
        <f t="array" ref="K16">STOWA2019_NDJF_T(A16*60,J16,I16,"","lower")</f>
        <v>1600.1054529676119</v>
      </c>
      <c r="L16">
        <f t="shared" si="4"/>
        <v>1.8748764304478147E-3</v>
      </c>
    </row>
    <row r="17" spans="1:12" x14ac:dyDescent="0.3">
      <c r="A17">
        <v>24</v>
      </c>
      <c r="B17">
        <f t="shared" si="5"/>
        <v>7.2698091540777444E-4</v>
      </c>
      <c r="C17">
        <f t="shared" si="1"/>
        <v>7.2698091540777444E-4</v>
      </c>
      <c r="D17" t="s">
        <v>26</v>
      </c>
      <c r="E17" t="s">
        <v>19</v>
      </c>
      <c r="F17">
        <v>1</v>
      </c>
      <c r="G17">
        <f t="shared" si="6"/>
        <v>85</v>
      </c>
      <c r="I17">
        <v>2030</v>
      </c>
      <c r="J17">
        <f t="shared" si="7"/>
        <v>87.5</v>
      </c>
      <c r="K17" cm="1">
        <f t="array" ref="K17">STOWA2019_NDJF_T(A17*60,J17,I17,"","lower")</f>
        <v>2613.4782832524229</v>
      </c>
      <c r="L17">
        <f t="shared" si="4"/>
        <v>1.1478955150400403E-3</v>
      </c>
    </row>
    <row r="18" spans="1:12" x14ac:dyDescent="0.3">
      <c r="A18">
        <v>24</v>
      </c>
      <c r="B18">
        <f t="shared" si="5"/>
        <v>4.3307105216498429E-4</v>
      </c>
      <c r="C18">
        <f t="shared" si="1"/>
        <v>4.3307105216498429E-4</v>
      </c>
      <c r="D18" t="s">
        <v>26</v>
      </c>
      <c r="E18" t="s">
        <v>19</v>
      </c>
      <c r="F18">
        <v>1</v>
      </c>
      <c r="G18">
        <f t="shared" si="6"/>
        <v>90</v>
      </c>
      <c r="I18">
        <v>2030</v>
      </c>
      <c r="J18">
        <f t="shared" si="7"/>
        <v>92.5</v>
      </c>
      <c r="K18" cm="1">
        <f t="array" ref="K18">STOWA2019_NDJF_T(A18*60,J18,I18,"","lower")</f>
        <v>4196.8345458322256</v>
      </c>
      <c r="L18">
        <f t="shared" si="4"/>
        <v>7.1482446287505596E-4</v>
      </c>
    </row>
    <row r="19" spans="1:12" x14ac:dyDescent="0.3">
      <c r="A19">
        <v>24</v>
      </c>
      <c r="B19">
        <f t="shared" si="5"/>
        <v>2.6257829615315459E-4</v>
      </c>
      <c r="C19">
        <f t="shared" si="1"/>
        <v>2.6257829615315459E-4</v>
      </c>
      <c r="D19" t="s">
        <v>26</v>
      </c>
      <c r="E19" t="s">
        <v>19</v>
      </c>
      <c r="F19">
        <v>1</v>
      </c>
      <c r="G19">
        <f t="shared" si="6"/>
        <v>95</v>
      </c>
      <c r="I19">
        <v>2030</v>
      </c>
      <c r="J19">
        <f t="shared" si="7"/>
        <v>97.5</v>
      </c>
      <c r="K19" cm="1">
        <f t="array" ref="K19">STOWA2019_NDJF_T(A19*60,J19,I19,"","lower")</f>
        <v>6633.55539693227</v>
      </c>
      <c r="L19">
        <f t="shared" si="4"/>
        <v>4.5224616672190137E-4</v>
      </c>
    </row>
    <row r="20" spans="1:12" x14ac:dyDescent="0.3">
      <c r="A20">
        <v>24</v>
      </c>
      <c r="B20">
        <f t="shared" si="5"/>
        <v>1.6185938101140898E-4</v>
      </c>
      <c r="C20">
        <f t="shared" si="1"/>
        <v>1.6185938101140898E-4</v>
      </c>
      <c r="D20" t="s">
        <v>26</v>
      </c>
      <c r="E20" t="s">
        <v>19</v>
      </c>
      <c r="F20">
        <v>1</v>
      </c>
      <c r="G20">
        <f t="shared" si="6"/>
        <v>100</v>
      </c>
      <c r="I20">
        <v>2030</v>
      </c>
      <c r="J20">
        <f t="shared" si="7"/>
        <v>102.5</v>
      </c>
      <c r="K20" cm="1">
        <f t="array" ref="K20">STOWA2019_NDJF_T(A20*60,J20,I20,"","lower")</f>
        <v>10331.048613868115</v>
      </c>
      <c r="L20">
        <f t="shared" si="4"/>
        <v>2.9038678571049239E-4</v>
      </c>
    </row>
    <row r="21" spans="1:12" x14ac:dyDescent="0.3">
      <c r="A21">
        <v>24</v>
      </c>
      <c r="B21">
        <f t="shared" si="5"/>
        <v>1.0132253710988618E-4</v>
      </c>
      <c r="C21">
        <f t="shared" si="1"/>
        <v>1.0132253710988618E-4</v>
      </c>
      <c r="D21" t="s">
        <v>26</v>
      </c>
      <c r="E21" t="s">
        <v>19</v>
      </c>
      <c r="F21">
        <v>1</v>
      </c>
      <c r="G21">
        <f t="shared" si="6"/>
        <v>105</v>
      </c>
      <c r="I21">
        <v>2030</v>
      </c>
      <c r="J21">
        <f t="shared" si="7"/>
        <v>107.5</v>
      </c>
      <c r="K21" cm="1">
        <f t="array" ref="K21">STOWA2019_NDJF_T(A21*60,J21,I21,"","lower")</f>
        <v>15867.621838634494</v>
      </c>
      <c r="L21">
        <f t="shared" si="4"/>
        <v>1.8906424860060621E-4</v>
      </c>
    </row>
    <row r="22" spans="1:12" x14ac:dyDescent="0.3">
      <c r="A22">
        <v>24</v>
      </c>
      <c r="B22">
        <f t="shared" si="5"/>
        <v>6.4353780877981836E-5</v>
      </c>
      <c r="C22">
        <f t="shared" si="1"/>
        <v>6.4353780877981836E-5</v>
      </c>
      <c r="D22" t="s">
        <v>26</v>
      </c>
      <c r="E22" t="s">
        <v>19</v>
      </c>
      <c r="F22">
        <v>1</v>
      </c>
      <c r="G22">
        <f t="shared" si="6"/>
        <v>110</v>
      </c>
      <c r="I22">
        <v>2030</v>
      </c>
      <c r="J22">
        <f t="shared" si="7"/>
        <v>112.5</v>
      </c>
      <c r="K22" cm="1">
        <f t="array" ref="K22">STOWA2019_NDJF_T(A22*60,J22,I22,"","lower")</f>
        <v>24055.719257444132</v>
      </c>
      <c r="L22">
        <f t="shared" si="4"/>
        <v>1.2471046772262437E-4</v>
      </c>
    </row>
    <row r="23" spans="1:12" x14ac:dyDescent="0.3">
      <c r="A23">
        <v>24</v>
      </c>
      <c r="B23">
        <f t="shared" si="5"/>
        <v>4.1434327237754116E-5</v>
      </c>
      <c r="C23">
        <f t="shared" si="1"/>
        <v>4.1434327237754116E-5</v>
      </c>
      <c r="D23" t="s">
        <v>26</v>
      </c>
      <c r="E23" t="s">
        <v>19</v>
      </c>
      <c r="F23">
        <v>1</v>
      </c>
      <c r="G23">
        <f t="shared" si="6"/>
        <v>115</v>
      </c>
      <c r="I23">
        <v>2030</v>
      </c>
      <c r="J23">
        <f t="shared" si="7"/>
        <v>117.5</v>
      </c>
      <c r="K23" cm="1">
        <f t="array" ref="K23">STOWA2019_NDJF_T(A23*60,J23,I23,"","lower")</f>
        <v>36024.724279159462</v>
      </c>
      <c r="L23">
        <f t="shared" si="4"/>
        <v>8.3276140484870258E-5</v>
      </c>
    </row>
    <row r="24" spans="1:12" x14ac:dyDescent="0.3">
      <c r="A24">
        <v>24</v>
      </c>
      <c r="B24">
        <f t="shared" si="5"/>
        <v>2.7020846303497356E-5</v>
      </c>
      <c r="C24">
        <f t="shared" si="1"/>
        <v>2.7020846303497356E-5</v>
      </c>
      <c r="D24" t="s">
        <v>26</v>
      </c>
      <c r="E24" t="s">
        <v>19</v>
      </c>
      <c r="F24">
        <v>1</v>
      </c>
      <c r="G24">
        <f t="shared" si="6"/>
        <v>120</v>
      </c>
      <c r="I24">
        <v>2030</v>
      </c>
      <c r="J24">
        <f t="shared" si="7"/>
        <v>122.5</v>
      </c>
      <c r="K24" cm="1">
        <f t="array" ref="K24">STOWA2019_NDJF_T(A24*60,J24,I24,"","lower")</f>
        <v>53328.31413746925</v>
      </c>
      <c r="L24">
        <f t="shared" si="4"/>
        <v>5.6255294181372902E-5</v>
      </c>
    </row>
    <row r="25" spans="1:12" x14ac:dyDescent="0.3">
      <c r="A25">
        <v>24</v>
      </c>
      <c r="B25">
        <f t="shared" si="5"/>
        <v>1.783582143063584E-5</v>
      </c>
      <c r="C25">
        <f t="shared" si="1"/>
        <v>1.783582143063584E-5</v>
      </c>
      <c r="D25" t="s">
        <v>26</v>
      </c>
      <c r="E25" t="s">
        <v>19</v>
      </c>
      <c r="F25">
        <v>1</v>
      </c>
      <c r="G25">
        <f t="shared" si="6"/>
        <v>125</v>
      </c>
      <c r="I25">
        <v>2030</v>
      </c>
      <c r="J25">
        <f t="shared" si="7"/>
        <v>127.5</v>
      </c>
      <c r="K25" cm="1">
        <f t="array" ref="K25">STOWA2019_NDJF_T(A25*60,J25,I25,"","lower")</f>
        <v>78085.40266712656</v>
      </c>
      <c r="L25">
        <f t="shared" si="4"/>
        <v>3.8419472750737062E-5</v>
      </c>
    </row>
    <row r="26" spans="1:12" x14ac:dyDescent="0.3">
      <c r="A26">
        <v>24</v>
      </c>
      <c r="B26">
        <f t="shared" si="5"/>
        <v>1.1908716635049902E-5</v>
      </c>
      <c r="C26">
        <f t="shared" si="1"/>
        <v>1.1908716635049902E-5</v>
      </c>
      <c r="D26" t="s">
        <v>26</v>
      </c>
      <c r="E26" t="s">
        <v>19</v>
      </c>
      <c r="F26">
        <v>1</v>
      </c>
      <c r="G26">
        <f t="shared" si="6"/>
        <v>130</v>
      </c>
      <c r="I26">
        <v>2030</v>
      </c>
      <c r="J26">
        <f t="shared" si="7"/>
        <v>132.5</v>
      </c>
      <c r="K26" cm="1">
        <f t="array" ref="K26">STOWA2019_NDJF_T(A26*60,J26,I26,"","lower")</f>
        <v>113161.61587050381</v>
      </c>
      <c r="L26">
        <f t="shared" si="4"/>
        <v>2.651075611568716E-5</v>
      </c>
    </row>
    <row r="27" spans="1:12" x14ac:dyDescent="0.3">
      <c r="A27">
        <v>24</v>
      </c>
      <c r="B27">
        <f t="shared" si="5"/>
        <v>8.0375686583662633E-6</v>
      </c>
      <c r="C27">
        <f t="shared" si="1"/>
        <v>8.0375686583662633E-6</v>
      </c>
      <c r="D27" t="s">
        <v>26</v>
      </c>
      <c r="E27" t="s">
        <v>19</v>
      </c>
      <c r="F27">
        <v>1</v>
      </c>
      <c r="G27">
        <f t="shared" si="6"/>
        <v>135</v>
      </c>
      <c r="I27">
        <v>2030</v>
      </c>
      <c r="J27">
        <f t="shared" si="7"/>
        <v>137.5</v>
      </c>
      <c r="K27" cm="1">
        <f t="array" ref="K27">STOWA2019_NDJF_T(A27*60,J27,I27,"","lower")</f>
        <v>162397.52922612737</v>
      </c>
      <c r="L27">
        <f t="shared" si="4"/>
        <v>1.8473187457320897E-5</v>
      </c>
    </row>
    <row r="28" spans="1:12" x14ac:dyDescent="0.3">
      <c r="A28">
        <v>24</v>
      </c>
      <c r="B28">
        <f t="shared" si="5"/>
        <v>5.4807017884621226E-6</v>
      </c>
      <c r="C28">
        <f t="shared" si="1"/>
        <v>5.4807017884621226E-6</v>
      </c>
      <c r="D28" t="s">
        <v>26</v>
      </c>
      <c r="E28" t="s">
        <v>19</v>
      </c>
      <c r="F28">
        <v>1</v>
      </c>
      <c r="G28">
        <f t="shared" si="6"/>
        <v>140</v>
      </c>
      <c r="I28">
        <v>2030</v>
      </c>
      <c r="J28">
        <f t="shared" si="7"/>
        <v>142.5</v>
      </c>
      <c r="K28" cm="1">
        <f t="array" ref="K28">STOWA2019_NDJF_T(A28*60,J28,I28,"","lower")</f>
        <v>230902.69841055843</v>
      </c>
      <c r="L28">
        <f t="shared" si="4"/>
        <v>1.2992485668858774E-5</v>
      </c>
    </row>
    <row r="29" spans="1:12" x14ac:dyDescent="0.3">
      <c r="A29">
        <v>24</v>
      </c>
      <c r="B29">
        <f t="shared" si="5"/>
        <v>3.7736988239164647E-6</v>
      </c>
      <c r="C29">
        <f t="shared" si="1"/>
        <v>3.7736988239164647E-6</v>
      </c>
      <c r="D29" t="s">
        <v>26</v>
      </c>
      <c r="E29" t="s">
        <v>19</v>
      </c>
      <c r="F29">
        <v>1</v>
      </c>
      <c r="G29">
        <f t="shared" si="6"/>
        <v>145</v>
      </c>
      <c r="I29">
        <v>2030</v>
      </c>
      <c r="J29">
        <f t="shared" si="7"/>
        <v>147.5</v>
      </c>
      <c r="K29" cm="1">
        <f t="array" ref="K29">STOWA2019_NDJF_T(A29*60,J29,I29,"","lower")</f>
        <v>325422.42818488483</v>
      </c>
      <c r="L29">
        <f t="shared" si="4"/>
        <v>9.2187868449423096E-6</v>
      </c>
    </row>
    <row r="30" spans="1:12" x14ac:dyDescent="0.3">
      <c r="A30">
        <v>24</v>
      </c>
      <c r="B30">
        <f t="shared" si="5"/>
        <v>2.6225774616047125E-6</v>
      </c>
      <c r="C30">
        <f t="shared" si="1"/>
        <v>2.6225774616047125E-6</v>
      </c>
      <c r="D30" t="s">
        <v>26</v>
      </c>
      <c r="E30" t="s">
        <v>19</v>
      </c>
      <c r="F30">
        <v>1</v>
      </c>
      <c r="G30">
        <f t="shared" si="6"/>
        <v>150</v>
      </c>
      <c r="I30">
        <v>2030</v>
      </c>
      <c r="J30">
        <f t="shared" si="7"/>
        <v>152.5</v>
      </c>
      <c r="K30" cm="1">
        <f t="array" ref="K30">STOWA2019_NDJF_T(A30*60,J30,I30,"","lower")</f>
        <v>454806.66632235359</v>
      </c>
      <c r="L30">
        <f t="shared" si="4"/>
        <v>6.5962093833375972E-6</v>
      </c>
    </row>
    <row r="31" spans="1:12" x14ac:dyDescent="0.3">
      <c r="A31">
        <v>24</v>
      </c>
      <c r="B31">
        <f t="shared" si="5"/>
        <v>1.8386387320753935E-6</v>
      </c>
      <c r="C31">
        <f t="shared" si="1"/>
        <v>1.8386387320753935E-6</v>
      </c>
      <c r="D31" t="s">
        <v>26</v>
      </c>
      <c r="E31" t="s">
        <v>19</v>
      </c>
      <c r="F31">
        <v>1</v>
      </c>
      <c r="G31">
        <f t="shared" si="6"/>
        <v>155</v>
      </c>
      <c r="I31">
        <v>2030</v>
      </c>
      <c r="J31">
        <f t="shared" si="7"/>
        <v>157.5</v>
      </c>
      <c r="K31" cm="1">
        <f t="array" ref="K31">STOWA2019_NDJF_T(A31*60,J31,I31,"","lower")</f>
        <v>630573.92520363047</v>
      </c>
      <c r="L31">
        <f t="shared" si="4"/>
        <v>4.7575706512622036E-6</v>
      </c>
    </row>
    <row r="32" spans="1:12" x14ac:dyDescent="0.3">
      <c r="A32">
        <v>24</v>
      </c>
      <c r="B32" s="1">
        <f>L31</f>
        <v>4.7575706512622036E-6</v>
      </c>
      <c r="C32">
        <f t="shared" si="1"/>
        <v>4.7575706512622036E-6</v>
      </c>
      <c r="D32" t="s">
        <v>26</v>
      </c>
      <c r="E32" t="s">
        <v>19</v>
      </c>
      <c r="F32">
        <v>1</v>
      </c>
      <c r="G32">
        <f t="shared" si="6"/>
        <v>160</v>
      </c>
      <c r="I32">
        <v>2030</v>
      </c>
      <c r="J32">
        <f>AVERAGE(G32:G33)</f>
        <v>85</v>
      </c>
      <c r="K32" cm="1">
        <f t="array" ref="K32">STOWA2019_NDJF_T(A32*60,J32,I32,"","lower")</f>
        <v>2049.4601492650863</v>
      </c>
      <c r="L32">
        <f t="shared" si="4"/>
        <v>1.4638001139352559E-3</v>
      </c>
    </row>
    <row r="33" spans="1:12" x14ac:dyDescent="0.3">
      <c r="A33">
        <v>48</v>
      </c>
      <c r="B33" s="1">
        <f>365.25*24/A33 - L33</f>
        <v>141.18167592714687</v>
      </c>
      <c r="C33">
        <f>B33</f>
        <v>141.18167592714687</v>
      </c>
      <c r="D33" t="s">
        <v>26</v>
      </c>
      <c r="E33" t="s">
        <v>19</v>
      </c>
      <c r="F33">
        <v>1</v>
      </c>
      <c r="G33">
        <v>10</v>
      </c>
      <c r="I33">
        <v>2030</v>
      </c>
      <c r="J33">
        <f>AVERAGE(G33:G35)</f>
        <v>15</v>
      </c>
      <c r="K33" cm="1">
        <f t="array" ref="K33">STOWA2019_NDJF_T(A33*60,J33,I33,"","lower")</f>
        <v>7.2388015853320692E-2</v>
      </c>
      <c r="L33">
        <f t="shared" si="4"/>
        <v>41.443324072853137</v>
      </c>
    </row>
    <row r="34" spans="1:12" x14ac:dyDescent="0.3">
      <c r="A34">
        <v>48</v>
      </c>
      <c r="B34">
        <f t="shared" ref="B34:B38" si="8">L33-L34</f>
        <v>12.651873405361592</v>
      </c>
      <c r="C34">
        <f t="shared" ref="C34:C63" si="9">B34</f>
        <v>12.651873405361592</v>
      </c>
      <c r="D34" t="s">
        <v>26</v>
      </c>
      <c r="E34" t="s">
        <v>19</v>
      </c>
      <c r="F34">
        <v>1</v>
      </c>
      <c r="G34">
        <f t="shared" ref="G34:G38" si="10">G33+5</f>
        <v>15</v>
      </c>
      <c r="I34">
        <v>2030</v>
      </c>
      <c r="J34">
        <f t="shared" ref="J34:J38" si="11">AVERAGE(G34:G35)</f>
        <v>17.5</v>
      </c>
      <c r="K34" cm="1">
        <f t="array" ref="K34">STOWA2019_NDJF_T(A34*60,J34,I34,"","lower")</f>
        <v>0.10419759791358144</v>
      </c>
      <c r="L34">
        <f t="shared" si="4"/>
        <v>28.791450667491546</v>
      </c>
    </row>
    <row r="35" spans="1:12" x14ac:dyDescent="0.3">
      <c r="A35">
        <v>48</v>
      </c>
      <c r="B35">
        <f t="shared" si="8"/>
        <v>14.593159067004606</v>
      </c>
      <c r="C35">
        <f t="shared" si="9"/>
        <v>14.593159067004606</v>
      </c>
      <c r="D35" t="s">
        <v>26</v>
      </c>
      <c r="E35" t="s">
        <v>19</v>
      </c>
      <c r="F35">
        <v>1</v>
      </c>
      <c r="G35">
        <f t="shared" si="10"/>
        <v>20</v>
      </c>
      <c r="I35">
        <v>2030</v>
      </c>
      <c r="J35">
        <f t="shared" si="11"/>
        <v>22.5</v>
      </c>
      <c r="K35" cm="1">
        <f t="array" ref="K35">STOWA2019_NDJF_T(A35*60,J35,I35,"","lower")</f>
        <v>0.21129302626078711</v>
      </c>
      <c r="L35">
        <f t="shared" si="4"/>
        <v>14.19829160048694</v>
      </c>
    </row>
    <row r="36" spans="1:12" x14ac:dyDescent="0.3">
      <c r="A36">
        <v>48</v>
      </c>
      <c r="B36">
        <f t="shared" si="8"/>
        <v>7.0051961449658595</v>
      </c>
      <c r="C36">
        <f t="shared" si="9"/>
        <v>7.0051961449658595</v>
      </c>
      <c r="D36" t="s">
        <v>26</v>
      </c>
      <c r="E36" t="s">
        <v>19</v>
      </c>
      <c r="F36">
        <v>1</v>
      </c>
      <c r="G36">
        <f t="shared" si="10"/>
        <v>25</v>
      </c>
      <c r="I36">
        <v>2030</v>
      </c>
      <c r="J36">
        <f t="shared" si="11"/>
        <v>27.5</v>
      </c>
      <c r="K36" cm="1">
        <f t="array" ref="K36">STOWA2019_NDJF_T(A36*60,J36,I36,"","lower")</f>
        <v>0.41706661875275713</v>
      </c>
      <c r="L36">
        <f t="shared" si="4"/>
        <v>7.19309545552108</v>
      </c>
    </row>
    <row r="37" spans="1:12" x14ac:dyDescent="0.3">
      <c r="A37">
        <v>48</v>
      </c>
      <c r="B37">
        <f t="shared" si="8"/>
        <v>3.4569643546572859</v>
      </c>
      <c r="C37">
        <f t="shared" si="9"/>
        <v>3.4569643546572859</v>
      </c>
      <c r="D37" t="s">
        <v>26</v>
      </c>
      <c r="E37" t="s">
        <v>19</v>
      </c>
      <c r="F37">
        <v>1</v>
      </c>
      <c r="G37">
        <f t="shared" si="10"/>
        <v>30</v>
      </c>
      <c r="I37">
        <v>2030</v>
      </c>
      <c r="J37">
        <f t="shared" si="11"/>
        <v>32.5</v>
      </c>
      <c r="K37" cm="1">
        <f t="array" ref="K37">STOWA2019_NDJF_T(A37*60,J37,I37,"","lower")</f>
        <v>0.80296968147247294</v>
      </c>
      <c r="L37">
        <f t="shared" si="4"/>
        <v>3.7361311008637941</v>
      </c>
    </row>
    <row r="38" spans="1:12" x14ac:dyDescent="0.3">
      <c r="A38">
        <v>48</v>
      </c>
      <c r="B38">
        <f t="shared" si="8"/>
        <v>1.749780355883833</v>
      </c>
      <c r="C38">
        <f t="shared" si="9"/>
        <v>1.749780355883833</v>
      </c>
      <c r="D38" t="s">
        <v>26</v>
      </c>
      <c r="E38" t="s">
        <v>19</v>
      </c>
      <c r="F38">
        <v>1</v>
      </c>
      <c r="G38">
        <f t="shared" si="10"/>
        <v>35</v>
      </c>
      <c r="I38">
        <v>2030</v>
      </c>
      <c r="J38">
        <f t="shared" si="11"/>
        <v>37.5</v>
      </c>
      <c r="K38" cm="1">
        <f t="array" ref="K38">STOWA2019_NDJF_T(A38*60,J38,I38,"","lower")</f>
        <v>1.5103072846433598</v>
      </c>
      <c r="L38">
        <f t="shared" si="4"/>
        <v>1.9863507449799611</v>
      </c>
    </row>
    <row r="39" spans="1:12" x14ac:dyDescent="0.3">
      <c r="A39">
        <v>48</v>
      </c>
      <c r="B39">
        <f>L38-L39</f>
        <v>0.90737223264841527</v>
      </c>
      <c r="C39">
        <f t="shared" si="9"/>
        <v>0.90737223264841527</v>
      </c>
      <c r="D39" t="s">
        <v>26</v>
      </c>
      <c r="E39" t="s">
        <v>19</v>
      </c>
      <c r="F39">
        <v>1</v>
      </c>
      <c r="G39">
        <f>G38+5</f>
        <v>40</v>
      </c>
      <c r="I39">
        <v>2030</v>
      </c>
      <c r="J39">
        <f>AVERAGE(G39:G40)</f>
        <v>42.5</v>
      </c>
      <c r="K39" cm="1">
        <f t="array" ref="K39">STOWA2019_NDJF_T(A39*60,J39,I39,"","lower")</f>
        <v>2.7804075481701229</v>
      </c>
      <c r="L39">
        <f t="shared" si="4"/>
        <v>1.0789785123315458</v>
      </c>
    </row>
    <row r="40" spans="1:12" x14ac:dyDescent="0.3">
      <c r="A40">
        <v>48</v>
      </c>
      <c r="B40">
        <f t="shared" ref="B40:B62" si="12">L39-L40</f>
        <v>0.48093777920684255</v>
      </c>
      <c r="C40">
        <f t="shared" si="9"/>
        <v>0.48093777920684255</v>
      </c>
      <c r="D40" t="s">
        <v>26</v>
      </c>
      <c r="E40" t="s">
        <v>19</v>
      </c>
      <c r="F40">
        <v>1</v>
      </c>
      <c r="G40">
        <f t="shared" ref="G40:G63" si="13">G39+5</f>
        <v>45</v>
      </c>
      <c r="I40">
        <v>2030</v>
      </c>
      <c r="J40">
        <f t="shared" ref="J40:J62" si="14">AVERAGE(G40:G41)</f>
        <v>47.5</v>
      </c>
      <c r="K40" cm="1">
        <f t="array" ref="K40">STOWA2019_NDJF_T(A40*60,J40,I40,"","lower")</f>
        <v>5.0163807142789398</v>
      </c>
      <c r="L40">
        <f t="shared" si="4"/>
        <v>0.59804073312470329</v>
      </c>
    </row>
    <row r="41" spans="1:12" x14ac:dyDescent="0.3">
      <c r="A41">
        <v>48</v>
      </c>
      <c r="B41">
        <f t="shared" si="12"/>
        <v>0.26024882922771742</v>
      </c>
      <c r="C41">
        <f t="shared" si="9"/>
        <v>0.26024882922771742</v>
      </c>
      <c r="D41" t="s">
        <v>26</v>
      </c>
      <c r="E41" t="s">
        <v>19</v>
      </c>
      <c r="F41">
        <v>1</v>
      </c>
      <c r="G41">
        <f t="shared" si="13"/>
        <v>50</v>
      </c>
      <c r="I41">
        <v>2030</v>
      </c>
      <c r="J41">
        <f t="shared" si="14"/>
        <v>52.5</v>
      </c>
      <c r="K41" cm="1">
        <f t="array" ref="K41">STOWA2019_NDJF_T(A41*60,J41,I41,"","lower")</f>
        <v>8.8812075286294903</v>
      </c>
      <c r="L41">
        <f t="shared" si="4"/>
        <v>0.33779190389698588</v>
      </c>
    </row>
    <row r="42" spans="1:12" x14ac:dyDescent="0.3">
      <c r="A42">
        <v>48</v>
      </c>
      <c r="B42">
        <f t="shared" si="12"/>
        <v>0.14358897554844879</v>
      </c>
      <c r="C42">
        <f t="shared" si="9"/>
        <v>0.14358897554844879</v>
      </c>
      <c r="D42" t="s">
        <v>26</v>
      </c>
      <c r="E42" t="s">
        <v>19</v>
      </c>
      <c r="F42">
        <v>1</v>
      </c>
      <c r="G42">
        <f t="shared" si="13"/>
        <v>55</v>
      </c>
      <c r="I42">
        <v>2030</v>
      </c>
      <c r="J42">
        <f t="shared" si="14"/>
        <v>57.5</v>
      </c>
      <c r="K42" cm="1">
        <f t="array" ref="K42">STOWA2019_NDJF_T(A42*60,J42,I42,"","lower")</f>
        <v>15.447758823779852</v>
      </c>
      <c r="L42">
        <f t="shared" si="4"/>
        <v>0.19420292834853708</v>
      </c>
    </row>
    <row r="43" spans="1:12" x14ac:dyDescent="0.3">
      <c r="A43">
        <v>48</v>
      </c>
      <c r="B43">
        <f t="shared" si="12"/>
        <v>8.0677343561039894E-2</v>
      </c>
      <c r="C43">
        <f t="shared" si="9"/>
        <v>8.0677343561039894E-2</v>
      </c>
      <c r="D43" t="s">
        <v>26</v>
      </c>
      <c r="E43" t="s">
        <v>19</v>
      </c>
      <c r="F43">
        <v>1</v>
      </c>
      <c r="G43">
        <f t="shared" si="13"/>
        <v>60</v>
      </c>
      <c r="I43">
        <v>2030</v>
      </c>
      <c r="J43">
        <f t="shared" si="14"/>
        <v>62.5</v>
      </c>
      <c r="K43" cm="1">
        <f t="array" ref="K43">STOWA2019_NDJF_T(A43*60,J43,I43,"","lower")</f>
        <v>26.425761255628398</v>
      </c>
      <c r="L43">
        <f t="shared" si="4"/>
        <v>0.11352558478749719</v>
      </c>
    </row>
    <row r="44" spans="1:12" x14ac:dyDescent="0.3">
      <c r="A44">
        <v>48</v>
      </c>
      <c r="B44">
        <f t="shared" si="12"/>
        <v>4.6114488130761078E-2</v>
      </c>
      <c r="C44">
        <f t="shared" si="9"/>
        <v>4.6114488130761078E-2</v>
      </c>
      <c r="D44" t="s">
        <v>26</v>
      </c>
      <c r="E44" t="s">
        <v>19</v>
      </c>
      <c r="F44">
        <v>1</v>
      </c>
      <c r="G44">
        <f t="shared" si="13"/>
        <v>65</v>
      </c>
      <c r="I44">
        <v>2030</v>
      </c>
      <c r="J44">
        <f t="shared" si="14"/>
        <v>67.5</v>
      </c>
      <c r="K44" cm="1">
        <f t="array" ref="K44">STOWA2019_NDJF_T(A44*60,J44,I44,"","lower")</f>
        <v>44.503058825408118</v>
      </c>
      <c r="L44">
        <f t="shared" si="4"/>
        <v>6.7411096656736114E-2</v>
      </c>
    </row>
    <row r="45" spans="1:12" x14ac:dyDescent="0.3">
      <c r="A45">
        <v>48</v>
      </c>
      <c r="B45">
        <f t="shared" si="12"/>
        <v>2.6786155933777839E-2</v>
      </c>
      <c r="C45">
        <f t="shared" si="9"/>
        <v>2.6786155933777839E-2</v>
      </c>
      <c r="D45" t="s">
        <v>26</v>
      </c>
      <c r="E45" t="s">
        <v>19</v>
      </c>
      <c r="F45">
        <v>1</v>
      </c>
      <c r="G45">
        <f t="shared" si="13"/>
        <v>70</v>
      </c>
      <c r="I45">
        <v>2030</v>
      </c>
      <c r="J45">
        <f t="shared" si="14"/>
        <v>72.5</v>
      </c>
      <c r="K45" cm="1">
        <f t="array" ref="K45">STOWA2019_NDJF_T(A45*60,J45,I45,"","lower")</f>
        <v>73.846261597241352</v>
      </c>
      <c r="L45">
        <f t="shared" si="4"/>
        <v>4.0624940722958275E-2</v>
      </c>
    </row>
    <row r="46" spans="1:12" x14ac:dyDescent="0.3">
      <c r="A46">
        <v>48</v>
      </c>
      <c r="B46">
        <f t="shared" si="12"/>
        <v>1.5798239887439967E-2</v>
      </c>
      <c r="C46">
        <f t="shared" si="9"/>
        <v>1.5798239887439967E-2</v>
      </c>
      <c r="D46" t="s">
        <v>26</v>
      </c>
      <c r="E46" t="s">
        <v>19</v>
      </c>
      <c r="F46">
        <v>1</v>
      </c>
      <c r="G46">
        <f t="shared" si="13"/>
        <v>75</v>
      </c>
      <c r="I46">
        <v>2030</v>
      </c>
      <c r="J46">
        <f t="shared" si="14"/>
        <v>77.5</v>
      </c>
      <c r="K46" cm="1">
        <f t="array" ref="K46">STOWA2019_NDJF_T(A46*60,J46,I46,"","lower")</f>
        <v>120.8376424993228</v>
      </c>
      <c r="L46">
        <f t="shared" si="4"/>
        <v>2.4826700835518307E-2</v>
      </c>
    </row>
    <row r="47" spans="1:12" x14ac:dyDescent="0.3">
      <c r="A47">
        <v>48</v>
      </c>
      <c r="B47">
        <f t="shared" si="12"/>
        <v>9.4526340247984494E-3</v>
      </c>
      <c r="C47">
        <f t="shared" si="9"/>
        <v>9.4526340247984494E-3</v>
      </c>
      <c r="D47" t="s">
        <v>26</v>
      </c>
      <c r="E47" t="s">
        <v>19</v>
      </c>
      <c r="F47">
        <v>1</v>
      </c>
      <c r="G47">
        <f t="shared" si="13"/>
        <v>80</v>
      </c>
      <c r="I47">
        <v>2030</v>
      </c>
      <c r="J47">
        <f t="shared" si="14"/>
        <v>82.5</v>
      </c>
      <c r="K47" cm="1">
        <f t="array" ref="K47">STOWA2019_NDJF_T(A47*60,J47,I47,"","lower")</f>
        <v>195.13379491158403</v>
      </c>
      <c r="L47">
        <f t="shared" si="4"/>
        <v>1.5374066810719858E-2</v>
      </c>
    </row>
    <row r="48" spans="1:12" x14ac:dyDescent="0.3">
      <c r="A48">
        <v>48</v>
      </c>
      <c r="B48">
        <f t="shared" si="12"/>
        <v>5.7336938912873649E-3</v>
      </c>
      <c r="C48">
        <f t="shared" si="9"/>
        <v>5.7336938912873649E-3</v>
      </c>
      <c r="D48" t="s">
        <v>26</v>
      </c>
      <c r="E48" t="s">
        <v>19</v>
      </c>
      <c r="F48">
        <v>1</v>
      </c>
      <c r="G48">
        <f t="shared" si="13"/>
        <v>85</v>
      </c>
      <c r="I48">
        <v>2030</v>
      </c>
      <c r="J48">
        <f t="shared" si="14"/>
        <v>87.5</v>
      </c>
      <c r="K48" cm="1">
        <f t="array" ref="K48">STOWA2019_NDJF_T(A48*60,J48,I48,"","lower")</f>
        <v>311.19128119543774</v>
      </c>
      <c r="L48">
        <f t="shared" si="4"/>
        <v>9.6403729194324932E-3</v>
      </c>
    </row>
    <row r="49" spans="1:12" x14ac:dyDescent="0.3">
      <c r="A49">
        <v>48</v>
      </c>
      <c r="B49">
        <f t="shared" si="12"/>
        <v>3.5229970728720833E-3</v>
      </c>
      <c r="C49">
        <f t="shared" si="9"/>
        <v>3.5229970728720833E-3</v>
      </c>
      <c r="D49" t="s">
        <v>26</v>
      </c>
      <c r="E49" t="s">
        <v>19</v>
      </c>
      <c r="F49">
        <v>1</v>
      </c>
      <c r="G49">
        <f t="shared" si="13"/>
        <v>90</v>
      </c>
      <c r="I49">
        <v>2030</v>
      </c>
      <c r="J49">
        <f t="shared" si="14"/>
        <v>92.5</v>
      </c>
      <c r="K49" cm="1">
        <f t="array" ref="K49">STOWA2019_NDJF_T(A49*60,J49,I49,"","lower")</f>
        <v>490.40635645867621</v>
      </c>
      <c r="L49">
        <f t="shared" si="4"/>
        <v>6.1173758465604099E-3</v>
      </c>
    </row>
    <row r="50" spans="1:12" x14ac:dyDescent="0.3">
      <c r="A50">
        <v>48</v>
      </c>
      <c r="B50">
        <f t="shared" si="12"/>
        <v>2.1914795807551979E-3</v>
      </c>
      <c r="C50">
        <f t="shared" si="9"/>
        <v>2.1914795807551979E-3</v>
      </c>
      <c r="D50" t="s">
        <v>26</v>
      </c>
      <c r="E50" t="s">
        <v>19</v>
      </c>
      <c r="F50">
        <v>1</v>
      </c>
      <c r="G50">
        <f t="shared" si="13"/>
        <v>95</v>
      </c>
      <c r="I50">
        <v>2030</v>
      </c>
      <c r="J50">
        <f t="shared" si="14"/>
        <v>97.5</v>
      </c>
      <c r="K50" cm="1">
        <f t="array" ref="K50">STOWA2019_NDJF_T(A50*60,J50,I50,"","lower")</f>
        <v>764.15671655162589</v>
      </c>
      <c r="L50">
        <f t="shared" si="4"/>
        <v>3.9258962658052119E-3</v>
      </c>
    </row>
    <row r="51" spans="1:12" x14ac:dyDescent="0.3">
      <c r="A51">
        <v>48</v>
      </c>
      <c r="B51">
        <f t="shared" si="12"/>
        <v>1.3791588056830308E-3</v>
      </c>
      <c r="C51">
        <f t="shared" si="9"/>
        <v>1.3791588056830308E-3</v>
      </c>
      <c r="D51" t="s">
        <v>26</v>
      </c>
      <c r="E51" t="s">
        <v>19</v>
      </c>
      <c r="F51">
        <v>1</v>
      </c>
      <c r="G51">
        <f t="shared" si="13"/>
        <v>100</v>
      </c>
      <c r="I51">
        <v>2030</v>
      </c>
      <c r="J51">
        <f t="shared" si="14"/>
        <v>102.5</v>
      </c>
      <c r="K51" cm="1">
        <f t="array" ref="K51">STOWA2019_NDJF_T(A51*60,J51,I51,"","lower")</f>
        <v>1177.9777252171386</v>
      </c>
      <c r="L51">
        <f t="shared" si="4"/>
        <v>2.5467374601221811E-3</v>
      </c>
    </row>
    <row r="52" spans="1:12" x14ac:dyDescent="0.3">
      <c r="A52">
        <v>48</v>
      </c>
      <c r="B52">
        <f t="shared" si="12"/>
        <v>8.7765894384816208E-4</v>
      </c>
      <c r="C52">
        <f t="shared" si="9"/>
        <v>8.7765894384816208E-4</v>
      </c>
      <c r="D52" t="s">
        <v>26</v>
      </c>
      <c r="E52" t="s">
        <v>19</v>
      </c>
      <c r="F52">
        <v>1</v>
      </c>
      <c r="G52">
        <f t="shared" si="13"/>
        <v>105</v>
      </c>
      <c r="I52">
        <v>2030</v>
      </c>
      <c r="J52">
        <f t="shared" si="14"/>
        <v>107.5</v>
      </c>
      <c r="K52" cm="1">
        <f t="array" ref="K52">STOWA2019_NDJF_T(A52*60,J52,I52,"","lower")</f>
        <v>1797.3989664051721</v>
      </c>
      <c r="L52">
        <f t="shared" si="4"/>
        <v>1.669078516274019E-3</v>
      </c>
    </row>
    <row r="53" spans="1:12" x14ac:dyDescent="0.3">
      <c r="A53">
        <v>48</v>
      </c>
      <c r="B53">
        <f t="shared" si="12"/>
        <v>5.6446328577808725E-4</v>
      </c>
      <c r="C53">
        <f t="shared" si="9"/>
        <v>5.6446328577808725E-4</v>
      </c>
      <c r="D53" t="s">
        <v>26</v>
      </c>
      <c r="E53" t="s">
        <v>19</v>
      </c>
      <c r="F53">
        <v>1</v>
      </c>
      <c r="G53">
        <f t="shared" si="13"/>
        <v>110</v>
      </c>
      <c r="I53">
        <v>2030</v>
      </c>
      <c r="J53">
        <f t="shared" si="14"/>
        <v>112.5</v>
      </c>
      <c r="K53" cm="1">
        <f t="array" ref="K53">STOWA2019_NDJF_T(A53*60,J53,I53,"","lower")</f>
        <v>2715.8778162538188</v>
      </c>
      <c r="L53">
        <f t="shared" si="4"/>
        <v>1.1046152304959318E-3</v>
      </c>
    </row>
    <row r="54" spans="1:12" x14ac:dyDescent="0.3">
      <c r="A54">
        <v>48</v>
      </c>
      <c r="B54">
        <f t="shared" si="12"/>
        <v>3.667139347987657E-4</v>
      </c>
      <c r="C54">
        <f t="shared" si="9"/>
        <v>3.667139347987657E-4</v>
      </c>
      <c r="D54" t="s">
        <v>26</v>
      </c>
      <c r="E54" t="s">
        <v>19</v>
      </c>
      <c r="F54">
        <v>1</v>
      </c>
      <c r="G54">
        <f t="shared" si="13"/>
        <v>115</v>
      </c>
      <c r="I54">
        <v>2030</v>
      </c>
      <c r="J54">
        <f t="shared" si="14"/>
        <v>117.5</v>
      </c>
      <c r="K54" cm="1">
        <f t="array" ref="K54">STOWA2019_NDJF_T(A54*60,J54,I54,"","lower")</f>
        <v>4065.5844047076948</v>
      </c>
      <c r="L54">
        <f t="shared" si="4"/>
        <v>7.3790129569716609E-4</v>
      </c>
    </row>
    <row r="55" spans="1:12" x14ac:dyDescent="0.3">
      <c r="A55">
        <v>48</v>
      </c>
      <c r="B55">
        <f t="shared" si="12"/>
        <v>2.405611747933324E-4</v>
      </c>
      <c r="C55">
        <f t="shared" si="9"/>
        <v>2.405611747933324E-4</v>
      </c>
      <c r="D55" t="s">
        <v>26</v>
      </c>
      <c r="E55" t="s">
        <v>19</v>
      </c>
      <c r="F55">
        <v>1</v>
      </c>
      <c r="G55">
        <f t="shared" si="13"/>
        <v>120</v>
      </c>
      <c r="I55">
        <v>2030</v>
      </c>
      <c r="J55">
        <f t="shared" si="14"/>
        <v>122.5</v>
      </c>
      <c r="K55" cm="1">
        <f t="array" ref="K55">STOWA2019_NDJF_T(A55*60,J55,I55,"","lower")</f>
        <v>6032.089256237753</v>
      </c>
      <c r="L55">
        <f t="shared" si="4"/>
        <v>4.9734012090383369E-4</v>
      </c>
    </row>
    <row r="56" spans="1:12" x14ac:dyDescent="0.3">
      <c r="A56">
        <v>48</v>
      </c>
      <c r="B56">
        <f t="shared" si="12"/>
        <v>1.5926554392533485E-4</v>
      </c>
      <c r="C56">
        <f t="shared" si="9"/>
        <v>1.5926554392533485E-4</v>
      </c>
      <c r="D56" t="s">
        <v>26</v>
      </c>
      <c r="E56" t="s">
        <v>19</v>
      </c>
      <c r="F56">
        <v>1</v>
      </c>
      <c r="G56">
        <f t="shared" si="13"/>
        <v>125</v>
      </c>
      <c r="I56">
        <v>2030</v>
      </c>
      <c r="J56">
        <f t="shared" si="14"/>
        <v>127.5</v>
      </c>
      <c r="K56" cm="1">
        <f t="array" ref="K56">STOWA2019_NDJF_T(A56*60,J56,I56,"","lower")</f>
        <v>8873.7817164843982</v>
      </c>
      <c r="L56">
        <f t="shared" si="4"/>
        <v>3.3807457697849884E-4</v>
      </c>
    </row>
    <row r="57" spans="1:12" x14ac:dyDescent="0.3">
      <c r="A57">
        <v>48</v>
      </c>
      <c r="B57">
        <f t="shared" si="12"/>
        <v>1.0637714662160234E-4</v>
      </c>
      <c r="C57">
        <f t="shared" si="9"/>
        <v>1.0637714662160234E-4</v>
      </c>
      <c r="D57" t="s">
        <v>26</v>
      </c>
      <c r="E57" t="s">
        <v>19</v>
      </c>
      <c r="F57">
        <v>1</v>
      </c>
      <c r="G57">
        <f t="shared" si="13"/>
        <v>130</v>
      </c>
      <c r="I57">
        <v>2030</v>
      </c>
      <c r="J57">
        <f t="shared" si="14"/>
        <v>132.5</v>
      </c>
      <c r="K57" cm="1">
        <f t="array" ref="K57">STOWA2019_NDJF_T(A57*60,J57,I57,"","lower")</f>
        <v>12947.920895708392</v>
      </c>
      <c r="L57">
        <f t="shared" si="4"/>
        <v>2.316974303568965E-4</v>
      </c>
    </row>
    <row r="58" spans="1:12" x14ac:dyDescent="0.3">
      <c r="A58">
        <v>48</v>
      </c>
      <c r="B58">
        <f t="shared" si="12"/>
        <v>7.1657909791127941E-5</v>
      </c>
      <c r="C58">
        <f t="shared" si="9"/>
        <v>7.1657909791127941E-5</v>
      </c>
      <c r="D58" t="s">
        <v>26</v>
      </c>
      <c r="E58" t="s">
        <v>19</v>
      </c>
      <c r="F58">
        <v>1</v>
      </c>
      <c r="G58">
        <f t="shared" si="13"/>
        <v>135</v>
      </c>
      <c r="I58">
        <v>2030</v>
      </c>
      <c r="J58">
        <f t="shared" si="14"/>
        <v>137.5</v>
      </c>
      <c r="K58" cm="1">
        <f t="array" ref="K58">STOWA2019_NDJF_T(A58*60,J58,I58,"","lower")</f>
        <v>18745.369827368009</v>
      </c>
      <c r="L58">
        <f t="shared" si="4"/>
        <v>1.6003952056576856E-4</v>
      </c>
    </row>
    <row r="59" spans="1:12" x14ac:dyDescent="0.3">
      <c r="A59">
        <v>48</v>
      </c>
      <c r="B59">
        <f t="shared" si="12"/>
        <v>4.8661943557032176E-5</v>
      </c>
      <c r="C59">
        <f t="shared" si="9"/>
        <v>4.8661943557032176E-5</v>
      </c>
      <c r="D59" t="s">
        <v>26</v>
      </c>
      <c r="E59" t="s">
        <v>19</v>
      </c>
      <c r="F59">
        <v>1</v>
      </c>
      <c r="G59">
        <f t="shared" si="13"/>
        <v>140</v>
      </c>
      <c r="I59">
        <v>2030</v>
      </c>
      <c r="J59">
        <f t="shared" si="14"/>
        <v>142.5</v>
      </c>
      <c r="K59" cm="1">
        <f t="array" ref="K59">STOWA2019_NDJF_T(A59*60,J59,I59,"","lower")</f>
        <v>26935.403701273572</v>
      </c>
      <c r="L59">
        <f t="shared" si="4"/>
        <v>1.1137757700873638E-4</v>
      </c>
    </row>
    <row r="60" spans="1:12" x14ac:dyDescent="0.3">
      <c r="A60">
        <v>48</v>
      </c>
      <c r="B60">
        <f t="shared" si="12"/>
        <v>3.3304661499375098E-5</v>
      </c>
      <c r="C60">
        <f t="shared" si="9"/>
        <v>3.3304661499375098E-5</v>
      </c>
      <c r="D60" t="s">
        <v>26</v>
      </c>
      <c r="E60" t="s">
        <v>19</v>
      </c>
      <c r="F60">
        <v>1</v>
      </c>
      <c r="G60">
        <f t="shared" si="13"/>
        <v>145</v>
      </c>
      <c r="I60">
        <v>2030</v>
      </c>
      <c r="J60">
        <f t="shared" si="14"/>
        <v>147.5</v>
      </c>
      <c r="K60" cm="1">
        <f t="array" ref="K60">STOWA2019_NDJF_T(A60*60,J60,I60,"","lower")</f>
        <v>38425.617647649997</v>
      </c>
      <c r="L60">
        <f t="shared" si="4"/>
        <v>7.8072915509361281E-5</v>
      </c>
    </row>
    <row r="61" spans="1:12" x14ac:dyDescent="0.3">
      <c r="A61">
        <v>48</v>
      </c>
      <c r="B61">
        <f t="shared" si="12"/>
        <v>2.2965429348758553E-5</v>
      </c>
      <c r="C61">
        <f t="shared" si="9"/>
        <v>2.2965429348758553E-5</v>
      </c>
      <c r="D61" t="s">
        <v>26</v>
      </c>
      <c r="E61" t="s">
        <v>19</v>
      </c>
      <c r="F61">
        <v>1</v>
      </c>
      <c r="G61">
        <f t="shared" si="13"/>
        <v>150</v>
      </c>
      <c r="I61">
        <v>2030</v>
      </c>
      <c r="J61">
        <f t="shared" si="14"/>
        <v>152.5</v>
      </c>
      <c r="K61" cm="1">
        <f t="array" ref="K61">STOWA2019_NDJF_T(A61*60,J61,I61,"","lower")</f>
        <v>54439.064617408556</v>
      </c>
      <c r="L61">
        <f t="shared" si="4"/>
        <v>5.5107486160602728E-5</v>
      </c>
    </row>
    <row r="62" spans="1:12" x14ac:dyDescent="0.3">
      <c r="A62">
        <v>48</v>
      </c>
      <c r="B62">
        <f t="shared" si="12"/>
        <v>1.5949720971864992E-5</v>
      </c>
      <c r="C62">
        <f t="shared" si="9"/>
        <v>1.5949720971864992E-5</v>
      </c>
      <c r="D62" t="s">
        <v>26</v>
      </c>
      <c r="E62" t="s">
        <v>19</v>
      </c>
      <c r="F62">
        <v>1</v>
      </c>
      <c r="G62">
        <f t="shared" si="13"/>
        <v>155</v>
      </c>
      <c r="I62">
        <v>2030</v>
      </c>
      <c r="J62">
        <f t="shared" si="14"/>
        <v>157.5</v>
      </c>
      <c r="K62" cm="1">
        <f t="array" ref="K62">STOWA2019_NDJF_T(A62*60,J62,I62,"","lower")</f>
        <v>76613.156689106399</v>
      </c>
      <c r="L62">
        <f t="shared" si="4"/>
        <v>3.9157765188737735E-5</v>
      </c>
    </row>
    <row r="63" spans="1:12" x14ac:dyDescent="0.3">
      <c r="A63">
        <v>48</v>
      </c>
      <c r="B63" s="1">
        <f>L62</f>
        <v>3.9157765188737735E-5</v>
      </c>
      <c r="C63">
        <f t="shared" si="9"/>
        <v>3.9157765188737735E-5</v>
      </c>
      <c r="D63" t="s">
        <v>26</v>
      </c>
      <c r="E63" t="s">
        <v>19</v>
      </c>
      <c r="F63">
        <v>1</v>
      </c>
      <c r="G63">
        <f t="shared" si="13"/>
        <v>160</v>
      </c>
      <c r="I63">
        <v>2030</v>
      </c>
      <c r="J63">
        <f>AVERAGE(G63:G64)</f>
        <v>85</v>
      </c>
      <c r="K63" cm="1">
        <f t="array" ref="K63">STOWA2019_NDJF_T(A63*60,J63,I63,"","lower")</f>
        <v>246.79825957938993</v>
      </c>
      <c r="L63">
        <f t="shared" si="4"/>
        <v>1.2155677293319653E-2</v>
      </c>
    </row>
    <row r="64" spans="1:12" x14ac:dyDescent="0.3">
      <c r="A64">
        <v>96</v>
      </c>
      <c r="B64" s="1">
        <f>365.25*24/A64 - L64</f>
        <v>27.339888564708296</v>
      </c>
      <c r="C64">
        <f>B64</f>
        <v>27.339888564708296</v>
      </c>
      <c r="D64" t="s">
        <v>26</v>
      </c>
      <c r="E64" t="s">
        <v>19</v>
      </c>
      <c r="F64">
        <v>1</v>
      </c>
      <c r="G64">
        <v>10</v>
      </c>
      <c r="I64">
        <v>2030</v>
      </c>
      <c r="J64">
        <f>AVERAGE(G64:G66)</f>
        <v>15</v>
      </c>
      <c r="K64" cm="1">
        <f t="array" ref="K64">STOWA2019_NDJF_T(A64*60,J64,I64,"","lower")</f>
        <v>4.6895068572188899E-2</v>
      </c>
      <c r="L64">
        <f t="shared" si="4"/>
        <v>63.972611435291704</v>
      </c>
    </row>
    <row r="65" spans="1:12" x14ac:dyDescent="0.3">
      <c r="A65">
        <v>96</v>
      </c>
      <c r="B65">
        <f t="shared" ref="B65:B69" si="15">L64-L65</f>
        <v>13.996073107067758</v>
      </c>
      <c r="C65">
        <f t="shared" ref="C65:C94" si="16">B65</f>
        <v>13.996073107067758</v>
      </c>
      <c r="D65" t="s">
        <v>26</v>
      </c>
      <c r="E65" t="s">
        <v>19</v>
      </c>
      <c r="F65">
        <v>1</v>
      </c>
      <c r="G65">
        <f t="shared" ref="G65:G69" si="17">G64+5</f>
        <v>15</v>
      </c>
      <c r="I65">
        <v>2030</v>
      </c>
      <c r="J65">
        <f t="shared" ref="J65:J69" si="18">AVERAGE(G65:G66)</f>
        <v>17.5</v>
      </c>
      <c r="K65" cm="1">
        <f t="array" ref="K65">STOWA2019_NDJF_T(A65*60,J65,I65,"","lower")</f>
        <v>6.002816722313415E-2</v>
      </c>
      <c r="L65">
        <f t="shared" si="4"/>
        <v>49.976538328223945</v>
      </c>
    </row>
    <row r="66" spans="1:12" x14ac:dyDescent="0.3">
      <c r="A66">
        <v>96</v>
      </c>
      <c r="B66">
        <f t="shared" si="15"/>
        <v>19.353991467702691</v>
      </c>
      <c r="C66">
        <f t="shared" si="16"/>
        <v>19.353991467702691</v>
      </c>
      <c r="D66" t="s">
        <v>26</v>
      </c>
      <c r="E66" t="s">
        <v>19</v>
      </c>
      <c r="F66">
        <v>1</v>
      </c>
      <c r="G66">
        <f t="shared" si="17"/>
        <v>20</v>
      </c>
      <c r="I66">
        <v>2030</v>
      </c>
      <c r="J66">
        <f t="shared" si="18"/>
        <v>22.5</v>
      </c>
      <c r="K66" cm="1">
        <f t="array" ref="K66">STOWA2019_NDJF_T(A66*60,J66,I66,"","lower")</f>
        <v>9.7967031078907918E-2</v>
      </c>
      <c r="L66">
        <f t="shared" si="4"/>
        <v>30.622546860521254</v>
      </c>
    </row>
    <row r="67" spans="1:12" x14ac:dyDescent="0.3">
      <c r="A67">
        <v>96</v>
      </c>
      <c r="B67">
        <f t="shared" si="15"/>
        <v>11.760561890911951</v>
      </c>
      <c r="C67">
        <f t="shared" si="16"/>
        <v>11.760561890911951</v>
      </c>
      <c r="D67" t="s">
        <v>26</v>
      </c>
      <c r="E67" t="s">
        <v>19</v>
      </c>
      <c r="F67">
        <v>1</v>
      </c>
      <c r="G67">
        <f t="shared" si="17"/>
        <v>25</v>
      </c>
      <c r="I67">
        <v>2030</v>
      </c>
      <c r="J67">
        <f t="shared" si="18"/>
        <v>27.5</v>
      </c>
      <c r="K67" cm="1">
        <f t="array" ref="K67">STOWA2019_NDJF_T(A67*60,J67,I67,"","lower")</f>
        <v>0.15905006842247213</v>
      </c>
      <c r="L67">
        <f t="shared" ref="L67:L130" si="19">1/K67* 12/4</f>
        <v>18.861984969609303</v>
      </c>
    </row>
    <row r="68" spans="1:12" x14ac:dyDescent="0.3">
      <c r="A68">
        <v>96</v>
      </c>
      <c r="B68">
        <f t="shared" si="15"/>
        <v>7.1842837849042098</v>
      </c>
      <c r="C68">
        <f t="shared" si="16"/>
        <v>7.1842837849042098</v>
      </c>
      <c r="D68" t="s">
        <v>26</v>
      </c>
      <c r="E68" t="s">
        <v>19</v>
      </c>
      <c r="F68">
        <v>1</v>
      </c>
      <c r="G68">
        <f t="shared" si="17"/>
        <v>30</v>
      </c>
      <c r="I68">
        <v>2030</v>
      </c>
      <c r="J68">
        <f t="shared" si="18"/>
        <v>32.5</v>
      </c>
      <c r="K68" cm="1">
        <f t="array" ref="K68">STOWA2019_NDJF_T(A68*60,J68,I68,"","lower")</f>
        <v>0.25689987717182383</v>
      </c>
      <c r="L68">
        <f t="shared" si="19"/>
        <v>11.677701184705093</v>
      </c>
    </row>
    <row r="69" spans="1:12" x14ac:dyDescent="0.3">
      <c r="A69">
        <v>96</v>
      </c>
      <c r="B69">
        <f t="shared" si="15"/>
        <v>4.411630774462135</v>
      </c>
      <c r="C69">
        <f t="shared" si="16"/>
        <v>4.411630774462135</v>
      </c>
      <c r="D69" t="s">
        <v>26</v>
      </c>
      <c r="E69" t="s">
        <v>19</v>
      </c>
      <c r="F69">
        <v>1</v>
      </c>
      <c r="G69">
        <f t="shared" si="17"/>
        <v>35</v>
      </c>
      <c r="I69">
        <v>2030</v>
      </c>
      <c r="J69">
        <f t="shared" si="18"/>
        <v>37.5</v>
      </c>
      <c r="K69" cm="1">
        <f t="array" ref="K69">STOWA2019_NDJF_T(A69*60,J69,I69,"","lower")</f>
        <v>0.41287791483150355</v>
      </c>
      <c r="L69">
        <f t="shared" si="19"/>
        <v>7.2660704102429579</v>
      </c>
    </row>
    <row r="70" spans="1:12" x14ac:dyDescent="0.3">
      <c r="A70">
        <v>96</v>
      </c>
      <c r="B70">
        <f>L69-L70</f>
        <v>2.7227984127681664</v>
      </c>
      <c r="C70">
        <f t="shared" si="16"/>
        <v>2.7227984127681664</v>
      </c>
      <c r="D70" t="s">
        <v>26</v>
      </c>
      <c r="E70" t="s">
        <v>19</v>
      </c>
      <c r="F70">
        <v>1</v>
      </c>
      <c r="G70">
        <f>G69+5</f>
        <v>40</v>
      </c>
      <c r="I70">
        <v>2030</v>
      </c>
      <c r="J70">
        <f>AVERAGE(G70:G71)</f>
        <v>42.5</v>
      </c>
      <c r="K70" cm="1">
        <f t="array" ref="K70">STOWA2019_NDJF_T(A70*60,J70,I70,"","lower")</f>
        <v>0.66031705820550435</v>
      </c>
      <c r="L70">
        <f t="shared" si="19"/>
        <v>4.5432719974747915</v>
      </c>
    </row>
    <row r="71" spans="1:12" x14ac:dyDescent="0.3">
      <c r="A71">
        <v>96</v>
      </c>
      <c r="B71">
        <f t="shared" ref="B71:B93" si="20">L70-L71</f>
        <v>1.6885522628389666</v>
      </c>
      <c r="C71">
        <f t="shared" si="16"/>
        <v>1.6885522628389666</v>
      </c>
      <c r="D71" t="s">
        <v>26</v>
      </c>
      <c r="E71" t="s">
        <v>19</v>
      </c>
      <c r="F71">
        <v>1</v>
      </c>
      <c r="G71">
        <f t="shared" ref="G71:G94" si="21">G70+5</f>
        <v>45</v>
      </c>
      <c r="I71">
        <v>2030</v>
      </c>
      <c r="J71">
        <f t="shared" ref="J71:J93" si="22">AVERAGE(G71:G72)</f>
        <v>47.5</v>
      </c>
      <c r="K71" cm="1">
        <f t="array" ref="K71">STOWA2019_NDJF_T(A71*60,J71,I71,"","lower")</f>
        <v>1.0508912533869839</v>
      </c>
      <c r="L71">
        <f t="shared" si="19"/>
        <v>2.8547197346358248</v>
      </c>
    </row>
    <row r="72" spans="1:12" x14ac:dyDescent="0.3">
      <c r="A72">
        <v>96</v>
      </c>
      <c r="B72">
        <f t="shared" si="20"/>
        <v>1.0526709981665379</v>
      </c>
      <c r="C72">
        <f t="shared" si="16"/>
        <v>1.0526709981665379</v>
      </c>
      <c r="D72" t="s">
        <v>26</v>
      </c>
      <c r="E72" t="s">
        <v>19</v>
      </c>
      <c r="F72">
        <v>1</v>
      </c>
      <c r="G72">
        <f t="shared" si="21"/>
        <v>50</v>
      </c>
      <c r="I72">
        <v>2030</v>
      </c>
      <c r="J72">
        <f t="shared" si="22"/>
        <v>52.5</v>
      </c>
      <c r="K72" cm="1">
        <f t="array" ref="K72">STOWA2019_NDJF_T(A72*60,J72,I72,"","lower")</f>
        <v>1.6647718451154832</v>
      </c>
      <c r="L72">
        <f t="shared" si="19"/>
        <v>1.802048736469287</v>
      </c>
    </row>
    <row r="73" spans="1:12" x14ac:dyDescent="0.3">
      <c r="A73">
        <v>96</v>
      </c>
      <c r="B73">
        <f t="shared" si="20"/>
        <v>0.65926006436612994</v>
      </c>
      <c r="C73">
        <f t="shared" si="16"/>
        <v>0.65926006436612994</v>
      </c>
      <c r="D73" t="s">
        <v>26</v>
      </c>
      <c r="E73" t="s">
        <v>19</v>
      </c>
      <c r="F73">
        <v>1</v>
      </c>
      <c r="G73">
        <f t="shared" si="21"/>
        <v>55</v>
      </c>
      <c r="I73">
        <v>2030</v>
      </c>
      <c r="J73">
        <f t="shared" si="22"/>
        <v>57.5</v>
      </c>
      <c r="K73" cm="1">
        <f t="array" ref="K73">STOWA2019_NDJF_T(A73*60,J73,I73,"","lower")</f>
        <v>2.6251572781858976</v>
      </c>
      <c r="L73">
        <f t="shared" si="19"/>
        <v>1.142788672103157</v>
      </c>
    </row>
    <row r="74" spans="1:12" x14ac:dyDescent="0.3">
      <c r="A74">
        <v>96</v>
      </c>
      <c r="B74">
        <f t="shared" si="20"/>
        <v>0.41478604938669372</v>
      </c>
      <c r="C74">
        <f t="shared" si="16"/>
        <v>0.41478604938669372</v>
      </c>
      <c r="D74" t="s">
        <v>26</v>
      </c>
      <c r="E74" t="s">
        <v>19</v>
      </c>
      <c r="F74">
        <v>1</v>
      </c>
      <c r="G74">
        <f t="shared" si="21"/>
        <v>60</v>
      </c>
      <c r="I74">
        <v>2030</v>
      </c>
      <c r="J74">
        <f t="shared" si="22"/>
        <v>62.5</v>
      </c>
      <c r="K74" cm="1">
        <f t="array" ref="K74">STOWA2019_NDJF_T(A74*60,J74,I74,"","lower")</f>
        <v>4.120864274919537</v>
      </c>
      <c r="L74">
        <f t="shared" si="19"/>
        <v>0.72800262271646332</v>
      </c>
    </row>
    <row r="75" spans="1:12" x14ac:dyDescent="0.3">
      <c r="A75">
        <v>96</v>
      </c>
      <c r="B75">
        <f t="shared" si="20"/>
        <v>0.2621786672414691</v>
      </c>
      <c r="C75">
        <f t="shared" si="16"/>
        <v>0.2621786672414691</v>
      </c>
      <c r="D75" t="s">
        <v>26</v>
      </c>
      <c r="E75" t="s">
        <v>19</v>
      </c>
      <c r="F75">
        <v>1</v>
      </c>
      <c r="G75">
        <f t="shared" si="21"/>
        <v>65</v>
      </c>
      <c r="I75">
        <v>2030</v>
      </c>
      <c r="J75">
        <f t="shared" si="22"/>
        <v>67.5</v>
      </c>
      <c r="K75" cm="1">
        <f t="array" ref="K75">STOWA2019_NDJF_T(A75*60,J75,I75,"","lower")</f>
        <v>6.4402012063568979</v>
      </c>
      <c r="L75">
        <f t="shared" si="19"/>
        <v>0.46582395547499422</v>
      </c>
    </row>
    <row r="76" spans="1:12" x14ac:dyDescent="0.3">
      <c r="A76">
        <v>96</v>
      </c>
      <c r="B76">
        <f t="shared" si="20"/>
        <v>0.16646248122982521</v>
      </c>
      <c r="C76">
        <f t="shared" si="16"/>
        <v>0.16646248122982521</v>
      </c>
      <c r="D76" t="s">
        <v>26</v>
      </c>
      <c r="E76" t="s">
        <v>19</v>
      </c>
      <c r="F76">
        <v>1</v>
      </c>
      <c r="G76">
        <f t="shared" si="21"/>
        <v>70</v>
      </c>
      <c r="I76">
        <v>2030</v>
      </c>
      <c r="J76">
        <f t="shared" si="22"/>
        <v>72.5</v>
      </c>
      <c r="K76" cm="1">
        <f t="array" ref="K76">STOWA2019_NDJF_T(A76*60,J76,I76,"","lower")</f>
        <v>10.021329590136506</v>
      </c>
      <c r="L76">
        <f t="shared" si="19"/>
        <v>0.29936147424516901</v>
      </c>
    </row>
    <row r="77" spans="1:12" x14ac:dyDescent="0.3">
      <c r="A77">
        <v>96</v>
      </c>
      <c r="B77">
        <f t="shared" si="20"/>
        <v>0.1061560521411507</v>
      </c>
      <c r="C77">
        <f t="shared" si="16"/>
        <v>0.1061560521411507</v>
      </c>
      <c r="D77" t="s">
        <v>26</v>
      </c>
      <c r="E77" t="s">
        <v>19</v>
      </c>
      <c r="F77">
        <v>1</v>
      </c>
      <c r="G77">
        <f t="shared" si="21"/>
        <v>75</v>
      </c>
      <c r="I77">
        <v>2030</v>
      </c>
      <c r="J77">
        <f t="shared" si="22"/>
        <v>77.5</v>
      </c>
      <c r="K77" cm="1">
        <f t="array" ref="K77">STOWA2019_NDJF_T(A77*60,J77,I77,"","lower")</f>
        <v>15.527514535202094</v>
      </c>
      <c r="L77">
        <f t="shared" si="19"/>
        <v>0.19320542210401831</v>
      </c>
    </row>
    <row r="78" spans="1:12" x14ac:dyDescent="0.3">
      <c r="A78">
        <v>96</v>
      </c>
      <c r="B78">
        <f t="shared" si="20"/>
        <v>6.7989130856265567E-2</v>
      </c>
      <c r="C78">
        <f t="shared" si="16"/>
        <v>6.7989130856265567E-2</v>
      </c>
      <c r="D78" t="s">
        <v>26</v>
      </c>
      <c r="E78" t="s">
        <v>19</v>
      </c>
      <c r="F78">
        <v>1</v>
      </c>
      <c r="G78">
        <f t="shared" si="21"/>
        <v>80</v>
      </c>
      <c r="I78">
        <v>2030</v>
      </c>
      <c r="J78">
        <f t="shared" si="22"/>
        <v>82.5</v>
      </c>
      <c r="K78" cm="1">
        <f t="array" ref="K78">STOWA2019_NDJF_T(A78*60,J78,I78,"","lower")</f>
        <v>23.958543813314236</v>
      </c>
      <c r="L78">
        <f t="shared" si="19"/>
        <v>0.12521629124775274</v>
      </c>
    </row>
    <row r="79" spans="1:12" x14ac:dyDescent="0.3">
      <c r="A79">
        <v>96</v>
      </c>
      <c r="B79">
        <f t="shared" si="20"/>
        <v>4.3731184908652257E-2</v>
      </c>
      <c r="C79">
        <f t="shared" si="16"/>
        <v>4.3731184908652257E-2</v>
      </c>
      <c r="D79" t="s">
        <v>26</v>
      </c>
      <c r="E79" t="s">
        <v>19</v>
      </c>
      <c r="F79">
        <v>1</v>
      </c>
      <c r="G79">
        <f t="shared" si="21"/>
        <v>85</v>
      </c>
      <c r="I79">
        <v>2030</v>
      </c>
      <c r="J79">
        <f t="shared" si="22"/>
        <v>87.5</v>
      </c>
      <c r="K79" cm="1">
        <f t="array" ref="K79">STOWA2019_NDJF_T(A79*60,J79,I79,"","lower")</f>
        <v>36.816543964678552</v>
      </c>
      <c r="L79">
        <f t="shared" si="19"/>
        <v>8.1485106339100485E-2</v>
      </c>
    </row>
    <row r="80" spans="1:12" x14ac:dyDescent="0.3">
      <c r="A80">
        <v>96</v>
      </c>
      <c r="B80">
        <f t="shared" si="20"/>
        <v>2.8244118238304382E-2</v>
      </c>
      <c r="C80">
        <f t="shared" si="16"/>
        <v>2.8244118238304382E-2</v>
      </c>
      <c r="D80" t="s">
        <v>26</v>
      </c>
      <c r="E80" t="s">
        <v>19</v>
      </c>
      <c r="F80">
        <v>1</v>
      </c>
      <c r="G80">
        <f t="shared" si="21"/>
        <v>90</v>
      </c>
      <c r="I80">
        <v>2030</v>
      </c>
      <c r="J80">
        <f t="shared" si="22"/>
        <v>92.5</v>
      </c>
      <c r="K80" cm="1">
        <f t="array" ref="K80">STOWA2019_NDJF_T(A80*60,J80,I80,"","lower")</f>
        <v>56.347564292390388</v>
      </c>
      <c r="L80">
        <f t="shared" si="19"/>
        <v>5.3240988100796104E-2</v>
      </c>
    </row>
    <row r="81" spans="1:12" x14ac:dyDescent="0.3">
      <c r="A81">
        <v>96</v>
      </c>
      <c r="B81">
        <f t="shared" si="20"/>
        <v>1.8316939128815844E-2</v>
      </c>
      <c r="C81">
        <f t="shared" si="16"/>
        <v>1.8316939128815844E-2</v>
      </c>
      <c r="D81" t="s">
        <v>26</v>
      </c>
      <c r="E81" t="s">
        <v>19</v>
      </c>
      <c r="F81">
        <v>1</v>
      </c>
      <c r="G81">
        <f t="shared" si="21"/>
        <v>95</v>
      </c>
      <c r="I81">
        <v>2030</v>
      </c>
      <c r="J81">
        <f t="shared" si="22"/>
        <v>97.5</v>
      </c>
      <c r="K81" cm="1">
        <f t="array" ref="K81">STOWA2019_NDJF_T(A81*60,J81,I81,"","lower")</f>
        <v>85.90069274060734</v>
      </c>
      <c r="L81">
        <f t="shared" si="19"/>
        <v>3.4924048971980259E-2</v>
      </c>
    </row>
    <row r="82" spans="1:12" x14ac:dyDescent="0.3">
      <c r="A82">
        <v>96</v>
      </c>
      <c r="B82">
        <f t="shared" si="20"/>
        <v>1.1926085403185648E-2</v>
      </c>
      <c r="C82">
        <f t="shared" si="16"/>
        <v>1.1926085403185648E-2</v>
      </c>
      <c r="D82" t="s">
        <v>26</v>
      </c>
      <c r="E82" t="s">
        <v>19</v>
      </c>
      <c r="F82">
        <v>1</v>
      </c>
      <c r="G82">
        <f t="shared" si="21"/>
        <v>100</v>
      </c>
      <c r="I82">
        <v>2030</v>
      </c>
      <c r="J82">
        <f t="shared" si="22"/>
        <v>102.5</v>
      </c>
      <c r="K82" cm="1">
        <f t="array" ref="K82">STOWA2019_NDJF_T(A82*60,J82,I82,"","lower")</f>
        <v>130.44633239051777</v>
      </c>
      <c r="L82">
        <f t="shared" si="19"/>
        <v>2.2997963568794612E-2</v>
      </c>
    </row>
    <row r="83" spans="1:12" x14ac:dyDescent="0.3">
      <c r="A83">
        <v>96</v>
      </c>
      <c r="B83">
        <f t="shared" si="20"/>
        <v>7.7957689398460081E-3</v>
      </c>
      <c r="C83">
        <f t="shared" si="16"/>
        <v>7.7957689398460081E-3</v>
      </c>
      <c r="D83" t="s">
        <v>26</v>
      </c>
      <c r="E83" t="s">
        <v>19</v>
      </c>
      <c r="F83">
        <v>1</v>
      </c>
      <c r="G83">
        <f t="shared" si="21"/>
        <v>105</v>
      </c>
      <c r="I83">
        <v>2030</v>
      </c>
      <c r="J83">
        <f t="shared" si="22"/>
        <v>107.5</v>
      </c>
      <c r="K83" cm="1">
        <f t="array" ref="K83">STOWA2019_NDJF_T(A83*60,J83,I83,"","lower")</f>
        <v>197.3399284263395</v>
      </c>
      <c r="L83">
        <f t="shared" si="19"/>
        <v>1.5202194628948604E-2</v>
      </c>
    </row>
    <row r="84" spans="1:12" x14ac:dyDescent="0.3">
      <c r="A84">
        <v>96</v>
      </c>
      <c r="B84">
        <f t="shared" si="20"/>
        <v>5.1156507077317059E-3</v>
      </c>
      <c r="C84">
        <f t="shared" si="16"/>
        <v>5.1156507077317059E-3</v>
      </c>
      <c r="D84" t="s">
        <v>26</v>
      </c>
      <c r="E84" t="s">
        <v>19</v>
      </c>
      <c r="F84">
        <v>1</v>
      </c>
      <c r="G84">
        <f t="shared" si="21"/>
        <v>110</v>
      </c>
      <c r="I84">
        <v>2030</v>
      </c>
      <c r="J84">
        <f t="shared" si="22"/>
        <v>112.5</v>
      </c>
      <c r="K84" cm="1">
        <f t="array" ref="K84">STOWA2019_NDJF_T(A84*60,J84,I84,"","lower")</f>
        <v>297.42595912258349</v>
      </c>
      <c r="L84">
        <f t="shared" si="19"/>
        <v>1.0086543921216898E-2</v>
      </c>
    </row>
    <row r="85" spans="1:12" x14ac:dyDescent="0.3">
      <c r="A85">
        <v>96</v>
      </c>
      <c r="B85">
        <f t="shared" si="20"/>
        <v>3.3695498175273873E-3</v>
      </c>
      <c r="C85">
        <f t="shared" si="16"/>
        <v>3.3695498175273873E-3</v>
      </c>
      <c r="D85" t="s">
        <v>26</v>
      </c>
      <c r="E85" t="s">
        <v>19</v>
      </c>
      <c r="F85">
        <v>1</v>
      </c>
      <c r="G85">
        <f t="shared" si="21"/>
        <v>115</v>
      </c>
      <c r="I85">
        <v>2030</v>
      </c>
      <c r="J85">
        <f t="shared" si="22"/>
        <v>117.5</v>
      </c>
      <c r="K85" cm="1">
        <f t="array" ref="K85">STOWA2019_NDJF_T(A85*60,J85,I85,"","lower")</f>
        <v>446.62835096909788</v>
      </c>
      <c r="L85">
        <f t="shared" si="19"/>
        <v>6.7169941036895105E-3</v>
      </c>
    </row>
    <row r="86" spans="1:12" x14ac:dyDescent="0.3">
      <c r="A86">
        <v>96</v>
      </c>
      <c r="B86">
        <f t="shared" si="20"/>
        <v>2.227755978143172E-3</v>
      </c>
      <c r="C86">
        <f t="shared" si="16"/>
        <v>2.227755978143172E-3</v>
      </c>
      <c r="D86" t="s">
        <v>26</v>
      </c>
      <c r="E86" t="s">
        <v>19</v>
      </c>
      <c r="F86">
        <v>1</v>
      </c>
      <c r="G86">
        <f t="shared" si="21"/>
        <v>120</v>
      </c>
      <c r="I86">
        <v>2030</v>
      </c>
      <c r="J86">
        <f t="shared" si="22"/>
        <v>122.5</v>
      </c>
      <c r="K86" cm="1">
        <f t="array" ref="K86">STOWA2019_NDJF_T(A86*60,J86,I86,"","lower")</f>
        <v>668.26484051453633</v>
      </c>
      <c r="L86">
        <f t="shared" si="19"/>
        <v>4.4892381255463385E-3</v>
      </c>
    </row>
    <row r="87" spans="1:12" x14ac:dyDescent="0.3">
      <c r="A87">
        <v>96</v>
      </c>
      <c r="B87">
        <f t="shared" si="20"/>
        <v>1.4782577712950965E-3</v>
      </c>
      <c r="C87">
        <f t="shared" si="16"/>
        <v>1.4782577712950965E-3</v>
      </c>
      <c r="D87" t="s">
        <v>26</v>
      </c>
      <c r="E87" t="s">
        <v>19</v>
      </c>
      <c r="F87">
        <v>1</v>
      </c>
      <c r="G87">
        <f t="shared" si="21"/>
        <v>125</v>
      </c>
      <c r="I87">
        <v>2030</v>
      </c>
      <c r="J87">
        <f t="shared" si="22"/>
        <v>127.5</v>
      </c>
      <c r="K87" cm="1">
        <f t="array" ref="K87">STOWA2019_NDJF_T(A87*60,J87,I87,"","lower")</f>
        <v>996.35322952680883</v>
      </c>
      <c r="L87">
        <f t="shared" si="19"/>
        <v>3.010980354251242E-3</v>
      </c>
    </row>
    <row r="88" spans="1:12" x14ac:dyDescent="0.3">
      <c r="A88">
        <v>96</v>
      </c>
      <c r="B88">
        <f t="shared" si="20"/>
        <v>9.8444569742067636E-4</v>
      </c>
      <c r="C88">
        <f t="shared" si="16"/>
        <v>9.8444569742067636E-4</v>
      </c>
      <c r="D88" t="s">
        <v>26</v>
      </c>
      <c r="E88" t="s">
        <v>19</v>
      </c>
      <c r="F88">
        <v>1</v>
      </c>
      <c r="G88">
        <f t="shared" si="21"/>
        <v>130</v>
      </c>
      <c r="I88">
        <v>2030</v>
      </c>
      <c r="J88">
        <f t="shared" si="22"/>
        <v>132.5</v>
      </c>
      <c r="K88" cm="1">
        <f t="array" ref="K88">STOWA2019_NDJF_T(A88*60,J88,I88,"","lower")</f>
        <v>1480.3595832364902</v>
      </c>
      <c r="L88">
        <f t="shared" si="19"/>
        <v>2.0265346568305656E-3</v>
      </c>
    </row>
    <row r="89" spans="1:12" x14ac:dyDescent="0.3">
      <c r="A89">
        <v>96</v>
      </c>
      <c r="B89">
        <f t="shared" si="20"/>
        <v>6.5790827767300657E-4</v>
      </c>
      <c r="C89">
        <f t="shared" si="16"/>
        <v>6.5790827767300657E-4</v>
      </c>
      <c r="D89" t="s">
        <v>26</v>
      </c>
      <c r="E89" t="s">
        <v>19</v>
      </c>
      <c r="F89">
        <v>1</v>
      </c>
      <c r="G89">
        <f t="shared" si="21"/>
        <v>135</v>
      </c>
      <c r="I89">
        <v>2030</v>
      </c>
      <c r="J89">
        <f t="shared" si="22"/>
        <v>137.5</v>
      </c>
      <c r="K89" cm="1">
        <f t="array" ref="K89">STOWA2019_NDJF_T(A89*60,J89,I89,"","lower")</f>
        <v>2191.9787939836528</v>
      </c>
      <c r="L89">
        <f t="shared" si="19"/>
        <v>1.368626379157559E-3</v>
      </c>
    </row>
    <row r="90" spans="1:12" x14ac:dyDescent="0.3">
      <c r="A90">
        <v>96</v>
      </c>
      <c r="B90">
        <f t="shared" si="20"/>
        <v>4.4120921669464608E-4</v>
      </c>
      <c r="C90">
        <f t="shared" si="16"/>
        <v>4.4120921669464608E-4</v>
      </c>
      <c r="D90" t="s">
        <v>26</v>
      </c>
      <c r="E90" t="s">
        <v>19</v>
      </c>
      <c r="F90">
        <v>1</v>
      </c>
      <c r="G90">
        <f t="shared" si="21"/>
        <v>140</v>
      </c>
      <c r="I90">
        <v>2030</v>
      </c>
      <c r="J90">
        <f t="shared" si="22"/>
        <v>142.5</v>
      </c>
      <c r="K90" cm="1">
        <f t="array" ref="K90">STOWA2019_NDJF_T(A90*60,J90,I90,"","lower")</f>
        <v>3234.7902555878882</v>
      </c>
      <c r="L90">
        <f t="shared" si="19"/>
        <v>9.2741716246291296E-4</v>
      </c>
    </row>
    <row r="91" spans="1:12" x14ac:dyDescent="0.3">
      <c r="A91">
        <v>96</v>
      </c>
      <c r="B91">
        <f t="shared" si="20"/>
        <v>2.9689206220941773E-4</v>
      </c>
      <c r="C91">
        <f t="shared" si="16"/>
        <v>2.9689206220941773E-4</v>
      </c>
      <c r="D91" t="s">
        <v>26</v>
      </c>
      <c r="E91" t="s">
        <v>19</v>
      </c>
      <c r="F91">
        <v>1</v>
      </c>
      <c r="G91">
        <f t="shared" si="21"/>
        <v>145</v>
      </c>
      <c r="I91">
        <v>2030</v>
      </c>
      <c r="J91">
        <f t="shared" si="22"/>
        <v>147.5</v>
      </c>
      <c r="K91" cm="1">
        <f t="array" ref="K91">STOWA2019_NDJF_T(A91*60,J91,I91,"","lower")</f>
        <v>4757.9390555489153</v>
      </c>
      <c r="L91">
        <f t="shared" si="19"/>
        <v>6.3052510025349523E-4</v>
      </c>
    </row>
    <row r="92" spans="1:12" x14ac:dyDescent="0.3">
      <c r="A92">
        <v>96</v>
      </c>
      <c r="B92">
        <f t="shared" si="20"/>
        <v>2.0045670467818495E-4</v>
      </c>
      <c r="C92">
        <f t="shared" si="16"/>
        <v>2.0045670467818495E-4</v>
      </c>
      <c r="D92" t="s">
        <v>26</v>
      </c>
      <c r="E92" t="s">
        <v>19</v>
      </c>
      <c r="F92">
        <v>1</v>
      </c>
      <c r="G92">
        <f t="shared" si="21"/>
        <v>150</v>
      </c>
      <c r="I92">
        <v>2030</v>
      </c>
      <c r="J92">
        <f t="shared" si="22"/>
        <v>152.5</v>
      </c>
      <c r="K92" cm="1">
        <f t="array" ref="K92">STOWA2019_NDJF_T(A92*60,J92,I92,"","lower")</f>
        <v>6975.6346452448461</v>
      </c>
      <c r="L92">
        <f t="shared" si="19"/>
        <v>4.3006839557531028E-4</v>
      </c>
    </row>
    <row r="93" spans="1:12" x14ac:dyDescent="0.3">
      <c r="A93">
        <v>96</v>
      </c>
      <c r="B93">
        <f t="shared" si="20"/>
        <v>1.3578917325757846E-4</v>
      </c>
      <c r="C93">
        <f t="shared" si="16"/>
        <v>1.3578917325757846E-4</v>
      </c>
      <c r="D93" t="s">
        <v>26</v>
      </c>
      <c r="E93" t="s">
        <v>19</v>
      </c>
      <c r="F93">
        <v>1</v>
      </c>
      <c r="G93">
        <f t="shared" si="21"/>
        <v>155</v>
      </c>
      <c r="I93">
        <v>2030</v>
      </c>
      <c r="J93">
        <f t="shared" si="22"/>
        <v>157.5</v>
      </c>
      <c r="K93" cm="1">
        <f t="array" ref="K93">STOWA2019_NDJF_T(A93*60,J93,I93,"","lower")</f>
        <v>10194.399646608128</v>
      </c>
      <c r="L93">
        <f t="shared" si="19"/>
        <v>2.9427922231773182E-4</v>
      </c>
    </row>
    <row r="94" spans="1:12" x14ac:dyDescent="0.3">
      <c r="A94">
        <v>96</v>
      </c>
      <c r="B94" s="1">
        <f>L93</f>
        <v>2.9427922231773182E-4</v>
      </c>
      <c r="C94">
        <f t="shared" si="16"/>
        <v>2.9427922231773182E-4</v>
      </c>
      <c r="D94" t="s">
        <v>26</v>
      </c>
      <c r="E94" t="s">
        <v>19</v>
      </c>
      <c r="F94">
        <v>1</v>
      </c>
      <c r="G94">
        <f t="shared" si="21"/>
        <v>160</v>
      </c>
      <c r="I94">
        <v>2030</v>
      </c>
      <c r="J94">
        <f>AVERAGE(G94:G95)</f>
        <v>85</v>
      </c>
      <c r="K94" cm="1">
        <f t="array" ref="K94">STOWA2019_NDJF_T(A94*60,J94,I94,"","lower")</f>
        <v>29.714883714524511</v>
      </c>
      <c r="L94">
        <f t="shared" si="19"/>
        <v>0.10095950665065577</v>
      </c>
    </row>
    <row r="95" spans="1:12" x14ac:dyDescent="0.3">
      <c r="A95">
        <v>192</v>
      </c>
      <c r="B95" s="1">
        <f>365.25*24/A95 - L95</f>
        <v>-22.408584927323176</v>
      </c>
      <c r="C95">
        <f>B95</f>
        <v>-22.408584927323176</v>
      </c>
      <c r="D95" t="s">
        <v>26</v>
      </c>
      <c r="E95" t="s">
        <v>19</v>
      </c>
      <c r="F95">
        <v>1</v>
      </c>
      <c r="G95">
        <v>10</v>
      </c>
      <c r="I95">
        <v>2030</v>
      </c>
      <c r="J95">
        <f>AVERAGE(G95:G97)</f>
        <v>15</v>
      </c>
      <c r="K95" cm="1">
        <f t="array" ref="K95">STOWA2019_NDJF_T(A95*60,J95,I95,"","lower")</f>
        <v>4.407562294396624E-2</v>
      </c>
      <c r="L95">
        <f t="shared" si="19"/>
        <v>68.064834927323176</v>
      </c>
    </row>
    <row r="96" spans="1:12" x14ac:dyDescent="0.3">
      <c r="A96">
        <v>192</v>
      </c>
      <c r="B96">
        <f t="shared" ref="B96:B100" si="23">L95-L96</f>
        <v>9.0988226297826813</v>
      </c>
      <c r="C96">
        <f t="shared" ref="C96:C125" si="24">B96</f>
        <v>9.0988226297826813</v>
      </c>
      <c r="D96" t="s">
        <v>26</v>
      </c>
      <c r="E96" t="s">
        <v>19</v>
      </c>
      <c r="F96">
        <v>1</v>
      </c>
      <c r="G96">
        <f t="shared" ref="G96:G100" si="25">G95+5</f>
        <v>15</v>
      </c>
      <c r="I96">
        <v>2030</v>
      </c>
      <c r="J96">
        <f t="shared" ref="J96:J100" si="26">AVERAGE(G96:G97)</f>
        <v>17.5</v>
      </c>
      <c r="K96" cm="1">
        <f t="array" ref="K96">STOWA2019_NDJF_T(A96*60,J96,I96,"","lower")</f>
        <v>5.0876765836938433E-2</v>
      </c>
      <c r="L96">
        <f t="shared" si="19"/>
        <v>58.966012297540495</v>
      </c>
    </row>
    <row r="97" spans="1:12" x14ac:dyDescent="0.3">
      <c r="A97">
        <v>192</v>
      </c>
      <c r="B97">
        <f t="shared" si="23"/>
        <v>14.838423281010094</v>
      </c>
      <c r="C97">
        <f t="shared" si="24"/>
        <v>14.838423281010094</v>
      </c>
      <c r="D97" t="s">
        <v>26</v>
      </c>
      <c r="E97" t="s">
        <v>19</v>
      </c>
      <c r="F97">
        <v>1</v>
      </c>
      <c r="G97">
        <f t="shared" si="25"/>
        <v>20</v>
      </c>
      <c r="I97">
        <v>2030</v>
      </c>
      <c r="J97">
        <f t="shared" si="26"/>
        <v>22.5</v>
      </c>
      <c r="K97" cm="1">
        <f t="array" ref="K97">STOWA2019_NDJF_T(A97*60,J97,I97,"","lower")</f>
        <v>6.7984679581660032E-2</v>
      </c>
      <c r="L97">
        <f t="shared" si="19"/>
        <v>44.127589016530401</v>
      </c>
    </row>
    <row r="98" spans="1:12" x14ac:dyDescent="0.3">
      <c r="A98">
        <v>192</v>
      </c>
      <c r="B98">
        <f t="shared" si="23"/>
        <v>11.233677524014709</v>
      </c>
      <c r="C98">
        <f t="shared" si="24"/>
        <v>11.233677524014709</v>
      </c>
      <c r="D98" t="s">
        <v>26</v>
      </c>
      <c r="E98" t="s">
        <v>19</v>
      </c>
      <c r="F98">
        <v>1</v>
      </c>
      <c r="G98">
        <f t="shared" si="25"/>
        <v>25</v>
      </c>
      <c r="I98">
        <v>2030</v>
      </c>
      <c r="J98">
        <f t="shared" si="26"/>
        <v>27.5</v>
      </c>
      <c r="K98" cm="1">
        <f t="array" ref="K98">STOWA2019_NDJF_T(A98*60,J98,I98,"","lower")</f>
        <v>9.1202288322645542E-2</v>
      </c>
      <c r="L98">
        <f t="shared" si="19"/>
        <v>32.893911492515691</v>
      </c>
    </row>
    <row r="99" spans="1:12" x14ac:dyDescent="0.3">
      <c r="A99">
        <v>192</v>
      </c>
      <c r="B99">
        <f t="shared" si="23"/>
        <v>8.4724112566492522</v>
      </c>
      <c r="C99">
        <f t="shared" si="24"/>
        <v>8.4724112566492522</v>
      </c>
      <c r="D99" t="s">
        <v>26</v>
      </c>
      <c r="E99" t="s">
        <v>19</v>
      </c>
      <c r="F99">
        <v>1</v>
      </c>
      <c r="G99">
        <f t="shared" si="25"/>
        <v>30</v>
      </c>
      <c r="I99">
        <v>2030</v>
      </c>
      <c r="J99">
        <f t="shared" si="26"/>
        <v>32.5</v>
      </c>
      <c r="K99" cm="1">
        <f t="array" ref="K99">STOWA2019_NDJF_T(A99*60,J99,I99,"","lower")</f>
        <v>0.12284257605083876</v>
      </c>
      <c r="L99">
        <f t="shared" si="19"/>
        <v>24.421500235866439</v>
      </c>
    </row>
    <row r="100" spans="1:12" x14ac:dyDescent="0.3">
      <c r="A100">
        <v>192</v>
      </c>
      <c r="B100">
        <f t="shared" si="23"/>
        <v>6.3648716572482726</v>
      </c>
      <c r="C100">
        <f t="shared" si="24"/>
        <v>6.3648716572482726</v>
      </c>
      <c r="D100" t="s">
        <v>26</v>
      </c>
      <c r="E100" t="s">
        <v>19</v>
      </c>
      <c r="F100">
        <v>1</v>
      </c>
      <c r="G100">
        <f t="shared" si="25"/>
        <v>35</v>
      </c>
      <c r="I100">
        <v>2030</v>
      </c>
      <c r="J100">
        <f t="shared" si="26"/>
        <v>37.5</v>
      </c>
      <c r="K100" cm="1">
        <f t="array" ref="K100">STOWA2019_NDJF_T(A100*60,J100,I100,"","lower")</f>
        <v>0.16614397238875825</v>
      </c>
      <c r="L100">
        <f t="shared" si="19"/>
        <v>18.056628578618167</v>
      </c>
    </row>
    <row r="101" spans="1:12" x14ac:dyDescent="0.3">
      <c r="A101">
        <v>192</v>
      </c>
      <c r="B101">
        <f>L100-L101</f>
        <v>4.7628877748354803</v>
      </c>
      <c r="C101">
        <f t="shared" si="24"/>
        <v>4.7628877748354803</v>
      </c>
      <c r="D101" t="s">
        <v>26</v>
      </c>
      <c r="E101" t="s">
        <v>19</v>
      </c>
      <c r="F101">
        <v>1</v>
      </c>
      <c r="G101">
        <f>G100+5</f>
        <v>40</v>
      </c>
      <c r="I101">
        <v>2030</v>
      </c>
      <c r="J101">
        <f>AVERAGE(G101:G102)</f>
        <v>42.5</v>
      </c>
      <c r="K101" cm="1">
        <f t="array" ref="K101">STOWA2019_NDJF_T(A101*60,J101,I101,"","lower")</f>
        <v>0.22567011379869545</v>
      </c>
      <c r="L101">
        <f t="shared" si="19"/>
        <v>13.293740803782686</v>
      </c>
    </row>
    <row r="102" spans="1:12" x14ac:dyDescent="0.3">
      <c r="A102">
        <v>192</v>
      </c>
      <c r="B102">
        <f t="shared" ref="B102:B124" si="27">L101-L102</f>
        <v>3.549173924792747</v>
      </c>
      <c r="C102">
        <f t="shared" si="24"/>
        <v>3.549173924792747</v>
      </c>
      <c r="D102" t="s">
        <v>26</v>
      </c>
      <c r="E102" t="s">
        <v>19</v>
      </c>
      <c r="F102">
        <v>1</v>
      </c>
      <c r="G102">
        <f t="shared" ref="G102:G125" si="28">G101+5</f>
        <v>45</v>
      </c>
      <c r="I102">
        <v>2030</v>
      </c>
      <c r="J102">
        <f t="shared" ref="J102:J124" si="29">AVERAGE(G102:G103)</f>
        <v>47.5</v>
      </c>
      <c r="K102" cm="1">
        <f t="array" ref="K102">STOWA2019_NDJF_T(A102*60,J102,I102,"","lower")</f>
        <v>0.30786386273034244</v>
      </c>
      <c r="L102">
        <f t="shared" si="19"/>
        <v>9.7445668789899393</v>
      </c>
    </row>
    <row r="103" spans="1:12" x14ac:dyDescent="0.3">
      <c r="A103">
        <v>192</v>
      </c>
      <c r="B103">
        <f t="shared" si="27"/>
        <v>2.6336737817119893</v>
      </c>
      <c r="C103">
        <f t="shared" si="24"/>
        <v>2.6336737817119893</v>
      </c>
      <c r="D103" t="s">
        <v>26</v>
      </c>
      <c r="E103" t="s">
        <v>19</v>
      </c>
      <c r="F103">
        <v>1</v>
      </c>
      <c r="G103">
        <f t="shared" si="28"/>
        <v>50</v>
      </c>
      <c r="I103">
        <v>2030</v>
      </c>
      <c r="J103">
        <f t="shared" si="29"/>
        <v>52.5</v>
      </c>
      <c r="K103" cm="1">
        <f t="array" ref="K103">STOWA2019_NDJF_T(A103*60,J103,I103,"","lower")</f>
        <v>0.42188793432268029</v>
      </c>
      <c r="L103">
        <f t="shared" si="19"/>
        <v>7.11089309727795</v>
      </c>
    </row>
    <row r="104" spans="1:12" x14ac:dyDescent="0.3">
      <c r="A104">
        <v>192</v>
      </c>
      <c r="B104">
        <f t="shared" si="27"/>
        <v>1.9458755692375211</v>
      </c>
      <c r="C104">
        <f t="shared" si="24"/>
        <v>1.9458755692375211</v>
      </c>
      <c r="D104" t="s">
        <v>26</v>
      </c>
      <c r="E104" t="s">
        <v>19</v>
      </c>
      <c r="F104">
        <v>1</v>
      </c>
      <c r="G104">
        <f t="shared" si="28"/>
        <v>55</v>
      </c>
      <c r="I104">
        <v>2030</v>
      </c>
      <c r="J104">
        <f t="shared" si="29"/>
        <v>57.5</v>
      </c>
      <c r="K104" cm="1">
        <f t="array" ref="K104">STOWA2019_NDJF_T(A104*60,J104,I104,"","lower")</f>
        <v>0.5808305555040737</v>
      </c>
      <c r="L104">
        <f t="shared" si="19"/>
        <v>5.1650175280404289</v>
      </c>
    </row>
    <row r="105" spans="1:12" x14ac:dyDescent="0.3">
      <c r="A105">
        <v>192</v>
      </c>
      <c r="B105">
        <f t="shared" si="27"/>
        <v>1.4312571258396396</v>
      </c>
      <c r="C105">
        <f t="shared" si="24"/>
        <v>1.4312571258396396</v>
      </c>
      <c r="D105" t="s">
        <v>26</v>
      </c>
      <c r="E105" t="s">
        <v>19</v>
      </c>
      <c r="F105">
        <v>1</v>
      </c>
      <c r="G105">
        <f t="shared" si="28"/>
        <v>60</v>
      </c>
      <c r="I105">
        <v>2030</v>
      </c>
      <c r="J105">
        <f t="shared" si="29"/>
        <v>62.5</v>
      </c>
      <c r="K105" cm="1">
        <f t="array" ref="K105">STOWA2019_NDJF_T(A105*60,J105,I105,"","lower")</f>
        <v>0.80347951578031385</v>
      </c>
      <c r="L105">
        <f t="shared" si="19"/>
        <v>3.7337604022007893</v>
      </c>
    </row>
    <row r="106" spans="1:12" x14ac:dyDescent="0.3">
      <c r="A106">
        <v>192</v>
      </c>
      <c r="B106">
        <f t="shared" si="27"/>
        <v>1.0477111810278195</v>
      </c>
      <c r="C106">
        <f t="shared" si="24"/>
        <v>1.0477111810278195</v>
      </c>
      <c r="D106" t="s">
        <v>26</v>
      </c>
      <c r="E106" t="s">
        <v>19</v>
      </c>
      <c r="F106">
        <v>1</v>
      </c>
      <c r="G106">
        <f t="shared" si="28"/>
        <v>65</v>
      </c>
      <c r="I106">
        <v>2030</v>
      </c>
      <c r="J106">
        <f t="shared" si="29"/>
        <v>67.5</v>
      </c>
      <c r="K106" cm="1">
        <f t="array" ref="K106">STOWA2019_NDJF_T(A106*60,J106,I106,"","lower")</f>
        <v>1.1168819902302205</v>
      </c>
      <c r="L106">
        <f t="shared" si="19"/>
        <v>2.6860492211729698</v>
      </c>
    </row>
    <row r="107" spans="1:12" x14ac:dyDescent="0.3">
      <c r="A107">
        <v>192</v>
      </c>
      <c r="B107">
        <f t="shared" si="27"/>
        <v>0.76360454028321767</v>
      </c>
      <c r="C107">
        <f t="shared" si="24"/>
        <v>0.76360454028321767</v>
      </c>
      <c r="D107" t="s">
        <v>26</v>
      </c>
      <c r="E107" t="s">
        <v>19</v>
      </c>
      <c r="F107">
        <v>1</v>
      </c>
      <c r="G107">
        <f t="shared" si="28"/>
        <v>70</v>
      </c>
      <c r="I107">
        <v>2030</v>
      </c>
      <c r="J107">
        <f t="shared" si="29"/>
        <v>72.5</v>
      </c>
      <c r="K107" cm="1">
        <f t="array" ref="K107">STOWA2019_NDJF_T(A107*60,J107,I107,"","lower")</f>
        <v>1.5605130435334713</v>
      </c>
      <c r="L107">
        <f t="shared" si="19"/>
        <v>1.9224446808897522</v>
      </c>
    </row>
    <row r="108" spans="1:12" x14ac:dyDescent="0.3">
      <c r="A108">
        <v>192</v>
      </c>
      <c r="B108">
        <f t="shared" si="27"/>
        <v>0.55369265300745019</v>
      </c>
      <c r="C108">
        <f t="shared" si="24"/>
        <v>0.55369265300745019</v>
      </c>
      <c r="D108" t="s">
        <v>26</v>
      </c>
      <c r="E108" t="s">
        <v>19</v>
      </c>
      <c r="F108">
        <v>1</v>
      </c>
      <c r="G108">
        <f t="shared" si="28"/>
        <v>75</v>
      </c>
      <c r="I108">
        <v>2030</v>
      </c>
      <c r="J108">
        <f t="shared" si="29"/>
        <v>77.5</v>
      </c>
      <c r="K108" cm="1">
        <f t="array" ref="K108">STOWA2019_NDJF_T(A108*60,J108,I108,"","lower")</f>
        <v>2.1917775746725456</v>
      </c>
      <c r="L108">
        <f t="shared" si="19"/>
        <v>1.368752027882302</v>
      </c>
    </row>
    <row r="109" spans="1:12" x14ac:dyDescent="0.3">
      <c r="A109">
        <v>192</v>
      </c>
      <c r="B109">
        <f t="shared" si="27"/>
        <v>0.39945795952812568</v>
      </c>
      <c r="C109">
        <f t="shared" si="24"/>
        <v>0.39945795952812568</v>
      </c>
      <c r="D109" t="s">
        <v>26</v>
      </c>
      <c r="E109" t="s">
        <v>19</v>
      </c>
      <c r="F109">
        <v>1</v>
      </c>
      <c r="G109">
        <f t="shared" si="28"/>
        <v>80</v>
      </c>
      <c r="I109">
        <v>2030</v>
      </c>
      <c r="J109">
        <f t="shared" si="29"/>
        <v>82.5</v>
      </c>
      <c r="K109" cm="1">
        <f t="array" ref="K109">STOWA2019_NDJF_T(A109*60,J109,I109,"","lower")</f>
        <v>3.0950359627124135</v>
      </c>
      <c r="L109">
        <f t="shared" si="19"/>
        <v>0.96929406835417631</v>
      </c>
    </row>
    <row r="110" spans="1:12" x14ac:dyDescent="0.3">
      <c r="A110">
        <v>192</v>
      </c>
      <c r="B110">
        <f t="shared" si="27"/>
        <v>0.286696521899931</v>
      </c>
      <c r="C110">
        <f t="shared" si="24"/>
        <v>0.286696521899931</v>
      </c>
      <c r="D110" t="s">
        <v>26</v>
      </c>
      <c r="E110" t="s">
        <v>19</v>
      </c>
      <c r="F110">
        <v>1</v>
      </c>
      <c r="G110">
        <f t="shared" si="28"/>
        <v>85</v>
      </c>
      <c r="I110">
        <v>2030</v>
      </c>
      <c r="J110">
        <f t="shared" si="29"/>
        <v>87.5</v>
      </c>
      <c r="K110" cm="1">
        <f t="array" ref="K110">STOWA2019_NDJF_T(A110*60,J110,I110,"","lower")</f>
        <v>4.3949762427121337</v>
      </c>
      <c r="L110">
        <f t="shared" si="19"/>
        <v>0.68259754645424531</v>
      </c>
    </row>
    <row r="111" spans="1:12" x14ac:dyDescent="0.3">
      <c r="A111">
        <v>192</v>
      </c>
      <c r="B111">
        <f t="shared" si="27"/>
        <v>0.20464951011746424</v>
      </c>
      <c r="C111">
        <f t="shared" si="24"/>
        <v>0.20464951011746424</v>
      </c>
      <c r="D111" t="s">
        <v>26</v>
      </c>
      <c r="E111" t="s">
        <v>19</v>
      </c>
      <c r="F111">
        <v>1</v>
      </c>
      <c r="G111">
        <f t="shared" si="28"/>
        <v>90</v>
      </c>
      <c r="I111">
        <v>2030</v>
      </c>
      <c r="J111">
        <f t="shared" si="29"/>
        <v>92.5</v>
      </c>
      <c r="K111" cm="1">
        <f t="array" ref="K111">STOWA2019_NDJF_T(A111*60,J111,I111,"","lower")</f>
        <v>6.2768329858480296</v>
      </c>
      <c r="L111">
        <f t="shared" si="19"/>
        <v>0.47794803633678107</v>
      </c>
    </row>
    <row r="112" spans="1:12" x14ac:dyDescent="0.3">
      <c r="A112">
        <v>192</v>
      </c>
      <c r="B112">
        <f t="shared" si="27"/>
        <v>0.14527824263869193</v>
      </c>
      <c r="C112">
        <f t="shared" si="24"/>
        <v>0.14527824263869193</v>
      </c>
      <c r="D112" t="s">
        <v>26</v>
      </c>
      <c r="E112" t="s">
        <v>19</v>
      </c>
      <c r="F112">
        <v>1</v>
      </c>
      <c r="G112">
        <f t="shared" si="28"/>
        <v>95</v>
      </c>
      <c r="I112">
        <v>2030</v>
      </c>
      <c r="J112">
        <f t="shared" si="29"/>
        <v>97.5</v>
      </c>
      <c r="K112" cm="1">
        <f t="array" ref="K112">STOWA2019_NDJF_T(A112*60,J112,I112,"","lower")</f>
        <v>9.01795130435743</v>
      </c>
      <c r="L112">
        <f t="shared" si="19"/>
        <v>0.33266979369808913</v>
      </c>
    </row>
    <row r="113" spans="1:12" x14ac:dyDescent="0.3">
      <c r="A113">
        <v>192</v>
      </c>
      <c r="B113">
        <f t="shared" si="27"/>
        <v>0.10253672030469968</v>
      </c>
      <c r="C113">
        <f t="shared" si="24"/>
        <v>0.10253672030469968</v>
      </c>
      <c r="D113" t="s">
        <v>26</v>
      </c>
      <c r="E113" t="s">
        <v>19</v>
      </c>
      <c r="F113">
        <v>1</v>
      </c>
      <c r="G113">
        <f t="shared" si="28"/>
        <v>100</v>
      </c>
      <c r="I113">
        <v>2030</v>
      </c>
      <c r="J113">
        <f t="shared" si="29"/>
        <v>102.5</v>
      </c>
      <c r="K113" cm="1">
        <f t="array" ref="K113">STOWA2019_NDJF_T(A113*60,J113,I113,"","lower")</f>
        <v>13.035935929434187</v>
      </c>
      <c r="L113">
        <f t="shared" si="19"/>
        <v>0.23013307339338945</v>
      </c>
    </row>
    <row r="114" spans="1:12" x14ac:dyDescent="0.3">
      <c r="A114">
        <v>192</v>
      </c>
      <c r="B114">
        <f t="shared" si="27"/>
        <v>7.1940647603343455E-2</v>
      </c>
      <c r="C114">
        <f t="shared" si="24"/>
        <v>7.1940647603343455E-2</v>
      </c>
      <c r="D114" t="s">
        <v>26</v>
      </c>
      <c r="E114" t="s">
        <v>19</v>
      </c>
      <c r="F114">
        <v>1</v>
      </c>
      <c r="G114">
        <f t="shared" si="28"/>
        <v>105</v>
      </c>
      <c r="I114">
        <v>2030</v>
      </c>
      <c r="J114">
        <f t="shared" si="29"/>
        <v>107.5</v>
      </c>
      <c r="K114" cm="1">
        <f t="array" ref="K114">STOWA2019_NDJF_T(A114*60,J114,I114,"","lower")</f>
        <v>18.964245506808393</v>
      </c>
      <c r="L114">
        <f t="shared" si="19"/>
        <v>0.158192425790046</v>
      </c>
    </row>
    <row r="115" spans="1:12" x14ac:dyDescent="0.3">
      <c r="A115">
        <v>192</v>
      </c>
      <c r="B115">
        <f t="shared" si="27"/>
        <v>5.0164388517082076E-2</v>
      </c>
      <c r="C115">
        <f t="shared" si="24"/>
        <v>5.0164388517082076E-2</v>
      </c>
      <c r="D115" t="s">
        <v>26</v>
      </c>
      <c r="E115" t="s">
        <v>19</v>
      </c>
      <c r="F115">
        <v>1</v>
      </c>
      <c r="G115">
        <f t="shared" si="28"/>
        <v>110</v>
      </c>
      <c r="I115">
        <v>2030</v>
      </c>
      <c r="J115">
        <f t="shared" si="29"/>
        <v>112.5</v>
      </c>
      <c r="K115" cm="1">
        <f t="array" ref="K115">STOWA2019_NDJF_T(A115*60,J115,I115,"","lower")</f>
        <v>27.7705684166013</v>
      </c>
      <c r="L115">
        <f t="shared" si="19"/>
        <v>0.10802803727296392</v>
      </c>
    </row>
    <row r="116" spans="1:12" x14ac:dyDescent="0.3">
      <c r="A116">
        <v>192</v>
      </c>
      <c r="B116">
        <f t="shared" si="27"/>
        <v>3.4757488466325787E-2</v>
      </c>
      <c r="C116">
        <f t="shared" si="24"/>
        <v>3.4757488466325787E-2</v>
      </c>
      <c r="D116" t="s">
        <v>26</v>
      </c>
      <c r="E116" t="s">
        <v>19</v>
      </c>
      <c r="F116">
        <v>1</v>
      </c>
      <c r="G116">
        <f t="shared" si="28"/>
        <v>115</v>
      </c>
      <c r="I116">
        <v>2030</v>
      </c>
      <c r="J116">
        <f t="shared" si="29"/>
        <v>117.5</v>
      </c>
      <c r="K116" cm="1">
        <f t="array" ref="K116">STOWA2019_NDJF_T(A116*60,J116,I116,"","lower")</f>
        <v>40.944145347089403</v>
      </c>
      <c r="L116">
        <f t="shared" si="19"/>
        <v>7.3270548806638136E-2</v>
      </c>
    </row>
    <row r="117" spans="1:12" x14ac:dyDescent="0.3">
      <c r="A117">
        <v>192</v>
      </c>
      <c r="B117">
        <f t="shared" si="27"/>
        <v>2.3924304800627932E-2</v>
      </c>
      <c r="C117">
        <f t="shared" si="24"/>
        <v>2.3924304800627932E-2</v>
      </c>
      <c r="D117" t="s">
        <v>26</v>
      </c>
      <c r="E117" t="s">
        <v>19</v>
      </c>
      <c r="F117">
        <v>1</v>
      </c>
      <c r="G117">
        <f t="shared" si="28"/>
        <v>120</v>
      </c>
      <c r="I117">
        <v>2030</v>
      </c>
      <c r="J117">
        <f t="shared" si="29"/>
        <v>122.5</v>
      </c>
      <c r="K117" cm="1">
        <f t="array" ref="K117">STOWA2019_NDJF_T(A117*60,J117,I117,"","lower")</f>
        <v>60.794900613603147</v>
      </c>
      <c r="L117">
        <f t="shared" si="19"/>
        <v>4.9346244006010204E-2</v>
      </c>
    </row>
    <row r="118" spans="1:12" x14ac:dyDescent="0.3">
      <c r="A118">
        <v>192</v>
      </c>
      <c r="B118">
        <f t="shared" si="27"/>
        <v>1.635469598801359E-2</v>
      </c>
      <c r="C118">
        <f t="shared" si="24"/>
        <v>1.635469598801359E-2</v>
      </c>
      <c r="D118" t="s">
        <v>26</v>
      </c>
      <c r="E118" t="s">
        <v>19</v>
      </c>
      <c r="F118">
        <v>1</v>
      </c>
      <c r="G118">
        <f t="shared" si="28"/>
        <v>125</v>
      </c>
      <c r="I118">
        <v>2030</v>
      </c>
      <c r="J118">
        <f t="shared" si="29"/>
        <v>127.5</v>
      </c>
      <c r="K118" cm="1">
        <f t="array" ref="K118">STOWA2019_NDJF_T(A118*60,J118,I118,"","lower")</f>
        <v>90.93238057103369</v>
      </c>
      <c r="L118">
        <f t="shared" si="19"/>
        <v>3.2991548017996614E-2</v>
      </c>
    </row>
    <row r="119" spans="1:12" x14ac:dyDescent="0.3">
      <c r="A119">
        <v>192</v>
      </c>
      <c r="B119">
        <f t="shared" si="27"/>
        <v>1.1101358086114455E-2</v>
      </c>
      <c r="C119">
        <f t="shared" si="24"/>
        <v>1.1101358086114455E-2</v>
      </c>
      <c r="D119" t="s">
        <v>26</v>
      </c>
      <c r="E119" t="s">
        <v>19</v>
      </c>
      <c r="F119">
        <v>1</v>
      </c>
      <c r="G119">
        <f t="shared" si="28"/>
        <v>130</v>
      </c>
      <c r="I119">
        <v>2030</v>
      </c>
      <c r="J119">
        <f t="shared" si="29"/>
        <v>132.5</v>
      </c>
      <c r="K119" cm="1">
        <f t="array" ref="K119">STOWA2019_NDJF_T(A119*60,J119,I119,"","lower")</f>
        <v>137.04769165253444</v>
      </c>
      <c r="L119">
        <f t="shared" si="19"/>
        <v>2.1890189931882159E-2</v>
      </c>
    </row>
    <row r="120" spans="1:12" x14ac:dyDescent="0.3">
      <c r="A120">
        <v>192</v>
      </c>
      <c r="B120">
        <f t="shared" si="27"/>
        <v>7.4800600410277803E-3</v>
      </c>
      <c r="C120">
        <f t="shared" si="24"/>
        <v>7.4800600410277803E-3</v>
      </c>
      <c r="D120" t="s">
        <v>26</v>
      </c>
      <c r="E120" t="s">
        <v>19</v>
      </c>
      <c r="F120">
        <v>1</v>
      </c>
      <c r="G120">
        <f t="shared" si="28"/>
        <v>135</v>
      </c>
      <c r="I120">
        <v>2030</v>
      </c>
      <c r="J120">
        <f t="shared" si="29"/>
        <v>137.5</v>
      </c>
      <c r="K120" cm="1">
        <f t="array" ref="K120">STOWA2019_NDJF_T(A120*60,J120,I120,"","lower")</f>
        <v>208.186881223326</v>
      </c>
      <c r="L120">
        <f t="shared" si="19"/>
        <v>1.4410129890854379E-2</v>
      </c>
    </row>
    <row r="121" spans="1:12" x14ac:dyDescent="0.3">
      <c r="A121">
        <v>192</v>
      </c>
      <c r="B121">
        <f t="shared" si="27"/>
        <v>5.0014481321589716E-3</v>
      </c>
      <c r="C121">
        <f t="shared" si="24"/>
        <v>5.0014481321589716E-3</v>
      </c>
      <c r="D121" t="s">
        <v>26</v>
      </c>
      <c r="E121" t="s">
        <v>19</v>
      </c>
      <c r="F121">
        <v>1</v>
      </c>
      <c r="G121">
        <f t="shared" si="28"/>
        <v>140</v>
      </c>
      <c r="I121">
        <v>2030</v>
      </c>
      <c r="J121">
        <f t="shared" si="29"/>
        <v>142.5</v>
      </c>
      <c r="K121" cm="1">
        <f t="array" ref="K121">STOWA2019_NDJF_T(A121*60,J121,I121,"","lower")</f>
        <v>318.85444496275272</v>
      </c>
      <c r="L121">
        <f t="shared" si="19"/>
        <v>9.4086817586954072E-3</v>
      </c>
    </row>
    <row r="122" spans="1:12" x14ac:dyDescent="0.3">
      <c r="A122">
        <v>192</v>
      </c>
      <c r="B122">
        <f t="shared" si="27"/>
        <v>3.3177397659890969E-3</v>
      </c>
      <c r="C122">
        <f t="shared" si="24"/>
        <v>3.3177397659890969E-3</v>
      </c>
      <c r="D122" t="s">
        <v>26</v>
      </c>
      <c r="E122" t="s">
        <v>19</v>
      </c>
      <c r="F122">
        <v>1</v>
      </c>
      <c r="G122">
        <f t="shared" si="28"/>
        <v>145</v>
      </c>
      <c r="I122">
        <v>2030</v>
      </c>
      <c r="J122">
        <f t="shared" si="29"/>
        <v>147.5</v>
      </c>
      <c r="K122" cm="1">
        <f t="array" ref="K122">STOWA2019_NDJF_T(A122*60,J122,I122,"","lower")</f>
        <v>492.53465286525386</v>
      </c>
      <c r="L122">
        <f t="shared" si="19"/>
        <v>6.0909419927063103E-3</v>
      </c>
    </row>
    <row r="123" spans="1:12" x14ac:dyDescent="0.3">
      <c r="A123">
        <v>192</v>
      </c>
      <c r="B123">
        <f t="shared" si="27"/>
        <v>2.1826552909251836E-3</v>
      </c>
      <c r="C123">
        <f t="shared" si="24"/>
        <v>2.1826552909251836E-3</v>
      </c>
      <c r="D123" t="s">
        <v>26</v>
      </c>
      <c r="E123" t="s">
        <v>19</v>
      </c>
      <c r="F123">
        <v>1</v>
      </c>
      <c r="G123">
        <f t="shared" si="28"/>
        <v>150</v>
      </c>
      <c r="I123">
        <v>2030</v>
      </c>
      <c r="J123">
        <f t="shared" si="29"/>
        <v>152.5</v>
      </c>
      <c r="K123" cm="1">
        <f t="array" ref="K123">STOWA2019_NDJF_T(A123*60,J123,I123,"","lower")</f>
        <v>767.59977681084843</v>
      </c>
      <c r="L123">
        <f t="shared" si="19"/>
        <v>3.9082867017811267E-3</v>
      </c>
    </row>
    <row r="124" spans="1:12" x14ac:dyDescent="0.3">
      <c r="A124">
        <v>192</v>
      </c>
      <c r="B124">
        <f t="shared" si="27"/>
        <v>1.4236003088729005E-3</v>
      </c>
      <c r="C124">
        <f t="shared" si="24"/>
        <v>1.4236003088729005E-3</v>
      </c>
      <c r="D124" t="s">
        <v>26</v>
      </c>
      <c r="E124" t="s">
        <v>19</v>
      </c>
      <c r="F124">
        <v>1</v>
      </c>
      <c r="G124">
        <f t="shared" si="28"/>
        <v>155</v>
      </c>
      <c r="I124">
        <v>2030</v>
      </c>
      <c r="J124">
        <f t="shared" si="29"/>
        <v>157.5</v>
      </c>
      <c r="K124" cm="1">
        <f t="array" ref="K124">STOWA2019_NDJF_T(A124*60,J124,I124,"","lower")</f>
        <v>1207.3958341634493</v>
      </c>
      <c r="L124">
        <f t="shared" si="19"/>
        <v>2.4846863929082262E-3</v>
      </c>
    </row>
    <row r="125" spans="1:12" x14ac:dyDescent="0.3">
      <c r="A125">
        <v>192</v>
      </c>
      <c r="B125" s="1">
        <f>L124</f>
        <v>2.4846863929082262E-3</v>
      </c>
      <c r="C125">
        <f t="shared" si="24"/>
        <v>2.4846863929082262E-3</v>
      </c>
      <c r="D125" t="s">
        <v>26</v>
      </c>
      <c r="E125" t="s">
        <v>19</v>
      </c>
      <c r="F125">
        <v>1</v>
      </c>
      <c r="G125">
        <f t="shared" si="28"/>
        <v>160</v>
      </c>
      <c r="I125">
        <v>2030</v>
      </c>
      <c r="J125">
        <f>AVERAGE(G125:G126)</f>
        <v>85</v>
      </c>
      <c r="K125" cm="1">
        <f t="array" ref="K125">STOWA2019_NDJF_T(A125*60,J125,I125,"","lower")</f>
        <v>3.6855650056243454</v>
      </c>
      <c r="L125">
        <f t="shared" si="19"/>
        <v>0.81398645673644587</v>
      </c>
    </row>
    <row r="126" spans="1:12" x14ac:dyDescent="0.3">
      <c r="A126">
        <v>216</v>
      </c>
      <c r="B126" s="1">
        <f>365.25*24/A126 - L126</f>
        <v>-25.525170960858269</v>
      </c>
      <c r="C126">
        <f>B126</f>
        <v>-25.525170960858269</v>
      </c>
      <c r="D126" t="s">
        <v>26</v>
      </c>
      <c r="E126" t="s">
        <v>19</v>
      </c>
      <c r="F126">
        <v>1</v>
      </c>
      <c r="G126">
        <v>10</v>
      </c>
      <c r="I126">
        <v>2030</v>
      </c>
      <c r="J126">
        <f>AVERAGE(G126:G128)</f>
        <v>15</v>
      </c>
      <c r="K126" cm="1">
        <f t="array" ref="K126">STOWA2019_NDJF_T(A126*60,J126,I126,"","lower")</f>
        <v>4.5379940629871197E-2</v>
      </c>
      <c r="L126">
        <f t="shared" si="19"/>
        <v>66.108504294191604</v>
      </c>
    </row>
    <row r="127" spans="1:12" x14ac:dyDescent="0.3">
      <c r="A127">
        <v>216</v>
      </c>
      <c r="B127">
        <f t="shared" ref="B127:B131" si="30">L126-L127</f>
        <v>7.9734197204107176</v>
      </c>
      <c r="C127">
        <f t="shared" ref="C127:C156" si="31">B127</f>
        <v>7.9734197204107176</v>
      </c>
      <c r="D127" t="s">
        <v>26</v>
      </c>
      <c r="E127" t="s">
        <v>19</v>
      </c>
      <c r="F127">
        <v>1</v>
      </c>
      <c r="G127">
        <f t="shared" ref="G127:G131" si="32">G126+5</f>
        <v>15</v>
      </c>
      <c r="I127">
        <v>2030</v>
      </c>
      <c r="J127">
        <f t="shared" ref="J127:J131" si="33">AVERAGE(G127:G128)</f>
        <v>17.5</v>
      </c>
      <c r="K127" cm="1">
        <f t="array" ref="K127">STOWA2019_NDJF_T(A127*60,J127,I127,"","lower")</f>
        <v>5.1603950041435219E-2</v>
      </c>
      <c r="L127">
        <f t="shared" si="19"/>
        <v>58.135084573780887</v>
      </c>
    </row>
    <row r="128" spans="1:12" x14ac:dyDescent="0.3">
      <c r="A128">
        <v>216</v>
      </c>
      <c r="B128">
        <f t="shared" si="30"/>
        <v>13.320087223703396</v>
      </c>
      <c r="C128">
        <f t="shared" si="31"/>
        <v>13.320087223703396</v>
      </c>
      <c r="D128" t="s">
        <v>26</v>
      </c>
      <c r="E128" t="s">
        <v>19</v>
      </c>
      <c r="F128">
        <v>1</v>
      </c>
      <c r="G128">
        <f t="shared" si="32"/>
        <v>20</v>
      </c>
      <c r="I128">
        <v>2030</v>
      </c>
      <c r="J128">
        <f t="shared" si="33"/>
        <v>22.5</v>
      </c>
      <c r="K128" cm="1">
        <f t="array" ref="K128">STOWA2019_NDJF_T(A128*60,J128,I128,"","lower")</f>
        <v>6.6941876099314609E-2</v>
      </c>
      <c r="L128">
        <f t="shared" si="19"/>
        <v>44.814997350077491</v>
      </c>
    </row>
    <row r="129" spans="1:12" x14ac:dyDescent="0.3">
      <c r="A129">
        <v>216</v>
      </c>
      <c r="B129">
        <f t="shared" si="30"/>
        <v>10.417669047702724</v>
      </c>
      <c r="C129">
        <f t="shared" si="31"/>
        <v>10.417669047702724</v>
      </c>
      <c r="D129" t="s">
        <v>26</v>
      </c>
      <c r="E129" t="s">
        <v>19</v>
      </c>
      <c r="F129">
        <v>1</v>
      </c>
      <c r="G129">
        <f t="shared" si="32"/>
        <v>25</v>
      </c>
      <c r="I129">
        <v>2030</v>
      </c>
      <c r="J129">
        <f t="shared" si="33"/>
        <v>27.5</v>
      </c>
      <c r="K129" cm="1">
        <f t="array" ref="K129">STOWA2019_NDJF_T(A129*60,J129,I129,"","lower")</f>
        <v>8.7216076016952818E-2</v>
      </c>
      <c r="L129">
        <f t="shared" si="19"/>
        <v>34.397328302374767</v>
      </c>
    </row>
    <row r="130" spans="1:12" x14ac:dyDescent="0.3">
      <c r="A130">
        <v>216</v>
      </c>
      <c r="B130">
        <f t="shared" si="30"/>
        <v>8.1141693531167434</v>
      </c>
      <c r="C130">
        <f t="shared" si="31"/>
        <v>8.1141693531167434</v>
      </c>
      <c r="D130" t="s">
        <v>26</v>
      </c>
      <c r="E130" t="s">
        <v>19</v>
      </c>
      <c r="F130">
        <v>1</v>
      </c>
      <c r="G130">
        <f t="shared" si="32"/>
        <v>30</v>
      </c>
      <c r="I130">
        <v>2030</v>
      </c>
      <c r="J130">
        <f t="shared" si="33"/>
        <v>32.5</v>
      </c>
      <c r="K130" cm="1">
        <f t="array" ref="K130">STOWA2019_NDJF_T(A130*60,J130,I130,"","lower")</f>
        <v>0.11414153092448921</v>
      </c>
      <c r="L130">
        <f t="shared" si="19"/>
        <v>26.283158949258024</v>
      </c>
    </row>
    <row r="131" spans="1:12" x14ac:dyDescent="0.3">
      <c r="A131">
        <v>216</v>
      </c>
      <c r="B131">
        <f t="shared" si="30"/>
        <v>6.2930300335027205</v>
      </c>
      <c r="C131">
        <f t="shared" si="31"/>
        <v>6.2930300335027205</v>
      </c>
      <c r="D131" t="s">
        <v>26</v>
      </c>
      <c r="E131" t="s">
        <v>19</v>
      </c>
      <c r="F131">
        <v>1</v>
      </c>
      <c r="G131">
        <f t="shared" si="32"/>
        <v>35</v>
      </c>
      <c r="I131">
        <v>2030</v>
      </c>
      <c r="J131">
        <f t="shared" si="33"/>
        <v>37.5</v>
      </c>
      <c r="K131" cm="1">
        <f t="array" ref="K131">STOWA2019_NDJF_T(A131*60,J131,I131,"","lower")</f>
        <v>0.15007406968924236</v>
      </c>
      <c r="L131">
        <f t="shared" ref="L131:L156" si="34">1/K131* 12/4</f>
        <v>19.990128915755303</v>
      </c>
    </row>
    <row r="132" spans="1:12" x14ac:dyDescent="0.3">
      <c r="A132">
        <v>216</v>
      </c>
      <c r="B132">
        <f>L131-L132</f>
        <v>4.8591035411977934</v>
      </c>
      <c r="C132">
        <f t="shared" si="31"/>
        <v>4.8591035411977934</v>
      </c>
      <c r="D132" t="s">
        <v>26</v>
      </c>
      <c r="E132" t="s">
        <v>19</v>
      </c>
      <c r="F132">
        <v>1</v>
      </c>
      <c r="G132">
        <f>G131+5</f>
        <v>40</v>
      </c>
      <c r="I132">
        <v>2030</v>
      </c>
      <c r="J132">
        <f>AVERAGE(G132:G133)</f>
        <v>42.5</v>
      </c>
      <c r="K132" cm="1">
        <f t="array" ref="K132">STOWA2019_NDJF_T(A132*60,J132,I132,"","lower")</f>
        <v>0.19826812299478624</v>
      </c>
      <c r="L132">
        <f t="shared" si="34"/>
        <v>15.13102537455751</v>
      </c>
    </row>
    <row r="133" spans="1:12" x14ac:dyDescent="0.3">
      <c r="A133">
        <v>216</v>
      </c>
      <c r="B133">
        <f t="shared" ref="B133:B155" si="35">L132-L133</f>
        <v>3.7348756728245576</v>
      </c>
      <c r="C133">
        <f t="shared" si="31"/>
        <v>3.7348756728245576</v>
      </c>
      <c r="D133" t="s">
        <v>26</v>
      </c>
      <c r="E133" t="s">
        <v>19</v>
      </c>
      <c r="F133">
        <v>1</v>
      </c>
      <c r="G133">
        <f t="shared" ref="G133:G156" si="36">G132+5</f>
        <v>45</v>
      </c>
      <c r="I133">
        <v>2030</v>
      </c>
      <c r="J133">
        <f t="shared" ref="J133:J155" si="37">AVERAGE(G133:G134)</f>
        <v>47.5</v>
      </c>
      <c r="K133" cm="1">
        <f t="array" ref="K133">STOWA2019_NDJF_T(A133*60,J133,I133,"","lower")</f>
        <v>0.2632468051506735</v>
      </c>
      <c r="L133">
        <f t="shared" si="34"/>
        <v>11.396149701732952</v>
      </c>
    </row>
    <row r="134" spans="1:12" x14ac:dyDescent="0.3">
      <c r="A134">
        <v>216</v>
      </c>
      <c r="B134">
        <f t="shared" si="35"/>
        <v>2.8570178976175953</v>
      </c>
      <c r="C134">
        <f t="shared" si="31"/>
        <v>2.8570178976175953</v>
      </c>
      <c r="D134" t="s">
        <v>26</v>
      </c>
      <c r="E134" t="s">
        <v>19</v>
      </c>
      <c r="F134">
        <v>1</v>
      </c>
      <c r="G134">
        <f t="shared" si="36"/>
        <v>50</v>
      </c>
      <c r="I134">
        <v>2030</v>
      </c>
      <c r="J134">
        <f t="shared" si="37"/>
        <v>52.5</v>
      </c>
      <c r="K134" cm="1">
        <f t="array" ref="K134">STOWA2019_NDJF_T(A134*60,J134,I134,"","lower")</f>
        <v>0.35132377258238096</v>
      </c>
      <c r="L134">
        <f t="shared" si="34"/>
        <v>8.5391318041153568</v>
      </c>
    </row>
    <row r="135" spans="1:12" x14ac:dyDescent="0.3">
      <c r="A135">
        <v>216</v>
      </c>
      <c r="B135">
        <f t="shared" si="35"/>
        <v>2.174909291361212</v>
      </c>
      <c r="C135">
        <f t="shared" si="31"/>
        <v>2.174909291361212</v>
      </c>
      <c r="D135" t="s">
        <v>26</v>
      </c>
      <c r="E135" t="s">
        <v>19</v>
      </c>
      <c r="F135">
        <v>1</v>
      </c>
      <c r="G135">
        <f t="shared" si="36"/>
        <v>55</v>
      </c>
      <c r="I135">
        <v>2030</v>
      </c>
      <c r="J135">
        <f t="shared" si="37"/>
        <v>57.5</v>
      </c>
      <c r="K135" cm="1">
        <f t="array" ref="K135">STOWA2019_NDJF_T(A135*60,J135,I135,"","lower")</f>
        <v>0.47138515254422442</v>
      </c>
      <c r="L135">
        <f t="shared" si="34"/>
        <v>6.3642225127541447</v>
      </c>
    </row>
    <row r="136" spans="1:12" x14ac:dyDescent="0.3">
      <c r="A136">
        <v>216</v>
      </c>
      <c r="B136">
        <f t="shared" si="35"/>
        <v>1.6471683329616873</v>
      </c>
      <c r="C136">
        <f t="shared" si="31"/>
        <v>1.6471683329616873</v>
      </c>
      <c r="D136" t="s">
        <v>26</v>
      </c>
      <c r="E136" t="s">
        <v>19</v>
      </c>
      <c r="F136">
        <v>1</v>
      </c>
      <c r="G136">
        <f t="shared" si="36"/>
        <v>60</v>
      </c>
      <c r="I136">
        <v>2030</v>
      </c>
      <c r="J136">
        <f t="shared" si="37"/>
        <v>62.5</v>
      </c>
      <c r="K136" cm="1">
        <f t="array" ref="K136">STOWA2019_NDJF_T(A136*60,J136,I136,"","lower")</f>
        <v>0.63599015098274636</v>
      </c>
      <c r="L136">
        <f t="shared" si="34"/>
        <v>4.7170541797924574</v>
      </c>
    </row>
    <row r="137" spans="1:12" x14ac:dyDescent="0.3">
      <c r="A137">
        <v>216</v>
      </c>
      <c r="B137">
        <f t="shared" si="35"/>
        <v>1.2409486604587183</v>
      </c>
      <c r="C137">
        <f t="shared" si="31"/>
        <v>1.2409486604587183</v>
      </c>
      <c r="D137" t="s">
        <v>26</v>
      </c>
      <c r="E137" t="s">
        <v>19</v>
      </c>
      <c r="F137">
        <v>1</v>
      </c>
      <c r="G137">
        <f t="shared" si="36"/>
        <v>65</v>
      </c>
      <c r="I137">
        <v>2030</v>
      </c>
      <c r="J137">
        <f t="shared" si="37"/>
        <v>67.5</v>
      </c>
      <c r="K137" cm="1">
        <f t="array" ref="K137">STOWA2019_NDJF_T(A137*60,J137,I137,"","lower")</f>
        <v>0.86303479089294344</v>
      </c>
      <c r="L137">
        <f t="shared" si="34"/>
        <v>3.4761055193337391</v>
      </c>
    </row>
    <row r="138" spans="1:12" x14ac:dyDescent="0.3">
      <c r="A138">
        <v>216</v>
      </c>
      <c r="B138">
        <f t="shared" si="35"/>
        <v>0.92959724133294852</v>
      </c>
      <c r="C138">
        <f t="shared" si="31"/>
        <v>0.92959724133294852</v>
      </c>
      <c r="D138" t="s">
        <v>26</v>
      </c>
      <c r="E138" t="s">
        <v>19</v>
      </c>
      <c r="F138">
        <v>1</v>
      </c>
      <c r="G138">
        <f t="shared" si="36"/>
        <v>70</v>
      </c>
      <c r="I138">
        <v>2030</v>
      </c>
      <c r="J138">
        <f t="shared" si="37"/>
        <v>72.5</v>
      </c>
      <c r="K138" cm="1">
        <f t="array" ref="K138">STOWA2019_NDJF_T(A138*60,J138,I138,"","lower")</f>
        <v>1.1780837415361698</v>
      </c>
      <c r="L138">
        <f t="shared" si="34"/>
        <v>2.5465082780007906</v>
      </c>
    </row>
    <row r="139" spans="1:12" x14ac:dyDescent="0.3">
      <c r="A139">
        <v>216</v>
      </c>
      <c r="B139">
        <f t="shared" si="35"/>
        <v>0.69269779812267762</v>
      </c>
      <c r="C139">
        <f t="shared" si="31"/>
        <v>0.69269779812267762</v>
      </c>
      <c r="D139" t="s">
        <v>26</v>
      </c>
      <c r="E139" t="s">
        <v>19</v>
      </c>
      <c r="F139">
        <v>1</v>
      </c>
      <c r="G139">
        <f t="shared" si="36"/>
        <v>75</v>
      </c>
      <c r="I139">
        <v>2030</v>
      </c>
      <c r="J139">
        <f t="shared" si="37"/>
        <v>77.5</v>
      </c>
      <c r="K139" cm="1">
        <f t="array" ref="K139">STOWA2019_NDJF_T(A139*60,J139,I139,"","lower")</f>
        <v>1.618288402489368</v>
      </c>
      <c r="L139">
        <f t="shared" si="34"/>
        <v>1.853810479878113</v>
      </c>
    </row>
    <row r="140" spans="1:12" x14ac:dyDescent="0.3">
      <c r="A140">
        <v>216</v>
      </c>
      <c r="B140">
        <f t="shared" si="35"/>
        <v>0.51298452941646344</v>
      </c>
      <c r="C140">
        <f t="shared" si="31"/>
        <v>0.51298452941646344</v>
      </c>
      <c r="D140" t="s">
        <v>26</v>
      </c>
      <c r="E140" t="s">
        <v>19</v>
      </c>
      <c r="F140">
        <v>1</v>
      </c>
      <c r="G140">
        <f t="shared" si="36"/>
        <v>80</v>
      </c>
      <c r="I140">
        <v>2030</v>
      </c>
      <c r="J140">
        <f t="shared" si="37"/>
        <v>82.5</v>
      </c>
      <c r="K140" cm="1">
        <f t="array" ref="K140">STOWA2019_NDJF_T(A140*60,J140,I140,"","lower")</f>
        <v>2.2374268628729128</v>
      </c>
      <c r="L140">
        <f t="shared" si="34"/>
        <v>1.3408259504616495</v>
      </c>
    </row>
    <row r="141" spans="1:12" x14ac:dyDescent="0.3">
      <c r="A141">
        <v>216</v>
      </c>
      <c r="B141">
        <f t="shared" si="35"/>
        <v>0.37755828570732242</v>
      </c>
      <c r="C141">
        <f t="shared" si="31"/>
        <v>0.37755828570732242</v>
      </c>
      <c r="D141" t="s">
        <v>26</v>
      </c>
      <c r="E141" t="s">
        <v>19</v>
      </c>
      <c r="F141">
        <v>1</v>
      </c>
      <c r="G141">
        <f t="shared" si="36"/>
        <v>85</v>
      </c>
      <c r="I141">
        <v>2030</v>
      </c>
      <c r="J141">
        <f t="shared" si="37"/>
        <v>87.5</v>
      </c>
      <c r="K141" cm="1">
        <f t="array" ref="K141">STOWA2019_NDJF_T(A141*60,J141,I141,"","lower")</f>
        <v>3.1143991538064588</v>
      </c>
      <c r="L141">
        <f t="shared" si="34"/>
        <v>0.96326766475432712</v>
      </c>
    </row>
    <row r="142" spans="1:12" x14ac:dyDescent="0.3">
      <c r="A142">
        <v>216</v>
      </c>
      <c r="B142">
        <f t="shared" si="35"/>
        <v>0.27609074855402194</v>
      </c>
      <c r="C142">
        <f t="shared" si="31"/>
        <v>0.27609074855402194</v>
      </c>
      <c r="D142" t="s">
        <v>26</v>
      </c>
      <c r="E142" t="s">
        <v>19</v>
      </c>
      <c r="F142">
        <v>1</v>
      </c>
      <c r="G142">
        <f t="shared" si="36"/>
        <v>90</v>
      </c>
      <c r="I142">
        <v>2030</v>
      </c>
      <c r="J142">
        <f t="shared" si="37"/>
        <v>92.5</v>
      </c>
      <c r="K142" cm="1">
        <f t="array" ref="K142">STOWA2019_NDJF_T(A142*60,J142,I142,"","lower")</f>
        <v>4.3656879753590703</v>
      </c>
      <c r="L142">
        <f t="shared" si="34"/>
        <v>0.68717691620030519</v>
      </c>
    </row>
    <row r="143" spans="1:12" x14ac:dyDescent="0.3">
      <c r="A143">
        <v>216</v>
      </c>
      <c r="B143">
        <f t="shared" si="35"/>
        <v>0.20054785602639014</v>
      </c>
      <c r="C143">
        <f t="shared" si="31"/>
        <v>0.20054785602639014</v>
      </c>
      <c r="D143" t="s">
        <v>26</v>
      </c>
      <c r="E143" t="s">
        <v>19</v>
      </c>
      <c r="F143">
        <v>1</v>
      </c>
      <c r="G143">
        <f t="shared" si="36"/>
        <v>95</v>
      </c>
      <c r="I143">
        <v>2030</v>
      </c>
      <c r="J143">
        <f t="shared" si="37"/>
        <v>97.5</v>
      </c>
      <c r="K143" cm="1">
        <f t="array" ref="K143">STOWA2019_NDJF_T(A143*60,J143,I143,"","lower")</f>
        <v>6.1648599426590724</v>
      </c>
      <c r="L143">
        <f t="shared" si="34"/>
        <v>0.48662906017391505</v>
      </c>
    </row>
    <row r="144" spans="1:12" x14ac:dyDescent="0.3">
      <c r="A144">
        <v>216</v>
      </c>
      <c r="B144">
        <f t="shared" si="35"/>
        <v>0.14465178921389343</v>
      </c>
      <c r="C144">
        <f t="shared" si="31"/>
        <v>0.14465178921389343</v>
      </c>
      <c r="D144" t="s">
        <v>26</v>
      </c>
      <c r="E144" t="s">
        <v>19</v>
      </c>
      <c r="F144">
        <v>1</v>
      </c>
      <c r="G144">
        <f t="shared" si="36"/>
        <v>100</v>
      </c>
      <c r="I144">
        <v>2030</v>
      </c>
      <c r="J144">
        <f t="shared" si="37"/>
        <v>102.5</v>
      </c>
      <c r="K144" cm="1">
        <f t="array" ref="K144">STOWA2019_NDJF_T(A144*60,J144,I144,"","lower")</f>
        <v>8.7725128385819264</v>
      </c>
      <c r="L144">
        <f t="shared" si="34"/>
        <v>0.34197727096002162</v>
      </c>
    </row>
    <row r="145" spans="1:12" x14ac:dyDescent="0.3">
      <c r="A145">
        <v>216</v>
      </c>
      <c r="B145">
        <f t="shared" si="35"/>
        <v>0.10357256621763547</v>
      </c>
      <c r="C145">
        <f t="shared" si="31"/>
        <v>0.10357256621763547</v>
      </c>
      <c r="D145" t="s">
        <v>26</v>
      </c>
      <c r="E145" t="s">
        <v>19</v>
      </c>
      <c r="F145">
        <v>1</v>
      </c>
      <c r="G145">
        <f t="shared" si="36"/>
        <v>105</v>
      </c>
      <c r="I145">
        <v>2030</v>
      </c>
      <c r="J145">
        <f t="shared" si="37"/>
        <v>107.5</v>
      </c>
      <c r="K145" cm="1">
        <f t="array" ref="K145">STOWA2019_NDJF_T(A145*60,J145,I145,"","lower")</f>
        <v>12.583644283537613</v>
      </c>
      <c r="L145">
        <f t="shared" si="34"/>
        <v>0.23840470474238615</v>
      </c>
    </row>
    <row r="146" spans="1:12" x14ac:dyDescent="0.3">
      <c r="A146">
        <v>216</v>
      </c>
      <c r="B146">
        <f t="shared" si="35"/>
        <v>7.3592685051675349E-2</v>
      </c>
      <c r="C146">
        <f t="shared" si="31"/>
        <v>7.3592685051675349E-2</v>
      </c>
      <c r="D146" t="s">
        <v>26</v>
      </c>
      <c r="E146" t="s">
        <v>19</v>
      </c>
      <c r="F146">
        <v>1</v>
      </c>
      <c r="G146">
        <f t="shared" si="36"/>
        <v>110</v>
      </c>
      <c r="I146">
        <v>2030</v>
      </c>
      <c r="J146">
        <f t="shared" si="37"/>
        <v>112.5</v>
      </c>
      <c r="K146" cm="1">
        <f t="array" ref="K146">STOWA2019_NDJF_T(A146*60,J146,I146,"","lower")</f>
        <v>18.202555891432276</v>
      </c>
      <c r="L146">
        <f t="shared" si="34"/>
        <v>0.1648120196907108</v>
      </c>
    </row>
    <row r="147" spans="1:12" x14ac:dyDescent="0.3">
      <c r="A147">
        <v>216</v>
      </c>
      <c r="B147">
        <f t="shared" si="35"/>
        <v>5.1873301573292022E-2</v>
      </c>
      <c r="C147">
        <f t="shared" si="31"/>
        <v>5.1873301573292022E-2</v>
      </c>
      <c r="D147" t="s">
        <v>26</v>
      </c>
      <c r="E147" t="s">
        <v>19</v>
      </c>
      <c r="F147">
        <v>1</v>
      </c>
      <c r="G147">
        <f t="shared" si="36"/>
        <v>115</v>
      </c>
      <c r="I147">
        <v>2030</v>
      </c>
      <c r="J147">
        <f t="shared" si="37"/>
        <v>117.5</v>
      </c>
      <c r="K147" cm="1">
        <f t="array" ref="K147">STOWA2019_NDJF_T(A147*60,J147,I147,"","lower")</f>
        <v>26.563078189722287</v>
      </c>
      <c r="L147">
        <f t="shared" si="34"/>
        <v>0.11293871811741878</v>
      </c>
    </row>
    <row r="148" spans="1:12" x14ac:dyDescent="0.3">
      <c r="A148">
        <v>216</v>
      </c>
      <c r="B148">
        <f t="shared" si="35"/>
        <v>3.6256674150334706E-2</v>
      </c>
      <c r="C148">
        <f t="shared" si="31"/>
        <v>3.6256674150334706E-2</v>
      </c>
      <c r="D148" t="s">
        <v>26</v>
      </c>
      <c r="E148" t="s">
        <v>19</v>
      </c>
      <c r="F148">
        <v>1</v>
      </c>
      <c r="G148">
        <f t="shared" si="36"/>
        <v>120</v>
      </c>
      <c r="I148">
        <v>2030</v>
      </c>
      <c r="J148">
        <f t="shared" si="37"/>
        <v>122.5</v>
      </c>
      <c r="K148" cm="1">
        <f t="array" ref="K148">STOWA2019_NDJF_T(A148*60,J148,I148,"","lower")</f>
        <v>39.122587828876291</v>
      </c>
      <c r="L148">
        <f t="shared" si="34"/>
        <v>7.6682043967084071E-2</v>
      </c>
    </row>
    <row r="149" spans="1:12" x14ac:dyDescent="0.3">
      <c r="A149">
        <v>216</v>
      </c>
      <c r="B149">
        <f t="shared" si="35"/>
        <v>2.5118695368016572E-2</v>
      </c>
      <c r="C149">
        <f t="shared" si="31"/>
        <v>2.5118695368016572E-2</v>
      </c>
      <c r="D149" t="s">
        <v>26</v>
      </c>
      <c r="E149" t="s">
        <v>19</v>
      </c>
      <c r="F149">
        <v>1</v>
      </c>
      <c r="G149">
        <f t="shared" si="36"/>
        <v>125</v>
      </c>
      <c r="I149">
        <v>2030</v>
      </c>
      <c r="J149">
        <f t="shared" si="37"/>
        <v>127.5</v>
      </c>
      <c r="K149" cm="1">
        <f t="array" ref="K149">STOWA2019_NDJF_T(A149*60,J149,I149,"","lower")</f>
        <v>58.180860659896197</v>
      </c>
      <c r="L149">
        <f t="shared" si="34"/>
        <v>5.1563348599067499E-2</v>
      </c>
    </row>
    <row r="150" spans="1:12" x14ac:dyDescent="0.3">
      <c r="A150">
        <v>216</v>
      </c>
      <c r="B150">
        <f t="shared" si="35"/>
        <v>1.7241808910673333E-2</v>
      </c>
      <c r="C150">
        <f t="shared" si="31"/>
        <v>1.7241808910673333E-2</v>
      </c>
      <c r="D150" t="s">
        <v>26</v>
      </c>
      <c r="E150" t="s">
        <v>19</v>
      </c>
      <c r="F150">
        <v>1</v>
      </c>
      <c r="G150">
        <f t="shared" si="36"/>
        <v>130</v>
      </c>
      <c r="I150">
        <v>2030</v>
      </c>
      <c r="J150">
        <f t="shared" si="37"/>
        <v>132.5</v>
      </c>
      <c r="K150" cm="1">
        <f t="array" ref="K150">STOWA2019_NDJF_T(A150*60,J150,I150,"","lower")</f>
        <v>87.40866602247597</v>
      </c>
      <c r="L150">
        <f t="shared" si="34"/>
        <v>3.4321539688394166E-2</v>
      </c>
    </row>
    <row r="151" spans="1:12" x14ac:dyDescent="0.3">
      <c r="A151">
        <v>216</v>
      </c>
      <c r="B151">
        <f t="shared" si="35"/>
        <v>1.1719852933549324E-2</v>
      </c>
      <c r="C151">
        <f t="shared" si="31"/>
        <v>1.1719852933549324E-2</v>
      </c>
      <c r="D151" t="s">
        <v>26</v>
      </c>
      <c r="E151" t="s">
        <v>19</v>
      </c>
      <c r="F151">
        <v>1</v>
      </c>
      <c r="G151">
        <f t="shared" si="36"/>
        <v>135</v>
      </c>
      <c r="I151">
        <v>2030</v>
      </c>
      <c r="J151">
        <f t="shared" si="37"/>
        <v>137.5</v>
      </c>
      <c r="K151" cm="1">
        <f t="array" ref="K151">STOWA2019_NDJF_T(A151*60,J151,I151,"","lower")</f>
        <v>132.73345624776996</v>
      </c>
      <c r="L151">
        <f t="shared" si="34"/>
        <v>2.2601686754844842E-2</v>
      </c>
    </row>
    <row r="152" spans="1:12" x14ac:dyDescent="0.3">
      <c r="A152">
        <v>216</v>
      </c>
      <c r="B152">
        <f t="shared" si="35"/>
        <v>7.8849389826027485E-3</v>
      </c>
      <c r="C152">
        <f t="shared" si="31"/>
        <v>7.8849389826027485E-3</v>
      </c>
      <c r="D152" t="s">
        <v>26</v>
      </c>
      <c r="E152" t="s">
        <v>19</v>
      </c>
      <c r="F152">
        <v>1</v>
      </c>
      <c r="G152">
        <f t="shared" si="36"/>
        <v>140</v>
      </c>
      <c r="I152">
        <v>2030</v>
      </c>
      <c r="J152">
        <f t="shared" si="37"/>
        <v>142.5</v>
      </c>
      <c r="K152" cm="1">
        <f t="array" ref="K152">STOWA2019_NDJF_T(A152*60,J152,I152,"","lower")</f>
        <v>203.84938618425141</v>
      </c>
      <c r="L152">
        <f t="shared" si="34"/>
        <v>1.4716747772242094E-2</v>
      </c>
    </row>
    <row r="153" spans="1:12" x14ac:dyDescent="0.3">
      <c r="A153">
        <v>216</v>
      </c>
      <c r="B153">
        <f t="shared" si="35"/>
        <v>5.2477353798652052E-3</v>
      </c>
      <c r="C153">
        <f t="shared" si="31"/>
        <v>5.2477353798652052E-3</v>
      </c>
      <c r="D153" t="s">
        <v>26</v>
      </c>
      <c r="E153" t="s">
        <v>19</v>
      </c>
      <c r="F153">
        <v>1</v>
      </c>
      <c r="G153">
        <f t="shared" si="36"/>
        <v>145</v>
      </c>
      <c r="I153">
        <v>2030</v>
      </c>
      <c r="J153">
        <f t="shared" si="37"/>
        <v>147.5</v>
      </c>
      <c r="K153" cm="1">
        <f t="array" ref="K153">STOWA2019_NDJF_T(A153*60,J153,I153,"","lower")</f>
        <v>316.82290356016182</v>
      </c>
      <c r="L153">
        <f t="shared" si="34"/>
        <v>9.4690123923768885E-3</v>
      </c>
    </row>
    <row r="154" spans="1:12" x14ac:dyDescent="0.3">
      <c r="A154">
        <v>216</v>
      </c>
      <c r="B154">
        <f t="shared" si="35"/>
        <v>3.4527922154081892E-3</v>
      </c>
      <c r="C154">
        <f t="shared" si="31"/>
        <v>3.4527922154081892E-3</v>
      </c>
      <c r="D154" t="s">
        <v>26</v>
      </c>
      <c r="E154" t="s">
        <v>19</v>
      </c>
      <c r="F154">
        <v>1</v>
      </c>
      <c r="G154">
        <f t="shared" si="36"/>
        <v>150</v>
      </c>
      <c r="I154">
        <v>2030</v>
      </c>
      <c r="J154">
        <f t="shared" si="37"/>
        <v>152.5</v>
      </c>
      <c r="K154" cm="1">
        <f t="array" ref="K154">STOWA2019_NDJF_T(A154*60,J154,I154,"","lower")</f>
        <v>498.65196281954627</v>
      </c>
      <c r="L154">
        <f t="shared" si="34"/>
        <v>6.0162201769686993E-3</v>
      </c>
    </row>
    <row r="155" spans="1:12" x14ac:dyDescent="0.3">
      <c r="A155">
        <v>216</v>
      </c>
      <c r="B155">
        <f t="shared" si="35"/>
        <v>2.2444124476181516E-3</v>
      </c>
      <c r="C155">
        <f t="shared" si="31"/>
        <v>2.2444124476181516E-3</v>
      </c>
      <c r="D155" t="s">
        <v>26</v>
      </c>
      <c r="E155" t="s">
        <v>19</v>
      </c>
      <c r="F155">
        <v>1</v>
      </c>
      <c r="G155">
        <f t="shared" si="36"/>
        <v>155</v>
      </c>
      <c r="I155">
        <v>2030</v>
      </c>
      <c r="J155">
        <f t="shared" si="37"/>
        <v>157.5</v>
      </c>
      <c r="K155" cm="1">
        <f t="array" ref="K155">STOWA2019_NDJF_T(A155*60,J155,I155,"","lower")</f>
        <v>795.37458302959624</v>
      </c>
      <c r="L155">
        <f t="shared" si="34"/>
        <v>3.7718077293505477E-3</v>
      </c>
    </row>
    <row r="156" spans="1:12" x14ac:dyDescent="0.3">
      <c r="A156">
        <v>216</v>
      </c>
      <c r="B156" s="1">
        <f>L155</f>
        <v>3.7718077293505477E-3</v>
      </c>
      <c r="C156">
        <f t="shared" si="31"/>
        <v>3.7718077293505477E-3</v>
      </c>
      <c r="D156" t="s">
        <v>26</v>
      </c>
      <c r="E156" t="s">
        <v>19</v>
      </c>
      <c r="F156">
        <v>1</v>
      </c>
      <c r="G156">
        <f t="shared" si="36"/>
        <v>160</v>
      </c>
      <c r="I156">
        <v>2030</v>
      </c>
      <c r="J156">
        <f>AVERAGE(G156:G157)</f>
        <v>160</v>
      </c>
      <c r="K156" cm="1">
        <f t="array" ref="K156">STOWA2019_NDJF_T(A156*60,J156,I156,"","lower")</f>
        <v>1009.8102887582813</v>
      </c>
      <c r="L156">
        <f t="shared" si="34"/>
        <v>2.9708550540606653E-3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E4FE2-3F0F-4695-AC67-EE117CC29EB4}">
  <sheetPr codeName="Blad9"/>
  <dimension ref="A1:L156"/>
  <sheetViews>
    <sheetView workbookViewId="0">
      <selection activeCell="L23" sqref="L23"/>
    </sheetView>
  </sheetViews>
  <sheetFormatPr defaultRowHeight="14.4" x14ac:dyDescent="0.3"/>
  <cols>
    <col min="2" max="3" width="12" bestFit="1" customWidth="1"/>
    <col min="4" max="4" width="26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342.24189318954745</v>
      </c>
      <c r="C2">
        <f>B2</f>
        <v>342.24189318954745</v>
      </c>
      <c r="D2" t="s">
        <v>27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STOWA2019_JAARROND_T(A2*60,J2,I2,"GL","center")</f>
        <v>6.5194412228586809E-2</v>
      </c>
      <c r="L2">
        <f>1/K2 * 12/8</f>
        <v>23.008106810452563</v>
      </c>
    </row>
    <row r="3" spans="1:12" x14ac:dyDescent="0.3">
      <c r="A3">
        <v>24</v>
      </c>
      <c r="B3">
        <f t="shared" ref="B3:B7" si="0">L2-L3</f>
        <v>6.8112508605495066</v>
      </c>
      <c r="C3">
        <f t="shared" ref="C3:C32" si="1">B3</f>
        <v>6.8112508605495066</v>
      </c>
      <c r="D3" t="s">
        <v>27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STOWA2019_JAARROND_T(A3*60,J3,I3,"GL","center")</f>
        <v>9.2610566188864457E-2</v>
      </c>
      <c r="L3">
        <f t="shared" ref="L3:L66" si="4">1/K3 * 12/8</f>
        <v>16.196855949903057</v>
      </c>
    </row>
    <row r="4" spans="1:12" x14ac:dyDescent="0.3">
      <c r="A4">
        <v>24</v>
      </c>
      <c r="B4">
        <f t="shared" si="0"/>
        <v>7.793774559293329</v>
      </c>
      <c r="C4">
        <f t="shared" si="1"/>
        <v>7.793774559293329</v>
      </c>
      <c r="D4" t="s">
        <v>27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STOWA2019_JAARROND_T(A4*60,J4,I4,"GL","center")</f>
        <v>0.17850594683947954</v>
      </c>
      <c r="L4">
        <f t="shared" si="4"/>
        <v>8.4030813906097279</v>
      </c>
    </row>
    <row r="5" spans="1:12" x14ac:dyDescent="0.3">
      <c r="A5">
        <v>24</v>
      </c>
      <c r="B5">
        <f t="shared" si="0"/>
        <v>3.8031633652996293</v>
      </c>
      <c r="C5">
        <f t="shared" si="1"/>
        <v>3.8031633652996293</v>
      </c>
      <c r="D5" t="s">
        <v>27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STOWA2019_JAARROND_T(A5*60,J5,I5,"GL","center")</f>
        <v>0.32609276768554568</v>
      </c>
      <c r="L5">
        <f t="shared" si="4"/>
        <v>4.5999180253100986</v>
      </c>
    </row>
    <row r="6" spans="1:12" x14ac:dyDescent="0.3">
      <c r="A6">
        <v>24</v>
      </c>
      <c r="B6">
        <f t="shared" si="0"/>
        <v>1.9637556093131976</v>
      </c>
      <c r="C6">
        <f t="shared" si="1"/>
        <v>1.9637556093131976</v>
      </c>
      <c r="D6" t="s">
        <v>27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STOWA2019_JAARROND_T(A6*60,J6,I6,"GL","center")</f>
        <v>0.56900894683029402</v>
      </c>
      <c r="L6">
        <f t="shared" si="4"/>
        <v>2.636162415996901</v>
      </c>
    </row>
    <row r="7" spans="1:12" x14ac:dyDescent="0.3">
      <c r="A7">
        <v>24</v>
      </c>
      <c r="B7">
        <f t="shared" si="0"/>
        <v>1.0646097511646233</v>
      </c>
      <c r="C7">
        <f t="shared" si="1"/>
        <v>1.0646097511646233</v>
      </c>
      <c r="D7" t="s">
        <v>27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STOWA2019_JAARROND_T(A7*60,J7,I7,"GL","center")</f>
        <v>0.95447008144654577</v>
      </c>
      <c r="L7">
        <f t="shared" si="4"/>
        <v>1.5715526648322777</v>
      </c>
    </row>
    <row r="8" spans="1:12" x14ac:dyDescent="0.3">
      <c r="A8">
        <v>24</v>
      </c>
      <c r="B8">
        <f>L7-L8</f>
        <v>0.60186409843284727</v>
      </c>
      <c r="C8">
        <f t="shared" si="1"/>
        <v>0.60186409843284727</v>
      </c>
      <c r="D8" t="s">
        <v>27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STOWA2019_JAARROND_T(A8*60,J8,I8,"GL","center")</f>
        <v>1.5468884051811391</v>
      </c>
      <c r="L8">
        <f t="shared" si="4"/>
        <v>0.96968856639943046</v>
      </c>
    </row>
    <row r="9" spans="1:12" x14ac:dyDescent="0.3">
      <c r="A9">
        <v>24</v>
      </c>
      <c r="B9">
        <f t="shared" ref="B9:B31" si="5">L8-L9</f>
        <v>0.35318423271870047</v>
      </c>
      <c r="C9">
        <f t="shared" si="1"/>
        <v>0.35318423271870047</v>
      </c>
      <c r="D9" t="s">
        <v>27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STOWA2019_JAARROND_T(A9*60,J9,I9,"GL","center")</f>
        <v>2.4330729210685602</v>
      </c>
      <c r="L9">
        <f t="shared" si="4"/>
        <v>0.61650433368072999</v>
      </c>
    </row>
    <row r="10" spans="1:12" x14ac:dyDescent="0.3">
      <c r="A10">
        <v>24</v>
      </c>
      <c r="B10">
        <f t="shared" si="5"/>
        <v>0.21400329465799084</v>
      </c>
      <c r="C10">
        <f t="shared" si="1"/>
        <v>0.21400329465799084</v>
      </c>
      <c r="D10" t="s">
        <v>27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STOWA2019_JAARROND_T(A10*60,J10,I10,"GL","center")</f>
        <v>3.726698454349227</v>
      </c>
      <c r="L10">
        <f t="shared" si="4"/>
        <v>0.40250103902273915</v>
      </c>
    </row>
    <row r="11" spans="1:12" x14ac:dyDescent="0.3">
      <c r="A11">
        <v>24</v>
      </c>
      <c r="B11">
        <f t="shared" si="5"/>
        <v>0.13344076354681716</v>
      </c>
      <c r="C11">
        <f t="shared" si="1"/>
        <v>0.13344076354681716</v>
      </c>
      <c r="D11" t="s">
        <v>27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STOWA2019_JAARROND_T(A11*60,J11,I11,"GL","center")</f>
        <v>5.574958983992544</v>
      </c>
      <c r="L11">
        <f t="shared" si="4"/>
        <v>0.26906027547592198</v>
      </c>
    </row>
    <row r="12" spans="1:12" x14ac:dyDescent="0.3">
      <c r="A12">
        <v>24</v>
      </c>
      <c r="B12">
        <f t="shared" si="5"/>
        <v>8.5356955768717296E-2</v>
      </c>
      <c r="C12">
        <f t="shared" si="1"/>
        <v>8.5356955768717296E-2</v>
      </c>
      <c r="D12" t="s">
        <v>27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STOWA2019_JAARROND_T(A12*60,J12,I12,"GL","center")</f>
        <v>8.1653396486833945</v>
      </c>
      <c r="L12">
        <f t="shared" si="4"/>
        <v>0.18370331970720469</v>
      </c>
    </row>
    <row r="13" spans="1:12" x14ac:dyDescent="0.3">
      <c r="A13">
        <v>24</v>
      </c>
      <c r="B13">
        <f t="shared" si="5"/>
        <v>5.5868437565209428E-2</v>
      </c>
      <c r="C13">
        <f t="shared" si="1"/>
        <v>5.5868437565209428E-2</v>
      </c>
      <c r="D13" t="s">
        <v>27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STOWA2019_JAARROND_T(A13*60,J13,I13,"GL","center")</f>
        <v>11.733886517248427</v>
      </c>
      <c r="L13">
        <f t="shared" si="4"/>
        <v>0.12783488214199526</v>
      </c>
    </row>
    <row r="14" spans="1:12" x14ac:dyDescent="0.3">
      <c r="A14">
        <v>24</v>
      </c>
      <c r="B14">
        <f t="shared" si="5"/>
        <v>3.7331976675322148E-2</v>
      </c>
      <c r="C14">
        <f t="shared" si="1"/>
        <v>3.7331976675322148E-2</v>
      </c>
      <c r="D14" t="s">
        <v>27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STOWA2019_JAARROND_T(A14*60,J14,I14,"GL","center")</f>
        <v>16.574053531931764</v>
      </c>
      <c r="L14">
        <f t="shared" si="4"/>
        <v>9.0502905466673111E-2</v>
      </c>
    </row>
    <row r="15" spans="1:12" x14ac:dyDescent="0.3">
      <c r="A15">
        <v>24</v>
      </c>
      <c r="B15">
        <f t="shared" si="5"/>
        <v>2.5418241212432399E-2</v>
      </c>
      <c r="C15">
        <f t="shared" si="1"/>
        <v>2.5418241212432399E-2</v>
      </c>
      <c r="D15" t="s">
        <v>27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STOWA2019_JAARROND_T(A15*60,J15,I15,"GL","center")</f>
        <v>23.046903862644797</v>
      </c>
      <c r="L15">
        <f t="shared" si="4"/>
        <v>6.5084664254240712E-2</v>
      </c>
    </row>
    <row r="16" spans="1:12" x14ac:dyDescent="0.3">
      <c r="A16">
        <v>24</v>
      </c>
      <c r="B16">
        <f t="shared" si="5"/>
        <v>1.7604956074637426E-2</v>
      </c>
      <c r="C16">
        <f t="shared" si="1"/>
        <v>1.7604956074637426E-2</v>
      </c>
      <c r="D16" t="s">
        <v>27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STOWA2019_JAARROND_T(A16*60,J16,I16,"GL","center")</f>
        <v>31.592443540846823</v>
      </c>
      <c r="L16">
        <f t="shared" si="4"/>
        <v>4.7479708179603286E-2</v>
      </c>
    </row>
    <row r="17" spans="1:12" x14ac:dyDescent="0.3">
      <c r="A17">
        <v>24</v>
      </c>
      <c r="B17">
        <f t="shared" si="5"/>
        <v>1.2385280119740688E-2</v>
      </c>
      <c r="C17">
        <f t="shared" si="1"/>
        <v>1.2385280119740688E-2</v>
      </c>
      <c r="D17" t="s">
        <v>27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STOWA2019_JAARROND_T(A17*60,J17,I17,"GL","center")</f>
        <v>42.741827775091906</v>
      </c>
      <c r="L17">
        <f t="shared" si="4"/>
        <v>3.5094428059862598E-2</v>
      </c>
    </row>
    <row r="18" spans="1:12" x14ac:dyDescent="0.3">
      <c r="A18">
        <v>24</v>
      </c>
      <c r="B18">
        <f t="shared" si="5"/>
        <v>8.8397926337643734E-3</v>
      </c>
      <c r="C18">
        <f t="shared" si="1"/>
        <v>8.8397926337643734E-3</v>
      </c>
      <c r="D18" t="s">
        <v>27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STOWA2019_JAARROND_T(A18*60,J18,I18,"GL","center")</f>
        <v>57.132768200960669</v>
      </c>
      <c r="L18">
        <f t="shared" si="4"/>
        <v>2.6254635426098225E-2</v>
      </c>
    </row>
    <row r="19" spans="1:12" x14ac:dyDescent="0.3">
      <c r="A19">
        <v>24</v>
      </c>
      <c r="B19">
        <f t="shared" si="5"/>
        <v>6.3929058912257017E-3</v>
      </c>
      <c r="C19">
        <f t="shared" si="1"/>
        <v>6.3929058912257017E-3</v>
      </c>
      <c r="D19" t="s">
        <v>27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STOWA2019_JAARROND_T(A19*60,J19,I19,"GL","center")</f>
        <v>75.522123960370763</v>
      </c>
      <c r="L19">
        <f t="shared" si="4"/>
        <v>1.9861729534872523E-2</v>
      </c>
    </row>
    <row r="20" spans="1:12" x14ac:dyDescent="0.3">
      <c r="A20">
        <v>24</v>
      </c>
      <c r="B20">
        <f t="shared" si="5"/>
        <v>4.6804057633799585E-3</v>
      </c>
      <c r="C20">
        <f t="shared" si="1"/>
        <v>4.6804057633799585E-3</v>
      </c>
      <c r="D20" t="s">
        <v>27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STOWA2019_JAARROND_T(A20*60,J20,I20,"GL","center")</f>
        <v>98.80561290819017</v>
      </c>
      <c r="L20">
        <f t="shared" si="4"/>
        <v>1.5181323771492564E-2</v>
      </c>
    </row>
    <row r="21" spans="1:12" x14ac:dyDescent="0.3">
      <c r="A21">
        <v>24</v>
      </c>
      <c r="B21">
        <f t="shared" si="5"/>
        <v>3.4658238096675793E-3</v>
      </c>
      <c r="C21">
        <f t="shared" si="1"/>
        <v>3.4658238096675793E-3</v>
      </c>
      <c r="D21" t="s">
        <v>27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STOWA2019_JAARROND_T(A21*60,J21,I21,"GL","center")</f>
        <v>128.03550893156566</v>
      </c>
      <c r="L21">
        <f t="shared" si="4"/>
        <v>1.1715499961824985E-2</v>
      </c>
    </row>
    <row r="22" spans="1:12" x14ac:dyDescent="0.3">
      <c r="A22">
        <v>24</v>
      </c>
      <c r="B22">
        <f t="shared" si="5"/>
        <v>2.5934852972820006E-3</v>
      </c>
      <c r="C22">
        <f t="shared" si="1"/>
        <v>2.5934852972820006E-3</v>
      </c>
      <c r="D22" t="s">
        <v>27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STOWA2019_JAARROND_T(A22*60,J22,I22,"GL","center")</f>
        <v>164.43735897843464</v>
      </c>
      <c r="L22">
        <f t="shared" si="4"/>
        <v>9.1220146645429843E-3</v>
      </c>
    </row>
    <row r="23" spans="1:12" x14ac:dyDescent="0.3">
      <c r="A23">
        <v>24</v>
      </c>
      <c r="B23">
        <f t="shared" si="5"/>
        <v>1.9599517877155435E-3</v>
      </c>
      <c r="C23">
        <f t="shared" si="1"/>
        <v>1.9599517877155435E-3</v>
      </c>
      <c r="D23" t="s">
        <v>27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STOWA2019_JAARROND_T(A23*60,J23,I23,"GL","center")</f>
        <v>209.43686557865726</v>
      </c>
      <c r="L23">
        <f t="shared" si="4"/>
        <v>7.1620628768274408E-3</v>
      </c>
    </row>
    <row r="24" spans="1:12" x14ac:dyDescent="0.3">
      <c r="A24">
        <v>24</v>
      </c>
      <c r="B24">
        <f t="shared" si="5"/>
        <v>1.4948455011530876E-3</v>
      </c>
      <c r="C24">
        <f t="shared" si="1"/>
        <v>1.4948455011530876E-3</v>
      </c>
      <c r="D24" t="s">
        <v>27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STOWA2019_JAARROND_T(A24*60,J24,I24,"GL","center")</f>
        <v>264.68015969151213</v>
      </c>
      <c r="L24">
        <f t="shared" si="4"/>
        <v>5.6672173756743532E-3</v>
      </c>
    </row>
    <row r="25" spans="1:12" x14ac:dyDescent="0.3">
      <c r="A25">
        <v>24</v>
      </c>
      <c r="B25">
        <f t="shared" si="5"/>
        <v>1.1499607847012695E-3</v>
      </c>
      <c r="C25">
        <f t="shared" si="1"/>
        <v>1.1499607847012695E-3</v>
      </c>
      <c r="D25" t="s">
        <v>27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STOWA2019_JAARROND_T(A25*60,J25,I25,"GL","center")</f>
        <v>332.05995050125722</v>
      </c>
      <c r="L25">
        <f t="shared" si="4"/>
        <v>4.5172565909730837E-3</v>
      </c>
    </row>
    <row r="26" spans="1:12" x14ac:dyDescent="0.3">
      <c r="A26">
        <v>24</v>
      </c>
      <c r="B26">
        <f t="shared" si="5"/>
        <v>8.9181643162193364E-4</v>
      </c>
      <c r="C26">
        <f t="shared" si="1"/>
        <v>8.9181643162193364E-4</v>
      </c>
      <c r="D26" t="s">
        <v>27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STOWA2019_JAARROND_T(A26*60,J26,I26,"GL","center")</f>
        <v>413.74286543691204</v>
      </c>
      <c r="L26">
        <f t="shared" si="4"/>
        <v>3.6254401593511501E-3</v>
      </c>
    </row>
    <row r="27" spans="1:12" x14ac:dyDescent="0.3">
      <c r="A27">
        <v>24</v>
      </c>
      <c r="B27">
        <f t="shared" si="5"/>
        <v>6.9687273920049364E-4</v>
      </c>
      <c r="C27">
        <f t="shared" si="1"/>
        <v>6.9687273920049364E-4</v>
      </c>
      <c r="D27" t="s">
        <v>27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STOWA2019_JAARROND_T(A27*60,J27,I27,"GL","center")</f>
        <v>512.1958230085188</v>
      </c>
      <c r="L27">
        <f t="shared" si="4"/>
        <v>2.9285674201506564E-3</v>
      </c>
    </row>
    <row r="28" spans="1:12" x14ac:dyDescent="0.3">
      <c r="A28">
        <v>24</v>
      </c>
      <c r="B28">
        <f t="shared" si="5"/>
        <v>5.4848053236195493E-4</v>
      </c>
      <c r="C28">
        <f t="shared" si="1"/>
        <v>5.4848053236195493E-4</v>
      </c>
      <c r="D28" t="s">
        <v>27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STOWA2019_JAARROND_T(A28*60,J28,I28,"GL","center")</f>
        <v>630.22909276796395</v>
      </c>
      <c r="L28">
        <f t="shared" si="4"/>
        <v>2.3800868877887015E-3</v>
      </c>
    </row>
    <row r="29" spans="1:12" x14ac:dyDescent="0.3">
      <c r="A29">
        <v>24</v>
      </c>
      <c r="B29">
        <f t="shared" si="5"/>
        <v>4.3459511900564851E-4</v>
      </c>
      <c r="C29">
        <f t="shared" si="1"/>
        <v>4.3459511900564851E-4</v>
      </c>
      <c r="D29" t="s">
        <v>27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STOWA2019_JAARROND_T(A29*60,J29,I29,"GL","center")</f>
        <v>771.01328521080416</v>
      </c>
      <c r="L29">
        <f t="shared" si="4"/>
        <v>1.945491768783053E-3</v>
      </c>
    </row>
    <row r="30" spans="1:12" x14ac:dyDescent="0.3">
      <c r="A30">
        <v>24</v>
      </c>
      <c r="B30">
        <f t="shared" si="5"/>
        <v>3.465595252326154E-4</v>
      </c>
      <c r="C30">
        <f t="shared" si="1"/>
        <v>3.465595252326154E-4</v>
      </c>
      <c r="D30" t="s">
        <v>27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STOWA2019_JAARROND_T(A30*60,J30,I30,"GL","center")</f>
        <v>938.12605634197621</v>
      </c>
      <c r="L30">
        <f t="shared" si="4"/>
        <v>1.5989322435504376E-3</v>
      </c>
    </row>
    <row r="31" spans="1:12" x14ac:dyDescent="0.3">
      <c r="A31">
        <v>24</v>
      </c>
      <c r="B31">
        <f t="shared" si="5"/>
        <v>2.7802362978204473E-4</v>
      </c>
      <c r="C31">
        <f t="shared" si="1"/>
        <v>2.7802362978204473E-4</v>
      </c>
      <c r="D31" t="s">
        <v>27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STOWA2019_JAARROND_T(A31*60,J31,I31,"GL","center")</f>
        <v>1135.5819655991802</v>
      </c>
      <c r="L31">
        <f t="shared" si="4"/>
        <v>1.3209086137683929E-3</v>
      </c>
    </row>
    <row r="32" spans="1:12" x14ac:dyDescent="0.3">
      <c r="A32">
        <v>24</v>
      </c>
      <c r="B32" s="1">
        <f>L31</f>
        <v>1.3209086137683929E-3</v>
      </c>
      <c r="C32">
        <f t="shared" si="1"/>
        <v>1.3209086137683929E-3</v>
      </c>
      <c r="D32" t="s">
        <v>27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STOWA2019_JAARROND_T(A32*60,J32,I32,"GL","center")</f>
        <v>36.80463103639687</v>
      </c>
      <c r="L32">
        <f t="shared" si="4"/>
        <v>4.0755740725035898E-2</v>
      </c>
    </row>
    <row r="33" spans="1:12" x14ac:dyDescent="0.3">
      <c r="A33">
        <v>48</v>
      </c>
      <c r="B33" s="1">
        <f>365.25*24/A33 - L33</f>
        <v>142.32091914578123</v>
      </c>
      <c r="C33">
        <f>B33</f>
        <v>142.32091914578123</v>
      </c>
      <c r="D33" t="s">
        <v>27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STOWA2019_JAARROND_T(A33*60,J33,I33,"GL","center")</f>
        <v>3.7217075001053895E-2</v>
      </c>
      <c r="L33">
        <f t="shared" si="4"/>
        <v>40.304080854218761</v>
      </c>
    </row>
    <row r="34" spans="1:12" x14ac:dyDescent="0.3">
      <c r="A34">
        <v>48</v>
      </c>
      <c r="B34">
        <f t="shared" ref="B34:B38" si="8">L33-L34</f>
        <v>10.27413161512877</v>
      </c>
      <c r="C34">
        <f t="shared" ref="C34:C63" si="9">B34</f>
        <v>10.27413161512877</v>
      </c>
      <c r="D34" t="s">
        <v>27</v>
      </c>
      <c r="E34" t="s">
        <v>21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STOWA2019_JAARROND_T(A34*60,J34,I34,"GL","center")</f>
        <v>4.9950134382759782E-2</v>
      </c>
      <c r="L34">
        <f t="shared" si="4"/>
        <v>30.029949239089991</v>
      </c>
    </row>
    <row r="35" spans="1:12" x14ac:dyDescent="0.3">
      <c r="A35">
        <v>48</v>
      </c>
      <c r="B35">
        <f t="shared" si="8"/>
        <v>12.956305891747366</v>
      </c>
      <c r="C35">
        <f t="shared" si="9"/>
        <v>12.956305891747366</v>
      </c>
      <c r="D35" t="s">
        <v>27</v>
      </c>
      <c r="E35" t="s">
        <v>21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STOWA2019_JAARROND_T(A35*60,J35,I35,"GL","center")</f>
        <v>8.7854710882985784E-2</v>
      </c>
      <c r="L35">
        <f t="shared" si="4"/>
        <v>17.073643347342625</v>
      </c>
    </row>
    <row r="36" spans="1:12" x14ac:dyDescent="0.3">
      <c r="A36">
        <v>48</v>
      </c>
      <c r="B36">
        <f t="shared" si="8"/>
        <v>7.073374880564522</v>
      </c>
      <c r="C36">
        <f t="shared" si="9"/>
        <v>7.073374880564522</v>
      </c>
      <c r="D36" t="s">
        <v>27</v>
      </c>
      <c r="E36" t="s">
        <v>21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STOWA2019_JAARROND_T(A36*60,J36,I36,"GL","center")</f>
        <v>0.14999597310643717</v>
      </c>
      <c r="L36">
        <f t="shared" si="4"/>
        <v>10.000268466778103</v>
      </c>
    </row>
    <row r="37" spans="1:12" x14ac:dyDescent="0.3">
      <c r="A37">
        <v>48</v>
      </c>
      <c r="B37">
        <f t="shared" si="8"/>
        <v>3.9821238892645443</v>
      </c>
      <c r="C37">
        <f t="shared" si="9"/>
        <v>3.9821238892645443</v>
      </c>
      <c r="D37" t="s">
        <v>27</v>
      </c>
      <c r="E37" t="s">
        <v>21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STOWA2019_JAARROND_T(A37*60,J37,I37,"GL","center")</f>
        <v>0.24924625533335668</v>
      </c>
      <c r="L37">
        <f t="shared" si="4"/>
        <v>6.0181445775135582</v>
      </c>
    </row>
    <row r="38" spans="1:12" x14ac:dyDescent="0.3">
      <c r="A38">
        <v>48</v>
      </c>
      <c r="B38">
        <f t="shared" si="8"/>
        <v>2.3063661082139948</v>
      </c>
      <c r="C38">
        <f t="shared" si="9"/>
        <v>2.3063661082139948</v>
      </c>
      <c r="D38" t="s">
        <v>27</v>
      </c>
      <c r="E38" t="s">
        <v>21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STOWA2019_JAARROND_T(A38*60,J38,I38,"GL","center")</f>
        <v>0.40411894524595904</v>
      </c>
      <c r="L38">
        <f t="shared" si="4"/>
        <v>3.7117784692995635</v>
      </c>
    </row>
    <row r="39" spans="1:12" x14ac:dyDescent="0.3">
      <c r="A39">
        <v>48</v>
      </c>
      <c r="B39">
        <f>L38-L39</f>
        <v>1.3706196423881352</v>
      </c>
      <c r="C39">
        <f t="shared" si="9"/>
        <v>1.3706196423881352</v>
      </c>
      <c r="D39" t="s">
        <v>27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STOWA2019_JAARROND_T(A39*60,J39,I39,"GL","center")</f>
        <v>0.64070834612228067</v>
      </c>
      <c r="L39">
        <f t="shared" si="4"/>
        <v>2.3411588269114283</v>
      </c>
    </row>
    <row r="40" spans="1:12" x14ac:dyDescent="0.3">
      <c r="A40">
        <v>48</v>
      </c>
      <c r="B40">
        <f t="shared" ref="B40:B62" si="12">L39-L40</f>
        <v>0.8340545268793107</v>
      </c>
      <c r="C40">
        <f t="shared" si="9"/>
        <v>0.8340545268793107</v>
      </c>
      <c r="D40" t="s">
        <v>27</v>
      </c>
      <c r="E40" t="s">
        <v>21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STOWA2019_JAARROND_T(A40*60,J40,I40,"GL","center")</f>
        <v>0.99528612582953546</v>
      </c>
      <c r="L40">
        <f t="shared" si="4"/>
        <v>1.5071043000321176</v>
      </c>
    </row>
    <row r="41" spans="1:12" x14ac:dyDescent="0.3">
      <c r="A41">
        <v>48</v>
      </c>
      <c r="B41">
        <f t="shared" si="12"/>
        <v>0.51848879060731778</v>
      </c>
      <c r="C41">
        <f t="shared" si="9"/>
        <v>0.51848879060731778</v>
      </c>
      <c r="D41" t="s">
        <v>27</v>
      </c>
      <c r="E41" t="s">
        <v>21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STOWA2019_JAARROND_T(A41*60,J41,I41,"GL","center")</f>
        <v>1.5172733845463702</v>
      </c>
      <c r="L41">
        <f t="shared" si="4"/>
        <v>0.98861550942479981</v>
      </c>
    </row>
    <row r="42" spans="1:12" x14ac:dyDescent="0.3">
      <c r="A42">
        <v>48</v>
      </c>
      <c r="B42">
        <f t="shared" si="12"/>
        <v>0.32894191756915669</v>
      </c>
      <c r="C42">
        <f t="shared" si="9"/>
        <v>0.32894191756915669</v>
      </c>
      <c r="D42" t="s">
        <v>27</v>
      </c>
      <c r="E42" t="s">
        <v>21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STOWA2019_JAARROND_T(A42*60,J42,I42,"GL","center")</f>
        <v>2.2738518238702605</v>
      </c>
      <c r="L42">
        <f t="shared" si="4"/>
        <v>0.65967359185564312</v>
      </c>
    </row>
    <row r="43" spans="1:12" x14ac:dyDescent="0.3">
      <c r="A43">
        <v>48</v>
      </c>
      <c r="B43">
        <f t="shared" si="12"/>
        <v>0.21245462658111369</v>
      </c>
      <c r="C43">
        <f t="shared" si="9"/>
        <v>0.21245462658111369</v>
      </c>
      <c r="D43" t="s">
        <v>27</v>
      </c>
      <c r="E43" t="s">
        <v>21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STOWA2019_JAARROND_T(A43*60,J43,I43,"GL","center")</f>
        <v>3.3540616934239611</v>
      </c>
      <c r="L43">
        <f t="shared" si="4"/>
        <v>0.44721896527452942</v>
      </c>
    </row>
    <row r="44" spans="1:12" x14ac:dyDescent="0.3">
      <c r="A44">
        <v>48</v>
      </c>
      <c r="B44">
        <f t="shared" si="12"/>
        <v>0.13955585361608797</v>
      </c>
      <c r="C44">
        <f t="shared" si="9"/>
        <v>0.13955585361608797</v>
      </c>
      <c r="D44" t="s">
        <v>27</v>
      </c>
      <c r="E44" t="s">
        <v>21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STOWA2019_JAARROND_T(A44*60,J44,I44,"GL","center")</f>
        <v>4.8754626185581067</v>
      </c>
      <c r="L44">
        <f t="shared" si="4"/>
        <v>0.30766311165844146</v>
      </c>
    </row>
    <row r="45" spans="1:12" x14ac:dyDescent="0.3">
      <c r="A45">
        <v>48</v>
      </c>
      <c r="B45">
        <f t="shared" si="12"/>
        <v>9.3110245642222811E-2</v>
      </c>
      <c r="C45">
        <f t="shared" si="9"/>
        <v>9.3110245642222811E-2</v>
      </c>
      <c r="D45" t="s">
        <v>27</v>
      </c>
      <c r="E45" t="s">
        <v>21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STOWA2019_JAARROND_T(A45*60,J45,I45,"GL","center")</f>
        <v>6.9912839098901189</v>
      </c>
      <c r="L45">
        <f t="shared" si="4"/>
        <v>0.21455286601621865</v>
      </c>
    </row>
    <row r="46" spans="1:12" x14ac:dyDescent="0.3">
      <c r="A46">
        <v>48</v>
      </c>
      <c r="B46">
        <f t="shared" si="12"/>
        <v>6.3027881261533386E-2</v>
      </c>
      <c r="C46">
        <f t="shared" si="9"/>
        <v>6.3027881261533386E-2</v>
      </c>
      <c r="D46" t="s">
        <v>27</v>
      </c>
      <c r="E46" t="s">
        <v>21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STOWA2019_JAARROND_T(A46*60,J46,I46,"GL","center")</f>
        <v>9.8993575378242618</v>
      </c>
      <c r="L46">
        <f t="shared" si="4"/>
        <v>0.15152498475468526</v>
      </c>
    </row>
    <row r="47" spans="1:12" x14ac:dyDescent="0.3">
      <c r="A47">
        <v>48</v>
      </c>
      <c r="B47">
        <f t="shared" si="12"/>
        <v>4.3242560039451067E-2</v>
      </c>
      <c r="C47">
        <f t="shared" si="9"/>
        <v>4.3242560039451067E-2</v>
      </c>
      <c r="D47" t="s">
        <v>27</v>
      </c>
      <c r="E47" t="s">
        <v>21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STOWA2019_JAARROND_T(A47*60,J47,I47,"GL","center")</f>
        <v>13.852663568854918</v>
      </c>
      <c r="L47">
        <f t="shared" si="4"/>
        <v>0.10828242471523419</v>
      </c>
    </row>
    <row r="48" spans="1:12" x14ac:dyDescent="0.3">
      <c r="A48">
        <v>48</v>
      </c>
      <c r="B48">
        <f t="shared" si="12"/>
        <v>3.0044770986584937E-2</v>
      </c>
      <c r="C48">
        <f t="shared" si="9"/>
        <v>3.0044770986584937E-2</v>
      </c>
      <c r="D48" t="s">
        <v>27</v>
      </c>
      <c r="E48" t="s">
        <v>21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STOWA2019_JAARROND_T(A48*60,J48,I48,"GL","center")</f>
        <v>19.172354084165566</v>
      </c>
      <c r="L48">
        <f t="shared" si="4"/>
        <v>7.8237653728649256E-2</v>
      </c>
    </row>
    <row r="49" spans="1:12" x14ac:dyDescent="0.3">
      <c r="A49">
        <v>48</v>
      </c>
      <c r="B49">
        <f t="shared" si="12"/>
        <v>2.1122100641120814E-2</v>
      </c>
      <c r="C49">
        <f t="shared" si="9"/>
        <v>2.1122100641120814E-2</v>
      </c>
      <c r="D49" t="s">
        <v>27</v>
      </c>
      <c r="E49" t="s">
        <v>21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STOWA2019_JAARROND_T(A49*60,J49,I49,"GL","center")</f>
        <v>26.262548796494713</v>
      </c>
      <c r="L49">
        <f t="shared" si="4"/>
        <v>5.7115553087528442E-2</v>
      </c>
    </row>
    <row r="50" spans="1:12" x14ac:dyDescent="0.3">
      <c r="A50">
        <v>48</v>
      </c>
      <c r="B50">
        <f t="shared" si="12"/>
        <v>1.5013989892323235E-2</v>
      </c>
      <c r="C50">
        <f t="shared" si="9"/>
        <v>1.5013989892323235E-2</v>
      </c>
      <c r="D50" t="s">
        <v>27</v>
      </c>
      <c r="E50" t="s">
        <v>21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STOWA2019_JAARROND_T(A50*60,J50,I50,"GL","center")</f>
        <v>35.628130790422276</v>
      </c>
      <c r="L50">
        <f t="shared" si="4"/>
        <v>4.2101563195205208E-2</v>
      </c>
    </row>
    <row r="51" spans="1:12" x14ac:dyDescent="0.3">
      <c r="A51">
        <v>48</v>
      </c>
      <c r="B51">
        <f t="shared" si="12"/>
        <v>1.078338579892095E-2</v>
      </c>
      <c r="C51">
        <f t="shared" si="9"/>
        <v>1.078338579892095E-2</v>
      </c>
      <c r="D51" t="s">
        <v>27</v>
      </c>
      <c r="E51" t="s">
        <v>21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STOWA2019_JAARROND_T(A51*60,J51,I51,"GL","center")</f>
        <v>47.89550748818376</v>
      </c>
      <c r="L51">
        <f t="shared" si="4"/>
        <v>3.1318177396284258E-2</v>
      </c>
    </row>
    <row r="52" spans="1:12" x14ac:dyDescent="0.3">
      <c r="A52">
        <v>48</v>
      </c>
      <c r="B52">
        <f t="shared" si="12"/>
        <v>7.8207622231403623E-3</v>
      </c>
      <c r="C52">
        <f t="shared" si="9"/>
        <v>7.8207622231403623E-3</v>
      </c>
      <c r="D52" t="s">
        <v>27</v>
      </c>
      <c r="E52" t="s">
        <v>21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STOWA2019_JAARROND_T(A52*60,J52,I52,"GL","center")</f>
        <v>63.836808812673489</v>
      </c>
      <c r="L52">
        <f t="shared" si="4"/>
        <v>2.3497415173143896E-2</v>
      </c>
    </row>
    <row r="53" spans="1:12" x14ac:dyDescent="0.3">
      <c r="A53">
        <v>48</v>
      </c>
      <c r="B53">
        <f t="shared" si="12"/>
        <v>5.724474023204057E-3</v>
      </c>
      <c r="C53">
        <f t="shared" si="9"/>
        <v>5.724474023204057E-3</v>
      </c>
      <c r="D53" t="s">
        <v>27</v>
      </c>
      <c r="E53" t="s">
        <v>21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STOWA2019_JAARROND_T(A53*60,J53,I53,"GL","center")</f>
        <v>84.397961336021041</v>
      </c>
      <c r="L53">
        <f t="shared" si="4"/>
        <v>1.7772941149939839E-2</v>
      </c>
    </row>
    <row r="54" spans="1:12" x14ac:dyDescent="0.3">
      <c r="A54">
        <v>48</v>
      </c>
      <c r="B54">
        <f t="shared" si="12"/>
        <v>4.2265210127496941E-3</v>
      </c>
      <c r="C54">
        <f t="shared" si="9"/>
        <v>4.2265210127496941E-3</v>
      </c>
      <c r="D54" t="s">
        <v>27</v>
      </c>
      <c r="E54" t="s">
        <v>21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STOWA2019_JAARROND_T(A54*60,J54,I54,"GL","center")</f>
        <v>110.73036158696436</v>
      </c>
      <c r="L54">
        <f t="shared" si="4"/>
        <v>1.3546420137190145E-2</v>
      </c>
    </row>
    <row r="55" spans="1:12" x14ac:dyDescent="0.3">
      <c r="A55">
        <v>48</v>
      </c>
      <c r="B55">
        <f t="shared" si="12"/>
        <v>3.1464431197950823E-3</v>
      </c>
      <c r="C55">
        <f t="shared" si="9"/>
        <v>3.1464431197950823E-3</v>
      </c>
      <c r="D55" t="s">
        <v>27</v>
      </c>
      <c r="E55" t="s">
        <v>21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STOWA2019_JAARROND_T(A55*60,J55,I55,"GL","center")</f>
        <v>144.23108796212637</v>
      </c>
      <c r="L55">
        <f t="shared" si="4"/>
        <v>1.0399977017395062E-2</v>
      </c>
    </row>
    <row r="56" spans="1:12" x14ac:dyDescent="0.3">
      <c r="A56">
        <v>48</v>
      </c>
      <c r="B56">
        <f t="shared" si="12"/>
        <v>2.3605425178169076E-3</v>
      </c>
      <c r="C56">
        <f t="shared" si="9"/>
        <v>2.3605425178169076E-3</v>
      </c>
      <c r="D56" t="s">
        <v>27</v>
      </c>
      <c r="E56" t="s">
        <v>21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STOWA2019_JAARROND_T(A56*60,J56,I56,"GL","center")</f>
        <v>186.58028746657592</v>
      </c>
      <c r="L56">
        <f t="shared" si="4"/>
        <v>8.0394344995781547E-3</v>
      </c>
    </row>
    <row r="57" spans="1:12" x14ac:dyDescent="0.3">
      <c r="A57">
        <v>48</v>
      </c>
      <c r="B57">
        <f t="shared" si="12"/>
        <v>1.7841497499136213E-3</v>
      </c>
      <c r="C57">
        <f t="shared" si="9"/>
        <v>1.7841497499136213E-3</v>
      </c>
      <c r="D57" t="s">
        <v>27</v>
      </c>
      <c r="E57" t="s">
        <v>21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STOWA2019_JAARROND_T(A57*60,J57,I57,"GL","center")</f>
        <v>239.79723706110161</v>
      </c>
      <c r="L57">
        <f t="shared" si="4"/>
        <v>6.2552847496645334E-3</v>
      </c>
    </row>
    <row r="58" spans="1:12" x14ac:dyDescent="0.3">
      <c r="A58">
        <v>48</v>
      </c>
      <c r="B58">
        <f t="shared" si="12"/>
        <v>1.357915034959239E-3</v>
      </c>
      <c r="C58">
        <f t="shared" si="9"/>
        <v>1.357915034959239E-3</v>
      </c>
      <c r="D58" t="s">
        <v>27</v>
      </c>
      <c r="E58" t="s">
        <v>21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STOWA2019_JAARROND_T(A58*60,J58,I58,"GL","center")</f>
        <v>306.2868615975554</v>
      </c>
      <c r="L58">
        <f t="shared" si="4"/>
        <v>4.8973697147052945E-3</v>
      </c>
    </row>
    <row r="59" spans="1:12" x14ac:dyDescent="0.3">
      <c r="A59">
        <v>48</v>
      </c>
      <c r="B59">
        <f t="shared" si="12"/>
        <v>1.0404513609304309E-3</v>
      </c>
      <c r="C59">
        <f t="shared" si="9"/>
        <v>1.0404513609304309E-3</v>
      </c>
      <c r="D59" t="s">
        <v>27</v>
      </c>
      <c r="E59" t="s">
        <v>21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STOWA2019_JAARROND_T(A59*60,J59,I59,"GL","center")</f>
        <v>388.91152531966674</v>
      </c>
      <c r="L59">
        <f t="shared" si="4"/>
        <v>3.8569183537748635E-3</v>
      </c>
    </row>
    <row r="60" spans="1:12" x14ac:dyDescent="0.3">
      <c r="A60">
        <v>48</v>
      </c>
      <c r="B60">
        <f t="shared" si="12"/>
        <v>8.0228440586742507E-4</v>
      </c>
      <c r="C60">
        <f t="shared" si="9"/>
        <v>8.0228440586742507E-4</v>
      </c>
      <c r="D60" t="s">
        <v>27</v>
      </c>
      <c r="E60" t="s">
        <v>21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STOWA2019_JAARROND_T(A60*60,J60,I60,"GL","center")</f>
        <v>491.05720213303044</v>
      </c>
      <c r="L60">
        <f t="shared" si="4"/>
        <v>3.0546339479074385E-3</v>
      </c>
    </row>
    <row r="61" spans="1:12" x14ac:dyDescent="0.3">
      <c r="A61">
        <v>48</v>
      </c>
      <c r="B61">
        <f t="shared" si="12"/>
        <v>6.2240572764755801E-4</v>
      </c>
      <c r="C61">
        <f t="shared" si="9"/>
        <v>6.2240572764755801E-4</v>
      </c>
      <c r="D61" t="s">
        <v>27</v>
      </c>
      <c r="E61" t="s">
        <v>21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STOWA2019_JAARROND_T(A61*60,J61,I61,"GL","center")</f>
        <v>616.71844258090505</v>
      </c>
      <c r="L61">
        <f t="shared" si="4"/>
        <v>2.4322282202598805E-3</v>
      </c>
    </row>
    <row r="62" spans="1:12" x14ac:dyDescent="0.3">
      <c r="A62">
        <v>48</v>
      </c>
      <c r="B62">
        <f t="shared" si="12"/>
        <v>4.8563045513856824E-4</v>
      </c>
      <c r="C62">
        <f t="shared" si="9"/>
        <v>4.8563045513856824E-4</v>
      </c>
      <c r="D62" t="s">
        <v>27</v>
      </c>
      <c r="E62" t="s">
        <v>21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STOWA2019_JAARROND_T(A62*60,J62,I62,"GL","center")</f>
        <v>770.57521942984442</v>
      </c>
      <c r="L62">
        <f t="shared" si="4"/>
        <v>1.9465977651213122E-3</v>
      </c>
    </row>
    <row r="63" spans="1:12" x14ac:dyDescent="0.3">
      <c r="A63">
        <v>48</v>
      </c>
      <c r="B63" s="1">
        <f>L62</f>
        <v>1.9465977651213122E-3</v>
      </c>
      <c r="C63">
        <f t="shared" si="9"/>
        <v>1.9465977651213122E-3</v>
      </c>
      <c r="D63" t="s">
        <v>27</v>
      </c>
      <c r="E63" t="s">
        <v>21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STOWA2019_JAARROND_T(A63*60,J63,I63,"GL","center")</f>
        <v>16.31859331809455</v>
      </c>
      <c r="L63">
        <f t="shared" si="4"/>
        <v>9.1919687607923573E-2</v>
      </c>
    </row>
    <row r="64" spans="1:12" x14ac:dyDescent="0.3">
      <c r="A64">
        <v>96</v>
      </c>
      <c r="B64" s="1">
        <f>365.25*24/A64 - L64</f>
        <v>28.640115550790426</v>
      </c>
      <c r="C64">
        <f>B64</f>
        <v>28.640115550790426</v>
      </c>
      <c r="D64" t="s">
        <v>27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STOWA2019_JAARROND_T(A64*60,J64,I64,"GL","center")</f>
        <v>2.3933986446863488E-2</v>
      </c>
      <c r="L64">
        <f t="shared" si="4"/>
        <v>62.672384449209574</v>
      </c>
    </row>
    <row r="65" spans="1:12" x14ac:dyDescent="0.3">
      <c r="A65">
        <v>96</v>
      </c>
      <c r="B65">
        <f t="shared" ref="B65:B69" si="15">L64-L65</f>
        <v>12.38154201715281</v>
      </c>
      <c r="C65">
        <f t="shared" ref="C65:C94" si="16">B65</f>
        <v>12.38154201715281</v>
      </c>
      <c r="D65" t="s">
        <v>27</v>
      </c>
      <c r="E65" t="s">
        <v>21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STOWA2019_JAARROND_T(A65*60,J65,I65,"GL","center")</f>
        <v>2.9826503742237154E-2</v>
      </c>
      <c r="L65">
        <f t="shared" si="4"/>
        <v>50.290842432056763</v>
      </c>
    </row>
    <row r="66" spans="1:12" x14ac:dyDescent="0.3">
      <c r="A66">
        <v>96</v>
      </c>
      <c r="B66">
        <f t="shared" si="15"/>
        <v>17.717288133946752</v>
      </c>
      <c r="C66">
        <f t="shared" si="16"/>
        <v>17.717288133946752</v>
      </c>
      <c r="D66" t="s">
        <v>27</v>
      </c>
      <c r="E66" t="s">
        <v>21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STOWA2019_JAARROND_T(A66*60,J66,I66,"GL","center")</f>
        <v>4.604962621739541E-2</v>
      </c>
      <c r="L66">
        <f t="shared" si="4"/>
        <v>32.573554298110011</v>
      </c>
    </row>
    <row r="67" spans="1:12" x14ac:dyDescent="0.3">
      <c r="A67">
        <v>96</v>
      </c>
      <c r="B67">
        <f t="shared" si="15"/>
        <v>11.289001476685282</v>
      </c>
      <c r="C67">
        <f t="shared" si="16"/>
        <v>11.289001476685282</v>
      </c>
      <c r="D67" t="s">
        <v>27</v>
      </c>
      <c r="E67" t="s">
        <v>21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STOWA2019_JAARROND_T(A67*60,J67,I67,"GL","center")</f>
        <v>7.0473644082863759E-2</v>
      </c>
      <c r="L67">
        <f t="shared" ref="L67:L130" si="19">1/K67 * 12/8</f>
        <v>21.284552821424729</v>
      </c>
    </row>
    <row r="68" spans="1:12" x14ac:dyDescent="0.3">
      <c r="A68">
        <v>96</v>
      </c>
      <c r="B68">
        <f t="shared" si="15"/>
        <v>7.2504000591647539</v>
      </c>
      <c r="C68">
        <f t="shared" si="16"/>
        <v>7.2504000591647539</v>
      </c>
      <c r="D68" t="s">
        <v>27</v>
      </c>
      <c r="E68" t="s">
        <v>21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STOWA2019_JAARROND_T(A68*60,J68,I68,"GL","center")</f>
        <v>0.10688212002606484</v>
      </c>
      <c r="L68">
        <f t="shared" si="19"/>
        <v>14.034152762259975</v>
      </c>
    </row>
    <row r="69" spans="1:12" x14ac:dyDescent="0.3">
      <c r="A69">
        <v>96</v>
      </c>
      <c r="B69">
        <f t="shared" si="15"/>
        <v>4.6982486586981942</v>
      </c>
      <c r="C69">
        <f t="shared" si="16"/>
        <v>4.6982486586981942</v>
      </c>
      <c r="D69" t="s">
        <v>27</v>
      </c>
      <c r="E69" t="s">
        <v>21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STOWA2019_JAARROND_T(A69*60,J69,I69,"GL","center")</f>
        <v>0.1606700308144477</v>
      </c>
      <c r="L69">
        <f t="shared" si="19"/>
        <v>9.3359041035617807</v>
      </c>
    </row>
    <row r="70" spans="1:12" x14ac:dyDescent="0.3">
      <c r="A70">
        <v>96</v>
      </c>
      <c r="B70">
        <f>L69-L70</f>
        <v>3.0718707747873015</v>
      </c>
      <c r="C70">
        <f t="shared" si="16"/>
        <v>3.0718707747873015</v>
      </c>
      <c r="D70" t="s">
        <v>27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STOWA2019_JAARROND_T(A70*60,J70,I70,"GL","center")</f>
        <v>0.23946232742881429</v>
      </c>
      <c r="L70">
        <f t="shared" si="19"/>
        <v>6.2640333287744792</v>
      </c>
    </row>
    <row r="71" spans="1:12" x14ac:dyDescent="0.3">
      <c r="A71">
        <v>96</v>
      </c>
      <c r="B71">
        <f t="shared" ref="B71:B93" si="20">L70-L71</f>
        <v>2.0262424247567656</v>
      </c>
      <c r="C71">
        <f t="shared" si="16"/>
        <v>2.0262424247567656</v>
      </c>
      <c r="D71" t="s">
        <v>27</v>
      </c>
      <c r="E71" t="s">
        <v>21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STOWA2019_JAARROND_T(A71*60,J71,I71,"GL","center")</f>
        <v>0.3539580016979833</v>
      </c>
      <c r="L71">
        <f t="shared" si="19"/>
        <v>4.2377909040177135</v>
      </c>
    </row>
    <row r="72" spans="1:12" x14ac:dyDescent="0.3">
      <c r="A72">
        <v>96</v>
      </c>
      <c r="B72">
        <f t="shared" si="20"/>
        <v>1.3479023783504078</v>
      </c>
      <c r="C72">
        <f t="shared" si="16"/>
        <v>1.3479023783504078</v>
      </c>
      <c r="D72" t="s">
        <v>27</v>
      </c>
      <c r="E72" t="s">
        <v>21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STOWA2019_JAARROND_T(A72*60,J72,I72,"GL","center")</f>
        <v>0.51905116293495579</v>
      </c>
      <c r="L72">
        <f t="shared" si="19"/>
        <v>2.8898885256673057</v>
      </c>
    </row>
    <row r="73" spans="1:12" x14ac:dyDescent="0.3">
      <c r="A73">
        <v>96</v>
      </c>
      <c r="B73">
        <f t="shared" si="20"/>
        <v>0.90400532548694379</v>
      </c>
      <c r="C73">
        <f t="shared" si="16"/>
        <v>0.90400532548694379</v>
      </c>
      <c r="D73" t="s">
        <v>27</v>
      </c>
      <c r="E73" t="s">
        <v>21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STOWA2019_JAARROND_T(A73*60,J73,I73,"GL","center")</f>
        <v>0.75533143130661806</v>
      </c>
      <c r="L73">
        <f t="shared" si="19"/>
        <v>1.9858832001803619</v>
      </c>
    </row>
    <row r="74" spans="1:12" x14ac:dyDescent="0.3">
      <c r="A74">
        <v>96</v>
      </c>
      <c r="B74">
        <f t="shared" si="20"/>
        <v>0.61100496163022644</v>
      </c>
      <c r="C74">
        <f t="shared" si="16"/>
        <v>0.61100496163022644</v>
      </c>
      <c r="D74" t="s">
        <v>27</v>
      </c>
      <c r="E74" t="s">
        <v>21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STOWA2019_JAARROND_T(A74*60,J74,I74,"GL","center")</f>
        <v>1.0910057035900216</v>
      </c>
      <c r="L74">
        <f t="shared" si="19"/>
        <v>1.3748782385501355</v>
      </c>
    </row>
    <row r="75" spans="1:12" x14ac:dyDescent="0.3">
      <c r="A75">
        <v>96</v>
      </c>
      <c r="B75">
        <f t="shared" si="20"/>
        <v>0.41633195959578606</v>
      </c>
      <c r="C75">
        <f t="shared" si="16"/>
        <v>0.41633195959578606</v>
      </c>
      <c r="D75" t="s">
        <v>27</v>
      </c>
      <c r="E75" t="s">
        <v>21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STOWA2019_JAARROND_T(A75*60,J75,I75,"GL","center")</f>
        <v>1.564869670806408</v>
      </c>
      <c r="L75">
        <f t="shared" si="19"/>
        <v>0.95854627895434941</v>
      </c>
    </row>
    <row r="76" spans="1:12" x14ac:dyDescent="0.3">
      <c r="A76">
        <v>96</v>
      </c>
      <c r="B76">
        <f t="shared" si="20"/>
        <v>0.28568264328692694</v>
      </c>
      <c r="C76">
        <f t="shared" si="16"/>
        <v>0.28568264328692694</v>
      </c>
      <c r="D76" t="s">
        <v>27</v>
      </c>
      <c r="E76" t="s">
        <v>21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STOWA2019_JAARROND_T(A76*60,J76,I76,"GL","center")</f>
        <v>2.2292778513912848</v>
      </c>
      <c r="L76">
        <f t="shared" si="19"/>
        <v>0.67286363566742247</v>
      </c>
    </row>
    <row r="77" spans="1:12" x14ac:dyDescent="0.3">
      <c r="A77">
        <v>96</v>
      </c>
      <c r="B77">
        <f t="shared" si="20"/>
        <v>0.1974209730866156</v>
      </c>
      <c r="C77">
        <f t="shared" si="16"/>
        <v>0.1974209730866156</v>
      </c>
      <c r="D77" t="s">
        <v>27</v>
      </c>
      <c r="E77" t="s">
        <v>21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STOWA2019_JAARROND_T(A77*60,J77,I77,"GL","center")</f>
        <v>3.1549545677236273</v>
      </c>
      <c r="L77">
        <f t="shared" si="19"/>
        <v>0.47544266258080686</v>
      </c>
    </row>
    <row r="78" spans="1:12" x14ac:dyDescent="0.3">
      <c r="A78">
        <v>96</v>
      </c>
      <c r="B78">
        <f t="shared" si="20"/>
        <v>0.1373583009704738</v>
      </c>
      <c r="C78">
        <f t="shared" si="16"/>
        <v>0.1373583009704738</v>
      </c>
      <c r="D78" t="s">
        <v>27</v>
      </c>
      <c r="E78" t="s">
        <v>21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STOWA2019_JAARROND_T(A78*60,J78,I78,"GL","center")</f>
        <v>4.436762448447289</v>
      </c>
      <c r="L78">
        <f t="shared" si="19"/>
        <v>0.33808436161033306</v>
      </c>
    </row>
    <row r="79" spans="1:12" x14ac:dyDescent="0.3">
      <c r="A79">
        <v>96</v>
      </c>
      <c r="B79">
        <f t="shared" si="20"/>
        <v>9.6203413627146322E-2</v>
      </c>
      <c r="C79">
        <f t="shared" si="16"/>
        <v>9.6203413627146322E-2</v>
      </c>
      <c r="D79" t="s">
        <v>27</v>
      </c>
      <c r="E79" t="s">
        <v>21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STOWA2019_JAARROND_T(A79*60,J79,I79,"GL","center")</f>
        <v>6.2013978881224894</v>
      </c>
      <c r="L79">
        <f t="shared" si="19"/>
        <v>0.24188094798318674</v>
      </c>
    </row>
    <row r="80" spans="1:12" x14ac:dyDescent="0.3">
      <c r="A80">
        <v>96</v>
      </c>
      <c r="B80">
        <f t="shared" si="20"/>
        <v>6.7802883626759458E-2</v>
      </c>
      <c r="C80">
        <f t="shared" si="16"/>
        <v>6.7802883626759458E-2</v>
      </c>
      <c r="D80" t="s">
        <v>27</v>
      </c>
      <c r="E80" t="s">
        <v>21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STOWA2019_JAARROND_T(A80*60,J80,I80,"GL","center")</f>
        <v>8.6168237540183643</v>
      </c>
      <c r="L80">
        <f t="shared" si="19"/>
        <v>0.17407806435642728</v>
      </c>
    </row>
    <row r="81" spans="1:12" x14ac:dyDescent="0.3">
      <c r="A81">
        <v>96</v>
      </c>
      <c r="B81">
        <f t="shared" si="20"/>
        <v>4.808117683110999E-2</v>
      </c>
      <c r="C81">
        <f t="shared" si="16"/>
        <v>4.808117683110999E-2</v>
      </c>
      <c r="D81" t="s">
        <v>27</v>
      </c>
      <c r="E81" t="s">
        <v>21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STOWA2019_JAARROND_T(A81*60,J81,I81,"GL","center")</f>
        <v>11.905055985598027</v>
      </c>
      <c r="L81">
        <f t="shared" si="19"/>
        <v>0.12599688752531729</v>
      </c>
    </row>
    <row r="82" spans="1:12" x14ac:dyDescent="0.3">
      <c r="A82">
        <v>96</v>
      </c>
      <c r="B82">
        <f t="shared" si="20"/>
        <v>3.4297755138507927E-2</v>
      </c>
      <c r="C82">
        <f t="shared" si="16"/>
        <v>3.4297755138507927E-2</v>
      </c>
      <c r="D82" t="s">
        <v>27</v>
      </c>
      <c r="E82" t="s">
        <v>21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STOWA2019_JAARROND_T(A82*60,J82,I82,"GL","center")</f>
        <v>16.357842882009322</v>
      </c>
      <c r="L82">
        <f t="shared" si="19"/>
        <v>9.1699132386809365E-2</v>
      </c>
    </row>
    <row r="83" spans="1:12" x14ac:dyDescent="0.3">
      <c r="A83">
        <v>96</v>
      </c>
      <c r="B83">
        <f t="shared" si="20"/>
        <v>2.4605601422979684E-2</v>
      </c>
      <c r="C83">
        <f t="shared" si="16"/>
        <v>2.4605601422979684E-2</v>
      </c>
      <c r="D83" t="s">
        <v>27</v>
      </c>
      <c r="E83" t="s">
        <v>21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STOWA2019_JAARROND_T(A83*60,J83,I83,"GL","center")</f>
        <v>22.35684988480714</v>
      </c>
      <c r="L83">
        <f t="shared" si="19"/>
        <v>6.7093530963829681E-2</v>
      </c>
    </row>
    <row r="84" spans="1:12" x14ac:dyDescent="0.3">
      <c r="A84">
        <v>96</v>
      </c>
      <c r="B84">
        <f t="shared" si="20"/>
        <v>1.7749990179515965E-2</v>
      </c>
      <c r="C84">
        <f t="shared" si="16"/>
        <v>1.7749990179515965E-2</v>
      </c>
      <c r="D84" t="s">
        <v>27</v>
      </c>
      <c r="E84" t="s">
        <v>21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STOWA2019_JAARROND_T(A84*60,J84,I84,"GL","center")</f>
        <v>30.399115591576056</v>
      </c>
      <c r="L84">
        <f t="shared" si="19"/>
        <v>4.9343540784313716E-2</v>
      </c>
    </row>
    <row r="85" spans="1:12" x14ac:dyDescent="0.3">
      <c r="A85">
        <v>96</v>
      </c>
      <c r="B85">
        <f t="shared" si="20"/>
        <v>1.2872755840228546E-2</v>
      </c>
      <c r="C85">
        <f t="shared" si="16"/>
        <v>1.2872755840228546E-2</v>
      </c>
      <c r="D85" t="s">
        <v>27</v>
      </c>
      <c r="E85" t="s">
        <v>21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STOWA2019_JAARROND_T(A85*60,J85,I85,"GL","center")</f>
        <v>41.128810424555169</v>
      </c>
      <c r="L85">
        <f t="shared" si="19"/>
        <v>3.647078494408517E-2</v>
      </c>
    </row>
    <row r="86" spans="1:12" x14ac:dyDescent="0.3">
      <c r="A86">
        <v>96</v>
      </c>
      <c r="B86">
        <f t="shared" si="20"/>
        <v>9.3844706559006105E-3</v>
      </c>
      <c r="C86">
        <f t="shared" si="16"/>
        <v>9.3844706559006105E-3</v>
      </c>
      <c r="D86" t="s">
        <v>27</v>
      </c>
      <c r="E86" t="s">
        <v>21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STOWA2019_JAARROND_T(A86*60,J86,I86,"GL","center")</f>
        <v>55.378520091023304</v>
      </c>
      <c r="L86">
        <f t="shared" si="19"/>
        <v>2.708631428818456E-2</v>
      </c>
    </row>
    <row r="87" spans="1:12" x14ac:dyDescent="0.3">
      <c r="A87">
        <v>96</v>
      </c>
      <c r="B87">
        <f t="shared" si="20"/>
        <v>6.875426845087268E-3</v>
      </c>
      <c r="C87">
        <f t="shared" si="16"/>
        <v>6.875426845087268E-3</v>
      </c>
      <c r="D87" t="s">
        <v>27</v>
      </c>
      <c r="E87" t="s">
        <v>21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STOWA2019_JAARROND_T(A87*60,J87,I87,"GL","center")</f>
        <v>74.217423862419324</v>
      </c>
      <c r="L87">
        <f t="shared" si="19"/>
        <v>2.0210887443097292E-2</v>
      </c>
    </row>
    <row r="88" spans="1:12" x14ac:dyDescent="0.3">
      <c r="A88">
        <v>96</v>
      </c>
      <c r="B88">
        <f t="shared" si="20"/>
        <v>5.0619229196611978E-3</v>
      </c>
      <c r="C88">
        <f t="shared" si="16"/>
        <v>5.0619229196611978E-3</v>
      </c>
      <c r="D88" t="s">
        <v>27</v>
      </c>
      <c r="E88" t="s">
        <v>21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STOWA2019_JAARROND_T(A88*60,J88,I88,"GL","center")</f>
        <v>99.016668609886565</v>
      </c>
      <c r="L88">
        <f t="shared" si="19"/>
        <v>1.5148964523436094E-2</v>
      </c>
    </row>
    <row r="89" spans="1:12" x14ac:dyDescent="0.3">
      <c r="A89">
        <v>96</v>
      </c>
      <c r="B89">
        <f t="shared" si="20"/>
        <v>3.7441378229201346E-3</v>
      </c>
      <c r="C89">
        <f t="shared" si="16"/>
        <v>3.7441378229201346E-3</v>
      </c>
      <c r="D89" t="s">
        <v>27</v>
      </c>
      <c r="E89" t="s">
        <v>21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STOWA2019_JAARROND_T(A89*60,J89,I89,"GL","center")</f>
        <v>131.52326110594379</v>
      </c>
      <c r="L89">
        <f t="shared" si="19"/>
        <v>1.1404826700515959E-2</v>
      </c>
    </row>
    <row r="90" spans="1:12" x14ac:dyDescent="0.3">
      <c r="A90">
        <v>96</v>
      </c>
      <c r="B90">
        <f t="shared" si="20"/>
        <v>2.7821384921315178E-3</v>
      </c>
      <c r="C90">
        <f t="shared" si="16"/>
        <v>2.7821384921315178E-3</v>
      </c>
      <c r="D90" t="s">
        <v>27</v>
      </c>
      <c r="E90" t="s">
        <v>21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STOWA2019_JAARROND_T(A90*60,J90,I90,"GL","center")</f>
        <v>173.95967055163206</v>
      </c>
      <c r="L90">
        <f t="shared" si="19"/>
        <v>8.6226882083844415E-3</v>
      </c>
    </row>
    <row r="91" spans="1:12" x14ac:dyDescent="0.3">
      <c r="A91">
        <v>96</v>
      </c>
      <c r="B91">
        <f t="shared" si="20"/>
        <v>2.0765108993568253E-3</v>
      </c>
      <c r="C91">
        <f t="shared" si="16"/>
        <v>2.0765108993568253E-3</v>
      </c>
      <c r="D91" t="s">
        <v>27</v>
      </c>
      <c r="E91" t="s">
        <v>21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STOWA2019_JAARROND_T(A91*60,J91,I91,"GL","center")</f>
        <v>229.14136437022563</v>
      </c>
      <c r="L91">
        <f t="shared" si="19"/>
        <v>6.5461773090276162E-3</v>
      </c>
    </row>
    <row r="92" spans="1:12" x14ac:dyDescent="0.3">
      <c r="A92">
        <v>96</v>
      </c>
      <c r="B92">
        <f t="shared" si="20"/>
        <v>1.5564476096856317E-3</v>
      </c>
      <c r="C92">
        <f t="shared" si="16"/>
        <v>1.5564476096856317E-3</v>
      </c>
      <c r="D92" t="s">
        <v>27</v>
      </c>
      <c r="E92" t="s">
        <v>21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STOWA2019_JAARROND_T(A92*60,J92,I92,"GL","center")</f>
        <v>300.61748639366397</v>
      </c>
      <c r="L92">
        <f t="shared" si="19"/>
        <v>4.9897296993419845E-3</v>
      </c>
    </row>
    <row r="93" spans="1:12" x14ac:dyDescent="0.3">
      <c r="A93">
        <v>96</v>
      </c>
      <c r="B93">
        <f t="shared" si="20"/>
        <v>1.1715364680824738E-3</v>
      </c>
      <c r="C93">
        <f t="shared" si="16"/>
        <v>1.1715364680824738E-3</v>
      </c>
      <c r="D93" t="s">
        <v>27</v>
      </c>
      <c r="E93" t="s">
        <v>21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STOWA2019_JAARROND_T(A93*60,J93,I93,"GL","center")</f>
        <v>392.8559685558904</v>
      </c>
      <c r="L93">
        <f t="shared" si="19"/>
        <v>3.8181932312595108E-3</v>
      </c>
    </row>
    <row r="94" spans="1:12" x14ac:dyDescent="0.3">
      <c r="A94">
        <v>96</v>
      </c>
      <c r="B94" s="1">
        <f>L93</f>
        <v>3.8181932312595108E-3</v>
      </c>
      <c r="C94">
        <f t="shared" si="16"/>
        <v>3.8181932312595108E-3</v>
      </c>
      <c r="D94" t="s">
        <v>27</v>
      </c>
      <c r="E94" t="s">
        <v>21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STOWA2019_JAARROND_T(A94*60,J94,I94,"GL","center")</f>
        <v>5.2493294541215532</v>
      </c>
      <c r="L94">
        <f t="shared" si="19"/>
        <v>0.28575078266849169</v>
      </c>
    </row>
    <row r="95" spans="1:12" x14ac:dyDescent="0.3">
      <c r="A95">
        <v>192</v>
      </c>
      <c r="B95" s="1">
        <f>365.25*24/A95 - L95</f>
        <v>-34.962163838062807</v>
      </c>
      <c r="C95">
        <f>B95</f>
        <v>-34.962163838062807</v>
      </c>
      <c r="D95" t="s">
        <v>27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STOWA2019_JAARROND_T(A95*60,J95,I95,"GL","center")</f>
        <v>1.8606171079141188E-2</v>
      </c>
      <c r="L95">
        <f t="shared" si="19"/>
        <v>80.618413838062807</v>
      </c>
    </row>
    <row r="96" spans="1:12" x14ac:dyDescent="0.3">
      <c r="A96">
        <v>192</v>
      </c>
      <c r="B96">
        <f t="shared" ref="B96:B100" si="23">L95-L96</f>
        <v>9.6598184671057368</v>
      </c>
      <c r="C96">
        <f t="shared" ref="C96:C125" si="24">B96</f>
        <v>9.6598184671057368</v>
      </c>
      <c r="D96" t="s">
        <v>27</v>
      </c>
      <c r="E96" t="s">
        <v>21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cm="1">
        <f t="array" ref="K96">STOWA2019_JAARROND_T(A96*60,J96,I96,"GL","center")</f>
        <v>2.1139088114108032E-2</v>
      </c>
      <c r="L96">
        <f t="shared" si="19"/>
        <v>70.95859537095707</v>
      </c>
    </row>
    <row r="97" spans="1:12" x14ac:dyDescent="0.3">
      <c r="A97">
        <v>192</v>
      </c>
      <c r="B97">
        <f t="shared" si="23"/>
        <v>17.829850404843739</v>
      </c>
      <c r="C97">
        <f t="shared" si="24"/>
        <v>17.829850404843739</v>
      </c>
      <c r="D97" t="s">
        <v>27</v>
      </c>
      <c r="E97" t="s">
        <v>21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STOWA2019_JAARROND_T(A97*60,J97,I97,"GL","center")</f>
        <v>2.8233303853812706E-2</v>
      </c>
      <c r="L97">
        <f t="shared" si="19"/>
        <v>53.128744966113331</v>
      </c>
    </row>
    <row r="98" spans="1:12" x14ac:dyDescent="0.3">
      <c r="A98">
        <v>192</v>
      </c>
      <c r="B98">
        <f t="shared" si="23"/>
        <v>13.5999737056041</v>
      </c>
      <c r="C98">
        <f t="shared" si="24"/>
        <v>13.5999737056041</v>
      </c>
      <c r="D98" t="s">
        <v>27</v>
      </c>
      <c r="E98" t="s">
        <v>21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STOWA2019_JAARROND_T(A98*60,J98,I98,"GL","center")</f>
        <v>3.7947043436145404E-2</v>
      </c>
      <c r="L98">
        <f t="shared" si="19"/>
        <v>39.528771260509231</v>
      </c>
    </row>
    <row r="99" spans="1:12" x14ac:dyDescent="0.3">
      <c r="A99">
        <v>192</v>
      </c>
      <c r="B99">
        <f t="shared" si="23"/>
        <v>10.165077378816044</v>
      </c>
      <c r="C99">
        <f t="shared" si="24"/>
        <v>10.165077378816044</v>
      </c>
      <c r="D99" t="s">
        <v>27</v>
      </c>
      <c r="E99" t="s">
        <v>21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STOWA2019_JAARROND_T(A99*60,J99,I99,"GL","center")</f>
        <v>5.1083491267942142E-2</v>
      </c>
      <c r="L99">
        <f t="shared" si="19"/>
        <v>29.363693881693187</v>
      </c>
    </row>
    <row r="100" spans="1:12" x14ac:dyDescent="0.3">
      <c r="A100">
        <v>192</v>
      </c>
      <c r="B100">
        <f t="shared" si="23"/>
        <v>7.5688741956418895</v>
      </c>
      <c r="C100">
        <f t="shared" si="24"/>
        <v>7.5688741956418895</v>
      </c>
      <c r="D100" t="s">
        <v>27</v>
      </c>
      <c r="E100" t="s">
        <v>21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STOWA2019_JAARROND_T(A100*60,J100,I100,"GL","center")</f>
        <v>6.8823693960634202E-2</v>
      </c>
      <c r="L100">
        <f t="shared" si="19"/>
        <v>21.794819686051298</v>
      </c>
    </row>
    <row r="101" spans="1:12" x14ac:dyDescent="0.3">
      <c r="A101">
        <v>192</v>
      </c>
      <c r="B101">
        <f>L100-L101</f>
        <v>5.6274082576990452</v>
      </c>
      <c r="C101">
        <f t="shared" si="24"/>
        <v>5.6274082576990452</v>
      </c>
      <c r="D101" t="s">
        <v>27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STOWA2019_JAARROND_T(A101*60,J101,I101,"GL","center")</f>
        <v>9.2779231025784351E-2</v>
      </c>
      <c r="L101">
        <f t="shared" si="19"/>
        <v>16.167411428352253</v>
      </c>
    </row>
    <row r="102" spans="1:12" x14ac:dyDescent="0.3">
      <c r="A102">
        <v>192</v>
      </c>
      <c r="B102">
        <f t="shared" ref="B102:B124" si="27">L101-L102</f>
        <v>4.1803684470217242</v>
      </c>
      <c r="C102">
        <f t="shared" si="24"/>
        <v>4.1803684470217242</v>
      </c>
      <c r="D102" t="s">
        <v>27</v>
      </c>
      <c r="E102" t="s">
        <v>21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STOWA2019_JAARROND_T(A102*60,J102,I102,"GL","center")</f>
        <v>0.12513511483492687</v>
      </c>
      <c r="L102">
        <f t="shared" si="19"/>
        <v>11.987042981330529</v>
      </c>
    </row>
    <row r="103" spans="1:12" x14ac:dyDescent="0.3">
      <c r="A103">
        <v>192</v>
      </c>
      <c r="B103">
        <f t="shared" si="27"/>
        <v>3.1036016935182271</v>
      </c>
      <c r="C103">
        <f t="shared" si="24"/>
        <v>3.1036016935182271</v>
      </c>
      <c r="D103" t="s">
        <v>27</v>
      </c>
      <c r="E103" t="s">
        <v>21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STOWA2019_JAARROND_T(A103*60,J103,I103,"GL","center")</f>
        <v>0.16885348272160422</v>
      </c>
      <c r="L103">
        <f t="shared" si="19"/>
        <v>8.8834412878123015</v>
      </c>
    </row>
    <row r="104" spans="1:12" x14ac:dyDescent="0.3">
      <c r="A104">
        <v>192</v>
      </c>
      <c r="B104">
        <f t="shared" si="27"/>
        <v>2.3027692635327046</v>
      </c>
      <c r="C104">
        <f t="shared" si="24"/>
        <v>2.3027692635327046</v>
      </c>
      <c r="D104" t="s">
        <v>27</v>
      </c>
      <c r="E104" t="s">
        <v>21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STOWA2019_JAARROND_T(A104*60,J104,I104,"GL","center")</f>
        <v>0.22794024599094176</v>
      </c>
      <c r="L104">
        <f t="shared" si="19"/>
        <v>6.5806720242795969</v>
      </c>
    </row>
    <row r="105" spans="1:12" x14ac:dyDescent="0.3">
      <c r="A105">
        <v>192</v>
      </c>
      <c r="B105">
        <f t="shared" si="27"/>
        <v>1.7079308525385963</v>
      </c>
      <c r="C105">
        <f t="shared" si="24"/>
        <v>1.7079308525385963</v>
      </c>
      <c r="D105" t="s">
        <v>27</v>
      </c>
      <c r="E105" t="s">
        <v>21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STOWA2019_JAARROND_T(A105*60,J105,I105,"GL","center")</f>
        <v>0.30783494282419666</v>
      </c>
      <c r="L105">
        <f t="shared" si="19"/>
        <v>4.8727411717410005</v>
      </c>
    </row>
    <row r="106" spans="1:12" x14ac:dyDescent="0.3">
      <c r="A106">
        <v>192</v>
      </c>
      <c r="B106">
        <f t="shared" si="27"/>
        <v>1.2661225721645533</v>
      </c>
      <c r="C106">
        <f t="shared" si="24"/>
        <v>1.2661225721645533</v>
      </c>
      <c r="D106" t="s">
        <v>27</v>
      </c>
      <c r="E106" t="s">
        <v>21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STOWA2019_JAARROND_T(A106*60,J106,I106,"GL","center")</f>
        <v>0.41590203083191452</v>
      </c>
      <c r="L106">
        <f t="shared" si="19"/>
        <v>3.6066185995764473</v>
      </c>
    </row>
    <row r="107" spans="1:12" x14ac:dyDescent="0.3">
      <c r="A107">
        <v>192</v>
      </c>
      <c r="B107">
        <f t="shared" si="27"/>
        <v>0.93822823207716111</v>
      </c>
      <c r="C107">
        <f t="shared" si="24"/>
        <v>0.93822823207716111</v>
      </c>
      <c r="D107" t="s">
        <v>27</v>
      </c>
      <c r="E107" t="s">
        <v>21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STOWA2019_JAARROND_T(A107*60,J107,I107,"GL","center")</f>
        <v>0.5621366417259791</v>
      </c>
      <c r="L107">
        <f t="shared" si="19"/>
        <v>2.6683903674992862</v>
      </c>
    </row>
    <row r="108" spans="1:12" x14ac:dyDescent="0.3">
      <c r="A108">
        <v>192</v>
      </c>
      <c r="B108">
        <f t="shared" si="27"/>
        <v>0.69493934206946406</v>
      </c>
      <c r="C108">
        <f t="shared" si="24"/>
        <v>0.69493934206946406</v>
      </c>
      <c r="D108" t="s">
        <v>27</v>
      </c>
      <c r="E108" t="s">
        <v>21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STOWA2019_JAARROND_T(A108*60,J108,I108,"GL","center")</f>
        <v>0.76008980241771973</v>
      </c>
      <c r="L108">
        <f t="shared" si="19"/>
        <v>1.9734510254298221</v>
      </c>
    </row>
    <row r="109" spans="1:12" x14ac:dyDescent="0.3">
      <c r="A109">
        <v>192</v>
      </c>
      <c r="B109">
        <f t="shared" si="27"/>
        <v>0.51442460982014193</v>
      </c>
      <c r="C109">
        <f t="shared" si="24"/>
        <v>0.51442460982014193</v>
      </c>
      <c r="D109" t="s">
        <v>27</v>
      </c>
      <c r="E109" t="s">
        <v>21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STOWA2019_JAARROND_T(A109*60,J109,I109,"GL","center")</f>
        <v>1.0280828256102534</v>
      </c>
      <c r="L109">
        <f t="shared" si="19"/>
        <v>1.4590264156096802</v>
      </c>
    </row>
    <row r="110" spans="1:12" x14ac:dyDescent="0.3">
      <c r="A110">
        <v>192</v>
      </c>
      <c r="B110">
        <f t="shared" si="27"/>
        <v>0.38083979091432285</v>
      </c>
      <c r="C110">
        <f t="shared" si="24"/>
        <v>0.38083979091432285</v>
      </c>
      <c r="D110" t="s">
        <v>27</v>
      </c>
      <c r="E110" t="s">
        <v>21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STOWA2019_JAARROND_T(A110*60,J110,I110,"GL","center")</f>
        <v>1.3912248266146192</v>
      </c>
      <c r="L110">
        <f t="shared" si="19"/>
        <v>1.0781866246953573</v>
      </c>
    </row>
    <row r="111" spans="1:12" x14ac:dyDescent="0.3">
      <c r="A111">
        <v>192</v>
      </c>
      <c r="B111">
        <f t="shared" si="27"/>
        <v>0.28175577832043586</v>
      </c>
      <c r="C111">
        <f t="shared" si="24"/>
        <v>0.28175577832043586</v>
      </c>
      <c r="D111" t="s">
        <v>27</v>
      </c>
      <c r="E111" t="s">
        <v>21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STOWA2019_JAARROND_T(A111*60,J111,I111,"GL","center")</f>
        <v>1.8834026919317388</v>
      </c>
      <c r="L111">
        <f t="shared" si="19"/>
        <v>0.79643084637492145</v>
      </c>
    </row>
    <row r="112" spans="1:12" x14ac:dyDescent="0.3">
      <c r="A112">
        <v>192</v>
      </c>
      <c r="B112">
        <f t="shared" si="27"/>
        <v>0.20836090950625907</v>
      </c>
      <c r="C112">
        <f t="shared" si="24"/>
        <v>0.20836090950625907</v>
      </c>
      <c r="D112" t="s">
        <v>27</v>
      </c>
      <c r="E112" t="s">
        <v>21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STOWA2019_JAARROND_T(A112*60,J112,I112,"GL","center")</f>
        <v>2.5507170252353935</v>
      </c>
      <c r="L112">
        <f t="shared" si="19"/>
        <v>0.58806993686866238</v>
      </c>
    </row>
    <row r="113" spans="1:12" x14ac:dyDescent="0.3">
      <c r="A113">
        <v>192</v>
      </c>
      <c r="B113">
        <f t="shared" si="27"/>
        <v>0.15402442378526326</v>
      </c>
      <c r="C113">
        <f t="shared" si="24"/>
        <v>0.15402442378526326</v>
      </c>
      <c r="D113" t="s">
        <v>27</v>
      </c>
      <c r="E113" t="s">
        <v>21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STOWA2019_JAARROND_T(A113*60,J113,I113,"GL","center")</f>
        <v>3.4558587862001104</v>
      </c>
      <c r="L113">
        <f t="shared" si="19"/>
        <v>0.43404551308339911</v>
      </c>
    </row>
    <row r="114" spans="1:12" x14ac:dyDescent="0.3">
      <c r="A114">
        <v>192</v>
      </c>
      <c r="B114">
        <f t="shared" si="27"/>
        <v>0.1138090260413569</v>
      </c>
      <c r="C114">
        <f t="shared" si="24"/>
        <v>0.1138090260413569</v>
      </c>
      <c r="D114" t="s">
        <v>27</v>
      </c>
      <c r="E114" t="s">
        <v>21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STOWA2019_JAARROND_T(A114*60,J114,I114,"GL","center")</f>
        <v>4.6840383925491684</v>
      </c>
      <c r="L114">
        <f t="shared" si="19"/>
        <v>0.32023648704204222</v>
      </c>
    </row>
    <row r="115" spans="1:12" x14ac:dyDescent="0.3">
      <c r="A115">
        <v>192</v>
      </c>
      <c r="B115">
        <f t="shared" si="27"/>
        <v>8.4062401880143439E-2</v>
      </c>
      <c r="C115">
        <f t="shared" si="24"/>
        <v>8.4062401880143439E-2</v>
      </c>
      <c r="D115" t="s">
        <v>27</v>
      </c>
      <c r="E115" t="s">
        <v>21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STOWA2019_JAARROND_T(A115*60,J115,I115,"GL","center")</f>
        <v>6.3512472122914794</v>
      </c>
      <c r="L115">
        <f t="shared" si="19"/>
        <v>0.23617408516189878</v>
      </c>
    </row>
    <row r="116" spans="1:12" x14ac:dyDescent="0.3">
      <c r="A116">
        <v>192</v>
      </c>
      <c r="B116">
        <f t="shared" si="27"/>
        <v>6.2065791684210392E-2</v>
      </c>
      <c r="C116">
        <f t="shared" si="24"/>
        <v>6.2065791684210392E-2</v>
      </c>
      <c r="D116" t="s">
        <v>27</v>
      </c>
      <c r="E116" t="s">
        <v>21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STOWA2019_JAARROND_T(A116*60,J116,I116,"GL","center")</f>
        <v>8.6153276793343672</v>
      </c>
      <c r="L116">
        <f t="shared" si="19"/>
        <v>0.17410829347768839</v>
      </c>
    </row>
    <row r="117" spans="1:12" x14ac:dyDescent="0.3">
      <c r="A117">
        <v>192</v>
      </c>
      <c r="B117">
        <f t="shared" si="27"/>
        <v>4.5806635704179005E-2</v>
      </c>
      <c r="C117">
        <f t="shared" si="24"/>
        <v>4.5806635704179005E-2</v>
      </c>
      <c r="D117" t="s">
        <v>27</v>
      </c>
      <c r="E117" t="s">
        <v>21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STOWA2019_JAARROND_T(A117*60,J117,I117,"GL","center")</f>
        <v>11.69119733938237</v>
      </c>
      <c r="L117">
        <f t="shared" si="19"/>
        <v>0.12830165777350938</v>
      </c>
    </row>
    <row r="118" spans="1:12" x14ac:dyDescent="0.3">
      <c r="A118">
        <v>192</v>
      </c>
      <c r="B118">
        <f t="shared" si="27"/>
        <v>3.3793258500673301E-2</v>
      </c>
      <c r="C118">
        <f t="shared" si="24"/>
        <v>3.3793258500673301E-2</v>
      </c>
      <c r="D118" t="s">
        <v>27</v>
      </c>
      <c r="E118" t="s">
        <v>21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STOWA2019_JAARROND_T(A118*60,J118,I118,"GL","center")</f>
        <v>15.871605185795746</v>
      </c>
      <c r="L118">
        <f t="shared" si="19"/>
        <v>9.450839927283608E-2</v>
      </c>
    </row>
    <row r="119" spans="1:12" x14ac:dyDescent="0.3">
      <c r="A119">
        <v>192</v>
      </c>
      <c r="B119">
        <f t="shared" si="27"/>
        <v>2.4920525011728034E-2</v>
      </c>
      <c r="C119">
        <f t="shared" si="24"/>
        <v>2.4920525011728034E-2</v>
      </c>
      <c r="D119" t="s">
        <v>27</v>
      </c>
      <c r="E119" t="s">
        <v>21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STOWA2019_JAARROND_T(A119*60,J119,I119,"GL","center")</f>
        <v>21.555479541905402</v>
      </c>
      <c r="L119">
        <f t="shared" si="19"/>
        <v>6.9587874261108046E-2</v>
      </c>
    </row>
    <row r="120" spans="1:12" x14ac:dyDescent="0.3">
      <c r="A120">
        <v>192</v>
      </c>
      <c r="B120">
        <f t="shared" si="27"/>
        <v>1.8370015813021418E-2</v>
      </c>
      <c r="C120">
        <f t="shared" si="24"/>
        <v>1.8370015813021418E-2</v>
      </c>
      <c r="D120" t="s">
        <v>27</v>
      </c>
      <c r="E120" t="s">
        <v>21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STOWA2019_JAARROND_T(A120*60,J120,I120,"GL","center")</f>
        <v>29.2866598770499</v>
      </c>
      <c r="L120">
        <f t="shared" si="19"/>
        <v>5.1217858448086628E-2</v>
      </c>
    </row>
    <row r="121" spans="1:12" x14ac:dyDescent="0.3">
      <c r="A121">
        <v>192</v>
      </c>
      <c r="B121">
        <f t="shared" si="27"/>
        <v>1.3535890246159081E-2</v>
      </c>
      <c r="C121">
        <f t="shared" si="24"/>
        <v>1.3535890246159081E-2</v>
      </c>
      <c r="D121" t="s">
        <v>27</v>
      </c>
      <c r="E121" t="s">
        <v>21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STOWA2019_JAARROND_T(A121*60,J121,I121,"GL","center")</f>
        <v>39.806837900873511</v>
      </c>
      <c r="L121">
        <f t="shared" si="19"/>
        <v>3.7681968201927547E-2</v>
      </c>
    </row>
    <row r="122" spans="1:12" x14ac:dyDescent="0.3">
      <c r="A122">
        <v>192</v>
      </c>
      <c r="B122">
        <f t="shared" si="27"/>
        <v>9.96985300396162E-3</v>
      </c>
      <c r="C122">
        <f t="shared" si="24"/>
        <v>9.96985300396162E-3</v>
      </c>
      <c r="D122" t="s">
        <v>27</v>
      </c>
      <c r="E122" t="s">
        <v>21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STOWA2019_JAARROND_T(A122*60,J122,I122,"GL","center")</f>
        <v>54.127950511338092</v>
      </c>
      <c r="L122">
        <f t="shared" si="19"/>
        <v>2.7712115197965927E-2</v>
      </c>
    </row>
    <row r="123" spans="1:12" x14ac:dyDescent="0.3">
      <c r="A123">
        <v>192</v>
      </c>
      <c r="B123">
        <f t="shared" si="27"/>
        <v>7.3403197283013789E-3</v>
      </c>
      <c r="C123">
        <f t="shared" si="24"/>
        <v>7.3403197283013789E-3</v>
      </c>
      <c r="D123" t="s">
        <v>27</v>
      </c>
      <c r="E123" t="s">
        <v>21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STOWA2019_JAARROND_T(A123*60,J123,I123,"GL","center")</f>
        <v>73.631212439455126</v>
      </c>
      <c r="L123">
        <f t="shared" si="19"/>
        <v>2.0371795469664548E-2</v>
      </c>
    </row>
    <row r="124" spans="1:12" x14ac:dyDescent="0.3">
      <c r="A124">
        <v>192</v>
      </c>
      <c r="B124">
        <f t="shared" si="27"/>
        <v>5.4021311333232822E-3</v>
      </c>
      <c r="C124">
        <f t="shared" si="24"/>
        <v>5.4021311333232822E-3</v>
      </c>
      <c r="D124" t="s">
        <v>27</v>
      </c>
      <c r="E124" t="s">
        <v>21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STOWA2019_JAARROND_T(A124*60,J124,I124,"GL","center")</f>
        <v>100.20264758766227</v>
      </c>
      <c r="L124">
        <f t="shared" si="19"/>
        <v>1.4969664336341266E-2</v>
      </c>
    </row>
    <row r="125" spans="1:12" x14ac:dyDescent="0.3">
      <c r="A125">
        <v>192</v>
      </c>
      <c r="B125" s="1">
        <f>L124</f>
        <v>1.4969664336341266E-2</v>
      </c>
      <c r="C125">
        <f t="shared" si="24"/>
        <v>1.4969664336341266E-2</v>
      </c>
      <c r="D125" t="s">
        <v>27</v>
      </c>
      <c r="E125" t="s">
        <v>21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STOWA2019_JAARROND_T(A125*60,J125,I125,"GL","center")</f>
        <v>1.1958870401298851</v>
      </c>
      <c r="L125">
        <f t="shared" si="19"/>
        <v>1.2542990681102166</v>
      </c>
    </row>
    <row r="126" spans="1:12" x14ac:dyDescent="0.3">
      <c r="A126">
        <v>216</v>
      </c>
      <c r="B126" s="1">
        <f>365.25*24/A126 - L126</f>
        <v>-46.369954398633787</v>
      </c>
      <c r="C126">
        <f>B126</f>
        <v>-46.369954398633787</v>
      </c>
      <c r="D126" t="s">
        <v>27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STOWA2019_JAARROND_T(A126*60,J126,I126,"GL","center")</f>
        <v>1.7250641570031706E-2</v>
      </c>
      <c r="L126">
        <f t="shared" si="19"/>
        <v>86.953287731967123</v>
      </c>
    </row>
    <row r="127" spans="1:12" x14ac:dyDescent="0.3">
      <c r="A127">
        <v>216</v>
      </c>
      <c r="B127">
        <f t="shared" ref="B127:B131" si="30">L126-L127</f>
        <v>13.671020730538103</v>
      </c>
      <c r="C127">
        <f t="shared" ref="C127:C156" si="31">B127</f>
        <v>13.671020730538103</v>
      </c>
      <c r="D127" t="s">
        <v>27</v>
      </c>
      <c r="E127" t="s">
        <v>21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cm="1">
        <f t="array" ref="K127">STOWA2019_JAARROND_T(A127*60,J127,I127,"GL","center")</f>
        <v>2.0468799088471837E-2</v>
      </c>
      <c r="L127">
        <f t="shared" si="19"/>
        <v>73.28226700142902</v>
      </c>
    </row>
    <row r="128" spans="1:12" x14ac:dyDescent="0.3">
      <c r="A128">
        <v>216</v>
      </c>
      <c r="B128">
        <f t="shared" si="30"/>
        <v>16.584793471264803</v>
      </c>
      <c r="C128">
        <f t="shared" si="31"/>
        <v>16.584793471264803</v>
      </c>
      <c r="D128" t="s">
        <v>27</v>
      </c>
      <c r="E128" t="s">
        <v>21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cm="1">
        <f t="array" ref="K128">STOWA2019_JAARROND_T(A128*60,J128,I128,"GL","center")</f>
        <v>2.6456205305197052E-2</v>
      </c>
      <c r="L128">
        <f t="shared" si="19"/>
        <v>56.697473530164217</v>
      </c>
    </row>
    <row r="129" spans="1:12" x14ac:dyDescent="0.3">
      <c r="A129">
        <v>216</v>
      </c>
      <c r="B129">
        <f t="shared" si="30"/>
        <v>13.61566215596261</v>
      </c>
      <c r="C129">
        <f t="shared" si="31"/>
        <v>13.61566215596261</v>
      </c>
      <c r="D129" t="s">
        <v>27</v>
      </c>
      <c r="E129" t="s">
        <v>21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STOWA2019_JAARROND_T(A129*60,J129,I129,"GL","center")</f>
        <v>3.4817477542233403E-2</v>
      </c>
      <c r="L129">
        <f t="shared" si="19"/>
        <v>43.081811374201607</v>
      </c>
    </row>
    <row r="130" spans="1:12" x14ac:dyDescent="0.3">
      <c r="A130">
        <v>216</v>
      </c>
      <c r="B130">
        <f t="shared" si="30"/>
        <v>10.423507793620871</v>
      </c>
      <c r="C130">
        <f t="shared" si="31"/>
        <v>10.423507793620871</v>
      </c>
      <c r="D130" t="s">
        <v>27</v>
      </c>
      <c r="E130" t="s">
        <v>21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STOWA2019_JAARROND_T(A130*60,J130,I130,"GL","center")</f>
        <v>4.5930126048920966E-2</v>
      </c>
      <c r="L130">
        <f t="shared" si="19"/>
        <v>32.658303580580736</v>
      </c>
    </row>
    <row r="131" spans="1:12" x14ac:dyDescent="0.3">
      <c r="A131">
        <v>216</v>
      </c>
      <c r="B131">
        <f t="shared" si="30"/>
        <v>7.9388891134368293</v>
      </c>
      <c r="C131">
        <f t="shared" si="31"/>
        <v>7.9388891134368293</v>
      </c>
      <c r="D131" t="s">
        <v>27</v>
      </c>
      <c r="E131" t="s">
        <v>21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STOWA2019_JAARROND_T(A131*60,J131,I131,"GL","center")</f>
        <v>6.0681048978475698E-2</v>
      </c>
      <c r="L131">
        <f t="shared" ref="L131:L156" si="34">1/K131 * 12/8</f>
        <v>24.719414467143906</v>
      </c>
    </row>
    <row r="132" spans="1:12" x14ac:dyDescent="0.3">
      <c r="A132">
        <v>216</v>
      </c>
      <c r="B132">
        <f>L131-L132</f>
        <v>6.0337715074261844</v>
      </c>
      <c r="C132">
        <f t="shared" si="31"/>
        <v>6.0337715074261844</v>
      </c>
      <c r="D132" t="s">
        <v>27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STOWA2019_JAARROND_T(A132*60,J132,I132,"GL","center")</f>
        <v>8.0275535780796062E-2</v>
      </c>
      <c r="L132">
        <f t="shared" si="34"/>
        <v>18.685642959717722</v>
      </c>
    </row>
    <row r="133" spans="1:12" x14ac:dyDescent="0.3">
      <c r="A133">
        <v>216</v>
      </c>
      <c r="B133">
        <f t="shared" ref="B133:B155" si="35">L132-L133</f>
        <v>4.5790340509711811</v>
      </c>
      <c r="C133">
        <f t="shared" si="31"/>
        <v>4.5790340509711811</v>
      </c>
      <c r="D133" t="s">
        <v>27</v>
      </c>
      <c r="E133" t="s">
        <v>21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STOWA2019_JAARROND_T(A133*60,J133,I133,"GL","center")</f>
        <v>0.10633313858087841</v>
      </c>
      <c r="L133">
        <f t="shared" si="34"/>
        <v>14.106608908746541</v>
      </c>
    </row>
    <row r="134" spans="1:12" x14ac:dyDescent="0.3">
      <c r="A134">
        <v>216</v>
      </c>
      <c r="B134">
        <f t="shared" si="35"/>
        <v>3.4700151225989053</v>
      </c>
      <c r="C134">
        <f t="shared" si="31"/>
        <v>3.4700151225989053</v>
      </c>
      <c r="D134" t="s">
        <v>27</v>
      </c>
      <c r="E134" t="s">
        <v>21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STOWA2019_JAARROND_T(A134*60,J134,I134,"GL","center")</f>
        <v>0.14102258957689034</v>
      </c>
      <c r="L134">
        <f t="shared" si="34"/>
        <v>10.636593786147635</v>
      </c>
    </row>
    <row r="135" spans="1:12" x14ac:dyDescent="0.3">
      <c r="A135">
        <v>216</v>
      </c>
      <c r="B135">
        <f t="shared" si="35"/>
        <v>2.6263952858941977</v>
      </c>
      <c r="C135">
        <f t="shared" si="31"/>
        <v>2.6263952858941977</v>
      </c>
      <c r="D135" t="s">
        <v>27</v>
      </c>
      <c r="E135" t="s">
        <v>21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STOWA2019_JAARROND_T(A135*60,J135,I135,"GL","center")</f>
        <v>0.18726127697741085</v>
      </c>
      <c r="L135">
        <f t="shared" si="34"/>
        <v>8.0101985002534377</v>
      </c>
    </row>
    <row r="136" spans="1:12" x14ac:dyDescent="0.3">
      <c r="A136">
        <v>216</v>
      </c>
      <c r="B136">
        <f t="shared" si="35"/>
        <v>1.9854413352974838</v>
      </c>
      <c r="C136">
        <f t="shared" si="31"/>
        <v>1.9854413352974838</v>
      </c>
      <c r="D136" t="s">
        <v>27</v>
      </c>
      <c r="E136" t="s">
        <v>21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STOWA2019_JAARROND_T(A136*60,J136,I136,"GL","center")</f>
        <v>0.24897269033929045</v>
      </c>
      <c r="L136">
        <f t="shared" si="34"/>
        <v>6.0247571649559539</v>
      </c>
    </row>
    <row r="137" spans="1:12" x14ac:dyDescent="0.3">
      <c r="A137">
        <v>216</v>
      </c>
      <c r="B137">
        <f t="shared" si="35"/>
        <v>1.4989675611778566</v>
      </c>
      <c r="C137">
        <f t="shared" si="31"/>
        <v>1.4989675611778566</v>
      </c>
      <c r="D137" t="s">
        <v>27</v>
      </c>
      <c r="E137" t="s">
        <v>21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STOWA2019_JAARROND_T(A137*60,J137,I137,"GL","center")</f>
        <v>0.3314338781342841</v>
      </c>
      <c r="L137">
        <f t="shared" si="34"/>
        <v>4.5257896037780974</v>
      </c>
    </row>
    <row r="138" spans="1:12" x14ac:dyDescent="0.3">
      <c r="A138">
        <v>216</v>
      </c>
      <c r="B138">
        <f t="shared" si="35"/>
        <v>1.1302791966575363</v>
      </c>
      <c r="C138">
        <f t="shared" si="31"/>
        <v>1.1302791966575363</v>
      </c>
      <c r="D138" t="s">
        <v>27</v>
      </c>
      <c r="E138" t="s">
        <v>21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STOWA2019_JAARROND_T(A138*60,J138,I138,"GL","center")</f>
        <v>0.44175980048667274</v>
      </c>
      <c r="L138">
        <f t="shared" si="34"/>
        <v>3.3955104071205611</v>
      </c>
    </row>
    <row r="139" spans="1:12" x14ac:dyDescent="0.3">
      <c r="A139">
        <v>216</v>
      </c>
      <c r="B139">
        <f t="shared" si="35"/>
        <v>0.85123204445303502</v>
      </c>
      <c r="C139">
        <f t="shared" si="31"/>
        <v>0.85123204445303502</v>
      </c>
      <c r="D139" t="s">
        <v>27</v>
      </c>
      <c r="E139" t="s">
        <v>21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STOWA2019_JAARROND_T(A139*60,J139,I139,"GL","center")</f>
        <v>0.58955813247860911</v>
      </c>
      <c r="L139">
        <f t="shared" si="34"/>
        <v>2.544278362667526</v>
      </c>
    </row>
    <row r="140" spans="1:12" x14ac:dyDescent="0.3">
      <c r="A140">
        <v>216</v>
      </c>
      <c r="B140">
        <f t="shared" si="35"/>
        <v>0.64026750501367147</v>
      </c>
      <c r="C140">
        <f t="shared" si="31"/>
        <v>0.64026750501367147</v>
      </c>
      <c r="D140" t="s">
        <v>27</v>
      </c>
      <c r="E140" t="s">
        <v>21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STOWA2019_JAARROND_T(A140*60,J140,I140,"GL","center")</f>
        <v>0.78781063352144876</v>
      </c>
      <c r="L140">
        <f t="shared" si="34"/>
        <v>1.9040108576538546</v>
      </c>
    </row>
    <row r="141" spans="1:12" x14ac:dyDescent="0.3">
      <c r="A141">
        <v>216</v>
      </c>
      <c r="B141">
        <f t="shared" si="35"/>
        <v>0.48085244845903374</v>
      </c>
      <c r="C141">
        <f t="shared" si="31"/>
        <v>0.48085244845903374</v>
      </c>
      <c r="D141" t="s">
        <v>27</v>
      </c>
      <c r="E141" t="s">
        <v>21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STOWA2019_JAARROND_T(A141*60,J141,I141,"GL","center")</f>
        <v>1.0539937018315859</v>
      </c>
      <c r="L141">
        <f t="shared" si="34"/>
        <v>1.4231584091948208</v>
      </c>
    </row>
    <row r="142" spans="1:12" x14ac:dyDescent="0.3">
      <c r="A142">
        <v>216</v>
      </c>
      <c r="B142">
        <f t="shared" si="35"/>
        <v>0.36087691763866903</v>
      </c>
      <c r="C142">
        <f t="shared" si="31"/>
        <v>0.36087691763866903</v>
      </c>
      <c r="D142" t="s">
        <v>27</v>
      </c>
      <c r="E142" t="s">
        <v>21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STOWA2019_JAARROND_T(A142*60,J142,I142,"GL","center")</f>
        <v>1.4120551020828087</v>
      </c>
      <c r="L142">
        <f t="shared" si="34"/>
        <v>1.0622814915561518</v>
      </c>
    </row>
    <row r="143" spans="1:12" x14ac:dyDescent="0.3">
      <c r="A143">
        <v>216</v>
      </c>
      <c r="B143">
        <f t="shared" si="35"/>
        <v>0.27040608809799105</v>
      </c>
      <c r="C143">
        <f t="shared" si="31"/>
        <v>0.27040608809799105</v>
      </c>
      <c r="D143" t="s">
        <v>27</v>
      </c>
      <c r="E143" t="s">
        <v>21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STOWA2019_JAARROND_T(A143*60,J143,I143,"GL","center")</f>
        <v>1.8942373932179513</v>
      </c>
      <c r="L143">
        <f t="shared" si="34"/>
        <v>0.79187540345816076</v>
      </c>
    </row>
    <row r="144" spans="1:12" x14ac:dyDescent="0.3">
      <c r="A144">
        <v>216</v>
      </c>
      <c r="B144">
        <f t="shared" si="35"/>
        <v>0.20235078441966614</v>
      </c>
      <c r="C144">
        <f t="shared" si="31"/>
        <v>0.20235078441966614</v>
      </c>
      <c r="D144" t="s">
        <v>27</v>
      </c>
      <c r="E144" t="s">
        <v>21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STOWA2019_JAARROND_T(A144*60,J144,I144,"GL","center")</f>
        <v>2.5444230004278299</v>
      </c>
      <c r="L144">
        <f t="shared" si="34"/>
        <v>0.58952461903849462</v>
      </c>
    </row>
    <row r="145" spans="1:12" x14ac:dyDescent="0.3">
      <c r="A145">
        <v>216</v>
      </c>
      <c r="B145">
        <f t="shared" si="35"/>
        <v>0.15122441352203031</v>
      </c>
      <c r="C145">
        <f t="shared" si="31"/>
        <v>0.15122441352203031</v>
      </c>
      <c r="D145" t="s">
        <v>27</v>
      </c>
      <c r="E145" t="s">
        <v>21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STOWA2019_JAARROND_T(A145*60,J145,I145,"GL","center")</f>
        <v>3.4223118792118705</v>
      </c>
      <c r="L145">
        <f t="shared" si="34"/>
        <v>0.43830020551646431</v>
      </c>
    </row>
    <row r="146" spans="1:12" x14ac:dyDescent="0.3">
      <c r="A146">
        <v>216</v>
      </c>
      <c r="B146">
        <f t="shared" si="35"/>
        <v>0.11287219388549313</v>
      </c>
      <c r="C146">
        <f t="shared" si="31"/>
        <v>0.11287219388549313</v>
      </c>
      <c r="D146" t="s">
        <v>27</v>
      </c>
      <c r="E146" t="s">
        <v>21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STOWA2019_JAARROND_T(A146*60,J146,I146,"GL","center")</f>
        <v>4.6093143380077857</v>
      </c>
      <c r="L146">
        <f t="shared" si="34"/>
        <v>0.32542801163097118</v>
      </c>
    </row>
    <row r="147" spans="1:12" x14ac:dyDescent="0.3">
      <c r="A147">
        <v>216</v>
      </c>
      <c r="B147">
        <f t="shared" si="35"/>
        <v>8.4130237401392582E-2</v>
      </c>
      <c r="C147">
        <f t="shared" si="31"/>
        <v>8.4130237401392582E-2</v>
      </c>
      <c r="D147" t="s">
        <v>27</v>
      </c>
      <c r="E147" t="s">
        <v>21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STOWA2019_JAARROND_T(A147*60,J147,I147,"GL","center")</f>
        <v>6.2163855625657405</v>
      </c>
      <c r="L147">
        <f t="shared" si="34"/>
        <v>0.2412977742295786</v>
      </c>
    </row>
    <row r="148" spans="1:12" x14ac:dyDescent="0.3">
      <c r="A148">
        <v>216</v>
      </c>
      <c r="B148">
        <f t="shared" si="35"/>
        <v>6.2624961094571607E-2</v>
      </c>
      <c r="C148">
        <f t="shared" si="31"/>
        <v>6.2624961094571607E-2</v>
      </c>
      <c r="D148" t="s">
        <v>27</v>
      </c>
      <c r="E148" t="s">
        <v>21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STOWA2019_JAARROND_T(A148*60,J148,I148,"GL","center")</f>
        <v>8.3952335762832853</v>
      </c>
      <c r="L148">
        <f t="shared" si="34"/>
        <v>0.17867281313500699</v>
      </c>
    </row>
    <row r="149" spans="1:12" x14ac:dyDescent="0.3">
      <c r="A149">
        <v>216</v>
      </c>
      <c r="B149">
        <f t="shared" si="35"/>
        <v>4.655386034704348E-2</v>
      </c>
      <c r="C149">
        <f t="shared" si="31"/>
        <v>4.655386034704348E-2</v>
      </c>
      <c r="D149" t="s">
        <v>27</v>
      </c>
      <c r="E149" t="s">
        <v>21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STOWA2019_JAARROND_T(A149*60,J149,I149,"GL","center")</f>
        <v>11.353405157603211</v>
      </c>
      <c r="L149">
        <f t="shared" si="34"/>
        <v>0.13211895278796351</v>
      </c>
    </row>
    <row r="150" spans="1:12" x14ac:dyDescent="0.3">
      <c r="A150">
        <v>216</v>
      </c>
      <c r="B150">
        <f t="shared" si="35"/>
        <v>3.4560490807854088E-2</v>
      </c>
      <c r="C150">
        <f t="shared" si="31"/>
        <v>3.4560490807854088E-2</v>
      </c>
      <c r="D150" t="s">
        <v>27</v>
      </c>
      <c r="E150" t="s">
        <v>21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STOWA2019_JAARROND_T(A150*60,J150,I150,"GL","center")</f>
        <v>15.375396142528626</v>
      </c>
      <c r="L150">
        <f t="shared" si="34"/>
        <v>9.7558461980109423E-2</v>
      </c>
    </row>
    <row r="151" spans="1:12" x14ac:dyDescent="0.3">
      <c r="A151">
        <v>216</v>
      </c>
      <c r="B151">
        <f t="shared" si="35"/>
        <v>2.5620478830825202E-2</v>
      </c>
      <c r="C151">
        <f t="shared" si="31"/>
        <v>2.5620478830825202E-2</v>
      </c>
      <c r="D151" t="s">
        <v>27</v>
      </c>
      <c r="E151" t="s">
        <v>21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STOWA2019_JAARROND_T(A151*60,J151,I151,"GL","center")</f>
        <v>20.851293493831079</v>
      </c>
      <c r="L151">
        <f t="shared" si="34"/>
        <v>7.1937983149284221E-2</v>
      </c>
    </row>
    <row r="152" spans="1:12" x14ac:dyDescent="0.3">
      <c r="A152">
        <v>216</v>
      </c>
      <c r="B152">
        <f t="shared" si="35"/>
        <v>1.896717991181722E-2</v>
      </c>
      <c r="C152">
        <f t="shared" si="31"/>
        <v>1.896717991181722E-2</v>
      </c>
      <c r="D152" t="s">
        <v>27</v>
      </c>
      <c r="E152" t="s">
        <v>21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STOWA2019_JAARROND_T(A152*60,J152,I152,"GL","center")</f>
        <v>28.317486394826435</v>
      </c>
      <c r="L152">
        <f t="shared" si="34"/>
        <v>5.2970803237467001E-2</v>
      </c>
    </row>
    <row r="153" spans="1:12" x14ac:dyDescent="0.3">
      <c r="A153">
        <v>216</v>
      </c>
      <c r="B153">
        <f t="shared" si="35"/>
        <v>1.4022231657946374E-2</v>
      </c>
      <c r="C153">
        <f t="shared" si="31"/>
        <v>1.4022231657946374E-2</v>
      </c>
      <c r="D153" t="s">
        <v>27</v>
      </c>
      <c r="E153" t="s">
        <v>21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STOWA2019_JAARROND_T(A153*60,J153,I153,"GL","center")</f>
        <v>38.5123237944035</v>
      </c>
      <c r="L153">
        <f t="shared" si="34"/>
        <v>3.8948571579520627E-2</v>
      </c>
    </row>
    <row r="154" spans="1:12" x14ac:dyDescent="0.3">
      <c r="A154">
        <v>216</v>
      </c>
      <c r="B154">
        <f t="shared" si="35"/>
        <v>1.0351430111745011E-2</v>
      </c>
      <c r="C154">
        <f t="shared" si="31"/>
        <v>1.0351430111745011E-2</v>
      </c>
      <c r="D154" t="s">
        <v>27</v>
      </c>
      <c r="E154" t="s">
        <v>21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STOWA2019_JAARROND_T(A154*60,J154,I154,"GL","center")</f>
        <v>52.45279503513521</v>
      </c>
      <c r="L154">
        <f t="shared" si="34"/>
        <v>2.8597141467775616E-2</v>
      </c>
    </row>
    <row r="155" spans="1:12" x14ac:dyDescent="0.3">
      <c r="A155">
        <v>216</v>
      </c>
      <c r="B155">
        <f t="shared" si="35"/>
        <v>7.6308624717856856E-3</v>
      </c>
      <c r="C155">
        <f t="shared" si="31"/>
        <v>7.6308624717856856E-3</v>
      </c>
      <c r="D155" t="s">
        <v>27</v>
      </c>
      <c r="E155" t="s">
        <v>21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STOWA2019_JAARROND_T(A155*60,J155,I155,"GL","center")</f>
        <v>71.543453193906956</v>
      </c>
      <c r="L155">
        <f t="shared" si="34"/>
        <v>2.0966278995989931E-2</v>
      </c>
    </row>
    <row r="156" spans="1:12" x14ac:dyDescent="0.3">
      <c r="A156">
        <v>216</v>
      </c>
      <c r="B156" s="1">
        <f>L155</f>
        <v>2.0966278995989931E-2</v>
      </c>
      <c r="C156">
        <f t="shared" si="31"/>
        <v>2.0966278995989931E-2</v>
      </c>
      <c r="D156" t="s">
        <v>27</v>
      </c>
      <c r="E156" t="s">
        <v>21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STOWA2019_JAARROND_T(A156*60,J156,I156,"GL","center")</f>
        <v>83.600624180121756</v>
      </c>
      <c r="L156">
        <f t="shared" si="34"/>
        <v>1.7942449768893764E-2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516BE-0185-4A38-9AD6-AFDD06665084}">
  <sheetPr codeName="Blad10"/>
  <dimension ref="A1:L156"/>
  <sheetViews>
    <sheetView workbookViewId="0">
      <selection activeCell="L26" sqref="L26"/>
    </sheetView>
  </sheetViews>
  <sheetFormatPr defaultRowHeight="14.4" x14ac:dyDescent="0.3"/>
  <cols>
    <col min="2" max="3" width="12" bestFit="1" customWidth="1"/>
    <col min="4" max="4" width="26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345.38153335865547</v>
      </c>
      <c r="C2">
        <f>B2</f>
        <v>345.38153335865547</v>
      </c>
      <c r="D2" t="s">
        <v>27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STOWA2019_NDJF_T(A2*60,J2,I2,"GL","center")</f>
        <v>0.15099303102521566</v>
      </c>
      <c r="L2">
        <f>1/K2 * 12/4</f>
        <v>19.868466641344547</v>
      </c>
    </row>
    <row r="3" spans="1:12" x14ac:dyDescent="0.3">
      <c r="A3">
        <v>24</v>
      </c>
      <c r="B3">
        <f t="shared" ref="B3:B7" si="0">L2-L3</f>
        <v>7.3870653625393921</v>
      </c>
      <c r="C3">
        <f t="shared" ref="C3:C32" si="1">B3</f>
        <v>7.3870653625393921</v>
      </c>
      <c r="D3" t="s">
        <v>27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STOWA2019_NDJF_T(A3*60,J3,I3,"GL","center")</f>
        <v>0.24035762756016371</v>
      </c>
      <c r="L3">
        <f t="shared" ref="L3:L66" si="4">1/K3 * 12/4</f>
        <v>12.481401278805155</v>
      </c>
    </row>
    <row r="4" spans="1:12" x14ac:dyDescent="0.3">
      <c r="A4">
        <v>24</v>
      </c>
      <c r="B4">
        <f t="shared" si="0"/>
        <v>7.3298313420704559</v>
      </c>
      <c r="C4">
        <f t="shared" si="1"/>
        <v>7.3298313420704559</v>
      </c>
      <c r="D4" t="s">
        <v>27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STOWA2019_NDJF_T(A4*60,J4,I4,"GL","center")</f>
        <v>0.58234674804813724</v>
      </c>
      <c r="L4">
        <f t="shared" si="4"/>
        <v>5.151569936734699</v>
      </c>
    </row>
    <row r="5" spans="1:12" x14ac:dyDescent="0.3">
      <c r="A5">
        <v>24</v>
      </c>
      <c r="B5">
        <f t="shared" si="0"/>
        <v>2.90764308710565</v>
      </c>
      <c r="C5">
        <f t="shared" si="1"/>
        <v>2.90764308710565</v>
      </c>
      <c r="D5" t="s">
        <v>27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STOWA2019_NDJF_T(A5*60,J5,I5,"GL","center")</f>
        <v>1.3369419776299483</v>
      </c>
      <c r="L5">
        <f t="shared" si="4"/>
        <v>2.243926849629049</v>
      </c>
    </row>
    <row r="6" spans="1:12" x14ac:dyDescent="0.3">
      <c r="A6">
        <v>24</v>
      </c>
      <c r="B6">
        <f t="shared" si="0"/>
        <v>1.2190388699866266</v>
      </c>
      <c r="C6">
        <f t="shared" si="1"/>
        <v>1.2190388699866266</v>
      </c>
      <c r="D6" t="s">
        <v>27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STOWA2019_NDJF_T(A6*60,J6,I6,"GL","center")</f>
        <v>2.9271491710212887</v>
      </c>
      <c r="L6">
        <f t="shared" si="4"/>
        <v>1.0248879796424224</v>
      </c>
    </row>
    <row r="7" spans="1:12" x14ac:dyDescent="0.3">
      <c r="A7">
        <v>24</v>
      </c>
      <c r="B7">
        <f t="shared" si="0"/>
        <v>0.53651058764158388</v>
      </c>
      <c r="C7">
        <f t="shared" si="1"/>
        <v>0.53651058764158388</v>
      </c>
      <c r="D7" t="s">
        <v>27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STOWA2019_NDJF_T(A7*60,J7,I7,"GL","center")</f>
        <v>6.1427904918146758</v>
      </c>
      <c r="L7">
        <f t="shared" si="4"/>
        <v>0.48837739200083857</v>
      </c>
    </row>
    <row r="8" spans="1:12" x14ac:dyDescent="0.3">
      <c r="A8">
        <v>24</v>
      </c>
      <c r="B8">
        <f>L7-L8</f>
        <v>0.24662883089512982</v>
      </c>
      <c r="C8">
        <f t="shared" si="1"/>
        <v>0.24662883089512982</v>
      </c>
      <c r="D8" t="s">
        <v>27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STOWA2019_NDJF_T(A8*60,J8,I8,"GL","center")</f>
        <v>12.40958782248221</v>
      </c>
      <c r="L8">
        <f t="shared" si="4"/>
        <v>0.24174856110570875</v>
      </c>
    </row>
    <row r="9" spans="1:12" x14ac:dyDescent="0.3">
      <c r="A9">
        <v>24</v>
      </c>
      <c r="B9">
        <f t="shared" ref="B9:B31" si="5">L8-L9</f>
        <v>0.11790061893418735</v>
      </c>
      <c r="C9">
        <f t="shared" si="1"/>
        <v>0.11790061893418735</v>
      </c>
      <c r="D9" t="s">
        <v>27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STOWA2019_NDJF_T(A9*60,J9,I9,"GL","center")</f>
        <v>24.223252703264087</v>
      </c>
      <c r="L9">
        <f t="shared" si="4"/>
        <v>0.1238479421715214</v>
      </c>
    </row>
    <row r="10" spans="1:12" x14ac:dyDescent="0.3">
      <c r="A10">
        <v>24</v>
      </c>
      <c r="B10">
        <f t="shared" si="5"/>
        <v>5.8394019636820782E-2</v>
      </c>
      <c r="C10">
        <f t="shared" si="1"/>
        <v>5.8394019636820782E-2</v>
      </c>
      <c r="D10" t="s">
        <v>27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STOWA2019_NDJF_T(A10*60,J10,I10,"GL","center")</f>
        <v>45.833769525570304</v>
      </c>
      <c r="L10">
        <f t="shared" si="4"/>
        <v>6.5453922534700615E-2</v>
      </c>
    </row>
    <row r="11" spans="1:12" x14ac:dyDescent="0.3">
      <c r="A11">
        <v>24</v>
      </c>
      <c r="B11">
        <f t="shared" si="5"/>
        <v>2.9865618802949322E-2</v>
      </c>
      <c r="C11">
        <f t="shared" si="1"/>
        <v>2.9865618802949322E-2</v>
      </c>
      <c r="D11" t="s">
        <v>27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STOWA2019_NDJF_T(A11*60,J11,I11,"GL","center")</f>
        <v>84.297358553884933</v>
      </c>
      <c r="L11">
        <f t="shared" si="4"/>
        <v>3.5588303731751293E-2</v>
      </c>
    </row>
    <row r="12" spans="1:12" x14ac:dyDescent="0.3">
      <c r="A12">
        <v>24</v>
      </c>
      <c r="B12">
        <f t="shared" si="5"/>
        <v>1.5729708724130268E-2</v>
      </c>
      <c r="C12">
        <f t="shared" si="1"/>
        <v>1.5729708724130268E-2</v>
      </c>
      <c r="D12" t="s">
        <v>27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STOWA2019_NDJF_T(A12*60,J12,I12,"GL","center")</f>
        <v>151.06808909939028</v>
      </c>
      <c r="L12">
        <f t="shared" si="4"/>
        <v>1.9858595007621025E-2</v>
      </c>
    </row>
    <row r="13" spans="1:12" x14ac:dyDescent="0.3">
      <c r="A13">
        <v>24</v>
      </c>
      <c r="B13">
        <f t="shared" si="5"/>
        <v>8.5100851014553568E-3</v>
      </c>
      <c r="C13">
        <f t="shared" si="1"/>
        <v>8.5100851014553568E-3</v>
      </c>
      <c r="D13" t="s">
        <v>27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STOWA2019_NDJF_T(A13*60,J13,I13,"GL","center")</f>
        <v>264.3518862657109</v>
      </c>
      <c r="L13">
        <f t="shared" si="4"/>
        <v>1.1348509906165668E-2</v>
      </c>
    </row>
    <row r="14" spans="1:12" x14ac:dyDescent="0.3">
      <c r="A14">
        <v>24</v>
      </c>
      <c r="B14">
        <f t="shared" si="5"/>
        <v>4.7191680198571456E-3</v>
      </c>
      <c r="C14">
        <f t="shared" si="1"/>
        <v>4.7191680198571456E-3</v>
      </c>
      <c r="D14" t="s">
        <v>27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STOWA2019_NDJF_T(A14*60,J14,I14,"GL","center")</f>
        <v>452.53360762640011</v>
      </c>
      <c r="L14">
        <f t="shared" si="4"/>
        <v>6.6293418863085226E-3</v>
      </c>
    </row>
    <row r="15" spans="1:12" x14ac:dyDescent="0.3">
      <c r="A15">
        <v>24</v>
      </c>
      <c r="B15">
        <f t="shared" si="5"/>
        <v>2.6773304901874977E-3</v>
      </c>
      <c r="C15">
        <f t="shared" si="1"/>
        <v>2.6773304901874977E-3</v>
      </c>
      <c r="D15" t="s">
        <v>27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STOWA2019_NDJF_T(A15*60,J15,I15,"GL","center")</f>
        <v>759.10712275388607</v>
      </c>
      <c r="L15">
        <f t="shared" si="4"/>
        <v>3.9520113961210249E-3</v>
      </c>
    </row>
    <row r="16" spans="1:12" x14ac:dyDescent="0.3">
      <c r="A16">
        <v>24</v>
      </c>
      <c r="B16">
        <f t="shared" si="5"/>
        <v>1.5512969187588422E-3</v>
      </c>
      <c r="C16">
        <f t="shared" si="1"/>
        <v>1.5512969187588422E-3</v>
      </c>
      <c r="D16" t="s">
        <v>27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STOWA2019_NDJF_T(A16*60,J16,I16,"GL","center")</f>
        <v>1249.627987121688</v>
      </c>
      <c r="L16">
        <f t="shared" si="4"/>
        <v>2.4007144773621827E-3</v>
      </c>
    </row>
    <row r="17" spans="1:12" x14ac:dyDescent="0.3">
      <c r="A17">
        <v>24</v>
      </c>
      <c r="B17">
        <f t="shared" si="5"/>
        <v>9.1661371325250473E-4</v>
      </c>
      <c r="C17">
        <f t="shared" si="1"/>
        <v>9.1661371325250473E-4</v>
      </c>
      <c r="D17" t="s">
        <v>27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STOWA2019_NDJF_T(A17*60,J17,I17,"GL","center")</f>
        <v>2021.4260867925098</v>
      </c>
      <c r="L17">
        <f t="shared" si="4"/>
        <v>1.484100764109678E-3</v>
      </c>
    </row>
    <row r="18" spans="1:12" x14ac:dyDescent="0.3">
      <c r="A18">
        <v>24</v>
      </c>
      <c r="B18">
        <f t="shared" si="5"/>
        <v>5.5155261818913147E-4</v>
      </c>
      <c r="C18">
        <f t="shared" si="1"/>
        <v>5.5155261818913147E-4</v>
      </c>
      <c r="D18" t="s">
        <v>27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STOWA2019_NDJF_T(A18*60,J18,I18,"GL","center")</f>
        <v>3216.992080380589</v>
      </c>
      <c r="L18">
        <f t="shared" si="4"/>
        <v>9.3254814592054654E-4</v>
      </c>
    </row>
    <row r="19" spans="1:12" x14ac:dyDescent="0.3">
      <c r="A19">
        <v>24</v>
      </c>
      <c r="B19">
        <f t="shared" si="5"/>
        <v>3.3757230653377835E-4</v>
      </c>
      <c r="C19">
        <f t="shared" si="1"/>
        <v>3.3757230653377835E-4</v>
      </c>
      <c r="D19" t="s">
        <v>27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STOWA2019_NDJF_T(A19*60,J19,I19,"GL","center")</f>
        <v>5042.2215515373709</v>
      </c>
      <c r="L19">
        <f t="shared" si="4"/>
        <v>5.9497583938676818E-4</v>
      </c>
    </row>
    <row r="20" spans="1:12" x14ac:dyDescent="0.3">
      <c r="A20">
        <v>24</v>
      </c>
      <c r="B20">
        <f t="shared" si="5"/>
        <v>2.0991423790143061E-4</v>
      </c>
      <c r="C20">
        <f t="shared" si="1"/>
        <v>2.0991423790143061E-4</v>
      </c>
      <c r="D20" t="s">
        <v>27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STOWA2019_NDJF_T(A20*60,J20,I20,"GL","center")</f>
        <v>7790.9612083567727</v>
      </c>
      <c r="L20">
        <f t="shared" si="4"/>
        <v>3.8506160148533758E-4</v>
      </c>
    </row>
    <row r="21" spans="1:12" x14ac:dyDescent="0.3">
      <c r="A21">
        <v>24</v>
      </c>
      <c r="B21">
        <f t="shared" si="5"/>
        <v>1.3249336890949184E-4</v>
      </c>
      <c r="C21">
        <f t="shared" si="1"/>
        <v>1.3249336890949184E-4</v>
      </c>
      <c r="D21" t="s">
        <v>27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STOWA2019_NDJF_T(A21*60,J21,I21,"GL","center")</f>
        <v>11877.978356201647</v>
      </c>
      <c r="L21">
        <f t="shared" si="4"/>
        <v>2.5256823257584573E-4</v>
      </c>
    </row>
    <row r="22" spans="1:12" x14ac:dyDescent="0.3">
      <c r="A22">
        <v>24</v>
      </c>
      <c r="B22">
        <f t="shared" si="5"/>
        <v>8.4805977490137198E-5</v>
      </c>
      <c r="C22">
        <f t="shared" si="1"/>
        <v>8.4805977490137198E-5</v>
      </c>
      <c r="D22" t="s">
        <v>27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STOWA2019_NDJF_T(A22*60,J22,I22,"GL","center")</f>
        <v>17882.449174680693</v>
      </c>
      <c r="L22">
        <f t="shared" si="4"/>
        <v>1.6776225508570853E-4</v>
      </c>
    </row>
    <row r="23" spans="1:12" x14ac:dyDescent="0.3">
      <c r="A23">
        <v>24</v>
      </c>
      <c r="B23">
        <f t="shared" si="5"/>
        <v>5.4999482475375725E-5</v>
      </c>
      <c r="C23">
        <f t="shared" si="1"/>
        <v>5.4999482475375725E-5</v>
      </c>
      <c r="D23" t="s">
        <v>27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STOWA2019_NDJF_T(A23*60,J23,I23,"GL","center")</f>
        <v>26604.52497356473</v>
      </c>
      <c r="L23">
        <f t="shared" si="4"/>
        <v>1.1276277261033281E-4</v>
      </c>
    </row>
    <row r="24" spans="1:12" x14ac:dyDescent="0.3">
      <c r="A24">
        <v>24</v>
      </c>
      <c r="B24">
        <f t="shared" si="5"/>
        <v>3.6114985604860544E-5</v>
      </c>
      <c r="C24">
        <f t="shared" si="1"/>
        <v>3.6114985604860544E-5</v>
      </c>
      <c r="D24" t="s">
        <v>27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STOWA2019_NDJF_T(A24*60,J24,I24,"GL","center")</f>
        <v>39140.073278121061</v>
      </c>
      <c r="L24">
        <f t="shared" si="4"/>
        <v>7.6647787005472266E-5</v>
      </c>
    </row>
    <row r="25" spans="1:12" x14ac:dyDescent="0.3">
      <c r="A25">
        <v>24</v>
      </c>
      <c r="B25">
        <f t="shared" si="5"/>
        <v>2.3994035614844679E-5</v>
      </c>
      <c r="C25">
        <f t="shared" si="1"/>
        <v>2.3994035614844679E-5</v>
      </c>
      <c r="D25" t="s">
        <v>27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STOWA2019_NDJF_T(A25*60,J25,I25,"GL","center")</f>
        <v>56975.997355698433</v>
      </c>
      <c r="L25">
        <f t="shared" si="4"/>
        <v>5.2653751390627587E-5</v>
      </c>
    </row>
    <row r="26" spans="1:12" x14ac:dyDescent="0.3">
      <c r="A26">
        <v>24</v>
      </c>
      <c r="B26">
        <f t="shared" si="5"/>
        <v>1.6118488705096157E-5</v>
      </c>
      <c r="C26">
        <f t="shared" si="1"/>
        <v>1.6118488705096157E-5</v>
      </c>
      <c r="D26" t="s">
        <v>27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STOWA2019_NDJF_T(A26*60,J26,I26,"GL","center")</f>
        <v>82112.451902201588</v>
      </c>
      <c r="L26">
        <f t="shared" si="4"/>
        <v>3.653526268553143E-5</v>
      </c>
    </row>
    <row r="27" spans="1:12" x14ac:dyDescent="0.3">
      <c r="A27">
        <v>24</v>
      </c>
      <c r="B27">
        <f t="shared" si="5"/>
        <v>1.0942516538140431E-5</v>
      </c>
      <c r="C27">
        <f t="shared" si="1"/>
        <v>1.0942516538140431E-5</v>
      </c>
      <c r="D27" t="s">
        <v>27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STOWA2019_NDJF_T(A27*60,J27,I27,"GL","center")</f>
        <v>117220.7149136213</v>
      </c>
      <c r="L27">
        <f t="shared" si="4"/>
        <v>2.5592746147390999E-5</v>
      </c>
    </row>
    <row r="28" spans="1:12" x14ac:dyDescent="0.3">
      <c r="A28">
        <v>24</v>
      </c>
      <c r="B28">
        <f t="shared" si="5"/>
        <v>7.5028062475448352E-6</v>
      </c>
      <c r="C28">
        <f t="shared" si="1"/>
        <v>7.5028062475448352E-6</v>
      </c>
      <c r="D28" t="s">
        <v>27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STOWA2019_NDJF_T(A28*60,J28,I28,"GL","center")</f>
        <v>165838.03023168206</v>
      </c>
      <c r="L28">
        <f t="shared" si="4"/>
        <v>1.8089939899846164E-5</v>
      </c>
    </row>
    <row r="29" spans="1:12" x14ac:dyDescent="0.3">
      <c r="A29">
        <v>24</v>
      </c>
      <c r="B29">
        <f t="shared" si="5"/>
        <v>5.1932128875221479E-6</v>
      </c>
      <c r="C29">
        <f t="shared" si="1"/>
        <v>5.1932128875221479E-6</v>
      </c>
      <c r="D29" t="s">
        <v>27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STOWA2019_NDJF_T(A29*60,J29,I29,"GL","center")</f>
        <v>232617.15915466167</v>
      </c>
      <c r="L29">
        <f t="shared" si="4"/>
        <v>1.2896727012324016E-5</v>
      </c>
    </row>
    <row r="30" spans="1:12" x14ac:dyDescent="0.3">
      <c r="A30">
        <v>24</v>
      </c>
      <c r="B30">
        <f t="shared" si="5"/>
        <v>3.6270029140398533E-6</v>
      </c>
      <c r="C30">
        <f t="shared" si="1"/>
        <v>3.6270029140398533E-6</v>
      </c>
      <c r="D30" t="s">
        <v>27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STOWA2019_NDJF_T(A30*60,J30,I30,"GL","center")</f>
        <v>323634.22774959431</v>
      </c>
      <c r="L30">
        <f t="shared" si="4"/>
        <v>9.2697240982841629E-6</v>
      </c>
    </row>
    <row r="31" spans="1:12" x14ac:dyDescent="0.3">
      <c r="A31">
        <v>24</v>
      </c>
      <c r="B31">
        <f t="shared" si="5"/>
        <v>2.5550080305998058E-6</v>
      </c>
      <c r="C31">
        <f t="shared" si="1"/>
        <v>2.5550080305998058E-6</v>
      </c>
      <c r="D31" t="s">
        <v>27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STOWA2019_NDJF_T(A31*60,J31,I31,"GL","center")</f>
        <v>446779.87419869896</v>
      </c>
      <c r="L31">
        <f t="shared" si="4"/>
        <v>6.7147160676843571E-6</v>
      </c>
    </row>
    <row r="32" spans="1:12" x14ac:dyDescent="0.3">
      <c r="A32">
        <v>24</v>
      </c>
      <c r="B32" s="1">
        <f>L31</f>
        <v>6.7147160676843571E-6</v>
      </c>
      <c r="C32">
        <f t="shared" si="1"/>
        <v>6.7147160676843571E-6</v>
      </c>
      <c r="D32" t="s">
        <v>27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STOWA2019_NDJF_T(A32*60,J32,I32,"GL","center")</f>
        <v>1592.7142496716731</v>
      </c>
      <c r="L32">
        <f t="shared" si="4"/>
        <v>1.8835770450464852E-3</v>
      </c>
    </row>
    <row r="33" spans="1:12" x14ac:dyDescent="0.3">
      <c r="A33">
        <v>48</v>
      </c>
      <c r="B33" s="1">
        <f>365.25*24/A33 - L33</f>
        <v>143.34708367106541</v>
      </c>
      <c r="C33">
        <f>B33</f>
        <v>143.34708367106541</v>
      </c>
      <c r="D33" t="s">
        <v>27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STOWA2019_NDJF_T(A33*60,J33,I33,"GL","center")</f>
        <v>7.6378797054211606E-2</v>
      </c>
      <c r="L33">
        <f t="shared" si="4"/>
        <v>39.277916328934602</v>
      </c>
    </row>
    <row r="34" spans="1:12" x14ac:dyDescent="0.3">
      <c r="A34">
        <v>48</v>
      </c>
      <c r="B34">
        <f t="shared" ref="B34:B38" si="8">L33-L34</f>
        <v>11.628632481940748</v>
      </c>
      <c r="C34">
        <f t="shared" ref="C34:C63" si="9">B34</f>
        <v>11.628632481940748</v>
      </c>
      <c r="D34" t="s">
        <v>27</v>
      </c>
      <c r="E34" t="s">
        <v>19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STOWA2019_NDJF_T(A34*60,J34,I34,"GL","center")</f>
        <v>0.10850190611089452</v>
      </c>
      <c r="L34">
        <f t="shared" si="4"/>
        <v>27.649283846993853</v>
      </c>
    </row>
    <row r="35" spans="1:12" x14ac:dyDescent="0.3">
      <c r="A35">
        <v>48</v>
      </c>
      <c r="B35">
        <f t="shared" si="8"/>
        <v>13.671007692442604</v>
      </c>
      <c r="C35">
        <f t="shared" si="9"/>
        <v>13.671007692442604</v>
      </c>
      <c r="D35" t="s">
        <v>27</v>
      </c>
      <c r="E35" t="s">
        <v>19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STOWA2019_NDJF_T(A35*60,J35,I35,"GL","center")</f>
        <v>0.21461873887955896</v>
      </c>
      <c r="L35">
        <f t="shared" si="4"/>
        <v>13.978276154551249</v>
      </c>
    </row>
    <row r="36" spans="1:12" x14ac:dyDescent="0.3">
      <c r="A36">
        <v>48</v>
      </c>
      <c r="B36">
        <f t="shared" si="8"/>
        <v>6.7316452198257748</v>
      </c>
      <c r="C36">
        <f t="shared" si="9"/>
        <v>6.7316452198257748</v>
      </c>
      <c r="D36" t="s">
        <v>27</v>
      </c>
      <c r="E36" t="s">
        <v>19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STOWA2019_NDJF_T(A36*60,J36,I36,"GL","center")</f>
        <v>0.41398548194639773</v>
      </c>
      <c r="L36">
        <f t="shared" si="4"/>
        <v>7.2466309347254745</v>
      </c>
    </row>
    <row r="37" spans="1:12" x14ac:dyDescent="0.3">
      <c r="A37">
        <v>48</v>
      </c>
      <c r="B37">
        <f t="shared" si="8"/>
        <v>3.4013117625578349</v>
      </c>
      <c r="C37">
        <f t="shared" si="9"/>
        <v>3.4013117625578349</v>
      </c>
      <c r="D37" t="s">
        <v>27</v>
      </c>
      <c r="E37" t="s">
        <v>19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STOWA2019_NDJF_T(A37*60,J37,I37,"GL","center")</f>
        <v>0.78016930862695433</v>
      </c>
      <c r="L37">
        <f t="shared" si="4"/>
        <v>3.8453191721676396</v>
      </c>
    </row>
    <row r="38" spans="1:12" x14ac:dyDescent="0.3">
      <c r="A38">
        <v>48</v>
      </c>
      <c r="B38">
        <f t="shared" si="8"/>
        <v>1.7597312805749588</v>
      </c>
      <c r="C38">
        <f t="shared" si="9"/>
        <v>1.7597312805749588</v>
      </c>
      <c r="D38" t="s">
        <v>27</v>
      </c>
      <c r="E38" t="s">
        <v>19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STOWA2019_NDJF_T(A38*60,J38,I38,"GL","center")</f>
        <v>1.4384433339364175</v>
      </c>
      <c r="L38">
        <f t="shared" si="4"/>
        <v>2.0855878915926809</v>
      </c>
    </row>
    <row r="39" spans="1:12" x14ac:dyDescent="0.3">
      <c r="A39">
        <v>48</v>
      </c>
      <c r="B39">
        <f>L38-L39</f>
        <v>0.93141825505421694</v>
      </c>
      <c r="C39">
        <f t="shared" si="9"/>
        <v>0.93141825505421694</v>
      </c>
      <c r="D39" t="s">
        <v>27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STOWA2019_NDJF_T(A39*60,J39,I39,"GL","center")</f>
        <v>2.599271289961735</v>
      </c>
      <c r="L39">
        <f t="shared" si="4"/>
        <v>1.1541696365384639</v>
      </c>
    </row>
    <row r="40" spans="1:12" x14ac:dyDescent="0.3">
      <c r="A40">
        <v>48</v>
      </c>
      <c r="B40">
        <f t="shared" ref="B40:B62" si="12">L39-L40</f>
        <v>0.50321067421896326</v>
      </c>
      <c r="C40">
        <f t="shared" si="9"/>
        <v>0.50321067421896326</v>
      </c>
      <c r="D40" t="s">
        <v>27</v>
      </c>
      <c r="E40" t="s">
        <v>19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STOWA2019_NDJF_T(A40*60,J40,I40,"GL","center")</f>
        <v>4.6085854464778899</v>
      </c>
      <c r="L40">
        <f t="shared" si="4"/>
        <v>0.65095896231950068</v>
      </c>
    </row>
    <row r="41" spans="1:12" x14ac:dyDescent="0.3">
      <c r="A41">
        <v>48</v>
      </c>
      <c r="B41">
        <f t="shared" si="12"/>
        <v>0.27721986704282842</v>
      </c>
      <c r="C41">
        <f t="shared" si="9"/>
        <v>0.27721986704282842</v>
      </c>
      <c r="D41" t="s">
        <v>27</v>
      </c>
      <c r="E41" t="s">
        <v>19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STOWA2019_NDJF_T(A41*60,J41,I41,"GL","center")</f>
        <v>8.0269900524566591</v>
      </c>
      <c r="L41">
        <f t="shared" si="4"/>
        <v>0.37373909527667226</v>
      </c>
    </row>
    <row r="42" spans="1:12" x14ac:dyDescent="0.3">
      <c r="A42">
        <v>48</v>
      </c>
      <c r="B42">
        <f t="shared" si="12"/>
        <v>0.15554438392326073</v>
      </c>
      <c r="C42">
        <f t="shared" si="9"/>
        <v>0.15554438392326073</v>
      </c>
      <c r="D42" t="s">
        <v>27</v>
      </c>
      <c r="E42" t="s">
        <v>19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STOWA2019_NDJF_T(A42*60,J42,I42,"GL","center")</f>
        <v>13.749187509594945</v>
      </c>
      <c r="L42">
        <f t="shared" si="4"/>
        <v>0.21819471135341154</v>
      </c>
    </row>
    <row r="43" spans="1:12" x14ac:dyDescent="0.3">
      <c r="A43">
        <v>48</v>
      </c>
      <c r="B43">
        <f t="shared" si="12"/>
        <v>8.8786548095670659E-2</v>
      </c>
      <c r="C43">
        <f t="shared" si="9"/>
        <v>8.8786548095670659E-2</v>
      </c>
      <c r="D43" t="s">
        <v>27</v>
      </c>
      <c r="E43" t="s">
        <v>19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STOWA2019_NDJF_T(A43*60,J43,I43,"GL","center")</f>
        <v>23.182463335214269</v>
      </c>
      <c r="L43">
        <f t="shared" si="4"/>
        <v>0.12940816325774088</v>
      </c>
    </row>
    <row r="44" spans="1:12" x14ac:dyDescent="0.3">
      <c r="A44">
        <v>48</v>
      </c>
      <c r="B44">
        <f t="shared" si="12"/>
        <v>5.1510903094057078E-2</v>
      </c>
      <c r="C44">
        <f t="shared" si="9"/>
        <v>5.1510903094057078E-2</v>
      </c>
      <c r="D44" t="s">
        <v>27</v>
      </c>
      <c r="E44" t="s">
        <v>19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STOWA2019_NDJF_T(A44*60,J44,I44,"GL","center")</f>
        <v>38.512265947430834</v>
      </c>
      <c r="L44">
        <f t="shared" si="4"/>
        <v>7.7897260163683799E-2</v>
      </c>
    </row>
    <row r="45" spans="1:12" x14ac:dyDescent="0.3">
      <c r="A45">
        <v>48</v>
      </c>
      <c r="B45">
        <f t="shared" si="12"/>
        <v>3.0344097116859273E-2</v>
      </c>
      <c r="C45">
        <f t="shared" si="9"/>
        <v>3.0344097116859273E-2</v>
      </c>
      <c r="D45" t="s">
        <v>27</v>
      </c>
      <c r="E45" t="s">
        <v>19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STOWA2019_NDJF_T(A45*60,J45,I45,"GL","center")</f>
        <v>63.087286055944752</v>
      </c>
      <c r="L45">
        <f t="shared" si="4"/>
        <v>4.7553163046824526E-2</v>
      </c>
    </row>
    <row r="46" spans="1:12" x14ac:dyDescent="0.3">
      <c r="A46">
        <v>48</v>
      </c>
      <c r="B46">
        <f t="shared" si="12"/>
        <v>1.8135992620582946E-2</v>
      </c>
      <c r="C46">
        <f t="shared" si="9"/>
        <v>1.8135992620582946E-2</v>
      </c>
      <c r="D46" t="s">
        <v>27</v>
      </c>
      <c r="E46" t="s">
        <v>19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STOWA2019_NDJF_T(A46*60,J46,I46,"GL","center")</f>
        <v>101.98125640676341</v>
      </c>
      <c r="L46">
        <f t="shared" si="4"/>
        <v>2.941717042624158E-2</v>
      </c>
    </row>
    <row r="47" spans="1:12" x14ac:dyDescent="0.3">
      <c r="A47">
        <v>48</v>
      </c>
      <c r="B47">
        <f t="shared" si="12"/>
        <v>1.0988723544354775E-2</v>
      </c>
      <c r="C47">
        <f t="shared" si="9"/>
        <v>1.0988723544354775E-2</v>
      </c>
      <c r="D47" t="s">
        <v>27</v>
      </c>
      <c r="E47" t="s">
        <v>19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STOWA2019_NDJF_T(A47*60,J47,I47,"GL","center")</f>
        <v>162.79179787791449</v>
      </c>
      <c r="L47">
        <f t="shared" si="4"/>
        <v>1.8428446881886804E-2</v>
      </c>
    </row>
    <row r="48" spans="1:12" x14ac:dyDescent="0.3">
      <c r="A48">
        <v>48</v>
      </c>
      <c r="B48">
        <f t="shared" si="12"/>
        <v>6.7454007987459083E-3</v>
      </c>
      <c r="C48">
        <f t="shared" si="9"/>
        <v>6.7454007987459083E-3</v>
      </c>
      <c r="D48" t="s">
        <v>27</v>
      </c>
      <c r="E48" t="s">
        <v>19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STOWA2019_NDJF_T(A48*60,J48,I48,"GL","center")</f>
        <v>256.78234757022148</v>
      </c>
      <c r="L48">
        <f t="shared" si="4"/>
        <v>1.1683046083140896E-2</v>
      </c>
    </row>
    <row r="49" spans="1:12" x14ac:dyDescent="0.3">
      <c r="A49">
        <v>48</v>
      </c>
      <c r="B49">
        <f t="shared" si="12"/>
        <v>4.1918211887472957E-3</v>
      </c>
      <c r="C49">
        <f t="shared" si="9"/>
        <v>4.1918211887472957E-3</v>
      </c>
      <c r="D49" t="s">
        <v>27</v>
      </c>
      <c r="E49" t="s">
        <v>19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STOWA2019_NDJF_T(A49*60,J49,I49,"GL","center")</f>
        <v>400.46855384693987</v>
      </c>
      <c r="L49">
        <f t="shared" si="4"/>
        <v>7.4912248943936003E-3</v>
      </c>
    </row>
    <row r="50" spans="1:12" x14ac:dyDescent="0.3">
      <c r="A50">
        <v>48</v>
      </c>
      <c r="B50">
        <f t="shared" si="12"/>
        <v>2.6357034024011138E-3</v>
      </c>
      <c r="C50">
        <f t="shared" si="9"/>
        <v>2.6357034024011138E-3</v>
      </c>
      <c r="D50" t="s">
        <v>27</v>
      </c>
      <c r="E50" t="s">
        <v>19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STOWA2019_NDJF_T(A50*60,J50,I50,"GL","center")</f>
        <v>617.85330472689054</v>
      </c>
      <c r="L50">
        <f t="shared" si="4"/>
        <v>4.8555214919924865E-3</v>
      </c>
    </row>
    <row r="51" spans="1:12" x14ac:dyDescent="0.3">
      <c r="A51">
        <v>48</v>
      </c>
      <c r="B51">
        <f t="shared" si="12"/>
        <v>1.6758686065903887E-3</v>
      </c>
      <c r="C51">
        <f t="shared" si="9"/>
        <v>1.6758686065903887E-3</v>
      </c>
      <c r="D51" t="s">
        <v>27</v>
      </c>
      <c r="E51" t="s">
        <v>19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STOWA2019_NDJF_T(A51*60,J51,I51,"GL","center")</f>
        <v>943.49921457562539</v>
      </c>
      <c r="L51">
        <f t="shared" si="4"/>
        <v>3.1796528854020978E-3</v>
      </c>
    </row>
    <row r="52" spans="1:12" x14ac:dyDescent="0.3">
      <c r="A52">
        <v>48</v>
      </c>
      <c r="B52">
        <f t="shared" si="12"/>
        <v>1.0769185260139035E-3</v>
      </c>
      <c r="C52">
        <f t="shared" si="9"/>
        <v>1.0769185260139035E-3</v>
      </c>
      <c r="D52" t="s">
        <v>27</v>
      </c>
      <c r="E52" t="s">
        <v>19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STOWA2019_NDJF_T(A52*60,J52,I52,"GL","center")</f>
        <v>1426.7137389969087</v>
      </c>
      <c r="L52">
        <f t="shared" si="4"/>
        <v>2.1027343593881943E-3</v>
      </c>
    </row>
    <row r="53" spans="1:12" x14ac:dyDescent="0.3">
      <c r="A53">
        <v>48</v>
      </c>
      <c r="B53">
        <f t="shared" si="12"/>
        <v>6.9909063409209641E-4</v>
      </c>
      <c r="C53">
        <f t="shared" si="9"/>
        <v>6.9909063409209641E-4</v>
      </c>
      <c r="D53" t="s">
        <v>27</v>
      </c>
      <c r="E53" t="s">
        <v>19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STOWA2019_NDJF_T(A53*60,J53,I53,"GL","center")</f>
        <v>2137.294490001123</v>
      </c>
      <c r="L53">
        <f t="shared" si="4"/>
        <v>1.4036437252960979E-3</v>
      </c>
    </row>
    <row r="54" spans="1:12" x14ac:dyDescent="0.3">
      <c r="A54">
        <v>48</v>
      </c>
      <c r="B54">
        <f t="shared" si="12"/>
        <v>4.582537241514383E-4</v>
      </c>
      <c r="C54">
        <f t="shared" si="9"/>
        <v>4.582537241514383E-4</v>
      </c>
      <c r="D54" t="s">
        <v>27</v>
      </c>
      <c r="E54" t="s">
        <v>19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STOWA2019_NDJF_T(A54*60,J54,I54,"GL","center")</f>
        <v>3173.2935575452025</v>
      </c>
      <c r="L54">
        <f t="shared" si="4"/>
        <v>9.4539000114465962E-4</v>
      </c>
    </row>
    <row r="55" spans="1:12" x14ac:dyDescent="0.3">
      <c r="A55">
        <v>48</v>
      </c>
      <c r="B55">
        <f t="shared" si="12"/>
        <v>3.0317305128669983E-4</v>
      </c>
      <c r="C55">
        <f t="shared" si="9"/>
        <v>3.0317305128669983E-4</v>
      </c>
      <c r="D55" t="s">
        <v>27</v>
      </c>
      <c r="E55" t="s">
        <v>19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STOWA2019_NDJF_T(A55*60,J55,I55,"GL","center")</f>
        <v>4671.3186263045773</v>
      </c>
      <c r="L55">
        <f t="shared" si="4"/>
        <v>6.4221694985795979E-4</v>
      </c>
    </row>
    <row r="56" spans="1:12" x14ac:dyDescent="0.3">
      <c r="A56">
        <v>48</v>
      </c>
      <c r="B56">
        <f t="shared" si="12"/>
        <v>2.0235702725189271E-4</v>
      </c>
      <c r="C56">
        <f t="shared" si="9"/>
        <v>2.0235702725189271E-4</v>
      </c>
      <c r="D56" t="s">
        <v>27</v>
      </c>
      <c r="E56" t="s">
        <v>19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STOWA2019_NDJF_T(A56*60,J56,I56,"GL","center")</f>
        <v>6820.3531302095043</v>
      </c>
      <c r="L56">
        <f t="shared" si="4"/>
        <v>4.3985992260606708E-4</v>
      </c>
    </row>
    <row r="57" spans="1:12" x14ac:dyDescent="0.3">
      <c r="A57">
        <v>48</v>
      </c>
      <c r="B57">
        <f t="shared" si="12"/>
        <v>1.3622235452402881E-4</v>
      </c>
      <c r="C57">
        <f t="shared" si="9"/>
        <v>1.3622235452402881E-4</v>
      </c>
      <c r="D57" t="s">
        <v>27</v>
      </c>
      <c r="E57" t="s">
        <v>19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STOWA2019_NDJF_T(A57*60,J57,I57,"GL","center")</f>
        <v>9880.2003287993848</v>
      </c>
      <c r="L57">
        <f t="shared" si="4"/>
        <v>3.0363756808203827E-4</v>
      </c>
    </row>
    <row r="58" spans="1:12" x14ac:dyDescent="0.3">
      <c r="A58">
        <v>48</v>
      </c>
      <c r="B58">
        <f t="shared" si="12"/>
        <v>9.244827341579198E-5</v>
      </c>
      <c r="C58">
        <f t="shared" si="9"/>
        <v>9.244827341579198E-5</v>
      </c>
      <c r="D58" t="s">
        <v>27</v>
      </c>
      <c r="E58" t="s">
        <v>19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STOWA2019_NDJF_T(A58*60,J58,I58,"GL","center")</f>
        <v>14205.265492936373</v>
      </c>
      <c r="L58">
        <f t="shared" si="4"/>
        <v>2.1118929466624629E-4</v>
      </c>
    </row>
    <row r="59" spans="1:12" x14ac:dyDescent="0.3">
      <c r="A59">
        <v>48</v>
      </c>
      <c r="B59">
        <f t="shared" si="12"/>
        <v>6.3234899172954909E-5</v>
      </c>
      <c r="C59">
        <f t="shared" si="9"/>
        <v>6.3234899172954909E-5</v>
      </c>
      <c r="D59" t="s">
        <v>27</v>
      </c>
      <c r="E59" t="s">
        <v>19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STOWA2019_NDJF_T(A59*60,J59,I59,"GL","center")</f>
        <v>20276.518247381355</v>
      </c>
      <c r="L59">
        <f t="shared" si="4"/>
        <v>1.4795439549329138E-4</v>
      </c>
    </row>
    <row r="60" spans="1:12" x14ac:dyDescent="0.3">
      <c r="A60">
        <v>48</v>
      </c>
      <c r="B60">
        <f t="shared" si="12"/>
        <v>4.3577176213307746E-5</v>
      </c>
      <c r="C60">
        <f t="shared" si="9"/>
        <v>4.3577176213307746E-5</v>
      </c>
      <c r="D60" t="s">
        <v>27</v>
      </c>
      <c r="E60" t="s">
        <v>19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STOWA2019_NDJF_T(A60*60,J60,I60,"GL","center")</f>
        <v>28741.903843526787</v>
      </c>
      <c r="L60">
        <f t="shared" si="4"/>
        <v>1.0437721927998364E-4</v>
      </c>
    </row>
    <row r="61" spans="1:12" x14ac:dyDescent="0.3">
      <c r="A61">
        <v>48</v>
      </c>
      <c r="B61">
        <f t="shared" si="12"/>
        <v>3.0248380553825268E-5</v>
      </c>
      <c r="C61">
        <f t="shared" si="9"/>
        <v>3.0248380553825268E-5</v>
      </c>
      <c r="D61" t="s">
        <v>27</v>
      </c>
      <c r="E61" t="s">
        <v>19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STOWA2019_NDJF_T(A61*60,J61,I61,"GL","center")</f>
        <v>40470.079547345842</v>
      </c>
      <c r="L61">
        <f t="shared" si="4"/>
        <v>7.4128838726158369E-5</v>
      </c>
    </row>
    <row r="62" spans="1:12" x14ac:dyDescent="0.3">
      <c r="A62">
        <v>48</v>
      </c>
      <c r="B62">
        <f t="shared" si="12"/>
        <v>2.1142598940662747E-5</v>
      </c>
      <c r="C62">
        <f t="shared" si="9"/>
        <v>2.1142598940662747E-5</v>
      </c>
      <c r="D62" t="s">
        <v>27</v>
      </c>
      <c r="E62" t="s">
        <v>19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STOWA2019_NDJF_T(A62*60,J62,I62,"GL","center")</f>
        <v>56618.473251638738</v>
      </c>
      <c r="L62">
        <f t="shared" si="4"/>
        <v>5.2986239785495622E-5</v>
      </c>
    </row>
    <row r="63" spans="1:12" x14ac:dyDescent="0.3">
      <c r="A63">
        <v>48</v>
      </c>
      <c r="B63" s="1">
        <f>L62</f>
        <v>5.2986239785495622E-5</v>
      </c>
      <c r="C63">
        <f t="shared" si="9"/>
        <v>5.2986239785495622E-5</v>
      </c>
      <c r="D63" t="s">
        <v>27</v>
      </c>
      <c r="E63" t="s">
        <v>19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STOWA2019_NDJF_T(A63*60,J63,I63,"GL","center")</f>
        <v>204.75298229349028</v>
      </c>
      <c r="L63">
        <f t="shared" si="4"/>
        <v>1.4651801240676627E-2</v>
      </c>
    </row>
    <row r="64" spans="1:12" x14ac:dyDescent="0.3">
      <c r="A64">
        <v>96</v>
      </c>
      <c r="B64" s="1">
        <f>365.25*24/A64 - L64</f>
        <v>31.972526317921769</v>
      </c>
      <c r="C64">
        <f>B64</f>
        <v>31.972526317921769</v>
      </c>
      <c r="D64" t="s">
        <v>27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STOWA2019_NDJF_T(A64*60,J64,I64,"GL","center")</f>
        <v>5.055613971237833E-2</v>
      </c>
      <c r="L64">
        <f t="shared" si="4"/>
        <v>59.339973682078231</v>
      </c>
    </row>
    <row r="65" spans="1:12" x14ac:dyDescent="0.3">
      <c r="A65">
        <v>96</v>
      </c>
      <c r="B65">
        <f t="shared" ref="B65:B69" si="15">L64-L65</f>
        <v>12.632491497185448</v>
      </c>
      <c r="C65">
        <f t="shared" ref="C65:C94" si="16">B65</f>
        <v>12.632491497185448</v>
      </c>
      <c r="D65" t="s">
        <v>27</v>
      </c>
      <c r="E65" t="s">
        <v>19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STOWA2019_NDJF_T(A65*60,J65,I65,"GL","center")</f>
        <v>6.4229537959773167E-2</v>
      </c>
      <c r="L65">
        <f t="shared" si="4"/>
        <v>46.707482184892783</v>
      </c>
    </row>
    <row r="66" spans="1:12" x14ac:dyDescent="0.3">
      <c r="A66">
        <v>96</v>
      </c>
      <c r="B66">
        <f t="shared" si="15"/>
        <v>17.660618652278139</v>
      </c>
      <c r="C66">
        <f t="shared" si="16"/>
        <v>17.660618652278139</v>
      </c>
      <c r="D66" t="s">
        <v>27</v>
      </c>
      <c r="E66" t="s">
        <v>19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STOWA2019_NDJF_T(A66*60,J66,I66,"GL","center")</f>
        <v>0.10328137482491061</v>
      </c>
      <c r="L66">
        <f t="shared" si="4"/>
        <v>29.046863532614644</v>
      </c>
    </row>
    <row r="67" spans="1:12" x14ac:dyDescent="0.3">
      <c r="A67">
        <v>96</v>
      </c>
      <c r="B67">
        <f t="shared" si="15"/>
        <v>10.894067661053899</v>
      </c>
      <c r="C67">
        <f t="shared" si="16"/>
        <v>10.894067661053899</v>
      </c>
      <c r="D67" t="s">
        <v>27</v>
      </c>
      <c r="E67" t="s">
        <v>19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STOWA2019_NDJF_T(A67*60,J67,I67,"GL","center")</f>
        <v>0.16526379854796799</v>
      </c>
      <c r="L67">
        <f t="shared" ref="L67:L130" si="19">1/K67 * 12/4</f>
        <v>18.152795871560745</v>
      </c>
    </row>
    <row r="68" spans="1:12" x14ac:dyDescent="0.3">
      <c r="A68">
        <v>96</v>
      </c>
      <c r="B68">
        <f t="shared" si="15"/>
        <v>6.7535691547169208</v>
      </c>
      <c r="C68">
        <f t="shared" si="16"/>
        <v>6.7535691547169208</v>
      </c>
      <c r="D68" t="s">
        <v>27</v>
      </c>
      <c r="E68" t="s">
        <v>19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STOWA2019_NDJF_T(A68*60,J68,I68,"GL","center")</f>
        <v>0.26317574643612573</v>
      </c>
      <c r="L68">
        <f t="shared" si="19"/>
        <v>11.399226716843824</v>
      </c>
    </row>
    <row r="69" spans="1:12" x14ac:dyDescent="0.3">
      <c r="A69">
        <v>96</v>
      </c>
      <c r="B69">
        <f t="shared" si="15"/>
        <v>4.2070744953766601</v>
      </c>
      <c r="C69">
        <f t="shared" si="16"/>
        <v>4.2070744953766601</v>
      </c>
      <c r="D69" t="s">
        <v>27</v>
      </c>
      <c r="E69" t="s">
        <v>19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STOWA2019_NDJF_T(A69*60,J69,I69,"GL","center")</f>
        <v>0.41712131607081238</v>
      </c>
      <c r="L69">
        <f t="shared" si="19"/>
        <v>7.1921522214671638</v>
      </c>
    </row>
    <row r="70" spans="1:12" x14ac:dyDescent="0.3">
      <c r="A70">
        <v>96</v>
      </c>
      <c r="B70">
        <f>L69-L70</f>
        <v>2.6333967405672203</v>
      </c>
      <c r="C70">
        <f t="shared" si="16"/>
        <v>2.6333967405672203</v>
      </c>
      <c r="D70" t="s">
        <v>27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STOWA2019_NDJF_T(A70*60,J70,I70,"GL","center")</f>
        <v>0.65807433905355472</v>
      </c>
      <c r="L70">
        <f t="shared" si="19"/>
        <v>4.5587554808999435</v>
      </c>
    </row>
    <row r="71" spans="1:12" x14ac:dyDescent="0.3">
      <c r="A71">
        <v>96</v>
      </c>
      <c r="B71">
        <f t="shared" ref="B71:B93" si="20">L70-L71</f>
        <v>1.6558115654391012</v>
      </c>
      <c r="C71">
        <f t="shared" si="16"/>
        <v>1.6558115654391012</v>
      </c>
      <c r="D71" t="s">
        <v>27</v>
      </c>
      <c r="E71" t="s">
        <v>19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STOWA2019_NDJF_T(A71*60,J71,I71,"GL","center")</f>
        <v>1.0334336753880242</v>
      </c>
      <c r="L71">
        <f t="shared" si="19"/>
        <v>2.9029439154608423</v>
      </c>
    </row>
    <row r="72" spans="1:12" x14ac:dyDescent="0.3">
      <c r="A72">
        <v>96</v>
      </c>
      <c r="B72">
        <f t="shared" si="20"/>
        <v>1.0463114625698411</v>
      </c>
      <c r="C72">
        <f t="shared" si="16"/>
        <v>1.0463114625698411</v>
      </c>
      <c r="D72" t="s">
        <v>27</v>
      </c>
      <c r="E72" t="s">
        <v>19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STOWA2019_NDJF_T(A72*60,J72,I72,"GL","center")</f>
        <v>1.6158286985281536</v>
      </c>
      <c r="L72">
        <f t="shared" si="19"/>
        <v>1.8566324528910012</v>
      </c>
    </row>
    <row r="73" spans="1:12" x14ac:dyDescent="0.3">
      <c r="A73">
        <v>96</v>
      </c>
      <c r="B73">
        <f t="shared" si="20"/>
        <v>0.6640110037105269</v>
      </c>
      <c r="C73">
        <f t="shared" si="16"/>
        <v>0.6640110037105269</v>
      </c>
      <c r="D73" t="s">
        <v>27</v>
      </c>
      <c r="E73" t="s">
        <v>19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STOWA2019_NDJF_T(A73*60,J73,I73,"GL","center")</f>
        <v>2.5154670847664948</v>
      </c>
      <c r="L73">
        <f t="shared" si="19"/>
        <v>1.1926214491804743</v>
      </c>
    </row>
    <row r="74" spans="1:12" x14ac:dyDescent="0.3">
      <c r="A74">
        <v>96</v>
      </c>
      <c r="B74">
        <f t="shared" si="20"/>
        <v>0.42325442417281645</v>
      </c>
      <c r="C74">
        <f t="shared" si="16"/>
        <v>0.42325442417281645</v>
      </c>
      <c r="D74" t="s">
        <v>27</v>
      </c>
      <c r="E74" t="s">
        <v>19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STOWA2019_NDJF_T(A74*60,J74,I74,"GL","center")</f>
        <v>3.8993093055556152</v>
      </c>
      <c r="L74">
        <f t="shared" si="19"/>
        <v>0.76936702500765786</v>
      </c>
    </row>
    <row r="75" spans="1:12" x14ac:dyDescent="0.3">
      <c r="A75">
        <v>96</v>
      </c>
      <c r="B75">
        <f t="shared" si="20"/>
        <v>0.27096373491913101</v>
      </c>
      <c r="C75">
        <f t="shared" si="16"/>
        <v>0.27096373491913101</v>
      </c>
      <c r="D75" t="s">
        <v>27</v>
      </c>
      <c r="E75" t="s">
        <v>19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STOWA2019_NDJF_T(A75*60,J75,I75,"GL","center")</f>
        <v>6.0192219025422906</v>
      </c>
      <c r="L75">
        <f t="shared" si="19"/>
        <v>0.49840329008852685</v>
      </c>
    </row>
    <row r="76" spans="1:12" x14ac:dyDescent="0.3">
      <c r="A76">
        <v>96</v>
      </c>
      <c r="B76">
        <f t="shared" si="20"/>
        <v>0.1742046753734115</v>
      </c>
      <c r="C76">
        <f t="shared" si="16"/>
        <v>0.1742046753734115</v>
      </c>
      <c r="D76" t="s">
        <v>27</v>
      </c>
      <c r="E76" t="s">
        <v>19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STOWA2019_NDJF_T(A76*60,J76,I76,"GL","center")</f>
        <v>9.2535867330469763</v>
      </c>
      <c r="L76">
        <f t="shared" si="19"/>
        <v>0.32419861471511535</v>
      </c>
    </row>
    <row r="77" spans="1:12" x14ac:dyDescent="0.3">
      <c r="A77">
        <v>96</v>
      </c>
      <c r="B77">
        <f t="shared" si="20"/>
        <v>0.11246423415184259</v>
      </c>
      <c r="C77">
        <f t="shared" si="16"/>
        <v>0.11246423415184259</v>
      </c>
      <c r="D77" t="s">
        <v>27</v>
      </c>
      <c r="E77" t="s">
        <v>19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STOWA2019_NDJF_T(A77*60,J77,I77,"GL","center")</f>
        <v>14.168695664913555</v>
      </c>
      <c r="L77">
        <f t="shared" si="19"/>
        <v>0.21173438056327276</v>
      </c>
    </row>
    <row r="78" spans="1:12" x14ac:dyDescent="0.3">
      <c r="A78">
        <v>96</v>
      </c>
      <c r="B78">
        <f t="shared" si="20"/>
        <v>7.290123574236107E-2</v>
      </c>
      <c r="C78">
        <f t="shared" si="16"/>
        <v>7.290123574236107E-2</v>
      </c>
      <c r="D78" t="s">
        <v>27</v>
      </c>
      <c r="E78" t="s">
        <v>19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STOWA2019_NDJF_T(A78*60,J78,I78,"GL","center")</f>
        <v>21.608672798342646</v>
      </c>
      <c r="L78">
        <f t="shared" si="19"/>
        <v>0.13883314482091169</v>
      </c>
    </row>
    <row r="79" spans="1:12" x14ac:dyDescent="0.3">
      <c r="A79">
        <v>96</v>
      </c>
      <c r="B79">
        <f t="shared" si="20"/>
        <v>4.7447717592315974E-2</v>
      </c>
      <c r="C79">
        <f t="shared" si="16"/>
        <v>4.7447717592315974E-2</v>
      </c>
      <c r="D79" t="s">
        <v>27</v>
      </c>
      <c r="E79" t="s">
        <v>19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STOWA2019_NDJF_T(A79*60,J79,I79,"GL","center")</f>
        <v>32.827991190495418</v>
      </c>
      <c r="L79">
        <f t="shared" si="19"/>
        <v>9.1385427228595717E-2</v>
      </c>
    </row>
    <row r="80" spans="1:12" x14ac:dyDescent="0.3">
      <c r="A80">
        <v>96</v>
      </c>
      <c r="B80">
        <f t="shared" si="20"/>
        <v>3.1001714369399892E-2</v>
      </c>
      <c r="C80">
        <f t="shared" si="16"/>
        <v>3.1001714369399892E-2</v>
      </c>
      <c r="D80" t="s">
        <v>27</v>
      </c>
      <c r="E80" t="s">
        <v>19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STOWA2019_NDJF_T(A80*60,J80,I80,"GL","center")</f>
        <v>49.682271227598598</v>
      </c>
      <c r="L80">
        <f t="shared" si="19"/>
        <v>6.0383712859195825E-2</v>
      </c>
    </row>
    <row r="81" spans="1:12" x14ac:dyDescent="0.3">
      <c r="A81">
        <v>96</v>
      </c>
      <c r="B81">
        <f t="shared" si="20"/>
        <v>2.0335363794492606E-2</v>
      </c>
      <c r="C81">
        <f t="shared" si="16"/>
        <v>2.0335363794492606E-2</v>
      </c>
      <c r="D81" t="s">
        <v>27</v>
      </c>
      <c r="E81" t="s">
        <v>19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STOWA2019_NDJF_T(A81*60,J81,I81,"GL","center")</f>
        <v>74.909454947896037</v>
      </c>
      <c r="L81">
        <f t="shared" si="19"/>
        <v>4.0048349064703219E-2</v>
      </c>
    </row>
    <row r="82" spans="1:12" x14ac:dyDescent="0.3">
      <c r="A82">
        <v>96</v>
      </c>
      <c r="B82">
        <f t="shared" si="20"/>
        <v>1.3389022569836775E-2</v>
      </c>
      <c r="C82">
        <f t="shared" si="16"/>
        <v>1.3389022569836775E-2</v>
      </c>
      <c r="D82" t="s">
        <v>27</v>
      </c>
      <c r="E82" t="s">
        <v>19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STOWA2019_NDJF_T(A82*60,J82,I82,"GL","center")</f>
        <v>112.53097487581633</v>
      </c>
      <c r="L82">
        <f t="shared" si="19"/>
        <v>2.6659326494866444E-2</v>
      </c>
    </row>
    <row r="83" spans="1:12" x14ac:dyDescent="0.3">
      <c r="A83">
        <v>96</v>
      </c>
      <c r="B83">
        <f t="shared" si="20"/>
        <v>8.8485956578277999E-3</v>
      </c>
      <c r="C83">
        <f t="shared" si="16"/>
        <v>8.8485956578277999E-3</v>
      </c>
      <c r="D83" t="s">
        <v>27</v>
      </c>
      <c r="E83" t="s">
        <v>19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STOWA2019_NDJF_T(A83*60,J83,I83,"GL","center")</f>
        <v>168.43778211286497</v>
      </c>
      <c r="L83">
        <f t="shared" si="19"/>
        <v>1.7810730837038644E-2</v>
      </c>
    </row>
    <row r="84" spans="1:12" x14ac:dyDescent="0.3">
      <c r="A84">
        <v>96</v>
      </c>
      <c r="B84">
        <f t="shared" si="20"/>
        <v>5.869344336221001E-3</v>
      </c>
      <c r="C84">
        <f t="shared" si="16"/>
        <v>5.869344336221001E-3</v>
      </c>
      <c r="D84" t="s">
        <v>27</v>
      </c>
      <c r="E84" t="s">
        <v>19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STOWA2019_NDJF_T(A84*60,J84,I84,"GL","center")</f>
        <v>251.22710832570289</v>
      </c>
      <c r="L84">
        <f t="shared" si="19"/>
        <v>1.1941386500817643E-2</v>
      </c>
    </row>
    <row r="85" spans="1:12" x14ac:dyDescent="0.3">
      <c r="A85">
        <v>96</v>
      </c>
      <c r="B85">
        <f t="shared" si="20"/>
        <v>3.9072098517801412E-3</v>
      </c>
      <c r="C85">
        <f t="shared" si="16"/>
        <v>3.9072098517801412E-3</v>
      </c>
      <c r="D85" t="s">
        <v>27</v>
      </c>
      <c r="E85" t="s">
        <v>19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STOWA2019_NDJF_T(A85*60,J85,I85,"GL","center")</f>
        <v>373.40478446654538</v>
      </c>
      <c r="L85">
        <f t="shared" si="19"/>
        <v>8.0341766490375013E-3</v>
      </c>
    </row>
    <row r="86" spans="1:12" x14ac:dyDescent="0.3">
      <c r="A86">
        <v>96</v>
      </c>
      <c r="B86">
        <f t="shared" si="20"/>
        <v>2.6102293695526788E-3</v>
      </c>
      <c r="C86">
        <f t="shared" si="16"/>
        <v>2.6102293695526788E-3</v>
      </c>
      <c r="D86" t="s">
        <v>27</v>
      </c>
      <c r="E86" t="s">
        <v>19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STOWA2019_NDJF_T(A86*60,J86,I86,"GL","center")</f>
        <v>553.10272121320213</v>
      </c>
      <c r="L86">
        <f t="shared" si="19"/>
        <v>5.4239472794848226E-3</v>
      </c>
    </row>
    <row r="87" spans="1:12" x14ac:dyDescent="0.3">
      <c r="A87">
        <v>96</v>
      </c>
      <c r="B87">
        <f t="shared" si="20"/>
        <v>1.7498425481252541E-3</v>
      </c>
      <c r="C87">
        <f t="shared" si="16"/>
        <v>1.7498425481252541E-3</v>
      </c>
      <c r="D87" t="s">
        <v>27</v>
      </c>
      <c r="E87" t="s">
        <v>19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STOWA2019_NDJF_T(A87*60,J87,I87,"GL","center")</f>
        <v>816.52544479587482</v>
      </c>
      <c r="L87">
        <f t="shared" si="19"/>
        <v>3.6741047313595685E-3</v>
      </c>
    </row>
    <row r="88" spans="1:12" x14ac:dyDescent="0.3">
      <c r="A88">
        <v>96</v>
      </c>
      <c r="B88">
        <f t="shared" si="20"/>
        <v>1.1770689297954514E-3</v>
      </c>
      <c r="C88">
        <f t="shared" si="16"/>
        <v>1.1770689297954514E-3</v>
      </c>
      <c r="D88" t="s">
        <v>27</v>
      </c>
      <c r="E88" t="s">
        <v>19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STOWA2019_NDJF_T(A88*60,J88,I88,"GL","center")</f>
        <v>1201.4245042545372</v>
      </c>
      <c r="L88">
        <f t="shared" si="19"/>
        <v>2.497035801564117E-3</v>
      </c>
    </row>
    <row r="89" spans="1:12" x14ac:dyDescent="0.3">
      <c r="A89">
        <v>96</v>
      </c>
      <c r="B89">
        <f t="shared" si="20"/>
        <v>7.9444229031301866E-4</v>
      </c>
      <c r="C89">
        <f t="shared" si="16"/>
        <v>7.9444229031301866E-4</v>
      </c>
      <c r="D89" t="s">
        <v>27</v>
      </c>
      <c r="E89" t="s">
        <v>19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STOWA2019_NDJF_T(A89*60,J89,I89,"GL","center")</f>
        <v>1762.0177571307329</v>
      </c>
      <c r="L89">
        <f t="shared" si="19"/>
        <v>1.7025935112510984E-3</v>
      </c>
    </row>
    <row r="90" spans="1:12" x14ac:dyDescent="0.3">
      <c r="A90">
        <v>96</v>
      </c>
      <c r="B90">
        <f t="shared" si="20"/>
        <v>5.3796731676860991E-4</v>
      </c>
      <c r="C90">
        <f t="shared" si="16"/>
        <v>5.3796731676860991E-4</v>
      </c>
      <c r="D90" t="s">
        <v>27</v>
      </c>
      <c r="E90" t="s">
        <v>19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STOWA2019_NDJF_T(A90*60,J90,I90,"GL","center")</f>
        <v>2575.9338182609531</v>
      </c>
      <c r="L90">
        <f t="shared" si="19"/>
        <v>1.1646261944824885E-3</v>
      </c>
    </row>
    <row r="91" spans="1:12" x14ac:dyDescent="0.3">
      <c r="A91">
        <v>96</v>
      </c>
      <c r="B91">
        <f t="shared" si="20"/>
        <v>3.6547141247435147E-4</v>
      </c>
      <c r="C91">
        <f t="shared" si="16"/>
        <v>3.6547141247435147E-4</v>
      </c>
      <c r="D91" t="s">
        <v>27</v>
      </c>
      <c r="E91" t="s">
        <v>19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STOWA2019_NDJF_T(A91*60,J91,I91,"GL","center")</f>
        <v>3753.9661496631747</v>
      </c>
      <c r="L91">
        <f t="shared" si="19"/>
        <v>7.9915478200813701E-4</v>
      </c>
    </row>
    <row r="92" spans="1:12" x14ac:dyDescent="0.3">
      <c r="A92">
        <v>96</v>
      </c>
      <c r="B92">
        <f t="shared" si="20"/>
        <v>2.4908644441077319E-4</v>
      </c>
      <c r="C92">
        <f t="shared" si="16"/>
        <v>2.4908644441077319E-4</v>
      </c>
      <c r="D92" t="s">
        <v>27</v>
      </c>
      <c r="E92" t="s">
        <v>19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STOWA2019_NDJF_T(A92*60,J92,I92,"GL","center")</f>
        <v>5453.8678105045283</v>
      </c>
      <c r="L92">
        <f t="shared" si="19"/>
        <v>5.5006833759736382E-4</v>
      </c>
    </row>
    <row r="93" spans="1:12" x14ac:dyDescent="0.3">
      <c r="A93">
        <v>96</v>
      </c>
      <c r="B93">
        <f t="shared" si="20"/>
        <v>1.702950377756602E-4</v>
      </c>
      <c r="C93">
        <f t="shared" si="16"/>
        <v>1.702950377756602E-4</v>
      </c>
      <c r="D93" t="s">
        <v>27</v>
      </c>
      <c r="E93" t="s">
        <v>19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STOWA2019_NDJF_T(A93*60,J93,I93,"GL","center")</f>
        <v>7899.4494910738667</v>
      </c>
      <c r="L93">
        <f t="shared" si="19"/>
        <v>3.7977329982170362E-4</v>
      </c>
    </row>
    <row r="94" spans="1:12" x14ac:dyDescent="0.3">
      <c r="A94">
        <v>96</v>
      </c>
      <c r="B94" s="1">
        <f>L93</f>
        <v>3.7977329982170362E-4</v>
      </c>
      <c r="C94">
        <f t="shared" si="16"/>
        <v>3.7977329982170362E-4</v>
      </c>
      <c r="D94" t="s">
        <v>27</v>
      </c>
      <c r="E94" t="s">
        <v>19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STOWA2019_NDJF_T(A94*60,J94,I94,"GL","center")</f>
        <v>26.646913916220491</v>
      </c>
      <c r="L94">
        <f t="shared" si="19"/>
        <v>0.11258339368799636</v>
      </c>
    </row>
    <row r="95" spans="1:12" x14ac:dyDescent="0.3">
      <c r="A95">
        <v>192</v>
      </c>
      <c r="B95" s="1">
        <f>365.25*24/A95 - L95</f>
        <v>-17.43189262647455</v>
      </c>
      <c r="C95">
        <f>B95</f>
        <v>-17.43189262647455</v>
      </c>
      <c r="D95" t="s">
        <v>27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STOWA2019_NDJF_T(A95*60,J95,I95,"GL","center")</f>
        <v>4.7552517400331083E-2</v>
      </c>
      <c r="L95">
        <f t="shared" si="19"/>
        <v>63.08814262647455</v>
      </c>
    </row>
    <row r="96" spans="1:12" x14ac:dyDescent="0.3">
      <c r="A96">
        <v>192</v>
      </c>
      <c r="B96">
        <f t="shared" ref="B96:B100" si="23">L95-L96</f>
        <v>8.2771908341433544</v>
      </c>
      <c r="C96">
        <f t="shared" ref="C96:C125" si="24">B96</f>
        <v>8.2771908341433544</v>
      </c>
      <c r="D96" t="s">
        <v>27</v>
      </c>
      <c r="E96" t="s">
        <v>19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cm="1">
        <f t="array" ref="K96">STOWA2019_NDJF_T(A96*60,J96,I96,"GL","center")</f>
        <v>5.4733587027761502E-2</v>
      </c>
      <c r="L96">
        <f t="shared" si="19"/>
        <v>54.810951792331196</v>
      </c>
    </row>
    <row r="97" spans="1:12" x14ac:dyDescent="0.3">
      <c r="A97">
        <v>192</v>
      </c>
      <c r="B97">
        <f t="shared" si="23"/>
        <v>13.553141354128641</v>
      </c>
      <c r="C97">
        <f t="shared" si="24"/>
        <v>13.553141354128641</v>
      </c>
      <c r="D97" t="s">
        <v>27</v>
      </c>
      <c r="E97" t="s">
        <v>19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STOWA2019_NDJF_T(A97*60,J97,I97,"GL","center")</f>
        <v>7.2713504864576103E-2</v>
      </c>
      <c r="L97">
        <f t="shared" si="19"/>
        <v>41.257810438202554</v>
      </c>
    </row>
    <row r="98" spans="1:12" x14ac:dyDescent="0.3">
      <c r="A98">
        <v>192</v>
      </c>
      <c r="B98">
        <f t="shared" si="23"/>
        <v>10.318504385987914</v>
      </c>
      <c r="C98">
        <f t="shared" si="24"/>
        <v>10.318504385987914</v>
      </c>
      <c r="D98" t="s">
        <v>27</v>
      </c>
      <c r="E98" t="s">
        <v>19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STOWA2019_NDJF_T(A98*60,J98,I98,"GL","center")</f>
        <v>9.6964036456960528E-2</v>
      </c>
      <c r="L98">
        <f t="shared" si="19"/>
        <v>30.93930605221464</v>
      </c>
    </row>
    <row r="99" spans="1:12" x14ac:dyDescent="0.3">
      <c r="A99">
        <v>192</v>
      </c>
      <c r="B99">
        <f t="shared" si="23"/>
        <v>7.8273146998910121</v>
      </c>
      <c r="C99">
        <f t="shared" si="24"/>
        <v>7.8273146998910121</v>
      </c>
      <c r="D99" t="s">
        <v>27</v>
      </c>
      <c r="E99" t="s">
        <v>19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STOWA2019_NDJF_T(A99*60,J99,I99,"GL","center")</f>
        <v>0.12980274846366222</v>
      </c>
      <c r="L99">
        <f t="shared" si="19"/>
        <v>23.111991352323628</v>
      </c>
    </row>
    <row r="100" spans="1:12" x14ac:dyDescent="0.3">
      <c r="A100">
        <v>192</v>
      </c>
      <c r="B100">
        <f t="shared" si="23"/>
        <v>5.9154288685005874</v>
      </c>
      <c r="C100">
        <f t="shared" si="24"/>
        <v>5.9154288685005874</v>
      </c>
      <c r="D100" t="s">
        <v>27</v>
      </c>
      <c r="E100" t="s">
        <v>19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STOWA2019_NDJF_T(A100*60,J100,I100,"GL","center")</f>
        <v>0.17445347015266144</v>
      </c>
      <c r="L100">
        <f t="shared" si="19"/>
        <v>17.19656248382304</v>
      </c>
    </row>
    <row r="101" spans="1:12" x14ac:dyDescent="0.3">
      <c r="A101">
        <v>192</v>
      </c>
      <c r="B101">
        <f>L100-L101</f>
        <v>4.4534282081492584</v>
      </c>
      <c r="C101">
        <f t="shared" si="24"/>
        <v>4.4534282081492584</v>
      </c>
      <c r="D101" t="s">
        <v>27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STOWA2019_NDJF_T(A101*60,J101,I101,"GL","center")</f>
        <v>0.23542088901369423</v>
      </c>
      <c r="L101">
        <f t="shared" si="19"/>
        <v>12.743134275673782</v>
      </c>
    </row>
    <row r="102" spans="1:12" x14ac:dyDescent="0.3">
      <c r="A102">
        <v>192</v>
      </c>
      <c r="B102">
        <f t="shared" ref="B102:B124" si="27">L101-L102</f>
        <v>3.3395815680426999</v>
      </c>
      <c r="C102">
        <f t="shared" si="24"/>
        <v>3.3395815680426999</v>
      </c>
      <c r="D102" t="s">
        <v>27</v>
      </c>
      <c r="E102" t="s">
        <v>19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STOWA2019_NDJF_T(A102*60,J102,I102,"GL","center")</f>
        <v>0.31902836016067299</v>
      </c>
      <c r="L102">
        <f t="shared" si="19"/>
        <v>9.4035527076310821</v>
      </c>
    </row>
    <row r="103" spans="1:12" x14ac:dyDescent="0.3">
      <c r="A103">
        <v>192</v>
      </c>
      <c r="B103">
        <f t="shared" si="27"/>
        <v>2.4942524912354616</v>
      </c>
      <c r="C103">
        <f t="shared" si="24"/>
        <v>2.4942524912354616</v>
      </c>
      <c r="D103" t="s">
        <v>27</v>
      </c>
      <c r="E103" t="s">
        <v>19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STOWA2019_NDJF_T(A103*60,J103,I103,"GL","center")</f>
        <v>0.43419737253290352</v>
      </c>
      <c r="L103">
        <f t="shared" si="19"/>
        <v>6.9093002163956205</v>
      </c>
    </row>
    <row r="104" spans="1:12" x14ac:dyDescent="0.3">
      <c r="A104">
        <v>192</v>
      </c>
      <c r="B104">
        <f t="shared" si="27"/>
        <v>1.8550875397621001</v>
      </c>
      <c r="C104">
        <f t="shared" si="24"/>
        <v>1.8550875397621001</v>
      </c>
      <c r="D104" t="s">
        <v>27</v>
      </c>
      <c r="E104" t="s">
        <v>19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STOWA2019_NDJF_T(A104*60,J104,I104,"GL","center")</f>
        <v>0.59356425855791684</v>
      </c>
      <c r="L104">
        <f t="shared" si="19"/>
        <v>5.0542126766335205</v>
      </c>
    </row>
    <row r="105" spans="1:12" x14ac:dyDescent="0.3">
      <c r="A105">
        <v>192</v>
      </c>
      <c r="B105">
        <f t="shared" si="27"/>
        <v>1.37384370606246</v>
      </c>
      <c r="C105">
        <f t="shared" si="24"/>
        <v>1.37384370606246</v>
      </c>
      <c r="D105" t="s">
        <v>27</v>
      </c>
      <c r="E105" t="s">
        <v>19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STOWA2019_NDJF_T(A105*60,J105,I105,"GL","center")</f>
        <v>0.81513566275245175</v>
      </c>
      <c r="L105">
        <f t="shared" si="19"/>
        <v>3.6803689705710605</v>
      </c>
    </row>
    <row r="106" spans="1:12" x14ac:dyDescent="0.3">
      <c r="A106">
        <v>192</v>
      </c>
      <c r="B106">
        <f t="shared" si="27"/>
        <v>1.0127828565009152</v>
      </c>
      <c r="C106">
        <f t="shared" si="24"/>
        <v>1.0127828565009152</v>
      </c>
      <c r="D106" t="s">
        <v>27</v>
      </c>
      <c r="E106" t="s">
        <v>19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STOWA2019_NDJF_T(A106*60,J106,I106,"GL","center")</f>
        <v>1.1246122418228759</v>
      </c>
      <c r="L106">
        <f t="shared" si="19"/>
        <v>2.6675861140701453</v>
      </c>
    </row>
    <row r="107" spans="1:12" x14ac:dyDescent="0.3">
      <c r="A107">
        <v>192</v>
      </c>
      <c r="B107">
        <f t="shared" si="27"/>
        <v>0.74354383127321766</v>
      </c>
      <c r="C107">
        <f t="shared" si="24"/>
        <v>0.74354383127321766</v>
      </c>
      <c r="D107" t="s">
        <v>27</v>
      </c>
      <c r="E107" t="s">
        <v>19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STOWA2019_NDJF_T(A107*60,J107,I107,"GL","center")</f>
        <v>1.5592172931038615</v>
      </c>
      <c r="L107">
        <f t="shared" si="19"/>
        <v>1.9240422827969277</v>
      </c>
    </row>
    <row r="108" spans="1:12" x14ac:dyDescent="0.3">
      <c r="A108">
        <v>192</v>
      </c>
      <c r="B108">
        <f t="shared" si="27"/>
        <v>0.54318913669408153</v>
      </c>
      <c r="C108">
        <f t="shared" si="24"/>
        <v>0.54318913669408153</v>
      </c>
      <c r="D108" t="s">
        <v>27</v>
      </c>
      <c r="E108" t="s">
        <v>19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STOWA2019_NDJF_T(A108*60,J108,I108,"GL","center")</f>
        <v>2.1725699133661238</v>
      </c>
      <c r="L108">
        <f t="shared" si="19"/>
        <v>1.3808531461028462</v>
      </c>
    </row>
    <row r="109" spans="1:12" x14ac:dyDescent="0.3">
      <c r="A109">
        <v>192</v>
      </c>
      <c r="B109">
        <f t="shared" si="27"/>
        <v>0.39491489819976966</v>
      </c>
      <c r="C109">
        <f t="shared" si="24"/>
        <v>0.39491489819976966</v>
      </c>
      <c r="D109" t="s">
        <v>27</v>
      </c>
      <c r="E109" t="s">
        <v>19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STOWA2019_NDJF_T(A109*60,J109,I109,"GL","center")</f>
        <v>3.0427869152865217</v>
      </c>
      <c r="L109">
        <f t="shared" si="19"/>
        <v>0.98593824790307649</v>
      </c>
    </row>
    <row r="110" spans="1:12" x14ac:dyDescent="0.3">
      <c r="A110">
        <v>192</v>
      </c>
      <c r="B110">
        <f t="shared" si="27"/>
        <v>0.28569523867721569</v>
      </c>
      <c r="C110">
        <f t="shared" si="24"/>
        <v>0.28569523867721569</v>
      </c>
      <c r="D110" t="s">
        <v>27</v>
      </c>
      <c r="E110" t="s">
        <v>19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STOWA2019_NDJF_T(A110*60,J110,I110,"GL","center")</f>
        <v>4.2842269904509118</v>
      </c>
      <c r="L110">
        <f t="shared" si="19"/>
        <v>0.7002430092258608</v>
      </c>
    </row>
    <row r="111" spans="1:12" x14ac:dyDescent="0.3">
      <c r="A111">
        <v>192</v>
      </c>
      <c r="B111">
        <f t="shared" si="27"/>
        <v>0.20562727069561226</v>
      </c>
      <c r="C111">
        <f t="shared" si="24"/>
        <v>0.20562727069561226</v>
      </c>
      <c r="D111" t="s">
        <v>27</v>
      </c>
      <c r="E111" t="s">
        <v>19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STOWA2019_NDJF_T(A111*60,J111,I111,"GL","center")</f>
        <v>6.06531447809264</v>
      </c>
      <c r="L111">
        <f t="shared" si="19"/>
        <v>0.49461573853024854</v>
      </c>
    </row>
    <row r="112" spans="1:12" x14ac:dyDescent="0.3">
      <c r="A112">
        <v>192</v>
      </c>
      <c r="B112">
        <f t="shared" si="27"/>
        <v>0.14720993073128646</v>
      </c>
      <c r="C112">
        <f t="shared" si="24"/>
        <v>0.14720993073128646</v>
      </c>
      <c r="D112" t="s">
        <v>27</v>
      </c>
      <c r="E112" t="s">
        <v>19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STOWA2019_NDJF_T(A112*60,J112,I112,"GL","center")</f>
        <v>8.6354342174269281</v>
      </c>
      <c r="L112">
        <f t="shared" si="19"/>
        <v>0.34740580779896207</v>
      </c>
    </row>
    <row r="113" spans="1:12" x14ac:dyDescent="0.3">
      <c r="A113">
        <v>192</v>
      </c>
      <c r="B113">
        <f t="shared" si="27"/>
        <v>0.10481824022665603</v>
      </c>
      <c r="C113">
        <f t="shared" si="24"/>
        <v>0.10481824022665603</v>
      </c>
      <c r="D113" t="s">
        <v>27</v>
      </c>
      <c r="E113" t="s">
        <v>19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STOWA2019_NDJF_T(A113*60,J113,I113,"GL","center")</f>
        <v>12.366668374733651</v>
      </c>
      <c r="L113">
        <f t="shared" si="19"/>
        <v>0.24258756757230604</v>
      </c>
    </row>
    <row r="114" spans="1:12" x14ac:dyDescent="0.3">
      <c r="A114">
        <v>192</v>
      </c>
      <c r="B114">
        <f t="shared" si="27"/>
        <v>7.4211394946157361E-2</v>
      </c>
      <c r="C114">
        <f t="shared" si="24"/>
        <v>7.4211394946157361E-2</v>
      </c>
      <c r="D114" t="s">
        <v>27</v>
      </c>
      <c r="E114" t="s">
        <v>19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STOWA2019_NDJF_T(A114*60,J114,I114,"GL","center")</f>
        <v>17.81724785169575</v>
      </c>
      <c r="L114">
        <f t="shared" si="19"/>
        <v>0.16837617262614868</v>
      </c>
    </row>
    <row r="115" spans="1:12" x14ac:dyDescent="0.3">
      <c r="A115">
        <v>192</v>
      </c>
      <c r="B115">
        <f t="shared" si="27"/>
        <v>5.2235645059004077E-2</v>
      </c>
      <c r="C115">
        <f t="shared" si="24"/>
        <v>5.2235645059004077E-2</v>
      </c>
      <c r="D115" t="s">
        <v>27</v>
      </c>
      <c r="E115" t="s">
        <v>19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STOWA2019_NDJF_T(A115*60,J115,I115,"GL","center")</f>
        <v>25.830776412356169</v>
      </c>
      <c r="L115">
        <f t="shared" si="19"/>
        <v>0.1161405275671446</v>
      </c>
    </row>
    <row r="116" spans="1:12" x14ac:dyDescent="0.3">
      <c r="A116">
        <v>192</v>
      </c>
      <c r="B116">
        <f t="shared" si="27"/>
        <v>3.6545886887603782E-2</v>
      </c>
      <c r="C116">
        <f t="shared" si="24"/>
        <v>3.6545886887603782E-2</v>
      </c>
      <c r="D116" t="s">
        <v>27</v>
      </c>
      <c r="E116" t="s">
        <v>19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STOWA2019_NDJF_T(A116*60,J116,I116,"GL","center")</f>
        <v>37.690979874868972</v>
      </c>
      <c r="L116">
        <f t="shared" si="19"/>
        <v>7.9594640679540821E-2</v>
      </c>
    </row>
    <row r="117" spans="1:12" x14ac:dyDescent="0.3">
      <c r="A117">
        <v>192</v>
      </c>
      <c r="B117">
        <f t="shared" si="27"/>
        <v>2.5409330480231362E-2</v>
      </c>
      <c r="C117">
        <f t="shared" si="24"/>
        <v>2.5409330480231362E-2</v>
      </c>
      <c r="D117" t="s">
        <v>27</v>
      </c>
      <c r="E117" t="s">
        <v>19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STOWA2019_NDJF_T(A117*60,J117,I117,"GL","center")</f>
        <v>55.36555920719325</v>
      </c>
      <c r="L117">
        <f t="shared" si="19"/>
        <v>5.4185310199309458E-2</v>
      </c>
    </row>
    <row r="118" spans="1:12" x14ac:dyDescent="0.3">
      <c r="A118">
        <v>192</v>
      </c>
      <c r="B118">
        <f t="shared" si="27"/>
        <v>1.7552308019201518E-2</v>
      </c>
      <c r="C118">
        <f t="shared" si="24"/>
        <v>1.7552308019201518E-2</v>
      </c>
      <c r="D118" t="s">
        <v>27</v>
      </c>
      <c r="E118" t="s">
        <v>19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STOWA2019_NDJF_T(A118*60,J118,I118,"GL","center")</f>
        <v>81.893369952327518</v>
      </c>
      <c r="L118">
        <f t="shared" si="19"/>
        <v>3.663300218010794E-2</v>
      </c>
    </row>
    <row r="119" spans="1:12" x14ac:dyDescent="0.3">
      <c r="A119">
        <v>192</v>
      </c>
      <c r="B119">
        <f t="shared" si="27"/>
        <v>1.2043849641487241E-2</v>
      </c>
      <c r="C119">
        <f t="shared" si="24"/>
        <v>1.2043849641487241E-2</v>
      </c>
      <c r="D119" t="s">
        <v>27</v>
      </c>
      <c r="E119" t="s">
        <v>19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STOWA2019_NDJF_T(A119*60,J119,I119,"GL","center")</f>
        <v>122.0050180781172</v>
      </c>
      <c r="L119">
        <f t="shared" si="19"/>
        <v>2.45891525386207E-2</v>
      </c>
    </row>
    <row r="120" spans="1:12" x14ac:dyDescent="0.3">
      <c r="A120">
        <v>192</v>
      </c>
      <c r="B120">
        <f t="shared" si="27"/>
        <v>8.2066162449282234E-3</v>
      </c>
      <c r="C120">
        <f t="shared" si="24"/>
        <v>8.2066162449282234E-3</v>
      </c>
      <c r="D120" t="s">
        <v>27</v>
      </c>
      <c r="E120" t="s">
        <v>19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STOWA2019_NDJF_T(A120*60,J120,I120,"GL","center")</f>
        <v>183.12182840425294</v>
      </c>
      <c r="L120">
        <f t="shared" si="19"/>
        <v>1.6382536293692476E-2</v>
      </c>
    </row>
    <row r="121" spans="1:12" x14ac:dyDescent="0.3">
      <c r="A121">
        <v>192</v>
      </c>
      <c r="B121">
        <f t="shared" si="27"/>
        <v>5.551697461723161E-3</v>
      </c>
      <c r="C121">
        <f t="shared" si="24"/>
        <v>5.551697461723161E-3</v>
      </c>
      <c r="D121" t="s">
        <v>27</v>
      </c>
      <c r="E121" t="s">
        <v>19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STOWA2019_NDJF_T(A121*60,J121,I121,"GL","center")</f>
        <v>276.98685637763526</v>
      </c>
      <c r="L121">
        <f t="shared" si="19"/>
        <v>1.0830838831969315E-2</v>
      </c>
    </row>
    <row r="122" spans="1:12" x14ac:dyDescent="0.3">
      <c r="A122">
        <v>192</v>
      </c>
      <c r="B122">
        <f t="shared" si="27"/>
        <v>3.7276468952911722E-3</v>
      </c>
      <c r="C122">
        <f t="shared" si="24"/>
        <v>3.7276468952911722E-3</v>
      </c>
      <c r="D122" t="s">
        <v>27</v>
      </c>
      <c r="E122" t="s">
        <v>19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STOWA2019_NDJF_T(A122*60,J122,I122,"GL","center")</f>
        <v>422.34533808795976</v>
      </c>
      <c r="L122">
        <f t="shared" si="19"/>
        <v>7.1031919366781431E-3</v>
      </c>
    </row>
    <row r="123" spans="1:12" x14ac:dyDescent="0.3">
      <c r="A123">
        <v>192</v>
      </c>
      <c r="B123">
        <f t="shared" si="27"/>
        <v>2.483424106014002E-3</v>
      </c>
      <c r="C123">
        <f t="shared" si="24"/>
        <v>2.483424106014002E-3</v>
      </c>
      <c r="D123" t="s">
        <v>27</v>
      </c>
      <c r="E123" t="s">
        <v>19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STOWA2019_NDJF_T(A123*60,J123,I123,"GL","center")</f>
        <v>649.38328287565002</v>
      </c>
      <c r="L123">
        <f t="shared" si="19"/>
        <v>4.6197678306641411E-3</v>
      </c>
    </row>
    <row r="124" spans="1:12" x14ac:dyDescent="0.3">
      <c r="A124">
        <v>192</v>
      </c>
      <c r="B124">
        <f t="shared" si="27"/>
        <v>1.6411454632767417E-3</v>
      </c>
      <c r="C124">
        <f t="shared" si="24"/>
        <v>1.6411454632767417E-3</v>
      </c>
      <c r="D124" t="s">
        <v>27</v>
      </c>
      <c r="E124" t="s">
        <v>19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STOWA2019_NDJF_T(A124*60,J124,I124,"GL","center")</f>
        <v>1007.177020103878</v>
      </c>
      <c r="L124">
        <f t="shared" si="19"/>
        <v>2.9786223673873994E-3</v>
      </c>
    </row>
    <row r="125" spans="1:12" x14ac:dyDescent="0.3">
      <c r="A125">
        <v>192</v>
      </c>
      <c r="B125" s="1">
        <f>L124</f>
        <v>2.9786223673873994E-3</v>
      </c>
      <c r="C125">
        <f t="shared" si="24"/>
        <v>2.9786223673873994E-3</v>
      </c>
      <c r="D125" t="s">
        <v>27</v>
      </c>
      <c r="E125" t="s">
        <v>19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STOWA2019_NDJF_T(A125*60,J125,I125,"GL","center")</f>
        <v>3.6081232926449234</v>
      </c>
      <c r="L125">
        <f t="shared" si="19"/>
        <v>0.83145717501268068</v>
      </c>
    </row>
    <row r="126" spans="1:12" x14ac:dyDescent="0.3">
      <c r="A126">
        <v>216</v>
      </c>
      <c r="B126" s="1">
        <f>365.25*24/A126 - L126</f>
        <v>-20.80311398905328</v>
      </c>
      <c r="C126">
        <f>B126</f>
        <v>-20.80311398905328</v>
      </c>
      <c r="D126" t="s">
        <v>27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STOWA2019_NDJF_T(A126*60,J126,I126,"GL","center")</f>
        <v>4.8870721972958185E-2</v>
      </c>
      <c r="L126">
        <f t="shared" si="19"/>
        <v>61.386447322386616</v>
      </c>
    </row>
    <row r="127" spans="1:12" x14ac:dyDescent="0.3">
      <c r="A127">
        <v>216</v>
      </c>
      <c r="B127">
        <f t="shared" ref="B127:B131" si="30">L126-L127</f>
        <v>7.2814268535364164</v>
      </c>
      <c r="C127">
        <f t="shared" ref="C127:C156" si="31">B127</f>
        <v>7.2814268535364164</v>
      </c>
      <c r="D127" t="s">
        <v>27</v>
      </c>
      <c r="E127" t="s">
        <v>19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cm="1">
        <f t="array" ref="K127">STOWA2019_NDJF_T(A127*60,J127,I127,"GL","center")</f>
        <v>5.5447719527750398E-2</v>
      </c>
      <c r="L127">
        <f t="shared" si="19"/>
        <v>54.105020468850199</v>
      </c>
    </row>
    <row r="128" spans="1:12" x14ac:dyDescent="0.3">
      <c r="A128">
        <v>216</v>
      </c>
      <c r="B128">
        <f t="shared" si="30"/>
        <v>12.202171903301959</v>
      </c>
      <c r="C128">
        <f t="shared" si="31"/>
        <v>12.202171903301959</v>
      </c>
      <c r="D128" t="s">
        <v>27</v>
      </c>
      <c r="E128" t="s">
        <v>19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cm="1">
        <f t="array" ref="K128">STOWA2019_NDJF_T(A128*60,J128,I128,"GL","center")</f>
        <v>7.159417802603868E-2</v>
      </c>
      <c r="L128">
        <f t="shared" si="19"/>
        <v>41.90284856554824</v>
      </c>
    </row>
    <row r="129" spans="1:12" x14ac:dyDescent="0.3">
      <c r="A129">
        <v>216</v>
      </c>
      <c r="B129">
        <f t="shared" si="30"/>
        <v>9.585793730064708</v>
      </c>
      <c r="C129">
        <f t="shared" si="31"/>
        <v>9.585793730064708</v>
      </c>
      <c r="D129" t="s">
        <v>27</v>
      </c>
      <c r="E129" t="s">
        <v>19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STOWA2019_NDJF_T(A129*60,J129,I129,"GL","center")</f>
        <v>9.2830241346932865E-2</v>
      </c>
      <c r="L129">
        <f t="shared" si="19"/>
        <v>32.317054835483532</v>
      </c>
    </row>
    <row r="130" spans="1:12" x14ac:dyDescent="0.3">
      <c r="A130">
        <v>216</v>
      </c>
      <c r="B130">
        <f t="shared" si="30"/>
        <v>7.5004225098805293</v>
      </c>
      <c r="C130">
        <f t="shared" si="31"/>
        <v>7.5004225098805293</v>
      </c>
      <c r="D130" t="s">
        <v>27</v>
      </c>
      <c r="E130" t="s">
        <v>19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STOWA2019_NDJF_T(A130*60,J130,I130,"GL","center")</f>
        <v>0.1208866682891916</v>
      </c>
      <c r="L130">
        <f t="shared" si="19"/>
        <v>24.816632325603003</v>
      </c>
    </row>
    <row r="131" spans="1:12" x14ac:dyDescent="0.3">
      <c r="A131">
        <v>216</v>
      </c>
      <c r="B131">
        <f t="shared" si="30"/>
        <v>5.8446022943476237</v>
      </c>
      <c r="C131">
        <f t="shared" si="31"/>
        <v>5.8446022943476237</v>
      </c>
      <c r="D131" t="s">
        <v>27</v>
      </c>
      <c r="E131" t="s">
        <v>19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STOWA2019_NDJF_T(A131*60,J131,I131,"GL","center")</f>
        <v>0.15812751693190788</v>
      </c>
      <c r="L131">
        <f t="shared" ref="L131:L156" si="34">1/K131 * 12/4</f>
        <v>18.972030031255379</v>
      </c>
    </row>
    <row r="132" spans="1:12" x14ac:dyDescent="0.3">
      <c r="A132">
        <v>216</v>
      </c>
      <c r="B132">
        <f>L131-L132</f>
        <v>4.5349958763601954</v>
      </c>
      <c r="C132">
        <f t="shared" si="31"/>
        <v>4.5349958763601954</v>
      </c>
      <c r="D132" t="s">
        <v>27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STOWA2019_NDJF_T(A132*60,J132,I132,"GL","center")</f>
        <v>0.2077989127000012</v>
      </c>
      <c r="L132">
        <f t="shared" si="34"/>
        <v>14.437034154895183</v>
      </c>
    </row>
    <row r="133" spans="1:12" x14ac:dyDescent="0.3">
      <c r="A133">
        <v>216</v>
      </c>
      <c r="B133">
        <f t="shared" ref="B133:B155" si="35">L132-L133</f>
        <v>3.5033841763858646</v>
      </c>
      <c r="C133">
        <f t="shared" si="31"/>
        <v>3.5033841763858646</v>
      </c>
      <c r="D133" t="s">
        <v>27</v>
      </c>
      <c r="E133" t="s">
        <v>19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STOWA2019_NDJF_T(A133*60,J133,I133,"GL","center")</f>
        <v>0.27438229739352021</v>
      </c>
      <c r="L133">
        <f t="shared" si="34"/>
        <v>10.933649978509319</v>
      </c>
    </row>
    <row r="134" spans="1:12" x14ac:dyDescent="0.3">
      <c r="A134">
        <v>216</v>
      </c>
      <c r="B134">
        <f t="shared" si="35"/>
        <v>2.6942038805160209</v>
      </c>
      <c r="C134">
        <f t="shared" si="31"/>
        <v>2.6942038805160209</v>
      </c>
      <c r="D134" t="s">
        <v>27</v>
      </c>
      <c r="E134" t="s">
        <v>19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STOWA2019_NDJF_T(A134*60,J134,I134,"GL","center")</f>
        <v>0.36410214525593471</v>
      </c>
      <c r="L134">
        <f t="shared" si="34"/>
        <v>8.239446097993298</v>
      </c>
    </row>
    <row r="135" spans="1:12" x14ac:dyDescent="0.3">
      <c r="A135">
        <v>216</v>
      </c>
      <c r="B135">
        <f t="shared" si="35"/>
        <v>2.0620400205698264</v>
      </c>
      <c r="C135">
        <f t="shared" si="31"/>
        <v>2.0620400205698264</v>
      </c>
      <c r="D135" t="s">
        <v>27</v>
      </c>
      <c r="E135" t="s">
        <v>19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STOWA2019_NDJF_T(A135*60,J135,I135,"GL","center")</f>
        <v>0.48564073049432216</v>
      </c>
      <c r="L135">
        <f t="shared" si="34"/>
        <v>6.1774060774234716</v>
      </c>
    </row>
    <row r="136" spans="1:12" x14ac:dyDescent="0.3">
      <c r="A136">
        <v>216</v>
      </c>
      <c r="B136">
        <f t="shared" si="35"/>
        <v>1.5706215580028395</v>
      </c>
      <c r="C136">
        <f t="shared" si="31"/>
        <v>1.5706215580028395</v>
      </c>
      <c r="D136" t="s">
        <v>27</v>
      </c>
      <c r="E136" t="s">
        <v>19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STOWA2019_NDJF_T(A136*60,J136,I136,"GL","center")</f>
        <v>0.65121344125235792</v>
      </c>
      <c r="L136">
        <f t="shared" si="34"/>
        <v>4.6067845194206321</v>
      </c>
    </row>
    <row r="137" spans="1:12" x14ac:dyDescent="0.3">
      <c r="A137">
        <v>216</v>
      </c>
      <c r="B137">
        <f t="shared" si="35"/>
        <v>1.1901936758094291</v>
      </c>
      <c r="C137">
        <f t="shared" si="31"/>
        <v>1.1901936758094291</v>
      </c>
      <c r="D137" t="s">
        <v>27</v>
      </c>
      <c r="E137" t="s">
        <v>19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STOWA2019_NDJF_T(A137*60,J137,I137,"GL","center")</f>
        <v>0.87806826667869808</v>
      </c>
      <c r="L137">
        <f t="shared" si="34"/>
        <v>3.4165908436112029</v>
      </c>
    </row>
    <row r="138" spans="1:12" x14ac:dyDescent="0.3">
      <c r="A138">
        <v>216</v>
      </c>
      <c r="B138">
        <f t="shared" si="35"/>
        <v>0.89704108310116348</v>
      </c>
      <c r="C138">
        <f t="shared" si="31"/>
        <v>0.89704108310116348</v>
      </c>
      <c r="D138" t="s">
        <v>27</v>
      </c>
      <c r="E138" t="s">
        <v>19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STOWA2019_NDJF_T(A138*60,J138,I138,"GL","center")</f>
        <v>1.1906889266567617</v>
      </c>
      <c r="L138">
        <f t="shared" si="34"/>
        <v>2.5195497605100394</v>
      </c>
    </row>
    <row r="139" spans="1:12" x14ac:dyDescent="0.3">
      <c r="A139">
        <v>216</v>
      </c>
      <c r="B139">
        <f t="shared" si="35"/>
        <v>0.67265955828003277</v>
      </c>
      <c r="C139">
        <f t="shared" si="31"/>
        <v>0.67265955828003277</v>
      </c>
      <c r="D139" t="s">
        <v>27</v>
      </c>
      <c r="E139" t="s">
        <v>19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STOWA2019_NDJF_T(A139*60,J139,I139,"GL","center")</f>
        <v>1.624352111661908</v>
      </c>
      <c r="L139">
        <f t="shared" si="34"/>
        <v>1.8468902022300067</v>
      </c>
    </row>
    <row r="140" spans="1:12" x14ac:dyDescent="0.3">
      <c r="A140">
        <v>216</v>
      </c>
      <c r="B140">
        <f t="shared" si="35"/>
        <v>0.50144692156133308</v>
      </c>
      <c r="C140">
        <f t="shared" si="31"/>
        <v>0.50144692156133308</v>
      </c>
      <c r="D140" t="s">
        <v>27</v>
      </c>
      <c r="E140" t="s">
        <v>19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STOWA2019_NDJF_T(A140*60,J140,I140,"GL","center")</f>
        <v>2.2297483982446487</v>
      </c>
      <c r="L140">
        <f t="shared" si="34"/>
        <v>1.3454432806686736</v>
      </c>
    </row>
    <row r="141" spans="1:12" x14ac:dyDescent="0.3">
      <c r="A141">
        <v>216</v>
      </c>
      <c r="B141">
        <f t="shared" si="35"/>
        <v>0.37159685886356997</v>
      </c>
      <c r="C141">
        <f t="shared" si="31"/>
        <v>0.37159685886356997</v>
      </c>
      <c r="D141" t="s">
        <v>27</v>
      </c>
      <c r="E141" t="s">
        <v>19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STOWA2019_NDJF_T(A141*60,J141,I141,"GL","center")</f>
        <v>3.0805678727445089</v>
      </c>
      <c r="L141">
        <f t="shared" si="34"/>
        <v>0.97384642180510361</v>
      </c>
    </row>
    <row r="142" spans="1:12" x14ac:dyDescent="0.3">
      <c r="A142">
        <v>216</v>
      </c>
      <c r="B142">
        <f t="shared" si="35"/>
        <v>0.27369187435046793</v>
      </c>
      <c r="C142">
        <f t="shared" si="31"/>
        <v>0.27369187435046793</v>
      </c>
      <c r="D142" t="s">
        <v>27</v>
      </c>
      <c r="E142" t="s">
        <v>19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STOWA2019_NDJF_T(A142*60,J142,I142,"GL","center")</f>
        <v>4.2847682856682088</v>
      </c>
      <c r="L142">
        <f t="shared" si="34"/>
        <v>0.70015454745463568</v>
      </c>
    </row>
    <row r="143" spans="1:12" x14ac:dyDescent="0.3">
      <c r="A143">
        <v>216</v>
      </c>
      <c r="B143">
        <f t="shared" si="35"/>
        <v>0.20028234140975076</v>
      </c>
      <c r="C143">
        <f t="shared" si="31"/>
        <v>0.20028234140975076</v>
      </c>
      <c r="D143" t="s">
        <v>27</v>
      </c>
      <c r="E143" t="s">
        <v>19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STOWA2019_NDJF_T(A143*60,J143,I143,"GL","center")</f>
        <v>6.0015339195126636</v>
      </c>
      <c r="L143">
        <f t="shared" si="34"/>
        <v>0.49987220604488491</v>
      </c>
    </row>
    <row r="144" spans="1:12" x14ac:dyDescent="0.3">
      <c r="A144">
        <v>216</v>
      </c>
      <c r="B144">
        <f t="shared" si="35"/>
        <v>0.14559171351740485</v>
      </c>
      <c r="C144">
        <f t="shared" si="31"/>
        <v>0.14559171351740485</v>
      </c>
      <c r="D144" t="s">
        <v>27</v>
      </c>
      <c r="E144" t="s">
        <v>19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STOWA2019_NDJF_T(A144*60,J144,I144,"GL","center")</f>
        <v>8.4678667419637925</v>
      </c>
      <c r="L144">
        <f t="shared" si="34"/>
        <v>0.35428049252748006</v>
      </c>
    </row>
    <row r="145" spans="1:12" x14ac:dyDescent="0.3">
      <c r="A145">
        <v>216</v>
      </c>
      <c r="B145">
        <f t="shared" si="35"/>
        <v>0.10509575904831919</v>
      </c>
      <c r="C145">
        <f t="shared" si="31"/>
        <v>0.10509575904831919</v>
      </c>
      <c r="D145" t="s">
        <v>27</v>
      </c>
      <c r="E145" t="s">
        <v>19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STOWA2019_NDJF_T(A145*60,J145,I145,"GL","center")</f>
        <v>12.039260825145565</v>
      </c>
      <c r="L145">
        <f t="shared" si="34"/>
        <v>0.24918473347916087</v>
      </c>
    </row>
    <row r="146" spans="1:12" x14ac:dyDescent="0.3">
      <c r="A146">
        <v>216</v>
      </c>
      <c r="B146">
        <f t="shared" si="35"/>
        <v>7.531208045899021E-2</v>
      </c>
      <c r="C146">
        <f t="shared" si="31"/>
        <v>7.531208045899021E-2</v>
      </c>
      <c r="D146" t="s">
        <v>27</v>
      </c>
      <c r="E146" t="s">
        <v>19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STOWA2019_NDJF_T(A146*60,J146,I146,"GL","center")</f>
        <v>17.254007159205049</v>
      </c>
      <c r="L146">
        <f t="shared" si="34"/>
        <v>0.17387265302017066</v>
      </c>
    </row>
    <row r="147" spans="1:12" x14ac:dyDescent="0.3">
      <c r="A147">
        <v>216</v>
      </c>
      <c r="B147">
        <f t="shared" si="35"/>
        <v>5.3559502412009019E-2</v>
      </c>
      <c r="C147">
        <f t="shared" si="31"/>
        <v>5.3559502412009019E-2</v>
      </c>
      <c r="D147" t="s">
        <v>27</v>
      </c>
      <c r="E147" t="s">
        <v>19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STOWA2019_NDJF_T(A147*60,J147,I147,"GL","center")</f>
        <v>24.934930095634034</v>
      </c>
      <c r="L147">
        <f t="shared" si="34"/>
        <v>0.12031315060816164</v>
      </c>
    </row>
    <row r="148" spans="1:12" x14ac:dyDescent="0.3">
      <c r="A148">
        <v>216</v>
      </c>
      <c r="B148">
        <f t="shared" si="35"/>
        <v>3.7785287672523302E-2</v>
      </c>
      <c r="C148">
        <f t="shared" si="31"/>
        <v>3.7785287672523302E-2</v>
      </c>
      <c r="D148" t="s">
        <v>27</v>
      </c>
      <c r="E148" t="s">
        <v>19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STOWA2019_NDJF_T(A148*60,J148,I148,"GL","center")</f>
        <v>36.351359326239113</v>
      </c>
      <c r="L148">
        <f t="shared" si="34"/>
        <v>8.2527862935638338E-2</v>
      </c>
    </row>
    <row r="149" spans="1:12" x14ac:dyDescent="0.3">
      <c r="A149">
        <v>216</v>
      </c>
      <c r="B149">
        <f t="shared" si="35"/>
        <v>2.6435568115709351E-2</v>
      </c>
      <c r="C149">
        <f t="shared" si="31"/>
        <v>2.6435568115709351E-2</v>
      </c>
      <c r="D149" t="s">
        <v>27</v>
      </c>
      <c r="E149" t="s">
        <v>19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STOWA2019_NDJF_T(A149*60,J149,I149,"GL","center")</f>
        <v>53.483281609903614</v>
      </c>
      <c r="L149">
        <f t="shared" si="34"/>
        <v>5.6092294819928987E-2</v>
      </c>
    </row>
    <row r="150" spans="1:12" x14ac:dyDescent="0.3">
      <c r="A150">
        <v>216</v>
      </c>
      <c r="B150">
        <f t="shared" si="35"/>
        <v>1.8333118715939886E-2</v>
      </c>
      <c r="C150">
        <f t="shared" si="31"/>
        <v>1.8333118715939886E-2</v>
      </c>
      <c r="D150" t="s">
        <v>27</v>
      </c>
      <c r="E150" t="s">
        <v>19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STOWA2019_NDJF_T(A150*60,J150,I150,"GL","center")</f>
        <v>79.45088610349903</v>
      </c>
      <c r="L150">
        <f t="shared" si="34"/>
        <v>3.7759176103989101E-2</v>
      </c>
    </row>
    <row r="151" spans="1:12" x14ac:dyDescent="0.3">
      <c r="A151">
        <v>216</v>
      </c>
      <c r="B151">
        <f t="shared" si="35"/>
        <v>1.2597038012813918E-2</v>
      </c>
      <c r="C151">
        <f t="shared" si="31"/>
        <v>1.2597038012813918E-2</v>
      </c>
      <c r="D151" t="s">
        <v>27</v>
      </c>
      <c r="E151" t="s">
        <v>19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STOWA2019_NDJF_T(A151*60,J151,I151,"GL","center")</f>
        <v>119.2267520800291</v>
      </c>
      <c r="L151">
        <f t="shared" si="34"/>
        <v>2.5162138091175183E-2</v>
      </c>
    </row>
    <row r="152" spans="1:12" x14ac:dyDescent="0.3">
      <c r="A152">
        <v>216</v>
      </c>
      <c r="B152">
        <f t="shared" si="35"/>
        <v>8.5720949561239705E-3</v>
      </c>
      <c r="C152">
        <f t="shared" si="31"/>
        <v>8.5720949561239705E-3</v>
      </c>
      <c r="D152" t="s">
        <v>27</v>
      </c>
      <c r="E152" t="s">
        <v>19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STOWA2019_NDJF_T(A152*60,J152,I152,"GL","center")</f>
        <v>180.8313562284622</v>
      </c>
      <c r="L152">
        <f t="shared" si="34"/>
        <v>1.6590043135051212E-2</v>
      </c>
    </row>
    <row r="153" spans="1:12" x14ac:dyDescent="0.3">
      <c r="A153">
        <v>216</v>
      </c>
      <c r="B153">
        <f t="shared" si="35"/>
        <v>5.7738830159862822E-3</v>
      </c>
      <c r="C153">
        <f t="shared" si="31"/>
        <v>5.7738830159862822E-3</v>
      </c>
      <c r="D153" t="s">
        <v>27</v>
      </c>
      <c r="E153" t="s">
        <v>19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STOWA2019_NDJF_T(A153*60,J153,I153,"GL","center")</f>
        <v>277.3627578526781</v>
      </c>
      <c r="L153">
        <f t="shared" si="34"/>
        <v>1.081616011906493E-2</v>
      </c>
    </row>
    <row r="154" spans="1:12" x14ac:dyDescent="0.3">
      <c r="A154">
        <v>216</v>
      </c>
      <c r="B154">
        <f t="shared" si="35"/>
        <v>3.8474593571087854E-3</v>
      </c>
      <c r="C154">
        <f t="shared" si="31"/>
        <v>3.8474593571087854E-3</v>
      </c>
      <c r="D154" t="s">
        <v>27</v>
      </c>
      <c r="E154" t="s">
        <v>19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STOWA2019_NDJF_T(A154*60,J154,I154,"GL","center")</f>
        <v>430.49631523536488</v>
      </c>
      <c r="L154">
        <f t="shared" si="34"/>
        <v>6.9687007619561444E-3</v>
      </c>
    </row>
    <row r="155" spans="1:12" x14ac:dyDescent="0.3">
      <c r="A155">
        <v>216</v>
      </c>
      <c r="B155">
        <f t="shared" si="35"/>
        <v>2.534752142434901E-3</v>
      </c>
      <c r="C155">
        <f t="shared" si="31"/>
        <v>2.534752142434901E-3</v>
      </c>
      <c r="D155" t="s">
        <v>27</v>
      </c>
      <c r="E155" t="s">
        <v>19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STOWA2019_NDJF_T(A155*60,J155,I155,"GL","center")</f>
        <v>676.59782677498094</v>
      </c>
      <c r="L155">
        <f t="shared" si="34"/>
        <v>4.4339486195212434E-3</v>
      </c>
    </row>
    <row r="156" spans="1:12" x14ac:dyDescent="0.3">
      <c r="A156">
        <v>216</v>
      </c>
      <c r="B156" s="1">
        <f>L155</f>
        <v>4.4339486195212434E-3</v>
      </c>
      <c r="C156">
        <f t="shared" si="31"/>
        <v>4.4339486195212434E-3</v>
      </c>
      <c r="D156" t="s">
        <v>27</v>
      </c>
      <c r="E156" t="s">
        <v>19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STOWA2019_NDJF_T(A156*60,J156,I156,"GL","center")</f>
        <v>852.41047837270139</v>
      </c>
      <c r="L156">
        <f t="shared" si="34"/>
        <v>3.5194311615304938E-3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5C10-F062-4A97-B5F7-3120B55A8B19}">
  <sheetPr codeName="Blad11"/>
  <dimension ref="A1:L156"/>
  <sheetViews>
    <sheetView workbookViewId="0">
      <selection activeCell="L26" sqref="L26"/>
    </sheetView>
  </sheetViews>
  <sheetFormatPr defaultRowHeight="14.4" x14ac:dyDescent="0.3"/>
  <cols>
    <col min="2" max="3" width="12" bestFit="1" customWidth="1"/>
    <col min="4" max="4" width="26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341.90745613704149</v>
      </c>
      <c r="C2">
        <f>B2</f>
        <v>341.90745613704149</v>
      </c>
      <c r="D2" t="s">
        <v>28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STOWA2019_JAARROND_T(A2*60,J2,I2,"GH","center")</f>
        <v>6.4260348349620119E-2</v>
      </c>
      <c r="L2">
        <f>1/K2 * 12/8</f>
        <v>23.342543862958493</v>
      </c>
    </row>
    <row r="3" spans="1:12" x14ac:dyDescent="0.3">
      <c r="A3">
        <v>24</v>
      </c>
      <c r="B3">
        <f t="shared" ref="B3:B7" si="0">L2-L3</f>
        <v>6.9011028068417843</v>
      </c>
      <c r="C3">
        <f t="shared" ref="C3:C32" si="1">B3</f>
        <v>6.9011028068417843</v>
      </c>
      <c r="D3" t="s">
        <v>28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STOWA2019_JAARROND_T(A3*60,J3,I3,"GH","center")</f>
        <v>9.1232878850479773E-2</v>
      </c>
      <c r="L3">
        <f t="shared" ref="L3:L66" si="4">1/K3 * 12/8</f>
        <v>16.441441056116709</v>
      </c>
    </row>
    <row r="4" spans="1:12" x14ac:dyDescent="0.3">
      <c r="A4">
        <v>24</v>
      </c>
      <c r="B4">
        <f t="shared" si="0"/>
        <v>7.9022830738365624</v>
      </c>
      <c r="C4">
        <f t="shared" si="1"/>
        <v>7.9022830738365624</v>
      </c>
      <c r="D4" t="s">
        <v>28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STOWA2019_JAARROND_T(A4*60,J4,I4,"GH","center")</f>
        <v>0.17566134777137202</v>
      </c>
      <c r="L4">
        <f t="shared" si="4"/>
        <v>8.5391579822801464</v>
      </c>
    </row>
    <row r="5" spans="1:12" x14ac:dyDescent="0.3">
      <c r="A5">
        <v>24</v>
      </c>
      <c r="B5">
        <f t="shared" si="0"/>
        <v>3.8602181034195606</v>
      </c>
      <c r="C5">
        <f t="shared" si="1"/>
        <v>3.8602181034195606</v>
      </c>
      <c r="D5" t="s">
        <v>28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STOWA2019_JAARROND_T(A5*60,J5,I5,"GH","center")</f>
        <v>0.3205854400431577</v>
      </c>
      <c r="L5">
        <f t="shared" si="4"/>
        <v>4.6789398788605858</v>
      </c>
    </row>
    <row r="6" spans="1:12" x14ac:dyDescent="0.3">
      <c r="A6">
        <v>24</v>
      </c>
      <c r="B6">
        <f t="shared" si="0"/>
        <v>1.9951986417410561</v>
      </c>
      <c r="C6">
        <f t="shared" si="1"/>
        <v>1.9951986417410561</v>
      </c>
      <c r="D6" t="s">
        <v>28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STOWA2019_JAARROND_T(A6*60,J6,I6,"GH","center")</f>
        <v>0.55892124741875493</v>
      </c>
      <c r="L6">
        <f t="shared" si="4"/>
        <v>2.6837412371195297</v>
      </c>
    </row>
    <row r="7" spans="1:12" x14ac:dyDescent="0.3">
      <c r="A7">
        <v>24</v>
      </c>
      <c r="B7">
        <f t="shared" si="0"/>
        <v>1.0826195306550324</v>
      </c>
      <c r="C7">
        <f t="shared" si="1"/>
        <v>1.0826195306550324</v>
      </c>
      <c r="D7" t="s">
        <v>28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STOWA2019_JAARROND_T(A7*60,J7,I7,"GH","center")</f>
        <v>0.93684321057155096</v>
      </c>
      <c r="L7">
        <f t="shared" si="4"/>
        <v>1.6011217064644974</v>
      </c>
    </row>
    <row r="8" spans="1:12" x14ac:dyDescent="0.3">
      <c r="A8">
        <v>24</v>
      </c>
      <c r="B8">
        <f>L7-L8</f>
        <v>0.61251745957598314</v>
      </c>
      <c r="C8">
        <f t="shared" si="1"/>
        <v>0.61251745957598314</v>
      </c>
      <c r="D8" t="s">
        <v>28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STOWA2019_JAARROND_T(A8*60,J8,I8,"GH","center")</f>
        <v>1.5172906698722248</v>
      </c>
      <c r="L8">
        <f t="shared" si="4"/>
        <v>0.98860424688851423</v>
      </c>
    </row>
    <row r="9" spans="1:12" x14ac:dyDescent="0.3">
      <c r="A9">
        <v>24</v>
      </c>
      <c r="B9">
        <f t="shared" ref="B9:B31" si="5">L8-L9</f>
        <v>0.35971386521523174</v>
      </c>
      <c r="C9">
        <f t="shared" si="1"/>
        <v>0.35971386521523174</v>
      </c>
      <c r="D9" t="s">
        <v>28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STOWA2019_JAARROND_T(A9*60,J9,I9,"GH","center")</f>
        <v>2.3851533489969503</v>
      </c>
      <c r="L9">
        <f t="shared" si="4"/>
        <v>0.62889038167328248</v>
      </c>
    </row>
    <row r="10" spans="1:12" x14ac:dyDescent="0.3">
      <c r="A10">
        <v>24</v>
      </c>
      <c r="B10">
        <f t="shared" si="5"/>
        <v>0.21808752239640861</v>
      </c>
      <c r="C10">
        <f t="shared" si="1"/>
        <v>0.21808752239640861</v>
      </c>
      <c r="D10" t="s">
        <v>28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STOWA2019_JAARROND_T(A10*60,J10,I10,"GH","center")</f>
        <v>3.6513864646424636</v>
      </c>
      <c r="L10">
        <f t="shared" si="4"/>
        <v>0.41080285927687388</v>
      </c>
    </row>
    <row r="11" spans="1:12" x14ac:dyDescent="0.3">
      <c r="A11">
        <v>24</v>
      </c>
      <c r="B11">
        <f t="shared" si="5"/>
        <v>0.13606418202215925</v>
      </c>
      <c r="C11">
        <f t="shared" si="1"/>
        <v>0.13606418202215925</v>
      </c>
      <c r="D11" t="s">
        <v>28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STOWA2019_JAARROND_T(A11*60,J11,I11,"GH","center")</f>
        <v>5.4597336457630457</v>
      </c>
      <c r="L11">
        <f t="shared" si="4"/>
        <v>0.27473867725471462</v>
      </c>
    </row>
    <row r="12" spans="1:12" x14ac:dyDescent="0.3">
      <c r="A12">
        <v>24</v>
      </c>
      <c r="B12">
        <f t="shared" si="5"/>
        <v>8.7079239841002631E-2</v>
      </c>
      <c r="C12">
        <f t="shared" si="1"/>
        <v>8.7079239841002631E-2</v>
      </c>
      <c r="D12" t="s">
        <v>28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STOWA2019_JAARROND_T(A12*60,J12,I12,"GH","center")</f>
        <v>7.9932031166283206</v>
      </c>
      <c r="L12">
        <f t="shared" si="4"/>
        <v>0.18765943741371199</v>
      </c>
    </row>
    <row r="13" spans="1:12" x14ac:dyDescent="0.3">
      <c r="A13">
        <v>24</v>
      </c>
      <c r="B13">
        <f t="shared" si="5"/>
        <v>5.702178872778757E-2</v>
      </c>
      <c r="C13">
        <f t="shared" si="1"/>
        <v>5.702178872778757E-2</v>
      </c>
      <c r="D13" t="s">
        <v>28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STOWA2019_JAARROND_T(A13*60,J13,I13,"GH","center")</f>
        <v>11.482141749246118</v>
      </c>
      <c r="L13">
        <f t="shared" si="4"/>
        <v>0.13063764868592442</v>
      </c>
    </row>
    <row r="14" spans="1:12" x14ac:dyDescent="0.3">
      <c r="A14">
        <v>24</v>
      </c>
      <c r="B14">
        <f t="shared" si="5"/>
        <v>3.8118461713260304E-2</v>
      </c>
      <c r="C14">
        <f t="shared" si="1"/>
        <v>3.8118461713260304E-2</v>
      </c>
      <c r="D14" t="s">
        <v>28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STOWA2019_JAARROND_T(A14*60,J14,I14,"GH","center")</f>
        <v>16.212853237060898</v>
      </c>
      <c r="L14">
        <f t="shared" si="4"/>
        <v>9.2519186972664119E-2</v>
      </c>
    </row>
    <row r="15" spans="1:12" x14ac:dyDescent="0.3">
      <c r="A15">
        <v>24</v>
      </c>
      <c r="B15">
        <f t="shared" si="5"/>
        <v>2.5963533537850206E-2</v>
      </c>
      <c r="C15">
        <f t="shared" si="1"/>
        <v>2.5963533537850206E-2</v>
      </c>
      <c r="D15" t="s">
        <v>28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STOWA2019_JAARROND_T(A15*60,J15,I15,"GH","center")</f>
        <v>22.537529459749553</v>
      </c>
      <c r="L15">
        <f t="shared" si="4"/>
        <v>6.6555653434813913E-2</v>
      </c>
    </row>
    <row r="16" spans="1:12" x14ac:dyDescent="0.3">
      <c r="A16">
        <v>24</v>
      </c>
      <c r="B16">
        <f t="shared" si="5"/>
        <v>1.7988834535307301E-2</v>
      </c>
      <c r="C16">
        <f t="shared" si="1"/>
        <v>1.7988834535307301E-2</v>
      </c>
      <c r="D16" t="s">
        <v>28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STOWA2019_JAARROND_T(A16*60,J16,I16,"GH","center")</f>
        <v>30.885284109378603</v>
      </c>
      <c r="L16">
        <f t="shared" si="4"/>
        <v>4.8566818899506613E-2</v>
      </c>
    </row>
    <row r="17" spans="1:12" x14ac:dyDescent="0.3">
      <c r="A17">
        <v>24</v>
      </c>
      <c r="B17">
        <f t="shared" si="5"/>
        <v>1.265935012971884E-2</v>
      </c>
      <c r="C17">
        <f t="shared" si="1"/>
        <v>1.265935012971884E-2</v>
      </c>
      <c r="D17" t="s">
        <v>28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STOWA2019_JAARROND_T(A17*60,J17,I17,"GH","center")</f>
        <v>41.774038978266461</v>
      </c>
      <c r="L17">
        <f t="shared" si="4"/>
        <v>3.5907468769787773E-2</v>
      </c>
    </row>
    <row r="18" spans="1:12" x14ac:dyDescent="0.3">
      <c r="A18">
        <v>24</v>
      </c>
      <c r="B18">
        <f t="shared" si="5"/>
        <v>9.0380294497148447E-3</v>
      </c>
      <c r="C18">
        <f t="shared" si="1"/>
        <v>9.0380294497148447E-3</v>
      </c>
      <c r="D18" t="s">
        <v>28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STOWA2019_JAARROND_T(A18*60,J18,I18,"GH","center")</f>
        <v>55.825504288785758</v>
      </c>
      <c r="L18">
        <f t="shared" si="4"/>
        <v>2.6869439320072928E-2</v>
      </c>
    </row>
    <row r="19" spans="1:12" x14ac:dyDescent="0.3">
      <c r="A19">
        <v>24</v>
      </c>
      <c r="B19">
        <f t="shared" si="5"/>
        <v>6.5380272371941169E-3</v>
      </c>
      <c r="C19">
        <f t="shared" si="1"/>
        <v>6.5380272371941169E-3</v>
      </c>
      <c r="D19" t="s">
        <v>28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STOWA2019_JAARROND_T(A19*60,J19,I19,"GH","center")</f>
        <v>73.777462868068952</v>
      </c>
      <c r="L19">
        <f t="shared" si="4"/>
        <v>2.0331412082878812E-2</v>
      </c>
    </row>
    <row r="20" spans="1:12" x14ac:dyDescent="0.3">
      <c r="A20">
        <v>24</v>
      </c>
      <c r="B20">
        <f t="shared" si="5"/>
        <v>4.7878413255267802E-3</v>
      </c>
      <c r="C20">
        <f t="shared" si="1"/>
        <v>4.7878413255267802E-3</v>
      </c>
      <c r="D20" t="s">
        <v>28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STOWA2019_JAARROND_T(A20*60,J20,I20,"GH","center")</f>
        <v>96.502922231721271</v>
      </c>
      <c r="L20">
        <f t="shared" si="4"/>
        <v>1.5543570757352031E-2</v>
      </c>
    </row>
    <row r="21" spans="1:12" x14ac:dyDescent="0.3">
      <c r="A21">
        <v>24</v>
      </c>
      <c r="B21">
        <f t="shared" si="5"/>
        <v>3.5461046212397866E-3</v>
      </c>
      <c r="C21">
        <f t="shared" si="1"/>
        <v>3.5461046212397866E-3</v>
      </c>
      <c r="D21" t="s">
        <v>28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STOWA2019_JAARROND_T(A21*60,J21,I21,"GH","center")</f>
        <v>125.02639998999589</v>
      </c>
      <c r="L21">
        <f t="shared" si="4"/>
        <v>1.1997466136112245E-2</v>
      </c>
    </row>
    <row r="22" spans="1:12" x14ac:dyDescent="0.3">
      <c r="A22">
        <v>24</v>
      </c>
      <c r="B22">
        <f t="shared" si="5"/>
        <v>2.6542881548313139E-3</v>
      </c>
      <c r="C22">
        <f t="shared" si="1"/>
        <v>2.6542881548313139E-3</v>
      </c>
      <c r="D22" t="s">
        <v>28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STOWA2019_JAARROND_T(A22*60,J22,I22,"GH","center")</f>
        <v>160.54494552124041</v>
      </c>
      <c r="L22">
        <f t="shared" si="4"/>
        <v>9.3431779812809309E-3</v>
      </c>
    </row>
    <row r="23" spans="1:12" x14ac:dyDescent="0.3">
      <c r="A23">
        <v>24</v>
      </c>
      <c r="B23">
        <f t="shared" si="5"/>
        <v>2.0062342229153849E-3</v>
      </c>
      <c r="C23">
        <f t="shared" si="1"/>
        <v>2.0062342229153849E-3</v>
      </c>
      <c r="D23" t="s">
        <v>28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STOWA2019_JAARROND_T(A23*60,J23,I23,"GH","center")</f>
        <v>204.44480009673069</v>
      </c>
      <c r="L23">
        <f t="shared" si="4"/>
        <v>7.336943758365546E-3</v>
      </c>
    </row>
    <row r="24" spans="1:12" x14ac:dyDescent="0.3">
      <c r="A24">
        <v>24</v>
      </c>
      <c r="B24">
        <f t="shared" si="5"/>
        <v>1.5304307296480791E-3</v>
      </c>
      <c r="C24">
        <f t="shared" si="1"/>
        <v>1.5304307296480791E-3</v>
      </c>
      <c r="D24" t="s">
        <v>28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STOWA2019_JAARROND_T(A24*60,J24,I24,"GH","center")</f>
        <v>258.33060092716568</v>
      </c>
      <c r="L24">
        <f t="shared" si="4"/>
        <v>5.8065130287174669E-3</v>
      </c>
    </row>
    <row r="25" spans="1:12" x14ac:dyDescent="0.3">
      <c r="A25">
        <v>24</v>
      </c>
      <c r="B25">
        <f t="shared" si="5"/>
        <v>1.1775419051774979E-3</v>
      </c>
      <c r="C25">
        <f t="shared" si="1"/>
        <v>1.1775419051774979E-3</v>
      </c>
      <c r="D25" t="s">
        <v>28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STOWA2019_JAARROND_T(A25*60,J25,I25,"GH","center")</f>
        <v>324.04609144610237</v>
      </c>
      <c r="L25">
        <f t="shared" si="4"/>
        <v>4.628971123539969E-3</v>
      </c>
    </row>
    <row r="26" spans="1:12" x14ac:dyDescent="0.3">
      <c r="A26">
        <v>24</v>
      </c>
      <c r="B26">
        <f t="shared" si="5"/>
        <v>9.1333307807843576E-4</v>
      </c>
      <c r="C26">
        <f t="shared" si="1"/>
        <v>9.1333307807843576E-4</v>
      </c>
      <c r="D26" t="s">
        <v>28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STOWA2019_JAARROND_T(A26*60,J26,I26,"GH","center")</f>
        <v>403.69917135286505</v>
      </c>
      <c r="L26">
        <f t="shared" si="4"/>
        <v>3.7156380454615332E-3</v>
      </c>
    </row>
    <row r="27" spans="1:12" x14ac:dyDescent="0.3">
      <c r="A27">
        <v>24</v>
      </c>
      <c r="B27">
        <f t="shared" si="5"/>
        <v>7.1383722820018373E-4</v>
      </c>
      <c r="C27">
        <f t="shared" si="1"/>
        <v>7.1383722820018373E-4</v>
      </c>
      <c r="D27" t="s">
        <v>28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STOWA2019_JAARROND_T(A27*60,J27,I27,"GH","center")</f>
        <v>499.70004384518211</v>
      </c>
      <c r="L27">
        <f t="shared" si="4"/>
        <v>3.0018008172613495E-3</v>
      </c>
    </row>
    <row r="28" spans="1:12" x14ac:dyDescent="0.3">
      <c r="A28">
        <v>24</v>
      </c>
      <c r="B28">
        <f t="shared" si="5"/>
        <v>5.6189599395346269E-4</v>
      </c>
      <c r="C28">
        <f t="shared" si="1"/>
        <v>5.6189599395346269E-4</v>
      </c>
      <c r="D28" t="s">
        <v>28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STOWA2019_JAARROND_T(A28*60,J28,I28,"GH","center")</f>
        <v>614.77807891144857</v>
      </c>
      <c r="L28">
        <f t="shared" si="4"/>
        <v>2.4399048233078868E-3</v>
      </c>
    </row>
    <row r="29" spans="1:12" x14ac:dyDescent="0.3">
      <c r="A29">
        <v>24</v>
      </c>
      <c r="B29">
        <f t="shared" si="5"/>
        <v>4.4528605648270873E-4</v>
      </c>
      <c r="C29">
        <f t="shared" si="1"/>
        <v>4.4528605648270873E-4</v>
      </c>
      <c r="D29" t="s">
        <v>28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STOWA2019_JAARROND_T(A29*60,J29,I29,"GH","center")</f>
        <v>752.02340665205941</v>
      </c>
      <c r="L29">
        <f t="shared" si="4"/>
        <v>1.9946187668251781E-3</v>
      </c>
    </row>
    <row r="30" spans="1:12" x14ac:dyDescent="0.3">
      <c r="A30">
        <v>24</v>
      </c>
      <c r="B30">
        <f t="shared" si="5"/>
        <v>3.5513079638018678E-4</v>
      </c>
      <c r="C30">
        <f t="shared" si="1"/>
        <v>3.5513079638018678E-4</v>
      </c>
      <c r="D30" t="s">
        <v>28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STOWA2019_JAARROND_T(A30*60,J30,I30,"GH","center")</f>
        <v>914.91979632694029</v>
      </c>
      <c r="L30">
        <f t="shared" si="4"/>
        <v>1.6394879704449913E-3</v>
      </c>
    </row>
    <row r="31" spans="1:12" x14ac:dyDescent="0.3">
      <c r="A31">
        <v>24</v>
      </c>
      <c r="B31">
        <f t="shared" si="5"/>
        <v>2.849348162197098E-4</v>
      </c>
      <c r="C31">
        <f t="shared" si="1"/>
        <v>2.849348162197098E-4</v>
      </c>
      <c r="D31" t="s">
        <v>28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STOWA2019_JAARROND_T(A31*60,J31,I31,"GH","center")</f>
        <v>1107.3762556463905</v>
      </c>
      <c r="L31">
        <f t="shared" si="4"/>
        <v>1.3545531542252815E-3</v>
      </c>
    </row>
    <row r="32" spans="1:12" x14ac:dyDescent="0.3">
      <c r="A32">
        <v>24</v>
      </c>
      <c r="B32" s="1">
        <f>L31</f>
        <v>1.3545531542252815E-3</v>
      </c>
      <c r="C32">
        <f t="shared" si="1"/>
        <v>1.3545531542252815E-3</v>
      </c>
      <c r="D32" t="s">
        <v>28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STOWA2019_JAARROND_T(A32*60,J32,I32,"GH","center")</f>
        <v>35.975936946640246</v>
      </c>
      <c r="L32">
        <f t="shared" si="4"/>
        <v>4.1694536051272553E-2</v>
      </c>
    </row>
    <row r="33" spans="1:12" x14ac:dyDescent="0.3">
      <c r="A33">
        <v>48</v>
      </c>
      <c r="B33" s="1">
        <f>365.25*24/A33 - L33</f>
        <v>141.23905404470889</v>
      </c>
      <c r="C33">
        <f>B33</f>
        <v>141.23905404470889</v>
      </c>
      <c r="D33" t="s">
        <v>28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STOWA2019_JAARROND_T(A33*60,J33,I33,"GH","center")</f>
        <v>3.624418786078825E-2</v>
      </c>
      <c r="L33">
        <f t="shared" si="4"/>
        <v>41.385945955291092</v>
      </c>
    </row>
    <row r="34" spans="1:12" x14ac:dyDescent="0.3">
      <c r="A34">
        <v>48</v>
      </c>
      <c r="B34">
        <f t="shared" ref="B34:B38" si="8">L33-L34</f>
        <v>10.54784041898597</v>
      </c>
      <c r="C34">
        <f t="shared" ref="C34:C63" si="9">B34</f>
        <v>10.54784041898597</v>
      </c>
      <c r="D34" t="s">
        <v>28</v>
      </c>
      <c r="E34" t="s">
        <v>21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STOWA2019_JAARROND_T(A34*60,J34,I34,"GH","center")</f>
        <v>4.8641120260584043E-2</v>
      </c>
      <c r="L34">
        <f t="shared" si="4"/>
        <v>30.838105536305122</v>
      </c>
    </row>
    <row r="35" spans="1:12" x14ac:dyDescent="0.3">
      <c r="A35">
        <v>48</v>
      </c>
      <c r="B35">
        <f t="shared" si="8"/>
        <v>13.295478003052594</v>
      </c>
      <c r="C35">
        <f t="shared" si="9"/>
        <v>13.295478003052594</v>
      </c>
      <c r="D35" t="s">
        <v>28</v>
      </c>
      <c r="E35" t="s">
        <v>21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STOWA2019_JAARROND_T(A35*60,J35,I35,"GH","center")</f>
        <v>8.5506005138438299E-2</v>
      </c>
      <c r="L35">
        <f t="shared" si="4"/>
        <v>17.542627533252528</v>
      </c>
    </row>
    <row r="36" spans="1:12" x14ac:dyDescent="0.3">
      <c r="A36">
        <v>48</v>
      </c>
      <c r="B36">
        <f t="shared" si="8"/>
        <v>7.2599797963980244</v>
      </c>
      <c r="C36">
        <f t="shared" si="9"/>
        <v>7.2599797963980244</v>
      </c>
      <c r="D36" t="s">
        <v>28</v>
      </c>
      <c r="E36" t="s">
        <v>21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STOWA2019_JAARROND_T(A36*60,J36,I36,"GH","center")</f>
        <v>0.14587682456764342</v>
      </c>
      <c r="L36">
        <f t="shared" si="4"/>
        <v>10.282647736854504</v>
      </c>
    </row>
    <row r="37" spans="1:12" x14ac:dyDescent="0.3">
      <c r="A37">
        <v>48</v>
      </c>
      <c r="B37">
        <f t="shared" si="8"/>
        <v>4.0896380211697316</v>
      </c>
      <c r="C37">
        <f t="shared" si="9"/>
        <v>4.0896380211697316</v>
      </c>
      <c r="D37" t="s">
        <v>28</v>
      </c>
      <c r="E37" t="s">
        <v>21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STOWA2019_JAARROND_T(A37*60,J37,I37,"GH","center")</f>
        <v>0.24220856560276566</v>
      </c>
      <c r="L37">
        <f t="shared" si="4"/>
        <v>6.1930097156847719</v>
      </c>
    </row>
    <row r="38" spans="1:12" x14ac:dyDescent="0.3">
      <c r="A38">
        <v>48</v>
      </c>
      <c r="B38">
        <f t="shared" si="8"/>
        <v>2.3703791997110004</v>
      </c>
      <c r="C38">
        <f t="shared" si="9"/>
        <v>2.3703791997110004</v>
      </c>
      <c r="D38" t="s">
        <v>28</v>
      </c>
      <c r="E38" t="s">
        <v>21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STOWA2019_JAARROND_T(A38*60,J38,I38,"GH","center")</f>
        <v>0.39239994389515098</v>
      </c>
      <c r="L38">
        <f t="shared" si="4"/>
        <v>3.8226305159737715</v>
      </c>
    </row>
    <row r="39" spans="1:12" x14ac:dyDescent="0.3">
      <c r="A39">
        <v>48</v>
      </c>
      <c r="B39">
        <f>L38-L39</f>
        <v>1.4097410405110846</v>
      </c>
      <c r="C39">
        <f t="shared" si="9"/>
        <v>1.4097410405110846</v>
      </c>
      <c r="D39" t="s">
        <v>28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STOWA2019_JAARROND_T(A39*60,J39,I39,"GH","center")</f>
        <v>0.62166129665444603</v>
      </c>
      <c r="L39">
        <f t="shared" si="4"/>
        <v>2.4128894754626868</v>
      </c>
    </row>
    <row r="40" spans="1:12" x14ac:dyDescent="0.3">
      <c r="A40">
        <v>48</v>
      </c>
      <c r="B40">
        <f t="shared" ref="B40:B62" si="12">L39-L40</f>
        <v>0.85850355973780235</v>
      </c>
      <c r="C40">
        <f t="shared" si="9"/>
        <v>0.85850355973780235</v>
      </c>
      <c r="D40" t="s">
        <v>28</v>
      </c>
      <c r="E40" t="s">
        <v>21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STOWA2019_JAARROND_T(A40*60,J40,I40,"GH","center")</f>
        <v>0.9650113172187863</v>
      </c>
      <c r="L40">
        <f t="shared" si="4"/>
        <v>1.5543859157248845</v>
      </c>
    </row>
    <row r="41" spans="1:12" x14ac:dyDescent="0.3">
      <c r="A41">
        <v>48</v>
      </c>
      <c r="B41">
        <f t="shared" si="12"/>
        <v>0.53407767608355017</v>
      </c>
      <c r="C41">
        <f t="shared" si="9"/>
        <v>0.53407767608355017</v>
      </c>
      <c r="D41" t="s">
        <v>28</v>
      </c>
      <c r="E41" t="s">
        <v>21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STOWA2019_JAARROND_T(A41*60,J41,I41,"GH","center")</f>
        <v>1.470143964070397</v>
      </c>
      <c r="L41">
        <f t="shared" si="4"/>
        <v>1.0203082396413343</v>
      </c>
    </row>
    <row r="42" spans="1:12" x14ac:dyDescent="0.3">
      <c r="A42">
        <v>48</v>
      </c>
      <c r="B42">
        <f t="shared" si="12"/>
        <v>0.3390521391217487</v>
      </c>
      <c r="C42">
        <f t="shared" si="9"/>
        <v>0.3390521391217487</v>
      </c>
      <c r="D42" t="s">
        <v>28</v>
      </c>
      <c r="E42" t="s">
        <v>21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STOWA2019_JAARROND_T(A42*60,J42,I42,"GH","center")</f>
        <v>2.2018151453703951</v>
      </c>
      <c r="L42">
        <f t="shared" si="4"/>
        <v>0.68125610051958563</v>
      </c>
    </row>
    <row r="43" spans="1:12" x14ac:dyDescent="0.3">
      <c r="A43">
        <v>48</v>
      </c>
      <c r="B43">
        <f t="shared" si="12"/>
        <v>0.21914250302495619</v>
      </c>
      <c r="C43">
        <f t="shared" si="9"/>
        <v>0.21914250302495619</v>
      </c>
      <c r="D43" t="s">
        <v>28</v>
      </c>
      <c r="E43" t="s">
        <v>21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STOWA2019_JAARROND_T(A43*60,J43,I43,"GH","center")</f>
        <v>3.2459551247405845</v>
      </c>
      <c r="L43">
        <f t="shared" si="4"/>
        <v>0.46211359749462944</v>
      </c>
    </row>
    <row r="44" spans="1:12" x14ac:dyDescent="0.3">
      <c r="A44">
        <v>48</v>
      </c>
      <c r="B44">
        <f t="shared" si="12"/>
        <v>0.14403079180745804</v>
      </c>
      <c r="C44">
        <f t="shared" si="9"/>
        <v>0.14403079180745804</v>
      </c>
      <c r="D44" t="s">
        <v>28</v>
      </c>
      <c r="E44" t="s">
        <v>21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STOWA2019_JAARROND_T(A44*60,J44,I44,"GH","center")</f>
        <v>4.7157531723837423</v>
      </c>
      <c r="L44">
        <f t="shared" si="4"/>
        <v>0.3180828056871714</v>
      </c>
    </row>
    <row r="45" spans="1:12" x14ac:dyDescent="0.3">
      <c r="A45">
        <v>48</v>
      </c>
      <c r="B45">
        <f t="shared" si="12"/>
        <v>9.6150847971360476E-2</v>
      </c>
      <c r="C45">
        <f t="shared" si="9"/>
        <v>9.6150847971360476E-2</v>
      </c>
      <c r="D45" t="s">
        <v>28</v>
      </c>
      <c r="E45" t="s">
        <v>21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STOWA2019_JAARROND_T(A45*60,J45,I45,"GH","center")</f>
        <v>6.7588283158425755</v>
      </c>
      <c r="L45">
        <f t="shared" si="4"/>
        <v>0.22193195771581092</v>
      </c>
    </row>
    <row r="46" spans="1:12" x14ac:dyDescent="0.3">
      <c r="A46">
        <v>48</v>
      </c>
      <c r="B46">
        <f t="shared" si="12"/>
        <v>6.5121048041724194E-2</v>
      </c>
      <c r="C46">
        <f t="shared" si="9"/>
        <v>6.5121048041724194E-2</v>
      </c>
      <c r="D46" t="s">
        <v>28</v>
      </c>
      <c r="E46" t="s">
        <v>21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STOWA2019_JAARROND_T(A46*60,J46,I46,"GH","center")</f>
        <v>9.5656609805885058</v>
      </c>
      <c r="L46">
        <f t="shared" si="4"/>
        <v>0.15681090967408673</v>
      </c>
    </row>
    <row r="47" spans="1:12" x14ac:dyDescent="0.3">
      <c r="A47">
        <v>48</v>
      </c>
      <c r="B47">
        <f t="shared" si="12"/>
        <v>4.4701182822097563E-2</v>
      </c>
      <c r="C47">
        <f t="shared" si="9"/>
        <v>4.4701182822097563E-2</v>
      </c>
      <c r="D47" t="s">
        <v>28</v>
      </c>
      <c r="E47" t="s">
        <v>21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STOWA2019_JAARROND_T(A47*60,J47,I47,"GH","center")</f>
        <v>13.379748948816438</v>
      </c>
      <c r="L47">
        <f t="shared" si="4"/>
        <v>0.11210972685198917</v>
      </c>
    </row>
    <row r="48" spans="1:12" x14ac:dyDescent="0.3">
      <c r="A48">
        <v>48</v>
      </c>
      <c r="B48">
        <f t="shared" si="12"/>
        <v>3.1072898424299542E-2</v>
      </c>
      <c r="C48">
        <f t="shared" si="9"/>
        <v>3.1072898424299542E-2</v>
      </c>
      <c r="D48" t="s">
        <v>28</v>
      </c>
      <c r="E48" t="s">
        <v>21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STOWA2019_JAARROND_T(A48*60,J48,I48,"GH","center")</f>
        <v>18.510102494182288</v>
      </c>
      <c r="L48">
        <f t="shared" si="4"/>
        <v>8.1036828427689625E-2</v>
      </c>
    </row>
    <row r="49" spans="1:12" x14ac:dyDescent="0.3">
      <c r="A49">
        <v>48</v>
      </c>
      <c r="B49">
        <f t="shared" si="12"/>
        <v>2.1854604676787445E-2</v>
      </c>
      <c r="C49">
        <f t="shared" si="9"/>
        <v>2.1854604676787445E-2</v>
      </c>
      <c r="D49" t="s">
        <v>28</v>
      </c>
      <c r="E49" t="s">
        <v>21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STOWA2019_JAARROND_T(A49*60,J49,I49,"GH","center")</f>
        <v>25.345448429134667</v>
      </c>
      <c r="L49">
        <f t="shared" si="4"/>
        <v>5.918222375090218E-2</v>
      </c>
    </row>
    <row r="50" spans="1:12" x14ac:dyDescent="0.3">
      <c r="A50">
        <v>48</v>
      </c>
      <c r="B50">
        <f t="shared" si="12"/>
        <v>1.5541166400392416E-2</v>
      </c>
      <c r="C50">
        <f t="shared" si="9"/>
        <v>1.5541166400392416E-2</v>
      </c>
      <c r="D50" t="s">
        <v>28</v>
      </c>
      <c r="E50" t="s">
        <v>21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STOWA2019_JAARROND_T(A50*60,J50,I50,"GH","center")</f>
        <v>34.37130287546708</v>
      </c>
      <c r="L50">
        <f t="shared" si="4"/>
        <v>4.3641057350509764E-2</v>
      </c>
    </row>
    <row r="51" spans="1:12" x14ac:dyDescent="0.3">
      <c r="A51">
        <v>48</v>
      </c>
      <c r="B51">
        <f t="shared" si="12"/>
        <v>1.1166416149472218E-2</v>
      </c>
      <c r="C51">
        <f t="shared" si="9"/>
        <v>1.1166416149472218E-2</v>
      </c>
      <c r="D51" t="s">
        <v>28</v>
      </c>
      <c r="E51" t="s">
        <v>21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STOWA2019_JAARROND_T(A51*60,J51,I51,"GH","center")</f>
        <v>46.189886770852944</v>
      </c>
      <c r="L51">
        <f t="shared" si="4"/>
        <v>3.2474641201037546E-2</v>
      </c>
    </row>
    <row r="52" spans="1:12" x14ac:dyDescent="0.3">
      <c r="A52">
        <v>48</v>
      </c>
      <c r="B52">
        <f t="shared" si="12"/>
        <v>8.1015711699469056E-3</v>
      </c>
      <c r="C52">
        <f t="shared" si="9"/>
        <v>8.1015711699469056E-3</v>
      </c>
      <c r="D52" t="s">
        <v>28</v>
      </c>
      <c r="E52" t="s">
        <v>21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STOWA2019_JAARROND_T(A52*60,J52,I52,"GH","center")</f>
        <v>61.543334429621638</v>
      </c>
      <c r="L52">
        <f t="shared" si="4"/>
        <v>2.4373070031090641E-2</v>
      </c>
    </row>
    <row r="53" spans="1:12" x14ac:dyDescent="0.3">
      <c r="A53">
        <v>48</v>
      </c>
      <c r="B53">
        <f t="shared" si="12"/>
        <v>5.9320980872363052E-3</v>
      </c>
      <c r="C53">
        <f t="shared" si="9"/>
        <v>5.9320980872363052E-3</v>
      </c>
      <c r="D53" t="s">
        <v>28</v>
      </c>
      <c r="E53" t="s">
        <v>21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STOWA2019_JAARROND_T(A53*60,J53,I53,"GH","center")</f>
        <v>81.340615048215611</v>
      </c>
      <c r="L53">
        <f t="shared" si="4"/>
        <v>1.8440971943854335E-2</v>
      </c>
    </row>
    <row r="54" spans="1:12" x14ac:dyDescent="0.3">
      <c r="A54">
        <v>48</v>
      </c>
      <c r="B54">
        <f t="shared" si="12"/>
        <v>4.3812721480465319E-3</v>
      </c>
      <c r="C54">
        <f t="shared" si="9"/>
        <v>4.3812721480465319E-3</v>
      </c>
      <c r="D54" t="s">
        <v>28</v>
      </c>
      <c r="E54" t="s">
        <v>21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STOWA2019_JAARROND_T(A54*60,J54,I54,"GH","center")</f>
        <v>106.68791096430499</v>
      </c>
      <c r="L54">
        <f t="shared" si="4"/>
        <v>1.4059699795807803E-2</v>
      </c>
    </row>
    <row r="55" spans="1:12" x14ac:dyDescent="0.3">
      <c r="A55">
        <v>48</v>
      </c>
      <c r="B55">
        <f t="shared" si="12"/>
        <v>3.262672447623462E-3</v>
      </c>
      <c r="C55">
        <f t="shared" si="9"/>
        <v>3.262672447623462E-3</v>
      </c>
      <c r="D55" t="s">
        <v>28</v>
      </c>
      <c r="E55" t="s">
        <v>21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STOWA2019_JAARROND_T(A55*60,J55,I55,"GH","center")</f>
        <v>138.92712796103496</v>
      </c>
      <c r="L55">
        <f t="shared" si="4"/>
        <v>1.0797027348184341E-2</v>
      </c>
    </row>
    <row r="56" spans="1:12" x14ac:dyDescent="0.3">
      <c r="A56">
        <v>48</v>
      </c>
      <c r="B56">
        <f t="shared" si="12"/>
        <v>2.4484718856875119E-3</v>
      </c>
      <c r="C56">
        <f t="shared" si="9"/>
        <v>2.4484718856875119E-3</v>
      </c>
      <c r="D56" t="s">
        <v>28</v>
      </c>
      <c r="E56" t="s">
        <v>21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STOWA2019_JAARROND_T(A56*60,J56,I56,"GH","center")</f>
        <v>179.67180151563491</v>
      </c>
      <c r="L56">
        <f t="shared" si="4"/>
        <v>8.3485554624968296E-3</v>
      </c>
    </row>
    <row r="57" spans="1:12" x14ac:dyDescent="0.3">
      <c r="A57">
        <v>48</v>
      </c>
      <c r="B57">
        <f t="shared" si="12"/>
        <v>1.8511317431598399E-3</v>
      </c>
      <c r="C57">
        <f t="shared" si="9"/>
        <v>1.8511317431598399E-3</v>
      </c>
      <c r="D57" t="s">
        <v>28</v>
      </c>
      <c r="E57" t="s">
        <v>21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STOWA2019_JAARROND_T(A57*60,J57,I57,"GH","center")</f>
        <v>230.86073262173872</v>
      </c>
      <c r="L57">
        <f t="shared" si="4"/>
        <v>6.4974237193369897E-3</v>
      </c>
    </row>
    <row r="58" spans="1:12" x14ac:dyDescent="0.3">
      <c r="A58">
        <v>48</v>
      </c>
      <c r="B58">
        <f t="shared" si="12"/>
        <v>1.40927452749612E-3</v>
      </c>
      <c r="C58">
        <f t="shared" si="9"/>
        <v>1.40927452749612E-3</v>
      </c>
      <c r="D58" t="s">
        <v>28</v>
      </c>
      <c r="E58" t="s">
        <v>21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STOWA2019_JAARROND_T(A58*60,J58,I58,"GH","center")</f>
        <v>294.80267646344441</v>
      </c>
      <c r="L58">
        <f t="shared" si="4"/>
        <v>5.0881491918408697E-3</v>
      </c>
    </row>
    <row r="59" spans="1:12" x14ac:dyDescent="0.3">
      <c r="A59">
        <v>48</v>
      </c>
      <c r="B59">
        <f t="shared" si="12"/>
        <v>1.0800798515088264E-3</v>
      </c>
      <c r="C59">
        <f t="shared" si="9"/>
        <v>1.0800798515088264E-3</v>
      </c>
      <c r="D59" t="s">
        <v>28</v>
      </c>
      <c r="E59" t="s">
        <v>21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STOWA2019_JAARROND_T(A59*60,J59,I59,"GH","center")</f>
        <v>374.24502238669714</v>
      </c>
      <c r="L59">
        <f t="shared" si="4"/>
        <v>4.0080693403320433E-3</v>
      </c>
    </row>
    <row r="60" spans="1:12" x14ac:dyDescent="0.3">
      <c r="A60">
        <v>48</v>
      </c>
      <c r="B60">
        <f t="shared" si="12"/>
        <v>8.3304450288446477E-4</v>
      </c>
      <c r="C60">
        <f t="shared" si="9"/>
        <v>8.3304450288446477E-4</v>
      </c>
      <c r="D60" t="s">
        <v>28</v>
      </c>
      <c r="E60" t="s">
        <v>21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STOWA2019_JAARROND_T(A60*60,J60,I60,"GH","center")</f>
        <v>472.43724909120988</v>
      </c>
      <c r="L60">
        <f t="shared" si="4"/>
        <v>3.1750248374475785E-3</v>
      </c>
    </row>
    <row r="61" spans="1:12" x14ac:dyDescent="0.3">
      <c r="A61">
        <v>48</v>
      </c>
      <c r="B61">
        <f t="shared" si="12"/>
        <v>6.4641899446430274E-4</v>
      </c>
      <c r="C61">
        <f t="shared" si="9"/>
        <v>6.4641899446430274E-4</v>
      </c>
      <c r="D61" t="s">
        <v>28</v>
      </c>
      <c r="E61" t="s">
        <v>21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STOWA2019_JAARROND_T(A61*60,J61,I61,"GH","center")</f>
        <v>593.21226523398525</v>
      </c>
      <c r="L61">
        <f t="shared" si="4"/>
        <v>2.5286058429832758E-3</v>
      </c>
    </row>
    <row r="62" spans="1:12" x14ac:dyDescent="0.3">
      <c r="A62">
        <v>48</v>
      </c>
      <c r="B62">
        <f t="shared" si="12"/>
        <v>5.0447868663635025E-4</v>
      </c>
      <c r="C62">
        <f t="shared" si="9"/>
        <v>5.0447868663635025E-4</v>
      </c>
      <c r="D62" t="s">
        <v>28</v>
      </c>
      <c r="E62" t="s">
        <v>21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STOWA2019_JAARROND_T(A62*60,J62,I62,"GH","center")</f>
        <v>741.06016279488495</v>
      </c>
      <c r="L62">
        <f t="shared" si="4"/>
        <v>2.0241271563469256E-3</v>
      </c>
    </row>
    <row r="63" spans="1:12" x14ac:dyDescent="0.3">
      <c r="A63">
        <v>48</v>
      </c>
      <c r="B63" s="1">
        <f>L62</f>
        <v>2.0241271563469256E-3</v>
      </c>
      <c r="C63">
        <f t="shared" si="9"/>
        <v>2.0241271563469256E-3</v>
      </c>
      <c r="D63" t="s">
        <v>28</v>
      </c>
      <c r="E63" t="s">
        <v>21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STOWA2019_JAARROND_T(A63*60,J63,I63,"GH","center")</f>
        <v>15.758152990920179</v>
      </c>
      <c r="L63">
        <f t="shared" si="4"/>
        <v>9.5188820724376622E-2</v>
      </c>
    </row>
    <row r="64" spans="1:12" x14ac:dyDescent="0.3">
      <c r="A64">
        <v>96</v>
      </c>
      <c r="B64" s="1">
        <f>365.25*24/A64 - L64</f>
        <v>25.459310317076543</v>
      </c>
      <c r="C64">
        <f>B64</f>
        <v>25.459310317076543</v>
      </c>
      <c r="D64" t="s">
        <v>28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STOWA2019_JAARROND_T(A64*60,J64,I64,"GH","center")</f>
        <v>2.2777939948275101E-2</v>
      </c>
      <c r="L64">
        <f t="shared" si="4"/>
        <v>65.853189682923457</v>
      </c>
    </row>
    <row r="65" spans="1:12" x14ac:dyDescent="0.3">
      <c r="A65">
        <v>96</v>
      </c>
      <c r="B65">
        <f t="shared" ref="B65:B69" si="15">L64-L65</f>
        <v>13.170672416301912</v>
      </c>
      <c r="C65">
        <f t="shared" ref="C65:C94" si="16">B65</f>
        <v>13.170672416301912</v>
      </c>
      <c r="D65" t="s">
        <v>28</v>
      </c>
      <c r="E65" t="s">
        <v>21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STOWA2019_JAARROND_T(A65*60,J65,I65,"GH","center")</f>
        <v>2.8472443570010771E-2</v>
      </c>
      <c r="L65">
        <f t="shared" si="4"/>
        <v>52.682517266621545</v>
      </c>
    </row>
    <row r="66" spans="1:12" x14ac:dyDescent="0.3">
      <c r="A66">
        <v>96</v>
      </c>
      <c r="B66">
        <f t="shared" si="15"/>
        <v>18.668350933477925</v>
      </c>
      <c r="C66">
        <f t="shared" si="16"/>
        <v>18.668350933477925</v>
      </c>
      <c r="D66" t="s">
        <v>28</v>
      </c>
      <c r="E66" t="s">
        <v>21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STOWA2019_JAARROND_T(A66*60,J66,I66,"GH","center")</f>
        <v>4.4099272794417735E-2</v>
      </c>
      <c r="L66">
        <f t="shared" si="4"/>
        <v>34.014166333143621</v>
      </c>
    </row>
    <row r="67" spans="1:12" x14ac:dyDescent="0.3">
      <c r="A67">
        <v>96</v>
      </c>
      <c r="B67">
        <f t="shared" si="15"/>
        <v>11.820609040698457</v>
      </c>
      <c r="C67">
        <f t="shared" si="16"/>
        <v>11.820609040698457</v>
      </c>
      <c r="D67" t="s">
        <v>28</v>
      </c>
      <c r="E67" t="s">
        <v>21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STOWA2019_JAARROND_T(A67*60,J67,I67,"GH","center")</f>
        <v>6.7587182182398953E-2</v>
      </c>
      <c r="L67">
        <f t="shared" ref="L67:L130" si="19">1/K67 * 12/8</f>
        <v>22.193557292445163</v>
      </c>
    </row>
    <row r="68" spans="1:12" x14ac:dyDescent="0.3">
      <c r="A68">
        <v>96</v>
      </c>
      <c r="B68">
        <f t="shared" si="15"/>
        <v>7.5700258687364546</v>
      </c>
      <c r="C68">
        <f t="shared" si="16"/>
        <v>7.5700258687364546</v>
      </c>
      <c r="D68" t="s">
        <v>28</v>
      </c>
      <c r="E68" t="s">
        <v>21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STOWA2019_JAARROND_T(A68*60,J68,I68,"GH","center")</f>
        <v>0.10257440262125012</v>
      </c>
      <c r="L68">
        <f t="shared" si="19"/>
        <v>14.623531423708709</v>
      </c>
    </row>
    <row r="69" spans="1:12" x14ac:dyDescent="0.3">
      <c r="A69">
        <v>96</v>
      </c>
      <c r="B69">
        <f t="shared" si="15"/>
        <v>4.8987682820452321</v>
      </c>
      <c r="C69">
        <f t="shared" si="16"/>
        <v>4.8987682820452321</v>
      </c>
      <c r="D69" t="s">
        <v>28</v>
      </c>
      <c r="E69" t="s">
        <v>21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STOWA2019_JAARROND_T(A69*60,J69,I69,"GH","center")</f>
        <v>0.15424540198553527</v>
      </c>
      <c r="L69">
        <f t="shared" si="19"/>
        <v>9.7247631416634768</v>
      </c>
    </row>
    <row r="70" spans="1:12" x14ac:dyDescent="0.3">
      <c r="A70">
        <v>96</v>
      </c>
      <c r="B70">
        <f>L69-L70</f>
        <v>3.2003923066215485</v>
      </c>
      <c r="C70">
        <f t="shared" si="16"/>
        <v>3.2003923066215485</v>
      </c>
      <c r="D70" t="s">
        <v>28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STOWA2019_JAARROND_T(A70*60,J70,I70,"GH","center")</f>
        <v>0.22990722598776994</v>
      </c>
      <c r="L70">
        <f t="shared" si="19"/>
        <v>6.5243708350419283</v>
      </c>
    </row>
    <row r="71" spans="1:12" x14ac:dyDescent="0.3">
      <c r="A71">
        <v>96</v>
      </c>
      <c r="B71">
        <f t="shared" ref="B71:B93" si="20">L70-L71</f>
        <v>2.1102446249453415</v>
      </c>
      <c r="C71">
        <f t="shared" si="16"/>
        <v>2.1102446249453415</v>
      </c>
      <c r="D71" t="s">
        <v>28</v>
      </c>
      <c r="E71" t="s">
        <v>21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STOWA2019_JAARROND_T(A71*60,J71,I71,"GH","center")</f>
        <v>0.33981810410608487</v>
      </c>
      <c r="L71">
        <f t="shared" si="19"/>
        <v>4.4141262100965868</v>
      </c>
    </row>
    <row r="72" spans="1:12" x14ac:dyDescent="0.3">
      <c r="A72">
        <v>96</v>
      </c>
      <c r="B72">
        <f t="shared" si="20"/>
        <v>1.4035895561656475</v>
      </c>
      <c r="C72">
        <f t="shared" si="16"/>
        <v>1.4035895561656475</v>
      </c>
      <c r="D72" t="s">
        <v>28</v>
      </c>
      <c r="E72" t="s">
        <v>21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STOWA2019_JAARROND_T(A72*60,J72,I72,"GH","center")</f>
        <v>0.49825003726209727</v>
      </c>
      <c r="L72">
        <f t="shared" si="19"/>
        <v>3.0105366539309393</v>
      </c>
    </row>
    <row r="73" spans="1:12" x14ac:dyDescent="0.3">
      <c r="A73">
        <v>96</v>
      </c>
      <c r="B73">
        <f t="shared" si="20"/>
        <v>0.94136041003641369</v>
      </c>
      <c r="C73">
        <f t="shared" si="16"/>
        <v>0.94136041003641369</v>
      </c>
      <c r="D73" t="s">
        <v>28</v>
      </c>
      <c r="E73" t="s">
        <v>21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STOWA2019_JAARROND_T(A73*60,J73,I73,"GH","center")</f>
        <v>0.72492616538877153</v>
      </c>
      <c r="L73">
        <f t="shared" si="19"/>
        <v>2.0691762438945256</v>
      </c>
    </row>
    <row r="74" spans="1:12" x14ac:dyDescent="0.3">
      <c r="A74">
        <v>96</v>
      </c>
      <c r="B74">
        <f t="shared" si="20"/>
        <v>0.63629154795178078</v>
      </c>
      <c r="C74">
        <f t="shared" si="16"/>
        <v>0.63629154795178078</v>
      </c>
      <c r="D74" t="s">
        <v>28</v>
      </c>
      <c r="E74" t="s">
        <v>21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STOWA2019_JAARROND_T(A74*60,J74,I74,"GH","center")</f>
        <v>1.0468392915684661</v>
      </c>
      <c r="L74">
        <f t="shared" si="19"/>
        <v>1.4328846959427448</v>
      </c>
    </row>
    <row r="75" spans="1:12" x14ac:dyDescent="0.3">
      <c r="A75">
        <v>96</v>
      </c>
      <c r="B75">
        <f t="shared" si="20"/>
        <v>0.43365783161558702</v>
      </c>
      <c r="C75">
        <f t="shared" si="16"/>
        <v>0.43365783161558702</v>
      </c>
      <c r="D75" t="s">
        <v>28</v>
      </c>
      <c r="E75" t="s">
        <v>21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STOWA2019_JAARROND_T(A75*60,J75,I75,"GH","center")</f>
        <v>1.5011606008111522</v>
      </c>
      <c r="L75">
        <f t="shared" si="19"/>
        <v>0.99922686432715779</v>
      </c>
    </row>
    <row r="76" spans="1:12" x14ac:dyDescent="0.3">
      <c r="A76">
        <v>96</v>
      </c>
      <c r="B76">
        <f t="shared" si="20"/>
        <v>0.29761993114524987</v>
      </c>
      <c r="C76">
        <f t="shared" si="16"/>
        <v>0.29761993114524987</v>
      </c>
      <c r="D76" t="s">
        <v>28</v>
      </c>
      <c r="E76" t="s">
        <v>21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STOWA2019_JAARROND_T(A76*60,J76,I76,"GH","center")</f>
        <v>2.1379492263527706</v>
      </c>
      <c r="L76">
        <f t="shared" si="19"/>
        <v>0.70160693318190792</v>
      </c>
    </row>
    <row r="77" spans="1:12" x14ac:dyDescent="0.3">
      <c r="A77">
        <v>96</v>
      </c>
      <c r="B77">
        <f t="shared" si="20"/>
        <v>0.20571838693273559</v>
      </c>
      <c r="C77">
        <f t="shared" si="16"/>
        <v>0.20571838693273559</v>
      </c>
      <c r="D77" t="s">
        <v>28</v>
      </c>
      <c r="E77" t="s">
        <v>21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STOWA2019_JAARROND_T(A77*60,J77,I77,"GH","center")</f>
        <v>3.0248732529633489</v>
      </c>
      <c r="L77">
        <f t="shared" si="19"/>
        <v>0.49588854624917234</v>
      </c>
    </row>
    <row r="78" spans="1:12" x14ac:dyDescent="0.3">
      <c r="A78">
        <v>96</v>
      </c>
      <c r="B78">
        <f t="shared" si="20"/>
        <v>0.14316704730048535</v>
      </c>
      <c r="C78">
        <f t="shared" si="16"/>
        <v>0.14316704730048535</v>
      </c>
      <c r="D78" t="s">
        <v>28</v>
      </c>
      <c r="E78" t="s">
        <v>21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STOWA2019_JAARROND_T(A78*60,J78,I78,"GH","center")</f>
        <v>4.2526469309947457</v>
      </c>
      <c r="L78">
        <f t="shared" si="19"/>
        <v>0.35272149894868698</v>
      </c>
    </row>
    <row r="79" spans="1:12" x14ac:dyDescent="0.3">
      <c r="A79">
        <v>96</v>
      </c>
      <c r="B79">
        <f t="shared" si="20"/>
        <v>0.10029771549382149</v>
      </c>
      <c r="C79">
        <f t="shared" si="16"/>
        <v>0.10029771549382149</v>
      </c>
      <c r="D79" t="s">
        <v>28</v>
      </c>
      <c r="E79" t="s">
        <v>21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STOWA2019_JAARROND_T(A79*60,J79,I79,"GH","center")</f>
        <v>5.9423877555032645</v>
      </c>
      <c r="L79">
        <f t="shared" si="19"/>
        <v>0.25242378345486549</v>
      </c>
    </row>
    <row r="80" spans="1:12" x14ac:dyDescent="0.3">
      <c r="A80">
        <v>96</v>
      </c>
      <c r="B80">
        <f t="shared" si="20"/>
        <v>7.070741980818554E-2</v>
      </c>
      <c r="C80">
        <f t="shared" si="16"/>
        <v>7.070741980818554E-2</v>
      </c>
      <c r="D80" t="s">
        <v>28</v>
      </c>
      <c r="E80" t="s">
        <v>21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STOWA2019_JAARROND_T(A80*60,J80,I80,"GH","center")</f>
        <v>8.2546225881810162</v>
      </c>
      <c r="L80">
        <f t="shared" si="19"/>
        <v>0.18171636364667995</v>
      </c>
    </row>
    <row r="81" spans="1:12" x14ac:dyDescent="0.3">
      <c r="A81">
        <v>96</v>
      </c>
      <c r="B81">
        <f t="shared" si="20"/>
        <v>5.0154428614154312E-2</v>
      </c>
      <c r="C81">
        <f t="shared" si="16"/>
        <v>5.0154428614154312E-2</v>
      </c>
      <c r="D81" t="s">
        <v>28</v>
      </c>
      <c r="E81" t="s">
        <v>21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STOWA2019_JAARROND_T(A81*60,J81,I81,"GH","center")</f>
        <v>11.401474139378992</v>
      </c>
      <c r="L81">
        <f t="shared" si="19"/>
        <v>0.13156193503252564</v>
      </c>
    </row>
    <row r="82" spans="1:12" x14ac:dyDescent="0.3">
      <c r="A82">
        <v>96</v>
      </c>
      <c r="B82">
        <f t="shared" si="20"/>
        <v>3.5786380312639338E-2</v>
      </c>
      <c r="C82">
        <f t="shared" si="16"/>
        <v>3.5786380312639338E-2</v>
      </c>
      <c r="D82" t="s">
        <v>28</v>
      </c>
      <c r="E82" t="s">
        <v>21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STOWA2019_JAARROND_T(A82*60,J82,I82,"GH","center")</f>
        <v>15.661616415452078</v>
      </c>
      <c r="L82">
        <f t="shared" si="19"/>
        <v>9.5775554719886302E-2</v>
      </c>
    </row>
    <row r="83" spans="1:12" x14ac:dyDescent="0.3">
      <c r="A83">
        <v>96</v>
      </c>
      <c r="B83">
        <f t="shared" si="20"/>
        <v>2.5680509940982879E-2</v>
      </c>
      <c r="C83">
        <f t="shared" si="16"/>
        <v>2.5680509940982879E-2</v>
      </c>
      <c r="D83" t="s">
        <v>28</v>
      </c>
      <c r="E83" t="s">
        <v>21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STOWA2019_JAARROND_T(A83*60,J83,I83,"GH","center")</f>
        <v>21.399515539669881</v>
      </c>
      <c r="L83">
        <f t="shared" si="19"/>
        <v>7.0095044778903423E-2</v>
      </c>
    </row>
    <row r="84" spans="1:12" x14ac:dyDescent="0.3">
      <c r="A84">
        <v>96</v>
      </c>
      <c r="B84">
        <f t="shared" si="20"/>
        <v>1.8529996246331129E-2</v>
      </c>
      <c r="C84">
        <f t="shared" si="16"/>
        <v>1.8529996246331129E-2</v>
      </c>
      <c r="D84" t="s">
        <v>28</v>
      </c>
      <c r="E84" t="s">
        <v>21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STOWA2019_JAARROND_T(A84*60,J84,I84,"GH","center")</f>
        <v>29.089471312191034</v>
      </c>
      <c r="L84">
        <f t="shared" si="19"/>
        <v>5.1565048532572294E-2</v>
      </c>
    </row>
    <row r="85" spans="1:12" x14ac:dyDescent="0.3">
      <c r="A85">
        <v>96</v>
      </c>
      <c r="B85">
        <f t="shared" si="20"/>
        <v>1.344268379860182E-2</v>
      </c>
      <c r="C85">
        <f t="shared" si="16"/>
        <v>1.344268379860182E-2</v>
      </c>
      <c r="D85" t="s">
        <v>28</v>
      </c>
      <c r="E85" t="s">
        <v>21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STOWA2019_JAARROND_T(A85*60,J85,I85,"GH","center")</f>
        <v>39.346982026625554</v>
      </c>
      <c r="L85">
        <f t="shared" si="19"/>
        <v>3.8122364733970474E-2</v>
      </c>
    </row>
    <row r="86" spans="1:12" x14ac:dyDescent="0.3">
      <c r="A86">
        <v>96</v>
      </c>
      <c r="B86">
        <f t="shared" si="20"/>
        <v>9.8022352811269441E-3</v>
      </c>
      <c r="C86">
        <f t="shared" si="16"/>
        <v>9.8022352811269441E-3</v>
      </c>
      <c r="D86" t="s">
        <v>28</v>
      </c>
      <c r="E86" t="s">
        <v>21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STOWA2019_JAARROND_T(A86*60,J86,I86,"GH","center")</f>
        <v>52.965859583999539</v>
      </c>
      <c r="L86">
        <f t="shared" si="19"/>
        <v>2.8320129452843529E-2</v>
      </c>
    </row>
    <row r="87" spans="1:12" x14ac:dyDescent="0.3">
      <c r="A87">
        <v>96</v>
      </c>
      <c r="B87">
        <f t="shared" si="20"/>
        <v>7.1833492910455578E-3</v>
      </c>
      <c r="C87">
        <f t="shared" si="16"/>
        <v>7.1833492910455578E-3</v>
      </c>
      <c r="D87" t="s">
        <v>28</v>
      </c>
      <c r="E87" t="s">
        <v>21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STOWA2019_JAARROND_T(A87*60,J87,I87,"GH","center")</f>
        <v>70.966343431581805</v>
      </c>
      <c r="L87">
        <f t="shared" si="19"/>
        <v>2.1136780161797972E-2</v>
      </c>
    </row>
    <row r="88" spans="1:12" x14ac:dyDescent="0.3">
      <c r="A88">
        <v>96</v>
      </c>
      <c r="B88">
        <f t="shared" si="20"/>
        <v>5.2899605569642835E-3</v>
      </c>
      <c r="C88">
        <f t="shared" si="16"/>
        <v>5.2899605569642835E-3</v>
      </c>
      <c r="D88" t="s">
        <v>28</v>
      </c>
      <c r="E88" t="s">
        <v>21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STOWA2019_JAARROND_T(A88*60,J88,I88,"GH","center")</f>
        <v>94.656217298167604</v>
      </c>
      <c r="L88">
        <f t="shared" si="19"/>
        <v>1.5846819604833688E-2</v>
      </c>
    </row>
    <row r="89" spans="1:12" x14ac:dyDescent="0.3">
      <c r="A89">
        <v>96</v>
      </c>
      <c r="B89">
        <f t="shared" si="20"/>
        <v>3.9137807904646282E-3</v>
      </c>
      <c r="C89">
        <f t="shared" si="16"/>
        <v>3.9137807904646282E-3</v>
      </c>
      <c r="D89" t="s">
        <v>28</v>
      </c>
      <c r="E89" t="s">
        <v>21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STOWA2019_JAARROND_T(A89*60,J89,I89,"GH","center")</f>
        <v>125.70142637881882</v>
      </c>
      <c r="L89">
        <f t="shared" si="19"/>
        <v>1.193303881436906E-2</v>
      </c>
    </row>
    <row r="90" spans="1:12" x14ac:dyDescent="0.3">
      <c r="A90">
        <v>96</v>
      </c>
      <c r="B90">
        <f t="shared" si="20"/>
        <v>2.9088998189203529E-3</v>
      </c>
      <c r="C90">
        <f t="shared" si="16"/>
        <v>2.9088998189203529E-3</v>
      </c>
      <c r="D90" t="s">
        <v>28</v>
      </c>
      <c r="E90" t="s">
        <v>21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STOWA2019_JAARROND_T(A90*60,J90,I90,"GH","center")</f>
        <v>166.22084397819222</v>
      </c>
      <c r="L90">
        <f t="shared" si="19"/>
        <v>9.0241389954487071E-3</v>
      </c>
    </row>
    <row r="91" spans="1:12" x14ac:dyDescent="0.3">
      <c r="A91">
        <v>96</v>
      </c>
      <c r="B91">
        <f t="shared" si="20"/>
        <v>2.1715961757943197E-3</v>
      </c>
      <c r="C91">
        <f t="shared" si="16"/>
        <v>2.1715961757943197E-3</v>
      </c>
      <c r="D91" t="s">
        <v>28</v>
      </c>
      <c r="E91" t="s">
        <v>21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STOWA2019_JAARROND_T(A91*60,J91,I91,"GH","center")</f>
        <v>218.89684449657383</v>
      </c>
      <c r="L91">
        <f t="shared" si="19"/>
        <v>6.8525428196543874E-3</v>
      </c>
    </row>
    <row r="92" spans="1:12" x14ac:dyDescent="0.3">
      <c r="A92">
        <v>96</v>
      </c>
      <c r="B92">
        <f t="shared" si="20"/>
        <v>1.6281682687647034E-3</v>
      </c>
      <c r="C92">
        <f t="shared" si="16"/>
        <v>1.6281682687647034E-3</v>
      </c>
      <c r="D92" t="s">
        <v>28</v>
      </c>
      <c r="E92" t="s">
        <v>21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STOWA2019_JAARROND_T(A92*60,J92,I92,"GH","center")</f>
        <v>287.11570837595434</v>
      </c>
      <c r="L92">
        <f t="shared" si="19"/>
        <v>5.2243745508896841E-3</v>
      </c>
    </row>
    <row r="93" spans="1:12" x14ac:dyDescent="0.3">
      <c r="A93">
        <v>96</v>
      </c>
      <c r="B93">
        <f t="shared" si="20"/>
        <v>1.2257679315044101E-3</v>
      </c>
      <c r="C93">
        <f t="shared" si="16"/>
        <v>1.2257679315044101E-3</v>
      </c>
      <c r="D93" t="s">
        <v>28</v>
      </c>
      <c r="E93" t="s">
        <v>21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STOWA2019_JAARROND_T(A93*60,J93,I93,"GH","center")</f>
        <v>375.13067495261703</v>
      </c>
      <c r="L93">
        <f t="shared" si="19"/>
        <v>3.998606619385274E-3</v>
      </c>
    </row>
    <row r="94" spans="1:12" x14ac:dyDescent="0.3">
      <c r="A94">
        <v>96</v>
      </c>
      <c r="B94" s="1">
        <f>L93</f>
        <v>3.998606619385274E-3</v>
      </c>
      <c r="C94">
        <f t="shared" si="16"/>
        <v>3.998606619385274E-3</v>
      </c>
      <c r="D94" t="s">
        <v>28</v>
      </c>
      <c r="E94" t="s">
        <v>21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STOWA2019_JAARROND_T(A94*60,J94,I94,"GH","center")</f>
        <v>5.0307891562432072</v>
      </c>
      <c r="L94">
        <f t="shared" si="19"/>
        <v>0.29816395667039641</v>
      </c>
    </row>
    <row r="95" spans="1:12" x14ac:dyDescent="0.3">
      <c r="A95">
        <v>192</v>
      </c>
      <c r="B95" s="1">
        <f>365.25*24/A95 - L95</f>
        <v>-1454.34375</v>
      </c>
      <c r="C95">
        <f>B95</f>
        <v>-1454.34375</v>
      </c>
      <c r="D95" t="s">
        <v>28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s="1">
        <v>1E-3</v>
      </c>
      <c r="L95">
        <f t="shared" si="19"/>
        <v>1500</v>
      </c>
    </row>
    <row r="96" spans="1:12" x14ac:dyDescent="0.3">
      <c r="A96">
        <v>192</v>
      </c>
      <c r="B96">
        <f t="shared" ref="B96:B100" si="23">L95-L96</f>
        <v>0</v>
      </c>
      <c r="C96">
        <f t="shared" ref="C96:C125" si="24">B96</f>
        <v>0</v>
      </c>
      <c r="D96" t="s">
        <v>28</v>
      </c>
      <c r="E96" t="s">
        <v>21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s="1">
        <v>1E-3</v>
      </c>
      <c r="L96">
        <f t="shared" si="19"/>
        <v>1500</v>
      </c>
    </row>
    <row r="97" spans="1:12" x14ac:dyDescent="0.3">
      <c r="A97">
        <v>192</v>
      </c>
      <c r="B97">
        <f t="shared" si="23"/>
        <v>1439.6086063929838</v>
      </c>
      <c r="C97">
        <f t="shared" si="24"/>
        <v>1439.6086063929838</v>
      </c>
      <c r="D97" t="s">
        <v>28</v>
      </c>
      <c r="E97" t="s">
        <v>21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STOWA2019_JAARROND_T(A97*60,J97,I97,"GH","center")</f>
        <v>2.4837976248087937E-2</v>
      </c>
      <c r="L97">
        <f t="shared" si="19"/>
        <v>60.391393607016283</v>
      </c>
    </row>
    <row r="98" spans="1:12" x14ac:dyDescent="0.3">
      <c r="A98">
        <v>192</v>
      </c>
      <c r="B98">
        <f t="shared" si="23"/>
        <v>17.285226965856445</v>
      </c>
      <c r="C98">
        <f t="shared" si="24"/>
        <v>17.285226965856445</v>
      </c>
      <c r="D98" t="s">
        <v>28</v>
      </c>
      <c r="E98" t="s">
        <v>21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STOWA2019_JAARROND_T(A98*60,J98,I98,"GH","center")</f>
        <v>3.4797805438995542E-2</v>
      </c>
      <c r="L98">
        <f t="shared" si="19"/>
        <v>43.106166641159838</v>
      </c>
    </row>
    <row r="99" spans="1:12" x14ac:dyDescent="0.3">
      <c r="A99">
        <v>192</v>
      </c>
      <c r="B99">
        <f t="shared" si="23"/>
        <v>11.5442141285091</v>
      </c>
      <c r="C99">
        <f t="shared" si="24"/>
        <v>11.5442141285091</v>
      </c>
      <c r="D99" t="s">
        <v>28</v>
      </c>
      <c r="E99" t="s">
        <v>21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STOWA2019_JAARROND_T(A99*60,J99,I99,"GH","center")</f>
        <v>4.7525576860264471E-2</v>
      </c>
      <c r="L99">
        <f t="shared" si="19"/>
        <v>31.561952512650738</v>
      </c>
    </row>
    <row r="100" spans="1:12" x14ac:dyDescent="0.3">
      <c r="A100">
        <v>192</v>
      </c>
      <c r="B100">
        <f t="shared" si="23"/>
        <v>8.3158743288720309</v>
      </c>
      <c r="C100">
        <f t="shared" si="24"/>
        <v>8.3158743288720309</v>
      </c>
      <c r="D100" t="s">
        <v>28</v>
      </c>
      <c r="E100" t="s">
        <v>21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STOWA2019_JAARROND_T(A100*60,J100,I100,"GH","center")</f>
        <v>6.452701346615583E-2</v>
      </c>
      <c r="L100">
        <f t="shared" si="19"/>
        <v>23.246078183778707</v>
      </c>
    </row>
    <row r="101" spans="1:12" x14ac:dyDescent="0.3">
      <c r="A101">
        <v>192</v>
      </c>
      <c r="B101">
        <f>L100-L101</f>
        <v>6.0865717391331913</v>
      </c>
      <c r="C101">
        <f t="shared" si="24"/>
        <v>6.0865717391331913</v>
      </c>
      <c r="D101" t="s">
        <v>28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STOWA2019_JAARROND_T(A101*60,J101,I101,"GH","center")</f>
        <v>8.7415101642860066E-2</v>
      </c>
      <c r="L101">
        <f t="shared" si="19"/>
        <v>17.159506444645515</v>
      </c>
    </row>
    <row r="102" spans="1:12" x14ac:dyDescent="0.3">
      <c r="A102">
        <v>192</v>
      </c>
      <c r="B102">
        <f t="shared" ref="B102:B124" si="27">L101-L102</f>
        <v>4.4802500719569593</v>
      </c>
      <c r="C102">
        <f t="shared" si="24"/>
        <v>4.4802500719569593</v>
      </c>
      <c r="D102" t="s">
        <v>28</v>
      </c>
      <c r="E102" t="s">
        <v>21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STOWA2019_JAARROND_T(A102*60,J102,I102,"GH","center")</f>
        <v>0.1183034679566097</v>
      </c>
      <c r="L102">
        <f t="shared" si="19"/>
        <v>12.679256372688556</v>
      </c>
    </row>
    <row r="103" spans="1:12" x14ac:dyDescent="0.3">
      <c r="A103">
        <v>192</v>
      </c>
      <c r="B103">
        <f t="shared" si="27"/>
        <v>3.3065377355444294</v>
      </c>
      <c r="C103">
        <f t="shared" si="24"/>
        <v>3.3065377355444294</v>
      </c>
      <c r="D103" t="s">
        <v>28</v>
      </c>
      <c r="E103" t="s">
        <v>21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STOWA2019_JAARROND_T(A103*60,J103,I103,"GH","center")</f>
        <v>0.16003894473642827</v>
      </c>
      <c r="L103">
        <f t="shared" si="19"/>
        <v>9.3727186371441267</v>
      </c>
    </row>
    <row r="104" spans="1:12" x14ac:dyDescent="0.3">
      <c r="A104">
        <v>192</v>
      </c>
      <c r="B104">
        <f t="shared" si="27"/>
        <v>2.4434222391651659</v>
      </c>
      <c r="C104">
        <f t="shared" si="24"/>
        <v>2.4434222391651659</v>
      </c>
      <c r="D104" t="s">
        <v>28</v>
      </c>
      <c r="E104" t="s">
        <v>21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STOWA2019_JAARROND_T(A104*60,J104,I104,"GH","center")</f>
        <v>0.21647219484470295</v>
      </c>
      <c r="L104">
        <f t="shared" si="19"/>
        <v>6.9292963979789608</v>
      </c>
    </row>
    <row r="105" spans="1:12" x14ac:dyDescent="0.3">
      <c r="A105">
        <v>192</v>
      </c>
      <c r="B105">
        <f t="shared" si="27"/>
        <v>1.8066029467482814</v>
      </c>
      <c r="C105">
        <f t="shared" si="24"/>
        <v>1.8066029467482814</v>
      </c>
      <c r="D105" t="s">
        <v>28</v>
      </c>
      <c r="E105" t="s">
        <v>21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STOWA2019_JAARROND_T(A105*60,J105,I105,"GH","center")</f>
        <v>0.29281471051906083</v>
      </c>
      <c r="L105">
        <f t="shared" si="19"/>
        <v>5.1226934512306794</v>
      </c>
    </row>
    <row r="106" spans="1:12" x14ac:dyDescent="0.3">
      <c r="A106">
        <v>192</v>
      </c>
      <c r="B106">
        <f t="shared" si="27"/>
        <v>1.3360916179416069</v>
      </c>
      <c r="C106">
        <f t="shared" si="24"/>
        <v>1.3360916179416069</v>
      </c>
      <c r="D106" t="s">
        <v>28</v>
      </c>
      <c r="E106" t="s">
        <v>21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STOWA2019_JAARROND_T(A106*60,J106,I106,"GH","center")</f>
        <v>0.39613354296009728</v>
      </c>
      <c r="L106">
        <f t="shared" si="19"/>
        <v>3.7866018332890725</v>
      </c>
    </row>
    <row r="107" spans="1:12" x14ac:dyDescent="0.3">
      <c r="A107">
        <v>192</v>
      </c>
      <c r="B107">
        <f t="shared" si="27"/>
        <v>0.98817043383490821</v>
      </c>
      <c r="C107">
        <f t="shared" si="24"/>
        <v>0.98817043383490821</v>
      </c>
      <c r="D107" t="s">
        <v>28</v>
      </c>
      <c r="E107" t="s">
        <v>21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STOWA2019_JAARROND_T(A107*60,J107,I107,"GH","center")</f>
        <v>0.53601456883759091</v>
      </c>
      <c r="L107">
        <f t="shared" si="19"/>
        <v>2.7984313994541643</v>
      </c>
    </row>
    <row r="108" spans="1:12" x14ac:dyDescent="0.3">
      <c r="A108">
        <v>192</v>
      </c>
      <c r="B108">
        <f t="shared" si="27"/>
        <v>0.73084497696936435</v>
      </c>
      <c r="C108">
        <f t="shared" si="24"/>
        <v>0.73084497696936435</v>
      </c>
      <c r="D108" t="s">
        <v>28</v>
      </c>
      <c r="E108" t="s">
        <v>21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STOWA2019_JAARROND_T(A108*60,J108,I108,"GH","center")</f>
        <v>0.72548358012397784</v>
      </c>
      <c r="L108">
        <f t="shared" si="19"/>
        <v>2.0675864224848</v>
      </c>
    </row>
    <row r="109" spans="1:12" x14ac:dyDescent="0.3">
      <c r="A109">
        <v>192</v>
      </c>
      <c r="B109">
        <f t="shared" si="27"/>
        <v>0.5403848461499503</v>
      </c>
      <c r="C109">
        <f t="shared" si="24"/>
        <v>0.5403848461499503</v>
      </c>
      <c r="D109" t="s">
        <v>28</v>
      </c>
      <c r="E109" t="s">
        <v>21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STOWA2019_JAARROND_T(A109*60,J109,I109,"GH","center")</f>
        <v>0.98218861428880189</v>
      </c>
      <c r="L109">
        <f t="shared" si="19"/>
        <v>1.5272015763348497</v>
      </c>
    </row>
    <row r="110" spans="1:12" x14ac:dyDescent="0.3">
      <c r="A110">
        <v>192</v>
      </c>
      <c r="B110">
        <f t="shared" si="27"/>
        <v>0.3994004529601225</v>
      </c>
      <c r="C110">
        <f t="shared" si="24"/>
        <v>0.3994004529601225</v>
      </c>
      <c r="D110" t="s">
        <v>28</v>
      </c>
      <c r="E110" t="s">
        <v>21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STOWA2019_JAARROND_T(A110*60,J110,I110,"GH","center")</f>
        <v>1.330021728929955</v>
      </c>
      <c r="L110">
        <f t="shared" si="19"/>
        <v>1.1278011233747272</v>
      </c>
    </row>
    <row r="111" spans="1:12" x14ac:dyDescent="0.3">
      <c r="A111">
        <v>192</v>
      </c>
      <c r="B111">
        <f t="shared" si="27"/>
        <v>0.2952869487090739</v>
      </c>
      <c r="C111">
        <f t="shared" si="24"/>
        <v>0.2952869487090739</v>
      </c>
      <c r="D111" t="s">
        <v>28</v>
      </c>
      <c r="E111" t="s">
        <v>21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STOWA2019_JAARROND_T(A111*60,J111,I111,"GH","center")</f>
        <v>1.8017711237198046</v>
      </c>
      <c r="L111">
        <f t="shared" si="19"/>
        <v>0.83251417466565325</v>
      </c>
    </row>
    <row r="112" spans="1:12" x14ac:dyDescent="0.3">
      <c r="A112">
        <v>192</v>
      </c>
      <c r="B112">
        <f t="shared" si="27"/>
        <v>0.21818140867625435</v>
      </c>
      <c r="C112">
        <f t="shared" si="24"/>
        <v>0.21818140867625435</v>
      </c>
      <c r="D112" t="s">
        <v>28</v>
      </c>
      <c r="E112" t="s">
        <v>21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STOWA2019_JAARROND_T(A112*60,J112,I112,"GH","center")</f>
        <v>2.4416734431936264</v>
      </c>
      <c r="L112">
        <f t="shared" si="19"/>
        <v>0.6143327659893989</v>
      </c>
    </row>
    <row r="113" spans="1:12" x14ac:dyDescent="0.3">
      <c r="A113">
        <v>192</v>
      </c>
      <c r="B113">
        <f t="shared" si="27"/>
        <v>0.16115675271796209</v>
      </c>
      <c r="C113">
        <f t="shared" si="24"/>
        <v>0.16115675271796209</v>
      </c>
      <c r="D113" t="s">
        <v>28</v>
      </c>
      <c r="E113" t="s">
        <v>21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STOWA2019_JAARROND_T(A113*60,J113,I113,"GH","center")</f>
        <v>3.3099721875649046</v>
      </c>
      <c r="L113">
        <f t="shared" si="19"/>
        <v>0.45317601327143681</v>
      </c>
    </row>
    <row r="114" spans="1:12" x14ac:dyDescent="0.3">
      <c r="A114">
        <v>192</v>
      </c>
      <c r="B114">
        <f t="shared" si="27"/>
        <v>0.11900315683571888</v>
      </c>
      <c r="C114">
        <f t="shared" si="24"/>
        <v>0.11900315683571888</v>
      </c>
      <c r="D114" t="s">
        <v>28</v>
      </c>
      <c r="E114" t="s">
        <v>21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STOWA2019_JAARROND_T(A114*60,J114,I114,"GH","center")</f>
        <v>4.4886949107685608</v>
      </c>
      <c r="L114">
        <f t="shared" si="19"/>
        <v>0.33417285643571792</v>
      </c>
    </row>
    <row r="115" spans="1:12" x14ac:dyDescent="0.3">
      <c r="A115">
        <v>192</v>
      </c>
      <c r="B115">
        <f t="shared" si="27"/>
        <v>8.7840835260631078E-2</v>
      </c>
      <c r="C115">
        <f t="shared" si="24"/>
        <v>8.7840835260631078E-2</v>
      </c>
      <c r="D115" t="s">
        <v>28</v>
      </c>
      <c r="E115" t="s">
        <v>21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STOWA2019_JAARROND_T(A115*60,J115,I115,"GH","center")</f>
        <v>6.08934231467145</v>
      </c>
      <c r="L115">
        <f t="shared" si="19"/>
        <v>0.24633202117508685</v>
      </c>
    </row>
    <row r="116" spans="1:12" x14ac:dyDescent="0.3">
      <c r="A116">
        <v>192</v>
      </c>
      <c r="B116">
        <f t="shared" si="27"/>
        <v>6.4818026269675116E-2</v>
      </c>
      <c r="C116">
        <f t="shared" si="24"/>
        <v>6.4818026269675116E-2</v>
      </c>
      <c r="D116" t="s">
        <v>28</v>
      </c>
      <c r="E116" t="s">
        <v>21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STOWA2019_JAARROND_T(A116*60,J116,I116,"GH","center")</f>
        <v>8.2638256118028863</v>
      </c>
      <c r="L116">
        <f t="shared" si="19"/>
        <v>0.18151399490541173</v>
      </c>
    </row>
    <row r="117" spans="1:12" x14ac:dyDescent="0.3">
      <c r="A117">
        <v>192</v>
      </c>
      <c r="B117">
        <f t="shared" si="27"/>
        <v>4.7812319936949094E-2</v>
      </c>
      <c r="C117">
        <f t="shared" si="24"/>
        <v>4.7812319936949094E-2</v>
      </c>
      <c r="D117" t="s">
        <v>28</v>
      </c>
      <c r="E117" t="s">
        <v>21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STOWA2019_JAARROND_T(A117*60,J117,I117,"GH","center")</f>
        <v>11.219006795193987</v>
      </c>
      <c r="L117">
        <f t="shared" si="19"/>
        <v>0.13370167496846264</v>
      </c>
    </row>
    <row r="118" spans="1:12" x14ac:dyDescent="0.3">
      <c r="A118">
        <v>192</v>
      </c>
      <c r="B118">
        <f t="shared" si="27"/>
        <v>3.5255402705114056E-2</v>
      </c>
      <c r="C118">
        <f t="shared" si="24"/>
        <v>3.5255402705114056E-2</v>
      </c>
      <c r="D118" t="s">
        <v>28</v>
      </c>
      <c r="E118" t="s">
        <v>21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STOWA2019_JAARROND_T(A118*60,J118,I118,"GH","center")</f>
        <v>15.23673741538356</v>
      </c>
      <c r="L118">
        <f t="shared" si="19"/>
        <v>9.844627226334858E-2</v>
      </c>
    </row>
    <row r="119" spans="1:12" x14ac:dyDescent="0.3">
      <c r="A119">
        <v>192</v>
      </c>
      <c r="B119">
        <f t="shared" si="27"/>
        <v>2.5986690833035384E-2</v>
      </c>
      <c r="C119">
        <f t="shared" si="24"/>
        <v>2.5986690833035384E-2</v>
      </c>
      <c r="D119" t="s">
        <v>28</v>
      </c>
      <c r="E119" t="s">
        <v>21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STOWA2019_JAARROND_T(A119*60,J119,I119,"GH","center")</f>
        <v>20.70119603771932</v>
      </c>
      <c r="L119">
        <f t="shared" si="19"/>
        <v>7.2459581430313197E-2</v>
      </c>
    </row>
    <row r="120" spans="1:12" x14ac:dyDescent="0.3">
      <c r="A120">
        <v>192</v>
      </c>
      <c r="B120">
        <f t="shared" si="27"/>
        <v>1.914756865307754E-2</v>
      </c>
      <c r="C120">
        <f t="shared" si="24"/>
        <v>1.914756865307754E-2</v>
      </c>
      <c r="D120" t="s">
        <v>28</v>
      </c>
      <c r="E120" t="s">
        <v>21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STOWA2019_JAARROND_T(A120*60,J120,I120,"GH","center")</f>
        <v>28.136247758413337</v>
      </c>
      <c r="L120">
        <f t="shared" si="19"/>
        <v>5.3312012777235657E-2</v>
      </c>
    </row>
    <row r="121" spans="1:12" x14ac:dyDescent="0.3">
      <c r="A121">
        <v>192</v>
      </c>
      <c r="B121">
        <f t="shared" si="27"/>
        <v>1.4103010611887699E-2</v>
      </c>
      <c r="C121">
        <f t="shared" si="24"/>
        <v>1.4103010611887699E-2</v>
      </c>
      <c r="D121" t="s">
        <v>28</v>
      </c>
      <c r="E121" t="s">
        <v>21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STOWA2019_JAARROND_T(A121*60,J121,I121,"GH","center")</f>
        <v>38.256520624380144</v>
      </c>
      <c r="L121">
        <f t="shared" si="19"/>
        <v>3.9209002165347957E-2</v>
      </c>
    </row>
    <row r="122" spans="1:12" x14ac:dyDescent="0.3">
      <c r="A122">
        <v>192</v>
      </c>
      <c r="B122">
        <f t="shared" si="27"/>
        <v>1.0383504923872692E-2</v>
      </c>
      <c r="C122">
        <f t="shared" si="24"/>
        <v>1.0383504923872692E-2</v>
      </c>
      <c r="D122" t="s">
        <v>28</v>
      </c>
      <c r="E122" t="s">
        <v>21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STOWA2019_JAARROND_T(A122*60,J122,I122,"GH","center")</f>
        <v>52.037263657042509</v>
      </c>
      <c r="L122">
        <f t="shared" si="19"/>
        <v>2.8825497241475265E-2</v>
      </c>
    </row>
    <row r="123" spans="1:12" x14ac:dyDescent="0.3">
      <c r="A123">
        <v>192</v>
      </c>
      <c r="B123">
        <f t="shared" si="27"/>
        <v>7.6420281617162744E-3</v>
      </c>
      <c r="C123">
        <f t="shared" si="24"/>
        <v>7.6420281617162744E-3</v>
      </c>
      <c r="D123" t="s">
        <v>28</v>
      </c>
      <c r="E123" t="s">
        <v>21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STOWA2019_JAARROND_T(A123*60,J123,I123,"GH","center")</f>
        <v>70.809931761047793</v>
      </c>
      <c r="L123">
        <f t="shared" si="19"/>
        <v>2.1183469079758991E-2</v>
      </c>
    </row>
    <row r="124" spans="1:12" x14ac:dyDescent="0.3">
      <c r="A124">
        <v>192</v>
      </c>
      <c r="B124">
        <f t="shared" si="27"/>
        <v>5.6221772660147787E-3</v>
      </c>
      <c r="C124">
        <f t="shared" si="24"/>
        <v>5.6221772660147787E-3</v>
      </c>
      <c r="D124" t="s">
        <v>28</v>
      </c>
      <c r="E124" t="s">
        <v>21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STOWA2019_JAARROND_T(A124*60,J124,I124,"GH","center")</f>
        <v>96.393025588990866</v>
      </c>
      <c r="L124">
        <f t="shared" si="19"/>
        <v>1.5561291813744212E-2</v>
      </c>
    </row>
    <row r="125" spans="1:12" x14ac:dyDescent="0.3">
      <c r="A125">
        <v>192</v>
      </c>
      <c r="B125" s="1">
        <f>L124</f>
        <v>1.5561291813744212E-2</v>
      </c>
      <c r="C125">
        <f t="shared" si="24"/>
        <v>1.5561291813744212E-2</v>
      </c>
      <c r="D125" t="s">
        <v>28</v>
      </c>
      <c r="E125" t="s">
        <v>21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STOWA2019_JAARROND_T(A125*60,J125,I125,"GH","center")</f>
        <v>1.1428520504578781</v>
      </c>
      <c r="L125">
        <f t="shared" si="19"/>
        <v>1.3125058483283398</v>
      </c>
    </row>
    <row r="126" spans="1:12" x14ac:dyDescent="0.3">
      <c r="A126">
        <v>216</v>
      </c>
      <c r="B126" s="1">
        <f>365.25*24/A126 - L126</f>
        <v>-27.015164419852489</v>
      </c>
      <c r="C126">
        <f>B126</f>
        <v>-27.015164419852489</v>
      </c>
      <c r="D126" t="s">
        <v>28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STOWA2019_JAARROND_T(A126*60,J126,I126,"GH","center")</f>
        <v>2.2189842228103464E-2</v>
      </c>
      <c r="L126">
        <f t="shared" si="19"/>
        <v>67.598497753185825</v>
      </c>
    </row>
    <row r="127" spans="1:12" x14ac:dyDescent="0.3">
      <c r="A127">
        <v>216</v>
      </c>
      <c r="B127">
        <f t="shared" ref="B127:B131" si="30">L126-L127</f>
        <v>-1432.4015022468143</v>
      </c>
      <c r="C127">
        <f t="shared" ref="C127:C156" si="31">B127</f>
        <v>-1432.4015022468143</v>
      </c>
      <c r="D127" t="s">
        <v>28</v>
      </c>
      <c r="E127" t="s">
        <v>21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s="1">
        <v>1E-3</v>
      </c>
      <c r="L127">
        <f t="shared" si="19"/>
        <v>1500</v>
      </c>
    </row>
    <row r="128" spans="1:12" x14ac:dyDescent="0.3">
      <c r="A128">
        <v>216</v>
      </c>
      <c r="B128">
        <f t="shared" si="30"/>
        <v>0</v>
      </c>
      <c r="C128">
        <f t="shared" si="31"/>
        <v>0</v>
      </c>
      <c r="D128" t="s">
        <v>28</v>
      </c>
      <c r="E128" t="s">
        <v>21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s="1">
        <v>1E-3</v>
      </c>
      <c r="L128">
        <f t="shared" si="19"/>
        <v>1500</v>
      </c>
    </row>
    <row r="129" spans="1:12" x14ac:dyDescent="0.3">
      <c r="A129">
        <v>216</v>
      </c>
      <c r="B129">
        <f t="shared" si="30"/>
        <v>1451.3590702719605</v>
      </c>
      <c r="C129">
        <f t="shared" si="31"/>
        <v>1451.3590702719605</v>
      </c>
      <c r="D129" t="s">
        <v>28</v>
      </c>
      <c r="E129" t="s">
        <v>21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STOWA2019_JAARROND_T(A129*60,J129,I129,"GH","center")</f>
        <v>3.0838226332982877E-2</v>
      </c>
      <c r="L129">
        <f t="shared" si="19"/>
        <v>48.64092972803958</v>
      </c>
    </row>
    <row r="130" spans="1:12" x14ac:dyDescent="0.3">
      <c r="A130">
        <v>216</v>
      </c>
      <c r="B130">
        <f t="shared" si="30"/>
        <v>12.959972089851604</v>
      </c>
      <c r="C130">
        <f t="shared" si="31"/>
        <v>12.959972089851604</v>
      </c>
      <c r="D130" t="s">
        <v>28</v>
      </c>
      <c r="E130" t="s">
        <v>21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STOWA2019_JAARROND_T(A130*60,J130,I130,"GH","center")</f>
        <v>4.2039230426781114E-2</v>
      </c>
      <c r="L130">
        <f t="shared" si="19"/>
        <v>35.680957638187976</v>
      </c>
    </row>
    <row r="131" spans="1:12" x14ac:dyDescent="0.3">
      <c r="A131">
        <v>216</v>
      </c>
      <c r="B131">
        <f t="shared" si="30"/>
        <v>9.0428100512274767</v>
      </c>
      <c r="C131">
        <f t="shared" si="31"/>
        <v>9.0428100512274767</v>
      </c>
      <c r="D131" t="s">
        <v>28</v>
      </c>
      <c r="E131" t="s">
        <v>21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STOWA2019_JAARROND_T(A131*60,J131,I131,"GH","center")</f>
        <v>5.6310221838933625E-2</v>
      </c>
      <c r="L131">
        <f t="shared" ref="L131:L156" si="34">1/K131 * 12/8</f>
        <v>26.6381475869605</v>
      </c>
    </row>
    <row r="132" spans="1:12" x14ac:dyDescent="0.3">
      <c r="A132">
        <v>216</v>
      </c>
      <c r="B132">
        <f>L131-L132</f>
        <v>6.6610600443949366</v>
      </c>
      <c r="C132">
        <f t="shared" si="31"/>
        <v>6.6610600443949366</v>
      </c>
      <c r="D132" t="s">
        <v>28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STOWA2019_JAARROND_T(A132*60,J132,I132,"GH","center")</f>
        <v>7.5086020262158909E-2</v>
      </c>
      <c r="L132">
        <f t="shared" si="34"/>
        <v>19.977087542565563</v>
      </c>
    </row>
    <row r="133" spans="1:12" x14ac:dyDescent="0.3">
      <c r="A133">
        <v>216</v>
      </c>
      <c r="B133">
        <f t="shared" ref="B133:B155" si="35">L132-L133</f>
        <v>4.9741664364049516</v>
      </c>
      <c r="C133">
        <f t="shared" si="31"/>
        <v>4.9741664364049516</v>
      </c>
      <c r="D133" t="s">
        <v>28</v>
      </c>
      <c r="E133" t="s">
        <v>21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STOWA2019_JAARROND_T(A133*60,J133,I133,"GH","center")</f>
        <v>9.998052975057363E-2</v>
      </c>
      <c r="L133">
        <f t="shared" si="34"/>
        <v>15.002921106160612</v>
      </c>
    </row>
    <row r="134" spans="1:12" x14ac:dyDescent="0.3">
      <c r="A134">
        <v>216</v>
      </c>
      <c r="B134">
        <f t="shared" si="35"/>
        <v>3.7332505916013936</v>
      </c>
      <c r="C134">
        <f t="shared" si="31"/>
        <v>3.7332505916013936</v>
      </c>
      <c r="D134" t="s">
        <v>28</v>
      </c>
      <c r="E134" t="s">
        <v>21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STOWA2019_JAARROND_T(A134*60,J134,I134,"GH","center")</f>
        <v>0.13310060822649245</v>
      </c>
      <c r="L134">
        <f t="shared" si="34"/>
        <v>11.269670514559218</v>
      </c>
    </row>
    <row r="135" spans="1:12" x14ac:dyDescent="0.3">
      <c r="A135">
        <v>216</v>
      </c>
      <c r="B135">
        <f t="shared" si="35"/>
        <v>2.8073708334310563</v>
      </c>
      <c r="C135">
        <f t="shared" si="31"/>
        <v>2.8073708334310563</v>
      </c>
      <c r="D135" t="s">
        <v>28</v>
      </c>
      <c r="E135" t="s">
        <v>21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STOWA2019_JAARROND_T(A135*60,J135,I135,"GH","center")</f>
        <v>0.17725678084234731</v>
      </c>
      <c r="L135">
        <f t="shared" si="34"/>
        <v>8.4622996811281617</v>
      </c>
    </row>
    <row r="136" spans="1:12" x14ac:dyDescent="0.3">
      <c r="A136">
        <v>216</v>
      </c>
      <c r="B136">
        <f t="shared" si="35"/>
        <v>2.1122255931944984</v>
      </c>
      <c r="C136">
        <f t="shared" si="31"/>
        <v>2.1122255931944984</v>
      </c>
      <c r="D136" t="s">
        <v>28</v>
      </c>
      <c r="E136" t="s">
        <v>21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STOWA2019_JAARROND_T(A136*60,J136,I136,"GH","center")</f>
        <v>0.23621771639645633</v>
      </c>
      <c r="L136">
        <f t="shared" si="34"/>
        <v>6.3500740879336632</v>
      </c>
    </row>
    <row r="137" spans="1:12" x14ac:dyDescent="0.3">
      <c r="A137">
        <v>216</v>
      </c>
      <c r="B137">
        <f t="shared" si="35"/>
        <v>1.5889707902838968</v>
      </c>
      <c r="C137">
        <f t="shared" si="31"/>
        <v>1.5889707902838968</v>
      </c>
      <c r="D137" t="s">
        <v>28</v>
      </c>
      <c r="E137" t="s">
        <v>21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STOWA2019_JAARROND_T(A137*60,J137,I137,"GH","center")</f>
        <v>0.31505302578510491</v>
      </c>
      <c r="L137">
        <f t="shared" si="34"/>
        <v>4.7611032976497665</v>
      </c>
    </row>
    <row r="138" spans="1:12" x14ac:dyDescent="0.3">
      <c r="A138">
        <v>216</v>
      </c>
      <c r="B138">
        <f t="shared" si="35"/>
        <v>1.1948777578696346</v>
      </c>
      <c r="C138">
        <f t="shared" si="31"/>
        <v>1.1948777578696346</v>
      </c>
      <c r="D138" t="s">
        <v>28</v>
      </c>
      <c r="E138" t="s">
        <v>21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STOWA2019_JAARROND_T(A138*60,J138,I138,"GH","center")</f>
        <v>0.42061276923401747</v>
      </c>
      <c r="L138">
        <f t="shared" si="34"/>
        <v>3.5662255397801319</v>
      </c>
    </row>
    <row r="139" spans="1:12" x14ac:dyDescent="0.3">
      <c r="A139">
        <v>216</v>
      </c>
      <c r="B139">
        <f t="shared" si="35"/>
        <v>0.89778703090887424</v>
      </c>
      <c r="C139">
        <f t="shared" si="31"/>
        <v>0.89778703090887424</v>
      </c>
      <c r="D139" t="s">
        <v>28</v>
      </c>
      <c r="E139" t="s">
        <v>21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STOWA2019_JAARROND_T(A139*60,J139,I139,"GH","center")</f>
        <v>0.56212650020348265</v>
      </c>
      <c r="L139">
        <f t="shared" si="34"/>
        <v>2.6684385088712577</v>
      </c>
    </row>
    <row r="140" spans="1:12" x14ac:dyDescent="0.3">
      <c r="A140">
        <v>216</v>
      </c>
      <c r="B140">
        <f t="shared" si="35"/>
        <v>0.67397568778388672</v>
      </c>
      <c r="C140">
        <f t="shared" si="31"/>
        <v>0.67397568778388672</v>
      </c>
      <c r="D140" t="s">
        <v>28</v>
      </c>
      <c r="E140" t="s">
        <v>21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STOWA2019_JAARROND_T(A140*60,J140,I140,"GH","center")</f>
        <v>0.75208220686821714</v>
      </c>
      <c r="L140">
        <f t="shared" si="34"/>
        <v>1.9944628210873709</v>
      </c>
    </row>
    <row r="141" spans="1:12" x14ac:dyDescent="0.3">
      <c r="A141">
        <v>216</v>
      </c>
      <c r="B141">
        <f t="shared" si="35"/>
        <v>0.50535112562296947</v>
      </c>
      <c r="C141">
        <f t="shared" si="31"/>
        <v>0.50535112562296947</v>
      </c>
      <c r="D141" t="s">
        <v>28</v>
      </c>
      <c r="E141" t="s">
        <v>21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STOWA2019_JAARROND_T(A141*60,J141,I141,"GH","center")</f>
        <v>1.0073119461547193</v>
      </c>
      <c r="L141">
        <f t="shared" si="34"/>
        <v>1.4891116954644015</v>
      </c>
    </row>
    <row r="142" spans="1:12" x14ac:dyDescent="0.3">
      <c r="A142">
        <v>216</v>
      </c>
      <c r="B142">
        <f t="shared" si="35"/>
        <v>0.37871651107830795</v>
      </c>
      <c r="C142">
        <f t="shared" si="31"/>
        <v>0.37871651107830795</v>
      </c>
      <c r="D142" t="s">
        <v>28</v>
      </c>
      <c r="E142" t="s">
        <v>21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STOWA2019_JAARROND_T(A142*60,J142,I142,"GH","center")</f>
        <v>1.3508704118068631</v>
      </c>
      <c r="L142">
        <f t="shared" si="34"/>
        <v>1.1103951843860935</v>
      </c>
    </row>
    <row r="143" spans="1:12" x14ac:dyDescent="0.3">
      <c r="A143">
        <v>216</v>
      </c>
      <c r="B143">
        <f t="shared" si="35"/>
        <v>0.28341646008285404</v>
      </c>
      <c r="C143">
        <f t="shared" si="31"/>
        <v>0.28341646008285404</v>
      </c>
      <c r="D143" t="s">
        <v>28</v>
      </c>
      <c r="E143" t="s">
        <v>21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STOWA2019_JAARROND_T(A143*60,J143,I143,"GH","center")</f>
        <v>1.8138314274817724</v>
      </c>
      <c r="L143">
        <f t="shared" si="34"/>
        <v>0.82697872430323949</v>
      </c>
    </row>
    <row r="144" spans="1:12" x14ac:dyDescent="0.3">
      <c r="A144">
        <v>216</v>
      </c>
      <c r="B144">
        <f t="shared" si="35"/>
        <v>0.21184733779995535</v>
      </c>
      <c r="C144">
        <f t="shared" si="31"/>
        <v>0.21184733779995535</v>
      </c>
      <c r="D144" t="s">
        <v>28</v>
      </c>
      <c r="E144" t="s">
        <v>21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STOWA2019_JAARROND_T(A144*60,J144,I144,"GH","center")</f>
        <v>2.438503436683265</v>
      </c>
      <c r="L144">
        <f t="shared" si="34"/>
        <v>0.61513138650328414</v>
      </c>
    </row>
    <row r="145" spans="1:12" x14ac:dyDescent="0.3">
      <c r="A145">
        <v>216</v>
      </c>
      <c r="B145">
        <f t="shared" si="35"/>
        <v>0.15816193547919061</v>
      </c>
      <c r="C145">
        <f t="shared" si="31"/>
        <v>0.15816193547919061</v>
      </c>
      <c r="D145" t="s">
        <v>28</v>
      </c>
      <c r="E145" t="s">
        <v>21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STOWA2019_JAARROND_T(A145*60,J145,I145,"GH","center")</f>
        <v>3.2824951353715615</v>
      </c>
      <c r="L145">
        <f t="shared" si="34"/>
        <v>0.45696945102409353</v>
      </c>
    </row>
    <row r="146" spans="1:12" x14ac:dyDescent="0.3">
      <c r="A146">
        <v>216</v>
      </c>
      <c r="B146">
        <f t="shared" si="35"/>
        <v>0.11793474168645507</v>
      </c>
      <c r="C146">
        <f t="shared" si="31"/>
        <v>0.11793474168645507</v>
      </c>
      <c r="D146" t="s">
        <v>28</v>
      </c>
      <c r="E146" t="s">
        <v>21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STOWA2019_JAARROND_T(A146*60,J146,I146,"GH","center")</f>
        <v>4.4243257657320791</v>
      </c>
      <c r="L146">
        <f t="shared" si="34"/>
        <v>0.33903470933763846</v>
      </c>
    </row>
    <row r="147" spans="1:12" x14ac:dyDescent="0.3">
      <c r="A147">
        <v>216</v>
      </c>
      <c r="B147">
        <f t="shared" si="35"/>
        <v>8.7826522929511541E-2</v>
      </c>
      <c r="C147">
        <f t="shared" si="31"/>
        <v>8.7826522929511541E-2</v>
      </c>
      <c r="D147" t="s">
        <v>28</v>
      </c>
      <c r="E147" t="s">
        <v>21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STOWA2019_JAARROND_T(A147*60,J147,I147,"GH","center")</f>
        <v>5.9711429848190374</v>
      </c>
      <c r="L147">
        <f t="shared" si="34"/>
        <v>0.25120818640812692</v>
      </c>
    </row>
    <row r="148" spans="1:12" x14ac:dyDescent="0.3">
      <c r="A148">
        <v>216</v>
      </c>
      <c r="B148">
        <f t="shared" si="35"/>
        <v>6.5322841041105889E-2</v>
      </c>
      <c r="C148">
        <f t="shared" si="31"/>
        <v>6.5322841041105889E-2</v>
      </c>
      <c r="D148" t="s">
        <v>28</v>
      </c>
      <c r="E148" t="s">
        <v>21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STOWA2019_JAARROND_T(A148*60,J148,I148,"GH","center")</f>
        <v>8.0694903465269263</v>
      </c>
      <c r="L148">
        <f t="shared" si="34"/>
        <v>0.18588534536702103</v>
      </c>
    </row>
    <row r="149" spans="1:12" x14ac:dyDescent="0.3">
      <c r="A149">
        <v>216</v>
      </c>
      <c r="B149">
        <f t="shared" si="35"/>
        <v>4.8521993809598624E-2</v>
      </c>
      <c r="C149">
        <f t="shared" si="31"/>
        <v>4.8521993809598624E-2</v>
      </c>
      <c r="D149" t="s">
        <v>28</v>
      </c>
      <c r="E149" t="s">
        <v>21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STOWA2019_JAARROND_T(A149*60,J149,I149,"GH","center")</f>
        <v>10.919943223523855</v>
      </c>
      <c r="L149">
        <f t="shared" si="34"/>
        <v>0.13736335155742241</v>
      </c>
    </row>
    <row r="150" spans="1:12" x14ac:dyDescent="0.3">
      <c r="A150">
        <v>216</v>
      </c>
      <c r="B150">
        <f t="shared" si="35"/>
        <v>3.5995347268296785E-2</v>
      </c>
      <c r="C150">
        <f t="shared" si="31"/>
        <v>3.5995347268296785E-2</v>
      </c>
      <c r="D150" t="s">
        <v>28</v>
      </c>
      <c r="E150" t="s">
        <v>21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STOWA2019_JAARROND_T(A150*60,J150,I150,"GH","center")</f>
        <v>14.797568626503129</v>
      </c>
      <c r="L150">
        <f t="shared" si="34"/>
        <v>0.10136800428912562</v>
      </c>
    </row>
    <row r="151" spans="1:12" x14ac:dyDescent="0.3">
      <c r="A151">
        <v>216</v>
      </c>
      <c r="B151">
        <f t="shared" si="35"/>
        <v>2.6665674421725793E-2</v>
      </c>
      <c r="C151">
        <f t="shared" si="31"/>
        <v>2.6665674421725793E-2</v>
      </c>
      <c r="D151" t="s">
        <v>28</v>
      </c>
      <c r="E151" t="s">
        <v>21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STOWA2019_JAARROND_T(A151*60,J151,I151,"GH","center")</f>
        <v>20.079695006334752</v>
      </c>
      <c r="L151">
        <f t="shared" si="34"/>
        <v>7.470232986739983E-2</v>
      </c>
    </row>
    <row r="152" spans="1:12" x14ac:dyDescent="0.3">
      <c r="A152">
        <v>216</v>
      </c>
      <c r="B152">
        <f t="shared" si="35"/>
        <v>1.972787978345214E-2</v>
      </c>
      <c r="C152">
        <f t="shared" si="31"/>
        <v>1.972787978345214E-2</v>
      </c>
      <c r="D152" t="s">
        <v>28</v>
      </c>
      <c r="E152" t="s">
        <v>21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STOWA2019_JAARROND_T(A152*60,J152,I152,"GH","center")</f>
        <v>27.285402540806743</v>
      </c>
      <c r="L152">
        <f t="shared" si="34"/>
        <v>5.497445008394769E-2</v>
      </c>
    </row>
    <row r="153" spans="1:12" x14ac:dyDescent="0.3">
      <c r="A153">
        <v>216</v>
      </c>
      <c r="B153">
        <f t="shared" si="35"/>
        <v>1.4575342580006645E-2</v>
      </c>
      <c r="C153">
        <f t="shared" si="31"/>
        <v>1.4575342580006645E-2</v>
      </c>
      <c r="D153" t="s">
        <v>28</v>
      </c>
      <c r="E153" t="s">
        <v>21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STOWA2019_JAARROND_T(A153*60,J153,I153,"GH","center")</f>
        <v>37.129533117870757</v>
      </c>
      <c r="L153">
        <f t="shared" si="34"/>
        <v>4.0399107503941045E-2</v>
      </c>
    </row>
    <row r="154" spans="1:12" x14ac:dyDescent="0.3">
      <c r="A154">
        <v>216</v>
      </c>
      <c r="B154">
        <f t="shared" si="35"/>
        <v>1.0753154614945713E-2</v>
      </c>
      <c r="C154">
        <f t="shared" si="31"/>
        <v>1.0753154614945713E-2</v>
      </c>
      <c r="D154" t="s">
        <v>28</v>
      </c>
      <c r="E154" t="s">
        <v>21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STOWA2019_JAARROND_T(A154*60,J154,I154,"GH","center")</f>
        <v>50.597125537388436</v>
      </c>
      <c r="L154">
        <f t="shared" si="34"/>
        <v>2.9645952888995332E-2</v>
      </c>
    </row>
    <row r="155" spans="1:12" x14ac:dyDescent="0.3">
      <c r="A155">
        <v>216</v>
      </c>
      <c r="B155">
        <f t="shared" si="35"/>
        <v>7.9223135928266873E-3</v>
      </c>
      <c r="C155">
        <f t="shared" si="31"/>
        <v>7.9223135928266873E-3</v>
      </c>
      <c r="D155" t="s">
        <v>28</v>
      </c>
      <c r="E155" t="s">
        <v>21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STOWA2019_JAARROND_T(A155*60,J155,I155,"GH","center")</f>
        <v>69.049203936310619</v>
      </c>
      <c r="L155">
        <f t="shared" si="34"/>
        <v>2.1723639296168645E-2</v>
      </c>
    </row>
    <row r="156" spans="1:12" x14ac:dyDescent="0.3">
      <c r="A156">
        <v>216</v>
      </c>
      <c r="B156" s="1">
        <f>L155</f>
        <v>2.1723639296168645E-2</v>
      </c>
      <c r="C156">
        <f t="shared" si="31"/>
        <v>2.1723639296168645E-2</v>
      </c>
      <c r="D156" t="s">
        <v>28</v>
      </c>
      <c r="E156" t="s">
        <v>21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STOWA2019_JAARROND_T(A156*60,J156,I156,"GH","center")</f>
        <v>80.707620862860693</v>
      </c>
      <c r="L156">
        <f t="shared" si="34"/>
        <v>1.8585605472732459E-2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37B5A-0097-4965-8AFD-F3F022E81C6A}">
  <sheetPr codeName="Blad12"/>
  <dimension ref="A1:L156"/>
  <sheetViews>
    <sheetView workbookViewId="0">
      <selection activeCell="L26" sqref="L26"/>
    </sheetView>
  </sheetViews>
  <sheetFormatPr defaultRowHeight="14.4" x14ac:dyDescent="0.3"/>
  <cols>
    <col min="2" max="3" width="12" bestFit="1" customWidth="1"/>
    <col min="4" max="4" width="26.5546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344.0688232616485</v>
      </c>
      <c r="C2">
        <f>B2</f>
        <v>344.0688232616485</v>
      </c>
      <c r="D2" t="s">
        <v>28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STOWA2019_NDJF_T(A2*60,J2,I2,"GH","center")</f>
        <v>0.14163519038902472</v>
      </c>
      <c r="L2">
        <f>1/K2 * 12/4</f>
        <v>21.181176738351525</v>
      </c>
    </row>
    <row r="3" spans="1:12" x14ac:dyDescent="0.3">
      <c r="A3">
        <v>24</v>
      </c>
      <c r="B3">
        <f t="shared" ref="B3:B7" si="0">L2-L3</f>
        <v>7.81015482660389</v>
      </c>
      <c r="C3">
        <f t="shared" ref="C3:C32" si="1">B3</f>
        <v>7.81015482660389</v>
      </c>
      <c r="D3" t="s">
        <v>28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STOWA2019_NDJF_T(A3*60,J3,I3,"GH","center")</f>
        <v>0.22436579790242003</v>
      </c>
      <c r="L3">
        <f t="shared" ref="L3:L66" si="4">1/K3 * 12/4</f>
        <v>13.371021911747635</v>
      </c>
    </row>
    <row r="4" spans="1:12" x14ac:dyDescent="0.3">
      <c r="A4">
        <v>24</v>
      </c>
      <c r="B4">
        <f t="shared" si="0"/>
        <v>7.803617095463693</v>
      </c>
      <c r="C4">
        <f t="shared" si="1"/>
        <v>7.803617095463693</v>
      </c>
      <c r="D4" t="s">
        <v>28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STOWA2019_NDJF_T(A4*60,J4,I4,"GH","center")</f>
        <v>0.53885070315443684</v>
      </c>
      <c r="L4">
        <f t="shared" si="4"/>
        <v>5.5674048162839416</v>
      </c>
    </row>
    <row r="5" spans="1:12" x14ac:dyDescent="0.3">
      <c r="A5">
        <v>24</v>
      </c>
      <c r="B5">
        <f t="shared" si="0"/>
        <v>3.1234419632647761</v>
      </c>
      <c r="C5">
        <f t="shared" si="1"/>
        <v>3.1234419632647761</v>
      </c>
      <c r="D5" t="s">
        <v>28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STOWA2019_NDJF_T(A5*60,J5,I5,"GH","center")</f>
        <v>1.2275145656546826</v>
      </c>
      <c r="L5">
        <f t="shared" si="4"/>
        <v>2.4439628530191655</v>
      </c>
    </row>
    <row r="6" spans="1:12" x14ac:dyDescent="0.3">
      <c r="A6">
        <v>24</v>
      </c>
      <c r="B6">
        <f t="shared" si="0"/>
        <v>1.3200111751378631</v>
      </c>
      <c r="C6">
        <f t="shared" si="1"/>
        <v>1.3200111751378631</v>
      </c>
      <c r="D6" t="s">
        <v>28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STOWA2019_NDJF_T(A6*60,J6,I6,"GH","center")</f>
        <v>2.6691538960599535</v>
      </c>
      <c r="L6">
        <f t="shared" si="4"/>
        <v>1.1239516778813023</v>
      </c>
    </row>
    <row r="7" spans="1:12" x14ac:dyDescent="0.3">
      <c r="A7">
        <v>24</v>
      </c>
      <c r="B7">
        <f t="shared" si="0"/>
        <v>0.58504097322419646</v>
      </c>
      <c r="C7">
        <f t="shared" si="1"/>
        <v>0.58504097322419646</v>
      </c>
      <c r="D7" t="s">
        <v>28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STOWA2019_NDJF_T(A7*60,J7,I7,"GH","center")</f>
        <v>5.5667849498532744</v>
      </c>
      <c r="L7">
        <f t="shared" si="4"/>
        <v>0.53891070465710589</v>
      </c>
    </row>
    <row r="8" spans="1:12" x14ac:dyDescent="0.3">
      <c r="A8">
        <v>24</v>
      </c>
      <c r="B8">
        <f>L7-L8</f>
        <v>0.27066142261655979</v>
      </c>
      <c r="C8">
        <f t="shared" si="1"/>
        <v>0.27066142261655979</v>
      </c>
      <c r="D8" t="s">
        <v>28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STOWA2019_NDJF_T(A8*60,J8,I8,"GH","center")</f>
        <v>11.18362732298589</v>
      </c>
      <c r="L8">
        <f t="shared" si="4"/>
        <v>0.2682492820405461</v>
      </c>
    </row>
    <row r="9" spans="1:12" x14ac:dyDescent="0.3">
      <c r="A9">
        <v>24</v>
      </c>
      <c r="B9">
        <f t="shared" ref="B9:B31" si="5">L8-L9</f>
        <v>0.13013206745238914</v>
      </c>
      <c r="C9">
        <f t="shared" si="1"/>
        <v>0.13013206745238914</v>
      </c>
      <c r="D9" t="s">
        <v>28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STOWA2019_NDJF_T(A9*60,J9,I9,"GH","center")</f>
        <v>21.720681299181361</v>
      </c>
      <c r="L9">
        <f t="shared" si="4"/>
        <v>0.13811721458815696</v>
      </c>
    </row>
    <row r="10" spans="1:12" x14ac:dyDescent="0.3">
      <c r="A10">
        <v>24</v>
      </c>
      <c r="B10">
        <f t="shared" si="5"/>
        <v>6.4787361392243559E-2</v>
      </c>
      <c r="C10">
        <f t="shared" si="1"/>
        <v>6.4787361392243559E-2</v>
      </c>
      <c r="D10" t="s">
        <v>28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STOWA2019_NDJF_T(A10*60,J10,I10,"GH","center")</f>
        <v>40.911032400201059</v>
      </c>
      <c r="L10">
        <f t="shared" si="4"/>
        <v>7.3329853195913397E-2</v>
      </c>
    </row>
    <row r="11" spans="1:12" x14ac:dyDescent="0.3">
      <c r="A11">
        <v>24</v>
      </c>
      <c r="B11">
        <f t="shared" si="5"/>
        <v>3.3292390544701886E-2</v>
      </c>
      <c r="C11">
        <f t="shared" si="1"/>
        <v>3.3292390544701886E-2</v>
      </c>
      <c r="D11" t="s">
        <v>28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STOWA2019_NDJF_T(A11*60,J11,I11,"GH","center")</f>
        <v>74.92982325415224</v>
      </c>
      <c r="L11">
        <f t="shared" si="4"/>
        <v>4.0037462651211511E-2</v>
      </c>
    </row>
    <row r="12" spans="1:12" x14ac:dyDescent="0.3">
      <c r="A12">
        <v>24</v>
      </c>
      <c r="B12">
        <f t="shared" si="5"/>
        <v>1.7610471725602615E-2</v>
      </c>
      <c r="C12">
        <f t="shared" si="1"/>
        <v>1.7610471725602615E-2</v>
      </c>
      <c r="D12" t="s">
        <v>28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STOWA2019_NDJF_T(A12*60,J12,I12,"GH","center")</f>
        <v>133.76738814186459</v>
      </c>
      <c r="L12">
        <f t="shared" si="4"/>
        <v>2.2426990925608896E-2</v>
      </c>
    </row>
    <row r="13" spans="1:12" x14ac:dyDescent="0.3">
      <c r="A13">
        <v>24</v>
      </c>
      <c r="B13">
        <f t="shared" si="5"/>
        <v>9.565486713558953E-3</v>
      </c>
      <c r="C13">
        <f t="shared" si="1"/>
        <v>9.565486713558953E-3</v>
      </c>
      <c r="D13" t="s">
        <v>28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STOWA2019_NDJF_T(A13*60,J13,I13,"GH","center")</f>
        <v>233.2542096584084</v>
      </c>
      <c r="L13">
        <f t="shared" si="4"/>
        <v>1.2861504212049943E-2</v>
      </c>
    </row>
    <row r="14" spans="1:12" x14ac:dyDescent="0.3">
      <c r="A14">
        <v>24</v>
      </c>
      <c r="B14">
        <f t="shared" si="5"/>
        <v>5.3238442372148219E-3</v>
      </c>
      <c r="C14">
        <f t="shared" si="1"/>
        <v>5.3238442372148219E-3</v>
      </c>
      <c r="D14" t="s">
        <v>28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STOWA2019_NDJF_T(A14*60,J14,I14,"GH","center")</f>
        <v>398.00150312108264</v>
      </c>
      <c r="L14">
        <f t="shared" si="4"/>
        <v>7.537659974835121E-3</v>
      </c>
    </row>
    <row r="15" spans="1:12" x14ac:dyDescent="0.3">
      <c r="A15">
        <v>24</v>
      </c>
      <c r="B15">
        <f t="shared" si="5"/>
        <v>3.0306488973562105E-3</v>
      </c>
      <c r="C15">
        <f t="shared" si="1"/>
        <v>3.0306488973562105E-3</v>
      </c>
      <c r="D15" t="s">
        <v>28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STOWA2019_NDJF_T(A15*60,J15,I15,"GH","center")</f>
        <v>665.62960428269287</v>
      </c>
      <c r="L15">
        <f t="shared" si="4"/>
        <v>4.5070110774789104E-3</v>
      </c>
    </row>
    <row r="16" spans="1:12" x14ac:dyDescent="0.3">
      <c r="A16">
        <v>24</v>
      </c>
      <c r="B16">
        <f t="shared" si="5"/>
        <v>1.7614788449855879E-3</v>
      </c>
      <c r="C16">
        <f t="shared" si="1"/>
        <v>1.7614788449855879E-3</v>
      </c>
      <c r="D16" t="s">
        <v>28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STOWA2019_NDJF_T(A16*60,J16,I16,"GH","center")</f>
        <v>1092.6843125333064</v>
      </c>
      <c r="L16">
        <f t="shared" si="4"/>
        <v>2.7455322324933225E-3</v>
      </c>
    </row>
    <row r="17" spans="1:12" x14ac:dyDescent="0.3">
      <c r="A17">
        <v>24</v>
      </c>
      <c r="B17">
        <f t="shared" si="5"/>
        <v>1.0438384300849694E-3</v>
      </c>
      <c r="C17">
        <f t="shared" si="1"/>
        <v>1.0438384300849694E-3</v>
      </c>
      <c r="D17" t="s">
        <v>28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STOWA2019_NDJF_T(A17*60,J17,I17,"GH","center")</f>
        <v>1762.9493600753526</v>
      </c>
      <c r="L17">
        <f t="shared" si="4"/>
        <v>1.7016938024083531E-3</v>
      </c>
    </row>
    <row r="18" spans="1:12" x14ac:dyDescent="0.3">
      <c r="A18">
        <v>24</v>
      </c>
      <c r="B18">
        <f t="shared" si="5"/>
        <v>6.2980530221279341E-4</v>
      </c>
      <c r="C18">
        <f t="shared" si="1"/>
        <v>6.2980530221279341E-4</v>
      </c>
      <c r="D18" t="s">
        <v>28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STOWA2019_NDJF_T(A18*60,J18,I18,"GH","center")</f>
        <v>2798.7985685569611</v>
      </c>
      <c r="L18">
        <f t="shared" si="4"/>
        <v>1.0718885001955597E-3</v>
      </c>
    </row>
    <row r="19" spans="1:12" x14ac:dyDescent="0.3">
      <c r="A19">
        <v>24</v>
      </c>
      <c r="B19">
        <f t="shared" si="5"/>
        <v>3.8645386590218929E-4</v>
      </c>
      <c r="C19">
        <f t="shared" si="1"/>
        <v>3.8645386590218929E-4</v>
      </c>
      <c r="D19" t="s">
        <v>28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STOWA2019_NDJF_T(A19*60,J19,I19,"GH","center")</f>
        <v>4376.7849622783733</v>
      </c>
      <c r="L19">
        <f t="shared" si="4"/>
        <v>6.8543463429337039E-4</v>
      </c>
    </row>
    <row r="20" spans="1:12" x14ac:dyDescent="0.3">
      <c r="A20">
        <v>24</v>
      </c>
      <c r="B20">
        <f t="shared" si="5"/>
        <v>2.4088137797926895E-4</v>
      </c>
      <c r="C20">
        <f t="shared" si="1"/>
        <v>2.4088137797926895E-4</v>
      </c>
      <c r="D20" t="s">
        <v>28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STOWA2019_NDJF_T(A20*60,J20,I20,"GH","center")</f>
        <v>6748.3478242263382</v>
      </c>
      <c r="L20">
        <f t="shared" si="4"/>
        <v>4.4455325631410144E-4</v>
      </c>
    </row>
    <row r="21" spans="1:12" x14ac:dyDescent="0.3">
      <c r="A21">
        <v>24</v>
      </c>
      <c r="B21">
        <f t="shared" si="5"/>
        <v>1.5238044251803884E-4</v>
      </c>
      <c r="C21">
        <f t="shared" si="1"/>
        <v>1.5238044251803884E-4</v>
      </c>
      <c r="D21" t="s">
        <v>28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STOWA2019_NDJF_T(A21*60,J21,I21,"GH","center")</f>
        <v>10267.89577381422</v>
      </c>
      <c r="L21">
        <f t="shared" si="4"/>
        <v>2.921728137960626E-4</v>
      </c>
    </row>
    <row r="22" spans="1:12" x14ac:dyDescent="0.3">
      <c r="A22">
        <v>24</v>
      </c>
      <c r="B22">
        <f t="shared" si="5"/>
        <v>9.773617923008348E-5</v>
      </c>
      <c r="C22">
        <f t="shared" si="1"/>
        <v>9.773617923008348E-5</v>
      </c>
      <c r="D22" t="s">
        <v>28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STOWA2019_NDJF_T(A22*60,J22,I22,"GH","center")</f>
        <v>15429.191143410762</v>
      </c>
      <c r="L22">
        <f t="shared" si="4"/>
        <v>1.9443663456597912E-4</v>
      </c>
    </row>
    <row r="23" spans="1:12" x14ac:dyDescent="0.3">
      <c r="A23">
        <v>24</v>
      </c>
      <c r="B23">
        <f t="shared" si="5"/>
        <v>6.351167214854156E-5</v>
      </c>
      <c r="C23">
        <f t="shared" si="1"/>
        <v>6.351167214854156E-5</v>
      </c>
      <c r="D23" t="s">
        <v>28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STOWA2019_NDJF_T(A23*60,J23,I23,"GH","center")</f>
        <v>22913.888571034164</v>
      </c>
      <c r="L23">
        <f t="shared" si="4"/>
        <v>1.3092496241743756E-4</v>
      </c>
    </row>
    <row r="24" spans="1:12" x14ac:dyDescent="0.3">
      <c r="A24">
        <v>24</v>
      </c>
      <c r="B24">
        <f t="shared" si="5"/>
        <v>4.1782150626041453E-5</v>
      </c>
      <c r="C24">
        <f t="shared" si="1"/>
        <v>4.1782150626041453E-5</v>
      </c>
      <c r="D24" t="s">
        <v>28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STOWA2019_NDJF_T(A24*60,J24,I24,"GH","center")</f>
        <v>33653.863275261356</v>
      </c>
      <c r="L24">
        <f t="shared" si="4"/>
        <v>8.9142811791396103E-5</v>
      </c>
    </row>
    <row r="25" spans="1:12" x14ac:dyDescent="0.3">
      <c r="A25">
        <v>24</v>
      </c>
      <c r="B25">
        <f t="shared" si="5"/>
        <v>2.7808058999681296E-5</v>
      </c>
      <c r="C25">
        <f t="shared" si="1"/>
        <v>2.7808058999681296E-5</v>
      </c>
      <c r="D25" t="s">
        <v>28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STOWA2019_NDJF_T(A25*60,J25,I25,"GH","center")</f>
        <v>48911.911493107786</v>
      </c>
      <c r="L25">
        <f t="shared" si="4"/>
        <v>6.1334752791714807E-5</v>
      </c>
    </row>
    <row r="26" spans="1:12" x14ac:dyDescent="0.3">
      <c r="A26">
        <v>24</v>
      </c>
      <c r="B26">
        <f t="shared" si="5"/>
        <v>1.8712027359673412E-5</v>
      </c>
      <c r="C26">
        <f t="shared" si="1"/>
        <v>1.8712027359673412E-5</v>
      </c>
      <c r="D26" t="s">
        <v>28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STOWA2019_NDJF_T(A26*60,J26,I26,"GH","center")</f>
        <v>70384.987576246509</v>
      </c>
      <c r="L26">
        <f t="shared" si="4"/>
        <v>4.2622725432041395E-5</v>
      </c>
    </row>
    <row r="27" spans="1:12" x14ac:dyDescent="0.3">
      <c r="A27">
        <v>24</v>
      </c>
      <c r="B27">
        <f t="shared" si="5"/>
        <v>1.2723026897733152E-5</v>
      </c>
      <c r="C27">
        <f t="shared" si="1"/>
        <v>1.2723026897733152E-5</v>
      </c>
      <c r="D27" t="s">
        <v>28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STOWA2019_NDJF_T(A27*60,J27,I27,"GH","center")</f>
        <v>100335.45978925731</v>
      </c>
      <c r="L27">
        <f t="shared" si="4"/>
        <v>2.9899698534308243E-5</v>
      </c>
    </row>
    <row r="28" spans="1:12" x14ac:dyDescent="0.3">
      <c r="A28">
        <v>24</v>
      </c>
      <c r="B28">
        <f t="shared" si="5"/>
        <v>8.7365921174755434E-6</v>
      </c>
      <c r="C28">
        <f t="shared" si="1"/>
        <v>8.7365921174755434E-6</v>
      </c>
      <c r="D28" t="s">
        <v>28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STOWA2019_NDJF_T(A28*60,J28,I28,"GH","center")</f>
        <v>141756.12695562793</v>
      </c>
      <c r="L28">
        <f t="shared" si="4"/>
        <v>2.11631064168327E-5</v>
      </c>
    </row>
    <row r="29" spans="1:12" x14ac:dyDescent="0.3">
      <c r="A29">
        <v>24</v>
      </c>
      <c r="B29">
        <f t="shared" si="5"/>
        <v>6.0559457294850815E-6</v>
      </c>
      <c r="C29">
        <f t="shared" si="1"/>
        <v>6.0559457294850815E-6</v>
      </c>
      <c r="D29" t="s">
        <v>28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STOWA2019_NDJF_T(A29*60,J29,I29,"GH","center")</f>
        <v>198581.32590808588</v>
      </c>
      <c r="L29">
        <f t="shared" si="4"/>
        <v>1.5107160687347618E-5</v>
      </c>
    </row>
    <row r="30" spans="1:12" x14ac:dyDescent="0.3">
      <c r="A30">
        <v>24</v>
      </c>
      <c r="B30">
        <f t="shared" si="5"/>
        <v>4.2353394100337267E-6</v>
      </c>
      <c r="C30">
        <f t="shared" si="1"/>
        <v>4.2353394100337267E-6</v>
      </c>
      <c r="D30" t="s">
        <v>28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STOWA2019_NDJF_T(A30*60,J30,I30,"GH","center")</f>
        <v>275942.72601409175</v>
      </c>
      <c r="L30">
        <f t="shared" si="4"/>
        <v>1.0871821277313892E-5</v>
      </c>
    </row>
    <row r="31" spans="1:12" x14ac:dyDescent="0.3">
      <c r="A31">
        <v>24</v>
      </c>
      <c r="B31">
        <f t="shared" si="5"/>
        <v>2.9873056997492131E-6</v>
      </c>
      <c r="C31">
        <f t="shared" si="1"/>
        <v>2.9873056997492131E-6</v>
      </c>
      <c r="D31" t="s">
        <v>28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STOWA2019_NDJF_T(A31*60,J31,I31,"GH","center")</f>
        <v>380492.62132685416</v>
      </c>
      <c r="L31">
        <f t="shared" si="4"/>
        <v>7.8845155775646785E-6</v>
      </c>
    </row>
    <row r="32" spans="1:12" x14ac:dyDescent="0.3">
      <c r="A32">
        <v>24</v>
      </c>
      <c r="B32" s="1">
        <f>L31</f>
        <v>7.8845155775646785E-6</v>
      </c>
      <c r="C32">
        <f t="shared" si="1"/>
        <v>7.8845155775646785E-6</v>
      </c>
      <c r="D32" t="s">
        <v>28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STOWA2019_NDJF_T(A32*60,J32,I32,"GH","center")</f>
        <v>1390.823369684563</v>
      </c>
      <c r="L32">
        <f t="shared" si="4"/>
        <v>2.1569956799621483E-3</v>
      </c>
    </row>
    <row r="33" spans="1:12" x14ac:dyDescent="0.3">
      <c r="A33">
        <v>48</v>
      </c>
      <c r="B33" s="1">
        <f>365.25*24/A33 - L33</f>
        <v>140.90546449863808</v>
      </c>
      <c r="C33">
        <f>B33</f>
        <v>140.90546449863808</v>
      </c>
      <c r="D33" t="s">
        <v>28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STOWA2019_NDJF_T(A33*60,J33,I33,"GH","center")</f>
        <v>7.1908758425703601E-2</v>
      </c>
      <c r="L33">
        <f t="shared" si="4"/>
        <v>41.719535501361932</v>
      </c>
    </row>
    <row r="34" spans="1:12" x14ac:dyDescent="0.3">
      <c r="A34">
        <v>48</v>
      </c>
      <c r="B34">
        <f t="shared" ref="B34:B38" si="8">L33-L34</f>
        <v>12.196002176026418</v>
      </c>
      <c r="C34">
        <f t="shared" ref="C34:C63" si="9">B34</f>
        <v>12.196002176026418</v>
      </c>
      <c r="D34" t="s">
        <v>28</v>
      </c>
      <c r="E34" t="s">
        <v>19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STOWA2019_NDJF_T(A34*60,J34,I34,"GH","center")</f>
        <v>0.10161385383454631</v>
      </c>
      <c r="L34">
        <f t="shared" si="4"/>
        <v>29.523533325335514</v>
      </c>
    </row>
    <row r="35" spans="1:12" x14ac:dyDescent="0.3">
      <c r="A35">
        <v>48</v>
      </c>
      <c r="B35">
        <f t="shared" si="8"/>
        <v>14.44810125579769</v>
      </c>
      <c r="C35">
        <f t="shared" si="9"/>
        <v>14.44810125579769</v>
      </c>
      <c r="D35" t="s">
        <v>28</v>
      </c>
      <c r="E35" t="s">
        <v>19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STOWA2019_NDJF_T(A35*60,J35,I35,"GH","center")</f>
        <v>0.19899927154074415</v>
      </c>
      <c r="L35">
        <f t="shared" si="4"/>
        <v>15.075432069537824</v>
      </c>
    </row>
    <row r="36" spans="1:12" x14ac:dyDescent="0.3">
      <c r="A36">
        <v>48</v>
      </c>
      <c r="B36">
        <f t="shared" si="8"/>
        <v>7.187499064498267</v>
      </c>
      <c r="C36">
        <f t="shared" si="9"/>
        <v>7.187499064498267</v>
      </c>
      <c r="D36" t="s">
        <v>28</v>
      </c>
      <c r="E36" t="s">
        <v>19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STOWA2019_NDJF_T(A36*60,J36,I36,"GH","center")</f>
        <v>0.38032777383927024</v>
      </c>
      <c r="L36">
        <f t="shared" si="4"/>
        <v>7.8879330050395566</v>
      </c>
    </row>
    <row r="37" spans="1:12" x14ac:dyDescent="0.3">
      <c r="A37">
        <v>48</v>
      </c>
      <c r="B37">
        <f t="shared" si="8"/>
        <v>3.6660051346687235</v>
      </c>
      <c r="C37">
        <f t="shared" si="9"/>
        <v>3.6660051346687235</v>
      </c>
      <c r="D37" t="s">
        <v>28</v>
      </c>
      <c r="E37" t="s">
        <v>19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STOWA2019_NDJF_T(A37*60,J37,I37,"GH","center")</f>
        <v>0.71057585352269292</v>
      </c>
      <c r="L37">
        <f t="shared" si="4"/>
        <v>4.2219278703708332</v>
      </c>
    </row>
    <row r="38" spans="1:12" x14ac:dyDescent="0.3">
      <c r="A38">
        <v>48</v>
      </c>
      <c r="B38">
        <f t="shared" si="8"/>
        <v>1.9136353242998148</v>
      </c>
      <c r="C38">
        <f t="shared" si="9"/>
        <v>1.9136353242998148</v>
      </c>
      <c r="D38" t="s">
        <v>28</v>
      </c>
      <c r="E38" t="s">
        <v>19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STOWA2019_NDJF_T(A38*60,J38,I38,"GH","center")</f>
        <v>1.2996619536402993</v>
      </c>
      <c r="L38">
        <f t="shared" si="4"/>
        <v>2.3082925460710184</v>
      </c>
    </row>
    <row r="39" spans="1:12" x14ac:dyDescent="0.3">
      <c r="A39">
        <v>48</v>
      </c>
      <c r="B39">
        <f>L38-L39</f>
        <v>1.0212226263825048</v>
      </c>
      <c r="C39">
        <f t="shared" si="9"/>
        <v>1.0212226263825048</v>
      </c>
      <c r="D39" t="s">
        <v>28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STOWA2019_NDJF_T(A39*60,J39,I39,"GH","center")</f>
        <v>2.3308756999977409</v>
      </c>
      <c r="L39">
        <f t="shared" si="4"/>
        <v>1.2870699196885136</v>
      </c>
    </row>
    <row r="40" spans="1:12" x14ac:dyDescent="0.3">
      <c r="A40">
        <v>48</v>
      </c>
      <c r="B40">
        <f t="shared" ref="B40:B62" si="12">L39-L40</f>
        <v>0.55601961562974389</v>
      </c>
      <c r="C40">
        <f t="shared" si="9"/>
        <v>0.55601961562974389</v>
      </c>
      <c r="D40" t="s">
        <v>28</v>
      </c>
      <c r="E40" t="s">
        <v>19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STOWA2019_NDJF_T(A40*60,J40,I40,"GH","center")</f>
        <v>4.1036847715459368</v>
      </c>
      <c r="L40">
        <f t="shared" si="4"/>
        <v>0.7310503040587697</v>
      </c>
    </row>
    <row r="41" spans="1:12" x14ac:dyDescent="0.3">
      <c r="A41">
        <v>48</v>
      </c>
      <c r="B41">
        <f t="shared" si="12"/>
        <v>0.3085406084435704</v>
      </c>
      <c r="C41">
        <f t="shared" si="9"/>
        <v>0.3085406084435704</v>
      </c>
      <c r="D41" t="s">
        <v>28</v>
      </c>
      <c r="E41" t="s">
        <v>19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STOWA2019_NDJF_T(A41*60,J41,I41,"GH","center")</f>
        <v>7.1004287739049898</v>
      </c>
      <c r="L41">
        <f t="shared" si="4"/>
        <v>0.4225096956151993</v>
      </c>
    </row>
    <row r="42" spans="1:12" x14ac:dyDescent="0.3">
      <c r="A42">
        <v>48</v>
      </c>
      <c r="B42">
        <f t="shared" si="12"/>
        <v>0.17430099607945132</v>
      </c>
      <c r="C42">
        <f t="shared" si="9"/>
        <v>0.17430099607945132</v>
      </c>
      <c r="D42" t="s">
        <v>28</v>
      </c>
      <c r="E42" t="s">
        <v>19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STOWA2019_NDJF_T(A42*60,J42,I42,"GH","center")</f>
        <v>12.086602949901554</v>
      </c>
      <c r="L42">
        <f t="shared" si="4"/>
        <v>0.24820869953574798</v>
      </c>
    </row>
    <row r="43" spans="1:12" x14ac:dyDescent="0.3">
      <c r="A43">
        <v>48</v>
      </c>
      <c r="B43">
        <f t="shared" si="12"/>
        <v>0.10013463143145768</v>
      </c>
      <c r="C43">
        <f t="shared" si="9"/>
        <v>0.10013463143145768</v>
      </c>
      <c r="D43" t="s">
        <v>28</v>
      </c>
      <c r="E43" t="s">
        <v>19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STOWA2019_NDJF_T(A43*60,J43,I43,"GH","center")</f>
        <v>20.260130881843978</v>
      </c>
      <c r="L43">
        <f t="shared" si="4"/>
        <v>0.1480740681042903</v>
      </c>
    </row>
    <row r="44" spans="1:12" x14ac:dyDescent="0.3">
      <c r="A44">
        <v>48</v>
      </c>
      <c r="B44">
        <f t="shared" si="12"/>
        <v>5.8444387052476954E-2</v>
      </c>
      <c r="C44">
        <f t="shared" si="9"/>
        <v>5.8444387052476954E-2</v>
      </c>
      <c r="D44" t="s">
        <v>28</v>
      </c>
      <c r="E44" t="s">
        <v>19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STOWA2019_NDJF_T(A44*60,J44,I44,"GH","center")</f>
        <v>33.471055177199084</v>
      </c>
      <c r="L44">
        <f t="shared" si="4"/>
        <v>8.9629681051813348E-2</v>
      </c>
    </row>
    <row r="45" spans="1:12" x14ac:dyDescent="0.3">
      <c r="A45">
        <v>48</v>
      </c>
      <c r="B45">
        <f t="shared" si="12"/>
        <v>3.4626740683106373E-2</v>
      </c>
      <c r="C45">
        <f t="shared" si="9"/>
        <v>3.4626740683106373E-2</v>
      </c>
      <c r="D45" t="s">
        <v>28</v>
      </c>
      <c r="E45" t="s">
        <v>19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STOWA2019_NDJF_T(A45*60,J45,I45,"GH","center")</f>
        <v>54.542538633203705</v>
      </c>
      <c r="L45">
        <f t="shared" si="4"/>
        <v>5.5002940368706975E-2</v>
      </c>
    </row>
    <row r="46" spans="1:12" x14ac:dyDescent="0.3">
      <c r="A46">
        <v>48</v>
      </c>
      <c r="B46">
        <f t="shared" si="12"/>
        <v>2.0807830898423571E-2</v>
      </c>
      <c r="C46">
        <f t="shared" si="9"/>
        <v>2.0807830898423571E-2</v>
      </c>
      <c r="D46" t="s">
        <v>28</v>
      </c>
      <c r="E46" t="s">
        <v>19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STOWA2019_NDJF_T(A46*60,J46,I46,"GH","center")</f>
        <v>87.731843718970737</v>
      </c>
      <c r="L46">
        <f t="shared" si="4"/>
        <v>3.4195109470283404E-2</v>
      </c>
    </row>
    <row r="47" spans="1:12" x14ac:dyDescent="0.3">
      <c r="A47">
        <v>48</v>
      </c>
      <c r="B47">
        <f t="shared" si="12"/>
        <v>1.2672371060318217E-2</v>
      </c>
      <c r="C47">
        <f t="shared" si="9"/>
        <v>1.2672371060318217E-2</v>
      </c>
      <c r="D47" t="s">
        <v>28</v>
      </c>
      <c r="E47" t="s">
        <v>19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STOWA2019_NDJF_T(A47*60,J47,I47,"GH","center")</f>
        <v>139.3874674707275</v>
      </c>
      <c r="L47">
        <f t="shared" si="4"/>
        <v>2.1522738409965186E-2</v>
      </c>
    </row>
    <row r="48" spans="1:12" x14ac:dyDescent="0.3">
      <c r="A48">
        <v>48</v>
      </c>
      <c r="B48">
        <f t="shared" si="12"/>
        <v>7.8168261731842732E-3</v>
      </c>
      <c r="C48">
        <f t="shared" si="9"/>
        <v>7.8168261731842732E-3</v>
      </c>
      <c r="D48" t="s">
        <v>28</v>
      </c>
      <c r="E48" t="s">
        <v>19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STOWA2019_NDJF_T(A48*60,J48,I48,"GH","center")</f>
        <v>218.88364292522314</v>
      </c>
      <c r="L48">
        <f t="shared" si="4"/>
        <v>1.3705912236780913E-2</v>
      </c>
    </row>
    <row r="49" spans="1:12" x14ac:dyDescent="0.3">
      <c r="A49">
        <v>48</v>
      </c>
      <c r="B49">
        <f t="shared" si="12"/>
        <v>4.8801400727719949E-3</v>
      </c>
      <c r="C49">
        <f t="shared" si="9"/>
        <v>4.8801400727719949E-3</v>
      </c>
      <c r="D49" t="s">
        <v>28</v>
      </c>
      <c r="E49" t="s">
        <v>19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STOWA2019_NDJF_T(A49*60,J49,I49,"GH","center")</f>
        <v>339.91360124090426</v>
      </c>
      <c r="L49">
        <f t="shared" si="4"/>
        <v>8.8257721640089184E-3</v>
      </c>
    </row>
    <row r="50" spans="1:12" x14ac:dyDescent="0.3">
      <c r="A50">
        <v>48</v>
      </c>
      <c r="B50">
        <f t="shared" si="12"/>
        <v>3.0820222840433889E-3</v>
      </c>
      <c r="C50">
        <f t="shared" si="9"/>
        <v>3.0820222840433889E-3</v>
      </c>
      <c r="D50" t="s">
        <v>28</v>
      </c>
      <c r="E50" t="s">
        <v>19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STOWA2019_NDJF_T(A50*60,J50,I50,"GH","center")</f>
        <v>522.30686619278833</v>
      </c>
      <c r="L50">
        <f t="shared" si="4"/>
        <v>5.7437498799655295E-3</v>
      </c>
    </row>
    <row r="51" spans="1:12" x14ac:dyDescent="0.3">
      <c r="A51">
        <v>48</v>
      </c>
      <c r="B51">
        <f t="shared" si="12"/>
        <v>1.9678799595580125E-3</v>
      </c>
      <c r="C51">
        <f t="shared" si="9"/>
        <v>1.9678799595580125E-3</v>
      </c>
      <c r="D51" t="s">
        <v>28</v>
      </c>
      <c r="E51" t="s">
        <v>19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STOWA2019_NDJF_T(A51*60,J51,I51,"GH","center")</f>
        <v>794.51889584062258</v>
      </c>
      <c r="L51">
        <f t="shared" si="4"/>
        <v>3.775869920407517E-3</v>
      </c>
    </row>
    <row r="52" spans="1:12" x14ac:dyDescent="0.3">
      <c r="A52">
        <v>48</v>
      </c>
      <c r="B52">
        <f t="shared" si="12"/>
        <v>1.2696282974603013E-3</v>
      </c>
      <c r="C52">
        <f t="shared" si="9"/>
        <v>1.2696282974603013E-3</v>
      </c>
      <c r="D52" t="s">
        <v>28</v>
      </c>
      <c r="E52" t="s">
        <v>19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STOWA2019_NDJF_T(A52*60,J52,I52,"GH","center")</f>
        <v>1197.0114822656838</v>
      </c>
      <c r="L52">
        <f t="shared" si="4"/>
        <v>2.5062416229472157E-3</v>
      </c>
    </row>
    <row r="53" spans="1:12" x14ac:dyDescent="0.3">
      <c r="A53">
        <v>48</v>
      </c>
      <c r="B53">
        <f t="shared" si="12"/>
        <v>8.2733989728462883E-4</v>
      </c>
      <c r="C53">
        <f t="shared" si="9"/>
        <v>8.2733989728462883E-4</v>
      </c>
      <c r="D53" t="s">
        <v>28</v>
      </c>
      <c r="E53" t="s">
        <v>19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STOWA2019_NDJF_T(A53*60,J53,I53,"GH","center")</f>
        <v>1786.8824328094815</v>
      </c>
      <c r="L53">
        <f t="shared" si="4"/>
        <v>1.6789017256625869E-3</v>
      </c>
    </row>
    <row r="54" spans="1:12" x14ac:dyDescent="0.3">
      <c r="A54">
        <v>48</v>
      </c>
      <c r="B54">
        <f t="shared" si="12"/>
        <v>5.4430230582210872E-4</v>
      </c>
      <c r="C54">
        <f t="shared" si="9"/>
        <v>5.4430230582210872E-4</v>
      </c>
      <c r="D54" t="s">
        <v>28</v>
      </c>
      <c r="E54" t="s">
        <v>19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STOWA2019_NDJF_T(A54*60,J54,I54,"GH","center")</f>
        <v>2644.1050008837415</v>
      </c>
      <c r="L54">
        <f t="shared" si="4"/>
        <v>1.1345994198404782E-3</v>
      </c>
    </row>
    <row r="55" spans="1:12" x14ac:dyDescent="0.3">
      <c r="A55">
        <v>48</v>
      </c>
      <c r="B55">
        <f t="shared" si="12"/>
        <v>3.6135986969844586E-4</v>
      </c>
      <c r="C55">
        <f t="shared" si="9"/>
        <v>3.6135986969844586E-4</v>
      </c>
      <c r="D55" t="s">
        <v>28</v>
      </c>
      <c r="E55" t="s">
        <v>19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STOWA2019_NDJF_T(A55*60,J55,I55,"GH","center")</f>
        <v>3879.7808511591861</v>
      </c>
      <c r="L55">
        <f t="shared" si="4"/>
        <v>7.732395501420323E-4</v>
      </c>
    </row>
    <row r="56" spans="1:12" x14ac:dyDescent="0.3">
      <c r="A56">
        <v>48</v>
      </c>
      <c r="B56">
        <f t="shared" si="12"/>
        <v>2.4200514771034016E-4</v>
      </c>
      <c r="C56">
        <f t="shared" si="9"/>
        <v>2.4200514771034016E-4</v>
      </c>
      <c r="D56" t="s">
        <v>28</v>
      </c>
      <c r="E56" t="s">
        <v>19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STOWA2019_NDJF_T(A56*60,J56,I56,"GH","center")</f>
        <v>5647.2246267705714</v>
      </c>
      <c r="L56">
        <f t="shared" si="4"/>
        <v>5.3123440243169214E-4</v>
      </c>
    </row>
    <row r="57" spans="1:12" x14ac:dyDescent="0.3">
      <c r="A57">
        <v>48</v>
      </c>
      <c r="B57">
        <f t="shared" si="12"/>
        <v>1.6342964421017938E-4</v>
      </c>
      <c r="C57">
        <f t="shared" si="9"/>
        <v>1.6342964421017938E-4</v>
      </c>
      <c r="D57" t="s">
        <v>28</v>
      </c>
      <c r="E57" t="s">
        <v>19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STOWA2019_NDJF_T(A57*60,J57,I57,"GH","center")</f>
        <v>8156.5013310492059</v>
      </c>
      <c r="L57">
        <f t="shared" si="4"/>
        <v>3.6780475822151276E-4</v>
      </c>
    </row>
    <row r="58" spans="1:12" x14ac:dyDescent="0.3">
      <c r="A58">
        <v>48</v>
      </c>
      <c r="B58">
        <f t="shared" si="12"/>
        <v>1.1125628645976379E-4</v>
      </c>
      <c r="C58">
        <f t="shared" si="9"/>
        <v>1.1125628645976379E-4</v>
      </c>
      <c r="D58" t="s">
        <v>28</v>
      </c>
      <c r="E58" t="s">
        <v>19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STOWA2019_NDJF_T(A58*60,J58,I58,"GH","center")</f>
        <v>11693.696631278455</v>
      </c>
      <c r="L58">
        <f t="shared" si="4"/>
        <v>2.5654847176174897E-4</v>
      </c>
    </row>
    <row r="59" spans="1:12" x14ac:dyDescent="0.3">
      <c r="A59">
        <v>48</v>
      </c>
      <c r="B59">
        <f t="shared" si="12"/>
        <v>7.6324513292268644E-5</v>
      </c>
      <c r="C59">
        <f t="shared" si="9"/>
        <v>7.6324513292268644E-5</v>
      </c>
      <c r="D59" t="s">
        <v>28</v>
      </c>
      <c r="E59" t="s">
        <v>19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STOWA2019_NDJF_T(A59*60,J59,I59,"GH","center")</f>
        <v>16645.955540411844</v>
      </c>
      <c r="L59">
        <f t="shared" si="4"/>
        <v>1.8022395846948032E-4</v>
      </c>
    </row>
    <row r="60" spans="1:12" x14ac:dyDescent="0.3">
      <c r="A60">
        <v>48</v>
      </c>
      <c r="B60">
        <f t="shared" si="12"/>
        <v>5.2746989420123956E-5</v>
      </c>
      <c r="C60">
        <f t="shared" si="9"/>
        <v>5.2746989420123956E-5</v>
      </c>
      <c r="D60" t="s">
        <v>28</v>
      </c>
      <c r="E60" t="s">
        <v>19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STOWA2019_NDJF_T(A60*60,J60,I60,"GH","center")</f>
        <v>23533.662765691144</v>
      </c>
      <c r="L60">
        <f t="shared" si="4"/>
        <v>1.2747696904935637E-4</v>
      </c>
    </row>
    <row r="61" spans="1:12" x14ac:dyDescent="0.3">
      <c r="A61">
        <v>48</v>
      </c>
      <c r="B61">
        <f t="shared" si="12"/>
        <v>3.671343696475576E-5</v>
      </c>
      <c r="C61">
        <f t="shared" si="9"/>
        <v>3.671343696475576E-5</v>
      </c>
      <c r="D61" t="s">
        <v>28</v>
      </c>
      <c r="E61" t="s">
        <v>19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STOWA2019_NDJF_T(A61*60,J61,I61,"GH","center")</f>
        <v>33052.922590140086</v>
      </c>
      <c r="L61">
        <f t="shared" si="4"/>
        <v>9.0763532084600607E-5</v>
      </c>
    </row>
    <row r="62" spans="1:12" x14ac:dyDescent="0.3">
      <c r="A62">
        <v>48</v>
      </c>
      <c r="B62">
        <f t="shared" si="12"/>
        <v>2.5728896339243993E-5</v>
      </c>
      <c r="C62">
        <f t="shared" si="9"/>
        <v>2.5728896339243993E-5</v>
      </c>
      <c r="D62" t="s">
        <v>28</v>
      </c>
      <c r="E62" t="s">
        <v>19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STOWA2019_NDJF_T(A62*60,J62,I62,"GH","center")</f>
        <v>46129.265823007176</v>
      </c>
      <c r="L62">
        <f t="shared" si="4"/>
        <v>6.5034635745356615E-5</v>
      </c>
    </row>
    <row r="63" spans="1:12" x14ac:dyDescent="0.3">
      <c r="A63">
        <v>48</v>
      </c>
      <c r="B63" s="1">
        <f>L62</f>
        <v>6.5034635745356615E-5</v>
      </c>
      <c r="C63">
        <f t="shared" si="9"/>
        <v>6.5034635745356615E-5</v>
      </c>
      <c r="D63" t="s">
        <v>28</v>
      </c>
      <c r="E63" t="s">
        <v>19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STOWA2019_NDJF_T(A63*60,J63,I63,"GH","center")</f>
        <v>174.91923803396827</v>
      </c>
      <c r="L63">
        <f t="shared" si="4"/>
        <v>1.7150772171883221E-2</v>
      </c>
    </row>
    <row r="64" spans="1:12" x14ac:dyDescent="0.3">
      <c r="A64">
        <v>96</v>
      </c>
      <c r="B64" s="1">
        <f>365.25*24/A64 - L64</f>
        <v>28.815675636822043</v>
      </c>
      <c r="C64">
        <f>B64</f>
        <v>28.815675636822043</v>
      </c>
      <c r="D64" t="s">
        <v>28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STOWA2019_NDJF_T(A64*60,J64,I64,"GH","center")</f>
        <v>4.8002439013006042E-2</v>
      </c>
      <c r="L64">
        <f t="shared" si="4"/>
        <v>62.496824363177957</v>
      </c>
    </row>
    <row r="65" spans="1:12" x14ac:dyDescent="0.3">
      <c r="A65">
        <v>96</v>
      </c>
      <c r="B65">
        <f t="shared" ref="B65:B69" si="15">L64-L65</f>
        <v>13.051417511195424</v>
      </c>
      <c r="C65">
        <f t="shared" ref="C65:C94" si="16">B65</f>
        <v>13.051417511195424</v>
      </c>
      <c r="D65" t="s">
        <v>28</v>
      </c>
      <c r="E65" t="s">
        <v>19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STOWA2019_NDJF_T(A65*60,J65,I65,"GH","center")</f>
        <v>6.067297633894813E-2</v>
      </c>
      <c r="L65">
        <f t="shared" si="4"/>
        <v>49.445406851982533</v>
      </c>
    </row>
    <row r="66" spans="1:12" x14ac:dyDescent="0.3">
      <c r="A66">
        <v>96</v>
      </c>
      <c r="B66">
        <f t="shared" si="15"/>
        <v>18.383999748350057</v>
      </c>
      <c r="C66">
        <f t="shared" si="16"/>
        <v>18.383999748350057</v>
      </c>
      <c r="D66" t="s">
        <v>28</v>
      </c>
      <c r="E66" t="s">
        <v>19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STOWA2019_NDJF_T(A66*60,J66,I66,"GH","center")</f>
        <v>9.6582875012419023E-2</v>
      </c>
      <c r="L66">
        <f t="shared" si="4"/>
        <v>31.061407103632476</v>
      </c>
    </row>
    <row r="67" spans="1:12" x14ac:dyDescent="0.3">
      <c r="A67">
        <v>96</v>
      </c>
      <c r="B67">
        <f t="shared" si="15"/>
        <v>11.456571227955262</v>
      </c>
      <c r="C67">
        <f t="shared" si="16"/>
        <v>11.456571227955262</v>
      </c>
      <c r="D67" t="s">
        <v>28</v>
      </c>
      <c r="E67" t="s">
        <v>19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STOWA2019_NDJF_T(A67*60,J67,I67,"GH","center")</f>
        <v>0.15302346926157934</v>
      </c>
      <c r="L67">
        <f t="shared" ref="L67:L130" si="19">1/K67 * 12/4</f>
        <v>19.604835875677214</v>
      </c>
    </row>
    <row r="68" spans="1:12" x14ac:dyDescent="0.3">
      <c r="A68">
        <v>96</v>
      </c>
      <c r="B68">
        <f t="shared" si="15"/>
        <v>7.1736819580721534</v>
      </c>
      <c r="C68">
        <f t="shared" si="16"/>
        <v>7.1736819580721534</v>
      </c>
      <c r="D68" t="s">
        <v>28</v>
      </c>
      <c r="E68" t="s">
        <v>19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STOWA2019_NDJF_T(A68*60,J68,I68,"GH","center")</f>
        <v>0.24132916540848115</v>
      </c>
      <c r="L68">
        <f t="shared" si="19"/>
        <v>12.43115391760506</v>
      </c>
    </row>
    <row r="69" spans="1:12" x14ac:dyDescent="0.3">
      <c r="A69">
        <v>96</v>
      </c>
      <c r="B69">
        <f t="shared" si="15"/>
        <v>4.513147466598431</v>
      </c>
      <c r="C69">
        <f t="shared" si="16"/>
        <v>4.513147466598431</v>
      </c>
      <c r="D69" t="s">
        <v>28</v>
      </c>
      <c r="E69" t="s">
        <v>19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STOWA2019_NDJF_T(A69*60,J69,I69,"GH","center")</f>
        <v>0.37888324776732213</v>
      </c>
      <c r="L69">
        <f t="shared" si="19"/>
        <v>7.9180064510066295</v>
      </c>
    </row>
    <row r="70" spans="1:12" x14ac:dyDescent="0.3">
      <c r="A70">
        <v>96</v>
      </c>
      <c r="B70">
        <f>L69-L70</f>
        <v>2.8521586810118968</v>
      </c>
      <c r="C70">
        <f t="shared" si="16"/>
        <v>2.8521586810118968</v>
      </c>
      <c r="D70" t="s">
        <v>28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STOWA2019_NDJF_T(A70*60,J70,I70,"GH","center")</f>
        <v>0.59220097725185283</v>
      </c>
      <c r="L70">
        <f t="shared" si="19"/>
        <v>5.0658477699947326</v>
      </c>
    </row>
    <row r="71" spans="1:12" x14ac:dyDescent="0.3">
      <c r="A71">
        <v>96</v>
      </c>
      <c r="B71">
        <f t="shared" ref="B71:B93" si="20">L70-L71</f>
        <v>1.8106588085819078</v>
      </c>
      <c r="C71">
        <f t="shared" si="16"/>
        <v>1.8106588085819078</v>
      </c>
      <c r="D71" t="s">
        <v>28</v>
      </c>
      <c r="E71" t="s">
        <v>19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STOWA2019_NDJF_T(A71*60,J71,I71,"GH","center")</f>
        <v>0.92160548452398683</v>
      </c>
      <c r="L71">
        <f t="shared" si="19"/>
        <v>3.2551889614128249</v>
      </c>
    </row>
    <row r="72" spans="1:12" x14ac:dyDescent="0.3">
      <c r="A72">
        <v>96</v>
      </c>
      <c r="B72">
        <f t="shared" si="20"/>
        <v>1.1543731439915819</v>
      </c>
      <c r="C72">
        <f t="shared" si="16"/>
        <v>1.1543731439915819</v>
      </c>
      <c r="D72" t="s">
        <v>28</v>
      </c>
      <c r="E72" t="s">
        <v>19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STOWA2019_NDJF_T(A72*60,J72,I72,"GH","center")</f>
        <v>1.4280166662504037</v>
      </c>
      <c r="L72">
        <f t="shared" si="19"/>
        <v>2.100815817421243</v>
      </c>
    </row>
    <row r="73" spans="1:12" x14ac:dyDescent="0.3">
      <c r="A73">
        <v>96</v>
      </c>
      <c r="B73">
        <f t="shared" si="20"/>
        <v>0.73944412861815434</v>
      </c>
      <c r="C73">
        <f t="shared" si="16"/>
        <v>0.73944412861815434</v>
      </c>
      <c r="D73" t="s">
        <v>28</v>
      </c>
      <c r="E73" t="s">
        <v>19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STOWA2019_NDJF_T(A73*60,J73,I73,"GH","center")</f>
        <v>2.2036597533753515</v>
      </c>
      <c r="L73">
        <f t="shared" si="19"/>
        <v>1.3613716888030887</v>
      </c>
    </row>
    <row r="74" spans="1:12" x14ac:dyDescent="0.3">
      <c r="A74">
        <v>96</v>
      </c>
      <c r="B74">
        <f t="shared" si="20"/>
        <v>0.47554185184269415</v>
      </c>
      <c r="C74">
        <f t="shared" si="16"/>
        <v>0.47554185184269415</v>
      </c>
      <c r="D74" t="s">
        <v>28</v>
      </c>
      <c r="E74" t="s">
        <v>19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STOWA2019_NDJF_T(A74*60,J74,I74,"GH","center")</f>
        <v>3.3866549475168894</v>
      </c>
      <c r="L74">
        <f t="shared" si="19"/>
        <v>0.88582983696039452</v>
      </c>
    </row>
    <row r="75" spans="1:12" x14ac:dyDescent="0.3">
      <c r="A75">
        <v>96</v>
      </c>
      <c r="B75">
        <f t="shared" si="20"/>
        <v>0.30710830713903881</v>
      </c>
      <c r="C75">
        <f t="shared" si="16"/>
        <v>0.30710830713903881</v>
      </c>
      <c r="D75" t="s">
        <v>28</v>
      </c>
      <c r="E75" t="s">
        <v>19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STOWA2019_NDJF_T(A75*60,J75,I75,"GH","center")</f>
        <v>5.1838403194124529</v>
      </c>
      <c r="L75">
        <f t="shared" si="19"/>
        <v>0.57872152982135572</v>
      </c>
    </row>
    <row r="76" spans="1:12" x14ac:dyDescent="0.3">
      <c r="A76">
        <v>96</v>
      </c>
      <c r="B76">
        <f t="shared" si="20"/>
        <v>0.19914149279398863</v>
      </c>
      <c r="C76">
        <f t="shared" si="16"/>
        <v>0.19914149279398863</v>
      </c>
      <c r="D76" t="s">
        <v>28</v>
      </c>
      <c r="E76" t="s">
        <v>19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STOWA2019_NDJF_T(A76*60,J76,I76,"GH","center")</f>
        <v>7.9034714878425092</v>
      </c>
      <c r="L76">
        <f t="shared" si="19"/>
        <v>0.37958003702736709</v>
      </c>
    </row>
    <row r="77" spans="1:12" x14ac:dyDescent="0.3">
      <c r="A77">
        <v>96</v>
      </c>
      <c r="B77">
        <f t="shared" si="20"/>
        <v>0.12964656864866131</v>
      </c>
      <c r="C77">
        <f t="shared" si="16"/>
        <v>0.12964656864866131</v>
      </c>
      <c r="D77" t="s">
        <v>28</v>
      </c>
      <c r="E77" t="s">
        <v>19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STOWA2019_NDJF_T(A77*60,J77,I77,"GH","center")</f>
        <v>12.003194367928032</v>
      </c>
      <c r="L77">
        <f t="shared" si="19"/>
        <v>0.24993346837870578</v>
      </c>
    </row>
    <row r="78" spans="1:12" x14ac:dyDescent="0.3">
      <c r="A78">
        <v>96</v>
      </c>
      <c r="B78">
        <f t="shared" si="20"/>
        <v>8.4739551432587823E-2</v>
      </c>
      <c r="C78">
        <f t="shared" si="16"/>
        <v>8.4739551432587823E-2</v>
      </c>
      <c r="D78" t="s">
        <v>28</v>
      </c>
      <c r="E78" t="s">
        <v>19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STOWA2019_NDJF_T(A78*60,J78,I78,"GH","center")</f>
        <v>18.160475006949095</v>
      </c>
      <c r="L78">
        <f t="shared" si="19"/>
        <v>0.16519391694611796</v>
      </c>
    </row>
    <row r="79" spans="1:12" x14ac:dyDescent="0.3">
      <c r="A79">
        <v>96</v>
      </c>
      <c r="B79">
        <f t="shared" si="20"/>
        <v>5.5598958871755727E-2</v>
      </c>
      <c r="C79">
        <f t="shared" si="16"/>
        <v>5.5598958871755727E-2</v>
      </c>
      <c r="D79" t="s">
        <v>28</v>
      </c>
      <c r="E79" t="s">
        <v>19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STOWA2019_NDJF_T(A79*60,J79,I79,"GH","center")</f>
        <v>27.373522037067101</v>
      </c>
      <c r="L79">
        <f t="shared" si="19"/>
        <v>0.10959495807436223</v>
      </c>
    </row>
    <row r="80" spans="1:12" x14ac:dyDescent="0.3">
      <c r="A80">
        <v>96</v>
      </c>
      <c r="B80">
        <f t="shared" si="20"/>
        <v>3.6619395299412411E-2</v>
      </c>
      <c r="C80">
        <f t="shared" si="16"/>
        <v>3.6619395299412411E-2</v>
      </c>
      <c r="D80" t="s">
        <v>28</v>
      </c>
      <c r="E80" t="s">
        <v>19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STOWA2019_NDJF_T(A80*60,J80,I80,"GH","center")</f>
        <v>41.109652134533512</v>
      </c>
      <c r="L80">
        <f t="shared" si="19"/>
        <v>7.297556277494982E-2</v>
      </c>
    </row>
    <row r="81" spans="1:12" x14ac:dyDescent="0.3">
      <c r="A81">
        <v>96</v>
      </c>
      <c r="B81">
        <f t="shared" si="20"/>
        <v>2.4207710459869303E-2</v>
      </c>
      <c r="C81">
        <f t="shared" si="16"/>
        <v>2.4207710459869303E-2</v>
      </c>
      <c r="D81" t="s">
        <v>28</v>
      </c>
      <c r="E81" t="s">
        <v>19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STOWA2019_NDJF_T(A81*60,J81,I81,"GH","center")</f>
        <v>61.515934321190272</v>
      </c>
      <c r="L81">
        <f t="shared" si="19"/>
        <v>4.8767852315080518E-2</v>
      </c>
    </row>
    <row r="82" spans="1:12" x14ac:dyDescent="0.3">
      <c r="A82">
        <v>96</v>
      </c>
      <c r="B82">
        <f t="shared" si="20"/>
        <v>1.60618060450404E-2</v>
      </c>
      <c r="C82">
        <f t="shared" si="16"/>
        <v>1.60618060450404E-2</v>
      </c>
      <c r="D82" t="s">
        <v>28</v>
      </c>
      <c r="E82" t="s">
        <v>19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STOWA2019_NDJF_T(A82*60,J82,I82,"GH","center")</f>
        <v>91.726158986942579</v>
      </c>
      <c r="L82">
        <f t="shared" si="19"/>
        <v>3.2706046270040118E-2</v>
      </c>
    </row>
    <row r="83" spans="1:12" x14ac:dyDescent="0.3">
      <c r="A83">
        <v>96</v>
      </c>
      <c r="B83">
        <f t="shared" si="20"/>
        <v>1.069534281888869E-2</v>
      </c>
      <c r="C83">
        <f t="shared" si="16"/>
        <v>1.069534281888869E-2</v>
      </c>
      <c r="D83" t="s">
        <v>28</v>
      </c>
      <c r="E83" t="s">
        <v>19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STOWA2019_NDJF_T(A83*60,J83,I83,"GH","center")</f>
        <v>136.29732492002947</v>
      </c>
      <c r="L83">
        <f t="shared" si="19"/>
        <v>2.2010703451151428E-2</v>
      </c>
    </row>
    <row r="84" spans="1:12" x14ac:dyDescent="0.3">
      <c r="A84">
        <v>96</v>
      </c>
      <c r="B84">
        <f t="shared" si="20"/>
        <v>7.1470636642260617E-3</v>
      </c>
      <c r="C84">
        <f t="shared" si="16"/>
        <v>7.1470636642260617E-3</v>
      </c>
      <c r="D84" t="s">
        <v>28</v>
      </c>
      <c r="E84" t="s">
        <v>19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STOWA2019_NDJF_T(A84*60,J84,I84,"GH","center")</f>
        <v>201.83481590013477</v>
      </c>
      <c r="L84">
        <f t="shared" si="19"/>
        <v>1.4863639786925367E-2</v>
      </c>
    </row>
    <row r="85" spans="1:12" x14ac:dyDescent="0.3">
      <c r="A85">
        <v>96</v>
      </c>
      <c r="B85">
        <f t="shared" si="20"/>
        <v>4.7925520632388606E-3</v>
      </c>
      <c r="C85">
        <f t="shared" si="16"/>
        <v>4.7925520632388606E-3</v>
      </c>
      <c r="D85" t="s">
        <v>28</v>
      </c>
      <c r="E85" t="s">
        <v>19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STOWA2019_NDJF_T(A85*60,J85,I85,"GH","center")</f>
        <v>297.88242167171342</v>
      </c>
      <c r="L85">
        <f t="shared" si="19"/>
        <v>1.0071087723686506E-2</v>
      </c>
    </row>
    <row r="86" spans="1:12" x14ac:dyDescent="0.3">
      <c r="A86">
        <v>96</v>
      </c>
      <c r="B86">
        <f t="shared" si="20"/>
        <v>3.2246797552159499E-3</v>
      </c>
      <c r="C86">
        <f t="shared" si="16"/>
        <v>3.2246797552159499E-3</v>
      </c>
      <c r="D86" t="s">
        <v>28</v>
      </c>
      <c r="E86" t="s">
        <v>19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STOWA2019_NDJF_T(A86*60,J86,I86,"GH","center")</f>
        <v>438.18598216988534</v>
      </c>
      <c r="L86">
        <f t="shared" si="19"/>
        <v>6.846407968470556E-3</v>
      </c>
    </row>
    <row r="87" spans="1:12" x14ac:dyDescent="0.3">
      <c r="A87">
        <v>96</v>
      </c>
      <c r="B87">
        <f t="shared" si="20"/>
        <v>2.1770172636800481E-3</v>
      </c>
      <c r="C87">
        <f t="shared" si="16"/>
        <v>2.1770172636800481E-3</v>
      </c>
      <c r="D87" t="s">
        <v>28</v>
      </c>
      <c r="E87" t="s">
        <v>19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STOWA2019_NDJF_T(A87*60,J87,I87,"GH","center")</f>
        <v>642.4821116215835</v>
      </c>
      <c r="L87">
        <f t="shared" si="19"/>
        <v>4.6693907047905079E-3</v>
      </c>
    </row>
    <row r="88" spans="1:12" x14ac:dyDescent="0.3">
      <c r="A88">
        <v>96</v>
      </c>
      <c r="B88">
        <f t="shared" si="20"/>
        <v>1.4745798073580643E-3</v>
      </c>
      <c r="C88">
        <f t="shared" si="16"/>
        <v>1.4745798073580643E-3</v>
      </c>
      <c r="D88" t="s">
        <v>28</v>
      </c>
      <c r="E88" t="s">
        <v>19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STOWA2019_NDJF_T(A88*60,J88,I88,"GH","center")</f>
        <v>939.02271411775689</v>
      </c>
      <c r="L88">
        <f t="shared" si="19"/>
        <v>3.1948108974324436E-3</v>
      </c>
    </row>
    <row r="89" spans="1:12" x14ac:dyDescent="0.3">
      <c r="A89">
        <v>96</v>
      </c>
      <c r="B89">
        <f t="shared" si="20"/>
        <v>1.0020330014111766E-3</v>
      </c>
      <c r="C89">
        <f t="shared" si="16"/>
        <v>1.0020330014111766E-3</v>
      </c>
      <c r="D89" t="s">
        <v>28</v>
      </c>
      <c r="E89" t="s">
        <v>19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STOWA2019_NDJF_T(A89*60,J89,I89,"GH","center")</f>
        <v>1368.1276181429109</v>
      </c>
      <c r="L89">
        <f t="shared" si="19"/>
        <v>2.1927778960212671E-3</v>
      </c>
    </row>
    <row r="90" spans="1:12" x14ac:dyDescent="0.3">
      <c r="A90">
        <v>96</v>
      </c>
      <c r="B90">
        <f t="shared" si="20"/>
        <v>6.8308447556639533E-4</v>
      </c>
      <c r="C90">
        <f t="shared" si="16"/>
        <v>6.8308447556639533E-4</v>
      </c>
      <c r="D90" t="s">
        <v>28</v>
      </c>
      <c r="E90" t="s">
        <v>19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STOWA2019_NDJF_T(A90*60,J90,I90,"GH","center")</f>
        <v>1987.1584252490795</v>
      </c>
      <c r="L90">
        <f t="shared" si="19"/>
        <v>1.5096934204548718E-3</v>
      </c>
    </row>
    <row r="91" spans="1:12" x14ac:dyDescent="0.3">
      <c r="A91">
        <v>96</v>
      </c>
      <c r="B91">
        <f t="shared" si="20"/>
        <v>4.6713460659999258E-4</v>
      </c>
      <c r="C91">
        <f t="shared" si="16"/>
        <v>4.6713460659999258E-4</v>
      </c>
      <c r="D91" t="s">
        <v>28</v>
      </c>
      <c r="E91" t="s">
        <v>19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STOWA2019_NDJF_T(A91*60,J91,I91,"GH","center")</f>
        <v>2877.5355022010203</v>
      </c>
      <c r="L91">
        <f t="shared" si="19"/>
        <v>1.0425588138548792E-3</v>
      </c>
    </row>
    <row r="92" spans="1:12" x14ac:dyDescent="0.3">
      <c r="A92">
        <v>96</v>
      </c>
      <c r="B92">
        <f t="shared" si="20"/>
        <v>3.2043552426559469E-4</v>
      </c>
      <c r="C92">
        <f t="shared" si="16"/>
        <v>3.2043552426559469E-4</v>
      </c>
      <c r="D92" t="s">
        <v>28</v>
      </c>
      <c r="E92" t="s">
        <v>19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STOWA2019_NDJF_T(A92*60,J92,I92,"GH","center")</f>
        <v>4154.4152407911988</v>
      </c>
      <c r="L92">
        <f t="shared" si="19"/>
        <v>7.2212328958928449E-4</v>
      </c>
    </row>
    <row r="93" spans="1:12" x14ac:dyDescent="0.3">
      <c r="A93">
        <v>96</v>
      </c>
      <c r="B93">
        <f t="shared" si="20"/>
        <v>2.204712437469101E-4</v>
      </c>
      <c r="C93">
        <f t="shared" si="16"/>
        <v>2.204712437469101E-4</v>
      </c>
      <c r="D93" t="s">
        <v>28</v>
      </c>
      <c r="E93" t="s">
        <v>19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STOWA2019_NDJF_T(A93*60,J93,I93,"GH","center")</f>
        <v>5980.2407363103612</v>
      </c>
      <c r="L93">
        <f t="shared" si="19"/>
        <v>5.0165204584237439E-4</v>
      </c>
    </row>
    <row r="94" spans="1:12" x14ac:dyDescent="0.3">
      <c r="A94">
        <v>96</v>
      </c>
      <c r="B94" s="1">
        <f>L93</f>
        <v>5.0165204584237439E-4</v>
      </c>
      <c r="C94">
        <f t="shared" si="16"/>
        <v>5.0165204584237439E-4</v>
      </c>
      <c r="D94" t="s">
        <v>28</v>
      </c>
      <c r="E94" t="s">
        <v>19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STOWA2019_NDJF_T(A94*60,J94,I94,"GH","center")</f>
        <v>22.306425295026102</v>
      </c>
      <c r="L94">
        <f t="shared" si="19"/>
        <v>0.13449039728785864</v>
      </c>
    </row>
    <row r="95" spans="1:12" x14ac:dyDescent="0.3">
      <c r="A95">
        <v>192</v>
      </c>
      <c r="B95" s="1">
        <f>365.25*24/A95 - L95</f>
        <v>-19.93499271232254</v>
      </c>
      <c r="C95">
        <f>B95</f>
        <v>-19.93499271232254</v>
      </c>
      <c r="D95" t="s">
        <v>28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STOWA2019_NDJF_T(A95*60,J95,I95,"GH","center")</f>
        <v>4.5737813097363286E-2</v>
      </c>
      <c r="L95">
        <f t="shared" si="19"/>
        <v>65.59124271232254</v>
      </c>
    </row>
    <row r="96" spans="1:12" x14ac:dyDescent="0.3">
      <c r="A96">
        <v>192</v>
      </c>
      <c r="B96">
        <f t="shared" ref="B96:B100" si="23">L95-L96</f>
        <v>8.3688837611742102</v>
      </c>
      <c r="C96">
        <f t="shared" ref="C96:C125" si="24">B96</f>
        <v>8.3688837611742102</v>
      </c>
      <c r="D96" t="s">
        <v>28</v>
      </c>
      <c r="E96" t="s">
        <v>19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cm="1">
        <f t="array" ref="K96">STOWA2019_NDJF_T(A96*60,J96,I96,"GH","center")</f>
        <v>5.2427059194835875E-2</v>
      </c>
      <c r="L96">
        <f t="shared" si="19"/>
        <v>57.22235895114833</v>
      </c>
    </row>
    <row r="97" spans="1:12" x14ac:dyDescent="0.3">
      <c r="A97">
        <v>192</v>
      </c>
      <c r="B97">
        <f t="shared" si="23"/>
        <v>13.78360732339295</v>
      </c>
      <c r="C97">
        <f t="shared" si="24"/>
        <v>13.78360732339295</v>
      </c>
      <c r="D97" t="s">
        <v>28</v>
      </c>
      <c r="E97" t="s">
        <v>19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STOWA2019_NDJF_T(A97*60,J97,I97,"GH","center")</f>
        <v>6.9062758195913176E-2</v>
      </c>
      <c r="L97">
        <f t="shared" si="19"/>
        <v>43.43875162775538</v>
      </c>
    </row>
    <row r="98" spans="1:12" x14ac:dyDescent="0.3">
      <c r="A98">
        <v>192</v>
      </c>
      <c r="B98">
        <f t="shared" si="23"/>
        <v>10.580042929544902</v>
      </c>
      <c r="C98">
        <f t="shared" si="24"/>
        <v>10.580042929544902</v>
      </c>
      <c r="D98" t="s">
        <v>28</v>
      </c>
      <c r="E98" t="s">
        <v>19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STOWA2019_NDJF_T(A98*60,J98,I98,"GH","center")</f>
        <v>9.1299996830471408E-2</v>
      </c>
      <c r="L98">
        <f t="shared" si="19"/>
        <v>32.858708698210478</v>
      </c>
    </row>
    <row r="99" spans="1:12" x14ac:dyDescent="0.3">
      <c r="A99">
        <v>192</v>
      </c>
      <c r="B99">
        <f t="shared" si="23"/>
        <v>8.0932325538021317</v>
      </c>
      <c r="C99">
        <f t="shared" si="24"/>
        <v>8.0932325538021317</v>
      </c>
      <c r="D99" t="s">
        <v>28</v>
      </c>
      <c r="E99" t="s">
        <v>19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STOWA2019_NDJF_T(A99*60,J99,I99,"GH","center")</f>
        <v>0.12113637478669485</v>
      </c>
      <c r="L99">
        <f t="shared" si="19"/>
        <v>24.765476144408346</v>
      </c>
    </row>
    <row r="100" spans="1:12" x14ac:dyDescent="0.3">
      <c r="A100">
        <v>192</v>
      </c>
      <c r="B100">
        <f t="shared" si="23"/>
        <v>6.1692427997735422</v>
      </c>
      <c r="C100">
        <f t="shared" si="24"/>
        <v>6.1692427997735422</v>
      </c>
      <c r="D100" t="s">
        <v>28</v>
      </c>
      <c r="E100" t="s">
        <v>19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STOWA2019_NDJF_T(A100*60,J100,I100,"GH","center")</f>
        <v>0.16132299183401724</v>
      </c>
      <c r="L100">
        <f t="shared" si="19"/>
        <v>18.596233344634804</v>
      </c>
    </row>
    <row r="101" spans="1:12" x14ac:dyDescent="0.3">
      <c r="A101">
        <v>192</v>
      </c>
      <c r="B101">
        <f>L100-L101</f>
        <v>4.6857455803293071</v>
      </c>
      <c r="C101">
        <f t="shared" si="24"/>
        <v>4.6857455803293071</v>
      </c>
      <c r="D101" t="s">
        <v>28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STOWA2019_NDJF_T(A101*60,J101,I101,"GH","center")</f>
        <v>0.21566461585179214</v>
      </c>
      <c r="L101">
        <f t="shared" si="19"/>
        <v>13.910487764305497</v>
      </c>
    </row>
    <row r="102" spans="1:12" x14ac:dyDescent="0.3">
      <c r="A102">
        <v>192</v>
      </c>
      <c r="B102">
        <f t="shared" ref="B102:B124" si="27">L101-L102</f>
        <v>3.5458552893236792</v>
      </c>
      <c r="C102">
        <f t="shared" si="24"/>
        <v>3.5458552893236792</v>
      </c>
      <c r="D102" t="s">
        <v>28</v>
      </c>
      <c r="E102" t="s">
        <v>19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STOWA2019_NDJF_T(A102*60,J102,I102,"GH","center")</f>
        <v>0.28944586382984727</v>
      </c>
      <c r="L102">
        <f t="shared" si="19"/>
        <v>10.364632474981818</v>
      </c>
    </row>
    <row r="103" spans="1:12" x14ac:dyDescent="0.3">
      <c r="A103">
        <v>192</v>
      </c>
      <c r="B103">
        <f t="shared" si="27"/>
        <v>2.6731667228469433</v>
      </c>
      <c r="C103">
        <f t="shared" si="24"/>
        <v>2.6731667228469433</v>
      </c>
      <c r="D103" t="s">
        <v>28</v>
      </c>
      <c r="E103" t="s">
        <v>19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STOWA2019_NDJF_T(A103*60,J103,I103,"GH","center")</f>
        <v>0.39004269103939104</v>
      </c>
      <c r="L103">
        <f t="shared" si="19"/>
        <v>7.6914657521348744</v>
      </c>
    </row>
    <row r="104" spans="1:12" x14ac:dyDescent="0.3">
      <c r="A104">
        <v>192</v>
      </c>
      <c r="B104">
        <f t="shared" si="27"/>
        <v>2.0073335697088597</v>
      </c>
      <c r="C104">
        <f t="shared" si="24"/>
        <v>2.0073335697088597</v>
      </c>
      <c r="D104" t="s">
        <v>28</v>
      </c>
      <c r="E104" t="s">
        <v>19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STOWA2019_NDJF_T(A104*60,J104,I104,"GH","center")</f>
        <v>0.52778505209208304</v>
      </c>
      <c r="L104">
        <f t="shared" si="19"/>
        <v>5.6841321824260147</v>
      </c>
    </row>
    <row r="105" spans="1:12" x14ac:dyDescent="0.3">
      <c r="A105">
        <v>192</v>
      </c>
      <c r="B105">
        <f t="shared" si="27"/>
        <v>1.5013358075607188</v>
      </c>
      <c r="C105">
        <f t="shared" si="24"/>
        <v>1.5013358075607188</v>
      </c>
      <c r="D105" t="s">
        <v>28</v>
      </c>
      <c r="E105" t="s">
        <v>19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STOWA2019_NDJF_T(A105*60,J105,I105,"GH","center")</f>
        <v>0.71722353448214726</v>
      </c>
      <c r="L105">
        <f t="shared" si="19"/>
        <v>4.1827963748652959</v>
      </c>
    </row>
    <row r="106" spans="1:12" x14ac:dyDescent="0.3">
      <c r="A106">
        <v>192</v>
      </c>
      <c r="B106">
        <f t="shared" si="27"/>
        <v>1.1182658071325609</v>
      </c>
      <c r="C106">
        <f t="shared" si="24"/>
        <v>1.1182658071325609</v>
      </c>
      <c r="D106" t="s">
        <v>28</v>
      </c>
      <c r="E106" t="s">
        <v>19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STOWA2019_NDJF_T(A106*60,J106,I106,"GH","center")</f>
        <v>0.97894275605791148</v>
      </c>
      <c r="L106">
        <f t="shared" si="19"/>
        <v>3.064530567732735</v>
      </c>
    </row>
    <row r="107" spans="1:12" x14ac:dyDescent="0.3">
      <c r="A107">
        <v>192</v>
      </c>
      <c r="B107">
        <f t="shared" si="27"/>
        <v>0.82926796255954383</v>
      </c>
      <c r="C107">
        <f t="shared" si="24"/>
        <v>0.82926796255954383</v>
      </c>
      <c r="D107" t="s">
        <v>28</v>
      </c>
      <c r="E107" t="s">
        <v>19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STOWA2019_NDJF_T(A107*60,J107,I107,"GH","center")</f>
        <v>1.3421241840027811</v>
      </c>
      <c r="L107">
        <f t="shared" si="19"/>
        <v>2.2352626051731912</v>
      </c>
    </row>
    <row r="108" spans="1:12" x14ac:dyDescent="0.3">
      <c r="A108">
        <v>192</v>
      </c>
      <c r="B108">
        <f t="shared" si="27"/>
        <v>0.61252790995102679</v>
      </c>
      <c r="C108">
        <f t="shared" si="24"/>
        <v>0.61252790995102679</v>
      </c>
      <c r="D108" t="s">
        <v>28</v>
      </c>
      <c r="E108" t="s">
        <v>19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STOWA2019_NDJF_T(A108*60,J108,I108,"GH","center")</f>
        <v>1.8487310395426517</v>
      </c>
      <c r="L108">
        <f t="shared" si="19"/>
        <v>1.6227346952221644</v>
      </c>
    </row>
    <row r="109" spans="1:12" x14ac:dyDescent="0.3">
      <c r="A109">
        <v>192</v>
      </c>
      <c r="B109">
        <f t="shared" si="27"/>
        <v>0.45031290152054426</v>
      </c>
      <c r="C109">
        <f t="shared" si="24"/>
        <v>0.45031290152054426</v>
      </c>
      <c r="D109" t="s">
        <v>28</v>
      </c>
      <c r="E109" t="s">
        <v>19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STOWA2019_NDJF_T(A109*60,J109,I109,"GH","center")</f>
        <v>2.558806068017784</v>
      </c>
      <c r="L109">
        <f t="shared" si="19"/>
        <v>1.1724217937016201</v>
      </c>
    </row>
    <row r="110" spans="1:12" x14ac:dyDescent="0.3">
      <c r="A110">
        <v>192</v>
      </c>
      <c r="B110">
        <f t="shared" si="27"/>
        <v>0.32951382695982845</v>
      </c>
      <c r="C110">
        <f t="shared" si="24"/>
        <v>0.32951382695982845</v>
      </c>
      <c r="D110" t="s">
        <v>28</v>
      </c>
      <c r="E110" t="s">
        <v>19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STOWA2019_NDJF_T(A110*60,J110,I110,"GH","center")</f>
        <v>3.5591074214143608</v>
      </c>
      <c r="L110">
        <f t="shared" si="19"/>
        <v>0.84290796674179169</v>
      </c>
    </row>
    <row r="111" spans="1:12" x14ac:dyDescent="0.3">
      <c r="A111">
        <v>192</v>
      </c>
      <c r="B111">
        <f t="shared" si="27"/>
        <v>0.23997706993660872</v>
      </c>
      <c r="C111">
        <f t="shared" si="24"/>
        <v>0.23997706993660872</v>
      </c>
      <c r="D111" t="s">
        <v>28</v>
      </c>
      <c r="E111" t="s">
        <v>19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STOWA2019_NDJF_T(A111*60,J111,I111,"GH","center")</f>
        <v>4.9756945877154974</v>
      </c>
      <c r="L111">
        <f t="shared" si="19"/>
        <v>0.60293089680518297</v>
      </c>
    </row>
    <row r="112" spans="1:12" x14ac:dyDescent="0.3">
      <c r="A112">
        <v>192</v>
      </c>
      <c r="B112">
        <f t="shared" si="27"/>
        <v>0.17391128871105072</v>
      </c>
      <c r="C112">
        <f t="shared" si="24"/>
        <v>0.17391128871105072</v>
      </c>
      <c r="D112" t="s">
        <v>28</v>
      </c>
      <c r="E112" t="s">
        <v>19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STOWA2019_NDJF_T(A112*60,J112,I112,"GH","center")</f>
        <v>6.992687381649378</v>
      </c>
      <c r="L112">
        <f t="shared" si="19"/>
        <v>0.42901960809413225</v>
      </c>
    </row>
    <row r="113" spans="1:12" x14ac:dyDescent="0.3">
      <c r="A113">
        <v>192</v>
      </c>
      <c r="B113">
        <f t="shared" si="27"/>
        <v>0.12539748559264963</v>
      </c>
      <c r="C113">
        <f t="shared" si="24"/>
        <v>0.12539748559264963</v>
      </c>
      <c r="D113" t="s">
        <v>28</v>
      </c>
      <c r="E113" t="s">
        <v>19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STOWA2019_NDJF_T(A113*60,J113,I113,"GH","center")</f>
        <v>9.8807029451068757</v>
      </c>
      <c r="L113">
        <f t="shared" si="19"/>
        <v>0.30362212250148263</v>
      </c>
    </row>
    <row r="114" spans="1:12" x14ac:dyDescent="0.3">
      <c r="A114">
        <v>192</v>
      </c>
      <c r="B114">
        <f t="shared" si="27"/>
        <v>8.9940639775534237E-2</v>
      </c>
      <c r="C114">
        <f t="shared" si="24"/>
        <v>8.9940639775534237E-2</v>
      </c>
      <c r="D114" t="s">
        <v>28</v>
      </c>
      <c r="E114" t="s">
        <v>19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STOWA2019_NDJF_T(A114*60,J114,I114,"GH","center")</f>
        <v>14.039588090314647</v>
      </c>
      <c r="L114">
        <f t="shared" si="19"/>
        <v>0.21368148272594839</v>
      </c>
    </row>
    <row r="115" spans="1:12" x14ac:dyDescent="0.3">
      <c r="A115">
        <v>192</v>
      </c>
      <c r="B115">
        <f t="shared" si="27"/>
        <v>6.4164106601237503E-2</v>
      </c>
      <c r="C115">
        <f t="shared" si="24"/>
        <v>6.4164106601237503E-2</v>
      </c>
      <c r="D115" t="s">
        <v>28</v>
      </c>
      <c r="E115" t="s">
        <v>19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STOWA2019_NDJF_T(A115*60,J115,I115,"GH","center")</f>
        <v>20.064557563515102</v>
      </c>
      <c r="L115">
        <f t="shared" si="19"/>
        <v>0.14951737612471089</v>
      </c>
    </row>
    <row r="116" spans="1:12" x14ac:dyDescent="0.3">
      <c r="A116">
        <v>192</v>
      </c>
      <c r="B116">
        <f t="shared" si="27"/>
        <v>4.5518838780111953E-2</v>
      </c>
      <c r="C116">
        <f t="shared" si="24"/>
        <v>4.5518838780111953E-2</v>
      </c>
      <c r="D116" t="s">
        <v>28</v>
      </c>
      <c r="E116" t="s">
        <v>19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STOWA2019_NDJF_T(A116*60,J116,I116,"GH","center")</f>
        <v>28.846559544001146</v>
      </c>
      <c r="L116">
        <f t="shared" si="19"/>
        <v>0.10399853734459893</v>
      </c>
    </row>
    <row r="117" spans="1:12" x14ac:dyDescent="0.3">
      <c r="A117">
        <v>192</v>
      </c>
      <c r="B117">
        <f t="shared" si="27"/>
        <v>3.2105707116544951E-2</v>
      </c>
      <c r="C117">
        <f t="shared" si="24"/>
        <v>3.2105707116544951E-2</v>
      </c>
      <c r="D117" t="s">
        <v>28</v>
      </c>
      <c r="E117" t="s">
        <v>19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STOWA2019_NDJF_T(A117*60,J117,I117,"GH","center")</f>
        <v>41.728778662400487</v>
      </c>
      <c r="L117">
        <f t="shared" si="19"/>
        <v>7.1892830228053983E-2</v>
      </c>
    </row>
    <row r="118" spans="1:12" x14ac:dyDescent="0.3">
      <c r="A118">
        <v>192</v>
      </c>
      <c r="B118">
        <f t="shared" si="27"/>
        <v>2.2510203170203955E-2</v>
      </c>
      <c r="C118">
        <f t="shared" si="24"/>
        <v>2.2510203170203955E-2</v>
      </c>
      <c r="D118" t="s">
        <v>28</v>
      </c>
      <c r="E118" t="s">
        <v>19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STOWA2019_NDJF_T(A118*60,J118,I118,"GH","center")</f>
        <v>60.75010947646841</v>
      </c>
      <c r="L118">
        <f t="shared" si="19"/>
        <v>4.9382627057850029E-2</v>
      </c>
    </row>
    <row r="119" spans="1:12" x14ac:dyDescent="0.3">
      <c r="A119">
        <v>192</v>
      </c>
      <c r="B119">
        <f t="shared" si="27"/>
        <v>1.5685282278050321E-2</v>
      </c>
      <c r="C119">
        <f t="shared" si="24"/>
        <v>1.5685282278050321E-2</v>
      </c>
      <c r="D119" t="s">
        <v>28</v>
      </c>
      <c r="E119" t="s">
        <v>19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STOWA2019_NDJF_T(A119*60,J119,I119,"GH","center")</f>
        <v>89.027786005216271</v>
      </c>
      <c r="L119">
        <f t="shared" si="19"/>
        <v>3.3697344779799708E-2</v>
      </c>
    </row>
    <row r="120" spans="1:12" x14ac:dyDescent="0.3">
      <c r="A120">
        <v>192</v>
      </c>
      <c r="B120">
        <f t="shared" si="27"/>
        <v>1.0860045643282072E-2</v>
      </c>
      <c r="C120">
        <f t="shared" si="24"/>
        <v>1.0860045643282072E-2</v>
      </c>
      <c r="D120" t="s">
        <v>28</v>
      </c>
      <c r="E120" t="s">
        <v>19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STOWA2019_NDJF_T(A120*60,J120,I120,"GH","center")</f>
        <v>131.36404537447669</v>
      </c>
      <c r="L120">
        <f t="shared" si="19"/>
        <v>2.2837299136517636E-2</v>
      </c>
    </row>
    <row r="121" spans="1:12" x14ac:dyDescent="0.3">
      <c r="A121">
        <v>192</v>
      </c>
      <c r="B121">
        <f t="shared" si="27"/>
        <v>7.4693502119473777E-3</v>
      </c>
      <c r="C121">
        <f t="shared" si="24"/>
        <v>7.4693502119473777E-3</v>
      </c>
      <c r="D121" t="s">
        <v>28</v>
      </c>
      <c r="E121" t="s">
        <v>19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STOWA2019_NDJF_T(A121*60,J121,I121,"GH","center")</f>
        <v>195.21147647774933</v>
      </c>
      <c r="L121">
        <f t="shared" si="19"/>
        <v>1.5367948924570258E-2</v>
      </c>
    </row>
    <row r="122" spans="1:12" x14ac:dyDescent="0.3">
      <c r="A122">
        <v>192</v>
      </c>
      <c r="B122">
        <f t="shared" si="27"/>
        <v>5.1020999154545808E-3</v>
      </c>
      <c r="C122">
        <f t="shared" si="24"/>
        <v>5.1020999154545808E-3</v>
      </c>
      <c r="D122" t="s">
        <v>28</v>
      </c>
      <c r="E122" t="s">
        <v>19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STOWA2019_NDJF_T(A122*60,J122,I122,"GH","center")</f>
        <v>292.23106606537033</v>
      </c>
      <c r="L122">
        <f t="shared" si="19"/>
        <v>1.0265849009115677E-2</v>
      </c>
    </row>
    <row r="123" spans="1:12" x14ac:dyDescent="0.3">
      <c r="A123">
        <v>192</v>
      </c>
      <c r="B123">
        <f t="shared" si="27"/>
        <v>3.4603357903455999E-3</v>
      </c>
      <c r="C123">
        <f t="shared" si="24"/>
        <v>3.4603357903455999E-3</v>
      </c>
      <c r="D123" t="s">
        <v>28</v>
      </c>
      <c r="E123" t="s">
        <v>19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STOWA2019_NDJF_T(A123*60,J123,I123,"GH","center")</f>
        <v>440.8190688287537</v>
      </c>
      <c r="L123">
        <f t="shared" si="19"/>
        <v>6.8055132187700776E-3</v>
      </c>
    </row>
    <row r="124" spans="1:12" x14ac:dyDescent="0.3">
      <c r="A124">
        <v>192</v>
      </c>
      <c r="B124">
        <f t="shared" si="27"/>
        <v>2.3295781166468707E-3</v>
      </c>
      <c r="C124">
        <f t="shared" si="24"/>
        <v>2.3295781166468707E-3</v>
      </c>
      <c r="D124" t="s">
        <v>28</v>
      </c>
      <c r="E124" t="s">
        <v>19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STOWA2019_NDJF_T(A124*60,J124,I124,"GH","center")</f>
        <v>670.25100488541898</v>
      </c>
      <c r="L124">
        <f t="shared" si="19"/>
        <v>4.4759351021232069E-3</v>
      </c>
    </row>
    <row r="125" spans="1:12" x14ac:dyDescent="0.3">
      <c r="A125">
        <v>192</v>
      </c>
      <c r="B125" s="1">
        <f>L124</f>
        <v>4.4759351021232069E-3</v>
      </c>
      <c r="C125">
        <f t="shared" si="24"/>
        <v>4.4759351021232069E-3</v>
      </c>
      <c r="D125" t="s">
        <v>28</v>
      </c>
      <c r="E125" t="s">
        <v>19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STOWA2019_NDJF_T(A125*60,J125,I125,"GH","center")</f>
        <v>3.0158905430314689</v>
      </c>
      <c r="L125">
        <f t="shared" si="19"/>
        <v>0.99473106108967202</v>
      </c>
    </row>
    <row r="126" spans="1:12" x14ac:dyDescent="0.3">
      <c r="A126">
        <v>216</v>
      </c>
      <c r="B126" s="1">
        <f>365.25*24/A126 - L126</f>
        <v>-23.082958648544043</v>
      </c>
      <c r="C126">
        <f>B126</f>
        <v>-23.082958648544043</v>
      </c>
      <c r="D126" t="s">
        <v>28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STOWA2019_NDJF_T(A126*60,J126,I126,"GH","center")</f>
        <v>4.7120696158242582E-2</v>
      </c>
      <c r="L126">
        <f t="shared" si="19"/>
        <v>63.666291981877379</v>
      </c>
    </row>
    <row r="127" spans="1:12" x14ac:dyDescent="0.3">
      <c r="A127">
        <v>216</v>
      </c>
      <c r="B127">
        <f t="shared" ref="B127:B131" si="30">L126-L127</f>
        <v>7.3316005067594929</v>
      </c>
      <c r="C127">
        <f t="shared" ref="C127:C156" si="31">B127</f>
        <v>7.3316005067594929</v>
      </c>
      <c r="D127" t="s">
        <v>28</v>
      </c>
      <c r="E127" t="s">
        <v>19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cm="1">
        <f t="array" ref="K127">STOWA2019_NDJF_T(A127*60,J127,I127,"GH","center")</f>
        <v>5.325315398816112E-2</v>
      </c>
      <c r="L127">
        <f t="shared" si="19"/>
        <v>56.334691475117886</v>
      </c>
    </row>
    <row r="128" spans="1:12" x14ac:dyDescent="0.3">
      <c r="A128">
        <v>216</v>
      </c>
      <c r="B128">
        <f t="shared" si="30"/>
        <v>12.35405200199488</v>
      </c>
      <c r="C128">
        <f t="shared" si="31"/>
        <v>12.35405200199488</v>
      </c>
      <c r="D128" t="s">
        <v>28</v>
      </c>
      <c r="E128" t="s">
        <v>19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cm="1">
        <f t="array" ref="K128">STOWA2019_NDJF_T(A128*60,J128,I128,"GH","center")</f>
        <v>6.8211832204789311E-2</v>
      </c>
      <c r="L128">
        <f t="shared" si="19"/>
        <v>43.980639473123006</v>
      </c>
    </row>
    <row r="129" spans="1:12" x14ac:dyDescent="0.3">
      <c r="A129">
        <v>216</v>
      </c>
      <c r="B129">
        <f t="shared" si="30"/>
        <v>9.7793331507992747</v>
      </c>
      <c r="C129">
        <f t="shared" si="31"/>
        <v>9.7793331507992747</v>
      </c>
      <c r="D129" t="s">
        <v>28</v>
      </c>
      <c r="E129" t="s">
        <v>19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STOWA2019_NDJF_T(A129*60,J129,I129,"GH","center")</f>
        <v>8.7715947798223504E-2</v>
      </c>
      <c r="L129">
        <f t="shared" si="19"/>
        <v>34.201306322323731</v>
      </c>
    </row>
    <row r="130" spans="1:12" x14ac:dyDescent="0.3">
      <c r="A130">
        <v>216</v>
      </c>
      <c r="B130">
        <f t="shared" si="30"/>
        <v>7.7123308748718955</v>
      </c>
      <c r="C130">
        <f t="shared" si="31"/>
        <v>7.7123308748718955</v>
      </c>
      <c r="D130" t="s">
        <v>28</v>
      </c>
      <c r="E130" t="s">
        <v>19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STOWA2019_NDJF_T(A130*60,J130,I130,"GH","center")</f>
        <v>0.11325466347127411</v>
      </c>
      <c r="L130">
        <f t="shared" si="19"/>
        <v>26.488975447451836</v>
      </c>
    </row>
    <row r="131" spans="1:12" x14ac:dyDescent="0.3">
      <c r="A131">
        <v>216</v>
      </c>
      <c r="B131">
        <f t="shared" si="30"/>
        <v>6.0588123189861314</v>
      </c>
      <c r="C131">
        <f t="shared" si="31"/>
        <v>6.0588123189861314</v>
      </c>
      <c r="D131" t="s">
        <v>28</v>
      </c>
      <c r="E131" t="s">
        <v>19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STOWA2019_NDJF_T(A131*60,J131,I131,"GH","center")</f>
        <v>0.14684170562593538</v>
      </c>
      <c r="L131">
        <f t="shared" ref="L131:L156" si="34">1/K131 * 12/4</f>
        <v>20.430163128465704</v>
      </c>
    </row>
    <row r="132" spans="1:12" x14ac:dyDescent="0.3">
      <c r="A132">
        <v>216</v>
      </c>
      <c r="B132">
        <f>L131-L132</f>
        <v>4.7410110025523071</v>
      </c>
      <c r="C132">
        <f t="shared" si="31"/>
        <v>4.7410110025523071</v>
      </c>
      <c r="D132" t="s">
        <v>28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STOWA2019_NDJF_T(A132*60,J132,I132,"GH","center")</f>
        <v>0.19121492199983017</v>
      </c>
      <c r="L132">
        <f t="shared" si="34"/>
        <v>15.689152125913397</v>
      </c>
    </row>
    <row r="133" spans="1:12" x14ac:dyDescent="0.3">
      <c r="A133">
        <v>216</v>
      </c>
      <c r="B133">
        <f t="shared" ref="B133:B155" si="35">L132-L133</f>
        <v>3.6944132160397896</v>
      </c>
      <c r="C133">
        <f t="shared" si="31"/>
        <v>3.6944132160397896</v>
      </c>
      <c r="D133" t="s">
        <v>28</v>
      </c>
      <c r="E133" t="s">
        <v>19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STOWA2019_NDJF_T(A133*60,J133,I133,"GH","center")</f>
        <v>0.2501096541193169</v>
      </c>
      <c r="L133">
        <f t="shared" si="34"/>
        <v>11.994738909873607</v>
      </c>
    </row>
    <row r="134" spans="1:12" x14ac:dyDescent="0.3">
      <c r="A134">
        <v>216</v>
      </c>
      <c r="B134">
        <f t="shared" si="35"/>
        <v>2.8667290624768391</v>
      </c>
      <c r="C134">
        <f t="shared" si="31"/>
        <v>2.8667290624768391</v>
      </c>
      <c r="D134" t="s">
        <v>28</v>
      </c>
      <c r="E134" t="s">
        <v>19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STOWA2019_NDJF_T(A134*60,J134,I134,"GH","center")</f>
        <v>0.32865871642936217</v>
      </c>
      <c r="L134">
        <f t="shared" si="34"/>
        <v>9.1280098473967684</v>
      </c>
    </row>
    <row r="135" spans="1:12" x14ac:dyDescent="0.3">
      <c r="A135">
        <v>216</v>
      </c>
      <c r="B135">
        <f t="shared" si="35"/>
        <v>2.2147597772482008</v>
      </c>
      <c r="C135">
        <f t="shared" si="31"/>
        <v>2.2147597772482008</v>
      </c>
      <c r="D135" t="s">
        <v>28</v>
      </c>
      <c r="E135" t="s">
        <v>19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STOWA2019_NDJF_T(A135*60,J135,I135,"GH","center")</f>
        <v>0.43394929585348108</v>
      </c>
      <c r="L135">
        <f t="shared" si="34"/>
        <v>6.9132500701485675</v>
      </c>
    </row>
    <row r="136" spans="1:12" x14ac:dyDescent="0.3">
      <c r="A136">
        <v>216</v>
      </c>
      <c r="B136">
        <f t="shared" si="35"/>
        <v>1.7032302500250589</v>
      </c>
      <c r="C136">
        <f t="shared" si="31"/>
        <v>1.7032302500250589</v>
      </c>
      <c r="D136" t="s">
        <v>28</v>
      </c>
      <c r="E136" t="s">
        <v>19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STOWA2019_NDJF_T(A136*60,J136,I136,"GH","center")</f>
        <v>0.57581354842693899</v>
      </c>
      <c r="L136">
        <f t="shared" si="34"/>
        <v>5.2100198201235086</v>
      </c>
    </row>
    <row r="137" spans="1:12" x14ac:dyDescent="0.3">
      <c r="A137">
        <v>216</v>
      </c>
      <c r="B137">
        <f t="shared" si="35"/>
        <v>1.3037228929325591</v>
      </c>
      <c r="C137">
        <f t="shared" si="31"/>
        <v>1.3037228929325591</v>
      </c>
      <c r="D137" t="s">
        <v>28</v>
      </c>
      <c r="E137" t="s">
        <v>19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STOWA2019_NDJF_T(A137*60,J137,I137,"GH","center")</f>
        <v>0.76799077384967884</v>
      </c>
      <c r="L137">
        <f t="shared" si="34"/>
        <v>3.9062969271909496</v>
      </c>
    </row>
    <row r="138" spans="1:12" x14ac:dyDescent="0.3">
      <c r="A138">
        <v>216</v>
      </c>
      <c r="B138">
        <f t="shared" si="35"/>
        <v>0.99283660249119121</v>
      </c>
      <c r="C138">
        <f t="shared" si="31"/>
        <v>0.99283660249119121</v>
      </c>
      <c r="D138" t="s">
        <v>28</v>
      </c>
      <c r="E138" t="s">
        <v>19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STOWA2019_NDJF_T(A138*60,J138,I138,"GH","center")</f>
        <v>1.0297033992763089</v>
      </c>
      <c r="L138">
        <f t="shared" si="34"/>
        <v>2.9134603246997584</v>
      </c>
    </row>
    <row r="139" spans="1:12" x14ac:dyDescent="0.3">
      <c r="A139">
        <v>216</v>
      </c>
      <c r="B139">
        <f t="shared" si="35"/>
        <v>0.75258230902234891</v>
      </c>
      <c r="C139">
        <f t="shared" si="31"/>
        <v>0.75258230902234891</v>
      </c>
      <c r="D139" t="s">
        <v>28</v>
      </c>
      <c r="E139" t="s">
        <v>19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STOWA2019_NDJF_T(A139*60,J139,I139,"GH","center")</f>
        <v>1.3883245505922444</v>
      </c>
      <c r="L139">
        <f t="shared" si="34"/>
        <v>2.1608780156774094</v>
      </c>
    </row>
    <row r="140" spans="1:12" x14ac:dyDescent="0.3">
      <c r="A140">
        <v>216</v>
      </c>
      <c r="B140">
        <f t="shared" si="35"/>
        <v>0.56734508363919689</v>
      </c>
      <c r="C140">
        <f t="shared" si="31"/>
        <v>0.56734508363919689</v>
      </c>
      <c r="D140" t="s">
        <v>28</v>
      </c>
      <c r="E140" t="s">
        <v>19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STOWA2019_NDJF_T(A140*60,J140,I140,"GH","center")</f>
        <v>1.8826093516390916</v>
      </c>
      <c r="L140">
        <f t="shared" si="34"/>
        <v>1.5935329320382126</v>
      </c>
    </row>
    <row r="141" spans="1:12" x14ac:dyDescent="0.3">
      <c r="A141">
        <v>216</v>
      </c>
      <c r="B141">
        <f t="shared" si="35"/>
        <v>0.42537365152473372</v>
      </c>
      <c r="C141">
        <f t="shared" si="31"/>
        <v>0.42537365152473372</v>
      </c>
      <c r="D141" t="s">
        <v>28</v>
      </c>
      <c r="E141" t="s">
        <v>19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STOWA2019_NDJF_T(A141*60,J141,I141,"GH","center")</f>
        <v>2.5681429322560474</v>
      </c>
      <c r="L141">
        <f t="shared" si="34"/>
        <v>1.1681592805134788</v>
      </c>
    </row>
    <row r="142" spans="1:12" x14ac:dyDescent="0.3">
      <c r="A142">
        <v>216</v>
      </c>
      <c r="B142">
        <f t="shared" si="35"/>
        <v>0.31710960794766652</v>
      </c>
      <c r="C142">
        <f t="shared" si="31"/>
        <v>0.31710960794766652</v>
      </c>
      <c r="D142" t="s">
        <v>28</v>
      </c>
      <c r="E142" t="s">
        <v>19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STOWA2019_NDJF_T(A142*60,J142,I142,"GH","center")</f>
        <v>3.5250586384169109</v>
      </c>
      <c r="L142">
        <f t="shared" si="34"/>
        <v>0.85104967256581232</v>
      </c>
    </row>
    <row r="143" spans="1:12" x14ac:dyDescent="0.3">
      <c r="A143">
        <v>216</v>
      </c>
      <c r="B143">
        <f t="shared" si="35"/>
        <v>0.23501189053865423</v>
      </c>
      <c r="C143">
        <f t="shared" si="31"/>
        <v>0.23501189053865423</v>
      </c>
      <c r="D143" t="s">
        <v>28</v>
      </c>
      <c r="E143" t="s">
        <v>19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STOWA2019_NDJF_T(A143*60,J143,I143,"GH","center")</f>
        <v>4.8698311816656474</v>
      </c>
      <c r="L143">
        <f t="shared" si="34"/>
        <v>0.61603778202715809</v>
      </c>
    </row>
    <row r="144" spans="1:12" x14ac:dyDescent="0.3">
      <c r="A144">
        <v>216</v>
      </c>
      <c r="B144">
        <f t="shared" si="35"/>
        <v>0.17310279915628296</v>
      </c>
      <c r="C144">
        <f t="shared" si="31"/>
        <v>0.17310279915628296</v>
      </c>
      <c r="D144" t="s">
        <v>28</v>
      </c>
      <c r="E144" t="s">
        <v>19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STOWA2019_NDJF_T(A144*60,J144,I144,"GH","center")</f>
        <v>6.7730030727208632</v>
      </c>
      <c r="L144">
        <f t="shared" si="34"/>
        <v>0.44293498287087513</v>
      </c>
    </row>
    <row r="145" spans="1:12" x14ac:dyDescent="0.3">
      <c r="A145">
        <v>216</v>
      </c>
      <c r="B145">
        <f t="shared" si="35"/>
        <v>0.12668357381779854</v>
      </c>
      <c r="C145">
        <f t="shared" si="31"/>
        <v>0.12668357381779854</v>
      </c>
      <c r="D145" t="s">
        <v>28</v>
      </c>
      <c r="E145" t="s">
        <v>19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STOWA2019_NDJF_T(A145*60,J145,I145,"GH","center")</f>
        <v>9.4861237424447609</v>
      </c>
      <c r="L145">
        <f t="shared" si="34"/>
        <v>0.31625140905307658</v>
      </c>
    </row>
    <row r="146" spans="1:12" x14ac:dyDescent="0.3">
      <c r="A146">
        <v>216</v>
      </c>
      <c r="B146">
        <f t="shared" si="35"/>
        <v>9.209261041982747E-2</v>
      </c>
      <c r="C146">
        <f t="shared" si="31"/>
        <v>9.209261041982747E-2</v>
      </c>
      <c r="D146" t="s">
        <v>28</v>
      </c>
      <c r="E146" t="s">
        <v>19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STOWA2019_NDJF_T(A146*60,J146,I146,"GH","center")</f>
        <v>13.383369371587159</v>
      </c>
      <c r="L146">
        <f t="shared" si="34"/>
        <v>0.22415879863324911</v>
      </c>
    </row>
    <row r="147" spans="1:12" x14ac:dyDescent="0.3">
      <c r="A147">
        <v>216</v>
      </c>
      <c r="B147">
        <f t="shared" si="35"/>
        <v>6.6483563465304291E-2</v>
      </c>
      <c r="C147">
        <f t="shared" si="31"/>
        <v>6.6483563465304291E-2</v>
      </c>
      <c r="D147" t="s">
        <v>28</v>
      </c>
      <c r="E147" t="s">
        <v>19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STOWA2019_NDJF_T(A147*60,J147,I147,"GH","center")</f>
        <v>19.026450138505304</v>
      </c>
      <c r="L147">
        <f t="shared" si="34"/>
        <v>0.15767523516794482</v>
      </c>
    </row>
    <row r="148" spans="1:12" x14ac:dyDescent="0.3">
      <c r="A148">
        <v>216</v>
      </c>
      <c r="B148">
        <f t="shared" si="35"/>
        <v>4.7646656118183778E-2</v>
      </c>
      <c r="C148">
        <f t="shared" si="31"/>
        <v>4.7646656118183778E-2</v>
      </c>
      <c r="D148" t="s">
        <v>28</v>
      </c>
      <c r="E148" t="s">
        <v>19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STOWA2019_NDJF_T(A148*60,J148,I148,"GH","center")</f>
        <v>27.265643398368649</v>
      </c>
      <c r="L148">
        <f t="shared" si="34"/>
        <v>0.11002857904976104</v>
      </c>
    </row>
    <row r="149" spans="1:12" x14ac:dyDescent="0.3">
      <c r="A149">
        <v>216</v>
      </c>
      <c r="B149">
        <f t="shared" si="35"/>
        <v>3.3886112370350108E-2</v>
      </c>
      <c r="C149">
        <f t="shared" si="31"/>
        <v>3.3886112370350108E-2</v>
      </c>
      <c r="D149" t="s">
        <v>28</v>
      </c>
      <c r="E149" t="s">
        <v>19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STOWA2019_NDJF_T(A149*60,J149,I149,"GH","center")</f>
        <v>39.399826809277847</v>
      </c>
      <c r="L149">
        <f t="shared" si="34"/>
        <v>7.6142466679410936E-2</v>
      </c>
    </row>
    <row r="150" spans="1:12" x14ac:dyDescent="0.3">
      <c r="A150">
        <v>216</v>
      </c>
      <c r="B150">
        <f t="shared" si="35"/>
        <v>2.3908851140865835E-2</v>
      </c>
      <c r="C150">
        <f t="shared" si="31"/>
        <v>2.3908851140865835E-2</v>
      </c>
      <c r="D150" t="s">
        <v>28</v>
      </c>
      <c r="E150" t="s">
        <v>19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STOWA2019_NDJF_T(A150*60,J150,I150,"GH","center")</f>
        <v>57.434278080677565</v>
      </c>
      <c r="L150">
        <f t="shared" si="34"/>
        <v>5.2233615538545101E-2</v>
      </c>
    </row>
    <row r="151" spans="1:12" x14ac:dyDescent="0.3">
      <c r="A151">
        <v>216</v>
      </c>
      <c r="B151">
        <f t="shared" si="35"/>
        <v>1.6728532944044534E-2</v>
      </c>
      <c r="C151">
        <f t="shared" si="31"/>
        <v>1.6728532944044534E-2</v>
      </c>
      <c r="D151" t="s">
        <v>28</v>
      </c>
      <c r="E151" t="s">
        <v>19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STOWA2019_NDJF_T(A151*60,J151,I151,"GH","center")</f>
        <v>84.494944970630044</v>
      </c>
      <c r="L151">
        <f t="shared" si="34"/>
        <v>3.5505082594500567E-2</v>
      </c>
    </row>
    <row r="152" spans="1:12" x14ac:dyDescent="0.3">
      <c r="A152">
        <v>216</v>
      </c>
      <c r="B152">
        <f t="shared" si="35"/>
        <v>1.1601941775094986E-2</v>
      </c>
      <c r="C152">
        <f t="shared" si="31"/>
        <v>1.1601941775094986E-2</v>
      </c>
      <c r="D152" t="s">
        <v>28</v>
      </c>
      <c r="E152" t="s">
        <v>19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STOWA2019_NDJF_T(A152*60,J152,I152,"GH","center")</f>
        <v>125.50651910833713</v>
      </c>
      <c r="L152">
        <f t="shared" si="34"/>
        <v>2.3903140819405581E-2</v>
      </c>
    </row>
    <row r="153" spans="1:12" x14ac:dyDescent="0.3">
      <c r="A153">
        <v>216</v>
      </c>
      <c r="B153">
        <f t="shared" si="35"/>
        <v>7.9728156959982012E-3</v>
      </c>
      <c r="C153">
        <f t="shared" si="31"/>
        <v>7.9728156959982012E-3</v>
      </c>
      <c r="D153" t="s">
        <v>28</v>
      </c>
      <c r="E153" t="s">
        <v>19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STOWA2019_NDJF_T(A153*60,J153,I153,"GH","center")</f>
        <v>188.32007361807828</v>
      </c>
      <c r="L153">
        <f t="shared" si="34"/>
        <v>1.593032512340738E-2</v>
      </c>
    </row>
    <row r="154" spans="1:12" x14ac:dyDescent="0.3">
      <c r="A154">
        <v>216</v>
      </c>
      <c r="B154">
        <f t="shared" si="35"/>
        <v>5.4259167977177575E-3</v>
      </c>
      <c r="C154">
        <f t="shared" si="31"/>
        <v>5.4259167977177575E-3</v>
      </c>
      <c r="D154" t="s">
        <v>28</v>
      </c>
      <c r="E154" t="s">
        <v>19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STOWA2019_NDJF_T(A154*60,J154,I154,"GH","center")</f>
        <v>285.59438161435406</v>
      </c>
      <c r="L154">
        <f t="shared" si="34"/>
        <v>1.0504408325689623E-2</v>
      </c>
    </row>
    <row r="155" spans="1:12" x14ac:dyDescent="0.3">
      <c r="A155">
        <v>216</v>
      </c>
      <c r="B155">
        <f t="shared" si="35"/>
        <v>3.6551386273274856E-3</v>
      </c>
      <c r="C155">
        <f t="shared" si="31"/>
        <v>3.6551386273274856E-3</v>
      </c>
      <c r="D155" t="s">
        <v>28</v>
      </c>
      <c r="E155" t="s">
        <v>19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STOWA2019_NDJF_T(A155*60,J155,I155,"GH","center")</f>
        <v>438.00290134835672</v>
      </c>
      <c r="L155">
        <f t="shared" si="34"/>
        <v>6.8492696983621371E-3</v>
      </c>
    </row>
    <row r="156" spans="1:12" x14ac:dyDescent="0.3">
      <c r="A156">
        <v>216</v>
      </c>
      <c r="B156" s="1">
        <f>L155</f>
        <v>6.8492696983621371E-3</v>
      </c>
      <c r="C156">
        <f t="shared" si="31"/>
        <v>6.8492696983621371E-3</v>
      </c>
      <c r="D156" t="s">
        <v>28</v>
      </c>
      <c r="E156" t="s">
        <v>19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STOWA2019_NDJF_T(A156*60,J156,I156,"GH","center")</f>
        <v>544.81893144649894</v>
      </c>
      <c r="L156">
        <f t="shared" si="34"/>
        <v>5.5064165851120006E-3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CD737-AB9D-44D4-8F47-559D2345A945}">
  <sheetPr codeName="Blad13"/>
  <dimension ref="A1:L156"/>
  <sheetViews>
    <sheetView workbookViewId="0">
      <selection activeCell="L28" sqref="L28"/>
    </sheetView>
  </sheetViews>
  <sheetFormatPr defaultRowHeight="14.4" x14ac:dyDescent="0.3"/>
  <cols>
    <col min="2" max="3" width="12" bestFit="1" customWidth="1"/>
    <col min="4" max="4" width="26.777343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340.90949521798518</v>
      </c>
      <c r="C2">
        <f>B2</f>
        <v>340.90949521798518</v>
      </c>
      <c r="D2" t="s">
        <v>29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STOWA2019_JAARROND_T(A2*60,J2,I2,"WL","center")</f>
        <v>6.1625673478569259E-2</v>
      </c>
      <c r="L2">
        <f>1/K2 * 12/8</f>
        <v>24.34050478201484</v>
      </c>
    </row>
    <row r="3" spans="1:12" x14ac:dyDescent="0.3">
      <c r="A3">
        <v>24</v>
      </c>
      <c r="B3">
        <f t="shared" ref="B3:B7" si="0">L2-L3</f>
        <v>6.8550850123008402</v>
      </c>
      <c r="C3">
        <f t="shared" ref="C3:C32" si="1">B3</f>
        <v>6.8550850123008402</v>
      </c>
      <c r="D3" t="s">
        <v>29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STOWA2019_JAARROND_T(A3*60,J3,I3,"WL","center")</f>
        <v>8.5785758635209181E-2</v>
      </c>
      <c r="L3">
        <f t="shared" ref="L3:L66" si="4">1/K3 * 12/8</f>
        <v>17.485419769713999</v>
      </c>
    </row>
    <row r="4" spans="1:12" x14ac:dyDescent="0.3">
      <c r="A4">
        <v>24</v>
      </c>
      <c r="B4">
        <f t="shared" si="0"/>
        <v>8.1006260759695312</v>
      </c>
      <c r="C4">
        <f t="shared" si="1"/>
        <v>8.1006260759695312</v>
      </c>
      <c r="D4" t="s">
        <v>29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STOWA2019_JAARROND_T(A4*60,J4,I4,"WL","center")</f>
        <v>0.15983302872175451</v>
      </c>
      <c r="L4">
        <f t="shared" si="4"/>
        <v>9.3847936937444683</v>
      </c>
    </row>
    <row r="5" spans="1:12" x14ac:dyDescent="0.3">
      <c r="A5">
        <v>24</v>
      </c>
      <c r="B5">
        <f t="shared" si="0"/>
        <v>4.1033866283191482</v>
      </c>
      <c r="C5">
        <f t="shared" si="1"/>
        <v>4.1033866283191482</v>
      </c>
      <c r="D5" t="s">
        <v>29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STOWA2019_JAARROND_T(A5*60,J5,I5,"WL","center")</f>
        <v>0.28401522196986773</v>
      </c>
      <c r="L5">
        <f t="shared" si="4"/>
        <v>5.28140706542532</v>
      </c>
    </row>
    <row r="6" spans="1:12" x14ac:dyDescent="0.3">
      <c r="A6">
        <v>24</v>
      </c>
      <c r="B6">
        <f t="shared" si="0"/>
        <v>2.1835514074406497</v>
      </c>
      <c r="C6">
        <f t="shared" si="1"/>
        <v>2.1835514074406497</v>
      </c>
      <c r="D6" t="s">
        <v>29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STOWA2019_JAARROND_T(A6*60,J6,I6,"WL","center")</f>
        <v>0.48420590421434756</v>
      </c>
      <c r="L6">
        <f t="shared" si="4"/>
        <v>3.0978556579846703</v>
      </c>
    </row>
    <row r="7" spans="1:12" x14ac:dyDescent="0.3">
      <c r="A7">
        <v>24</v>
      </c>
      <c r="B7">
        <f t="shared" si="0"/>
        <v>1.2140456255296406</v>
      </c>
      <c r="C7">
        <f t="shared" si="1"/>
        <v>1.2140456255296406</v>
      </c>
      <c r="D7" t="s">
        <v>29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STOWA2019_JAARROND_T(A7*60,J7,I7,"WL","center")</f>
        <v>0.79625863232353711</v>
      </c>
      <c r="L7">
        <f t="shared" si="4"/>
        <v>1.8838100324550298</v>
      </c>
    </row>
    <row r="8" spans="1:12" x14ac:dyDescent="0.3">
      <c r="A8">
        <v>24</v>
      </c>
      <c r="B8">
        <f>L7-L8</f>
        <v>0.7012662859437726</v>
      </c>
      <c r="C8">
        <f t="shared" si="1"/>
        <v>0.7012662859437726</v>
      </c>
      <c r="D8" t="s">
        <v>29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STOWA2019_JAARROND_T(A8*60,J8,I8,"WL","center")</f>
        <v>1.2684520166169775</v>
      </c>
      <c r="L8">
        <f t="shared" si="4"/>
        <v>1.1825437465112572</v>
      </c>
    </row>
    <row r="9" spans="1:12" x14ac:dyDescent="0.3">
      <c r="A9">
        <v>24</v>
      </c>
      <c r="B9">
        <f t="shared" ref="B9:B31" si="5">L8-L9</f>
        <v>0.41927661710351338</v>
      </c>
      <c r="C9">
        <f t="shared" si="1"/>
        <v>0.41927661710351338</v>
      </c>
      <c r="D9" t="s">
        <v>29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STOWA2019_JAARROND_T(A9*60,J9,I9,"WL","center")</f>
        <v>1.9652359471629852</v>
      </c>
      <c r="L9">
        <f t="shared" si="4"/>
        <v>0.76326712940774377</v>
      </c>
    </row>
    <row r="10" spans="1:12" x14ac:dyDescent="0.3">
      <c r="A10">
        <v>24</v>
      </c>
      <c r="B10">
        <f t="shared" si="5"/>
        <v>0.25824676291907034</v>
      </c>
      <c r="C10">
        <f t="shared" si="1"/>
        <v>0.25824676291907034</v>
      </c>
      <c r="D10" t="s">
        <v>29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STOWA2019_JAARROND_T(A10*60,J10,I10,"WL","center")</f>
        <v>2.9701772434035925</v>
      </c>
      <c r="L10">
        <f t="shared" si="4"/>
        <v>0.50502036648867343</v>
      </c>
    </row>
    <row r="11" spans="1:12" x14ac:dyDescent="0.3">
      <c r="A11">
        <v>24</v>
      </c>
      <c r="B11">
        <f t="shared" si="5"/>
        <v>0.16338480680329798</v>
      </c>
      <c r="C11">
        <f t="shared" si="1"/>
        <v>0.16338480680329798</v>
      </c>
      <c r="D11" t="s">
        <v>29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STOWA2019_JAARROND_T(A11*60,J11,I11,"WL","center")</f>
        <v>4.3906436478140751</v>
      </c>
      <c r="L11">
        <f t="shared" si="4"/>
        <v>0.34163555968537546</v>
      </c>
    </row>
    <row r="12" spans="1:12" x14ac:dyDescent="0.3">
      <c r="A12">
        <v>24</v>
      </c>
      <c r="B12">
        <f t="shared" si="5"/>
        <v>0.1058773519146885</v>
      </c>
      <c r="C12">
        <f t="shared" si="1"/>
        <v>0.1058773519146885</v>
      </c>
      <c r="D12" t="s">
        <v>29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STOWA2019_JAARROND_T(A12*60,J12,I12,"WL","center")</f>
        <v>6.3624508100222457</v>
      </c>
      <c r="L12">
        <f t="shared" si="4"/>
        <v>0.23575820777068696</v>
      </c>
    </row>
    <row r="13" spans="1:12" x14ac:dyDescent="0.3">
      <c r="A13">
        <v>24</v>
      </c>
      <c r="B13">
        <f t="shared" si="5"/>
        <v>7.0108594710095867E-2</v>
      </c>
      <c r="C13">
        <f t="shared" si="1"/>
        <v>7.0108594710095867E-2</v>
      </c>
      <c r="D13" t="s">
        <v>29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STOWA2019_JAARROND_T(A13*60,J13,I13,"WL","center")</f>
        <v>9.0552580974115049</v>
      </c>
      <c r="L13">
        <f t="shared" si="4"/>
        <v>0.16564961306059109</v>
      </c>
    </row>
    <row r="14" spans="1:12" x14ac:dyDescent="0.3">
      <c r="A14">
        <v>24</v>
      </c>
      <c r="B14">
        <f t="shared" si="5"/>
        <v>4.7343301938832766E-2</v>
      </c>
      <c r="C14">
        <f t="shared" si="1"/>
        <v>4.7343301938832766E-2</v>
      </c>
      <c r="D14" t="s">
        <v>29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STOWA2019_JAARROND_T(A14*60,J14,I14,"WL","center")</f>
        <v>12.67895166181145</v>
      </c>
      <c r="L14">
        <f t="shared" si="4"/>
        <v>0.11830631112175832</v>
      </c>
    </row>
    <row r="15" spans="1:12" x14ac:dyDescent="0.3">
      <c r="A15">
        <v>24</v>
      </c>
      <c r="B15">
        <f t="shared" si="5"/>
        <v>3.2544590232606252E-2</v>
      </c>
      <c r="C15">
        <f t="shared" si="1"/>
        <v>3.2544590232606252E-2</v>
      </c>
      <c r="D15" t="s">
        <v>29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STOWA2019_JAARROND_T(A15*60,J15,I15,"WL","center")</f>
        <v>17.49032067510359</v>
      </c>
      <c r="L15">
        <f t="shared" si="4"/>
        <v>8.5761720889152071E-2</v>
      </c>
    </row>
    <row r="16" spans="1:12" x14ac:dyDescent="0.3">
      <c r="A16">
        <v>24</v>
      </c>
      <c r="B16">
        <f t="shared" si="5"/>
        <v>2.2737953370918051E-2</v>
      </c>
      <c r="C16">
        <f t="shared" si="1"/>
        <v>2.2737953370918051E-2</v>
      </c>
      <c r="D16" t="s">
        <v>29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STOWA2019_JAARROND_T(A16*60,J16,I16,"WL","center")</f>
        <v>23.800544763783286</v>
      </c>
      <c r="L16">
        <f t="shared" si="4"/>
        <v>6.302376751823402E-2</v>
      </c>
    </row>
    <row r="17" spans="1:12" x14ac:dyDescent="0.3">
      <c r="A17">
        <v>24</v>
      </c>
      <c r="B17">
        <f t="shared" si="5"/>
        <v>1.6126090502867452E-2</v>
      </c>
      <c r="C17">
        <f t="shared" si="1"/>
        <v>1.6126090502867452E-2</v>
      </c>
      <c r="D17" t="s">
        <v>29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STOWA2019_JAARROND_T(A17*60,J17,I17,"WL","center")</f>
        <v>31.984526643153512</v>
      </c>
      <c r="L17">
        <f t="shared" si="4"/>
        <v>4.6897677015366568E-2</v>
      </c>
    </row>
    <row r="18" spans="1:12" x14ac:dyDescent="0.3">
      <c r="A18">
        <v>24</v>
      </c>
      <c r="B18">
        <f t="shared" si="5"/>
        <v>1.1594143591048239E-2</v>
      </c>
      <c r="C18">
        <f t="shared" si="1"/>
        <v>1.1594143591048239E-2</v>
      </c>
      <c r="D18" t="s">
        <v>29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STOWA2019_JAARROND_T(A18*60,J18,I18,"WL","center")</f>
        <v>42.488664858876326</v>
      </c>
      <c r="L18">
        <f t="shared" si="4"/>
        <v>3.5303533424318329E-2</v>
      </c>
    </row>
    <row r="19" spans="1:12" x14ac:dyDescent="0.3">
      <c r="A19">
        <v>24</v>
      </c>
      <c r="B19">
        <f t="shared" si="5"/>
        <v>8.4426565388940195E-3</v>
      </c>
      <c r="C19">
        <f t="shared" si="1"/>
        <v>8.4426565388940195E-3</v>
      </c>
      <c r="D19" t="s">
        <v>29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STOWA2019_JAARROND_T(A19*60,J19,I19,"WL","center")</f>
        <v>55.843299770081387</v>
      </c>
      <c r="L19">
        <f t="shared" si="4"/>
        <v>2.6860876885424309E-2</v>
      </c>
    </row>
    <row r="20" spans="1:12" x14ac:dyDescent="0.3">
      <c r="A20">
        <v>24</v>
      </c>
      <c r="B20">
        <f t="shared" si="5"/>
        <v>6.2199704861564432E-3</v>
      </c>
      <c r="C20">
        <f t="shared" si="1"/>
        <v>6.2199704861564432E-3</v>
      </c>
      <c r="D20" t="s">
        <v>29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STOWA2019_JAARROND_T(A20*60,J20,I20,"WL","center")</f>
        <v>72.671227270000372</v>
      </c>
      <c r="L20">
        <f t="shared" si="4"/>
        <v>2.0640906399267866E-2</v>
      </c>
    </row>
    <row r="21" spans="1:12" x14ac:dyDescent="0.3">
      <c r="A21">
        <v>24</v>
      </c>
      <c r="B21">
        <f t="shared" si="5"/>
        <v>4.6328202146613748E-3</v>
      </c>
      <c r="C21">
        <f t="shared" si="1"/>
        <v>4.6328202146613748E-3</v>
      </c>
      <c r="D21" t="s">
        <v>29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STOWA2019_JAARROND_T(A21*60,J21,I21,"WL","center")</f>
        <v>93.702643945183922</v>
      </c>
      <c r="L21">
        <f t="shared" si="4"/>
        <v>1.6008086184606491E-2</v>
      </c>
    </row>
    <row r="22" spans="1:12" x14ac:dyDescent="0.3">
      <c r="A22">
        <v>24</v>
      </c>
      <c r="B22">
        <f t="shared" si="5"/>
        <v>3.4858545449841447E-3</v>
      </c>
      <c r="C22">
        <f t="shared" si="1"/>
        <v>3.4858545449841447E-3</v>
      </c>
      <c r="D22" t="s">
        <v>29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STOWA2019_JAARROND_T(A22*60,J22,I22,"WL","center")</f>
        <v>119.78695516650239</v>
      </c>
      <c r="L22">
        <f t="shared" si="4"/>
        <v>1.2522231639622346E-2</v>
      </c>
    </row>
    <row r="23" spans="1:12" x14ac:dyDescent="0.3">
      <c r="A23">
        <v>24</v>
      </c>
      <c r="B23">
        <f t="shared" si="5"/>
        <v>2.6478068388489477E-3</v>
      </c>
      <c r="C23">
        <f t="shared" si="1"/>
        <v>2.6478068388489477E-3</v>
      </c>
      <c r="D23" t="s">
        <v>29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STOWA2019_JAARROND_T(A23*60,J23,I23,"WL","center")</f>
        <v>151.90758249356611</v>
      </c>
      <c r="L23">
        <f t="shared" si="4"/>
        <v>9.8744248007733987E-3</v>
      </c>
    </row>
    <row r="24" spans="1:12" x14ac:dyDescent="0.3">
      <c r="A24">
        <v>24</v>
      </c>
      <c r="B24">
        <f t="shared" si="5"/>
        <v>2.0291373863639359E-3</v>
      </c>
      <c r="C24">
        <f t="shared" si="1"/>
        <v>2.0291373863639359E-3</v>
      </c>
      <c r="D24" t="s">
        <v>29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STOWA2019_JAARROND_T(A24*60,J24,I24,"WL","center")</f>
        <v>191.197584073841</v>
      </c>
      <c r="L24">
        <f t="shared" si="4"/>
        <v>7.8452874144094627E-3</v>
      </c>
    </row>
    <row r="25" spans="1:12" x14ac:dyDescent="0.3">
      <c r="A25">
        <v>24</v>
      </c>
      <c r="B25">
        <f t="shared" si="5"/>
        <v>1.5679941401044216E-3</v>
      </c>
      <c r="C25">
        <f t="shared" si="1"/>
        <v>1.5679941401044216E-3</v>
      </c>
      <c r="D25" t="s">
        <v>29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STOWA2019_JAARROND_T(A25*60,J25,I25,"WL","center")</f>
        <v>238.95649517284423</v>
      </c>
      <c r="L25">
        <f t="shared" si="4"/>
        <v>6.2772932743050411E-3</v>
      </c>
    </row>
    <row r="26" spans="1:12" x14ac:dyDescent="0.3">
      <c r="A26">
        <v>24</v>
      </c>
      <c r="B26">
        <f t="shared" si="5"/>
        <v>1.2211437279694929E-3</v>
      </c>
      <c r="C26">
        <f t="shared" si="1"/>
        <v>1.2211437279694929E-3</v>
      </c>
      <c r="D26" t="s">
        <v>29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STOWA2019_JAARROND_T(A26*60,J26,I26,"WL","center")</f>
        <v>296.66844033264942</v>
      </c>
      <c r="L26">
        <f t="shared" si="4"/>
        <v>5.0561495463355482E-3</v>
      </c>
    </row>
    <row r="27" spans="1:12" x14ac:dyDescent="0.3">
      <c r="A27">
        <v>24</v>
      </c>
      <c r="B27">
        <f t="shared" si="5"/>
        <v>9.5803040083522386E-4</v>
      </c>
      <c r="C27">
        <f t="shared" si="1"/>
        <v>9.5803040083522386E-4</v>
      </c>
      <c r="D27" t="s">
        <v>29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STOWA2019_JAARROND_T(A27*60,J27,I27,"WL","center")</f>
        <v>366.02156910127377</v>
      </c>
      <c r="L27">
        <f t="shared" si="4"/>
        <v>4.0981191455003244E-3</v>
      </c>
    </row>
    <row r="28" spans="1:12" x14ac:dyDescent="0.3">
      <c r="A28">
        <v>24</v>
      </c>
      <c r="B28">
        <f t="shared" si="5"/>
        <v>7.5683256784513618E-4</v>
      </c>
      <c r="C28">
        <f t="shared" si="1"/>
        <v>7.5683256784513618E-4</v>
      </c>
      <c r="D28" t="s">
        <v>29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STOWA2019_JAARROND_T(A28*60,J28,I28,"WL","center")</f>
        <v>448.9288677095916</v>
      </c>
      <c r="L28">
        <f t="shared" si="4"/>
        <v>3.3412865776551882E-3</v>
      </c>
    </row>
    <row r="29" spans="1:12" x14ac:dyDescent="0.3">
      <c r="A29">
        <v>24</v>
      </c>
      <c r="B29">
        <f t="shared" si="5"/>
        <v>6.0181272943800497E-4</v>
      </c>
      <c r="C29">
        <f t="shared" si="1"/>
        <v>6.0181272943800497E-4</v>
      </c>
      <c r="D29" t="s">
        <v>29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STOWA2019_JAARROND_T(A29*60,J29,I29,"WL","center")</f>
        <v>547.5503994959405</v>
      </c>
      <c r="L29">
        <f t="shared" si="4"/>
        <v>2.7394738482171832E-3</v>
      </c>
    </row>
    <row r="30" spans="1:12" x14ac:dyDescent="0.3">
      <c r="A30">
        <v>24</v>
      </c>
      <c r="B30">
        <f t="shared" si="5"/>
        <v>4.8150357220574751E-4</v>
      </c>
      <c r="C30">
        <f t="shared" si="1"/>
        <v>4.8150357220574751E-4</v>
      </c>
      <c r="D30" t="s">
        <v>29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STOWA2019_JAARROND_T(A30*60,J30,I30,"WL","center")</f>
        <v>664.31343934680001</v>
      </c>
      <c r="L30">
        <f t="shared" si="4"/>
        <v>2.2579702760114357E-3</v>
      </c>
    </row>
    <row r="31" spans="1:12" x14ac:dyDescent="0.3">
      <c r="A31">
        <v>24</v>
      </c>
      <c r="B31">
        <f t="shared" si="5"/>
        <v>3.8753339045937774E-4</v>
      </c>
      <c r="C31">
        <f t="shared" si="1"/>
        <v>3.8753339045937774E-4</v>
      </c>
      <c r="D31" t="s">
        <v>29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STOWA2019_JAARROND_T(A31*60,J31,I31,"WL","center")</f>
        <v>801.95167855518207</v>
      </c>
      <c r="L31">
        <f t="shared" si="4"/>
        <v>1.870436885552058E-3</v>
      </c>
    </row>
    <row r="32" spans="1:12" x14ac:dyDescent="0.3">
      <c r="A32">
        <v>24</v>
      </c>
      <c r="B32" s="1">
        <f>L31</f>
        <v>1.870436885552058E-3</v>
      </c>
      <c r="C32">
        <f t="shared" si="1"/>
        <v>1.870436885552058E-3</v>
      </c>
      <c r="D32" t="s">
        <v>29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STOWA2019_JAARROND_T(A32*60,J32,I32,"WL","center")</f>
        <v>27.632219158286684</v>
      </c>
      <c r="L32">
        <f t="shared" si="4"/>
        <v>5.4284456539935987E-2</v>
      </c>
    </row>
    <row r="33" spans="1:12" x14ac:dyDescent="0.3">
      <c r="A33">
        <v>48</v>
      </c>
      <c r="B33" s="1">
        <f>365.25*24/A33 - L33</f>
        <v>140.76873443922</v>
      </c>
      <c r="C33">
        <f>B33</f>
        <v>140.76873443922</v>
      </c>
      <c r="D33" t="s">
        <v>29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STOWA2019_JAARROND_T(A33*60,J33,I33,"WL","center")</f>
        <v>3.5836928591296106E-2</v>
      </c>
      <c r="L33">
        <f t="shared" si="4"/>
        <v>41.856265560780017</v>
      </c>
    </row>
    <row r="34" spans="1:12" x14ac:dyDescent="0.3">
      <c r="A34">
        <v>48</v>
      </c>
      <c r="B34">
        <f t="shared" ref="B34:B38" si="8">L33-L34</f>
        <v>10.09971439808325</v>
      </c>
      <c r="C34">
        <f t="shared" ref="C34:C63" si="9">B34</f>
        <v>10.09971439808325</v>
      </c>
      <c r="D34" t="s">
        <v>29</v>
      </c>
      <c r="E34" t="s">
        <v>21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STOWA2019_JAARROND_T(A34*60,J34,I34,"WL","center")</f>
        <v>4.7234348349577515E-2</v>
      </c>
      <c r="L34">
        <f t="shared" si="4"/>
        <v>31.756551162696766</v>
      </c>
    </row>
    <row r="35" spans="1:12" x14ac:dyDescent="0.3">
      <c r="A35">
        <v>48</v>
      </c>
      <c r="B35">
        <f t="shared" si="8"/>
        <v>13.120268330277263</v>
      </c>
      <c r="C35">
        <f t="shared" si="9"/>
        <v>13.120268330277263</v>
      </c>
      <c r="D35" t="s">
        <v>29</v>
      </c>
      <c r="E35" t="s">
        <v>21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STOWA2019_JAARROND_T(A35*60,J35,I35,"WL","center")</f>
        <v>8.0488153860308123E-2</v>
      </c>
      <c r="L35">
        <f t="shared" si="4"/>
        <v>18.636282832419504</v>
      </c>
    </row>
    <row r="36" spans="1:12" x14ac:dyDescent="0.3">
      <c r="A36">
        <v>48</v>
      </c>
      <c r="B36">
        <f t="shared" si="8"/>
        <v>7.4175908299765823</v>
      </c>
      <c r="C36">
        <f t="shared" si="9"/>
        <v>7.4175908299765823</v>
      </c>
      <c r="D36" t="s">
        <v>29</v>
      </c>
      <c r="E36" t="s">
        <v>21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STOWA2019_JAARROND_T(A36*60,J36,I36,"WL","center")</f>
        <v>0.13370542659281209</v>
      </c>
      <c r="L36">
        <f t="shared" si="4"/>
        <v>11.218692002442921</v>
      </c>
    </row>
    <row r="37" spans="1:12" x14ac:dyDescent="0.3">
      <c r="A37">
        <v>48</v>
      </c>
      <c r="B37">
        <f t="shared" si="8"/>
        <v>4.301769524758198</v>
      </c>
      <c r="C37">
        <f t="shared" si="9"/>
        <v>4.301769524758198</v>
      </c>
      <c r="D37" t="s">
        <v>29</v>
      </c>
      <c r="E37" t="s">
        <v>21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STOWA2019_JAARROND_T(A37*60,J37,I37,"WL","center")</f>
        <v>0.21685944939230975</v>
      </c>
      <c r="L37">
        <f t="shared" si="4"/>
        <v>6.9169224776847233</v>
      </c>
    </row>
    <row r="38" spans="1:12" x14ac:dyDescent="0.3">
      <c r="A38">
        <v>48</v>
      </c>
      <c r="B38">
        <f t="shared" si="8"/>
        <v>2.5571599005738044</v>
      </c>
      <c r="C38">
        <f t="shared" si="9"/>
        <v>2.5571599005738044</v>
      </c>
      <c r="D38" t="s">
        <v>29</v>
      </c>
      <c r="E38" t="s">
        <v>21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STOWA2019_JAARROND_T(A38*60,J38,I38,"WL","center")</f>
        <v>0.34405543271441263</v>
      </c>
      <c r="L38">
        <f t="shared" si="4"/>
        <v>4.359762577110919</v>
      </c>
    </row>
    <row r="39" spans="1:12" x14ac:dyDescent="0.3">
      <c r="A39">
        <v>48</v>
      </c>
      <c r="B39">
        <f>L38-L39</f>
        <v>1.5554781108923539</v>
      </c>
      <c r="C39">
        <f t="shared" si="9"/>
        <v>1.5554781108923539</v>
      </c>
      <c r="D39" t="s">
        <v>29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STOWA2019_JAARROND_T(A39*60,J39,I39,"WL","center")</f>
        <v>0.53489580606730447</v>
      </c>
      <c r="L39">
        <f t="shared" si="4"/>
        <v>2.8042844662185651</v>
      </c>
    </row>
    <row r="40" spans="1:12" x14ac:dyDescent="0.3">
      <c r="A40">
        <v>48</v>
      </c>
      <c r="B40">
        <f t="shared" ref="B40:B62" si="12">L39-L40</f>
        <v>0.96656612705436595</v>
      </c>
      <c r="C40">
        <f t="shared" si="9"/>
        <v>0.96656612705436595</v>
      </c>
      <c r="D40" t="s">
        <v>29</v>
      </c>
      <c r="E40" t="s">
        <v>21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STOWA2019_JAARROND_T(A40*60,J40,I40,"WL","center")</f>
        <v>0.81622954292451888</v>
      </c>
      <c r="L40">
        <f t="shared" si="4"/>
        <v>1.8377183391641991</v>
      </c>
    </row>
    <row r="41" spans="1:12" x14ac:dyDescent="0.3">
      <c r="A41">
        <v>48</v>
      </c>
      <c r="B41">
        <f t="shared" si="12"/>
        <v>0.61239887272669646</v>
      </c>
      <c r="C41">
        <f t="shared" si="9"/>
        <v>0.61239887272669646</v>
      </c>
      <c r="D41" t="s">
        <v>29</v>
      </c>
      <c r="E41" t="s">
        <v>21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STOWA2019_JAARROND_T(A41*60,J41,I41,"WL","center")</f>
        <v>1.2241705457933385</v>
      </c>
      <c r="L41">
        <f t="shared" si="4"/>
        <v>1.2253194664375027</v>
      </c>
    </row>
    <row r="42" spans="1:12" x14ac:dyDescent="0.3">
      <c r="A42">
        <v>48</v>
      </c>
      <c r="B42">
        <f t="shared" si="12"/>
        <v>0.39534922768022862</v>
      </c>
      <c r="C42">
        <f t="shared" si="9"/>
        <v>0.39534922768022862</v>
      </c>
      <c r="D42" t="s">
        <v>29</v>
      </c>
      <c r="E42" t="s">
        <v>21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STOWA2019_JAARROND_T(A42*60,J42,I42,"WL","center")</f>
        <v>1.8072937196470691</v>
      </c>
      <c r="L42">
        <f t="shared" si="4"/>
        <v>0.82997023875727405</v>
      </c>
    </row>
    <row r="43" spans="1:12" x14ac:dyDescent="0.3">
      <c r="A43">
        <v>48</v>
      </c>
      <c r="B43">
        <f t="shared" si="12"/>
        <v>0.25947152446210664</v>
      </c>
      <c r="C43">
        <f t="shared" si="9"/>
        <v>0.25947152446210664</v>
      </c>
      <c r="D43" t="s">
        <v>29</v>
      </c>
      <c r="E43" t="s">
        <v>21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STOWA2019_JAARROND_T(A43*60,J43,I43,"WL","center")</f>
        <v>2.6292784933848643</v>
      </c>
      <c r="L43">
        <f t="shared" si="4"/>
        <v>0.57049871429516741</v>
      </c>
    </row>
    <row r="44" spans="1:12" x14ac:dyDescent="0.3">
      <c r="A44">
        <v>48</v>
      </c>
      <c r="B44">
        <f t="shared" si="12"/>
        <v>0.17296962403335614</v>
      </c>
      <c r="C44">
        <f t="shared" si="9"/>
        <v>0.17296962403335614</v>
      </c>
      <c r="D44" t="s">
        <v>29</v>
      </c>
      <c r="E44" t="s">
        <v>21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STOWA2019_JAARROND_T(A44*60,J44,I44,"WL","center")</f>
        <v>3.7733087634218299</v>
      </c>
      <c r="L44">
        <f t="shared" si="4"/>
        <v>0.39752909026181127</v>
      </c>
    </row>
    <row r="45" spans="1:12" x14ac:dyDescent="0.3">
      <c r="A45">
        <v>48</v>
      </c>
      <c r="B45">
        <f t="shared" si="12"/>
        <v>0.11699260208436973</v>
      </c>
      <c r="C45">
        <f t="shared" si="9"/>
        <v>0.11699260208436973</v>
      </c>
      <c r="D45" t="s">
        <v>29</v>
      </c>
      <c r="E45" t="s">
        <v>21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STOWA2019_JAARROND_T(A45*60,J45,I45,"WL","center")</f>
        <v>5.3468980443329643</v>
      </c>
      <c r="L45">
        <f t="shared" si="4"/>
        <v>0.28053648817744153</v>
      </c>
    </row>
    <row r="46" spans="1:12" x14ac:dyDescent="0.3">
      <c r="A46">
        <v>48</v>
      </c>
      <c r="B46">
        <f t="shared" si="12"/>
        <v>8.020669083664661E-2</v>
      </c>
      <c r="C46">
        <f t="shared" si="9"/>
        <v>8.020669083664661E-2</v>
      </c>
      <c r="D46" t="s">
        <v>29</v>
      </c>
      <c r="E46" t="s">
        <v>21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STOWA2019_JAARROND_T(A46*60,J46,I46,"WL","center")</f>
        <v>7.4876529598252723</v>
      </c>
      <c r="L46">
        <f t="shared" si="4"/>
        <v>0.20032979734079492</v>
      </c>
    </row>
    <row r="47" spans="1:12" x14ac:dyDescent="0.3">
      <c r="A47">
        <v>48</v>
      </c>
      <c r="B47">
        <f t="shared" si="12"/>
        <v>5.5683826775872358E-2</v>
      </c>
      <c r="C47">
        <f t="shared" si="9"/>
        <v>5.5683826775872358E-2</v>
      </c>
      <c r="D47" t="s">
        <v>29</v>
      </c>
      <c r="E47" t="s">
        <v>21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STOWA2019_JAARROND_T(A47*60,J47,I47,"WL","center")</f>
        <v>10.370147154059458</v>
      </c>
      <c r="L47">
        <f t="shared" si="4"/>
        <v>0.14464597056492257</v>
      </c>
    </row>
    <row r="48" spans="1:12" x14ac:dyDescent="0.3">
      <c r="A48">
        <v>48</v>
      </c>
      <c r="B48">
        <f t="shared" si="12"/>
        <v>3.9118988628172452E-2</v>
      </c>
      <c r="C48">
        <f t="shared" si="9"/>
        <v>3.9118988628172452E-2</v>
      </c>
      <c r="D48" t="s">
        <v>29</v>
      </c>
      <c r="E48" t="s">
        <v>21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STOWA2019_JAARROND_T(A48*60,J48,I48,"WL","center")</f>
        <v>14.214374110491073</v>
      </c>
      <c r="L48">
        <f t="shared" si="4"/>
        <v>0.10552698193675011</v>
      </c>
    </row>
    <row r="49" spans="1:12" x14ac:dyDescent="0.3">
      <c r="A49">
        <v>48</v>
      </c>
      <c r="B49">
        <f t="shared" si="12"/>
        <v>2.7787631980073377E-2</v>
      </c>
      <c r="C49">
        <f t="shared" si="9"/>
        <v>2.7787631980073377E-2</v>
      </c>
      <c r="D49" t="s">
        <v>29</v>
      </c>
      <c r="E49" t="s">
        <v>21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STOWA2019_JAARROND_T(A49*60,J49,I49,"WL","center")</f>
        <v>19.295247526972286</v>
      </c>
      <c r="L49">
        <f t="shared" si="4"/>
        <v>7.7739349956676737E-2</v>
      </c>
    </row>
    <row r="50" spans="1:12" x14ac:dyDescent="0.3">
      <c r="A50">
        <v>48</v>
      </c>
      <c r="B50">
        <f t="shared" si="12"/>
        <v>1.9944801861725522E-2</v>
      </c>
      <c r="C50">
        <f t="shared" si="9"/>
        <v>1.9944801861725522E-2</v>
      </c>
      <c r="D50" t="s">
        <v>29</v>
      </c>
      <c r="E50" t="s">
        <v>21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STOWA2019_JAARROND_T(A50*60,J50,I50,"WL","center")</f>
        <v>25.954005169062583</v>
      </c>
      <c r="L50">
        <f t="shared" si="4"/>
        <v>5.7794548094951215E-2</v>
      </c>
    </row>
    <row r="51" spans="1:12" x14ac:dyDescent="0.3">
      <c r="A51">
        <v>48</v>
      </c>
      <c r="B51">
        <f t="shared" si="12"/>
        <v>1.4456281110639124E-2</v>
      </c>
      <c r="C51">
        <f t="shared" si="9"/>
        <v>1.4456281110639124E-2</v>
      </c>
      <c r="D51" t="s">
        <v>29</v>
      </c>
      <c r="E51" t="s">
        <v>21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STOWA2019_JAARROND_T(A51*60,J51,I51,"WL","center")</f>
        <v>34.611443981896677</v>
      </c>
      <c r="L51">
        <f t="shared" si="4"/>
        <v>4.333826698431209E-2</v>
      </c>
    </row>
    <row r="52" spans="1:12" x14ac:dyDescent="0.3">
      <c r="A52">
        <v>48</v>
      </c>
      <c r="B52">
        <f t="shared" si="12"/>
        <v>1.0575214156012938E-2</v>
      </c>
      <c r="C52">
        <f t="shared" si="9"/>
        <v>1.0575214156012938E-2</v>
      </c>
      <c r="D52" t="s">
        <v>29</v>
      </c>
      <c r="E52" t="s">
        <v>21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STOWA2019_JAARROND_T(A52*60,J52,I52,"WL","center")</f>
        <v>45.783279350096826</v>
      </c>
      <c r="L52">
        <f t="shared" si="4"/>
        <v>3.2763052828299152E-2</v>
      </c>
    </row>
    <row r="53" spans="1:12" x14ac:dyDescent="0.3">
      <c r="A53">
        <v>48</v>
      </c>
      <c r="B53">
        <f t="shared" si="12"/>
        <v>7.803774548069263E-3</v>
      </c>
      <c r="C53">
        <f t="shared" si="9"/>
        <v>7.803774548069263E-3</v>
      </c>
      <c r="D53" t="s">
        <v>29</v>
      </c>
      <c r="E53" t="s">
        <v>21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STOWA2019_JAARROND_T(A53*60,J53,I53,"WL","center")</f>
        <v>60.097891579987788</v>
      </c>
      <c r="L53">
        <f t="shared" si="4"/>
        <v>2.4959278280229889E-2</v>
      </c>
    </row>
    <row r="54" spans="1:12" x14ac:dyDescent="0.3">
      <c r="A54">
        <v>48</v>
      </c>
      <c r="B54">
        <f t="shared" si="12"/>
        <v>5.8061568533173021E-3</v>
      </c>
      <c r="C54">
        <f t="shared" si="9"/>
        <v>5.8061568533173021E-3</v>
      </c>
      <c r="D54" t="s">
        <v>29</v>
      </c>
      <c r="E54" t="s">
        <v>21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STOWA2019_JAARROND_T(A54*60,J54,I54,"WL","center")</f>
        <v>78.316216274403615</v>
      </c>
      <c r="L54">
        <f t="shared" si="4"/>
        <v>1.9153121426912587E-2</v>
      </c>
    </row>
    <row r="55" spans="1:12" x14ac:dyDescent="0.3">
      <c r="A55">
        <v>48</v>
      </c>
      <c r="B55">
        <f t="shared" si="12"/>
        <v>4.3539739957370455E-3</v>
      </c>
      <c r="C55">
        <f t="shared" si="9"/>
        <v>4.3539739957370455E-3</v>
      </c>
      <c r="D55" t="s">
        <v>29</v>
      </c>
      <c r="E55" t="s">
        <v>21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STOWA2019_JAARROND_T(A55*60,J55,I55,"WL","center")</f>
        <v>101.3571901338137</v>
      </c>
      <c r="L55">
        <f t="shared" si="4"/>
        <v>1.4799147431175542E-2</v>
      </c>
    </row>
    <row r="56" spans="1:12" x14ac:dyDescent="0.3">
      <c r="A56">
        <v>48</v>
      </c>
      <c r="B56">
        <f t="shared" si="12"/>
        <v>3.289081722477466E-3</v>
      </c>
      <c r="C56">
        <f t="shared" si="9"/>
        <v>3.289081722477466E-3</v>
      </c>
      <c r="D56" t="s">
        <v>29</v>
      </c>
      <c r="E56" t="s">
        <v>21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STOWA2019_JAARROND_T(A56*60,J56,I56,"WL","center")</f>
        <v>130.32071562080316</v>
      </c>
      <c r="L56">
        <f t="shared" si="4"/>
        <v>1.1510065708698076E-2</v>
      </c>
    </row>
    <row r="57" spans="1:12" x14ac:dyDescent="0.3">
      <c r="A57">
        <v>48</v>
      </c>
      <c r="B57">
        <f t="shared" si="12"/>
        <v>2.5023091707775044E-3</v>
      </c>
      <c r="C57">
        <f t="shared" si="9"/>
        <v>2.5023091707775044E-3</v>
      </c>
      <c r="D57" t="s">
        <v>29</v>
      </c>
      <c r="E57" t="s">
        <v>21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STOWA2019_JAARROND_T(A57*60,J57,I57,"WL","center")</f>
        <v>166.52315076293937</v>
      </c>
      <c r="L57">
        <f t="shared" si="4"/>
        <v>9.0077565379205714E-3</v>
      </c>
    </row>
    <row r="58" spans="1:12" x14ac:dyDescent="0.3">
      <c r="A58">
        <v>48</v>
      </c>
      <c r="B58">
        <f t="shared" si="12"/>
        <v>1.9164137558094606E-3</v>
      </c>
      <c r="C58">
        <f t="shared" si="9"/>
        <v>1.9164137558094606E-3</v>
      </c>
      <c r="D58" t="s">
        <v>29</v>
      </c>
      <c r="E58" t="s">
        <v>21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STOWA2019_JAARROND_T(A58*60,J58,I58,"WL","center")</f>
        <v>211.52552430323303</v>
      </c>
      <c r="L58">
        <f t="shared" si="4"/>
        <v>7.0913427821111107E-3</v>
      </c>
    </row>
    <row r="59" spans="1:12" x14ac:dyDescent="0.3">
      <c r="A59">
        <v>48</v>
      </c>
      <c r="B59">
        <f t="shared" si="12"/>
        <v>1.4771222559492089E-3</v>
      </c>
      <c r="C59">
        <f t="shared" si="9"/>
        <v>1.4771222559492089E-3</v>
      </c>
      <c r="D59" t="s">
        <v>29</v>
      </c>
      <c r="E59" t="s">
        <v>21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STOWA2019_JAARROND_T(A59*60,J59,I59,"WL","center")</f>
        <v>267.17867476172296</v>
      </c>
      <c r="L59">
        <f t="shared" si="4"/>
        <v>5.6142205261619019E-3</v>
      </c>
    </row>
    <row r="60" spans="1:12" x14ac:dyDescent="0.3">
      <c r="A60">
        <v>48</v>
      </c>
      <c r="B60">
        <f t="shared" si="12"/>
        <v>1.1454883560572844E-3</v>
      </c>
      <c r="C60">
        <f t="shared" si="9"/>
        <v>1.1454883560572844E-3</v>
      </c>
      <c r="D60" t="s">
        <v>29</v>
      </c>
      <c r="E60" t="s">
        <v>21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STOWA2019_JAARROND_T(A60*60,J60,I60,"WL","center")</f>
        <v>335.66567493904728</v>
      </c>
      <c r="L60">
        <f t="shared" si="4"/>
        <v>4.4687321701046175E-3</v>
      </c>
    </row>
    <row r="61" spans="1:12" x14ac:dyDescent="0.3">
      <c r="A61">
        <v>48</v>
      </c>
      <c r="B61">
        <f t="shared" si="12"/>
        <v>8.9342853959327971E-4</v>
      </c>
      <c r="C61">
        <f t="shared" si="9"/>
        <v>8.9342853959327971E-4</v>
      </c>
      <c r="D61" t="s">
        <v>29</v>
      </c>
      <c r="E61" t="s">
        <v>21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STOWA2019_JAARROND_T(A61*60,J61,I61,"WL","center")</f>
        <v>419.54478696553974</v>
      </c>
      <c r="L61">
        <f t="shared" si="4"/>
        <v>3.5753036305113377E-3</v>
      </c>
    </row>
    <row r="62" spans="1:12" x14ac:dyDescent="0.3">
      <c r="A62">
        <v>48</v>
      </c>
      <c r="B62">
        <f t="shared" si="12"/>
        <v>7.0072254434298863E-4</v>
      </c>
      <c r="C62">
        <f t="shared" si="9"/>
        <v>7.0072254434298863E-4</v>
      </c>
      <c r="D62" t="s">
        <v>29</v>
      </c>
      <c r="E62" t="s">
        <v>21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STOWA2019_JAARROND_T(A62*60,J62,I62,"WL","center")</f>
        <v>521.81516368335031</v>
      </c>
      <c r="L62">
        <f t="shared" si="4"/>
        <v>2.8745810861683491E-3</v>
      </c>
    </row>
    <row r="63" spans="1:12" x14ac:dyDescent="0.3">
      <c r="A63">
        <v>48</v>
      </c>
      <c r="B63" s="1">
        <f>L62</f>
        <v>2.8745810861683491E-3</v>
      </c>
      <c r="C63">
        <f t="shared" si="9"/>
        <v>2.8745810861683491E-3</v>
      </c>
      <c r="D63" t="s">
        <v>29</v>
      </c>
      <c r="E63" t="s">
        <v>21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STOWA2019_JAARROND_T(A63*60,J63,I63,"WL","center")</f>
        <v>12.156274734894073</v>
      </c>
      <c r="L63">
        <f t="shared" si="4"/>
        <v>0.123393065121695</v>
      </c>
    </row>
    <row r="64" spans="1:12" x14ac:dyDescent="0.3">
      <c r="A64">
        <v>96</v>
      </c>
      <c r="B64" s="1">
        <f>365.25*24/A64 - L64</f>
        <v>27.036601829984875</v>
      </c>
      <c r="C64">
        <f>B64</f>
        <v>27.036601829984875</v>
      </c>
      <c r="D64" t="s">
        <v>29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STOWA2019_JAARROND_T(A64*60,J64,I64,"WL","center")</f>
        <v>2.3336896763890787E-2</v>
      </c>
      <c r="L64">
        <f t="shared" si="4"/>
        <v>64.275898170015125</v>
      </c>
    </row>
    <row r="65" spans="1:12" x14ac:dyDescent="0.3">
      <c r="A65">
        <v>96</v>
      </c>
      <c r="B65">
        <f t="shared" ref="B65:B69" si="15">L64-L65</f>
        <v>11.944543424959733</v>
      </c>
      <c r="C65">
        <f t="shared" ref="C65:C94" si="16">B65</f>
        <v>11.944543424959733</v>
      </c>
      <c r="D65" t="s">
        <v>29</v>
      </c>
      <c r="E65" t="s">
        <v>21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STOWA2019_JAARROND_T(A65*60,J65,I65,"WL","center")</f>
        <v>2.8663504075283463E-2</v>
      </c>
      <c r="L65">
        <f t="shared" si="4"/>
        <v>52.331354745055393</v>
      </c>
    </row>
    <row r="66" spans="1:12" x14ac:dyDescent="0.3">
      <c r="A66">
        <v>96</v>
      </c>
      <c r="B66">
        <f t="shared" si="15"/>
        <v>17.559811992885834</v>
      </c>
      <c r="C66">
        <f t="shared" si="16"/>
        <v>17.559811992885834</v>
      </c>
      <c r="D66" t="s">
        <v>29</v>
      </c>
      <c r="E66" t="s">
        <v>21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STOWA2019_JAARROND_T(A66*60,J66,I66,"WL","center")</f>
        <v>4.3138724407228317E-2</v>
      </c>
      <c r="L66">
        <f t="shared" si="4"/>
        <v>34.771542752169559</v>
      </c>
    </row>
    <row r="67" spans="1:12" x14ac:dyDescent="0.3">
      <c r="A67">
        <v>96</v>
      </c>
      <c r="B67">
        <f t="shared" si="15"/>
        <v>11.524465453719216</v>
      </c>
      <c r="C67">
        <f t="shared" si="16"/>
        <v>11.524465453719216</v>
      </c>
      <c r="D67" t="s">
        <v>29</v>
      </c>
      <c r="E67" t="s">
        <v>21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STOWA2019_JAARROND_T(A67*60,J67,I67,"WL","center")</f>
        <v>6.452424021922061E-2</v>
      </c>
      <c r="L67">
        <f t="shared" ref="L67:L130" si="19">1/K67 * 12/8</f>
        <v>23.247077298450343</v>
      </c>
    </row>
    <row r="68" spans="1:12" x14ac:dyDescent="0.3">
      <c r="A68">
        <v>96</v>
      </c>
      <c r="B68">
        <f t="shared" si="15"/>
        <v>7.5903821204878454</v>
      </c>
      <c r="C68">
        <f t="shared" si="16"/>
        <v>7.5903821204878454</v>
      </c>
      <c r="D68" t="s">
        <v>29</v>
      </c>
      <c r="E68" t="s">
        <v>21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STOWA2019_JAARROND_T(A68*60,J68,I68,"WL","center")</f>
        <v>9.5805659045551175E-2</v>
      </c>
      <c r="L68">
        <f t="shared" si="19"/>
        <v>15.656695177962497</v>
      </c>
    </row>
    <row r="69" spans="1:12" x14ac:dyDescent="0.3">
      <c r="A69">
        <v>96</v>
      </c>
      <c r="B69">
        <f t="shared" si="15"/>
        <v>5.0317448102473321</v>
      </c>
      <c r="C69">
        <f t="shared" si="16"/>
        <v>5.0317448102473321</v>
      </c>
      <c r="D69" t="s">
        <v>29</v>
      </c>
      <c r="E69" t="s">
        <v>21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STOWA2019_JAARROND_T(A69*60,J69,I69,"WL","center")</f>
        <v>0.14117713006527355</v>
      </c>
      <c r="L69">
        <f t="shared" si="19"/>
        <v>10.624950367715165</v>
      </c>
    </row>
    <row r="70" spans="1:12" x14ac:dyDescent="0.3">
      <c r="A70">
        <v>96</v>
      </c>
      <c r="B70">
        <f>L69-L70</f>
        <v>3.3601202816922946</v>
      </c>
      <c r="C70">
        <f t="shared" si="16"/>
        <v>3.3601202816922946</v>
      </c>
      <c r="D70" t="s">
        <v>29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STOWA2019_JAARROND_T(A70*60,J70,I70,"WL","center")</f>
        <v>0.2064742027326856</v>
      </c>
      <c r="L70">
        <f t="shared" si="19"/>
        <v>7.2648300860228705</v>
      </c>
    </row>
    <row r="71" spans="1:12" x14ac:dyDescent="0.3">
      <c r="A71">
        <v>96</v>
      </c>
      <c r="B71">
        <f t="shared" ref="B71:B93" si="20">L70-L71</f>
        <v>2.2608309007130387</v>
      </c>
      <c r="C71">
        <f t="shared" si="16"/>
        <v>2.2608309007130387</v>
      </c>
      <c r="D71" t="s">
        <v>29</v>
      </c>
      <c r="E71" t="s">
        <v>21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STOWA2019_JAARROND_T(A71*60,J71,I71,"WL","center")</f>
        <v>0.29976024064982432</v>
      </c>
      <c r="L71">
        <f t="shared" si="19"/>
        <v>5.0039991853098318</v>
      </c>
    </row>
    <row r="72" spans="1:12" x14ac:dyDescent="0.3">
      <c r="A72">
        <v>96</v>
      </c>
      <c r="B72">
        <f t="shared" si="20"/>
        <v>1.5324924118496126</v>
      </c>
      <c r="C72">
        <f t="shared" si="16"/>
        <v>1.5324924118496126</v>
      </c>
      <c r="D72" t="s">
        <v>29</v>
      </c>
      <c r="E72" t="s">
        <v>21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STOWA2019_JAARROND_T(A72*60,J72,I72,"WL","center")</f>
        <v>0.43208903161807088</v>
      </c>
      <c r="L72">
        <f t="shared" si="19"/>
        <v>3.4715067734602192</v>
      </c>
    </row>
    <row r="73" spans="1:12" x14ac:dyDescent="0.3">
      <c r="A73">
        <v>96</v>
      </c>
      <c r="B73">
        <f t="shared" si="20"/>
        <v>1.0464614307132414</v>
      </c>
      <c r="C73">
        <f t="shared" si="16"/>
        <v>1.0464614307132414</v>
      </c>
      <c r="D73" t="s">
        <v>29</v>
      </c>
      <c r="E73" t="s">
        <v>21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STOWA2019_JAARROND_T(A73*60,J73,I73,"WL","center")</f>
        <v>0.61854513544924905</v>
      </c>
      <c r="L73">
        <f t="shared" si="19"/>
        <v>2.4250453427469778</v>
      </c>
    </row>
    <row r="74" spans="1:12" x14ac:dyDescent="0.3">
      <c r="A74">
        <v>96</v>
      </c>
      <c r="B74">
        <f t="shared" si="20"/>
        <v>0.71963082016491997</v>
      </c>
      <c r="C74">
        <f t="shared" si="16"/>
        <v>0.71963082016491997</v>
      </c>
      <c r="D74" t="s">
        <v>29</v>
      </c>
      <c r="E74" t="s">
        <v>21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STOWA2019_JAARROND_T(A74*60,J74,I74,"WL","center")</f>
        <v>0.87955155778135796</v>
      </c>
      <c r="L74">
        <f t="shared" si="19"/>
        <v>1.7054145225820578</v>
      </c>
    </row>
    <row r="75" spans="1:12" x14ac:dyDescent="0.3">
      <c r="A75">
        <v>96</v>
      </c>
      <c r="B75">
        <f t="shared" si="20"/>
        <v>0.49817000072086737</v>
      </c>
      <c r="C75">
        <f t="shared" si="16"/>
        <v>0.49817000072086737</v>
      </c>
      <c r="D75" t="s">
        <v>29</v>
      </c>
      <c r="E75" t="s">
        <v>21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STOWA2019_JAARROND_T(A75*60,J75,I75,"WL","center")</f>
        <v>1.242498907915915</v>
      </c>
      <c r="L75">
        <f t="shared" si="19"/>
        <v>1.2072445218611905</v>
      </c>
    </row>
    <row r="76" spans="1:12" x14ac:dyDescent="0.3">
      <c r="A76">
        <v>96</v>
      </c>
      <c r="B76">
        <f t="shared" si="20"/>
        <v>0.34739680049318644</v>
      </c>
      <c r="C76">
        <f t="shared" si="16"/>
        <v>0.34739680049318644</v>
      </c>
      <c r="D76" t="s">
        <v>29</v>
      </c>
      <c r="E76" t="s">
        <v>21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STOWA2019_JAARROND_T(A76*60,J76,I76,"WL","center")</f>
        <v>1.7444949410501711</v>
      </c>
      <c r="L76">
        <f t="shared" si="19"/>
        <v>0.85984772136800403</v>
      </c>
    </row>
    <row r="77" spans="1:12" x14ac:dyDescent="0.3">
      <c r="A77">
        <v>96</v>
      </c>
      <c r="B77">
        <f t="shared" si="20"/>
        <v>0.24371727249009056</v>
      </c>
      <c r="C77">
        <f t="shared" si="16"/>
        <v>0.24371727249009056</v>
      </c>
      <c r="D77" t="s">
        <v>29</v>
      </c>
      <c r="E77" t="s">
        <v>21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STOWA2019_JAARROND_T(A77*60,J77,I77,"WL","center")</f>
        <v>2.4345493762429289</v>
      </c>
      <c r="L77">
        <f t="shared" si="19"/>
        <v>0.61613044887791346</v>
      </c>
    </row>
    <row r="78" spans="1:12" x14ac:dyDescent="0.3">
      <c r="A78">
        <v>96</v>
      </c>
      <c r="B78">
        <f t="shared" si="20"/>
        <v>0.17206054410170962</v>
      </c>
      <c r="C78">
        <f t="shared" si="16"/>
        <v>0.17206054410170962</v>
      </c>
      <c r="D78" t="s">
        <v>29</v>
      </c>
      <c r="E78" t="s">
        <v>21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STOWA2019_JAARROND_T(A78*60,J78,I78,"WL","center")</f>
        <v>3.3778465594419171</v>
      </c>
      <c r="L78">
        <f t="shared" si="19"/>
        <v>0.44406990477620384</v>
      </c>
    </row>
    <row r="79" spans="1:12" x14ac:dyDescent="0.3">
      <c r="A79">
        <v>96</v>
      </c>
      <c r="B79">
        <f t="shared" si="20"/>
        <v>0.12220181171542416</v>
      </c>
      <c r="C79">
        <f t="shared" si="16"/>
        <v>0.12220181171542416</v>
      </c>
      <c r="D79" t="s">
        <v>29</v>
      </c>
      <c r="E79" t="s">
        <v>21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STOWA2019_JAARROND_T(A79*60,J79,I79,"WL","center")</f>
        <v>4.6602941774559454</v>
      </c>
      <c r="L79">
        <f t="shared" si="19"/>
        <v>0.32186809306077968</v>
      </c>
    </row>
    <row r="80" spans="1:12" x14ac:dyDescent="0.3">
      <c r="A80">
        <v>96</v>
      </c>
      <c r="B80">
        <f t="shared" si="20"/>
        <v>8.7300709753649119E-2</v>
      </c>
      <c r="C80">
        <f t="shared" si="16"/>
        <v>8.7300709753649119E-2</v>
      </c>
      <c r="D80" t="s">
        <v>29</v>
      </c>
      <c r="E80" t="s">
        <v>21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STOWA2019_JAARROND_T(A80*60,J80,I80,"WL","center")</f>
        <v>6.394750961756591</v>
      </c>
      <c r="L80">
        <f t="shared" si="19"/>
        <v>0.23456738330713056</v>
      </c>
    </row>
    <row r="81" spans="1:12" x14ac:dyDescent="0.3">
      <c r="A81">
        <v>96</v>
      </c>
      <c r="B81">
        <f t="shared" si="20"/>
        <v>6.2719895953932708E-2</v>
      </c>
      <c r="C81">
        <f t="shared" si="16"/>
        <v>6.2719895953932708E-2</v>
      </c>
      <c r="D81" t="s">
        <v>29</v>
      </c>
      <c r="E81" t="s">
        <v>21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STOWA2019_JAARROND_T(A81*60,J81,I81,"WL","center")</f>
        <v>8.7286699567335102</v>
      </c>
      <c r="L81">
        <f t="shared" si="19"/>
        <v>0.17184748735319785</v>
      </c>
    </row>
    <row r="82" spans="1:12" x14ac:dyDescent="0.3">
      <c r="A82">
        <v>96</v>
      </c>
      <c r="B82">
        <f t="shared" si="20"/>
        <v>4.5306606660694942E-2</v>
      </c>
      <c r="C82">
        <f t="shared" si="16"/>
        <v>4.5306606660694942E-2</v>
      </c>
      <c r="D82" t="s">
        <v>29</v>
      </c>
      <c r="E82" t="s">
        <v>21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STOWA2019_JAARROND_T(A82*60,J82,I82,"WL","center")</f>
        <v>11.85387672182425</v>
      </c>
      <c r="L82">
        <f t="shared" si="19"/>
        <v>0.12654088069250291</v>
      </c>
    </row>
    <row r="83" spans="1:12" x14ac:dyDescent="0.3">
      <c r="A83">
        <v>96</v>
      </c>
      <c r="B83">
        <f t="shared" si="20"/>
        <v>3.2901143787584158E-2</v>
      </c>
      <c r="C83">
        <f t="shared" si="16"/>
        <v>3.2901143787584158E-2</v>
      </c>
      <c r="D83" t="s">
        <v>29</v>
      </c>
      <c r="E83" t="s">
        <v>21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STOWA2019_JAARROND_T(A83*60,J83,I83,"WL","center")</f>
        <v>16.018840393828651</v>
      </c>
      <c r="L83">
        <f t="shared" si="19"/>
        <v>9.3639736904918752E-2</v>
      </c>
    </row>
    <row r="84" spans="1:12" x14ac:dyDescent="0.3">
      <c r="A84">
        <v>96</v>
      </c>
      <c r="B84">
        <f t="shared" si="20"/>
        <v>2.4014944158873952E-2</v>
      </c>
      <c r="C84">
        <f t="shared" si="16"/>
        <v>2.4014944158873952E-2</v>
      </c>
      <c r="D84" t="s">
        <v>29</v>
      </c>
      <c r="E84" t="s">
        <v>21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STOWA2019_JAARROND_T(A84*60,J84,I84,"WL","center")</f>
        <v>21.544049767892645</v>
      </c>
      <c r="L84">
        <f t="shared" si="19"/>
        <v>6.96247927460448E-2</v>
      </c>
    </row>
    <row r="85" spans="1:12" x14ac:dyDescent="0.3">
      <c r="A85">
        <v>96</v>
      </c>
      <c r="B85">
        <f t="shared" si="20"/>
        <v>1.7615516891380342E-2</v>
      </c>
      <c r="C85">
        <f t="shared" si="16"/>
        <v>1.7615516891380342E-2</v>
      </c>
      <c r="D85" t="s">
        <v>29</v>
      </c>
      <c r="E85" t="s">
        <v>21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STOWA2019_JAARROND_T(A85*60,J85,I85,"WL","center")</f>
        <v>28.841009134440238</v>
      </c>
      <c r="L85">
        <f t="shared" si="19"/>
        <v>5.2009275854664458E-2</v>
      </c>
    </row>
    <row r="86" spans="1:12" x14ac:dyDescent="0.3">
      <c r="A86">
        <v>96</v>
      </c>
      <c r="B86">
        <f t="shared" si="20"/>
        <v>1.2984258158218062E-2</v>
      </c>
      <c r="C86">
        <f t="shared" si="16"/>
        <v>1.2984258158218062E-2</v>
      </c>
      <c r="D86" t="s">
        <v>29</v>
      </c>
      <c r="E86" t="s">
        <v>21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STOWA2019_JAARROND_T(A86*60,J86,I86,"WL","center")</f>
        <v>38.436881993690669</v>
      </c>
      <c r="L86">
        <f t="shared" si="19"/>
        <v>3.9025017696446396E-2</v>
      </c>
    </row>
    <row r="87" spans="1:12" x14ac:dyDescent="0.3">
      <c r="A87">
        <v>96</v>
      </c>
      <c r="B87">
        <f t="shared" si="20"/>
        <v>9.6147973401382349E-3</v>
      </c>
      <c r="C87">
        <f t="shared" si="16"/>
        <v>9.6147973401382349E-3</v>
      </c>
      <c r="D87" t="s">
        <v>29</v>
      </c>
      <c r="E87" t="s">
        <v>21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STOWA2019_JAARROND_T(A87*60,J87,I87,"WL","center")</f>
        <v>51.002678042780012</v>
      </c>
      <c r="L87">
        <f t="shared" si="19"/>
        <v>2.9410220356308161E-2</v>
      </c>
    </row>
    <row r="88" spans="1:12" x14ac:dyDescent="0.3">
      <c r="A88">
        <v>96</v>
      </c>
      <c r="B88">
        <f t="shared" si="20"/>
        <v>7.1523177029397846E-3</v>
      </c>
      <c r="C88">
        <f t="shared" si="16"/>
        <v>7.1523177029397846E-3</v>
      </c>
      <c r="D88" t="s">
        <v>29</v>
      </c>
      <c r="E88" t="s">
        <v>21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STOWA2019_JAARROND_T(A88*60,J88,I88,"WL","center")</f>
        <v>67.391794427360352</v>
      </c>
      <c r="L88">
        <f t="shared" si="19"/>
        <v>2.2257902653368376E-2</v>
      </c>
    </row>
    <row r="89" spans="1:12" x14ac:dyDescent="0.3">
      <c r="A89">
        <v>96</v>
      </c>
      <c r="B89">
        <f t="shared" si="20"/>
        <v>5.3436441749741062E-3</v>
      </c>
      <c r="C89">
        <f t="shared" si="16"/>
        <v>5.3436441749741062E-3</v>
      </c>
      <c r="D89" t="s">
        <v>29</v>
      </c>
      <c r="E89" t="s">
        <v>21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STOWA2019_JAARROND_T(A89*60,J89,I89,"WL","center")</f>
        <v>88.682575231781627</v>
      </c>
      <c r="L89">
        <f t="shared" si="19"/>
        <v>1.691425847839427E-2</v>
      </c>
    </row>
    <row r="90" spans="1:12" x14ac:dyDescent="0.3">
      <c r="A90">
        <v>96</v>
      </c>
      <c r="B90">
        <f t="shared" si="20"/>
        <v>4.0094903782408285E-3</v>
      </c>
      <c r="C90">
        <f t="shared" si="16"/>
        <v>4.0094903782408285E-3</v>
      </c>
      <c r="D90" t="s">
        <v>29</v>
      </c>
      <c r="E90" t="s">
        <v>21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STOWA2019_JAARROND_T(A90*60,J90,I90,"WL","center")</f>
        <v>116.23610655833208</v>
      </c>
      <c r="L90">
        <f t="shared" si="19"/>
        <v>1.2904768100153442E-2</v>
      </c>
    </row>
    <row r="91" spans="1:12" x14ac:dyDescent="0.3">
      <c r="A91">
        <v>96</v>
      </c>
      <c r="B91">
        <f t="shared" si="20"/>
        <v>3.0209053723059612E-3</v>
      </c>
      <c r="C91">
        <f t="shared" si="16"/>
        <v>3.0209053723059612E-3</v>
      </c>
      <c r="D91" t="s">
        <v>29</v>
      </c>
      <c r="E91" t="s">
        <v>21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STOWA2019_JAARROND_T(A91*60,J91,I91,"WL","center")</f>
        <v>151.762528608759</v>
      </c>
      <c r="L91">
        <f t="shared" si="19"/>
        <v>9.8838627278474804E-3</v>
      </c>
    </row>
    <row r="92" spans="1:12" x14ac:dyDescent="0.3">
      <c r="A92">
        <v>96</v>
      </c>
      <c r="B92">
        <f t="shared" si="20"/>
        <v>2.2852772722989816E-3</v>
      </c>
      <c r="C92">
        <f t="shared" si="16"/>
        <v>2.2852772722989816E-3</v>
      </c>
      <c r="D92" t="s">
        <v>29</v>
      </c>
      <c r="E92" t="s">
        <v>21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STOWA2019_JAARROND_T(A92*60,J92,I92,"WL","center")</f>
        <v>197.4051629444659</v>
      </c>
      <c r="L92">
        <f t="shared" si="19"/>
        <v>7.5985854555484988E-3</v>
      </c>
    </row>
    <row r="93" spans="1:12" x14ac:dyDescent="0.3">
      <c r="A93">
        <v>96</v>
      </c>
      <c r="B93">
        <f t="shared" si="20"/>
        <v>1.7354737457364539E-3</v>
      </c>
      <c r="C93">
        <f t="shared" si="16"/>
        <v>1.7354737457364539E-3</v>
      </c>
      <c r="D93" t="s">
        <v>29</v>
      </c>
      <c r="E93" t="s">
        <v>21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STOWA2019_JAARROND_T(A93*60,J93,I93,"WL","center")</f>
        <v>255.83684470649223</v>
      </c>
      <c r="L93">
        <f t="shared" si="19"/>
        <v>5.8631117098120449E-3</v>
      </c>
    </row>
    <row r="94" spans="1:12" x14ac:dyDescent="0.3">
      <c r="A94">
        <v>96</v>
      </c>
      <c r="B94" s="1">
        <f>L93</f>
        <v>5.8631117098120449E-3</v>
      </c>
      <c r="C94">
        <f t="shared" si="16"/>
        <v>5.8631117098120449E-3</v>
      </c>
      <c r="D94" t="s">
        <v>29</v>
      </c>
      <c r="E94" t="s">
        <v>21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STOWA2019_JAARROND_T(A94*60,J94,I94,"WL","center")</f>
        <v>3.9703140069985006</v>
      </c>
      <c r="L94">
        <f t="shared" si="19"/>
        <v>0.37780387076587374</v>
      </c>
    </row>
    <row r="95" spans="1:12" x14ac:dyDescent="0.3">
      <c r="A95">
        <v>192</v>
      </c>
      <c r="B95" s="1">
        <f>365.25*24/A95 - L95</f>
        <v>-41.424268909700913</v>
      </c>
      <c r="C95">
        <f>B95</f>
        <v>-41.424268909700913</v>
      </c>
      <c r="D95" t="s">
        <v>29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STOWA2019_JAARROND_T(A95*60,J95,I95,"WL","center")</f>
        <v>1.7225437087202491E-2</v>
      </c>
      <c r="L95">
        <f t="shared" si="19"/>
        <v>87.080518909700913</v>
      </c>
    </row>
    <row r="96" spans="1:12" x14ac:dyDescent="0.3">
      <c r="A96">
        <v>192</v>
      </c>
      <c r="B96">
        <f t="shared" ref="B96:B100" si="23">L95-L96</f>
        <v>12.257091434458758</v>
      </c>
      <c r="C96">
        <f t="shared" ref="C96:C125" si="24">B96</f>
        <v>12.257091434458758</v>
      </c>
      <c r="D96" t="s">
        <v>29</v>
      </c>
      <c r="E96" t="s">
        <v>21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cm="1">
        <f t="array" ref="K96">STOWA2019_JAARROND_T(A96*60,J96,I96,"WL","center")</f>
        <v>2.0047197122803888E-2</v>
      </c>
      <c r="L96">
        <f t="shared" si="19"/>
        <v>74.823427475242156</v>
      </c>
    </row>
    <row r="97" spans="1:12" x14ac:dyDescent="0.3">
      <c r="A97">
        <v>192</v>
      </c>
      <c r="B97">
        <f t="shared" si="23"/>
        <v>18.221102163458987</v>
      </c>
      <c r="C97">
        <f t="shared" si="24"/>
        <v>18.221102163458987</v>
      </c>
      <c r="D97" t="s">
        <v>29</v>
      </c>
      <c r="E97" t="s">
        <v>21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STOWA2019_JAARROND_T(A97*60,J97,I97,"WL","center")</f>
        <v>2.6500678050548891E-2</v>
      </c>
      <c r="L97">
        <f t="shared" si="19"/>
        <v>56.602325311783169</v>
      </c>
    </row>
    <row r="98" spans="1:12" x14ac:dyDescent="0.3">
      <c r="A98">
        <v>192</v>
      </c>
      <c r="B98">
        <f t="shared" si="23"/>
        <v>13.977835722322801</v>
      </c>
      <c r="C98">
        <f t="shared" si="24"/>
        <v>13.977835722322801</v>
      </c>
      <c r="D98" t="s">
        <v>29</v>
      </c>
      <c r="E98" t="s">
        <v>21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STOWA2019_JAARROND_T(A98*60,J98,I98,"WL","center")</f>
        <v>3.5191037228769553E-2</v>
      </c>
      <c r="L98">
        <f t="shared" si="19"/>
        <v>42.624489589460367</v>
      </c>
    </row>
    <row r="99" spans="1:12" x14ac:dyDescent="0.3">
      <c r="A99">
        <v>192</v>
      </c>
      <c r="B99">
        <f t="shared" si="23"/>
        <v>10.559119980700736</v>
      </c>
      <c r="C99">
        <f t="shared" si="24"/>
        <v>10.559119980700736</v>
      </c>
      <c r="D99" t="s">
        <v>29</v>
      </c>
      <c r="E99" t="s">
        <v>21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STOWA2019_JAARROND_T(A99*60,J99,I99,"WL","center")</f>
        <v>4.677943894930902E-2</v>
      </c>
      <c r="L99">
        <f t="shared" si="19"/>
        <v>32.065369608759632</v>
      </c>
    </row>
    <row r="100" spans="1:12" x14ac:dyDescent="0.3">
      <c r="A100">
        <v>192</v>
      </c>
      <c r="B100">
        <f t="shared" si="23"/>
        <v>7.9573761585573557</v>
      </c>
      <c r="C100">
        <f t="shared" si="24"/>
        <v>7.9573761585573557</v>
      </c>
      <c r="D100" t="s">
        <v>29</v>
      </c>
      <c r="E100" t="s">
        <v>21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STOWA2019_JAARROND_T(A100*60,J100,I100,"WL","center")</f>
        <v>6.222002685949022E-2</v>
      </c>
      <c r="L100">
        <f t="shared" si="19"/>
        <v>24.107993450202276</v>
      </c>
    </row>
    <row r="101" spans="1:12" x14ac:dyDescent="0.3">
      <c r="A101">
        <v>192</v>
      </c>
      <c r="B101">
        <f>L100-L101</f>
        <v>5.9909234804707694</v>
      </c>
      <c r="C101">
        <f t="shared" si="24"/>
        <v>5.9909234804707694</v>
      </c>
      <c r="D101" t="s">
        <v>29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STOWA2019_JAARROND_T(A101*60,J101,I101,"WL","center")</f>
        <v>8.2794845000106268E-2</v>
      </c>
      <c r="L101">
        <f t="shared" si="19"/>
        <v>18.117069969731507</v>
      </c>
    </row>
    <row r="102" spans="1:12" x14ac:dyDescent="0.3">
      <c r="A102">
        <v>192</v>
      </c>
      <c r="B102">
        <f t="shared" ref="B102:B124" si="27">L101-L102</f>
        <v>4.5077080224221149</v>
      </c>
      <c r="C102">
        <f t="shared" si="24"/>
        <v>4.5077080224221149</v>
      </c>
      <c r="D102" t="s">
        <v>29</v>
      </c>
      <c r="E102" t="s">
        <v>21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STOWA2019_JAARROND_T(A102*60,J102,I102,"WL","center")</f>
        <v>0.11021824577871221</v>
      </c>
      <c r="L102">
        <f t="shared" si="19"/>
        <v>13.609361947309392</v>
      </c>
    </row>
    <row r="103" spans="1:12" x14ac:dyDescent="0.3">
      <c r="A103">
        <v>192</v>
      </c>
      <c r="B103">
        <f t="shared" si="27"/>
        <v>3.3902133260791096</v>
      </c>
      <c r="C103">
        <f t="shared" si="24"/>
        <v>3.3902133260791096</v>
      </c>
      <c r="D103" t="s">
        <v>29</v>
      </c>
      <c r="E103" t="s">
        <v>21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STOWA2019_JAARROND_T(A103*60,J103,I103,"WL","center")</f>
        <v>0.14678326498586683</v>
      </c>
      <c r="L103">
        <f t="shared" si="19"/>
        <v>10.219148621230282</v>
      </c>
    </row>
    <row r="104" spans="1:12" x14ac:dyDescent="0.3">
      <c r="A104">
        <v>192</v>
      </c>
      <c r="B104">
        <f t="shared" si="27"/>
        <v>2.5484403334632342</v>
      </c>
      <c r="C104">
        <f t="shared" si="24"/>
        <v>2.5484403334632342</v>
      </c>
      <c r="D104" t="s">
        <v>29</v>
      </c>
      <c r="E104" t="s">
        <v>21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STOWA2019_JAARROND_T(A104*60,J104,I104,"WL","center")</f>
        <v>0.19554908669804882</v>
      </c>
      <c r="L104">
        <f t="shared" si="19"/>
        <v>7.6707082877670478</v>
      </c>
    </row>
    <row r="105" spans="1:12" x14ac:dyDescent="0.3">
      <c r="A105">
        <v>192</v>
      </c>
      <c r="B105">
        <f t="shared" si="27"/>
        <v>1.9150942006356155</v>
      </c>
      <c r="C105">
        <f t="shared" si="24"/>
        <v>1.9150942006356155</v>
      </c>
      <c r="D105" t="s">
        <v>29</v>
      </c>
      <c r="E105" t="s">
        <v>21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STOWA2019_JAARROND_T(A105*60,J105,I105,"WL","center")</f>
        <v>0.26061511027185497</v>
      </c>
      <c r="L105">
        <f t="shared" si="19"/>
        <v>5.7556140871314323</v>
      </c>
    </row>
    <row r="106" spans="1:12" x14ac:dyDescent="0.3">
      <c r="A106">
        <v>192</v>
      </c>
      <c r="B106">
        <f t="shared" si="27"/>
        <v>1.4385278953874732</v>
      </c>
      <c r="C106">
        <f t="shared" si="24"/>
        <v>1.4385278953874732</v>
      </c>
      <c r="D106" t="s">
        <v>29</v>
      </c>
      <c r="E106" t="s">
        <v>21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STOWA2019_JAARROND_T(A106*60,J106,I106,"WL","center")</f>
        <v>0.34745657913168737</v>
      </c>
      <c r="L106">
        <f t="shared" si="19"/>
        <v>4.3170861917439591</v>
      </c>
    </row>
    <row r="107" spans="1:12" x14ac:dyDescent="0.3">
      <c r="A107">
        <v>192</v>
      </c>
      <c r="B107">
        <f t="shared" si="27"/>
        <v>1.0801514733476303</v>
      </c>
      <c r="C107">
        <f t="shared" si="24"/>
        <v>1.0801514733476303</v>
      </c>
      <c r="D107" t="s">
        <v>29</v>
      </c>
      <c r="E107" t="s">
        <v>21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STOWA2019_JAARROND_T(A107*60,J107,I107,"WL","center")</f>
        <v>0.46340137521931341</v>
      </c>
      <c r="L107">
        <f t="shared" si="19"/>
        <v>3.2369347183963288</v>
      </c>
    </row>
    <row r="108" spans="1:12" x14ac:dyDescent="0.3">
      <c r="A108">
        <v>192</v>
      </c>
      <c r="B108">
        <f t="shared" si="27"/>
        <v>0.81080218108337565</v>
      </c>
      <c r="C108">
        <f t="shared" si="24"/>
        <v>0.81080218108337565</v>
      </c>
      <c r="D108" t="s">
        <v>29</v>
      </c>
      <c r="E108" t="s">
        <v>21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STOWA2019_JAARROND_T(A108*60,J108,I108,"WL","center")</f>
        <v>0.61826795400935308</v>
      </c>
      <c r="L108">
        <f t="shared" si="19"/>
        <v>2.4261325373129532</v>
      </c>
    </row>
    <row r="109" spans="1:12" x14ac:dyDescent="0.3">
      <c r="A109">
        <v>192</v>
      </c>
      <c r="B109">
        <f t="shared" si="27"/>
        <v>0.60834366839707421</v>
      </c>
      <c r="C109">
        <f t="shared" si="24"/>
        <v>0.60834366839707421</v>
      </c>
      <c r="D109" t="s">
        <v>29</v>
      </c>
      <c r="E109" t="s">
        <v>21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STOWA2019_JAARROND_T(A109*60,J109,I109,"WL","center")</f>
        <v>0.8251783392724773</v>
      </c>
      <c r="L109">
        <f t="shared" si="19"/>
        <v>1.817788868915879</v>
      </c>
    </row>
    <row r="110" spans="1:12" x14ac:dyDescent="0.3">
      <c r="A110">
        <v>192</v>
      </c>
      <c r="B110">
        <f t="shared" si="27"/>
        <v>0.45618558104974261</v>
      </c>
      <c r="C110">
        <f t="shared" si="24"/>
        <v>0.45618558104974261</v>
      </c>
      <c r="D110" t="s">
        <v>29</v>
      </c>
      <c r="E110" t="s">
        <v>21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STOWA2019_JAARROND_T(A110*60,J110,I110,"WL","center")</f>
        <v>1.1016424632396082</v>
      </c>
      <c r="L110">
        <f t="shared" si="19"/>
        <v>1.3616032878661364</v>
      </c>
    </row>
    <row r="111" spans="1:12" x14ac:dyDescent="0.3">
      <c r="A111">
        <v>192</v>
      </c>
      <c r="B111">
        <f t="shared" si="27"/>
        <v>0.34215910332765498</v>
      </c>
      <c r="C111">
        <f t="shared" si="24"/>
        <v>0.34215910332765498</v>
      </c>
      <c r="D111" t="s">
        <v>29</v>
      </c>
      <c r="E111" t="s">
        <v>21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STOWA2019_JAARROND_T(A111*60,J111,I111,"WL","center")</f>
        <v>1.4713900209054347</v>
      </c>
      <c r="L111">
        <f t="shared" si="19"/>
        <v>1.0194441845384814</v>
      </c>
    </row>
    <row r="112" spans="1:12" x14ac:dyDescent="0.3">
      <c r="A112">
        <v>192</v>
      </c>
      <c r="B112">
        <f t="shared" si="27"/>
        <v>0.256449731993597</v>
      </c>
      <c r="C112">
        <f t="shared" si="24"/>
        <v>0.256449731993597</v>
      </c>
      <c r="D112" t="s">
        <v>29</v>
      </c>
      <c r="E112" t="s">
        <v>21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STOWA2019_JAARROND_T(A112*60,J112,I112,"WL","center")</f>
        <v>1.9659382777907681</v>
      </c>
      <c r="L112">
        <f t="shared" si="19"/>
        <v>0.76299445254488441</v>
      </c>
    </row>
    <row r="113" spans="1:12" x14ac:dyDescent="0.3">
      <c r="A113">
        <v>192</v>
      </c>
      <c r="B113">
        <f t="shared" si="27"/>
        <v>0.19214826608115887</v>
      </c>
      <c r="C113">
        <f t="shared" si="24"/>
        <v>0.19214826608115887</v>
      </c>
      <c r="D113" t="s">
        <v>29</v>
      </c>
      <c r="E113" t="s">
        <v>21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STOWA2019_JAARROND_T(A113*60,J113,I113,"WL","center")</f>
        <v>2.6276780603408967</v>
      </c>
      <c r="L113">
        <f t="shared" si="19"/>
        <v>0.57084618646372554</v>
      </c>
    </row>
    <row r="114" spans="1:12" x14ac:dyDescent="0.3">
      <c r="A114">
        <v>192</v>
      </c>
      <c r="B114">
        <f t="shared" si="27"/>
        <v>0.14391135724337961</v>
      </c>
      <c r="C114">
        <f t="shared" si="24"/>
        <v>0.14391135724337961</v>
      </c>
      <c r="D114" t="s">
        <v>29</v>
      </c>
      <c r="E114" t="s">
        <v>21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STOWA2019_JAARROND_T(A114*60,J114,I114,"WL","center")</f>
        <v>3.5134167965149383</v>
      </c>
      <c r="L114">
        <f t="shared" si="19"/>
        <v>0.42693482922034592</v>
      </c>
    </row>
    <row r="115" spans="1:12" x14ac:dyDescent="0.3">
      <c r="A115">
        <v>192</v>
      </c>
      <c r="B115">
        <f t="shared" si="27"/>
        <v>0.10774755595051222</v>
      </c>
      <c r="C115">
        <f t="shared" si="24"/>
        <v>0.10774755595051222</v>
      </c>
      <c r="D115" t="s">
        <v>29</v>
      </c>
      <c r="E115" t="s">
        <v>21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STOWA2019_JAARROND_T(A115*60,J115,I115,"WL","center")</f>
        <v>4.699435490123486</v>
      </c>
      <c r="L115">
        <f t="shared" si="19"/>
        <v>0.3191872732698337</v>
      </c>
    </row>
    <row r="116" spans="1:12" x14ac:dyDescent="0.3">
      <c r="A116">
        <v>192</v>
      </c>
      <c r="B116">
        <f t="shared" si="27"/>
        <v>8.0641887256927947E-2</v>
      </c>
      <c r="C116">
        <f t="shared" si="24"/>
        <v>8.0641887256927947E-2</v>
      </c>
      <c r="D116" t="s">
        <v>29</v>
      </c>
      <c r="E116" t="s">
        <v>21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STOWA2019_JAARROND_T(A116*60,J116,I116,"WL","center")</f>
        <v>6.2881115626308821</v>
      </c>
      <c r="L116">
        <f t="shared" si="19"/>
        <v>0.23854538601290576</v>
      </c>
    </row>
    <row r="117" spans="1:12" x14ac:dyDescent="0.3">
      <c r="A117">
        <v>192</v>
      </c>
      <c r="B117">
        <f t="shared" si="27"/>
        <v>6.0333040069658755E-2</v>
      </c>
      <c r="C117">
        <f t="shared" si="24"/>
        <v>6.0333040069658755E-2</v>
      </c>
      <c r="D117" t="s">
        <v>29</v>
      </c>
      <c r="E117" t="s">
        <v>21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STOWA2019_JAARROND_T(A117*60,J117,I117,"WL","center")</f>
        <v>8.4169252812467086</v>
      </c>
      <c r="L117">
        <f t="shared" si="19"/>
        <v>0.178212345943247</v>
      </c>
    </row>
    <row r="118" spans="1:12" x14ac:dyDescent="0.3">
      <c r="A118">
        <v>192</v>
      </c>
      <c r="B118">
        <f t="shared" si="27"/>
        <v>4.5122284624760117E-2</v>
      </c>
      <c r="C118">
        <f t="shared" si="24"/>
        <v>4.5122284624760117E-2</v>
      </c>
      <c r="D118" t="s">
        <v>29</v>
      </c>
      <c r="E118" t="s">
        <v>21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STOWA2019_JAARROND_T(A118*60,J118,I118,"WL","center")</f>
        <v>11.270563595357231</v>
      </c>
      <c r="L118">
        <f t="shared" si="19"/>
        <v>0.13309006131848689</v>
      </c>
    </row>
    <row r="119" spans="1:12" x14ac:dyDescent="0.3">
      <c r="A119">
        <v>192</v>
      </c>
      <c r="B119">
        <f t="shared" si="27"/>
        <v>3.3734027975264438E-2</v>
      </c>
      <c r="C119">
        <f t="shared" si="24"/>
        <v>3.3734027975264438E-2</v>
      </c>
      <c r="D119" t="s">
        <v>29</v>
      </c>
      <c r="E119" t="s">
        <v>21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STOWA2019_JAARROND_T(A119*60,J119,I119,"WL","center")</f>
        <v>15.097221069789439</v>
      </c>
      <c r="L119">
        <f t="shared" si="19"/>
        <v>9.9356033343222447E-2</v>
      </c>
    </row>
    <row r="120" spans="1:12" x14ac:dyDescent="0.3">
      <c r="A120">
        <v>192</v>
      </c>
      <c r="B120">
        <f t="shared" si="27"/>
        <v>2.5210785127022947E-2</v>
      </c>
      <c r="C120">
        <f t="shared" si="24"/>
        <v>2.5210785127022947E-2</v>
      </c>
      <c r="D120" t="s">
        <v>29</v>
      </c>
      <c r="E120" t="s">
        <v>21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STOWA2019_JAARROND_T(A120*60,J120,I120,"WL","center")</f>
        <v>20.230561446448498</v>
      </c>
      <c r="L120">
        <f t="shared" si="19"/>
        <v>7.41452482161995E-2</v>
      </c>
    </row>
    <row r="121" spans="1:12" x14ac:dyDescent="0.3">
      <c r="A121">
        <v>192</v>
      </c>
      <c r="B121">
        <f t="shared" si="27"/>
        <v>1.8833782016129216E-2</v>
      </c>
      <c r="C121">
        <f t="shared" si="24"/>
        <v>1.8833782016129216E-2</v>
      </c>
      <c r="D121" t="s">
        <v>29</v>
      </c>
      <c r="E121" t="s">
        <v>21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STOWA2019_JAARROND_T(A121*60,J121,I121,"WL","center")</f>
        <v>27.119150929289486</v>
      </c>
      <c r="L121">
        <f t="shared" si="19"/>
        <v>5.5311466200070283E-2</v>
      </c>
    </row>
    <row r="122" spans="1:12" x14ac:dyDescent="0.3">
      <c r="A122">
        <v>192</v>
      </c>
      <c r="B122">
        <f t="shared" si="27"/>
        <v>1.4065261052618128E-2</v>
      </c>
      <c r="C122">
        <f t="shared" si="24"/>
        <v>1.4065261052618128E-2</v>
      </c>
      <c r="D122" t="s">
        <v>29</v>
      </c>
      <c r="E122" t="s">
        <v>21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STOWA2019_JAARROND_T(A122*60,J122,I122,"WL","center")</f>
        <v>36.366981995982663</v>
      </c>
      <c r="L122">
        <f t="shared" si="19"/>
        <v>4.1246205147452156E-2</v>
      </c>
    </row>
    <row r="123" spans="1:12" x14ac:dyDescent="0.3">
      <c r="A123">
        <v>192</v>
      </c>
      <c r="B123">
        <f t="shared" si="27"/>
        <v>1.0499950160252548E-2</v>
      </c>
      <c r="C123">
        <f t="shared" si="24"/>
        <v>1.0499950160252548E-2</v>
      </c>
      <c r="D123" t="s">
        <v>29</v>
      </c>
      <c r="E123" t="s">
        <v>21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STOWA2019_JAARROND_T(A123*60,J123,I123,"WL","center")</f>
        <v>48.786429457001688</v>
      </c>
      <c r="L123">
        <f t="shared" si="19"/>
        <v>3.0746254987199607E-2</v>
      </c>
    </row>
    <row r="124" spans="1:12" x14ac:dyDescent="0.3">
      <c r="A124">
        <v>192</v>
      </c>
      <c r="B124">
        <f t="shared" si="27"/>
        <v>7.8354961620688175E-3</v>
      </c>
      <c r="C124">
        <f t="shared" si="24"/>
        <v>7.8354961620688175E-3</v>
      </c>
      <c r="D124" t="s">
        <v>29</v>
      </c>
      <c r="E124" t="s">
        <v>21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STOWA2019_JAARROND_T(A124*60,J124,I124,"WL","center")</f>
        <v>65.471423772950345</v>
      </c>
      <c r="L124">
        <f t="shared" si="19"/>
        <v>2.291075882513079E-2</v>
      </c>
    </row>
    <row r="125" spans="1:12" x14ac:dyDescent="0.3">
      <c r="A125">
        <v>192</v>
      </c>
      <c r="B125" s="1">
        <f>L124</f>
        <v>2.291075882513079E-2</v>
      </c>
      <c r="C125">
        <f t="shared" si="24"/>
        <v>2.291075882513079E-2</v>
      </c>
      <c r="D125" t="s">
        <v>29</v>
      </c>
      <c r="E125" t="s">
        <v>21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STOWA2019_JAARROND_T(A125*60,J125,I125,"WL","center")</f>
        <v>0.95343939721376858</v>
      </c>
      <c r="L125">
        <f t="shared" si="19"/>
        <v>1.5732515400385623</v>
      </c>
    </row>
    <row r="126" spans="1:12" x14ac:dyDescent="0.3">
      <c r="A126">
        <v>216</v>
      </c>
      <c r="B126" s="1">
        <f>365.25*24/A126 - L126</f>
        <v>-44.537006898199273</v>
      </c>
      <c r="C126">
        <f>B126</f>
        <v>-44.537006898199273</v>
      </c>
      <c r="D126" t="s">
        <v>29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STOWA2019_JAARROND_T(A126*60,J126,I126,"WL","center")</f>
        <v>1.762211001412714E-2</v>
      </c>
      <c r="L126">
        <f t="shared" si="19"/>
        <v>85.120340231532609</v>
      </c>
    </row>
    <row r="127" spans="1:12" x14ac:dyDescent="0.3">
      <c r="A127">
        <v>216</v>
      </c>
      <c r="B127">
        <f t="shared" ref="B127:B131" si="30">L126-L127</f>
        <v>12.09007625480146</v>
      </c>
      <c r="C127">
        <f t="shared" ref="C127:C156" si="31">B127</f>
        <v>12.09007625480146</v>
      </c>
      <c r="D127" t="s">
        <v>29</v>
      </c>
      <c r="E127" t="s">
        <v>21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cm="1">
        <f t="array" ref="K127">STOWA2019_JAARROND_T(A127*60,J127,I127,"WL","center")</f>
        <v>2.0539430070770782E-2</v>
      </c>
      <c r="L127">
        <f t="shared" si="19"/>
        <v>73.030263976731149</v>
      </c>
    </row>
    <row r="128" spans="1:12" x14ac:dyDescent="0.3">
      <c r="A128">
        <v>216</v>
      </c>
      <c r="B128">
        <f t="shared" si="30"/>
        <v>11.385359124350877</v>
      </c>
      <c r="C128">
        <f t="shared" si="31"/>
        <v>11.385359124350877</v>
      </c>
      <c r="D128" t="s">
        <v>29</v>
      </c>
      <c r="E128" t="s">
        <v>21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cm="1">
        <f t="array" ref="K128">STOWA2019_JAARROND_T(A128*60,J128,I128,"WL","center")</f>
        <v>2.4332911269666451E-2</v>
      </c>
      <c r="L128">
        <f t="shared" si="19"/>
        <v>61.644904852380272</v>
      </c>
    </row>
    <row r="129" spans="1:12" x14ac:dyDescent="0.3">
      <c r="A129">
        <v>216</v>
      </c>
      <c r="B129">
        <f t="shared" si="30"/>
        <v>14.885169962398834</v>
      </c>
      <c r="C129">
        <f t="shared" si="31"/>
        <v>14.885169962398834</v>
      </c>
      <c r="D129" t="s">
        <v>29</v>
      </c>
      <c r="E129" t="s">
        <v>21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STOWA2019_JAARROND_T(A129*60,J129,I129,"WL","center")</f>
        <v>3.2078881617470086E-2</v>
      </c>
      <c r="L129">
        <f t="shared" si="19"/>
        <v>46.759734889981438</v>
      </c>
    </row>
    <row r="130" spans="1:12" x14ac:dyDescent="0.3">
      <c r="A130">
        <v>216</v>
      </c>
      <c r="B130">
        <f t="shared" si="30"/>
        <v>11.034214868544204</v>
      </c>
      <c r="C130">
        <f t="shared" si="31"/>
        <v>11.034214868544204</v>
      </c>
      <c r="D130" t="s">
        <v>29</v>
      </c>
      <c r="E130" t="s">
        <v>21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STOWA2019_JAARROND_T(A130*60,J130,I130,"WL","center")</f>
        <v>4.1986792609314552E-2</v>
      </c>
      <c r="L130">
        <f t="shared" si="19"/>
        <v>35.725520021437234</v>
      </c>
    </row>
    <row r="131" spans="1:12" x14ac:dyDescent="0.3">
      <c r="A131">
        <v>216</v>
      </c>
      <c r="B131">
        <f t="shared" si="30"/>
        <v>8.4126884712673089</v>
      </c>
      <c r="C131">
        <f t="shared" si="31"/>
        <v>8.4126884712673089</v>
      </c>
      <c r="D131" t="s">
        <v>29</v>
      </c>
      <c r="E131" t="s">
        <v>21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STOWA2019_JAARROND_T(A131*60,J131,I131,"WL","center")</f>
        <v>5.4919241794638016E-2</v>
      </c>
      <c r="L131">
        <f t="shared" ref="L131:L156" si="34">1/K131 * 12/8</f>
        <v>27.312831550169925</v>
      </c>
    </row>
    <row r="132" spans="1:12" x14ac:dyDescent="0.3">
      <c r="A132">
        <v>216</v>
      </c>
      <c r="B132">
        <f>L131-L132</f>
        <v>6.4405452300745267</v>
      </c>
      <c r="C132">
        <f t="shared" si="31"/>
        <v>6.4405452300745267</v>
      </c>
      <c r="D132" t="s">
        <v>29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STOWA2019_JAARROND_T(A132*60,J132,I132,"WL","center")</f>
        <v>7.1865629715697779E-2</v>
      </c>
      <c r="L132">
        <f t="shared" si="34"/>
        <v>20.872286320095398</v>
      </c>
    </row>
    <row r="133" spans="1:12" x14ac:dyDescent="0.3">
      <c r="A133">
        <v>216</v>
      </c>
      <c r="B133">
        <f t="shared" ref="B133:B155" si="35">L132-L133</f>
        <v>4.9341148838136881</v>
      </c>
      <c r="C133">
        <f t="shared" si="31"/>
        <v>4.9341148838136881</v>
      </c>
      <c r="D133" t="s">
        <v>29</v>
      </c>
      <c r="E133" t="s">
        <v>21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STOWA2019_JAARROND_T(A133*60,J133,I133,"WL","center")</f>
        <v>9.4113682111951355E-2</v>
      </c>
      <c r="L133">
        <f t="shared" si="34"/>
        <v>15.93817143628171</v>
      </c>
    </row>
    <row r="134" spans="1:12" x14ac:dyDescent="0.3">
      <c r="A134">
        <v>216</v>
      </c>
      <c r="B134">
        <f t="shared" si="35"/>
        <v>3.779039048352324</v>
      </c>
      <c r="C134">
        <f t="shared" si="31"/>
        <v>3.779039048352324</v>
      </c>
      <c r="D134" t="s">
        <v>29</v>
      </c>
      <c r="E134" t="s">
        <v>21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STOWA2019_JAARROND_T(A134*60,J134,I134,"WL","center")</f>
        <v>0.12336406514407885</v>
      </c>
      <c r="L134">
        <f t="shared" si="34"/>
        <v>12.159132387929386</v>
      </c>
    </row>
    <row r="135" spans="1:12" x14ac:dyDescent="0.3">
      <c r="A135">
        <v>216</v>
      </c>
      <c r="B135">
        <f t="shared" si="35"/>
        <v>2.8921496461460805</v>
      </c>
      <c r="C135">
        <f t="shared" si="31"/>
        <v>2.8921496461460805</v>
      </c>
      <c r="D135" t="s">
        <v>29</v>
      </c>
      <c r="E135" t="s">
        <v>21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STOWA2019_JAARROND_T(A135*60,J135,I135,"WL","center")</f>
        <v>0.16186498257267126</v>
      </c>
      <c r="L135">
        <f t="shared" si="34"/>
        <v>9.2669827417833055</v>
      </c>
    </row>
    <row r="136" spans="1:12" x14ac:dyDescent="0.3">
      <c r="A136">
        <v>216</v>
      </c>
      <c r="B136">
        <f t="shared" si="35"/>
        <v>2.2116830531607024</v>
      </c>
      <c r="C136">
        <f t="shared" si="31"/>
        <v>2.2116830531607024</v>
      </c>
      <c r="D136" t="s">
        <v>29</v>
      </c>
      <c r="E136" t="s">
        <v>21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STOWA2019_JAARROND_T(A136*60,J136,I136,"WL","center")</f>
        <v>0.21260613527429661</v>
      </c>
      <c r="L136">
        <f t="shared" si="34"/>
        <v>7.0552996886226031</v>
      </c>
    </row>
    <row r="137" spans="1:12" x14ac:dyDescent="0.3">
      <c r="A137">
        <v>216</v>
      </c>
      <c r="B137">
        <f t="shared" si="35"/>
        <v>1.6896156290035336</v>
      </c>
      <c r="C137">
        <f t="shared" si="31"/>
        <v>1.6896156290035336</v>
      </c>
      <c r="D137" t="s">
        <v>29</v>
      </c>
      <c r="E137" t="s">
        <v>21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STOWA2019_JAARROND_T(A137*60,J137,I137,"WL","center")</f>
        <v>0.27955429043775842</v>
      </c>
      <c r="L137">
        <f t="shared" si="34"/>
        <v>5.3656840596190696</v>
      </c>
    </row>
    <row r="138" spans="1:12" x14ac:dyDescent="0.3">
      <c r="A138">
        <v>216</v>
      </c>
      <c r="B138">
        <f t="shared" si="35"/>
        <v>1.2894665472144045</v>
      </c>
      <c r="C138">
        <f t="shared" si="31"/>
        <v>1.2894665472144045</v>
      </c>
      <c r="D138" t="s">
        <v>29</v>
      </c>
      <c r="E138" t="s">
        <v>21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STOWA2019_JAARROND_T(A138*60,J138,I138,"WL","center")</f>
        <v>0.36798821344426036</v>
      </c>
      <c r="L138">
        <f t="shared" si="34"/>
        <v>4.0762175124046651</v>
      </c>
    </row>
    <row r="139" spans="1:12" x14ac:dyDescent="0.3">
      <c r="A139">
        <v>216</v>
      </c>
      <c r="B139">
        <f t="shared" si="35"/>
        <v>0.98304370980343858</v>
      </c>
      <c r="C139">
        <f t="shared" si="31"/>
        <v>0.98304370980343858</v>
      </c>
      <c r="D139" t="s">
        <v>29</v>
      </c>
      <c r="E139" t="s">
        <v>21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STOWA2019_JAARROND_T(A139*60,J139,I139,"WL","center")</f>
        <v>0.48493880257829813</v>
      </c>
      <c r="L139">
        <f t="shared" si="34"/>
        <v>3.0931738026012265</v>
      </c>
    </row>
    <row r="140" spans="1:12" x14ac:dyDescent="0.3">
      <c r="A140">
        <v>216</v>
      </c>
      <c r="B140">
        <f t="shared" si="35"/>
        <v>0.7486624737996932</v>
      </c>
      <c r="C140">
        <f t="shared" si="31"/>
        <v>0.7486624737996932</v>
      </c>
      <c r="D140" t="s">
        <v>29</v>
      </c>
      <c r="E140" t="s">
        <v>21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STOWA2019_JAARROND_T(A140*60,J140,I140,"WL","center")</f>
        <v>0.63979217399080335</v>
      </c>
      <c r="L140">
        <f t="shared" si="34"/>
        <v>2.3445113288015333</v>
      </c>
    </row>
    <row r="141" spans="1:12" x14ac:dyDescent="0.3">
      <c r="A141">
        <v>216</v>
      </c>
      <c r="B141">
        <f t="shared" si="35"/>
        <v>0.56948119794584517</v>
      </c>
      <c r="C141">
        <f t="shared" si="31"/>
        <v>0.56948119794584517</v>
      </c>
      <c r="D141" t="s">
        <v>29</v>
      </c>
      <c r="E141" t="s">
        <v>21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STOWA2019_JAARROND_T(A141*60,J141,I141,"WL","center")</f>
        <v>0.84505607759846624</v>
      </c>
      <c r="L141">
        <f t="shared" si="34"/>
        <v>1.7750301308556882</v>
      </c>
    </row>
    <row r="142" spans="1:12" x14ac:dyDescent="0.3">
      <c r="A142">
        <v>216</v>
      </c>
      <c r="B142">
        <f t="shared" si="35"/>
        <v>0.4326270086090982</v>
      </c>
      <c r="C142">
        <f t="shared" si="31"/>
        <v>0.4326270086090982</v>
      </c>
      <c r="D142" t="s">
        <v>29</v>
      </c>
      <c r="E142" t="s">
        <v>21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STOWA2019_JAARROND_T(A142*60,J142,I142,"WL","center")</f>
        <v>1.1173990697292646</v>
      </c>
      <c r="L142">
        <f t="shared" si="34"/>
        <v>1.34240312224659</v>
      </c>
    </row>
    <row r="143" spans="1:12" x14ac:dyDescent="0.3">
      <c r="A143">
        <v>216</v>
      </c>
      <c r="B143">
        <f t="shared" si="35"/>
        <v>0.32845001823230602</v>
      </c>
      <c r="C143">
        <f t="shared" si="31"/>
        <v>0.32845001823230602</v>
      </c>
      <c r="D143" t="s">
        <v>29</v>
      </c>
      <c r="E143" t="s">
        <v>21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STOWA2019_JAARROND_T(A143*60,J143,I143,"WL","center")</f>
        <v>1.4793583589432642</v>
      </c>
      <c r="L143">
        <f t="shared" si="34"/>
        <v>1.013953104014284</v>
      </c>
    </row>
    <row r="144" spans="1:12" x14ac:dyDescent="0.3">
      <c r="A144">
        <v>216</v>
      </c>
      <c r="B144">
        <f t="shared" si="35"/>
        <v>0.24900453692126989</v>
      </c>
      <c r="C144">
        <f t="shared" si="31"/>
        <v>0.24900453692126989</v>
      </c>
      <c r="D144" t="s">
        <v>29</v>
      </c>
      <c r="E144" t="s">
        <v>21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STOWA2019_JAARROND_T(A144*60,J144,I144,"WL","center")</f>
        <v>1.9609161511346516</v>
      </c>
      <c r="L144">
        <f t="shared" si="34"/>
        <v>0.76494856709301406</v>
      </c>
    </row>
    <row r="145" spans="1:12" x14ac:dyDescent="0.3">
      <c r="A145">
        <v>216</v>
      </c>
      <c r="B145">
        <f t="shared" si="35"/>
        <v>0.18854200306639113</v>
      </c>
      <c r="C145">
        <f t="shared" si="31"/>
        <v>0.18854200306639113</v>
      </c>
      <c r="D145" t="s">
        <v>29</v>
      </c>
      <c r="E145" t="s">
        <v>21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STOWA2019_JAARROND_T(A145*60,J145,I145,"WL","center")</f>
        <v>2.6023298373311348</v>
      </c>
      <c r="L145">
        <f t="shared" si="34"/>
        <v>0.57640656402662294</v>
      </c>
    </row>
    <row r="146" spans="1:12" x14ac:dyDescent="0.3">
      <c r="A146">
        <v>216</v>
      </c>
      <c r="B146">
        <f t="shared" si="35"/>
        <v>0.14260199667499934</v>
      </c>
      <c r="C146">
        <f t="shared" si="31"/>
        <v>0.14260199667499934</v>
      </c>
      <c r="D146" t="s">
        <v>29</v>
      </c>
      <c r="E146" t="s">
        <v>21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STOWA2019_JAARROND_T(A146*60,J146,I146,"WL","center")</f>
        <v>3.4577782552117844</v>
      </c>
      <c r="L146">
        <f t="shared" si="34"/>
        <v>0.43380456735162359</v>
      </c>
    </row>
    <row r="147" spans="1:12" x14ac:dyDescent="0.3">
      <c r="A147">
        <v>216</v>
      </c>
      <c r="B147">
        <f t="shared" si="35"/>
        <v>0.10772023150418913</v>
      </c>
      <c r="C147">
        <f t="shared" si="31"/>
        <v>0.10772023150418913</v>
      </c>
      <c r="D147" t="s">
        <v>29</v>
      </c>
      <c r="E147" t="s">
        <v>21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STOWA2019_JAARROND_T(A147*60,J147,I147,"WL","center")</f>
        <v>4.6000369692759708</v>
      </c>
      <c r="L147">
        <f t="shared" si="34"/>
        <v>0.32608433584743446</v>
      </c>
    </row>
    <row r="148" spans="1:12" x14ac:dyDescent="0.3">
      <c r="A148">
        <v>216</v>
      </c>
      <c r="B148">
        <f t="shared" si="35"/>
        <v>8.127478512797498E-2</v>
      </c>
      <c r="C148">
        <f t="shared" si="31"/>
        <v>8.127478512797498E-2</v>
      </c>
      <c r="D148" t="s">
        <v>29</v>
      </c>
      <c r="E148" t="s">
        <v>21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STOWA2019_JAARROND_T(A148*60,J148,I148,"WL","center")</f>
        <v>6.1272119310366744</v>
      </c>
      <c r="L148">
        <f t="shared" si="34"/>
        <v>0.24480955071945948</v>
      </c>
    </row>
    <row r="149" spans="1:12" x14ac:dyDescent="0.3">
      <c r="A149">
        <v>216</v>
      </c>
      <c r="B149">
        <f t="shared" si="35"/>
        <v>6.1246817604805298E-2</v>
      </c>
      <c r="C149">
        <f t="shared" si="31"/>
        <v>6.1246817604805298E-2</v>
      </c>
      <c r="D149" t="s">
        <v>29</v>
      </c>
      <c r="E149" t="s">
        <v>21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STOWA2019_JAARROND_T(A149*60,J149,I149,"WL","center")</f>
        <v>8.1715932997309029</v>
      </c>
      <c r="L149">
        <f t="shared" si="34"/>
        <v>0.18356273311465418</v>
      </c>
    </row>
    <row r="150" spans="1:12" x14ac:dyDescent="0.3">
      <c r="A150">
        <v>216</v>
      </c>
      <c r="B150">
        <f t="shared" si="35"/>
        <v>4.6097305743202061E-2</v>
      </c>
      <c r="C150">
        <f t="shared" si="31"/>
        <v>4.6097305743202061E-2</v>
      </c>
      <c r="D150" t="s">
        <v>29</v>
      </c>
      <c r="E150" t="s">
        <v>21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STOWA2019_JAARROND_T(A150*60,J150,I150,"WL","center")</f>
        <v>10.911834551292491</v>
      </c>
      <c r="L150">
        <f t="shared" si="34"/>
        <v>0.13746542737145212</v>
      </c>
    </row>
    <row r="151" spans="1:12" x14ac:dyDescent="0.3">
      <c r="A151">
        <v>216</v>
      </c>
      <c r="B151">
        <f t="shared" si="35"/>
        <v>3.4651892409148649E-2</v>
      </c>
      <c r="C151">
        <f t="shared" si="31"/>
        <v>3.4651892409148649E-2</v>
      </c>
      <c r="D151" t="s">
        <v>29</v>
      </c>
      <c r="E151" t="s">
        <v>21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STOWA2019_JAARROND_T(A151*60,J151,I151,"WL","center")</f>
        <v>14.589518788065932</v>
      </c>
      <c r="L151">
        <f t="shared" si="34"/>
        <v>0.10281353496230347</v>
      </c>
    </row>
    <row r="152" spans="1:12" x14ac:dyDescent="0.3">
      <c r="A152">
        <v>216</v>
      </c>
      <c r="B152">
        <f t="shared" si="35"/>
        <v>2.60155367010005E-2</v>
      </c>
      <c r="C152">
        <f t="shared" si="31"/>
        <v>2.60155367010005E-2</v>
      </c>
      <c r="D152" t="s">
        <v>29</v>
      </c>
      <c r="E152" t="s">
        <v>21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STOWA2019_JAARROND_T(A152*60,J152,I152,"WL","center")</f>
        <v>19.531759081744465</v>
      </c>
      <c r="L152">
        <f t="shared" si="34"/>
        <v>7.6797998261302972E-2</v>
      </c>
    </row>
    <row r="153" spans="1:12" x14ac:dyDescent="0.3">
      <c r="A153">
        <v>216</v>
      </c>
      <c r="B153">
        <f t="shared" si="35"/>
        <v>1.950723363027701E-2</v>
      </c>
      <c r="C153">
        <f t="shared" si="31"/>
        <v>1.950723363027701E-2</v>
      </c>
      <c r="D153" t="s">
        <v>29</v>
      </c>
      <c r="E153" t="s">
        <v>21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STOWA2019_JAARROND_T(A153*60,J153,I153,"WL","center")</f>
        <v>26.182230411141543</v>
      </c>
      <c r="L153">
        <f t="shared" si="34"/>
        <v>5.7290764631025962E-2</v>
      </c>
    </row>
    <row r="154" spans="1:12" x14ac:dyDescent="0.3">
      <c r="A154">
        <v>216</v>
      </c>
      <c r="B154">
        <f t="shared" si="35"/>
        <v>1.4607800721465843E-2</v>
      </c>
      <c r="C154">
        <f t="shared" si="31"/>
        <v>1.4607800721465843E-2</v>
      </c>
      <c r="D154" t="s">
        <v>29</v>
      </c>
      <c r="E154" t="s">
        <v>21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STOWA2019_JAARROND_T(A154*60,J154,I154,"WL","center")</f>
        <v>35.142826612938904</v>
      </c>
      <c r="L154">
        <f t="shared" si="34"/>
        <v>4.2682963909560119E-2</v>
      </c>
    </row>
    <row r="155" spans="1:12" x14ac:dyDescent="0.3">
      <c r="A155">
        <v>216</v>
      </c>
      <c r="B155">
        <f t="shared" si="35"/>
        <v>1.0925053831419299E-2</v>
      </c>
      <c r="C155">
        <f t="shared" si="31"/>
        <v>1.0925053831419299E-2</v>
      </c>
      <c r="D155" t="s">
        <v>29</v>
      </c>
      <c r="E155" t="s">
        <v>21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STOWA2019_JAARROND_T(A155*60,J155,I155,"WL","center")</f>
        <v>47.232327200033851</v>
      </c>
      <c r="L155">
        <f t="shared" si="34"/>
        <v>3.1757910078140821E-2</v>
      </c>
    </row>
    <row r="156" spans="1:12" x14ac:dyDescent="0.3">
      <c r="A156">
        <v>216</v>
      </c>
      <c r="B156" s="1">
        <f>L155</f>
        <v>3.1757910078140821E-2</v>
      </c>
      <c r="C156">
        <f t="shared" si="31"/>
        <v>3.1757910078140821E-2</v>
      </c>
      <c r="D156" t="s">
        <v>29</v>
      </c>
      <c r="E156" t="s">
        <v>21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STOWA2019_JAARROND_T(A156*60,J156,I156,"WL","center")</f>
        <v>54.784415918529341</v>
      </c>
      <c r="L156">
        <f t="shared" si="34"/>
        <v>2.7380049140811696E-2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07BC-9C51-4F63-AC28-DBB94C7D97D9}">
  <sheetPr codeName="Blad14"/>
  <dimension ref="A1:L156"/>
  <sheetViews>
    <sheetView workbookViewId="0">
      <selection activeCell="L28" sqref="L28"/>
    </sheetView>
  </sheetViews>
  <sheetFormatPr defaultRowHeight="14.4" x14ac:dyDescent="0.3"/>
  <cols>
    <col min="2" max="3" width="12" bestFit="1" customWidth="1"/>
    <col min="4" max="4" width="26.777343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343.31891735415644</v>
      </c>
      <c r="C2">
        <f>B2</f>
        <v>343.31891735415644</v>
      </c>
      <c r="D2" t="s">
        <v>29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STOWA2019_NDJF_T(A2*60,J2,I2,"WL","center")</f>
        <v>0.13679215241882137</v>
      </c>
      <c r="L2">
        <f>1/K2 * 12/4</f>
        <v>21.93108264584356</v>
      </c>
    </row>
    <row r="3" spans="1:12" x14ac:dyDescent="0.3">
      <c r="A3">
        <v>24</v>
      </c>
      <c r="B3">
        <f t="shared" ref="B3:B7" si="0">L2-L3</f>
        <v>7.747211055324609</v>
      </c>
      <c r="C3">
        <f t="shared" ref="C3:C32" si="1">B3</f>
        <v>7.747211055324609</v>
      </c>
      <c r="D3" t="s">
        <v>29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STOWA2019_NDJF_T(A3*60,J3,I3,"WL","center")</f>
        <v>0.21150783697205186</v>
      </c>
      <c r="L3">
        <f t="shared" ref="L3:L66" si="4">1/K3 * 12/4</f>
        <v>14.183871590518951</v>
      </c>
    </row>
    <row r="4" spans="1:12" x14ac:dyDescent="0.3">
      <c r="A4">
        <v>24</v>
      </c>
      <c r="B4">
        <f t="shared" si="0"/>
        <v>8.0120512339449625</v>
      </c>
      <c r="C4">
        <f t="shared" si="1"/>
        <v>8.0120512339449625</v>
      </c>
      <c r="D4" t="s">
        <v>29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STOWA2019_NDJF_T(A4*60,J4,I4,"WL","center")</f>
        <v>0.48608025293615581</v>
      </c>
      <c r="L4">
        <f t="shared" si="4"/>
        <v>6.1718203565739884</v>
      </c>
    </row>
    <row r="5" spans="1:12" x14ac:dyDescent="0.3">
      <c r="A5">
        <v>24</v>
      </c>
      <c r="B5">
        <f t="shared" si="0"/>
        <v>3.3547452934418072</v>
      </c>
      <c r="C5">
        <f t="shared" si="1"/>
        <v>3.3547452934418072</v>
      </c>
      <c r="D5" t="s">
        <v>29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STOWA2019_NDJF_T(A5*60,J5,I5,"WL","center")</f>
        <v>1.0649343495534807</v>
      </c>
      <c r="L5">
        <f t="shared" si="4"/>
        <v>2.8170750631321813</v>
      </c>
    </row>
    <row r="6" spans="1:12" x14ac:dyDescent="0.3">
      <c r="A6">
        <v>24</v>
      </c>
      <c r="B6">
        <f t="shared" si="0"/>
        <v>1.4755906994481029</v>
      </c>
      <c r="C6">
        <f t="shared" si="1"/>
        <v>1.4755906994481029</v>
      </c>
      <c r="D6" t="s">
        <v>29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STOWA2019_NDJF_T(A6*60,J6,I6,"WL","center")</f>
        <v>2.2363287125920648</v>
      </c>
      <c r="L6">
        <f t="shared" si="4"/>
        <v>1.3414843636840783</v>
      </c>
    </row>
    <row r="7" spans="1:12" x14ac:dyDescent="0.3">
      <c r="A7">
        <v>24</v>
      </c>
      <c r="B7">
        <f t="shared" si="0"/>
        <v>0.67785741122942655</v>
      </c>
      <c r="C7">
        <f t="shared" si="1"/>
        <v>0.67785741122942655</v>
      </c>
      <c r="D7" t="s">
        <v>29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STOWA2019_NDJF_T(A7*60,J7,I7,"WL","center")</f>
        <v>4.5206120530570253</v>
      </c>
      <c r="L7">
        <f t="shared" si="4"/>
        <v>0.66362695245465175</v>
      </c>
    </row>
    <row r="8" spans="1:12" x14ac:dyDescent="0.3">
      <c r="A8">
        <v>24</v>
      </c>
      <c r="B8">
        <f>L7-L8</f>
        <v>0.32384418693311334</v>
      </c>
      <c r="C8">
        <f t="shared" si="1"/>
        <v>0.32384418693311334</v>
      </c>
      <c r="D8" t="s">
        <v>29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STOWA2019_NDJF_T(A8*60,J8,I8,"WL","center")</f>
        <v>8.8291705890239847</v>
      </c>
      <c r="L8">
        <f t="shared" si="4"/>
        <v>0.33978276552153841</v>
      </c>
    </row>
    <row r="9" spans="1:12" x14ac:dyDescent="0.3">
      <c r="A9">
        <v>24</v>
      </c>
      <c r="B9">
        <f t="shared" ref="B9:B31" si="5">L8-L9</f>
        <v>0.16029774543700534</v>
      </c>
      <c r="C9">
        <f t="shared" si="1"/>
        <v>0.16029774543700534</v>
      </c>
      <c r="D9" t="s">
        <v>29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STOWA2019_NDJF_T(A9*60,J9,I9,"WL","center")</f>
        <v>16.714486805567802</v>
      </c>
      <c r="L9">
        <f t="shared" si="4"/>
        <v>0.17948502008453307</v>
      </c>
    </row>
    <row r="10" spans="1:12" x14ac:dyDescent="0.3">
      <c r="A10">
        <v>24</v>
      </c>
      <c r="B10">
        <f t="shared" si="5"/>
        <v>8.1941433665333019E-2</v>
      </c>
      <c r="C10">
        <f t="shared" si="1"/>
        <v>8.1941433665333019E-2</v>
      </c>
      <c r="D10" t="s">
        <v>29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STOWA2019_NDJF_T(A10*60,J10,I10,"WL","center")</f>
        <v>30.755481832575857</v>
      </c>
      <c r="L10">
        <f t="shared" si="4"/>
        <v>9.7543586419200051E-2</v>
      </c>
    </row>
    <row r="11" spans="1:12" x14ac:dyDescent="0.3">
      <c r="A11">
        <v>24</v>
      </c>
      <c r="B11">
        <f t="shared" si="5"/>
        <v>4.3137240229095861E-2</v>
      </c>
      <c r="C11">
        <f t="shared" si="1"/>
        <v>4.3137240229095861E-2</v>
      </c>
      <c r="D11" t="s">
        <v>29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STOWA2019_NDJF_T(A11*60,J11,I11,"WL","center")</f>
        <v>55.140626233519455</v>
      </c>
      <c r="L11">
        <f t="shared" si="4"/>
        <v>5.4406346190104191E-2</v>
      </c>
    </row>
    <row r="12" spans="1:12" x14ac:dyDescent="0.3">
      <c r="A12">
        <v>24</v>
      </c>
      <c r="B12">
        <f t="shared" si="5"/>
        <v>2.3327152468996588E-2</v>
      </c>
      <c r="C12">
        <f t="shared" si="1"/>
        <v>2.3327152468996588E-2</v>
      </c>
      <c r="D12" t="s">
        <v>29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STOWA2019_NDJF_T(A12*60,J12,I12,"WL","center")</f>
        <v>96.527600648871854</v>
      </c>
      <c r="L12">
        <f t="shared" si="4"/>
        <v>3.1079193721107602E-2</v>
      </c>
    </row>
    <row r="13" spans="1:12" x14ac:dyDescent="0.3">
      <c r="A13">
        <v>24</v>
      </c>
      <c r="B13">
        <f t="shared" si="5"/>
        <v>1.293054304627575E-2</v>
      </c>
      <c r="C13">
        <f t="shared" si="1"/>
        <v>1.293054304627575E-2</v>
      </c>
      <c r="D13" t="s">
        <v>29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STOWA2019_NDJF_T(A13*60,J13,I13,"WL","center")</f>
        <v>165.30154520855555</v>
      </c>
      <c r="L13">
        <f t="shared" si="4"/>
        <v>1.8148650674831852E-2</v>
      </c>
    </row>
    <row r="14" spans="1:12" x14ac:dyDescent="0.3">
      <c r="A14">
        <v>24</v>
      </c>
      <c r="B14">
        <f t="shared" si="5"/>
        <v>7.3332642764238638E-3</v>
      </c>
      <c r="C14">
        <f t="shared" si="1"/>
        <v>7.3332642764238638E-3</v>
      </c>
      <c r="D14" t="s">
        <v>29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STOWA2019_NDJF_T(A14*60,J14,I14,"WL","center")</f>
        <v>277.38260007442693</v>
      </c>
      <c r="L14">
        <f t="shared" si="4"/>
        <v>1.0815386398407989E-2</v>
      </c>
    </row>
    <row r="15" spans="1:12" x14ac:dyDescent="0.3">
      <c r="A15">
        <v>24</v>
      </c>
      <c r="B15">
        <f t="shared" si="5"/>
        <v>4.2474449410006042E-3</v>
      </c>
      <c r="C15">
        <f t="shared" si="1"/>
        <v>4.2474449410006042E-3</v>
      </c>
      <c r="D15" t="s">
        <v>29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STOWA2019_NDJF_T(A15*60,J15,I15,"WL","center")</f>
        <v>456.76411999936028</v>
      </c>
      <c r="L15">
        <f t="shared" si="4"/>
        <v>6.5679414574073844E-3</v>
      </c>
    </row>
    <row r="16" spans="1:12" x14ac:dyDescent="0.3">
      <c r="A16">
        <v>24</v>
      </c>
      <c r="B16">
        <f t="shared" si="5"/>
        <v>2.5088736162339987E-3</v>
      </c>
      <c r="C16">
        <f t="shared" si="1"/>
        <v>2.5088736162339987E-3</v>
      </c>
      <c r="D16" t="s">
        <v>29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STOWA2019_NDJF_T(A16*60,J16,I16,"WL","center")</f>
        <v>739.0859471648464</v>
      </c>
      <c r="L16">
        <f t="shared" si="4"/>
        <v>4.0590678411733857E-3</v>
      </c>
    </row>
    <row r="17" spans="1:12" x14ac:dyDescent="0.3">
      <c r="A17">
        <v>24</v>
      </c>
      <c r="B17">
        <f t="shared" si="5"/>
        <v>1.5092060596248865E-3</v>
      </c>
      <c r="C17">
        <f t="shared" si="1"/>
        <v>1.5092060596248865E-3</v>
      </c>
      <c r="D17" t="s">
        <v>29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STOWA2019_NDJF_T(A17*60,J17,I17,"WL","center")</f>
        <v>1176.5343602970268</v>
      </c>
      <c r="L17">
        <f t="shared" si="4"/>
        <v>2.5498617815484991E-3</v>
      </c>
    </row>
    <row r="18" spans="1:12" x14ac:dyDescent="0.3">
      <c r="A18">
        <v>24</v>
      </c>
      <c r="B18">
        <f t="shared" si="5"/>
        <v>9.2343452561672755E-4</v>
      </c>
      <c r="C18">
        <f t="shared" si="1"/>
        <v>9.2343452561672755E-4</v>
      </c>
      <c r="D18" t="s">
        <v>29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STOWA2019_NDJF_T(A18*60,J18,I18,"WL","center")</f>
        <v>1844.5337712207213</v>
      </c>
      <c r="L18">
        <f t="shared" si="4"/>
        <v>1.6264272559317716E-3</v>
      </c>
    </row>
    <row r="19" spans="1:12" x14ac:dyDescent="0.3">
      <c r="A19">
        <v>24</v>
      </c>
      <c r="B19">
        <f t="shared" si="5"/>
        <v>5.7407179840173188E-4</v>
      </c>
      <c r="C19">
        <f t="shared" si="1"/>
        <v>5.7407179840173188E-4</v>
      </c>
      <c r="D19" t="s">
        <v>29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STOWA2019_NDJF_T(A19*60,J19,I19,"WL","center")</f>
        <v>2850.7477948954947</v>
      </c>
      <c r="L19">
        <f t="shared" si="4"/>
        <v>1.0523554575300397E-3</v>
      </c>
    </row>
    <row r="20" spans="1:12" x14ac:dyDescent="0.3">
      <c r="A20">
        <v>24</v>
      </c>
      <c r="B20">
        <f t="shared" si="5"/>
        <v>3.6225750081420103E-4</v>
      </c>
      <c r="C20">
        <f t="shared" si="1"/>
        <v>3.6225750081420103E-4</v>
      </c>
      <c r="D20" t="s">
        <v>29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STOWA2019_NDJF_T(A20*60,J20,I20,"WL","center")</f>
        <v>4347.2089299857298</v>
      </c>
      <c r="L20">
        <f t="shared" si="4"/>
        <v>6.9009795671583869E-4</v>
      </c>
    </row>
    <row r="21" spans="1:12" x14ac:dyDescent="0.3">
      <c r="A21">
        <v>24</v>
      </c>
      <c r="B21">
        <f t="shared" si="5"/>
        <v>2.3181028044081016E-4</v>
      </c>
      <c r="C21">
        <f t="shared" si="1"/>
        <v>2.3181028044081016E-4</v>
      </c>
      <c r="D21" t="s">
        <v>29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STOWA2019_NDJF_T(A21*60,J21,I21,"WL","center")</f>
        <v>6546.106638485373</v>
      </c>
      <c r="L21">
        <f t="shared" si="4"/>
        <v>4.5828767627502853E-4</v>
      </c>
    </row>
    <row r="22" spans="1:12" x14ac:dyDescent="0.3">
      <c r="A22">
        <v>24</v>
      </c>
      <c r="B22">
        <f t="shared" si="5"/>
        <v>1.503068859817803E-4</v>
      </c>
      <c r="C22">
        <f t="shared" si="1"/>
        <v>1.503068859817803E-4</v>
      </c>
      <c r="D22" t="s">
        <v>29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STOWA2019_NDJF_T(A22*60,J22,I22,"WL","center")</f>
        <v>9740.8672701421019</v>
      </c>
      <c r="L22">
        <f t="shared" si="4"/>
        <v>3.0798079029324823E-4</v>
      </c>
    </row>
    <row r="23" spans="1:12" x14ac:dyDescent="0.3">
      <c r="A23">
        <v>24</v>
      </c>
      <c r="B23">
        <f t="shared" si="5"/>
        <v>9.8677431017628521E-5</v>
      </c>
      <c r="C23">
        <f t="shared" si="1"/>
        <v>9.8677431017628521E-5</v>
      </c>
      <c r="D23" t="s">
        <v>29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STOWA2019_NDJF_T(A23*60,J23,I23,"WL","center")</f>
        <v>14333.262544771058</v>
      </c>
      <c r="L23">
        <f t="shared" si="4"/>
        <v>2.0930335927561971E-4</v>
      </c>
    </row>
    <row r="24" spans="1:12" x14ac:dyDescent="0.3">
      <c r="A24">
        <v>24</v>
      </c>
      <c r="B24">
        <f t="shared" si="5"/>
        <v>6.554637996943001E-5</v>
      </c>
      <c r="C24">
        <f t="shared" si="1"/>
        <v>6.554637996943001E-5</v>
      </c>
      <c r="D24" t="s">
        <v>29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STOWA2019_NDJF_T(A24*60,J24,I24,"WL","center")</f>
        <v>20868.55201381398</v>
      </c>
      <c r="L24">
        <f t="shared" si="4"/>
        <v>1.437569793061897E-4</v>
      </c>
    </row>
    <row r="25" spans="1:12" x14ac:dyDescent="0.3">
      <c r="A25">
        <v>24</v>
      </c>
      <c r="B25">
        <f t="shared" si="5"/>
        <v>4.4024576227304571E-5</v>
      </c>
      <c r="C25">
        <f t="shared" si="1"/>
        <v>4.4024576227304571E-5</v>
      </c>
      <c r="D25" t="s">
        <v>29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STOWA2019_NDJF_T(A25*60,J25,I25,"WL","center")</f>
        <v>30080.494477076787</v>
      </c>
      <c r="L25">
        <f t="shared" si="4"/>
        <v>9.9732403078885129E-5</v>
      </c>
    </row>
    <row r="26" spans="1:12" x14ac:dyDescent="0.3">
      <c r="A26">
        <v>24</v>
      </c>
      <c r="B26">
        <f t="shared" si="5"/>
        <v>2.9881531972811363E-5</v>
      </c>
      <c r="C26">
        <f t="shared" si="1"/>
        <v>2.9881531972811363E-5</v>
      </c>
      <c r="D26" t="s">
        <v>29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STOWA2019_NDJF_T(A26*60,J26,I26,"WL","center")</f>
        <v>42948.641190805996</v>
      </c>
      <c r="L26">
        <f t="shared" si="4"/>
        <v>6.9850871106073766E-5</v>
      </c>
    </row>
    <row r="27" spans="1:12" x14ac:dyDescent="0.3">
      <c r="A27">
        <v>24</v>
      </c>
      <c r="B27">
        <f t="shared" si="5"/>
        <v>2.0485048987339052E-5</v>
      </c>
      <c r="C27">
        <f t="shared" si="1"/>
        <v>2.0485048987339052E-5</v>
      </c>
      <c r="D27" t="s">
        <v>29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STOWA2019_NDJF_T(A27*60,J27,I27,"WL","center")</f>
        <v>60770.789814548159</v>
      </c>
      <c r="L27">
        <f t="shared" si="4"/>
        <v>4.9365822118734715E-5</v>
      </c>
    </row>
    <row r="28" spans="1:12" x14ac:dyDescent="0.3">
      <c r="A28">
        <v>24</v>
      </c>
      <c r="B28">
        <f t="shared" si="5"/>
        <v>1.4176877390475169E-5</v>
      </c>
      <c r="C28">
        <f t="shared" si="1"/>
        <v>1.4176877390475169E-5</v>
      </c>
      <c r="D28" t="s">
        <v>29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STOWA2019_NDJF_T(A28*60,J28,I28,"WL","center")</f>
        <v>85254.048485027713</v>
      </c>
      <c r="L28">
        <f t="shared" si="4"/>
        <v>3.5188944728259546E-5</v>
      </c>
    </row>
    <row r="29" spans="1:12" x14ac:dyDescent="0.3">
      <c r="A29">
        <v>24</v>
      </c>
      <c r="B29">
        <f t="shared" si="5"/>
        <v>9.8998012352599307E-6</v>
      </c>
      <c r="C29">
        <f t="shared" si="1"/>
        <v>9.8998012352599307E-6</v>
      </c>
      <c r="D29" t="s">
        <v>29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STOWA2019_NDJF_T(A29*60,J29,I29,"WL","center")</f>
        <v>118627.97966370199</v>
      </c>
      <c r="L29">
        <f t="shared" si="4"/>
        <v>2.5289143492999615E-5</v>
      </c>
    </row>
    <row r="30" spans="1:12" x14ac:dyDescent="0.3">
      <c r="A30">
        <v>24</v>
      </c>
      <c r="B30">
        <f t="shared" si="5"/>
        <v>6.9728267116435261E-6</v>
      </c>
      <c r="C30">
        <f t="shared" si="1"/>
        <v>6.9728267116435261E-6</v>
      </c>
      <c r="D30" t="s">
        <v>29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STOWA2019_NDJF_T(A30*60,J30,I30,"WL","center")</f>
        <v>163788.38801552373</v>
      </c>
      <c r="L30">
        <f t="shared" si="4"/>
        <v>1.8316316781356089E-5</v>
      </c>
    </row>
    <row r="31" spans="1:12" x14ac:dyDescent="0.3">
      <c r="A31">
        <v>24</v>
      </c>
      <c r="B31">
        <f t="shared" si="5"/>
        <v>4.9514265650675317E-6</v>
      </c>
      <c r="C31">
        <f t="shared" si="1"/>
        <v>4.9514265650675317E-6</v>
      </c>
      <c r="D31" t="s">
        <v>29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STOWA2019_NDJF_T(A31*60,J31,I31,"WL","center")</f>
        <v>224468.73498023412</v>
      </c>
      <c r="L31">
        <f t="shared" si="4"/>
        <v>1.3364890216288558E-5</v>
      </c>
    </row>
    <row r="32" spans="1:12" x14ac:dyDescent="0.3">
      <c r="A32">
        <v>24</v>
      </c>
      <c r="B32" s="1">
        <f>L31</f>
        <v>1.3364890216288558E-5</v>
      </c>
      <c r="C32">
        <f t="shared" si="1"/>
        <v>1.3364890216288558E-5</v>
      </c>
      <c r="D32" t="s">
        <v>29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STOWA2019_NDJF_T(A32*60,J32,I32,"WL","center")</f>
        <v>934.34682762340219</v>
      </c>
      <c r="L32">
        <f t="shared" si="4"/>
        <v>3.2107991500659114E-3</v>
      </c>
    </row>
    <row r="33" spans="1:12" x14ac:dyDescent="0.3">
      <c r="A33">
        <v>48</v>
      </c>
      <c r="B33" s="1">
        <f>365.25*24/A33 - L33</f>
        <v>141.69051162564509</v>
      </c>
      <c r="C33">
        <f>B33</f>
        <v>141.69051162564509</v>
      </c>
      <c r="D33" t="s">
        <v>29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STOWA2019_NDJF_T(A33*60,J33,I33,"WL","center")</f>
        <v>7.3287834272272798E-2</v>
      </c>
      <c r="L33">
        <f t="shared" si="4"/>
        <v>40.934488374354906</v>
      </c>
    </row>
    <row r="34" spans="1:12" x14ac:dyDescent="0.3">
      <c r="A34">
        <v>48</v>
      </c>
      <c r="B34">
        <f t="shared" ref="B34:B38" si="8">L33-L34</f>
        <v>11.460507082647627</v>
      </c>
      <c r="C34">
        <f t="shared" ref="C34:C63" si="9">B34</f>
        <v>11.460507082647627</v>
      </c>
      <c r="D34" t="s">
        <v>29</v>
      </c>
      <c r="E34" t="s">
        <v>19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STOWA2019_NDJF_T(A34*60,J34,I34,"WL","center")</f>
        <v>0.10178468834286979</v>
      </c>
      <c r="L34">
        <f t="shared" si="4"/>
        <v>29.473981291707279</v>
      </c>
    </row>
    <row r="35" spans="1:12" x14ac:dyDescent="0.3">
      <c r="A35">
        <v>48</v>
      </c>
      <c r="B35">
        <f t="shared" si="8"/>
        <v>13.922616536470823</v>
      </c>
      <c r="C35">
        <f t="shared" si="9"/>
        <v>13.922616536470823</v>
      </c>
      <c r="D35" t="s">
        <v>29</v>
      </c>
      <c r="E35" t="s">
        <v>19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STOWA2019_NDJF_T(A35*60,J35,I35,"WL","center")</f>
        <v>0.19290911422998033</v>
      </c>
      <c r="L35">
        <f t="shared" si="4"/>
        <v>15.551364755236456</v>
      </c>
    </row>
    <row r="36" spans="1:12" x14ac:dyDescent="0.3">
      <c r="A36">
        <v>48</v>
      </c>
      <c r="B36">
        <f t="shared" si="8"/>
        <v>7.1625933692961468</v>
      </c>
      <c r="C36">
        <f t="shared" si="9"/>
        <v>7.1625933692961468</v>
      </c>
      <c r="D36" t="s">
        <v>29</v>
      </c>
      <c r="E36" t="s">
        <v>19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STOWA2019_NDJF_T(A36*60,J36,I36,"WL","center")</f>
        <v>0.35762090322642953</v>
      </c>
      <c r="L36">
        <f t="shared" si="4"/>
        <v>8.3887713859403092</v>
      </c>
    </row>
    <row r="37" spans="1:12" x14ac:dyDescent="0.3">
      <c r="A37">
        <v>48</v>
      </c>
      <c r="B37">
        <f t="shared" si="8"/>
        <v>3.7692764597967123</v>
      </c>
      <c r="C37">
        <f t="shared" si="9"/>
        <v>3.7692764597967123</v>
      </c>
      <c r="D37" t="s">
        <v>29</v>
      </c>
      <c r="E37" t="s">
        <v>19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STOWA2019_NDJF_T(A37*60,J37,I37,"WL","center")</f>
        <v>0.64942164629768995</v>
      </c>
      <c r="L37">
        <f t="shared" si="4"/>
        <v>4.6194949261435969</v>
      </c>
    </row>
    <row r="38" spans="1:12" x14ac:dyDescent="0.3">
      <c r="A38">
        <v>48</v>
      </c>
      <c r="B38">
        <f t="shared" si="8"/>
        <v>2.0258309183492673</v>
      </c>
      <c r="C38">
        <f t="shared" si="9"/>
        <v>2.0258309183492673</v>
      </c>
      <c r="D38" t="s">
        <v>29</v>
      </c>
      <c r="E38" t="s">
        <v>19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STOWA2019_NDJF_T(A38*60,J38,I38,"WL","center")</f>
        <v>1.1566648536528144</v>
      </c>
      <c r="L38">
        <f t="shared" si="4"/>
        <v>2.5936640077943296</v>
      </c>
    </row>
    <row r="39" spans="1:12" x14ac:dyDescent="0.3">
      <c r="A39">
        <v>48</v>
      </c>
      <c r="B39">
        <f>L38-L39</f>
        <v>1.1110261277167677</v>
      </c>
      <c r="C39">
        <f t="shared" si="9"/>
        <v>1.1110261277167677</v>
      </c>
      <c r="D39" t="s">
        <v>29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STOWA2019_NDJF_T(A39*60,J39,I39,"WL","center")</f>
        <v>2.0234205805149532</v>
      </c>
      <c r="L39">
        <f t="shared" si="4"/>
        <v>1.4826378800775619</v>
      </c>
    </row>
    <row r="40" spans="1:12" x14ac:dyDescent="0.3">
      <c r="A40">
        <v>48</v>
      </c>
      <c r="B40">
        <f t="shared" ref="B40:B62" si="12">L39-L40</f>
        <v>0.62058193736459322</v>
      </c>
      <c r="C40">
        <f t="shared" si="9"/>
        <v>0.62058193736459322</v>
      </c>
      <c r="D40" t="s">
        <v>29</v>
      </c>
      <c r="E40" t="s">
        <v>19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STOWA2019_NDJF_T(A40*60,J40,I40,"WL","center")</f>
        <v>3.4800525712504533</v>
      </c>
      <c r="L40">
        <f t="shared" si="4"/>
        <v>0.8620559427129687</v>
      </c>
    </row>
    <row r="41" spans="1:12" x14ac:dyDescent="0.3">
      <c r="A41">
        <v>48</v>
      </c>
      <c r="B41">
        <f t="shared" si="12"/>
        <v>0.35275139657426136</v>
      </c>
      <c r="C41">
        <f t="shared" si="9"/>
        <v>0.35275139657426136</v>
      </c>
      <c r="D41" t="s">
        <v>29</v>
      </c>
      <c r="E41" t="s">
        <v>19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STOWA2019_NDJF_T(A41*60,J41,I41,"WL","center")</f>
        <v>5.8903852768338734</v>
      </c>
      <c r="L41">
        <f t="shared" si="4"/>
        <v>0.50930454613870735</v>
      </c>
    </row>
    <row r="42" spans="1:12" x14ac:dyDescent="0.3">
      <c r="A42">
        <v>48</v>
      </c>
      <c r="B42">
        <f t="shared" si="12"/>
        <v>0.20384000654280515</v>
      </c>
      <c r="C42">
        <f t="shared" si="9"/>
        <v>0.20384000654280515</v>
      </c>
      <c r="D42" t="s">
        <v>29</v>
      </c>
      <c r="E42" t="s">
        <v>19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STOWA2019_NDJF_T(A42*60,J42,I42,"WL","center")</f>
        <v>9.8211072354541962</v>
      </c>
      <c r="L42">
        <f t="shared" si="4"/>
        <v>0.3054645395959022</v>
      </c>
    </row>
    <row r="43" spans="1:12" x14ac:dyDescent="0.3">
      <c r="A43">
        <v>48</v>
      </c>
      <c r="B43">
        <f t="shared" si="12"/>
        <v>0.11962994247390235</v>
      </c>
      <c r="C43">
        <f t="shared" si="9"/>
        <v>0.11962994247390235</v>
      </c>
      <c r="D43" t="s">
        <v>29</v>
      </c>
      <c r="E43" t="s">
        <v>19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STOWA2019_NDJF_T(A43*60,J43,I43,"WL","center")</f>
        <v>16.143387972211166</v>
      </c>
      <c r="L43">
        <f t="shared" si="4"/>
        <v>0.18583459712199984</v>
      </c>
    </row>
    <row r="44" spans="1:12" x14ac:dyDescent="0.3">
      <c r="A44">
        <v>48</v>
      </c>
      <c r="B44">
        <f t="shared" si="12"/>
        <v>7.1247528420254794E-2</v>
      </c>
      <c r="C44">
        <f t="shared" si="9"/>
        <v>7.1247528420254794E-2</v>
      </c>
      <c r="D44" t="s">
        <v>29</v>
      </c>
      <c r="E44" t="s">
        <v>19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STOWA2019_NDJF_T(A44*60,J44,I44,"WL","center")</f>
        <v>26.180964693394873</v>
      </c>
      <c r="L44">
        <f t="shared" si="4"/>
        <v>0.11458706870174505</v>
      </c>
    </row>
    <row r="45" spans="1:12" x14ac:dyDescent="0.3">
      <c r="A45">
        <v>48</v>
      </c>
      <c r="B45">
        <f t="shared" si="12"/>
        <v>4.3025475159762475E-2</v>
      </c>
      <c r="C45">
        <f t="shared" si="9"/>
        <v>4.3025475159762475E-2</v>
      </c>
      <c r="D45" t="s">
        <v>29</v>
      </c>
      <c r="E45" t="s">
        <v>19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STOWA2019_NDJF_T(A45*60,J45,I45,"WL","center")</f>
        <v>41.921928390820547</v>
      </c>
      <c r="L45">
        <f t="shared" si="4"/>
        <v>7.1561593541982577E-2</v>
      </c>
    </row>
    <row r="46" spans="1:12" x14ac:dyDescent="0.3">
      <c r="A46">
        <v>48</v>
      </c>
      <c r="B46">
        <f t="shared" si="12"/>
        <v>2.6326490213243667E-2</v>
      </c>
      <c r="C46">
        <f t="shared" si="9"/>
        <v>2.6326490213243667E-2</v>
      </c>
      <c r="D46" t="s">
        <v>29</v>
      </c>
      <c r="E46" t="s">
        <v>19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STOWA2019_NDJF_T(A46*60,J46,I46,"WL","center")</f>
        <v>66.320175687407584</v>
      </c>
      <c r="L46">
        <f t="shared" si="4"/>
        <v>4.523510332873891E-2</v>
      </c>
    </row>
    <row r="47" spans="1:12" x14ac:dyDescent="0.3">
      <c r="A47">
        <v>48</v>
      </c>
      <c r="B47">
        <f t="shared" si="12"/>
        <v>1.6310763635668239E-2</v>
      </c>
      <c r="C47">
        <f t="shared" si="9"/>
        <v>1.6310763635668239E-2</v>
      </c>
      <c r="D47" t="s">
        <v>29</v>
      </c>
      <c r="E47" t="s">
        <v>19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STOWA2019_NDJF_T(A47*60,J47,I47,"WL","center")</f>
        <v>103.71887593059564</v>
      </c>
      <c r="L47">
        <f t="shared" si="4"/>
        <v>2.8924339693070671E-2</v>
      </c>
    </row>
    <row r="48" spans="1:12" x14ac:dyDescent="0.3">
      <c r="A48">
        <v>48</v>
      </c>
      <c r="B48">
        <f t="shared" si="12"/>
        <v>1.0226486926586446E-2</v>
      </c>
      <c r="C48">
        <f t="shared" si="9"/>
        <v>1.0226486926586446E-2</v>
      </c>
      <c r="D48" t="s">
        <v>29</v>
      </c>
      <c r="E48" t="s">
        <v>19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STOWA2019_NDJF_T(A48*60,J48,I48,"WL","center")</f>
        <v>160.44623077669539</v>
      </c>
      <c r="L48">
        <f t="shared" si="4"/>
        <v>1.8697852766484224E-2</v>
      </c>
    </row>
    <row r="49" spans="1:12" x14ac:dyDescent="0.3">
      <c r="A49">
        <v>48</v>
      </c>
      <c r="B49">
        <f t="shared" si="12"/>
        <v>6.4842975794479722E-3</v>
      </c>
      <c r="C49">
        <f t="shared" si="9"/>
        <v>6.4842975794479722E-3</v>
      </c>
      <c r="D49" t="s">
        <v>29</v>
      </c>
      <c r="E49" t="s">
        <v>19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STOWA2019_NDJF_T(A49*60,J49,I49,"WL","center")</f>
        <v>245.62872595722732</v>
      </c>
      <c r="L49">
        <f t="shared" si="4"/>
        <v>1.2213555187036252E-2</v>
      </c>
    </row>
    <row r="50" spans="1:12" x14ac:dyDescent="0.3">
      <c r="A50">
        <v>48</v>
      </c>
      <c r="B50">
        <f t="shared" si="12"/>
        <v>4.1560582511619999E-3</v>
      </c>
      <c r="C50">
        <f t="shared" si="9"/>
        <v>4.1560582511619999E-3</v>
      </c>
      <c r="D50" t="s">
        <v>29</v>
      </c>
      <c r="E50" t="s">
        <v>19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STOWA2019_NDJF_T(A50*60,J50,I50,"WL","center")</f>
        <v>372.32406340027916</v>
      </c>
      <c r="L50">
        <f t="shared" si="4"/>
        <v>8.0574969358742522E-3</v>
      </c>
    </row>
    <row r="51" spans="1:12" x14ac:dyDescent="0.3">
      <c r="A51">
        <v>48</v>
      </c>
      <c r="B51">
        <f t="shared" si="12"/>
        <v>2.6913011622213242E-3</v>
      </c>
      <c r="C51">
        <f t="shared" si="9"/>
        <v>2.6913011622213242E-3</v>
      </c>
      <c r="D51" t="s">
        <v>29</v>
      </c>
      <c r="E51" t="s">
        <v>19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STOWA2019_NDJF_T(A51*60,J51,I51,"WL","center")</f>
        <v>559.05526494755736</v>
      </c>
      <c r="L51">
        <f t="shared" si="4"/>
        <v>5.366195773652928E-3</v>
      </c>
    </row>
    <row r="52" spans="1:12" x14ac:dyDescent="0.3">
      <c r="A52">
        <v>48</v>
      </c>
      <c r="B52">
        <f t="shared" si="12"/>
        <v>1.7598701401601085E-3</v>
      </c>
      <c r="C52">
        <f t="shared" si="9"/>
        <v>1.7598701401601085E-3</v>
      </c>
      <c r="D52" t="s">
        <v>29</v>
      </c>
      <c r="E52" t="s">
        <v>19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STOWA2019_NDJF_T(A52*60,J52,I52,"WL","center")</f>
        <v>831.87163470161249</v>
      </c>
      <c r="L52">
        <f t="shared" si="4"/>
        <v>3.6063256334928195E-3</v>
      </c>
    </row>
    <row r="53" spans="1:12" x14ac:dyDescent="0.3">
      <c r="A53">
        <v>48</v>
      </c>
      <c r="B53">
        <f t="shared" si="12"/>
        <v>1.1616346777593451E-3</v>
      </c>
      <c r="C53">
        <f t="shared" si="9"/>
        <v>1.1616346777593451E-3</v>
      </c>
      <c r="D53" t="s">
        <v>29</v>
      </c>
      <c r="E53" t="s">
        <v>19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STOWA2019_NDJF_T(A53*60,J53,I53,"WL","center")</f>
        <v>1227.1489747872517</v>
      </c>
      <c r="L53">
        <f t="shared" si="4"/>
        <v>2.4446909557334744E-3</v>
      </c>
    </row>
    <row r="54" spans="1:12" x14ac:dyDescent="0.3">
      <c r="A54">
        <v>48</v>
      </c>
      <c r="B54">
        <f t="shared" si="12"/>
        <v>7.736873888380888E-4</v>
      </c>
      <c r="C54">
        <f t="shared" si="9"/>
        <v>7.736873888380888E-4</v>
      </c>
      <c r="D54" t="s">
        <v>29</v>
      </c>
      <c r="E54" t="s">
        <v>19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STOWA2019_NDJF_T(A54*60,J54,I54,"WL","center")</f>
        <v>1795.3283041602372</v>
      </c>
      <c r="L54">
        <f t="shared" si="4"/>
        <v>1.6710035668953856E-3</v>
      </c>
    </row>
    <row r="55" spans="1:12" x14ac:dyDescent="0.3">
      <c r="A55">
        <v>48</v>
      </c>
      <c r="B55">
        <f t="shared" si="12"/>
        <v>5.197307539910362E-4</v>
      </c>
      <c r="C55">
        <f t="shared" si="9"/>
        <v>5.197307539910362E-4</v>
      </c>
      <c r="D55" t="s">
        <v>29</v>
      </c>
      <c r="E55" t="s">
        <v>19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STOWA2019_NDJF_T(A55*60,J55,I55,"WL","center")</f>
        <v>2605.8115560219067</v>
      </c>
      <c r="L55">
        <f t="shared" si="4"/>
        <v>1.1512728129043494E-3</v>
      </c>
    </row>
    <row r="56" spans="1:12" x14ac:dyDescent="0.3">
      <c r="A56">
        <v>48</v>
      </c>
      <c r="B56">
        <f t="shared" si="12"/>
        <v>3.5201227123911002E-4</v>
      </c>
      <c r="C56">
        <f t="shared" si="9"/>
        <v>3.5201227123911002E-4</v>
      </c>
      <c r="D56" t="s">
        <v>29</v>
      </c>
      <c r="E56" t="s">
        <v>19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STOWA2019_NDJF_T(A56*60,J56,I56,"WL","center")</f>
        <v>3753.4694178065824</v>
      </c>
      <c r="L56">
        <f t="shared" si="4"/>
        <v>7.9926054166523934E-4</v>
      </c>
    </row>
    <row r="57" spans="1:12" x14ac:dyDescent="0.3">
      <c r="A57">
        <v>48</v>
      </c>
      <c r="B57">
        <f t="shared" si="12"/>
        <v>2.4031461622170825E-4</v>
      </c>
      <c r="C57">
        <f t="shared" si="9"/>
        <v>2.4031461622170825E-4</v>
      </c>
      <c r="D57" t="s">
        <v>29</v>
      </c>
      <c r="E57" t="s">
        <v>19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STOWA2019_NDJF_T(A57*60,J57,I57,"WL","center")</f>
        <v>5367.2454944893989</v>
      </c>
      <c r="L57">
        <f t="shared" si="4"/>
        <v>5.5894592544353109E-4</v>
      </c>
    </row>
    <row r="58" spans="1:12" x14ac:dyDescent="0.3">
      <c r="A58">
        <v>48</v>
      </c>
      <c r="B58">
        <f t="shared" si="12"/>
        <v>1.6530226937688623E-4</v>
      </c>
      <c r="C58">
        <f t="shared" si="9"/>
        <v>1.6530226937688623E-4</v>
      </c>
      <c r="D58" t="s">
        <v>29</v>
      </c>
      <c r="E58" t="s">
        <v>19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STOWA2019_NDJF_T(A58*60,J58,I58,"WL","center")</f>
        <v>7621.1059260462016</v>
      </c>
      <c r="L58">
        <f t="shared" si="4"/>
        <v>3.9364365606664486E-4</v>
      </c>
    </row>
    <row r="59" spans="1:12" x14ac:dyDescent="0.3">
      <c r="A59">
        <v>48</v>
      </c>
      <c r="B59">
        <f t="shared" si="12"/>
        <v>1.1453957707664155E-4</v>
      </c>
      <c r="C59">
        <f t="shared" si="9"/>
        <v>1.1453957707664155E-4</v>
      </c>
      <c r="D59" t="s">
        <v>29</v>
      </c>
      <c r="E59" t="s">
        <v>19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STOWA2019_NDJF_T(A59*60,J59,I59,"WL","center")</f>
        <v>10748.678453056402</v>
      </c>
      <c r="L59">
        <f t="shared" si="4"/>
        <v>2.791040789900033E-4</v>
      </c>
    </row>
    <row r="60" spans="1:12" x14ac:dyDescent="0.3">
      <c r="A60">
        <v>48</v>
      </c>
      <c r="B60">
        <f t="shared" si="12"/>
        <v>7.9920864730357124E-5</v>
      </c>
      <c r="C60">
        <f t="shared" si="9"/>
        <v>7.9920864730357124E-5</v>
      </c>
      <c r="D60" t="s">
        <v>29</v>
      </c>
      <c r="E60" t="s">
        <v>19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STOWA2019_NDJF_T(A60*60,J60,I60,"WL","center")</f>
        <v>15061.510133526295</v>
      </c>
      <c r="L60">
        <f t="shared" si="4"/>
        <v>1.9918321425964618E-4</v>
      </c>
    </row>
    <row r="61" spans="1:12" x14ac:dyDescent="0.3">
      <c r="A61">
        <v>48</v>
      </c>
      <c r="B61">
        <f t="shared" si="12"/>
        <v>5.614376292787705E-5</v>
      </c>
      <c r="C61">
        <f t="shared" si="9"/>
        <v>5.614376292787705E-5</v>
      </c>
      <c r="D61" t="s">
        <v>29</v>
      </c>
      <c r="E61" t="s">
        <v>19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STOWA2019_NDJF_T(A61*60,J61,I61,"WL","center")</f>
        <v>20973.234810875554</v>
      </c>
      <c r="L61">
        <f t="shared" si="4"/>
        <v>1.4303945133176913E-4</v>
      </c>
    </row>
    <row r="62" spans="1:12" x14ac:dyDescent="0.3">
      <c r="A62">
        <v>48</v>
      </c>
      <c r="B62">
        <f t="shared" si="12"/>
        <v>3.9697519213898055E-5</v>
      </c>
      <c r="C62">
        <f t="shared" si="9"/>
        <v>3.9697519213898055E-5</v>
      </c>
      <c r="D62" t="s">
        <v>29</v>
      </c>
      <c r="E62" t="s">
        <v>19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STOWA2019_NDJF_T(A62*60,J62,I62,"WL","center")</f>
        <v>29029.842373938016</v>
      </c>
      <c r="L62">
        <f t="shared" si="4"/>
        <v>1.0334193211787107E-4</v>
      </c>
    </row>
    <row r="63" spans="1:12" x14ac:dyDescent="0.3">
      <c r="A63">
        <v>48</v>
      </c>
      <c r="B63" s="1">
        <f>L62</f>
        <v>1.0334193211787107E-4</v>
      </c>
      <c r="C63">
        <f t="shared" si="9"/>
        <v>1.0334193211787107E-4</v>
      </c>
      <c r="D63" t="s">
        <v>29</v>
      </c>
      <c r="E63" t="s">
        <v>19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STOWA2019_NDJF_T(A63*60,J63,I63,"WL","center")</f>
        <v>129.17314559447772</v>
      </c>
      <c r="L63">
        <f t="shared" si="4"/>
        <v>2.322464151657427E-2</v>
      </c>
    </row>
    <row r="64" spans="1:12" x14ac:dyDescent="0.3">
      <c r="A64">
        <v>96</v>
      </c>
      <c r="B64" s="1">
        <f>365.25*24/A64 - L64</f>
        <v>32.170511380086232</v>
      </c>
      <c r="C64">
        <f>B64</f>
        <v>32.170511380086232</v>
      </c>
      <c r="D64" t="s">
        <v>29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STOWA2019_NDJF_T(A64*60,J64,I64,"WL","center")</f>
        <v>5.0725382592053496E-2</v>
      </c>
      <c r="L64">
        <f t="shared" si="4"/>
        <v>59.141988619913768</v>
      </c>
    </row>
    <row r="65" spans="1:12" x14ac:dyDescent="0.3">
      <c r="A65">
        <v>96</v>
      </c>
      <c r="B65">
        <f t="shared" ref="B65:B69" si="15">L64-L65</f>
        <v>11.885360730766543</v>
      </c>
      <c r="C65">
        <f t="shared" ref="C65:C94" si="16">B65</f>
        <v>11.885360730766543</v>
      </c>
      <c r="D65" t="s">
        <v>29</v>
      </c>
      <c r="E65" t="s">
        <v>19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STOWA2019_NDJF_T(A65*60,J65,I65,"WL","center")</f>
        <v>6.3483158532540329E-2</v>
      </c>
      <c r="L65">
        <f t="shared" si="4"/>
        <v>47.256627889147225</v>
      </c>
    </row>
    <row r="66" spans="1:12" x14ac:dyDescent="0.3">
      <c r="A66">
        <v>96</v>
      </c>
      <c r="B66">
        <f t="shared" si="15"/>
        <v>16.985560254573336</v>
      </c>
      <c r="C66">
        <f t="shared" si="16"/>
        <v>16.985560254573336</v>
      </c>
      <c r="D66" t="s">
        <v>29</v>
      </c>
      <c r="E66" t="s">
        <v>19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STOWA2019_NDJF_T(A66*60,J66,I66,"WL","center")</f>
        <v>9.9104532295173187E-2</v>
      </c>
      <c r="L66">
        <f t="shared" si="4"/>
        <v>30.271067634573889</v>
      </c>
    </row>
    <row r="67" spans="1:12" x14ac:dyDescent="0.3">
      <c r="A67">
        <v>96</v>
      </c>
      <c r="B67">
        <f t="shared" si="15"/>
        <v>10.796279092000606</v>
      </c>
      <c r="C67">
        <f t="shared" si="16"/>
        <v>10.796279092000606</v>
      </c>
      <c r="D67" t="s">
        <v>29</v>
      </c>
      <c r="E67" t="s">
        <v>19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STOWA2019_NDJF_T(A67*60,J67,I67,"WL","center")</f>
        <v>0.15404531830688611</v>
      </c>
      <c r="L67">
        <f t="shared" ref="L67:L130" si="19">1/K67 * 12/4</f>
        <v>19.474788542573283</v>
      </c>
    </row>
    <row r="68" spans="1:12" x14ac:dyDescent="0.3">
      <c r="A68">
        <v>96</v>
      </c>
      <c r="B68">
        <f t="shared" si="15"/>
        <v>6.8924530701916105</v>
      </c>
      <c r="C68">
        <f t="shared" si="16"/>
        <v>6.8924530701916105</v>
      </c>
      <c r="D68" t="s">
        <v>29</v>
      </c>
      <c r="E68" t="s">
        <v>19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STOWA2019_NDJF_T(A68*60,J68,I68,"WL","center")</f>
        <v>0.23842950353573267</v>
      </c>
      <c r="L68">
        <f t="shared" si="19"/>
        <v>12.582335472381672</v>
      </c>
    </row>
    <row r="69" spans="1:12" x14ac:dyDescent="0.3">
      <c r="A69">
        <v>96</v>
      </c>
      <c r="B69">
        <f t="shared" si="15"/>
        <v>4.4193589510002003</v>
      </c>
      <c r="C69">
        <f t="shared" si="16"/>
        <v>4.4193589510002003</v>
      </c>
      <c r="D69" t="s">
        <v>29</v>
      </c>
      <c r="E69" t="s">
        <v>19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STOWA2019_NDJF_T(A69*60,J69,I69,"WL","center")</f>
        <v>0.36751300118798957</v>
      </c>
      <c r="L69">
        <f t="shared" si="19"/>
        <v>8.1629765213814718</v>
      </c>
    </row>
    <row r="70" spans="1:12" x14ac:dyDescent="0.3">
      <c r="A70">
        <v>96</v>
      </c>
      <c r="B70">
        <f>L69-L70</f>
        <v>2.8454048869001669</v>
      </c>
      <c r="C70">
        <f t="shared" si="16"/>
        <v>2.8454048869001669</v>
      </c>
      <c r="D70" t="s">
        <v>29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STOWA2019_NDJF_T(A70*60,J70,I70,"WL","center")</f>
        <v>0.56416729406084076</v>
      </c>
      <c r="L70">
        <f t="shared" si="19"/>
        <v>5.3175716344813049</v>
      </c>
    </row>
    <row r="71" spans="1:12" x14ac:dyDescent="0.3">
      <c r="A71">
        <v>96</v>
      </c>
      <c r="B71">
        <f t="shared" ref="B71:B93" si="20">L70-L71</f>
        <v>1.8396615505428029</v>
      </c>
      <c r="C71">
        <f t="shared" si="16"/>
        <v>1.8396615505428029</v>
      </c>
      <c r="D71" t="s">
        <v>29</v>
      </c>
      <c r="E71" t="s">
        <v>19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STOWA2019_NDJF_T(A71*60,J71,I71,"WL","center")</f>
        <v>0.86258699264665839</v>
      </c>
      <c r="L71">
        <f t="shared" si="19"/>
        <v>3.477910083938502</v>
      </c>
    </row>
    <row r="72" spans="1:12" x14ac:dyDescent="0.3">
      <c r="A72">
        <v>96</v>
      </c>
      <c r="B72">
        <f t="shared" si="20"/>
        <v>1.1940852993046627</v>
      </c>
      <c r="C72">
        <f t="shared" si="16"/>
        <v>1.1940852993046627</v>
      </c>
      <c r="D72" t="s">
        <v>29</v>
      </c>
      <c r="E72" t="s">
        <v>19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STOWA2019_NDJF_T(A72*60,J72,I72,"WL","center")</f>
        <v>1.3135858846023443</v>
      </c>
      <c r="L72">
        <f t="shared" si="19"/>
        <v>2.2838247846338393</v>
      </c>
    </row>
    <row r="73" spans="1:12" x14ac:dyDescent="0.3">
      <c r="A73">
        <v>96</v>
      </c>
      <c r="B73">
        <f t="shared" si="20"/>
        <v>0.77843574567904805</v>
      </c>
      <c r="C73">
        <f t="shared" si="16"/>
        <v>0.77843574567904805</v>
      </c>
      <c r="D73" t="s">
        <v>29</v>
      </c>
      <c r="E73" t="s">
        <v>19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STOWA2019_NDJF_T(A73*60,J73,I73,"WL","center")</f>
        <v>1.9928403371947851</v>
      </c>
      <c r="L73">
        <f t="shared" si="19"/>
        <v>1.5053890389547913</v>
      </c>
    </row>
    <row r="74" spans="1:12" x14ac:dyDescent="0.3">
      <c r="A74">
        <v>96</v>
      </c>
      <c r="B74">
        <f t="shared" si="20"/>
        <v>0.50933807741858772</v>
      </c>
      <c r="C74">
        <f t="shared" si="16"/>
        <v>0.50933807741858772</v>
      </c>
      <c r="D74" t="s">
        <v>29</v>
      </c>
      <c r="E74" t="s">
        <v>19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STOWA2019_NDJF_T(A74*60,J74,I74,"WL","center")</f>
        <v>3.0118940855928873</v>
      </c>
      <c r="L74">
        <f t="shared" si="19"/>
        <v>0.99605096153620354</v>
      </c>
    </row>
    <row r="75" spans="1:12" x14ac:dyDescent="0.3">
      <c r="A75">
        <v>96</v>
      </c>
      <c r="B75">
        <f t="shared" si="20"/>
        <v>0.33455480090569734</v>
      </c>
      <c r="C75">
        <f t="shared" si="16"/>
        <v>0.33455480090569734</v>
      </c>
      <c r="D75" t="s">
        <v>29</v>
      </c>
      <c r="E75" t="s">
        <v>19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STOWA2019_NDJF_T(A75*60,J75,I75,"WL","center")</f>
        <v>4.5351737145995603</v>
      </c>
      <c r="L75">
        <f t="shared" si="19"/>
        <v>0.6614961606305062</v>
      </c>
    </row>
    <row r="76" spans="1:12" x14ac:dyDescent="0.3">
      <c r="A76">
        <v>96</v>
      </c>
      <c r="B76">
        <f t="shared" si="20"/>
        <v>0.22057347136514138</v>
      </c>
      <c r="C76">
        <f t="shared" si="16"/>
        <v>0.22057347136514138</v>
      </c>
      <c r="D76" t="s">
        <v>29</v>
      </c>
      <c r="E76" t="s">
        <v>19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STOWA2019_NDJF_T(A76*60,J76,I76,"WL","center")</f>
        <v>6.8039138675271946</v>
      </c>
      <c r="L76">
        <f t="shared" si="19"/>
        <v>0.44092268926536482</v>
      </c>
    </row>
    <row r="77" spans="1:12" x14ac:dyDescent="0.3">
      <c r="A77">
        <v>96</v>
      </c>
      <c r="B77">
        <f t="shared" si="20"/>
        <v>0.14597098261658359</v>
      </c>
      <c r="C77">
        <f t="shared" si="16"/>
        <v>0.14597098261658359</v>
      </c>
      <c r="D77" t="s">
        <v>29</v>
      </c>
      <c r="E77" t="s">
        <v>19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STOWA2019_NDJF_T(A77*60,J77,I77,"WL","center")</f>
        <v>10.171156607587632</v>
      </c>
      <c r="L77">
        <f t="shared" si="19"/>
        <v>0.29495170664878123</v>
      </c>
    </row>
    <row r="78" spans="1:12" x14ac:dyDescent="0.3">
      <c r="A78">
        <v>96</v>
      </c>
      <c r="B78">
        <f t="shared" si="20"/>
        <v>9.6947791057905519E-2</v>
      </c>
      <c r="C78">
        <f t="shared" si="16"/>
        <v>9.6947791057905519E-2</v>
      </c>
      <c r="D78" t="s">
        <v>29</v>
      </c>
      <c r="E78" t="s">
        <v>19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STOWA2019_NDJF_T(A78*60,J78,I78,"WL","center")</f>
        <v>15.151215525448144</v>
      </c>
      <c r="L78">
        <f t="shared" si="19"/>
        <v>0.19800391559087571</v>
      </c>
    </row>
    <row r="79" spans="1:12" x14ac:dyDescent="0.3">
      <c r="A79">
        <v>96</v>
      </c>
      <c r="B79">
        <f t="shared" si="20"/>
        <v>6.4620908645164982E-2</v>
      </c>
      <c r="C79">
        <f t="shared" si="16"/>
        <v>6.4620908645164982E-2</v>
      </c>
      <c r="D79" t="s">
        <v>29</v>
      </c>
      <c r="E79" t="s">
        <v>19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STOWA2019_NDJF_T(A79*60,J79,I79,"WL","center")</f>
        <v>22.491620699637199</v>
      </c>
      <c r="L79">
        <f t="shared" si="19"/>
        <v>0.13338300694571073</v>
      </c>
    </row>
    <row r="80" spans="1:12" x14ac:dyDescent="0.3">
      <c r="A80">
        <v>96</v>
      </c>
      <c r="B80">
        <f t="shared" si="20"/>
        <v>4.3225541350095723E-2</v>
      </c>
      <c r="C80">
        <f t="shared" si="16"/>
        <v>4.3225541350095723E-2</v>
      </c>
      <c r="D80" t="s">
        <v>29</v>
      </c>
      <c r="E80" t="s">
        <v>19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STOWA2019_NDJF_T(A80*60,J80,I80,"WL","center")</f>
        <v>33.275114602887761</v>
      </c>
      <c r="L80">
        <f t="shared" si="19"/>
        <v>9.0157465595615008E-2</v>
      </c>
    </row>
    <row r="81" spans="1:12" x14ac:dyDescent="0.3">
      <c r="A81">
        <v>96</v>
      </c>
      <c r="B81">
        <f t="shared" si="20"/>
        <v>2.9012698824057478E-2</v>
      </c>
      <c r="C81">
        <f t="shared" si="16"/>
        <v>2.9012698824057478E-2</v>
      </c>
      <c r="D81" t="s">
        <v>29</v>
      </c>
      <c r="E81" t="s">
        <v>19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STOWA2019_NDJF_T(A81*60,J81,I81,"WL","center")</f>
        <v>49.063888185366309</v>
      </c>
      <c r="L81">
        <f t="shared" si="19"/>
        <v>6.1144766771557529E-2</v>
      </c>
    </row>
    <row r="82" spans="1:12" x14ac:dyDescent="0.3">
      <c r="A82">
        <v>96</v>
      </c>
      <c r="B82">
        <f t="shared" si="20"/>
        <v>1.9539803421604995E-2</v>
      </c>
      <c r="C82">
        <f t="shared" si="16"/>
        <v>1.9539803421604995E-2</v>
      </c>
      <c r="D82" t="s">
        <v>29</v>
      </c>
      <c r="E82" t="s">
        <v>19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STOWA2019_NDJF_T(A82*60,J82,I82,"WL","center")</f>
        <v>72.106781461770538</v>
      </c>
      <c r="L82">
        <f t="shared" si="19"/>
        <v>4.1604963349952534E-2</v>
      </c>
    </row>
    <row r="83" spans="1:12" x14ac:dyDescent="0.3">
      <c r="A83">
        <v>96</v>
      </c>
      <c r="B83">
        <f t="shared" si="20"/>
        <v>1.3203855160650688E-2</v>
      </c>
      <c r="C83">
        <f t="shared" si="16"/>
        <v>1.3203855160650688E-2</v>
      </c>
      <c r="D83" t="s">
        <v>29</v>
      </c>
      <c r="E83" t="s">
        <v>19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STOWA2019_NDJF_T(A83*60,J83,I83,"WL","center")</f>
        <v>105.62968106751703</v>
      </c>
      <c r="L83">
        <f t="shared" si="19"/>
        <v>2.8401108189301846E-2</v>
      </c>
    </row>
    <row r="84" spans="1:12" x14ac:dyDescent="0.3">
      <c r="A84">
        <v>96</v>
      </c>
      <c r="B84">
        <f t="shared" si="20"/>
        <v>8.9517016195088984E-3</v>
      </c>
      <c r="C84">
        <f t="shared" si="16"/>
        <v>8.9517016195088984E-3</v>
      </c>
      <c r="D84" t="s">
        <v>29</v>
      </c>
      <c r="E84" t="s">
        <v>19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STOWA2019_NDJF_T(A84*60,J84,I84,"WL","center")</f>
        <v>154.24635138530795</v>
      </c>
      <c r="L84">
        <f t="shared" si="19"/>
        <v>1.9449406569792948E-2</v>
      </c>
    </row>
    <row r="85" spans="1:12" x14ac:dyDescent="0.3">
      <c r="A85">
        <v>96</v>
      </c>
      <c r="B85">
        <f t="shared" si="20"/>
        <v>6.0885112553936416E-3</v>
      </c>
      <c r="C85">
        <f t="shared" si="16"/>
        <v>6.0885112553936416E-3</v>
      </c>
      <c r="D85" t="s">
        <v>29</v>
      </c>
      <c r="E85" t="s">
        <v>19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STOWA2019_NDJF_T(A85*60,J85,I85,"WL","center")</f>
        <v>224.53585103438684</v>
      </c>
      <c r="L85">
        <f t="shared" si="19"/>
        <v>1.3360895314399306E-2</v>
      </c>
    </row>
    <row r="86" spans="1:12" x14ac:dyDescent="0.3">
      <c r="A86">
        <v>96</v>
      </c>
      <c r="B86">
        <f t="shared" si="20"/>
        <v>4.1542067310560843E-3</v>
      </c>
      <c r="C86">
        <f t="shared" si="16"/>
        <v>4.1542067310560843E-3</v>
      </c>
      <c r="D86" t="s">
        <v>29</v>
      </c>
      <c r="E86" t="s">
        <v>19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STOWA2019_NDJF_T(A86*60,J86,I86,"WL","center")</f>
        <v>325.85005703653451</v>
      </c>
      <c r="L86">
        <f t="shared" si="19"/>
        <v>9.206688583343222E-3</v>
      </c>
    </row>
    <row r="87" spans="1:12" x14ac:dyDescent="0.3">
      <c r="A87">
        <v>96</v>
      </c>
      <c r="B87">
        <f t="shared" si="20"/>
        <v>2.8433851832848963E-3</v>
      </c>
      <c r="C87">
        <f t="shared" si="16"/>
        <v>2.8433851832848963E-3</v>
      </c>
      <c r="D87" t="s">
        <v>29</v>
      </c>
      <c r="E87" t="s">
        <v>19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STOWA2019_NDJF_T(A87*60,J87,I87,"WL","center")</f>
        <v>471.45323920473481</v>
      </c>
      <c r="L87">
        <f t="shared" si="19"/>
        <v>6.3633034000583257E-3</v>
      </c>
    </row>
    <row r="88" spans="1:12" x14ac:dyDescent="0.3">
      <c r="A88">
        <v>96</v>
      </c>
      <c r="B88">
        <f t="shared" si="20"/>
        <v>1.952122623861987E-3</v>
      </c>
      <c r="C88">
        <f t="shared" si="16"/>
        <v>1.952122623861987E-3</v>
      </c>
      <c r="D88" t="s">
        <v>29</v>
      </c>
      <c r="E88" t="s">
        <v>19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STOWA2019_NDJF_T(A88*60,J88,I88,"WL","center")</f>
        <v>680.09001494308109</v>
      </c>
      <c r="L88">
        <f t="shared" si="19"/>
        <v>4.4111807761963388E-3</v>
      </c>
    </row>
    <row r="89" spans="1:12" x14ac:dyDescent="0.3">
      <c r="A89">
        <v>96</v>
      </c>
      <c r="B89">
        <f t="shared" si="20"/>
        <v>1.3442818173527368E-3</v>
      </c>
      <c r="C89">
        <f t="shared" si="16"/>
        <v>1.3442818173527368E-3</v>
      </c>
      <c r="D89" t="s">
        <v>29</v>
      </c>
      <c r="E89" t="s">
        <v>19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STOWA2019_NDJF_T(A89*60,J89,I89,"WL","center")</f>
        <v>978.18677441240936</v>
      </c>
      <c r="L89">
        <f t="shared" si="19"/>
        <v>3.0668989588436019E-3</v>
      </c>
    </row>
    <row r="90" spans="1:12" x14ac:dyDescent="0.3">
      <c r="A90">
        <v>96</v>
      </c>
      <c r="B90">
        <f t="shared" si="20"/>
        <v>9.2845082969033026E-4</v>
      </c>
      <c r="C90">
        <f t="shared" si="16"/>
        <v>9.2845082969033026E-4</v>
      </c>
      <c r="D90" t="s">
        <v>29</v>
      </c>
      <c r="E90" t="s">
        <v>19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STOWA2019_NDJF_T(A90*60,J90,I90,"WL","center")</f>
        <v>1402.8864946973783</v>
      </c>
      <c r="L90">
        <f t="shared" si="19"/>
        <v>2.1384481291532717E-3</v>
      </c>
    </row>
    <row r="91" spans="1:12" x14ac:dyDescent="0.3">
      <c r="A91">
        <v>96</v>
      </c>
      <c r="B91">
        <f t="shared" si="20"/>
        <v>6.4314960426227149E-4</v>
      </c>
      <c r="C91">
        <f t="shared" si="16"/>
        <v>6.4314960426227149E-4</v>
      </c>
      <c r="D91" t="s">
        <v>29</v>
      </c>
      <c r="E91" t="s">
        <v>19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STOWA2019_NDJF_T(A91*60,J91,I91,"WL","center")</f>
        <v>2006.2883431378261</v>
      </c>
      <c r="L91">
        <f t="shared" si="19"/>
        <v>1.4952985248910002E-3</v>
      </c>
    </row>
    <row r="92" spans="1:12" x14ac:dyDescent="0.3">
      <c r="A92">
        <v>96</v>
      </c>
      <c r="B92">
        <f t="shared" si="20"/>
        <v>4.4678820978814155E-4</v>
      </c>
      <c r="C92">
        <f t="shared" si="16"/>
        <v>4.4678820978814155E-4</v>
      </c>
      <c r="D92" t="s">
        <v>29</v>
      </c>
      <c r="E92" t="s">
        <v>19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STOWA2019_NDJF_T(A92*60,J92,I92,"WL","center")</f>
        <v>2861.2021806439748</v>
      </c>
      <c r="L92">
        <f t="shared" si="19"/>
        <v>1.0485103151028586E-3</v>
      </c>
    </row>
    <row r="93" spans="1:12" x14ac:dyDescent="0.3">
      <c r="A93">
        <v>96</v>
      </c>
      <c r="B93">
        <f t="shared" si="20"/>
        <v>3.1126926567478412E-4</v>
      </c>
      <c r="C93">
        <f t="shared" si="16"/>
        <v>3.1126926567478412E-4</v>
      </c>
      <c r="D93" t="s">
        <v>29</v>
      </c>
      <c r="E93" t="s">
        <v>19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STOWA2019_NDJF_T(A93*60,J93,I93,"WL","center")</f>
        <v>4069.2253942279717</v>
      </c>
      <c r="L93">
        <f t="shared" si="19"/>
        <v>7.3724104942807451E-4</v>
      </c>
    </row>
    <row r="94" spans="1:12" x14ac:dyDescent="0.3">
      <c r="A94">
        <v>96</v>
      </c>
      <c r="B94" s="1">
        <f>L93</f>
        <v>7.3724104942807451E-4</v>
      </c>
      <c r="C94">
        <f t="shared" si="16"/>
        <v>7.3724104942807451E-4</v>
      </c>
      <c r="D94" t="s">
        <v>29</v>
      </c>
      <c r="E94" t="s">
        <v>19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STOWA2019_NDJF_T(A94*60,J94,I94,"WL","center")</f>
        <v>18.468025430396406</v>
      </c>
      <c r="L94">
        <f t="shared" si="19"/>
        <v>0.16244292121573101</v>
      </c>
    </row>
    <row r="95" spans="1:12" x14ac:dyDescent="0.3">
      <c r="A95">
        <v>192</v>
      </c>
      <c r="B95" s="1">
        <f>365.25*24/A95 - L95</f>
        <v>-15.671657490892372</v>
      </c>
      <c r="C95">
        <f>B95</f>
        <v>-15.671657490892372</v>
      </c>
      <c r="D95" t="s">
        <v>29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STOWA2019_NDJF_T(A95*60,J95,I95,"WL","center")</f>
        <v>4.8917370944794113E-2</v>
      </c>
      <c r="L95">
        <f t="shared" si="19"/>
        <v>61.327907490892372</v>
      </c>
    </row>
    <row r="96" spans="1:12" x14ac:dyDescent="0.3">
      <c r="A96">
        <v>192</v>
      </c>
      <c r="B96">
        <f t="shared" ref="B96:B100" si="23">L95-L96</f>
        <v>7.6236103800028729</v>
      </c>
      <c r="C96">
        <f t="shared" ref="C96:C125" si="24">B96</f>
        <v>7.6236103800028729</v>
      </c>
      <c r="D96" t="s">
        <v>29</v>
      </c>
      <c r="E96" t="s">
        <v>19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cm="1">
        <f t="array" ref="K96">STOWA2019_NDJF_T(A96*60,J96,I96,"WL","center")</f>
        <v>5.5861451715968867E-2</v>
      </c>
      <c r="L96">
        <f t="shared" si="19"/>
        <v>53.704297110889499</v>
      </c>
    </row>
    <row r="97" spans="1:12" x14ac:dyDescent="0.3">
      <c r="A97">
        <v>192</v>
      </c>
      <c r="B97">
        <f t="shared" si="23"/>
        <v>12.623233501615971</v>
      </c>
      <c r="C97">
        <f t="shared" si="24"/>
        <v>12.623233501615971</v>
      </c>
      <c r="D97" t="s">
        <v>29</v>
      </c>
      <c r="E97" t="s">
        <v>19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STOWA2019_NDJF_T(A97*60,J97,I97,"WL","center")</f>
        <v>7.3026346847621257E-2</v>
      </c>
      <c r="L97">
        <f t="shared" si="19"/>
        <v>41.081063609273528</v>
      </c>
    </row>
    <row r="98" spans="1:12" x14ac:dyDescent="0.3">
      <c r="A98">
        <v>192</v>
      </c>
      <c r="B98">
        <f t="shared" si="23"/>
        <v>9.7611051680651144</v>
      </c>
      <c r="C98">
        <f t="shared" si="24"/>
        <v>9.7611051680651144</v>
      </c>
      <c r="D98" t="s">
        <v>29</v>
      </c>
      <c r="E98" t="s">
        <v>19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STOWA2019_NDJF_T(A98*60,J98,I98,"WL","center")</f>
        <v>9.5785567711763914E-2</v>
      </c>
      <c r="L98">
        <f t="shared" si="19"/>
        <v>31.319958441208414</v>
      </c>
    </row>
    <row r="99" spans="1:12" x14ac:dyDescent="0.3">
      <c r="A99">
        <v>192</v>
      </c>
      <c r="B99">
        <f t="shared" si="23"/>
        <v>7.5235489510738986</v>
      </c>
      <c r="C99">
        <f t="shared" si="24"/>
        <v>7.5235489510738986</v>
      </c>
      <c r="D99" t="s">
        <v>29</v>
      </c>
      <c r="E99" t="s">
        <v>19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STOWA2019_NDJF_T(A99*60,J99,I99,"WL","center")</f>
        <v>0.12606943922543173</v>
      </c>
      <c r="L99">
        <f t="shared" si="19"/>
        <v>23.796409490134515</v>
      </c>
    </row>
    <row r="100" spans="1:12" x14ac:dyDescent="0.3">
      <c r="A100">
        <v>192</v>
      </c>
      <c r="B100">
        <f t="shared" si="23"/>
        <v>5.779725688259937</v>
      </c>
      <c r="C100">
        <f t="shared" si="24"/>
        <v>5.779725688259937</v>
      </c>
      <c r="D100" t="s">
        <v>29</v>
      </c>
      <c r="E100" t="s">
        <v>19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STOWA2019_NDJF_T(A100*60,J100,I100,"WL","center")</f>
        <v>0.16651233007085686</v>
      </c>
      <c r="L100">
        <f t="shared" si="19"/>
        <v>18.016683801874578</v>
      </c>
    </row>
    <row r="101" spans="1:12" x14ac:dyDescent="0.3">
      <c r="A101">
        <v>192</v>
      </c>
      <c r="B101">
        <f>L100-L101</f>
        <v>4.4250382355936875</v>
      </c>
      <c r="C101">
        <f t="shared" si="24"/>
        <v>4.4250382355936875</v>
      </c>
      <c r="D101" t="s">
        <v>29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STOWA2019_NDJF_T(A101*60,J101,I101,"WL","center")</f>
        <v>0.22072382518880648</v>
      </c>
      <c r="L101">
        <f t="shared" si="19"/>
        <v>13.59164556628089</v>
      </c>
    </row>
    <row r="102" spans="1:12" x14ac:dyDescent="0.3">
      <c r="A102">
        <v>192</v>
      </c>
      <c r="B102">
        <f t="shared" ref="B102:B124" si="27">L101-L102</f>
        <v>3.3761658863177058</v>
      </c>
      <c r="C102">
        <f t="shared" si="24"/>
        <v>3.3761658863177058</v>
      </c>
      <c r="D102" t="s">
        <v>29</v>
      </c>
      <c r="E102" t="s">
        <v>19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STOWA2019_NDJF_T(A102*60,J102,I102,"WL","center")</f>
        <v>0.29367196587784822</v>
      </c>
      <c r="L102">
        <f t="shared" si="19"/>
        <v>10.215479679963185</v>
      </c>
    </row>
    <row r="103" spans="1:12" x14ac:dyDescent="0.3">
      <c r="A103">
        <v>192</v>
      </c>
      <c r="B103">
        <f t="shared" si="27"/>
        <v>2.5665759286527408</v>
      </c>
      <c r="C103">
        <f t="shared" si="24"/>
        <v>2.5665759286527408</v>
      </c>
      <c r="D103" t="s">
        <v>29</v>
      </c>
      <c r="E103" t="s">
        <v>19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STOWA2019_NDJF_T(A103*60,J103,I103,"WL","center")</f>
        <v>0.39221306706677106</v>
      </c>
      <c r="L103">
        <f t="shared" si="19"/>
        <v>7.6489037513104439</v>
      </c>
    </row>
    <row r="104" spans="1:12" x14ac:dyDescent="0.3">
      <c r="A104">
        <v>192</v>
      </c>
      <c r="B104">
        <f t="shared" si="27"/>
        <v>1.9440750514743907</v>
      </c>
      <c r="C104">
        <f t="shared" si="24"/>
        <v>1.9440750514743907</v>
      </c>
      <c r="D104" t="s">
        <v>29</v>
      </c>
      <c r="E104" t="s">
        <v>19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STOWA2019_NDJF_T(A104*60,J104,I104,"WL","center")</f>
        <v>0.5258703035353568</v>
      </c>
      <c r="L104">
        <f t="shared" si="19"/>
        <v>5.7048286998360531</v>
      </c>
    </row>
    <row r="105" spans="1:12" x14ac:dyDescent="0.3">
      <c r="A105">
        <v>192</v>
      </c>
      <c r="B105">
        <f t="shared" si="27"/>
        <v>1.4669884807498637</v>
      </c>
      <c r="C105">
        <f t="shared" si="24"/>
        <v>1.4669884807498637</v>
      </c>
      <c r="D105" t="s">
        <v>29</v>
      </c>
      <c r="E105" t="s">
        <v>19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STOWA2019_NDJF_T(A105*60,J105,I105,"WL","center")</f>
        <v>0.7079077654907181</v>
      </c>
      <c r="L105">
        <f t="shared" si="19"/>
        <v>4.2378402190861895</v>
      </c>
    </row>
    <row r="106" spans="1:12" x14ac:dyDescent="0.3">
      <c r="A106">
        <v>192</v>
      </c>
      <c r="B106">
        <f t="shared" si="27"/>
        <v>1.1027129614190243</v>
      </c>
      <c r="C106">
        <f t="shared" si="24"/>
        <v>1.1027129614190243</v>
      </c>
      <c r="D106" t="s">
        <v>29</v>
      </c>
      <c r="E106" t="s">
        <v>19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STOWA2019_NDJF_T(A106*60,J106,I106,"WL","center")</f>
        <v>0.95689895606734876</v>
      </c>
      <c r="L106">
        <f t="shared" si="19"/>
        <v>3.1351272576671652</v>
      </c>
    </row>
    <row r="107" spans="1:12" x14ac:dyDescent="0.3">
      <c r="A107">
        <v>192</v>
      </c>
      <c r="B107">
        <f t="shared" si="27"/>
        <v>0.82541940472998521</v>
      </c>
      <c r="C107">
        <f t="shared" si="24"/>
        <v>0.82541940472998521</v>
      </c>
      <c r="D107" t="s">
        <v>29</v>
      </c>
      <c r="E107" t="s">
        <v>19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STOWA2019_NDJF_T(A107*60,J107,I107,"WL","center")</f>
        <v>1.2988655669958424</v>
      </c>
      <c r="L107">
        <f t="shared" si="19"/>
        <v>2.30970785293718</v>
      </c>
    </row>
    <row r="108" spans="1:12" x14ac:dyDescent="0.3">
      <c r="A108">
        <v>192</v>
      </c>
      <c r="B108">
        <f t="shared" si="27"/>
        <v>0.61561826912486972</v>
      </c>
      <c r="C108">
        <f t="shared" si="24"/>
        <v>0.61561826912486972</v>
      </c>
      <c r="D108" t="s">
        <v>29</v>
      </c>
      <c r="E108" t="s">
        <v>19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STOWA2019_NDJF_T(A108*60,J108,I108,"WL","center")</f>
        <v>1.7708626678696189</v>
      </c>
      <c r="L108">
        <f t="shared" si="19"/>
        <v>1.6940895838123102</v>
      </c>
    </row>
    <row r="109" spans="1:12" x14ac:dyDescent="0.3">
      <c r="A109">
        <v>192</v>
      </c>
      <c r="B109">
        <f t="shared" si="27"/>
        <v>0.45708312865401957</v>
      </c>
      <c r="C109">
        <f t="shared" si="24"/>
        <v>0.45708312865401957</v>
      </c>
      <c r="D109" t="s">
        <v>29</v>
      </c>
      <c r="E109" t="s">
        <v>19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STOWA2019_NDJF_T(A109*60,J109,I109,"WL","center")</f>
        <v>2.4252096563361198</v>
      </c>
      <c r="L109">
        <f t="shared" si="19"/>
        <v>1.2370064551582907</v>
      </c>
    </row>
    <row r="110" spans="1:12" x14ac:dyDescent="0.3">
      <c r="A110">
        <v>192</v>
      </c>
      <c r="B110">
        <f t="shared" si="27"/>
        <v>0.33791826496374311</v>
      </c>
      <c r="C110">
        <f t="shared" si="24"/>
        <v>0.33791826496374311</v>
      </c>
      <c r="D110" t="s">
        <v>29</v>
      </c>
      <c r="E110" t="s">
        <v>19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STOWA2019_NDJF_T(A110*60,J110,I110,"WL","center")</f>
        <v>3.3367138315439897</v>
      </c>
      <c r="L110">
        <f t="shared" si="19"/>
        <v>0.89908819019454755</v>
      </c>
    </row>
    <row r="111" spans="1:12" x14ac:dyDescent="0.3">
      <c r="A111">
        <v>192</v>
      </c>
      <c r="B111">
        <f t="shared" si="27"/>
        <v>0.24870655479749082</v>
      </c>
      <c r="C111">
        <f t="shared" si="24"/>
        <v>0.24870655479749082</v>
      </c>
      <c r="D111" t="s">
        <v>29</v>
      </c>
      <c r="E111" t="s">
        <v>19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STOWA2019_NDJF_T(A111*60,J111,I111,"WL","center")</f>
        <v>4.6126763683425747</v>
      </c>
      <c r="L111">
        <f t="shared" si="19"/>
        <v>0.65038163539705673</v>
      </c>
    </row>
    <row r="112" spans="1:12" x14ac:dyDescent="0.3">
      <c r="A112">
        <v>192</v>
      </c>
      <c r="B112">
        <f t="shared" si="27"/>
        <v>0.18220714725724457</v>
      </c>
      <c r="C112">
        <f t="shared" si="24"/>
        <v>0.18220714725724457</v>
      </c>
      <c r="D112" t="s">
        <v>29</v>
      </c>
      <c r="E112" t="s">
        <v>19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STOWA2019_NDJF_T(A112*60,J112,I112,"WL","center")</f>
        <v>6.4078673144276541</v>
      </c>
      <c r="L112">
        <f t="shared" si="19"/>
        <v>0.46817448813981216</v>
      </c>
    </row>
    <row r="113" spans="1:12" x14ac:dyDescent="0.3">
      <c r="A113">
        <v>192</v>
      </c>
      <c r="B113">
        <f t="shared" si="27"/>
        <v>0.13285750117351974</v>
      </c>
      <c r="C113">
        <f t="shared" si="24"/>
        <v>0.13285750117351974</v>
      </c>
      <c r="D113" t="s">
        <v>29</v>
      </c>
      <c r="E113" t="s">
        <v>19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STOWA2019_NDJF_T(A113*60,J113,I113,"WL","center")</f>
        <v>8.9467581918287173</v>
      </c>
      <c r="L113">
        <f t="shared" si="19"/>
        <v>0.33531698696629242</v>
      </c>
    </row>
    <row r="114" spans="1:12" x14ac:dyDescent="0.3">
      <c r="A114">
        <v>192</v>
      </c>
      <c r="B114">
        <f t="shared" si="27"/>
        <v>9.6401976684916235E-2</v>
      </c>
      <c r="C114">
        <f t="shared" si="24"/>
        <v>9.6401976684916235E-2</v>
      </c>
      <c r="D114" t="s">
        <v>29</v>
      </c>
      <c r="E114" t="s">
        <v>19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STOWA2019_NDJF_T(A114*60,J114,I114,"WL","center")</f>
        <v>12.5567665106802</v>
      </c>
      <c r="L114">
        <f t="shared" si="19"/>
        <v>0.23891501028137618</v>
      </c>
    </row>
    <row r="115" spans="1:12" x14ac:dyDescent="0.3">
      <c r="A115">
        <v>192</v>
      </c>
      <c r="B115">
        <f t="shared" si="27"/>
        <v>6.9599495459590377E-2</v>
      </c>
      <c r="C115">
        <f t="shared" si="24"/>
        <v>6.9599495459590377E-2</v>
      </c>
      <c r="D115" t="s">
        <v>29</v>
      </c>
      <c r="E115" t="s">
        <v>19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STOWA2019_NDJF_T(A115*60,J115,I115,"WL","center")</f>
        <v>17.71839989476257</v>
      </c>
      <c r="L115">
        <f t="shared" si="19"/>
        <v>0.16931551482178581</v>
      </c>
    </row>
    <row r="116" spans="1:12" x14ac:dyDescent="0.3">
      <c r="A116">
        <v>192</v>
      </c>
      <c r="B116">
        <f t="shared" si="27"/>
        <v>4.9986350457466439E-2</v>
      </c>
      <c r="C116">
        <f t="shared" si="24"/>
        <v>4.9986350457466439E-2</v>
      </c>
      <c r="D116" t="s">
        <v>29</v>
      </c>
      <c r="E116" t="s">
        <v>19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STOWA2019_NDJF_T(A116*60,J116,I116,"WL","center")</f>
        <v>25.140543101775297</v>
      </c>
      <c r="L116">
        <f t="shared" si="19"/>
        <v>0.11932916436431937</v>
      </c>
    </row>
    <row r="117" spans="1:12" x14ac:dyDescent="0.3">
      <c r="A117">
        <v>192</v>
      </c>
      <c r="B117">
        <f t="shared" si="27"/>
        <v>3.5709529680095761E-2</v>
      </c>
      <c r="C117">
        <f t="shared" si="24"/>
        <v>3.5709529680095761E-2</v>
      </c>
      <c r="D117" t="s">
        <v>29</v>
      </c>
      <c r="E117" t="s">
        <v>19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STOWA2019_NDJF_T(A117*60,J117,I117,"WL","center")</f>
        <v>35.87674128605115</v>
      </c>
      <c r="L117">
        <f t="shared" si="19"/>
        <v>8.3619634684223607E-2</v>
      </c>
    </row>
    <row r="118" spans="1:12" x14ac:dyDescent="0.3">
      <c r="A118">
        <v>192</v>
      </c>
      <c r="B118">
        <f t="shared" si="27"/>
        <v>2.5368805030775099E-2</v>
      </c>
      <c r="C118">
        <f t="shared" si="24"/>
        <v>2.5368805030775099E-2</v>
      </c>
      <c r="D118" t="s">
        <v>29</v>
      </c>
      <c r="E118" t="s">
        <v>19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STOWA2019_NDJF_T(A118*60,J118,I118,"WL","center")</f>
        <v>51.501412389280823</v>
      </c>
      <c r="L118">
        <f t="shared" si="19"/>
        <v>5.8250829653448508E-2</v>
      </c>
    </row>
    <row r="119" spans="1:12" x14ac:dyDescent="0.3">
      <c r="A119">
        <v>192</v>
      </c>
      <c r="B119">
        <f t="shared" si="27"/>
        <v>1.7919619583832487E-2</v>
      </c>
      <c r="C119">
        <f t="shared" si="24"/>
        <v>1.7919619583832487E-2</v>
      </c>
      <c r="D119" t="s">
        <v>29</v>
      </c>
      <c r="E119" t="s">
        <v>19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STOWA2019_NDJF_T(A119*60,J119,I119,"WL","center")</f>
        <v>74.384081083153134</v>
      </c>
      <c r="L119">
        <f t="shared" si="19"/>
        <v>4.0331210069616021E-2</v>
      </c>
    </row>
    <row r="120" spans="1:12" x14ac:dyDescent="0.3">
      <c r="A120">
        <v>192</v>
      </c>
      <c r="B120">
        <f t="shared" si="27"/>
        <v>1.2583206749281615E-2</v>
      </c>
      <c r="C120">
        <f t="shared" si="24"/>
        <v>1.2583206749281615E-2</v>
      </c>
      <c r="D120" t="s">
        <v>29</v>
      </c>
      <c r="E120" t="s">
        <v>19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STOWA2019_NDJF_T(A120*60,J120,I120,"WL","center")</f>
        <v>108.11588730788165</v>
      </c>
      <c r="L120">
        <f t="shared" si="19"/>
        <v>2.7748003320334405E-2</v>
      </c>
    </row>
    <row r="121" spans="1:12" x14ac:dyDescent="0.3">
      <c r="A121">
        <v>192</v>
      </c>
      <c r="B121">
        <f t="shared" si="27"/>
        <v>8.7817047851765605E-3</v>
      </c>
      <c r="C121">
        <f t="shared" si="24"/>
        <v>8.7817047851765605E-3</v>
      </c>
      <c r="D121" t="s">
        <v>29</v>
      </c>
      <c r="E121" t="s">
        <v>19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STOWA2019_NDJF_T(A121*60,J121,I121,"WL","center")</f>
        <v>158.17530207272111</v>
      </c>
      <c r="L121">
        <f t="shared" si="19"/>
        <v>1.8966298535157845E-2</v>
      </c>
    </row>
    <row r="122" spans="1:12" x14ac:dyDescent="0.3">
      <c r="A122">
        <v>192</v>
      </c>
      <c r="B122">
        <f t="shared" si="27"/>
        <v>6.0901061385537775E-3</v>
      </c>
      <c r="C122">
        <f t="shared" si="24"/>
        <v>6.0901061385537775E-3</v>
      </c>
      <c r="D122" t="s">
        <v>29</v>
      </c>
      <c r="E122" t="s">
        <v>19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STOWA2019_NDJF_T(A122*60,J122,I122,"WL","center")</f>
        <v>232.98813093156423</v>
      </c>
      <c r="L122">
        <f t="shared" si="19"/>
        <v>1.2876192396604067E-2</v>
      </c>
    </row>
    <row r="123" spans="1:12" x14ac:dyDescent="0.3">
      <c r="A123">
        <v>192</v>
      </c>
      <c r="B123">
        <f t="shared" si="27"/>
        <v>4.1957452164836963E-3</v>
      </c>
      <c r="C123">
        <f t="shared" si="24"/>
        <v>4.1957452164836963E-3</v>
      </c>
      <c r="D123" t="s">
        <v>29</v>
      </c>
      <c r="E123" t="s">
        <v>19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STOWA2019_NDJF_T(A123*60,J123,I123,"WL","center")</f>
        <v>345.60431481807592</v>
      </c>
      <c r="L123">
        <f t="shared" si="19"/>
        <v>8.6804471801203709E-3</v>
      </c>
    </row>
    <row r="124" spans="1:12" x14ac:dyDescent="0.3">
      <c r="A124">
        <v>192</v>
      </c>
      <c r="B124">
        <f t="shared" si="27"/>
        <v>2.8710138216654713E-3</v>
      </c>
      <c r="C124">
        <f t="shared" si="24"/>
        <v>2.8710138216654713E-3</v>
      </c>
      <c r="D124" t="s">
        <v>29</v>
      </c>
      <c r="E124" t="s">
        <v>19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STOWA2019_NDJF_T(A124*60,J124,I124,"WL","center")</f>
        <v>516.4014827080988</v>
      </c>
      <c r="L124">
        <f t="shared" si="19"/>
        <v>5.8094333584548996E-3</v>
      </c>
    </row>
    <row r="125" spans="1:12" x14ac:dyDescent="0.3">
      <c r="A125">
        <v>192</v>
      </c>
      <c r="B125" s="1">
        <f>L124</f>
        <v>5.8094333584548996E-3</v>
      </c>
      <c r="C125">
        <f t="shared" si="24"/>
        <v>5.8094333584548996E-3</v>
      </c>
      <c r="D125" t="s">
        <v>29</v>
      </c>
      <c r="E125" t="s">
        <v>19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STOWA2019_NDJF_T(A125*60,J125,I125,"WL","center")</f>
        <v>2.8430081669841991</v>
      </c>
      <c r="L125">
        <f t="shared" si="19"/>
        <v>1.0552203243166671</v>
      </c>
    </row>
    <row r="126" spans="1:12" x14ac:dyDescent="0.3">
      <c r="A126">
        <v>216</v>
      </c>
      <c r="B126" s="1">
        <f>365.25*24/A126 - L126</f>
        <v>-18.966519230886398</v>
      </c>
      <c r="C126">
        <f>B126</f>
        <v>-18.966519230886398</v>
      </c>
      <c r="D126" t="s">
        <v>29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STOWA2019_NDJF_T(A126*60,J126,I126,"WL","center")</f>
        <v>5.0377958480497337E-2</v>
      </c>
      <c r="L126">
        <f t="shared" si="19"/>
        <v>59.549852564219734</v>
      </c>
    </row>
    <row r="127" spans="1:12" x14ac:dyDescent="0.3">
      <c r="A127">
        <v>216</v>
      </c>
      <c r="B127">
        <f t="shared" ref="B127:B131" si="30">L126-L127</f>
        <v>6.7013642178880986</v>
      </c>
      <c r="C127">
        <f t="shared" ref="C127:C156" si="31">B127</f>
        <v>6.7013642178880986</v>
      </c>
      <c r="D127" t="s">
        <v>29</v>
      </c>
      <c r="E127" t="s">
        <v>19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cm="1">
        <f t="array" ref="K127">STOWA2019_NDJF_T(A127*60,J127,I127,"WL","center")</f>
        <v>5.6766051288735457E-2</v>
      </c>
      <c r="L127">
        <f t="shared" si="19"/>
        <v>52.848488346331635</v>
      </c>
    </row>
    <row r="128" spans="1:12" x14ac:dyDescent="0.3">
      <c r="A128">
        <v>216</v>
      </c>
      <c r="B128">
        <f t="shared" si="30"/>
        <v>11.337975097134944</v>
      </c>
      <c r="C128">
        <f t="shared" si="31"/>
        <v>11.337975097134944</v>
      </c>
      <c r="D128" t="s">
        <v>29</v>
      </c>
      <c r="E128" t="s">
        <v>19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cm="1">
        <f t="array" ref="K128">STOWA2019_NDJF_T(A128*60,J128,I128,"WL","center")</f>
        <v>7.2270848158160414E-2</v>
      </c>
      <c r="L128">
        <f t="shared" si="19"/>
        <v>41.510513249196691</v>
      </c>
    </row>
    <row r="129" spans="1:12" x14ac:dyDescent="0.3">
      <c r="A129">
        <v>216</v>
      </c>
      <c r="B129">
        <f t="shared" si="30"/>
        <v>9.0270951891341369</v>
      </c>
      <c r="C129">
        <f t="shared" si="31"/>
        <v>9.0270951891341369</v>
      </c>
      <c r="D129" t="s">
        <v>29</v>
      </c>
      <c r="E129" t="s">
        <v>19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STOWA2019_NDJF_T(A129*60,J129,I129,"WL","center")</f>
        <v>9.2354812983440782E-2</v>
      </c>
      <c r="L129">
        <f t="shared" si="19"/>
        <v>32.483418060062554</v>
      </c>
    </row>
    <row r="130" spans="1:12" x14ac:dyDescent="0.3">
      <c r="A130">
        <v>216</v>
      </c>
      <c r="B130">
        <f t="shared" si="30"/>
        <v>7.1616417175821709</v>
      </c>
      <c r="C130">
        <f t="shared" si="31"/>
        <v>7.1616417175821709</v>
      </c>
      <c r="D130" t="s">
        <v>29</v>
      </c>
      <c r="E130" t="s">
        <v>19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STOWA2019_NDJF_T(A130*60,J130,I130,"WL","center")</f>
        <v>0.11847510061792674</v>
      </c>
      <c r="L130">
        <f t="shared" si="19"/>
        <v>25.321776342480383</v>
      </c>
    </row>
    <row r="131" spans="1:12" x14ac:dyDescent="0.3">
      <c r="A131">
        <v>216</v>
      </c>
      <c r="B131">
        <f t="shared" si="30"/>
        <v>5.6609117925524188</v>
      </c>
      <c r="C131">
        <f t="shared" si="31"/>
        <v>5.6609117925524188</v>
      </c>
      <c r="D131" t="s">
        <v>29</v>
      </c>
      <c r="E131" t="s">
        <v>19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STOWA2019_NDJF_T(A131*60,J131,I131,"WL","center")</f>
        <v>0.15258738965326893</v>
      </c>
      <c r="L131">
        <f t="shared" ref="L131:L156" si="34">1/K131 * 12/4</f>
        <v>19.660864549927965</v>
      </c>
    </row>
    <row r="132" spans="1:12" x14ac:dyDescent="0.3">
      <c r="A132">
        <v>216</v>
      </c>
      <c r="B132">
        <f>L131-L132</f>
        <v>4.4577988471248773</v>
      </c>
      <c r="C132">
        <f t="shared" si="31"/>
        <v>4.4577988471248773</v>
      </c>
      <c r="D132" t="s">
        <v>29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STOWA2019_NDJF_T(A132*60,J132,I132,"WL","center")</f>
        <v>0.19732862165075502</v>
      </c>
      <c r="L132">
        <f t="shared" si="34"/>
        <v>15.203065702803087</v>
      </c>
    </row>
    <row r="133" spans="1:12" x14ac:dyDescent="0.3">
      <c r="A133">
        <v>216</v>
      </c>
      <c r="B133">
        <f t="shared" ref="B133:B155" si="35">L132-L133</f>
        <v>3.4968068771417631</v>
      </c>
      <c r="C133">
        <f t="shared" si="31"/>
        <v>3.4968068771417631</v>
      </c>
      <c r="D133" t="s">
        <v>29</v>
      </c>
      <c r="E133" t="s">
        <v>19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STOWA2019_NDJF_T(A133*60,J133,I133,"WL","center")</f>
        <v>0.25627316503746622</v>
      </c>
      <c r="L133">
        <f t="shared" si="34"/>
        <v>11.706258825661324</v>
      </c>
    </row>
    <row r="134" spans="1:12" x14ac:dyDescent="0.3">
      <c r="A134">
        <v>216</v>
      </c>
      <c r="B134">
        <f t="shared" si="35"/>
        <v>2.7317937395458625</v>
      </c>
      <c r="C134">
        <f t="shared" si="31"/>
        <v>2.7317937395458625</v>
      </c>
      <c r="D134" t="s">
        <v>29</v>
      </c>
      <c r="E134" t="s">
        <v>19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STOWA2019_NDJF_T(A134*60,J134,I134,"WL","center")</f>
        <v>0.33428176177779645</v>
      </c>
      <c r="L134">
        <f t="shared" si="34"/>
        <v>8.9744650861154618</v>
      </c>
    </row>
    <row r="135" spans="1:12" x14ac:dyDescent="0.3">
      <c r="A135">
        <v>216</v>
      </c>
      <c r="B135">
        <f t="shared" si="35"/>
        <v>2.1253996963722326</v>
      </c>
      <c r="C135">
        <f t="shared" si="31"/>
        <v>2.1253996963722326</v>
      </c>
      <c r="D135" t="s">
        <v>29</v>
      </c>
      <c r="E135" t="s">
        <v>19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STOWA2019_NDJF_T(A135*60,J135,I135,"WL","center")</f>
        <v>0.43801596703874801</v>
      </c>
      <c r="L135">
        <f t="shared" si="34"/>
        <v>6.8490653897432292</v>
      </c>
    </row>
    <row r="136" spans="1:12" x14ac:dyDescent="0.3">
      <c r="A136">
        <v>216</v>
      </c>
      <c r="B136">
        <f t="shared" si="35"/>
        <v>1.6464400780897055</v>
      </c>
      <c r="C136">
        <f t="shared" si="31"/>
        <v>1.6464400780897055</v>
      </c>
      <c r="D136" t="s">
        <v>29</v>
      </c>
      <c r="E136" t="s">
        <v>19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STOWA2019_NDJF_T(A136*60,J136,I136,"WL","center")</f>
        <v>0.57663195411751178</v>
      </c>
      <c r="L136">
        <f t="shared" si="34"/>
        <v>5.2026253116535237</v>
      </c>
    </row>
    <row r="137" spans="1:12" x14ac:dyDescent="0.3">
      <c r="A137">
        <v>216</v>
      </c>
      <c r="B137">
        <f t="shared" si="35"/>
        <v>1.2697557574079181</v>
      </c>
      <c r="C137">
        <f t="shared" si="31"/>
        <v>1.2697557574079181</v>
      </c>
      <c r="D137" t="s">
        <v>29</v>
      </c>
      <c r="E137" t="s">
        <v>19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STOWA2019_NDJF_T(A137*60,J137,I137,"WL","center")</f>
        <v>0.76280180632013195</v>
      </c>
      <c r="L137">
        <f t="shared" si="34"/>
        <v>3.9328695542456056</v>
      </c>
    </row>
    <row r="138" spans="1:12" x14ac:dyDescent="0.3">
      <c r="A138">
        <v>216</v>
      </c>
      <c r="B138">
        <f t="shared" si="35"/>
        <v>0.97460491692194084</v>
      </c>
      <c r="C138">
        <f t="shared" si="31"/>
        <v>0.97460491692194084</v>
      </c>
      <c r="D138" t="s">
        <v>29</v>
      </c>
      <c r="E138" t="s">
        <v>19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STOWA2019_NDJF_T(A138*60,J138,I138,"WL","center")</f>
        <v>1.0141080558344142</v>
      </c>
      <c r="L138">
        <f t="shared" si="34"/>
        <v>2.9582646373236647</v>
      </c>
    </row>
    <row r="139" spans="1:12" x14ac:dyDescent="0.3">
      <c r="A139">
        <v>216</v>
      </c>
      <c r="B139">
        <f t="shared" si="35"/>
        <v>0.74473759283573715</v>
      </c>
      <c r="C139">
        <f t="shared" si="31"/>
        <v>0.74473759283573715</v>
      </c>
      <c r="D139" t="s">
        <v>29</v>
      </c>
      <c r="E139" t="s">
        <v>19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STOWA2019_NDJF_T(A139*60,J139,I139,"WL","center")</f>
        <v>1.355303070486773</v>
      </c>
      <c r="L139">
        <f t="shared" si="34"/>
        <v>2.2135270444879276</v>
      </c>
    </row>
    <row r="140" spans="1:12" x14ac:dyDescent="0.3">
      <c r="A140">
        <v>216</v>
      </c>
      <c r="B140">
        <f t="shared" si="35"/>
        <v>0.56616903497504234</v>
      </c>
      <c r="C140">
        <f t="shared" si="31"/>
        <v>0.56616903497504234</v>
      </c>
      <c r="D140" t="s">
        <v>29</v>
      </c>
      <c r="E140" t="s">
        <v>19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STOWA2019_NDJF_T(A140*60,J140,I140,"WL","center")</f>
        <v>1.8210977715081396</v>
      </c>
      <c r="L140">
        <f t="shared" si="34"/>
        <v>1.6473580095128852</v>
      </c>
    </row>
    <row r="141" spans="1:12" x14ac:dyDescent="0.3">
      <c r="A141">
        <v>216</v>
      </c>
      <c r="B141">
        <f t="shared" si="35"/>
        <v>0.42820273090150085</v>
      </c>
      <c r="C141">
        <f t="shared" si="31"/>
        <v>0.42820273090150085</v>
      </c>
      <c r="D141" t="s">
        <v>29</v>
      </c>
      <c r="E141" t="s">
        <v>19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STOWA2019_NDJF_T(A141*60,J141,I141,"WL","center")</f>
        <v>2.4607201827621128</v>
      </c>
      <c r="L141">
        <f t="shared" si="34"/>
        <v>1.2191552786113844</v>
      </c>
    </row>
    <row r="142" spans="1:12" x14ac:dyDescent="0.3">
      <c r="A142">
        <v>216</v>
      </c>
      <c r="B142">
        <f t="shared" si="35"/>
        <v>0.3221347687932945</v>
      </c>
      <c r="C142">
        <f t="shared" si="31"/>
        <v>0.3221347687932945</v>
      </c>
      <c r="D142" t="s">
        <v>29</v>
      </c>
      <c r="E142" t="s">
        <v>19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STOWA2019_NDJF_T(A142*60,J142,I142,"WL","center")</f>
        <v>3.3444051358517783</v>
      </c>
      <c r="L142">
        <f t="shared" si="34"/>
        <v>0.8970205098180899</v>
      </c>
    </row>
    <row r="143" spans="1:12" x14ac:dyDescent="0.3">
      <c r="A143">
        <v>216</v>
      </c>
      <c r="B143">
        <f t="shared" si="35"/>
        <v>0.24099772594990665</v>
      </c>
      <c r="C143">
        <f t="shared" si="31"/>
        <v>0.24099772594990665</v>
      </c>
      <c r="D143" t="s">
        <v>29</v>
      </c>
      <c r="E143" t="s">
        <v>19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STOWA2019_NDJF_T(A143*60,J143,I143,"WL","center")</f>
        <v>4.5730119041152077</v>
      </c>
      <c r="L143">
        <f t="shared" si="34"/>
        <v>0.65602278386818325</v>
      </c>
    </row>
    <row r="144" spans="1:12" x14ac:dyDescent="0.3">
      <c r="A144">
        <v>216</v>
      </c>
      <c r="B144">
        <f t="shared" si="35"/>
        <v>0.17926236328564438</v>
      </c>
      <c r="C144">
        <f t="shared" si="31"/>
        <v>0.17926236328564438</v>
      </c>
      <c r="D144" t="s">
        <v>29</v>
      </c>
      <c r="E144" t="s">
        <v>19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STOWA2019_NDJF_T(A144*60,J144,I144,"WL","center")</f>
        <v>6.292468649839666</v>
      </c>
      <c r="L144">
        <f t="shared" si="34"/>
        <v>0.47676042058253887</v>
      </c>
    </row>
    <row r="145" spans="1:12" x14ac:dyDescent="0.3">
      <c r="A145">
        <v>216</v>
      </c>
      <c r="B145">
        <f t="shared" si="35"/>
        <v>0.13253712804444806</v>
      </c>
      <c r="C145">
        <f t="shared" si="31"/>
        <v>0.13253712804444806</v>
      </c>
      <c r="D145" t="s">
        <v>29</v>
      </c>
      <c r="E145" t="s">
        <v>19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STOWA2019_NDJF_T(A145*60,J145,I145,"WL","center")</f>
        <v>8.7152730946236829</v>
      </c>
      <c r="L145">
        <f t="shared" si="34"/>
        <v>0.34422329253809081</v>
      </c>
    </row>
    <row r="146" spans="1:12" x14ac:dyDescent="0.3">
      <c r="A146">
        <v>216</v>
      </c>
      <c r="B146">
        <f t="shared" si="35"/>
        <v>9.7384123047580429E-2</v>
      </c>
      <c r="C146">
        <f t="shared" si="31"/>
        <v>9.7384123047580429E-2</v>
      </c>
      <c r="D146" t="s">
        <v>29</v>
      </c>
      <c r="E146" t="s">
        <v>19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STOWA2019_NDJF_T(A146*60,J146,I146,"WL","center")</f>
        <v>12.153662671091322</v>
      </c>
      <c r="L146">
        <f t="shared" si="34"/>
        <v>0.24683916949051038</v>
      </c>
    </row>
    <row r="147" spans="1:12" x14ac:dyDescent="0.3">
      <c r="A147">
        <v>216</v>
      </c>
      <c r="B147">
        <f t="shared" si="35"/>
        <v>7.108702283831031E-2</v>
      </c>
      <c r="C147">
        <f t="shared" si="31"/>
        <v>7.108702283831031E-2</v>
      </c>
      <c r="D147" t="s">
        <v>29</v>
      </c>
      <c r="E147" t="s">
        <v>19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STOWA2019_NDJF_T(A147*60,J147,I147,"WL","center")</f>
        <v>17.069492789392601</v>
      </c>
      <c r="L147">
        <f t="shared" si="34"/>
        <v>0.17575214665220007</v>
      </c>
    </row>
    <row r="148" spans="1:12" x14ac:dyDescent="0.3">
      <c r="A148">
        <v>216</v>
      </c>
      <c r="B148">
        <f t="shared" si="35"/>
        <v>5.1542227937126178E-2</v>
      </c>
      <c r="C148">
        <f t="shared" si="31"/>
        <v>5.1542227937126178E-2</v>
      </c>
      <c r="D148" t="s">
        <v>29</v>
      </c>
      <c r="E148" t="s">
        <v>19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STOWA2019_NDJF_T(A148*60,J148,I148,"WL","center")</f>
        <v>24.152660520467158</v>
      </c>
      <c r="L148">
        <f t="shared" si="34"/>
        <v>0.12420991871507389</v>
      </c>
    </row>
    <row r="149" spans="1:12" x14ac:dyDescent="0.3">
      <c r="A149">
        <v>216</v>
      </c>
      <c r="B149">
        <f t="shared" si="35"/>
        <v>3.7104485462026743E-2</v>
      </c>
      <c r="C149">
        <f t="shared" si="31"/>
        <v>3.7104485462026743E-2</v>
      </c>
      <c r="D149" t="s">
        <v>29</v>
      </c>
      <c r="E149" t="s">
        <v>19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STOWA2019_NDJF_T(A149*60,J149,I149,"WL","center")</f>
        <v>34.441020358452249</v>
      </c>
      <c r="L149">
        <f t="shared" si="34"/>
        <v>8.7105433253047149E-2</v>
      </c>
    </row>
    <row r="150" spans="1:12" x14ac:dyDescent="0.3">
      <c r="A150">
        <v>216</v>
      </c>
      <c r="B150">
        <f t="shared" si="35"/>
        <v>2.651407906183606E-2</v>
      </c>
      <c r="C150">
        <f t="shared" si="31"/>
        <v>2.651407906183606E-2</v>
      </c>
      <c r="D150" t="s">
        <v>29</v>
      </c>
      <c r="E150" t="s">
        <v>19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STOWA2019_NDJF_T(A150*60,J150,I150,"WL","center")</f>
        <v>49.512014379687798</v>
      </c>
      <c r="L150">
        <f t="shared" si="34"/>
        <v>6.0591354191211089E-2</v>
      </c>
    </row>
    <row r="151" spans="1:12" x14ac:dyDescent="0.3">
      <c r="A151">
        <v>216</v>
      </c>
      <c r="B151">
        <f t="shared" si="35"/>
        <v>1.8800147936499367E-2</v>
      </c>
      <c r="C151">
        <f t="shared" si="31"/>
        <v>1.8800147936499367E-2</v>
      </c>
      <c r="D151" t="s">
        <v>29</v>
      </c>
      <c r="E151" t="s">
        <v>19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STOWA2019_NDJF_T(A151*60,J151,I151,"WL","center")</f>
        <v>71.785436910229578</v>
      </c>
      <c r="L151">
        <f t="shared" si="34"/>
        <v>4.1791206254711721E-2</v>
      </c>
    </row>
    <row r="152" spans="1:12" x14ac:dyDescent="0.3">
      <c r="A152">
        <v>216</v>
      </c>
      <c r="B152">
        <f t="shared" si="35"/>
        <v>1.3222279665567452E-2</v>
      </c>
      <c r="C152">
        <f t="shared" si="31"/>
        <v>1.3222279665567452E-2</v>
      </c>
      <c r="D152" t="s">
        <v>29</v>
      </c>
      <c r="E152" t="s">
        <v>19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STOWA2019_NDJF_T(A152*60,J152,I152,"WL","center")</f>
        <v>105.00919559014694</v>
      </c>
      <c r="L152">
        <f t="shared" si="34"/>
        <v>2.856892658914427E-2</v>
      </c>
    </row>
    <row r="153" spans="1:12" x14ac:dyDescent="0.3">
      <c r="A153">
        <v>216</v>
      </c>
      <c r="B153">
        <f t="shared" si="35"/>
        <v>9.2205140533636529E-3</v>
      </c>
      <c r="C153">
        <f t="shared" si="31"/>
        <v>9.2205140533636529E-3</v>
      </c>
      <c r="D153" t="s">
        <v>29</v>
      </c>
      <c r="E153" t="s">
        <v>19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STOWA2019_NDJF_T(A153*60,J153,I153,"WL","center")</f>
        <v>155.05148003497249</v>
      </c>
      <c r="L153">
        <f t="shared" si="34"/>
        <v>1.9348412535780617E-2</v>
      </c>
    </row>
    <row r="154" spans="1:12" x14ac:dyDescent="0.3">
      <c r="A154">
        <v>216</v>
      </c>
      <c r="B154">
        <f t="shared" si="35"/>
        <v>6.3725092058148913E-3</v>
      </c>
      <c r="C154">
        <f t="shared" si="31"/>
        <v>6.3725092058148913E-3</v>
      </c>
      <c r="D154" t="s">
        <v>29</v>
      </c>
      <c r="E154" t="s">
        <v>19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STOWA2019_NDJF_T(A154*60,J154,I154,"WL","center")</f>
        <v>231.1977766566734</v>
      </c>
      <c r="L154">
        <f t="shared" si="34"/>
        <v>1.2975903329965725E-2</v>
      </c>
    </row>
    <row r="155" spans="1:12" x14ac:dyDescent="0.3">
      <c r="A155">
        <v>216</v>
      </c>
      <c r="B155">
        <f t="shared" si="35"/>
        <v>4.3629780411594786E-3</v>
      </c>
      <c r="C155">
        <f t="shared" si="31"/>
        <v>4.3629780411594786E-3</v>
      </c>
      <c r="D155" t="s">
        <v>29</v>
      </c>
      <c r="E155" t="s">
        <v>19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STOWA2019_NDJF_T(A155*60,J155,I155,"WL","center")</f>
        <v>348.31371449360387</v>
      </c>
      <c r="L155">
        <f t="shared" si="34"/>
        <v>8.6129252888062467E-3</v>
      </c>
    </row>
    <row r="156" spans="1:12" x14ac:dyDescent="0.3">
      <c r="A156">
        <v>216</v>
      </c>
      <c r="B156" s="1">
        <f>L155</f>
        <v>8.6129252888062467E-3</v>
      </c>
      <c r="C156">
        <f t="shared" si="31"/>
        <v>8.6129252888062467E-3</v>
      </c>
      <c r="D156" t="s">
        <v>29</v>
      </c>
      <c r="E156" t="s">
        <v>19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STOWA2019_NDJF_T(A156*60,J156,I156,"WL","center")</f>
        <v>429.2568124203446</v>
      </c>
      <c r="L156">
        <f t="shared" si="34"/>
        <v>6.9888232712828468E-3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A77BB-6D95-4D37-B4EF-17883AA5ADBD}">
  <sheetPr codeName="Blad15"/>
  <dimension ref="A1:L156"/>
  <sheetViews>
    <sheetView workbookViewId="0">
      <selection activeCell="L26" sqref="L26"/>
    </sheetView>
  </sheetViews>
  <sheetFormatPr defaultRowHeight="14.4" x14ac:dyDescent="0.3"/>
  <cols>
    <col min="2" max="3" width="12" bestFit="1" customWidth="1"/>
    <col min="4" max="4" width="27.21875" bestFit="1" customWidth="1"/>
    <col min="9" max="9" width="8.5546875" bestFit="1" customWidth="1"/>
    <col min="10" max="10" width="11.44140625" bestFit="1" customWidth="1"/>
    <col min="11" max="11" width="13.5546875" bestFit="1" customWidth="1"/>
    <col min="12" max="12" width="12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340.88570985574017</v>
      </c>
      <c r="C2">
        <f>B2</f>
        <v>340.88570985574017</v>
      </c>
      <c r="D2" t="s">
        <v>30</v>
      </c>
      <c r="E2" t="s">
        <v>21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STOWA2019_JAARROND_T(A2*60,J2,I2,"WH","center")</f>
        <v>6.1565512112955863E-2</v>
      </c>
      <c r="L2">
        <f>1/K2 * 12/8</f>
        <v>24.364290144259837</v>
      </c>
    </row>
    <row r="3" spans="1:12" x14ac:dyDescent="0.3">
      <c r="A3">
        <v>24</v>
      </c>
      <c r="B3">
        <f t="shared" ref="B3:B7" si="0">L2-L3</f>
        <v>7.1046444025868354</v>
      </c>
      <c r="C3">
        <f t="shared" ref="C3:C32" si="1">B3</f>
        <v>7.1046444025868354</v>
      </c>
      <c r="D3" t="s">
        <v>30</v>
      </c>
      <c r="E3" t="s">
        <v>21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STOWA2019_JAARROND_T(A3*60,J3,I3,"WH","center")</f>
        <v>8.6907925136509953E-2</v>
      </c>
      <c r="L3">
        <f t="shared" ref="L3:L66" si="4">1/K3 * 12/8</f>
        <v>17.259645741673001</v>
      </c>
    </row>
    <row r="4" spans="1:12" x14ac:dyDescent="0.3">
      <c r="A4">
        <v>24</v>
      </c>
      <c r="B4">
        <f t="shared" si="0"/>
        <v>8.2061193431913697</v>
      </c>
      <c r="C4">
        <f t="shared" si="1"/>
        <v>8.2061193431913697</v>
      </c>
      <c r="D4" t="s">
        <v>30</v>
      </c>
      <c r="E4" t="s">
        <v>21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STOWA2019_JAARROND_T(A4*60,J4,I4,"WH","center")</f>
        <v>0.16568129742810109</v>
      </c>
      <c r="L4">
        <f t="shared" si="4"/>
        <v>9.0535263984816314</v>
      </c>
    </row>
    <row r="5" spans="1:12" x14ac:dyDescent="0.3">
      <c r="A5">
        <v>24</v>
      </c>
      <c r="B5">
        <f t="shared" si="0"/>
        <v>4.0516605376095232</v>
      </c>
      <c r="C5">
        <f t="shared" si="1"/>
        <v>4.0516605376095232</v>
      </c>
      <c r="D5" t="s">
        <v>30</v>
      </c>
      <c r="E5" t="s">
        <v>21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STOWA2019_JAARROND_T(A5*60,J5,I5,"WH","center")</f>
        <v>0.29988809010933071</v>
      </c>
      <c r="L5">
        <f t="shared" si="4"/>
        <v>5.0018658608721083</v>
      </c>
    </row>
    <row r="6" spans="1:12" x14ac:dyDescent="0.3">
      <c r="A6">
        <v>24</v>
      </c>
      <c r="B6">
        <f t="shared" si="0"/>
        <v>2.1127545654565729</v>
      </c>
      <c r="C6">
        <f t="shared" si="1"/>
        <v>2.1127545654565729</v>
      </c>
      <c r="D6" t="s">
        <v>30</v>
      </c>
      <c r="E6" t="s">
        <v>21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STOWA2019_JAARROND_T(A6*60,J6,I6,"WH","center")</f>
        <v>0.51919079835387849</v>
      </c>
      <c r="L6">
        <f t="shared" si="4"/>
        <v>2.8891112954155354</v>
      </c>
    </row>
    <row r="7" spans="1:12" x14ac:dyDescent="0.3">
      <c r="A7">
        <v>24</v>
      </c>
      <c r="B7">
        <f t="shared" si="0"/>
        <v>1.1550197473015453</v>
      </c>
      <c r="C7">
        <f t="shared" si="1"/>
        <v>1.1550197473015453</v>
      </c>
      <c r="D7" t="s">
        <v>30</v>
      </c>
      <c r="E7" t="s">
        <v>21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STOWA2019_JAARROND_T(A7*60,J7,I7,"WH","center")</f>
        <v>0.86500623431987222</v>
      </c>
      <c r="L7">
        <f t="shared" si="4"/>
        <v>1.73409154811399</v>
      </c>
    </row>
    <row r="8" spans="1:12" x14ac:dyDescent="0.3">
      <c r="A8">
        <v>24</v>
      </c>
      <c r="B8">
        <f>L7-L8</f>
        <v>0.65777139458888412</v>
      </c>
      <c r="C8">
        <f t="shared" si="1"/>
        <v>0.65777139458888412</v>
      </c>
      <c r="D8" t="s">
        <v>30</v>
      </c>
      <c r="E8" t="s">
        <v>21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STOWA2019_JAARROND_T(A8*60,J8,I8,"WH","center")</f>
        <v>1.3936373811149783</v>
      </c>
      <c r="L8">
        <f t="shared" si="4"/>
        <v>1.0763201535251059</v>
      </c>
    </row>
    <row r="9" spans="1:12" x14ac:dyDescent="0.3">
      <c r="A9">
        <v>24</v>
      </c>
      <c r="B9">
        <f t="shared" ref="B9:B31" si="5">L8-L9</f>
        <v>0.38846243806083569</v>
      </c>
      <c r="C9">
        <f t="shared" si="1"/>
        <v>0.38846243806083569</v>
      </c>
      <c r="D9" t="s">
        <v>30</v>
      </c>
      <c r="E9" t="s">
        <v>21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STOWA2019_JAARROND_T(A9*60,J9,I9,"WH","center")</f>
        <v>2.1806835429440139</v>
      </c>
      <c r="L9">
        <f t="shared" si="4"/>
        <v>0.68785771546427021</v>
      </c>
    </row>
    <row r="10" spans="1:12" x14ac:dyDescent="0.3">
      <c r="A10">
        <v>24</v>
      </c>
      <c r="B10">
        <f t="shared" si="5"/>
        <v>0.23669699939522637</v>
      </c>
      <c r="C10">
        <f t="shared" si="1"/>
        <v>0.23669699939522637</v>
      </c>
      <c r="D10" t="s">
        <v>30</v>
      </c>
      <c r="E10" t="s">
        <v>21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STOWA2019_JAARROND_T(A10*60,J10,I10,"WH","center")</f>
        <v>3.324757556618573</v>
      </c>
      <c r="L10">
        <f t="shared" si="4"/>
        <v>0.45116071606904384</v>
      </c>
    </row>
    <row r="11" spans="1:12" x14ac:dyDescent="0.3">
      <c r="A11">
        <v>24</v>
      </c>
      <c r="B11">
        <f t="shared" si="5"/>
        <v>0.14833011594816259</v>
      </c>
      <c r="C11">
        <f t="shared" si="1"/>
        <v>0.14833011594816259</v>
      </c>
      <c r="D11" t="s">
        <v>30</v>
      </c>
      <c r="E11" t="s">
        <v>21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STOWA2019_JAARROND_T(A11*60,J11,I11,"WH","center")</f>
        <v>4.953264298261943</v>
      </c>
      <c r="L11">
        <f t="shared" si="4"/>
        <v>0.30283060012088125</v>
      </c>
    </row>
    <row r="12" spans="1:12" x14ac:dyDescent="0.3">
      <c r="A12">
        <v>24</v>
      </c>
      <c r="B12">
        <f t="shared" si="5"/>
        <v>9.5308032450011515E-2</v>
      </c>
      <c r="C12">
        <f t="shared" si="1"/>
        <v>9.5308032450011515E-2</v>
      </c>
      <c r="D12" t="s">
        <v>30</v>
      </c>
      <c r="E12" t="s">
        <v>21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STOWA2019_JAARROND_T(A12*60,J12,I12,"WH","center")</f>
        <v>7.2281295322974035</v>
      </c>
      <c r="L12">
        <f t="shared" si="4"/>
        <v>0.20752256767086974</v>
      </c>
    </row>
    <row r="13" spans="1:12" x14ac:dyDescent="0.3">
      <c r="A13">
        <v>24</v>
      </c>
      <c r="B13">
        <f t="shared" si="5"/>
        <v>6.2630080432773044E-2</v>
      </c>
      <c r="C13">
        <f t="shared" si="1"/>
        <v>6.2630080432773044E-2</v>
      </c>
      <c r="D13" t="s">
        <v>30</v>
      </c>
      <c r="E13" t="s">
        <v>21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STOWA2019_JAARROND_T(A13*60,J13,I13,"WH","center")</f>
        <v>10.352503629364186</v>
      </c>
      <c r="L13">
        <f t="shared" si="4"/>
        <v>0.1448924872380967</v>
      </c>
    </row>
    <row r="14" spans="1:12" x14ac:dyDescent="0.3">
      <c r="A14">
        <v>24</v>
      </c>
      <c r="B14">
        <f t="shared" si="5"/>
        <v>4.2002473706943946E-2</v>
      </c>
      <c r="C14">
        <f t="shared" si="1"/>
        <v>4.2002473706943946E-2</v>
      </c>
      <c r="D14" t="s">
        <v>30</v>
      </c>
      <c r="E14" t="s">
        <v>21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STOWA2019_JAARROND_T(A14*60,J14,I14,"WH","center")</f>
        <v>14.578674338941886</v>
      </c>
      <c r="L14">
        <f t="shared" si="4"/>
        <v>0.10289001353115275</v>
      </c>
    </row>
    <row r="15" spans="1:12" x14ac:dyDescent="0.3">
      <c r="A15">
        <v>24</v>
      </c>
      <c r="B15">
        <f t="shared" si="5"/>
        <v>2.8692838780788862E-2</v>
      </c>
      <c r="C15">
        <f t="shared" si="1"/>
        <v>2.8692838780788862E-2</v>
      </c>
      <c r="D15" t="s">
        <v>30</v>
      </c>
      <c r="E15" t="s">
        <v>21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STOWA2019_JAARROND_T(A15*60,J15,I15,"WH","center")</f>
        <v>20.216403185791702</v>
      </c>
      <c r="L15">
        <f t="shared" si="4"/>
        <v>7.4197174750363887E-2</v>
      </c>
    </row>
    <row r="16" spans="1:12" x14ac:dyDescent="0.3">
      <c r="A16">
        <v>24</v>
      </c>
      <c r="B16">
        <f t="shared" si="5"/>
        <v>1.9932489132285458E-2</v>
      </c>
      <c r="C16">
        <f t="shared" si="1"/>
        <v>1.9932489132285458E-2</v>
      </c>
      <c r="D16" t="s">
        <v>30</v>
      </c>
      <c r="E16" t="s">
        <v>21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STOWA2019_JAARROND_T(A16*60,J16,I16,"WH","center")</f>
        <v>27.642286745327997</v>
      </c>
      <c r="L16">
        <f t="shared" si="4"/>
        <v>5.4264685618078429E-2</v>
      </c>
    </row>
    <row r="17" spans="1:12" x14ac:dyDescent="0.3">
      <c r="A17">
        <v>24</v>
      </c>
      <c r="B17">
        <f t="shared" si="5"/>
        <v>1.4062436412103647E-2</v>
      </c>
      <c r="C17">
        <f t="shared" si="1"/>
        <v>1.4062436412103647E-2</v>
      </c>
      <c r="D17" t="s">
        <v>30</v>
      </c>
      <c r="E17" t="s">
        <v>21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STOWA2019_JAARROND_T(A17*60,J17,I17,"WH","center")</f>
        <v>37.311345251227209</v>
      </c>
      <c r="L17">
        <f t="shared" si="4"/>
        <v>4.0202249205974781E-2</v>
      </c>
    </row>
    <row r="18" spans="1:12" x14ac:dyDescent="0.3">
      <c r="A18">
        <v>24</v>
      </c>
      <c r="B18">
        <f t="shared" si="5"/>
        <v>1.006174137235024E-2</v>
      </c>
      <c r="C18">
        <f t="shared" si="1"/>
        <v>1.006174137235024E-2</v>
      </c>
      <c r="D18" t="s">
        <v>30</v>
      </c>
      <c r="E18" t="s">
        <v>21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STOWA2019_JAARROND_T(A18*60,J18,I18,"WH","center")</f>
        <v>49.766911967110602</v>
      </c>
      <c r="L18">
        <f t="shared" si="4"/>
        <v>3.0140507833624541E-2</v>
      </c>
    </row>
    <row r="19" spans="1:12" x14ac:dyDescent="0.3">
      <c r="A19">
        <v>24</v>
      </c>
      <c r="B19">
        <f t="shared" si="5"/>
        <v>7.2941682607744265E-3</v>
      </c>
      <c r="C19">
        <f t="shared" si="1"/>
        <v>7.2941682607744265E-3</v>
      </c>
      <c r="D19" t="s">
        <v>30</v>
      </c>
      <c r="E19" t="s">
        <v>21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STOWA2019_JAARROND_T(A19*60,J19,I19,"WH","center")</f>
        <v>65.656031909048295</v>
      </c>
      <c r="L19">
        <f t="shared" si="4"/>
        <v>2.2846339572850115E-2</v>
      </c>
    </row>
    <row r="20" spans="1:12" x14ac:dyDescent="0.3">
      <c r="A20">
        <v>24</v>
      </c>
      <c r="B20">
        <f t="shared" si="5"/>
        <v>5.351674922892076E-3</v>
      </c>
      <c r="C20">
        <f t="shared" si="1"/>
        <v>5.351674922892076E-3</v>
      </c>
      <c r="D20" t="s">
        <v>30</v>
      </c>
      <c r="E20" t="s">
        <v>21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STOWA2019_JAARROND_T(A20*60,J20,I20,"WH","center")</f>
        <v>85.740426010600757</v>
      </c>
      <c r="L20">
        <f t="shared" si="4"/>
        <v>1.7494664649958039E-2</v>
      </c>
    </row>
    <row r="21" spans="1:12" x14ac:dyDescent="0.3">
      <c r="A21">
        <v>24</v>
      </c>
      <c r="B21">
        <f t="shared" si="5"/>
        <v>3.9707976775936547E-3</v>
      </c>
      <c r="C21">
        <f t="shared" si="1"/>
        <v>3.9707976775936547E-3</v>
      </c>
      <c r="D21" t="s">
        <v>30</v>
      </c>
      <c r="E21" t="s">
        <v>21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STOWA2019_JAARROND_T(A21*60,J21,I21,"WH","center")</f>
        <v>110.91502179555633</v>
      </c>
      <c r="L21">
        <f t="shared" si="4"/>
        <v>1.3523866972364384E-2</v>
      </c>
    </row>
    <row r="22" spans="1:12" x14ac:dyDescent="0.3">
      <c r="A22">
        <v>24</v>
      </c>
      <c r="B22">
        <f t="shared" si="5"/>
        <v>2.9770479373859397E-3</v>
      </c>
      <c r="C22">
        <f t="shared" si="1"/>
        <v>2.9770479373859397E-3</v>
      </c>
      <c r="D22" t="s">
        <v>30</v>
      </c>
      <c r="E22" t="s">
        <v>21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STOWA2019_JAARROND_T(A22*60,J22,I22,"WH","center")</f>
        <v>142.22297690187548</v>
      </c>
      <c r="L22">
        <f t="shared" si="4"/>
        <v>1.0546819034978444E-2</v>
      </c>
    </row>
    <row r="23" spans="1:12" x14ac:dyDescent="0.3">
      <c r="A23">
        <v>24</v>
      </c>
      <c r="B23">
        <f t="shared" si="5"/>
        <v>2.2537673809965558E-3</v>
      </c>
      <c r="C23">
        <f t="shared" si="1"/>
        <v>2.2537673809965558E-3</v>
      </c>
      <c r="D23" t="s">
        <v>30</v>
      </c>
      <c r="E23" t="s">
        <v>21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STOWA2019_JAARROND_T(A23*60,J23,I23,"WH","center")</f>
        <v>180.87431051750158</v>
      </c>
      <c r="L23">
        <f t="shared" si="4"/>
        <v>8.2930516539818887E-3</v>
      </c>
    </row>
    <row r="24" spans="1:12" x14ac:dyDescent="0.3">
      <c r="A24">
        <v>24</v>
      </c>
      <c r="B24">
        <f t="shared" si="5"/>
        <v>1.7217597498180746E-3</v>
      </c>
      <c r="C24">
        <f t="shared" si="1"/>
        <v>1.7217597498180746E-3</v>
      </c>
      <c r="D24" t="s">
        <v>30</v>
      </c>
      <c r="E24" t="s">
        <v>21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STOWA2019_JAARROND_T(A24*60,J24,I24,"WH","center")</f>
        <v>228.26561684918371</v>
      </c>
      <c r="L24">
        <f t="shared" si="4"/>
        <v>6.5712919041638141E-3</v>
      </c>
    </row>
    <row r="25" spans="1:12" x14ac:dyDescent="0.3">
      <c r="A25">
        <v>24</v>
      </c>
      <c r="B25">
        <f t="shared" si="5"/>
        <v>1.3265612213758955E-3</v>
      </c>
      <c r="C25">
        <f t="shared" si="1"/>
        <v>1.3265612213758955E-3</v>
      </c>
      <c r="D25" t="s">
        <v>30</v>
      </c>
      <c r="E25" t="s">
        <v>21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STOWA2019_JAARROND_T(A25*60,J25,I25,"WH","center")</f>
        <v>286.00133938672548</v>
      </c>
      <c r="L25">
        <f t="shared" si="4"/>
        <v>5.2447306827879186E-3</v>
      </c>
    </row>
    <row r="26" spans="1:12" x14ac:dyDescent="0.3">
      <c r="A26">
        <v>24</v>
      </c>
      <c r="B26">
        <f t="shared" si="5"/>
        <v>1.0302610757745292E-3</v>
      </c>
      <c r="C26">
        <f t="shared" si="1"/>
        <v>1.0302610757745292E-3</v>
      </c>
      <c r="D26" t="s">
        <v>30</v>
      </c>
      <c r="E26" t="s">
        <v>21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STOWA2019_JAARROND_T(A26*60,J26,I26,"WH","center")</f>
        <v>355.91667276561151</v>
      </c>
      <c r="L26">
        <f t="shared" si="4"/>
        <v>4.2144696070133894E-3</v>
      </c>
    </row>
    <row r="27" spans="1:12" x14ac:dyDescent="0.3">
      <c r="A27">
        <v>24</v>
      </c>
      <c r="B27">
        <f t="shared" si="5"/>
        <v>8.0617004016635043E-4</v>
      </c>
      <c r="C27">
        <f t="shared" si="1"/>
        <v>8.0617004016635043E-4</v>
      </c>
      <c r="D27" t="s">
        <v>30</v>
      </c>
      <c r="E27" t="s">
        <v>21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STOWA2019_JAARROND_T(A27*60,J27,I27,"WH","center")</f>
        <v>440.10215961962081</v>
      </c>
      <c r="L27">
        <f t="shared" si="4"/>
        <v>3.408299566847039E-3</v>
      </c>
    </row>
    <row r="28" spans="1:12" x14ac:dyDescent="0.3">
      <c r="A28">
        <v>24</v>
      </c>
      <c r="B28">
        <f t="shared" si="5"/>
        <v>6.3529777313733361E-4</v>
      </c>
      <c r="C28">
        <f t="shared" si="1"/>
        <v>6.3529777313733361E-4</v>
      </c>
      <c r="D28" t="s">
        <v>30</v>
      </c>
      <c r="E28" t="s">
        <v>21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STOWA2019_JAARROND_T(A28*60,J28,I28,"WH","center")</f>
        <v>540.93005038893568</v>
      </c>
      <c r="L28">
        <f t="shared" si="4"/>
        <v>2.7730017937097054E-3</v>
      </c>
    </row>
    <row r="29" spans="1:12" x14ac:dyDescent="0.3">
      <c r="A29">
        <v>24</v>
      </c>
      <c r="B29">
        <f t="shared" si="5"/>
        <v>5.0399601571316649E-4</v>
      </c>
      <c r="C29">
        <f t="shared" si="1"/>
        <v>5.0399601571316649E-4</v>
      </c>
      <c r="D29" t="s">
        <v>30</v>
      </c>
      <c r="E29" t="s">
        <v>21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STOWA2019_JAARROND_T(A29*60,J29,I29,"WH","center")</f>
        <v>661.08249460891761</v>
      </c>
      <c r="L29">
        <f t="shared" si="4"/>
        <v>2.2690057779965389E-3</v>
      </c>
    </row>
    <row r="30" spans="1:12" x14ac:dyDescent="0.3">
      <c r="A30">
        <v>24</v>
      </c>
      <c r="B30">
        <f t="shared" si="5"/>
        <v>4.0235310374618204E-4</v>
      </c>
      <c r="C30">
        <f t="shared" si="1"/>
        <v>4.0235310374618204E-4</v>
      </c>
      <c r="D30" t="s">
        <v>30</v>
      </c>
      <c r="E30" t="s">
        <v>21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STOWA2019_JAARROND_T(A30*60,J30,I30,"WH","center")</f>
        <v>803.57745213763258</v>
      </c>
      <c r="L30">
        <f t="shared" si="4"/>
        <v>1.8666526742503568E-3</v>
      </c>
    </row>
    <row r="31" spans="1:12" x14ac:dyDescent="0.3">
      <c r="A31">
        <v>24</v>
      </c>
      <c r="B31">
        <f t="shared" si="5"/>
        <v>3.2315220468254842E-4</v>
      </c>
      <c r="C31">
        <f t="shared" si="1"/>
        <v>3.2315220468254842E-4</v>
      </c>
      <c r="D31" t="s">
        <v>30</v>
      </c>
      <c r="E31" t="s">
        <v>21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STOWA2019_JAARROND_T(A31*60,J31,I31,"WH","center")</f>
        <v>971.81700269907344</v>
      </c>
      <c r="L31">
        <f t="shared" si="4"/>
        <v>1.5435004695678084E-3</v>
      </c>
    </row>
    <row r="32" spans="1:12" x14ac:dyDescent="0.3">
      <c r="A32">
        <v>24</v>
      </c>
      <c r="B32" s="1">
        <f>L31</f>
        <v>1.5435004695678084E-3</v>
      </c>
      <c r="C32">
        <f t="shared" si="1"/>
        <v>1.5435004695678084E-3</v>
      </c>
      <c r="D32" t="s">
        <v>30</v>
      </c>
      <c r="E32" t="s">
        <v>21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STOWA2019_JAARROND_T(A32*60,J32,I32,"WH","center")</f>
        <v>32.164689112762524</v>
      </c>
      <c r="L32">
        <f t="shared" si="4"/>
        <v>4.6634991395107864E-2</v>
      </c>
    </row>
    <row r="33" spans="1:12" x14ac:dyDescent="0.3">
      <c r="A33">
        <v>48</v>
      </c>
      <c r="B33" s="1">
        <f>365.25*24/A33 - L33</f>
        <v>136.7920233097642</v>
      </c>
      <c r="C33">
        <f>B33</f>
        <v>136.7920233097642</v>
      </c>
      <c r="D33" t="s">
        <v>30</v>
      </c>
      <c r="E33" t="s">
        <v>21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STOWA2019_JAARROND_T(A33*60,J33,I33,"WH","center")</f>
        <v>3.2727527390110762E-2</v>
      </c>
      <c r="L33">
        <f t="shared" si="4"/>
        <v>45.832976690235789</v>
      </c>
    </row>
    <row r="34" spans="1:12" x14ac:dyDescent="0.3">
      <c r="A34">
        <v>48</v>
      </c>
      <c r="B34">
        <f t="shared" ref="B34:B38" si="8">L33-L34</f>
        <v>11.794054147212698</v>
      </c>
      <c r="C34">
        <f t="shared" ref="C34:C63" si="9">B34</f>
        <v>11.794054147212698</v>
      </c>
      <c r="D34" t="s">
        <v>30</v>
      </c>
      <c r="E34" t="s">
        <v>21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STOWA2019_JAARROND_T(A34*60,J34,I34,"WH","center")</f>
        <v>4.4067199780019266E-2</v>
      </c>
      <c r="L34">
        <f t="shared" si="4"/>
        <v>34.038922543023091</v>
      </c>
    </row>
    <row r="35" spans="1:12" x14ac:dyDescent="0.3">
      <c r="A35">
        <v>48</v>
      </c>
      <c r="B35">
        <f t="shared" si="8"/>
        <v>14.74454038089565</v>
      </c>
      <c r="C35">
        <f t="shared" si="9"/>
        <v>14.74454038089565</v>
      </c>
      <c r="D35" t="s">
        <v>30</v>
      </c>
      <c r="E35" t="s">
        <v>21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STOWA2019_JAARROND_T(A35*60,J35,I35,"WH","center")</f>
        <v>7.7742836614085528E-2</v>
      </c>
      <c r="L35">
        <f t="shared" si="4"/>
        <v>19.294382162127441</v>
      </c>
    </row>
    <row r="36" spans="1:12" x14ac:dyDescent="0.3">
      <c r="A36">
        <v>48</v>
      </c>
      <c r="B36">
        <f t="shared" si="8"/>
        <v>8.0043663017334268</v>
      </c>
      <c r="C36">
        <f t="shared" si="9"/>
        <v>8.0043663017334268</v>
      </c>
      <c r="D36" t="s">
        <v>30</v>
      </c>
      <c r="E36" t="s">
        <v>21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STOWA2019_JAARROND_T(A36*60,J36,I36,"WH","center")</f>
        <v>0.13286075223880606</v>
      </c>
      <c r="L36">
        <f t="shared" si="4"/>
        <v>11.290015860394014</v>
      </c>
    </row>
    <row r="37" spans="1:12" x14ac:dyDescent="0.3">
      <c r="A37">
        <v>48</v>
      </c>
      <c r="B37">
        <f t="shared" si="8"/>
        <v>4.4962876454148839</v>
      </c>
      <c r="C37">
        <f t="shared" si="9"/>
        <v>4.4962876454148839</v>
      </c>
      <c r="D37" t="s">
        <v>30</v>
      </c>
      <c r="E37" t="s">
        <v>21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STOWA2019_JAARROND_T(A37*60,J37,I37,"WH","center")</f>
        <v>0.22079187635041533</v>
      </c>
      <c r="L37">
        <f t="shared" si="4"/>
        <v>6.7937282149791303</v>
      </c>
    </row>
    <row r="38" spans="1:12" x14ac:dyDescent="0.3">
      <c r="A38">
        <v>48</v>
      </c>
      <c r="B38">
        <f t="shared" si="8"/>
        <v>2.6021287386212109</v>
      </c>
      <c r="C38">
        <f t="shared" si="9"/>
        <v>2.6021287386212109</v>
      </c>
      <c r="D38" t="s">
        <v>30</v>
      </c>
      <c r="E38" t="s">
        <v>21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STOWA2019_JAARROND_T(A38*60,J38,I38,"WH","center")</f>
        <v>0.35785861899747873</v>
      </c>
      <c r="L38">
        <f t="shared" si="4"/>
        <v>4.1915994763579194</v>
      </c>
    </row>
    <row r="39" spans="1:12" x14ac:dyDescent="0.3">
      <c r="A39">
        <v>48</v>
      </c>
      <c r="B39">
        <f>L38-L39</f>
        <v>1.546399438600266</v>
      </c>
      <c r="C39">
        <f t="shared" si="9"/>
        <v>1.546399438600266</v>
      </c>
      <c r="D39" t="s">
        <v>30</v>
      </c>
      <c r="E39" t="s">
        <v>21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STOWA2019_JAARROND_T(A39*60,J39,I39,"WH","center")</f>
        <v>0.56706486412708357</v>
      </c>
      <c r="L39">
        <f t="shared" si="4"/>
        <v>2.6452000377576534</v>
      </c>
    </row>
    <row r="40" spans="1:12" x14ac:dyDescent="0.3">
      <c r="A40">
        <v>48</v>
      </c>
      <c r="B40">
        <f t="shared" ref="B40:B62" si="12">L39-L40</f>
        <v>0.94128741495783474</v>
      </c>
      <c r="C40">
        <f t="shared" si="9"/>
        <v>0.94128741495783474</v>
      </c>
      <c r="D40" t="s">
        <v>30</v>
      </c>
      <c r="E40" t="s">
        <v>21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STOWA2019_JAARROND_T(A40*60,J40,I40,"WH","center")</f>
        <v>0.88032683127568168</v>
      </c>
      <c r="L40">
        <f t="shared" si="4"/>
        <v>1.7039126227998187</v>
      </c>
    </row>
    <row r="41" spans="1:12" x14ac:dyDescent="0.3">
      <c r="A41">
        <v>48</v>
      </c>
      <c r="B41">
        <f t="shared" si="12"/>
        <v>0.58545280183509063</v>
      </c>
      <c r="C41">
        <f t="shared" si="9"/>
        <v>0.58545280183509063</v>
      </c>
      <c r="D41" t="s">
        <v>30</v>
      </c>
      <c r="E41" t="s">
        <v>21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STOWA2019_JAARROND_T(A41*60,J41,I41,"WH","center")</f>
        <v>1.3411299823950531</v>
      </c>
      <c r="L41">
        <f t="shared" si="4"/>
        <v>1.1184598209647281</v>
      </c>
    </row>
    <row r="42" spans="1:12" x14ac:dyDescent="0.3">
      <c r="A42">
        <v>48</v>
      </c>
      <c r="B42">
        <f t="shared" si="12"/>
        <v>0.37162993856943527</v>
      </c>
      <c r="C42">
        <f t="shared" si="9"/>
        <v>0.37162993856943527</v>
      </c>
      <c r="D42" t="s">
        <v>30</v>
      </c>
      <c r="E42" t="s">
        <v>21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STOWA2019_JAARROND_T(A42*60,J42,I42,"WH","center")</f>
        <v>2.0084895306934953</v>
      </c>
      <c r="L42">
        <f t="shared" si="4"/>
        <v>0.7468298823952928</v>
      </c>
    </row>
    <row r="43" spans="1:12" x14ac:dyDescent="0.3">
      <c r="A43">
        <v>48</v>
      </c>
      <c r="B43">
        <f t="shared" si="12"/>
        <v>0.24019005653157133</v>
      </c>
      <c r="C43">
        <f t="shared" si="9"/>
        <v>0.24019005653157133</v>
      </c>
      <c r="D43" t="s">
        <v>30</v>
      </c>
      <c r="E43" t="s">
        <v>21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STOWA2019_JAARROND_T(A43*60,J43,I43,"WH","center")</f>
        <v>2.9606831587761469</v>
      </c>
      <c r="L43">
        <f t="shared" si="4"/>
        <v>0.50663982586372147</v>
      </c>
    </row>
    <row r="44" spans="1:12" x14ac:dyDescent="0.3">
      <c r="A44">
        <v>48</v>
      </c>
      <c r="B44">
        <f t="shared" si="12"/>
        <v>0.15787171791484245</v>
      </c>
      <c r="C44">
        <f t="shared" si="9"/>
        <v>0.15787171791484245</v>
      </c>
      <c r="D44" t="s">
        <v>30</v>
      </c>
      <c r="E44" t="s">
        <v>21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STOWA2019_JAARROND_T(A44*60,J44,I44,"WH","center")</f>
        <v>4.3008519581149995</v>
      </c>
      <c r="L44">
        <f t="shared" si="4"/>
        <v>0.34876810794887902</v>
      </c>
    </row>
    <row r="45" spans="1:12" x14ac:dyDescent="0.3">
      <c r="A45">
        <v>48</v>
      </c>
      <c r="B45">
        <f t="shared" si="12"/>
        <v>0.10539857306625292</v>
      </c>
      <c r="C45">
        <f t="shared" si="9"/>
        <v>0.10539857306625292</v>
      </c>
      <c r="D45" t="s">
        <v>30</v>
      </c>
      <c r="E45" t="s">
        <v>21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STOWA2019_JAARROND_T(A45*60,J45,I45,"WH","center")</f>
        <v>6.1634666012055703</v>
      </c>
      <c r="L45">
        <f t="shared" si="4"/>
        <v>0.24336953488262611</v>
      </c>
    </row>
    <row r="46" spans="1:12" x14ac:dyDescent="0.3">
      <c r="A46">
        <v>48</v>
      </c>
      <c r="B46">
        <f t="shared" si="12"/>
        <v>7.1389372631337211E-2</v>
      </c>
      <c r="C46">
        <f t="shared" si="9"/>
        <v>7.1389372631337211E-2</v>
      </c>
      <c r="D46" t="s">
        <v>30</v>
      </c>
      <c r="E46" t="s">
        <v>21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STOWA2019_JAARROND_T(A46*60,J46,I46,"WH","center")</f>
        <v>8.7219361835946767</v>
      </c>
      <c r="L46">
        <f t="shared" si="4"/>
        <v>0.1719801622512889</v>
      </c>
    </row>
    <row r="47" spans="1:12" x14ac:dyDescent="0.3">
      <c r="A47">
        <v>48</v>
      </c>
      <c r="B47">
        <f t="shared" si="12"/>
        <v>4.9012145187325412E-2</v>
      </c>
      <c r="C47">
        <f t="shared" si="9"/>
        <v>4.9012145187325412E-2</v>
      </c>
      <c r="D47" t="s">
        <v>30</v>
      </c>
      <c r="E47" t="s">
        <v>21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STOWA2019_JAARROND_T(A47*60,J47,I47,"WH","center")</f>
        <v>12.198293798783098</v>
      </c>
      <c r="L47">
        <f t="shared" si="4"/>
        <v>0.12296801706396349</v>
      </c>
    </row>
    <row r="48" spans="1:12" x14ac:dyDescent="0.3">
      <c r="A48">
        <v>48</v>
      </c>
      <c r="B48">
        <f t="shared" si="12"/>
        <v>3.4072140572585563E-2</v>
      </c>
      <c r="C48">
        <f t="shared" si="9"/>
        <v>3.4072140572585563E-2</v>
      </c>
      <c r="D48" t="s">
        <v>30</v>
      </c>
      <c r="E48" t="s">
        <v>21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STOWA2019_JAARROND_T(A48*60,J48,I48,"WH","center")</f>
        <v>16.873673551612782</v>
      </c>
      <c r="L48">
        <f t="shared" si="4"/>
        <v>8.8895876491377923E-2</v>
      </c>
    </row>
    <row r="49" spans="1:12" x14ac:dyDescent="0.3">
      <c r="A49">
        <v>48</v>
      </c>
      <c r="B49">
        <f t="shared" si="12"/>
        <v>2.3966797269009951E-2</v>
      </c>
      <c r="C49">
        <f t="shared" si="9"/>
        <v>2.3966797269009951E-2</v>
      </c>
      <c r="D49" t="s">
        <v>30</v>
      </c>
      <c r="E49" t="s">
        <v>21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STOWA2019_JAARROND_T(A49*60,J49,I49,"WH","center")</f>
        <v>23.102129553737029</v>
      </c>
      <c r="L49">
        <f t="shared" si="4"/>
        <v>6.4929079222367972E-2</v>
      </c>
    </row>
    <row r="50" spans="1:12" x14ac:dyDescent="0.3">
      <c r="A50">
        <v>48</v>
      </c>
      <c r="B50">
        <f t="shared" si="12"/>
        <v>1.7045114496265126E-2</v>
      </c>
      <c r="C50">
        <f t="shared" si="9"/>
        <v>1.7045114496265126E-2</v>
      </c>
      <c r="D50" t="s">
        <v>30</v>
      </c>
      <c r="E50" t="s">
        <v>21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STOWA2019_JAARROND_T(A50*60,J50,I50,"WH","center")</f>
        <v>31.325726860338897</v>
      </c>
      <c r="L50">
        <f t="shared" si="4"/>
        <v>4.7883964726102846E-2</v>
      </c>
    </row>
    <row r="51" spans="1:12" x14ac:dyDescent="0.3">
      <c r="A51">
        <v>48</v>
      </c>
      <c r="B51">
        <f t="shared" si="12"/>
        <v>1.2248376085711853E-2</v>
      </c>
      <c r="C51">
        <f t="shared" si="9"/>
        <v>1.2248376085711853E-2</v>
      </c>
      <c r="D51" t="s">
        <v>30</v>
      </c>
      <c r="E51" t="s">
        <v>21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STOWA2019_JAARROND_T(A51*60,J51,I51,"WH","center")</f>
        <v>42.092752139916442</v>
      </c>
      <c r="L51">
        <f t="shared" si="4"/>
        <v>3.5635588640390993E-2</v>
      </c>
    </row>
    <row r="52" spans="1:12" x14ac:dyDescent="0.3">
      <c r="A52">
        <v>48</v>
      </c>
      <c r="B52">
        <f t="shared" si="12"/>
        <v>8.8875279820355146E-3</v>
      </c>
      <c r="C52">
        <f t="shared" si="9"/>
        <v>8.8875279820355146E-3</v>
      </c>
      <c r="D52" t="s">
        <v>30</v>
      </c>
      <c r="E52" t="s">
        <v>21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STOWA2019_JAARROND_T(A52*60,J52,I52,"WH","center")</f>
        <v>56.078832000533637</v>
      </c>
      <c r="L52">
        <f t="shared" si="4"/>
        <v>2.6748060658355478E-2</v>
      </c>
    </row>
    <row r="53" spans="1:12" x14ac:dyDescent="0.3">
      <c r="A53">
        <v>48</v>
      </c>
      <c r="B53">
        <f t="shared" si="12"/>
        <v>6.5081193822220801E-3</v>
      </c>
      <c r="C53">
        <f t="shared" si="9"/>
        <v>6.5081193822220801E-3</v>
      </c>
      <c r="D53" t="s">
        <v>30</v>
      </c>
      <c r="E53" t="s">
        <v>21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STOWA2019_JAARROND_T(A53*60,J53,I53,"WH","center")</f>
        <v>74.110886960367566</v>
      </c>
      <c r="L53">
        <f t="shared" si="4"/>
        <v>2.0239941276133398E-2</v>
      </c>
    </row>
    <row r="54" spans="1:12" x14ac:dyDescent="0.3">
      <c r="A54">
        <v>48</v>
      </c>
      <c r="B54">
        <f t="shared" si="12"/>
        <v>4.8074451717921018E-3</v>
      </c>
      <c r="C54">
        <f t="shared" si="9"/>
        <v>4.8074451717921018E-3</v>
      </c>
      <c r="D54" t="s">
        <v>30</v>
      </c>
      <c r="E54" t="s">
        <v>21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STOWA2019_JAARROND_T(A54*60,J54,I54,"WH","center")</f>
        <v>97.1974974014759</v>
      </c>
      <c r="L54">
        <f t="shared" si="4"/>
        <v>1.5432496104341296E-2</v>
      </c>
    </row>
    <row r="55" spans="1:12" x14ac:dyDescent="0.3">
      <c r="A55">
        <v>48</v>
      </c>
      <c r="B55">
        <f t="shared" si="12"/>
        <v>3.58026712966103E-3</v>
      </c>
      <c r="C55">
        <f t="shared" si="9"/>
        <v>3.58026712966103E-3</v>
      </c>
      <c r="D55" t="s">
        <v>30</v>
      </c>
      <c r="E55" t="s">
        <v>21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STOWA2019_JAARROND_T(A55*60,J55,I55,"WH","center")</f>
        <v>126.55847294246736</v>
      </c>
      <c r="L55">
        <f t="shared" si="4"/>
        <v>1.1852228974680266E-2</v>
      </c>
    </row>
    <row r="56" spans="1:12" x14ac:dyDescent="0.3">
      <c r="A56">
        <v>48</v>
      </c>
      <c r="B56">
        <f t="shared" si="12"/>
        <v>2.6870560295126304E-3</v>
      </c>
      <c r="C56">
        <f t="shared" si="9"/>
        <v>2.6870560295126304E-3</v>
      </c>
      <c r="D56" t="s">
        <v>30</v>
      </c>
      <c r="E56" t="s">
        <v>21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STOWA2019_JAARROND_T(A56*60,J56,I56,"WH","center")</f>
        <v>163.66303276261462</v>
      </c>
      <c r="L56">
        <f t="shared" si="4"/>
        <v>9.1651729451676361E-3</v>
      </c>
    </row>
    <row r="57" spans="1:12" x14ac:dyDescent="0.3">
      <c r="A57">
        <v>48</v>
      </c>
      <c r="B57">
        <f t="shared" si="12"/>
        <v>2.0316390802751216E-3</v>
      </c>
      <c r="C57">
        <f t="shared" si="9"/>
        <v>2.0316390802751216E-3</v>
      </c>
      <c r="D57" t="s">
        <v>30</v>
      </c>
      <c r="E57" t="s">
        <v>21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STOWA2019_JAARROND_T(A57*60,J57,I57,"WH","center")</f>
        <v>210.27446261693771</v>
      </c>
      <c r="L57">
        <f t="shared" si="4"/>
        <v>7.1335338648925144E-3</v>
      </c>
    </row>
    <row r="58" spans="1:12" x14ac:dyDescent="0.3">
      <c r="A58">
        <v>48</v>
      </c>
      <c r="B58">
        <f t="shared" si="12"/>
        <v>1.5469015329562102E-3</v>
      </c>
      <c r="C58">
        <f t="shared" si="9"/>
        <v>1.5469015329562102E-3</v>
      </c>
      <c r="D58" t="s">
        <v>30</v>
      </c>
      <c r="E58" t="s">
        <v>21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STOWA2019_JAARROND_T(A58*60,J58,I58,"WH","center")</f>
        <v>268.49807019251364</v>
      </c>
      <c r="L58">
        <f t="shared" si="4"/>
        <v>5.5866323319363042E-3</v>
      </c>
    </row>
    <row r="59" spans="1:12" x14ac:dyDescent="0.3">
      <c r="A59">
        <v>48</v>
      </c>
      <c r="B59">
        <f t="shared" si="12"/>
        <v>1.1856153024405397E-3</v>
      </c>
      <c r="C59">
        <f t="shared" si="9"/>
        <v>1.1856153024405397E-3</v>
      </c>
      <c r="D59" t="s">
        <v>30</v>
      </c>
      <c r="E59" t="s">
        <v>21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STOWA2019_JAARROND_T(A59*60,J59,I59,"WH","center")</f>
        <v>340.83031034575629</v>
      </c>
      <c r="L59">
        <f t="shared" si="4"/>
        <v>4.4010170294957645E-3</v>
      </c>
    </row>
    <row r="60" spans="1:12" x14ac:dyDescent="0.3">
      <c r="A60">
        <v>48</v>
      </c>
      <c r="B60">
        <f t="shared" si="12"/>
        <v>9.1450848784961885E-4</v>
      </c>
      <c r="C60">
        <f t="shared" si="9"/>
        <v>9.1450848784961885E-4</v>
      </c>
      <c r="D60" t="s">
        <v>30</v>
      </c>
      <c r="E60" t="s">
        <v>21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STOWA2019_JAARROND_T(A60*60,J60,I60,"WH","center")</f>
        <v>430.22983654925429</v>
      </c>
      <c r="L60">
        <f t="shared" si="4"/>
        <v>3.4865085416461456E-3</v>
      </c>
    </row>
    <row r="61" spans="1:12" x14ac:dyDescent="0.3">
      <c r="A61">
        <v>48</v>
      </c>
      <c r="B61">
        <f t="shared" si="12"/>
        <v>7.0966573528722255E-4</v>
      </c>
      <c r="C61">
        <f t="shared" si="9"/>
        <v>7.0966573528722255E-4</v>
      </c>
      <c r="D61" t="s">
        <v>30</v>
      </c>
      <c r="E61" t="s">
        <v>21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STOWA2019_JAARROND_T(A61*60,J61,I61,"WH","center")</f>
        <v>540.18181964244627</v>
      </c>
      <c r="L61">
        <f t="shared" si="4"/>
        <v>2.7768428063589231E-3</v>
      </c>
    </row>
    <row r="62" spans="1:12" x14ac:dyDescent="0.3">
      <c r="A62">
        <v>48</v>
      </c>
      <c r="B62">
        <f t="shared" si="12"/>
        <v>5.5390137201323129E-4</v>
      </c>
      <c r="C62">
        <f t="shared" si="9"/>
        <v>5.5390137201323129E-4</v>
      </c>
      <c r="D62" t="s">
        <v>30</v>
      </c>
      <c r="E62" t="s">
        <v>21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STOWA2019_JAARROND_T(A62*60,J62,I62,"WH","center")</f>
        <v>674.78160999842771</v>
      </c>
      <c r="L62">
        <f t="shared" si="4"/>
        <v>2.2229414343456918E-3</v>
      </c>
    </row>
    <row r="63" spans="1:12" x14ac:dyDescent="0.3">
      <c r="A63">
        <v>48</v>
      </c>
      <c r="B63" s="1">
        <f>L62</f>
        <v>2.2229414343456918E-3</v>
      </c>
      <c r="C63">
        <f t="shared" si="9"/>
        <v>2.2229414343456918E-3</v>
      </c>
      <c r="D63" t="s">
        <v>30</v>
      </c>
      <c r="E63" t="s">
        <v>21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STOWA2019_JAARROND_T(A63*60,J63,I63,"WH","center")</f>
        <v>14.365843361709736</v>
      </c>
      <c r="L63">
        <f t="shared" si="4"/>
        <v>0.10441433629981324</v>
      </c>
    </row>
    <row r="64" spans="1:12" x14ac:dyDescent="0.3">
      <c r="A64">
        <v>96</v>
      </c>
      <c r="B64" s="1">
        <f>365.25*24/A64 - L64</f>
        <v>11.716737163561888</v>
      </c>
      <c r="C64">
        <f>B64</f>
        <v>11.716737163561888</v>
      </c>
      <c r="D64" t="s">
        <v>30</v>
      </c>
      <c r="E64" t="s">
        <v>21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STOWA2019_JAARROND_T(A64*60,J64,I64,"WH","center")</f>
        <v>1.8845224249968689E-2</v>
      </c>
      <c r="L64">
        <f t="shared" si="4"/>
        <v>79.595762836438112</v>
      </c>
    </row>
    <row r="65" spans="1:12" x14ac:dyDescent="0.3">
      <c r="A65">
        <v>96</v>
      </c>
      <c r="B65">
        <f t="shared" ref="B65:B69" si="15">L64-L65</f>
        <v>17.470338199186969</v>
      </c>
      <c r="C65">
        <f t="shared" ref="C65:C94" si="16">B65</f>
        <v>17.470338199186969</v>
      </c>
      <c r="D65" t="s">
        <v>30</v>
      </c>
      <c r="E65" t="s">
        <v>21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STOWA2019_JAARROND_T(A65*60,J65,I65,"WH","center")</f>
        <v>2.4144704181234395E-2</v>
      </c>
      <c r="L65">
        <f t="shared" si="4"/>
        <v>62.125424637251143</v>
      </c>
    </row>
    <row r="66" spans="1:12" x14ac:dyDescent="0.3">
      <c r="A66">
        <v>96</v>
      </c>
      <c r="B66">
        <f t="shared" si="15"/>
        <v>22.933760205350367</v>
      </c>
      <c r="C66">
        <f t="shared" si="16"/>
        <v>22.933760205350367</v>
      </c>
      <c r="D66" t="s">
        <v>30</v>
      </c>
      <c r="E66" t="s">
        <v>21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STOWA2019_JAARROND_T(A66*60,J66,I66,"WH","center")</f>
        <v>3.8273444665928691E-2</v>
      </c>
      <c r="L66">
        <f t="shared" si="4"/>
        <v>39.191664431900776</v>
      </c>
    </row>
    <row r="67" spans="1:12" x14ac:dyDescent="0.3">
      <c r="A67">
        <v>96</v>
      </c>
      <c r="B67">
        <f t="shared" si="15"/>
        <v>13.925735973284404</v>
      </c>
      <c r="C67">
        <f t="shared" si="16"/>
        <v>13.925735973284404</v>
      </c>
      <c r="D67" t="s">
        <v>30</v>
      </c>
      <c r="E67" t="s">
        <v>21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STOWA2019_JAARROND_T(A67*60,J67,I67,"WH","center")</f>
        <v>5.936848916741308E-2</v>
      </c>
      <c r="L67">
        <f t="shared" ref="L67:L130" si="19">1/K67 * 12/8</f>
        <v>25.265928458616372</v>
      </c>
    </row>
    <row r="68" spans="1:12" x14ac:dyDescent="0.3">
      <c r="A68">
        <v>96</v>
      </c>
      <c r="B68">
        <f t="shared" si="15"/>
        <v>8.748784448341091</v>
      </c>
      <c r="C68">
        <f t="shared" si="16"/>
        <v>8.748784448341091</v>
      </c>
      <c r="D68" t="s">
        <v>30</v>
      </c>
      <c r="E68" t="s">
        <v>21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STOWA2019_JAARROND_T(A68*60,J68,I68,"WH","center")</f>
        <v>9.0814731594448347E-2</v>
      </c>
      <c r="L68">
        <f t="shared" si="19"/>
        <v>16.517144010275281</v>
      </c>
    </row>
    <row r="69" spans="1:12" x14ac:dyDescent="0.3">
      <c r="A69">
        <v>96</v>
      </c>
      <c r="B69">
        <f t="shared" si="15"/>
        <v>5.5963013973998379</v>
      </c>
      <c r="C69">
        <f t="shared" si="16"/>
        <v>5.5963013973998379</v>
      </c>
      <c r="D69" t="s">
        <v>30</v>
      </c>
      <c r="E69" t="s">
        <v>21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STOWA2019_JAARROND_T(A69*60,J69,I69,"WH","center")</f>
        <v>0.13735203895636511</v>
      </c>
      <c r="L69">
        <f t="shared" si="19"/>
        <v>10.920842612875443</v>
      </c>
    </row>
    <row r="70" spans="1:12" x14ac:dyDescent="0.3">
      <c r="A70">
        <v>96</v>
      </c>
      <c r="B70">
        <f>L69-L70</f>
        <v>3.6275172769483532</v>
      </c>
      <c r="C70">
        <f t="shared" si="16"/>
        <v>3.6275172769483532</v>
      </c>
      <c r="D70" t="s">
        <v>30</v>
      </c>
      <c r="E70" t="s">
        <v>21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STOWA2019_JAARROND_T(A70*60,J70,I70,"WH","center")</f>
        <v>0.20566750157311167</v>
      </c>
      <c r="L70">
        <f t="shared" si="19"/>
        <v>7.29332533592709</v>
      </c>
    </row>
    <row r="71" spans="1:12" x14ac:dyDescent="0.3">
      <c r="A71">
        <v>96</v>
      </c>
      <c r="B71">
        <f t="shared" ref="B71:B93" si="20">L70-L71</f>
        <v>2.3777058784699054</v>
      </c>
      <c r="C71">
        <f t="shared" si="16"/>
        <v>2.3777058784699054</v>
      </c>
      <c r="D71" t="s">
        <v>30</v>
      </c>
      <c r="E71" t="s">
        <v>21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STOWA2019_JAARROND_T(A71*60,J71,I71,"WH","center")</f>
        <v>0.30514974012572149</v>
      </c>
      <c r="L71">
        <f t="shared" si="19"/>
        <v>4.9156194574571845</v>
      </c>
    </row>
    <row r="72" spans="1:12" x14ac:dyDescent="0.3">
      <c r="A72">
        <v>96</v>
      </c>
      <c r="B72">
        <f t="shared" si="20"/>
        <v>1.574012012548498</v>
      </c>
      <c r="C72">
        <f t="shared" si="16"/>
        <v>1.574012012548498</v>
      </c>
      <c r="D72" t="s">
        <v>30</v>
      </c>
      <c r="E72" t="s">
        <v>21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STOWA2019_JAARROND_T(A72*60,J72,I72,"WH","center")</f>
        <v>0.44888576073931669</v>
      </c>
      <c r="L72">
        <f t="shared" si="19"/>
        <v>3.3416074449086866</v>
      </c>
    </row>
    <row r="73" spans="1:12" x14ac:dyDescent="0.3">
      <c r="A73">
        <v>96</v>
      </c>
      <c r="B73">
        <f t="shared" si="20"/>
        <v>1.0515120315412423</v>
      </c>
      <c r="C73">
        <f t="shared" si="16"/>
        <v>1.0515120315412423</v>
      </c>
      <c r="D73" t="s">
        <v>30</v>
      </c>
      <c r="E73" t="s">
        <v>21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STOWA2019_JAARROND_T(A73*60,J73,I73,"WH","center")</f>
        <v>0.65499454356547626</v>
      </c>
      <c r="L73">
        <f t="shared" si="19"/>
        <v>2.2900954133674443</v>
      </c>
    </row>
    <row r="74" spans="1:12" x14ac:dyDescent="0.3">
      <c r="A74">
        <v>96</v>
      </c>
      <c r="B74">
        <f t="shared" si="20"/>
        <v>0.70849083204529828</v>
      </c>
      <c r="C74">
        <f t="shared" si="16"/>
        <v>0.70849083204529828</v>
      </c>
      <c r="D74" t="s">
        <v>30</v>
      </c>
      <c r="E74" t="s">
        <v>21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STOWA2019_JAARROND_T(A74*60,J74,I74,"WH","center")</f>
        <v>0.9484039296004515</v>
      </c>
      <c r="L74">
        <f t="shared" si="19"/>
        <v>1.581604581322146</v>
      </c>
    </row>
    <row r="75" spans="1:12" x14ac:dyDescent="0.3">
      <c r="A75">
        <v>96</v>
      </c>
      <c r="B75">
        <f t="shared" si="20"/>
        <v>0.48113902876407688</v>
      </c>
      <c r="C75">
        <f t="shared" si="16"/>
        <v>0.48113902876407688</v>
      </c>
      <c r="D75" t="s">
        <v>30</v>
      </c>
      <c r="E75" t="s">
        <v>21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STOWA2019_JAARROND_T(A75*60,J75,I75,"WH","center")</f>
        <v>1.3630594765217319</v>
      </c>
      <c r="L75">
        <f t="shared" si="19"/>
        <v>1.1004655525580691</v>
      </c>
    </row>
    <row r="76" spans="1:12" x14ac:dyDescent="0.3">
      <c r="A76">
        <v>96</v>
      </c>
      <c r="B76">
        <f t="shared" si="20"/>
        <v>0.32944128563941955</v>
      </c>
      <c r="C76">
        <f t="shared" si="16"/>
        <v>0.32944128563941955</v>
      </c>
      <c r="D76" t="s">
        <v>30</v>
      </c>
      <c r="E76" t="s">
        <v>21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STOWA2019_JAARROND_T(A76*60,J76,I76,"WH","center")</f>
        <v>1.945464059120547</v>
      </c>
      <c r="L76">
        <f t="shared" si="19"/>
        <v>0.77102426691864956</v>
      </c>
    </row>
    <row r="77" spans="1:12" x14ac:dyDescent="0.3">
      <c r="A77">
        <v>96</v>
      </c>
      <c r="B77">
        <f t="shared" si="20"/>
        <v>0.22717142409230384</v>
      </c>
      <c r="C77">
        <f t="shared" si="16"/>
        <v>0.22717142409230384</v>
      </c>
      <c r="D77" t="s">
        <v>30</v>
      </c>
      <c r="E77" t="s">
        <v>21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STOWA2019_JAARROND_T(A77*60,J77,I77,"WH","center")</f>
        <v>2.7580990331955584</v>
      </c>
      <c r="L77">
        <f t="shared" si="19"/>
        <v>0.54385284282634572</v>
      </c>
    </row>
    <row r="78" spans="1:12" x14ac:dyDescent="0.3">
      <c r="A78">
        <v>96</v>
      </c>
      <c r="B78">
        <f t="shared" si="20"/>
        <v>0.1577403415413221</v>
      </c>
      <c r="C78">
        <f t="shared" si="16"/>
        <v>0.1577403415413221</v>
      </c>
      <c r="D78" t="s">
        <v>30</v>
      </c>
      <c r="E78" t="s">
        <v>21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STOWA2019_JAARROND_T(A78*60,J78,I78,"WH","center")</f>
        <v>3.8848780990199483</v>
      </c>
      <c r="L78">
        <f t="shared" si="19"/>
        <v>0.38611250128502361</v>
      </c>
    </row>
    <row r="79" spans="1:12" x14ac:dyDescent="0.3">
      <c r="A79">
        <v>96</v>
      </c>
      <c r="B79">
        <f t="shared" si="20"/>
        <v>0.11027972151266113</v>
      </c>
      <c r="C79">
        <f t="shared" si="16"/>
        <v>0.11027972151266113</v>
      </c>
      <c r="D79" t="s">
        <v>30</v>
      </c>
      <c r="E79" t="s">
        <v>21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STOWA2019_JAARROND_T(A79*60,J79,I79,"WH","center")</f>
        <v>5.4380773787579217</v>
      </c>
      <c r="L79">
        <f t="shared" si="19"/>
        <v>0.27583277977236248</v>
      </c>
    </row>
    <row r="80" spans="1:12" x14ac:dyDescent="0.3">
      <c r="A80">
        <v>96</v>
      </c>
      <c r="B80">
        <f t="shared" si="20"/>
        <v>7.7595135564676287E-2</v>
      </c>
      <c r="C80">
        <f t="shared" si="16"/>
        <v>7.7595135564676287E-2</v>
      </c>
      <c r="D80" t="s">
        <v>30</v>
      </c>
      <c r="E80" t="s">
        <v>21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STOWA2019_JAARROND_T(A80*60,J80,I80,"WH","center")</f>
        <v>7.5666758752868652</v>
      </c>
      <c r="L80">
        <f t="shared" si="19"/>
        <v>0.19823764420768619</v>
      </c>
    </row>
    <row r="81" spans="1:12" x14ac:dyDescent="0.3">
      <c r="A81">
        <v>96</v>
      </c>
      <c r="B81">
        <f t="shared" si="20"/>
        <v>5.4940812373460296E-2</v>
      </c>
      <c r="C81">
        <f t="shared" si="16"/>
        <v>5.4940812373460296E-2</v>
      </c>
      <c r="D81" t="s">
        <v>30</v>
      </c>
      <c r="E81" t="s">
        <v>21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STOWA2019_JAARROND_T(A81*60,J81,I81,"WH","center")</f>
        <v>10.467782021414731</v>
      </c>
      <c r="L81">
        <f t="shared" si="19"/>
        <v>0.1432968318342259</v>
      </c>
    </row>
    <row r="82" spans="1:12" x14ac:dyDescent="0.3">
      <c r="A82">
        <v>96</v>
      </c>
      <c r="B82">
        <f t="shared" si="20"/>
        <v>3.9134931167342818E-2</v>
      </c>
      <c r="C82">
        <f t="shared" si="16"/>
        <v>3.9134931167342818E-2</v>
      </c>
      <c r="D82" t="s">
        <v>30</v>
      </c>
      <c r="E82" t="s">
        <v>21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STOWA2019_JAARROND_T(A82*60,J82,I82,"WH","center")</f>
        <v>14.400658881956304</v>
      </c>
      <c r="L82">
        <f t="shared" si="19"/>
        <v>0.10416190066688308</v>
      </c>
    </row>
    <row r="83" spans="1:12" x14ac:dyDescent="0.3">
      <c r="A83">
        <v>96</v>
      </c>
      <c r="B83">
        <f t="shared" si="20"/>
        <v>2.8038242218287879E-2</v>
      </c>
      <c r="C83">
        <f t="shared" si="16"/>
        <v>2.8038242218287879E-2</v>
      </c>
      <c r="D83" t="s">
        <v>30</v>
      </c>
      <c r="E83" t="s">
        <v>21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STOWA2019_JAARROND_T(A83*60,J83,I83,"WH","center")</f>
        <v>19.704780755025329</v>
      </c>
      <c r="L83">
        <f t="shared" si="19"/>
        <v>7.6123658448595199E-2</v>
      </c>
    </row>
    <row r="84" spans="1:12" x14ac:dyDescent="0.3">
      <c r="A84">
        <v>96</v>
      </c>
      <c r="B84">
        <f t="shared" si="20"/>
        <v>2.0200721329104276E-2</v>
      </c>
      <c r="C84">
        <f t="shared" si="16"/>
        <v>2.0200721329104276E-2</v>
      </c>
      <c r="D84" t="s">
        <v>30</v>
      </c>
      <c r="E84" t="s">
        <v>21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STOWA2019_JAARROND_T(A84*60,J84,I84,"WH","center")</f>
        <v>26.822625514016543</v>
      </c>
      <c r="L84">
        <f t="shared" si="19"/>
        <v>5.5922937119490923E-2</v>
      </c>
    </row>
    <row r="85" spans="1:12" x14ac:dyDescent="0.3">
      <c r="A85">
        <v>96</v>
      </c>
      <c r="B85">
        <f t="shared" si="20"/>
        <v>1.4632622190148402E-2</v>
      </c>
      <c r="C85">
        <f t="shared" si="16"/>
        <v>1.4632622190148402E-2</v>
      </c>
      <c r="D85" t="s">
        <v>30</v>
      </c>
      <c r="E85" t="s">
        <v>21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STOWA2019_JAARROND_T(A85*60,J85,I85,"WH","center")</f>
        <v>36.328131731783934</v>
      </c>
      <c r="L85">
        <f t="shared" si="19"/>
        <v>4.1290314929342521E-2</v>
      </c>
    </row>
    <row r="86" spans="1:12" x14ac:dyDescent="0.3">
      <c r="A86">
        <v>96</v>
      </c>
      <c r="B86">
        <f t="shared" si="20"/>
        <v>1.0655383528213457E-2</v>
      </c>
      <c r="C86">
        <f t="shared" si="16"/>
        <v>1.0655383528213457E-2</v>
      </c>
      <c r="D86" t="s">
        <v>30</v>
      </c>
      <c r="E86" t="s">
        <v>21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STOWA2019_JAARROND_T(A86*60,J86,I86,"WH","center")</f>
        <v>48.963713362345466</v>
      </c>
      <c r="L86">
        <f t="shared" si="19"/>
        <v>3.0634931401129065E-2</v>
      </c>
    </row>
    <row r="87" spans="1:12" x14ac:dyDescent="0.3">
      <c r="A87">
        <v>96</v>
      </c>
      <c r="B87">
        <f t="shared" si="20"/>
        <v>7.7981445963525298E-3</v>
      </c>
      <c r="C87">
        <f t="shared" si="16"/>
        <v>7.7981445963525298E-3</v>
      </c>
      <c r="D87" t="s">
        <v>30</v>
      </c>
      <c r="E87" t="s">
        <v>21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STOWA2019_JAARROND_T(A87*60,J87,I87,"WH","center")</f>
        <v>65.683496230137791</v>
      </c>
      <c r="L87">
        <f t="shared" si="19"/>
        <v>2.2836786804776535E-2</v>
      </c>
    </row>
    <row r="88" spans="1:12" x14ac:dyDescent="0.3">
      <c r="A88">
        <v>96</v>
      </c>
      <c r="B88">
        <f t="shared" si="20"/>
        <v>5.7353665748213351E-3</v>
      </c>
      <c r="C88">
        <f t="shared" si="16"/>
        <v>5.7353665748213351E-3</v>
      </c>
      <c r="D88" t="s">
        <v>30</v>
      </c>
      <c r="E88" t="s">
        <v>21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STOWA2019_JAARROND_T(A88*60,J88,I88,"WH","center")</f>
        <v>87.712013378430939</v>
      </c>
      <c r="L88">
        <f t="shared" si="19"/>
        <v>1.71014202299552E-2</v>
      </c>
    </row>
    <row r="89" spans="1:12" x14ac:dyDescent="0.3">
      <c r="A89">
        <v>96</v>
      </c>
      <c r="B89">
        <f t="shared" si="20"/>
        <v>4.2380954220107812E-3</v>
      </c>
      <c r="C89">
        <f t="shared" si="16"/>
        <v>4.2380954220107812E-3</v>
      </c>
      <c r="D89" t="s">
        <v>30</v>
      </c>
      <c r="E89" t="s">
        <v>21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STOWA2019_JAARROND_T(A89*60,J89,I89,"WH","center")</f>
        <v>116.61059814594718</v>
      </c>
      <c r="L89">
        <f t="shared" si="19"/>
        <v>1.2863324807944419E-2</v>
      </c>
    </row>
    <row r="90" spans="1:12" x14ac:dyDescent="0.3">
      <c r="A90">
        <v>96</v>
      </c>
      <c r="B90">
        <f t="shared" si="20"/>
        <v>3.146277580937289E-3</v>
      </c>
      <c r="C90">
        <f t="shared" si="16"/>
        <v>3.146277580937289E-3</v>
      </c>
      <c r="D90" t="s">
        <v>30</v>
      </c>
      <c r="E90" t="s">
        <v>21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STOWA2019_JAARROND_T(A90*60,J90,I90,"WH","center")</f>
        <v>154.36788202808839</v>
      </c>
      <c r="L90">
        <f t="shared" si="19"/>
        <v>9.7170472270071296E-3</v>
      </c>
    </row>
    <row r="91" spans="1:12" x14ac:dyDescent="0.3">
      <c r="A91">
        <v>96</v>
      </c>
      <c r="B91">
        <f t="shared" si="20"/>
        <v>2.3460690957484327E-3</v>
      </c>
      <c r="C91">
        <f t="shared" si="16"/>
        <v>2.3460690957484327E-3</v>
      </c>
      <c r="D91" t="s">
        <v>30</v>
      </c>
      <c r="E91" t="s">
        <v>21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STOWA2019_JAARROND_T(A91*60,J91,I91,"WH","center")</f>
        <v>203.50080725905698</v>
      </c>
      <c r="L91">
        <f t="shared" si="19"/>
        <v>7.3709781312586969E-3</v>
      </c>
    </row>
    <row r="92" spans="1:12" x14ac:dyDescent="0.3">
      <c r="A92">
        <v>96</v>
      </c>
      <c r="B92">
        <f t="shared" si="20"/>
        <v>1.7570104773682507E-3</v>
      </c>
      <c r="C92">
        <f t="shared" si="16"/>
        <v>1.7570104773682507E-3</v>
      </c>
      <c r="D92" t="s">
        <v>30</v>
      </c>
      <c r="E92" t="s">
        <v>21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STOWA2019_JAARROND_T(A92*60,J92,I92,"WH","center")</f>
        <v>267.19070940148879</v>
      </c>
      <c r="L92">
        <f t="shared" si="19"/>
        <v>5.6139676538904462E-3</v>
      </c>
    </row>
    <row r="93" spans="1:12" x14ac:dyDescent="0.3">
      <c r="A93">
        <v>96</v>
      </c>
      <c r="B93">
        <f t="shared" si="20"/>
        <v>1.3213926567696268E-3</v>
      </c>
      <c r="C93">
        <f t="shared" si="16"/>
        <v>1.3213926567696268E-3</v>
      </c>
      <c r="D93" t="s">
        <v>30</v>
      </c>
      <c r="E93" t="s">
        <v>21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STOWA2019_JAARROND_T(A93*60,J93,I93,"WH","center")</f>
        <v>349.44060406774548</v>
      </c>
      <c r="L93">
        <f t="shared" si="19"/>
        <v>4.2925749971208195E-3</v>
      </c>
    </row>
    <row r="94" spans="1:12" x14ac:dyDescent="0.3">
      <c r="A94">
        <v>96</v>
      </c>
      <c r="B94" s="1">
        <f>L93</f>
        <v>4.2925749971208195E-3</v>
      </c>
      <c r="C94">
        <f t="shared" si="16"/>
        <v>4.2925749971208195E-3</v>
      </c>
      <c r="D94" t="s">
        <v>30</v>
      </c>
      <c r="E94" t="s">
        <v>21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STOWA2019_JAARROND_T(A94*60,J94,I94,"WH","center")</f>
        <v>4.5998434120888838</v>
      </c>
      <c r="L94">
        <f t="shared" si="19"/>
        <v>0.32609805717686791</v>
      </c>
    </row>
    <row r="95" spans="1:12" x14ac:dyDescent="0.3">
      <c r="A95">
        <v>192</v>
      </c>
      <c r="B95" s="1">
        <f>365.25*24/A95 - L95</f>
        <v>-1454.34375</v>
      </c>
      <c r="C95">
        <f>B95</f>
        <v>-1454.34375</v>
      </c>
      <c r="D95" t="s">
        <v>30</v>
      </c>
      <c r="E95" t="s">
        <v>21</v>
      </c>
      <c r="F95">
        <v>1</v>
      </c>
      <c r="G95">
        <v>10</v>
      </c>
      <c r="I95">
        <v>2050</v>
      </c>
      <c r="J95">
        <f>AVERAGE(G95:G97)</f>
        <v>15</v>
      </c>
      <c r="K95" s="1">
        <v>1E-3</v>
      </c>
      <c r="L95">
        <f t="shared" si="19"/>
        <v>1500</v>
      </c>
    </row>
    <row r="96" spans="1:12" x14ac:dyDescent="0.3">
      <c r="A96">
        <v>192</v>
      </c>
      <c r="B96">
        <f t="shared" ref="B96:B100" si="23">L95-L96</f>
        <v>0</v>
      </c>
      <c r="C96">
        <f t="shared" ref="C96:C125" si="24">B96</f>
        <v>0</v>
      </c>
      <c r="D96" t="s">
        <v>30</v>
      </c>
      <c r="E96" t="s">
        <v>21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s="1">
        <v>1E-3</v>
      </c>
      <c r="L96">
        <f t="shared" si="19"/>
        <v>1500</v>
      </c>
    </row>
    <row r="97" spans="1:12" x14ac:dyDescent="0.3">
      <c r="A97">
        <v>192</v>
      </c>
      <c r="B97">
        <f t="shared" si="23"/>
        <v>0</v>
      </c>
      <c r="C97">
        <f t="shared" si="24"/>
        <v>0</v>
      </c>
      <c r="D97" t="s">
        <v>30</v>
      </c>
      <c r="E97" t="s">
        <v>21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s="1">
        <v>1E-3</v>
      </c>
      <c r="L97">
        <f t="shared" si="19"/>
        <v>1500</v>
      </c>
    </row>
    <row r="98" spans="1:12" x14ac:dyDescent="0.3">
      <c r="A98">
        <v>192</v>
      </c>
      <c r="B98">
        <f t="shared" si="23"/>
        <v>0</v>
      </c>
      <c r="C98">
        <f t="shared" si="24"/>
        <v>0</v>
      </c>
      <c r="D98" t="s">
        <v>30</v>
      </c>
      <c r="E98" t="s">
        <v>21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s="1">
        <v>1E-3</v>
      </c>
      <c r="L98">
        <f t="shared" si="19"/>
        <v>1500</v>
      </c>
    </row>
    <row r="99" spans="1:12" x14ac:dyDescent="0.3">
      <c r="A99">
        <v>192</v>
      </c>
      <c r="B99">
        <f t="shared" si="23"/>
        <v>1461.7721846478491</v>
      </c>
      <c r="C99">
        <f t="shared" si="24"/>
        <v>1461.7721846478491</v>
      </c>
      <c r="D99" t="s">
        <v>30</v>
      </c>
      <c r="E99" t="s">
        <v>21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STOWA2019_JAARROND_T(A99*60,J99,I99,"WH","center")</f>
        <v>3.923844421090121E-2</v>
      </c>
      <c r="L99">
        <f t="shared" si="19"/>
        <v>38.227815352150749</v>
      </c>
    </row>
    <row r="100" spans="1:12" x14ac:dyDescent="0.3">
      <c r="A100">
        <v>192</v>
      </c>
      <c r="B100">
        <f t="shared" si="23"/>
        <v>10.983796335602296</v>
      </c>
      <c r="C100">
        <f t="shared" si="24"/>
        <v>10.983796335602296</v>
      </c>
      <c r="D100" t="s">
        <v>30</v>
      </c>
      <c r="E100" t="s">
        <v>21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STOWA2019_JAARROND_T(A100*60,J100,I100,"WH","center")</f>
        <v>5.505795598985877E-2</v>
      </c>
      <c r="L100">
        <f t="shared" si="19"/>
        <v>27.244019016548453</v>
      </c>
    </row>
    <row r="101" spans="1:12" x14ac:dyDescent="0.3">
      <c r="A101">
        <v>192</v>
      </c>
      <c r="B101">
        <f>L100-L101</f>
        <v>7.4773557267846797</v>
      </c>
      <c r="C101">
        <f t="shared" si="24"/>
        <v>7.4773557267846797</v>
      </c>
      <c r="D101" t="s">
        <v>30</v>
      </c>
      <c r="E101" t="s">
        <v>21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STOWA2019_JAARROND_T(A101*60,J101,I101,"WH","center")</f>
        <v>7.5885341800544542E-2</v>
      </c>
      <c r="L101">
        <f t="shared" si="19"/>
        <v>19.766663289763773</v>
      </c>
    </row>
    <row r="102" spans="1:12" x14ac:dyDescent="0.3">
      <c r="A102">
        <v>192</v>
      </c>
      <c r="B102">
        <f t="shared" ref="B102:B124" si="27">L101-L102</f>
        <v>5.3231610293211951</v>
      </c>
      <c r="C102">
        <f t="shared" si="24"/>
        <v>5.3231610293211951</v>
      </c>
      <c r="D102" t="s">
        <v>30</v>
      </c>
      <c r="E102" t="s">
        <v>21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STOWA2019_JAARROND_T(A102*60,J102,I102,"WH","center")</f>
        <v>0.10385292797773528</v>
      </c>
      <c r="L102">
        <f t="shared" si="19"/>
        <v>14.443502260442578</v>
      </c>
    </row>
    <row r="103" spans="1:12" x14ac:dyDescent="0.3">
      <c r="A103">
        <v>192</v>
      </c>
      <c r="B103">
        <f t="shared" si="27"/>
        <v>3.8519978045565093</v>
      </c>
      <c r="C103">
        <f t="shared" si="24"/>
        <v>3.8519978045565093</v>
      </c>
      <c r="D103" t="s">
        <v>30</v>
      </c>
      <c r="E103" t="s">
        <v>21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STOWA2019_JAARROND_T(A103*60,J103,I103,"WH","center")</f>
        <v>0.1416229399937983</v>
      </c>
      <c r="L103">
        <f t="shared" si="19"/>
        <v>10.591504455886069</v>
      </c>
    </row>
    <row r="104" spans="1:12" x14ac:dyDescent="0.3">
      <c r="A104">
        <v>192</v>
      </c>
      <c r="B104">
        <f t="shared" si="27"/>
        <v>2.809497663851789</v>
      </c>
      <c r="C104">
        <f t="shared" si="24"/>
        <v>2.809497663851789</v>
      </c>
      <c r="D104" t="s">
        <v>30</v>
      </c>
      <c r="E104" t="s">
        <v>21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STOWA2019_JAARROND_T(A104*60,J104,I104,"WH","center")</f>
        <v>0.19275233755069593</v>
      </c>
      <c r="L104">
        <f t="shared" si="19"/>
        <v>7.7820067920342799</v>
      </c>
    </row>
    <row r="105" spans="1:12" x14ac:dyDescent="0.3">
      <c r="A105">
        <v>192</v>
      </c>
      <c r="B105">
        <f t="shared" si="27"/>
        <v>2.0577046245404205</v>
      </c>
      <c r="C105">
        <f t="shared" si="24"/>
        <v>2.0577046245404205</v>
      </c>
      <c r="D105" t="s">
        <v>30</v>
      </c>
      <c r="E105" t="s">
        <v>21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STOWA2019_JAARROND_T(A105*60,J105,I105,"WH","center")</f>
        <v>0.26204067432322686</v>
      </c>
      <c r="L105">
        <f t="shared" si="19"/>
        <v>5.7243021674938595</v>
      </c>
    </row>
    <row r="106" spans="1:12" x14ac:dyDescent="0.3">
      <c r="A106">
        <v>192</v>
      </c>
      <c r="B106">
        <f t="shared" si="27"/>
        <v>1.5107885012158526</v>
      </c>
      <c r="C106">
        <f t="shared" si="24"/>
        <v>1.5107885012158526</v>
      </c>
      <c r="D106" t="s">
        <v>30</v>
      </c>
      <c r="E106" t="s">
        <v>21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STOWA2019_JAARROND_T(A106*60,J106,I106,"WH","center")</f>
        <v>0.35599742134573875</v>
      </c>
      <c r="L106">
        <f t="shared" si="19"/>
        <v>4.2135136662780068</v>
      </c>
    </row>
    <row r="107" spans="1:12" x14ac:dyDescent="0.3">
      <c r="A107">
        <v>192</v>
      </c>
      <c r="B107">
        <f t="shared" si="27"/>
        <v>1.1108890570929431</v>
      </c>
      <c r="C107">
        <f t="shared" si="24"/>
        <v>1.1108890570929431</v>
      </c>
      <c r="D107" t="s">
        <v>30</v>
      </c>
      <c r="E107" t="s">
        <v>21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STOWA2019_JAARROND_T(A107*60,J107,I107,"WH","center")</f>
        <v>0.48346164584635015</v>
      </c>
      <c r="L107">
        <f t="shared" si="19"/>
        <v>3.1026246091850638</v>
      </c>
    </row>
    <row r="108" spans="1:12" x14ac:dyDescent="0.3">
      <c r="A108">
        <v>192</v>
      </c>
      <c r="B108">
        <f t="shared" si="27"/>
        <v>0.81762565858855485</v>
      </c>
      <c r="C108">
        <f t="shared" si="24"/>
        <v>0.81762565858855485</v>
      </c>
      <c r="D108" t="s">
        <v>30</v>
      </c>
      <c r="E108" t="s">
        <v>21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STOWA2019_JAARROND_T(A108*60,J108,I108,"WH","center")</f>
        <v>0.65645544371406317</v>
      </c>
      <c r="L108">
        <f t="shared" si="19"/>
        <v>2.2849989505965089</v>
      </c>
    </row>
    <row r="109" spans="1:12" x14ac:dyDescent="0.3">
      <c r="A109">
        <v>192</v>
      </c>
      <c r="B109">
        <f t="shared" si="27"/>
        <v>0.60207550082840688</v>
      </c>
      <c r="C109">
        <f t="shared" si="24"/>
        <v>0.60207550082840688</v>
      </c>
      <c r="D109" t="s">
        <v>30</v>
      </c>
      <c r="E109" t="s">
        <v>21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STOWA2019_JAARROND_T(A109*60,J109,I109,"WH","center")</f>
        <v>0.89130613766579336</v>
      </c>
      <c r="L109">
        <f t="shared" si="19"/>
        <v>1.682923449768102</v>
      </c>
    </row>
    <row r="110" spans="1:12" x14ac:dyDescent="0.3">
      <c r="A110">
        <v>192</v>
      </c>
      <c r="B110">
        <f t="shared" si="27"/>
        <v>0.44339138838284242</v>
      </c>
      <c r="C110">
        <f t="shared" si="24"/>
        <v>0.44339138838284242</v>
      </c>
      <c r="D110" t="s">
        <v>30</v>
      </c>
      <c r="E110" t="s">
        <v>21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STOWA2019_JAARROND_T(A110*60,J110,I110,"WH","center")</f>
        <v>1.2101340874746314</v>
      </c>
      <c r="L110">
        <f t="shared" si="19"/>
        <v>1.2395320613852596</v>
      </c>
    </row>
    <row r="111" spans="1:12" x14ac:dyDescent="0.3">
      <c r="A111">
        <v>192</v>
      </c>
      <c r="B111">
        <f t="shared" si="27"/>
        <v>0.32677085554543472</v>
      </c>
      <c r="C111">
        <f t="shared" si="24"/>
        <v>0.32677085554543472</v>
      </c>
      <c r="D111" t="s">
        <v>30</v>
      </c>
      <c r="E111" t="s">
        <v>21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STOWA2019_JAARROND_T(A111*60,J111,I111,"WH","center")</f>
        <v>1.6433651982610951</v>
      </c>
      <c r="L111">
        <f t="shared" si="19"/>
        <v>0.9127612058398249</v>
      </c>
    </row>
    <row r="112" spans="1:12" x14ac:dyDescent="0.3">
      <c r="A112">
        <v>192</v>
      </c>
      <c r="B112">
        <f t="shared" si="27"/>
        <v>0.24073686931062066</v>
      </c>
      <c r="C112">
        <f t="shared" si="24"/>
        <v>0.24073686931062066</v>
      </c>
      <c r="D112" t="s">
        <v>30</v>
      </c>
      <c r="E112" t="s">
        <v>21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STOWA2019_JAARROND_T(A112*60,J112,I112,"WH","center")</f>
        <v>2.2320620228532664</v>
      </c>
      <c r="L112">
        <f t="shared" si="19"/>
        <v>0.67202433652920424</v>
      </c>
    </row>
    <row r="113" spans="1:12" x14ac:dyDescent="0.3">
      <c r="A113">
        <v>192</v>
      </c>
      <c r="B113">
        <f t="shared" si="27"/>
        <v>0.17734754430063937</v>
      </c>
      <c r="C113">
        <f t="shared" si="24"/>
        <v>0.17734754430063937</v>
      </c>
      <c r="D113" t="s">
        <v>30</v>
      </c>
      <c r="E113" t="s">
        <v>21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STOWA2019_JAARROND_T(A113*60,J113,I113,"WH","center")</f>
        <v>3.0322829442682377</v>
      </c>
      <c r="L113">
        <f t="shared" si="19"/>
        <v>0.49467679222856487</v>
      </c>
    </row>
    <row r="114" spans="1:12" x14ac:dyDescent="0.3">
      <c r="A114">
        <v>192</v>
      </c>
      <c r="B114">
        <f t="shared" si="27"/>
        <v>0.13063841954310762</v>
      </c>
      <c r="C114">
        <f t="shared" si="24"/>
        <v>0.13063841954310762</v>
      </c>
      <c r="D114" t="s">
        <v>30</v>
      </c>
      <c r="E114" t="s">
        <v>21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STOWA2019_JAARROND_T(A114*60,J114,I114,"WH","center")</f>
        <v>4.1204447457962239</v>
      </c>
      <c r="L114">
        <f t="shared" si="19"/>
        <v>0.36403837268545725</v>
      </c>
    </row>
    <row r="115" spans="1:12" x14ac:dyDescent="0.3">
      <c r="A115">
        <v>192</v>
      </c>
      <c r="B115">
        <f t="shared" si="27"/>
        <v>9.6208659040803446E-2</v>
      </c>
      <c r="C115">
        <f t="shared" si="24"/>
        <v>9.6208659040803446E-2</v>
      </c>
      <c r="D115" t="s">
        <v>30</v>
      </c>
      <c r="E115" t="s">
        <v>21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STOWA2019_JAARROND_T(A115*60,J115,I115,"WH","center")</f>
        <v>5.6005735121314526</v>
      </c>
      <c r="L115">
        <f t="shared" si="19"/>
        <v>0.2678297136446538</v>
      </c>
    </row>
    <row r="116" spans="1:12" x14ac:dyDescent="0.3">
      <c r="A116">
        <v>192</v>
      </c>
      <c r="B116">
        <f t="shared" si="27"/>
        <v>7.0839658305345776E-2</v>
      </c>
      <c r="C116">
        <f t="shared" si="24"/>
        <v>7.0839658305345776E-2</v>
      </c>
      <c r="D116" t="s">
        <v>30</v>
      </c>
      <c r="E116" t="s">
        <v>21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STOWA2019_JAARROND_T(A116*60,J116,I116,"WH","center")</f>
        <v>7.6145975867477462</v>
      </c>
      <c r="L116">
        <f t="shared" si="19"/>
        <v>0.19699005533930802</v>
      </c>
    </row>
    <row r="117" spans="1:12" x14ac:dyDescent="0.3">
      <c r="A117">
        <v>192</v>
      </c>
      <c r="B117">
        <f t="shared" si="27"/>
        <v>5.2147290583336448E-2</v>
      </c>
      <c r="C117">
        <f t="shared" si="24"/>
        <v>5.2147290583336448E-2</v>
      </c>
      <c r="D117" t="s">
        <v>30</v>
      </c>
      <c r="E117" t="s">
        <v>21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STOWA2019_JAARROND_T(A117*60,J117,I117,"WH","center")</f>
        <v>10.356057498123377</v>
      </c>
      <c r="L117">
        <f t="shared" si="19"/>
        <v>0.14484276475597158</v>
      </c>
    </row>
    <row r="118" spans="1:12" x14ac:dyDescent="0.3">
      <c r="A118">
        <v>192</v>
      </c>
      <c r="B118">
        <f t="shared" si="27"/>
        <v>3.8376885841041847E-2</v>
      </c>
      <c r="C118">
        <f t="shared" si="24"/>
        <v>3.8376885841041847E-2</v>
      </c>
      <c r="D118" t="s">
        <v>30</v>
      </c>
      <c r="E118" t="s">
        <v>21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STOWA2019_JAARROND_T(A118*60,J118,I118,"WH","center")</f>
        <v>14.089020964158451</v>
      </c>
      <c r="L118">
        <f t="shared" si="19"/>
        <v>0.10646587891492973</v>
      </c>
    </row>
    <row r="119" spans="1:12" x14ac:dyDescent="0.3">
      <c r="A119">
        <v>192</v>
      </c>
      <c r="B119">
        <f t="shared" si="27"/>
        <v>2.8234621342913865E-2</v>
      </c>
      <c r="C119">
        <f t="shared" si="24"/>
        <v>2.8234621342913865E-2</v>
      </c>
      <c r="D119" t="s">
        <v>30</v>
      </c>
      <c r="E119" t="s">
        <v>21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STOWA2019_JAARROND_T(A119*60,J119,I119,"WH","center")</f>
        <v>19.173921608241738</v>
      </c>
      <c r="L119">
        <f t="shared" si="19"/>
        <v>7.8231257572015864E-2</v>
      </c>
    </row>
    <row r="120" spans="1:12" x14ac:dyDescent="0.3">
      <c r="A120">
        <v>192</v>
      </c>
      <c r="B120">
        <f t="shared" si="27"/>
        <v>2.0766412687792474E-2</v>
      </c>
      <c r="C120">
        <f t="shared" si="24"/>
        <v>2.0766412687792474E-2</v>
      </c>
      <c r="D120" t="s">
        <v>30</v>
      </c>
      <c r="E120" t="s">
        <v>21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STOWA2019_JAARROND_T(A120*60,J120,I120,"WH","center")</f>
        <v>26.10291566995625</v>
      </c>
      <c r="L120">
        <f t="shared" si="19"/>
        <v>5.746484488422339E-2</v>
      </c>
    </row>
    <row r="121" spans="1:12" x14ac:dyDescent="0.3">
      <c r="A121">
        <v>192</v>
      </c>
      <c r="B121">
        <f t="shared" si="27"/>
        <v>1.5268712899762865E-2</v>
      </c>
      <c r="C121">
        <f t="shared" si="24"/>
        <v>1.5268712899762865E-2</v>
      </c>
      <c r="D121" t="s">
        <v>30</v>
      </c>
      <c r="E121" t="s">
        <v>21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STOWA2019_JAARROND_T(A121*60,J121,I121,"WH","center")</f>
        <v>35.54828202149907</v>
      </c>
      <c r="L121">
        <f t="shared" si="19"/>
        <v>4.2196131984460525E-2</v>
      </c>
    </row>
    <row r="122" spans="1:12" x14ac:dyDescent="0.3">
      <c r="A122">
        <v>192</v>
      </c>
      <c r="B122">
        <f t="shared" si="27"/>
        <v>1.1222765264006063E-2</v>
      </c>
      <c r="C122">
        <f t="shared" si="24"/>
        <v>1.1222765264006063E-2</v>
      </c>
      <c r="D122" t="s">
        <v>30</v>
      </c>
      <c r="E122" t="s">
        <v>21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STOWA2019_JAARROND_T(A122*60,J122,I122,"WH","center")</f>
        <v>48.428703716261396</v>
      </c>
      <c r="L122">
        <f t="shared" si="19"/>
        <v>3.0973366720454462E-2</v>
      </c>
    </row>
    <row r="123" spans="1:12" x14ac:dyDescent="0.3">
      <c r="A123">
        <v>192</v>
      </c>
      <c r="B123">
        <f t="shared" si="27"/>
        <v>8.2461194318870501E-3</v>
      </c>
      <c r="C123">
        <f t="shared" si="24"/>
        <v>8.2461194318870501E-3</v>
      </c>
      <c r="D123" t="s">
        <v>30</v>
      </c>
      <c r="E123" t="s">
        <v>21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STOWA2019_JAARROND_T(A123*60,J123,I123,"WH","center")</f>
        <v>66.000073874082915</v>
      </c>
      <c r="L123">
        <f t="shared" si="19"/>
        <v>2.2727247288567412E-2</v>
      </c>
    </row>
    <row r="124" spans="1:12" x14ac:dyDescent="0.3">
      <c r="A124">
        <v>192</v>
      </c>
      <c r="B124">
        <f t="shared" si="27"/>
        <v>6.0569621397426575E-3</v>
      </c>
      <c r="C124">
        <f t="shared" si="24"/>
        <v>6.0569621397426575E-3</v>
      </c>
      <c r="D124" t="s">
        <v>30</v>
      </c>
      <c r="E124" t="s">
        <v>21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STOWA2019_JAARROND_T(A124*60,J124,I124,"WH","center")</f>
        <v>89.980464437691339</v>
      </c>
      <c r="L124">
        <f t="shared" si="19"/>
        <v>1.6670285148824755E-2</v>
      </c>
    </row>
    <row r="125" spans="1:12" x14ac:dyDescent="0.3">
      <c r="A125">
        <v>192</v>
      </c>
      <c r="B125" s="1">
        <f>L124</f>
        <v>1.6670285148824755E-2</v>
      </c>
      <c r="C125">
        <f t="shared" si="24"/>
        <v>1.6670285148824755E-2</v>
      </c>
      <c r="D125" t="s">
        <v>30</v>
      </c>
      <c r="E125" t="s">
        <v>21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STOWA2019_JAARROND_T(A125*60,J125,I125,"WH","center")</f>
        <v>1.0385062304569133</v>
      </c>
      <c r="L125">
        <f t="shared" si="19"/>
        <v>1.4443822829450359</v>
      </c>
    </row>
    <row r="126" spans="1:12" x14ac:dyDescent="0.3">
      <c r="A126">
        <v>216</v>
      </c>
      <c r="B126" s="1">
        <f>365.25*24/A126 - L126</f>
        <v>-1459.4166666666667</v>
      </c>
      <c r="C126">
        <f>B126</f>
        <v>-1459.4166666666667</v>
      </c>
      <c r="D126" t="s">
        <v>30</v>
      </c>
      <c r="E126" t="s">
        <v>21</v>
      </c>
      <c r="F126">
        <v>1</v>
      </c>
      <c r="G126">
        <v>10</v>
      </c>
      <c r="I126">
        <v>2050</v>
      </c>
      <c r="J126">
        <f>AVERAGE(G126:G128)</f>
        <v>15</v>
      </c>
      <c r="K126" s="1">
        <v>1E-3</v>
      </c>
      <c r="L126">
        <f t="shared" si="19"/>
        <v>1500</v>
      </c>
    </row>
    <row r="127" spans="1:12" x14ac:dyDescent="0.3">
      <c r="A127">
        <v>216</v>
      </c>
      <c r="B127">
        <f t="shared" ref="B127:B131" si="30">L126-L127</f>
        <v>0</v>
      </c>
      <c r="C127">
        <f t="shared" ref="C127:C156" si="31">B127</f>
        <v>0</v>
      </c>
      <c r="D127" t="s">
        <v>30</v>
      </c>
      <c r="E127" t="s">
        <v>21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s="1">
        <v>1E-3</v>
      </c>
      <c r="L127">
        <f t="shared" si="19"/>
        <v>1500</v>
      </c>
    </row>
    <row r="128" spans="1:12" x14ac:dyDescent="0.3">
      <c r="A128">
        <v>216</v>
      </c>
      <c r="B128">
        <f t="shared" si="30"/>
        <v>0</v>
      </c>
      <c r="C128">
        <f t="shared" si="31"/>
        <v>0</v>
      </c>
      <c r="D128" t="s">
        <v>30</v>
      </c>
      <c r="E128" t="s">
        <v>21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s="1">
        <v>1E-3</v>
      </c>
      <c r="L128">
        <f t="shared" si="19"/>
        <v>1500</v>
      </c>
    </row>
    <row r="129" spans="1:12" x14ac:dyDescent="0.3">
      <c r="A129">
        <v>216</v>
      </c>
      <c r="B129">
        <f t="shared" si="30"/>
        <v>0</v>
      </c>
      <c r="C129">
        <f t="shared" si="31"/>
        <v>0</v>
      </c>
      <c r="D129" t="s">
        <v>30</v>
      </c>
      <c r="E129" t="s">
        <v>21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s="1">
        <v>1E-3</v>
      </c>
      <c r="L129">
        <f t="shared" si="19"/>
        <v>1500</v>
      </c>
    </row>
    <row r="130" spans="1:12" x14ac:dyDescent="0.3">
      <c r="A130">
        <v>216</v>
      </c>
      <c r="B130">
        <f t="shared" si="30"/>
        <v>1452.995941825508</v>
      </c>
      <c r="C130">
        <f t="shared" si="31"/>
        <v>1452.995941825508</v>
      </c>
      <c r="D130" t="s">
        <v>30</v>
      </c>
      <c r="E130" t="s">
        <v>21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STOWA2019_JAARROND_T(A130*60,J130,I130,"WH","center")</f>
        <v>3.1912138190953385E-2</v>
      </c>
      <c r="L130">
        <f t="shared" si="19"/>
        <v>47.004058174491973</v>
      </c>
    </row>
    <row r="131" spans="1:12" x14ac:dyDescent="0.3">
      <c r="A131">
        <v>216</v>
      </c>
      <c r="B131">
        <f t="shared" si="30"/>
        <v>15.00676155869396</v>
      </c>
      <c r="C131">
        <f t="shared" si="31"/>
        <v>15.00676155869396</v>
      </c>
      <c r="D131" t="s">
        <v>30</v>
      </c>
      <c r="E131" t="s">
        <v>21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STOWA2019_JAARROND_T(A131*60,J131,I131,"WH","center")</f>
        <v>4.6878960370027187E-2</v>
      </c>
      <c r="L131">
        <f t="shared" ref="L131:L156" si="34">1/K131 * 12/8</f>
        <v>31.997296615798014</v>
      </c>
    </row>
    <row r="132" spans="1:12" x14ac:dyDescent="0.3">
      <c r="A132">
        <v>216</v>
      </c>
      <c r="B132">
        <f>L131-L132</f>
        <v>8.6945491223210389</v>
      </c>
      <c r="C132">
        <f t="shared" si="31"/>
        <v>8.6945491223210389</v>
      </c>
      <c r="D132" t="s">
        <v>30</v>
      </c>
      <c r="E132" t="s">
        <v>21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STOWA2019_JAARROND_T(A132*60,J132,I132,"WH","center")</f>
        <v>6.4370091999661747E-2</v>
      </c>
      <c r="L132">
        <f t="shared" si="34"/>
        <v>23.302747493476975</v>
      </c>
    </row>
    <row r="133" spans="1:12" x14ac:dyDescent="0.3">
      <c r="A133">
        <v>216</v>
      </c>
      <c r="B133">
        <f t="shared" ref="B133:B155" si="35">L132-L133</f>
        <v>6.0840372364629687</v>
      </c>
      <c r="C133">
        <f t="shared" si="31"/>
        <v>6.0840372364629687</v>
      </c>
      <c r="D133" t="s">
        <v>30</v>
      </c>
      <c r="E133" t="s">
        <v>21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STOWA2019_JAARROND_T(A133*60,J133,I133,"WH","center")</f>
        <v>8.7114538639093367E-2</v>
      </c>
      <c r="L133">
        <f t="shared" si="34"/>
        <v>17.218710257014006</v>
      </c>
    </row>
    <row r="134" spans="1:12" x14ac:dyDescent="0.3">
      <c r="A134">
        <v>216</v>
      </c>
      <c r="B134">
        <f t="shared" si="35"/>
        <v>4.4223631485169115</v>
      </c>
      <c r="C134">
        <f t="shared" si="31"/>
        <v>4.4223631485169115</v>
      </c>
      <c r="D134" t="s">
        <v>30</v>
      </c>
      <c r="E134" t="s">
        <v>21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STOWA2019_JAARROND_T(A134*60,J134,I134,"WH","center")</f>
        <v>0.11722095276736925</v>
      </c>
      <c r="L134">
        <f t="shared" si="34"/>
        <v>12.796347108497095</v>
      </c>
    </row>
    <row r="135" spans="1:12" x14ac:dyDescent="0.3">
      <c r="A135">
        <v>216</v>
      </c>
      <c r="B135">
        <f t="shared" si="35"/>
        <v>3.2622147544997873</v>
      </c>
      <c r="C135">
        <f t="shared" si="31"/>
        <v>3.2622147544997873</v>
      </c>
      <c r="D135" t="s">
        <v>30</v>
      </c>
      <c r="E135" t="s">
        <v>21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STOWA2019_JAARROND_T(A135*60,J135,I135,"WH","center")</f>
        <v>0.15732947103163569</v>
      </c>
      <c r="L135">
        <f t="shared" si="34"/>
        <v>9.5341323539973075</v>
      </c>
    </row>
    <row r="136" spans="1:12" x14ac:dyDescent="0.3">
      <c r="A136">
        <v>216</v>
      </c>
      <c r="B136">
        <f t="shared" si="35"/>
        <v>2.4227828405958638</v>
      </c>
      <c r="C136">
        <f t="shared" si="31"/>
        <v>2.4227828405958638</v>
      </c>
      <c r="D136" t="s">
        <v>30</v>
      </c>
      <c r="E136" t="s">
        <v>21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STOWA2019_JAARROND_T(A136*60,J136,I136,"WH","center")</f>
        <v>0.21093042848944882</v>
      </c>
      <c r="L136">
        <f t="shared" si="34"/>
        <v>7.1113495134014437</v>
      </c>
    </row>
    <row r="137" spans="1:12" x14ac:dyDescent="0.3">
      <c r="A137">
        <v>216</v>
      </c>
      <c r="B137">
        <f t="shared" si="35"/>
        <v>1.8055175681529683</v>
      </c>
      <c r="C137">
        <f t="shared" si="31"/>
        <v>1.8055175681529683</v>
      </c>
      <c r="D137" t="s">
        <v>30</v>
      </c>
      <c r="E137" t="s">
        <v>21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STOWA2019_JAARROND_T(A137*60,J137,I137,"WH","center")</f>
        <v>0.28270778559869258</v>
      </c>
      <c r="L137">
        <f t="shared" si="34"/>
        <v>5.3058319452484755</v>
      </c>
    </row>
    <row r="138" spans="1:12" x14ac:dyDescent="0.3">
      <c r="A138">
        <v>216</v>
      </c>
      <c r="B138">
        <f t="shared" si="35"/>
        <v>1.3477914808755243</v>
      </c>
      <c r="C138">
        <f t="shared" si="31"/>
        <v>1.3477914808755243</v>
      </c>
      <c r="D138" t="s">
        <v>30</v>
      </c>
      <c r="E138" t="s">
        <v>21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STOWA2019_JAARROND_T(A138*60,J138,I138,"WH","center")</f>
        <v>0.37897540803379232</v>
      </c>
      <c r="L138">
        <f t="shared" si="34"/>
        <v>3.9580404643729512</v>
      </c>
    </row>
    <row r="139" spans="1:12" x14ac:dyDescent="0.3">
      <c r="A139">
        <v>216</v>
      </c>
      <c r="B139">
        <f t="shared" si="35"/>
        <v>1.0068247184598915</v>
      </c>
      <c r="C139">
        <f t="shared" si="31"/>
        <v>1.0068247184598915</v>
      </c>
      <c r="D139" t="s">
        <v>30</v>
      </c>
      <c r="E139" t="s">
        <v>21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STOWA2019_JAARROND_T(A139*60,J139,I139,"WH","center")</f>
        <v>0.50826511144678233</v>
      </c>
      <c r="L139">
        <f t="shared" si="34"/>
        <v>2.9512157459130597</v>
      </c>
    </row>
    <row r="140" spans="1:12" x14ac:dyDescent="0.3">
      <c r="A140">
        <v>216</v>
      </c>
      <c r="B140">
        <f t="shared" si="35"/>
        <v>0.75223996797781112</v>
      </c>
      <c r="C140">
        <f t="shared" si="31"/>
        <v>0.75223996797781112</v>
      </c>
      <c r="D140" t="s">
        <v>30</v>
      </c>
      <c r="E140" t="s">
        <v>21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STOWA2019_JAARROND_T(A140*60,J140,I140,"WH","center")</f>
        <v>0.68213575385920833</v>
      </c>
      <c r="L140">
        <f t="shared" si="34"/>
        <v>2.1989757779352486</v>
      </c>
    </row>
    <row r="141" spans="1:12" x14ac:dyDescent="0.3">
      <c r="A141">
        <v>216</v>
      </c>
      <c r="B141">
        <f t="shared" si="35"/>
        <v>0.56185264327141082</v>
      </c>
      <c r="C141">
        <f t="shared" si="31"/>
        <v>0.56185264327141082</v>
      </c>
      <c r="D141" t="s">
        <v>30</v>
      </c>
      <c r="E141" t="s">
        <v>21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STOWA2019_JAARROND_T(A141*60,J141,I141,"WH","center")</f>
        <v>0.91624140435105728</v>
      </c>
      <c r="L141">
        <f t="shared" si="34"/>
        <v>1.6371231346638377</v>
      </c>
    </row>
    <row r="142" spans="1:12" x14ac:dyDescent="0.3">
      <c r="A142">
        <v>216</v>
      </c>
      <c r="B142">
        <f t="shared" si="35"/>
        <v>0.41934068043460937</v>
      </c>
      <c r="C142">
        <f t="shared" si="31"/>
        <v>0.41934068043460937</v>
      </c>
      <c r="D142" t="s">
        <v>30</v>
      </c>
      <c r="E142" t="s">
        <v>21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STOWA2019_JAARROND_T(A142*60,J142,I142,"WH","center")</f>
        <v>1.231747094721771</v>
      </c>
      <c r="L142">
        <f t="shared" si="34"/>
        <v>1.2177824542292284</v>
      </c>
    </row>
    <row r="143" spans="1:12" x14ac:dyDescent="0.3">
      <c r="A143">
        <v>216</v>
      </c>
      <c r="B143">
        <f t="shared" si="35"/>
        <v>0.31292536286186778</v>
      </c>
      <c r="C143">
        <f t="shared" si="31"/>
        <v>0.31292536286186778</v>
      </c>
      <c r="D143" t="s">
        <v>30</v>
      </c>
      <c r="E143" t="s">
        <v>21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STOWA2019_JAARROND_T(A143*60,J143,I143,"WH","center")</f>
        <v>1.6577203343052753</v>
      </c>
      <c r="L143">
        <f t="shared" si="34"/>
        <v>0.90485709136736059</v>
      </c>
    </row>
    <row r="144" spans="1:12" x14ac:dyDescent="0.3">
      <c r="A144">
        <v>216</v>
      </c>
      <c r="B144">
        <f t="shared" si="35"/>
        <v>0.23324323015525772</v>
      </c>
      <c r="C144">
        <f t="shared" si="31"/>
        <v>0.23324323015525772</v>
      </c>
      <c r="D144" t="s">
        <v>30</v>
      </c>
      <c r="E144" t="s">
        <v>21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STOWA2019_JAARROND_T(A144*60,J144,I144,"WH","center")</f>
        <v>2.2334262090613461</v>
      </c>
      <c r="L144">
        <f t="shared" si="34"/>
        <v>0.67161386121210287</v>
      </c>
    </row>
    <row r="145" spans="1:12" x14ac:dyDescent="0.3">
      <c r="A145">
        <v>216</v>
      </c>
      <c r="B145">
        <f t="shared" si="35"/>
        <v>0.17368993571715036</v>
      </c>
      <c r="C145">
        <f t="shared" si="31"/>
        <v>0.17368993571715036</v>
      </c>
      <c r="D145" t="s">
        <v>30</v>
      </c>
      <c r="E145" t="s">
        <v>21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STOWA2019_JAARROND_T(A145*60,J145,I145,"WH","center")</f>
        <v>3.0125083837032962</v>
      </c>
      <c r="L145">
        <f t="shared" si="34"/>
        <v>0.49792392549495251</v>
      </c>
    </row>
    <row r="146" spans="1:12" x14ac:dyDescent="0.3">
      <c r="A146">
        <v>216</v>
      </c>
      <c r="B146">
        <f t="shared" si="35"/>
        <v>0.12920762506950279</v>
      </c>
      <c r="C146">
        <f t="shared" si="31"/>
        <v>0.12920762506950279</v>
      </c>
      <c r="D146" t="s">
        <v>30</v>
      </c>
      <c r="E146" t="s">
        <v>21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STOWA2019_JAARROND_T(A146*60,J146,I146,"WH","center")</f>
        <v>4.0681683946958644</v>
      </c>
      <c r="L146">
        <f t="shared" si="34"/>
        <v>0.36871630042544973</v>
      </c>
    </row>
    <row r="147" spans="1:12" x14ac:dyDescent="0.3">
      <c r="A147">
        <v>216</v>
      </c>
      <c r="B147">
        <f t="shared" si="35"/>
        <v>9.6010155598917402E-2</v>
      </c>
      <c r="C147">
        <f t="shared" si="31"/>
        <v>9.6010155598917402E-2</v>
      </c>
      <c r="D147" t="s">
        <v>30</v>
      </c>
      <c r="E147" t="s">
        <v>21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STOWA2019_JAARROND_T(A147*60,J147,I147,"WH","center")</f>
        <v>5.5004261123420815</v>
      </c>
      <c r="L147">
        <f t="shared" si="34"/>
        <v>0.27270614482653233</v>
      </c>
    </row>
    <row r="148" spans="1:12" x14ac:dyDescent="0.3">
      <c r="A148">
        <v>216</v>
      </c>
      <c r="B148">
        <f t="shared" si="35"/>
        <v>7.1262498286316034E-2</v>
      </c>
      <c r="C148">
        <f t="shared" si="31"/>
        <v>7.1262498286316034E-2</v>
      </c>
      <c r="D148" t="s">
        <v>30</v>
      </c>
      <c r="E148" t="s">
        <v>21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STOWA2019_JAARROND_T(A148*60,J148,I148,"WH","center")</f>
        <v>7.4462512259007356</v>
      </c>
      <c r="L148">
        <f t="shared" si="34"/>
        <v>0.20144364654021629</v>
      </c>
    </row>
    <row r="149" spans="1:12" x14ac:dyDescent="0.3">
      <c r="A149">
        <v>216</v>
      </c>
      <c r="B149">
        <f t="shared" si="35"/>
        <v>5.2832019090192028E-2</v>
      </c>
      <c r="C149">
        <f t="shared" si="31"/>
        <v>5.2832019090192028E-2</v>
      </c>
      <c r="D149" t="s">
        <v>30</v>
      </c>
      <c r="E149" t="s">
        <v>21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STOWA2019_JAARROND_T(A149*60,J149,I149,"WH","center")</f>
        <v>10.093422875033289</v>
      </c>
      <c r="L149">
        <f t="shared" si="34"/>
        <v>0.14861162745002426</v>
      </c>
    </row>
    <row r="150" spans="1:12" x14ac:dyDescent="0.3">
      <c r="A150">
        <v>216</v>
      </c>
      <c r="B150">
        <f t="shared" si="35"/>
        <v>3.911838967394049E-2</v>
      </c>
      <c r="C150">
        <f t="shared" si="31"/>
        <v>3.911838967394049E-2</v>
      </c>
      <c r="D150" t="s">
        <v>30</v>
      </c>
      <c r="E150" t="s">
        <v>21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STOWA2019_JAARROND_T(A150*60,J150,I150,"WH","center")</f>
        <v>13.699476154568877</v>
      </c>
      <c r="L150">
        <f t="shared" si="34"/>
        <v>0.10949323777608377</v>
      </c>
    </row>
    <row r="151" spans="1:12" x14ac:dyDescent="0.3">
      <c r="A151">
        <v>216</v>
      </c>
      <c r="B151">
        <f t="shared" si="35"/>
        <v>2.8928740313509616E-2</v>
      </c>
      <c r="C151">
        <f t="shared" si="31"/>
        <v>2.8928740313509616E-2</v>
      </c>
      <c r="D151" t="s">
        <v>30</v>
      </c>
      <c r="E151" t="s">
        <v>21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STOWA2019_JAARROND_T(A151*60,J151,I151,"WH","center")</f>
        <v>18.618622932474914</v>
      </c>
      <c r="L151">
        <f t="shared" si="34"/>
        <v>8.0564497462574158E-2</v>
      </c>
    </row>
    <row r="152" spans="1:12" x14ac:dyDescent="0.3">
      <c r="A152">
        <v>216</v>
      </c>
      <c r="B152">
        <f t="shared" si="35"/>
        <v>2.1366150225914246E-2</v>
      </c>
      <c r="C152">
        <f t="shared" si="31"/>
        <v>2.1366150225914246E-2</v>
      </c>
      <c r="D152" t="s">
        <v>30</v>
      </c>
      <c r="E152" t="s">
        <v>21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STOWA2019_JAARROND_T(A152*60,J152,I152,"WH","center")</f>
        <v>25.338545246937084</v>
      </c>
      <c r="L152">
        <f t="shared" si="34"/>
        <v>5.9198347236659912E-2</v>
      </c>
    </row>
    <row r="153" spans="1:12" x14ac:dyDescent="0.3">
      <c r="A153">
        <v>216</v>
      </c>
      <c r="B153">
        <f t="shared" si="35"/>
        <v>1.5759206911657102E-2</v>
      </c>
      <c r="C153">
        <f t="shared" si="31"/>
        <v>1.5759206911657102E-2</v>
      </c>
      <c r="D153" t="s">
        <v>30</v>
      </c>
      <c r="E153" t="s">
        <v>21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STOWA2019_JAARROND_T(A153*60,J153,I153,"WH","center")</f>
        <v>34.531070108139922</v>
      </c>
      <c r="L153">
        <f t="shared" si="34"/>
        <v>4.343914032500281E-2</v>
      </c>
    </row>
    <row r="154" spans="1:12" x14ac:dyDescent="0.3">
      <c r="A154">
        <v>216</v>
      </c>
      <c r="B154">
        <f t="shared" si="35"/>
        <v>1.1608365213527261E-2</v>
      </c>
      <c r="C154">
        <f t="shared" si="31"/>
        <v>1.1608365213527261E-2</v>
      </c>
      <c r="D154" t="s">
        <v>30</v>
      </c>
      <c r="E154" t="s">
        <v>21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STOWA2019_JAARROND_T(A154*60,J154,I154,"WH","center")</f>
        <v>47.12420589026825</v>
      </c>
      <c r="L154">
        <f t="shared" si="34"/>
        <v>3.183077511147555E-2</v>
      </c>
    </row>
    <row r="155" spans="1:12" x14ac:dyDescent="0.3">
      <c r="A155">
        <v>216</v>
      </c>
      <c r="B155">
        <f t="shared" si="35"/>
        <v>8.5393184861371312E-3</v>
      </c>
      <c r="C155">
        <f t="shared" si="31"/>
        <v>8.5393184861371312E-3</v>
      </c>
      <c r="D155" t="s">
        <v>30</v>
      </c>
      <c r="E155" t="s">
        <v>21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STOWA2019_JAARROND_T(A155*60,J155,I155,"WH","center")</f>
        <v>64.401296326317905</v>
      </c>
      <c r="L155">
        <f t="shared" si="34"/>
        <v>2.3291456625338419E-2</v>
      </c>
    </row>
    <row r="156" spans="1:12" x14ac:dyDescent="0.3">
      <c r="A156">
        <v>216</v>
      </c>
      <c r="B156" s="1">
        <f>L155</f>
        <v>2.3291456625338419E-2</v>
      </c>
      <c r="C156">
        <f t="shared" si="31"/>
        <v>2.3291456625338419E-2</v>
      </c>
      <c r="D156" t="s">
        <v>30</v>
      </c>
      <c r="E156" t="s">
        <v>21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STOWA2019_JAARROND_T(A156*60,J156,I156,"WH","center")</f>
        <v>75.327134059628776</v>
      </c>
      <c r="L156">
        <f t="shared" si="34"/>
        <v>1.9913143102093911E-2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8ABFD-8CAA-4134-BD5A-F75E1C02905A}">
  <sheetPr codeName="Blad16"/>
  <dimension ref="A1:L156"/>
  <sheetViews>
    <sheetView workbookViewId="0">
      <selection activeCell="D18" sqref="D18"/>
    </sheetView>
  </sheetViews>
  <sheetFormatPr defaultRowHeight="14.4" x14ac:dyDescent="0.3"/>
  <cols>
    <col min="2" max="3" width="12" bestFit="1" customWidth="1"/>
    <col min="4" max="4" width="27.21875" bestFit="1" customWidth="1"/>
    <col min="11" max="11" width="10.5546875" bestFit="1" customWidth="1"/>
  </cols>
  <sheetData>
    <row r="1" spans="1:12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20</v>
      </c>
      <c r="G1" t="s">
        <v>1</v>
      </c>
      <c r="I1" t="s">
        <v>4</v>
      </c>
      <c r="J1" t="s">
        <v>13</v>
      </c>
      <c r="K1" t="s">
        <v>2</v>
      </c>
      <c r="L1" t="s">
        <v>3</v>
      </c>
    </row>
    <row r="2" spans="1:12" x14ac:dyDescent="0.3">
      <c r="A2">
        <v>24</v>
      </c>
      <c r="B2" s="1">
        <f>365.25*24/A2 - L2</f>
        <v>339.56991331233917</v>
      </c>
      <c r="C2">
        <f>B2</f>
        <v>339.56991331233917</v>
      </c>
      <c r="D2" t="s">
        <v>30</v>
      </c>
      <c r="E2" t="s">
        <v>19</v>
      </c>
      <c r="F2">
        <v>1</v>
      </c>
      <c r="G2">
        <v>10</v>
      </c>
      <c r="I2">
        <v>2050</v>
      </c>
      <c r="J2">
        <f>AVERAGE(G2:G4)</f>
        <v>15</v>
      </c>
      <c r="K2" cm="1">
        <f t="array" ref="K2">STOWA2019_NDJF_T(A2*60,J2,I2,"WH","center")</f>
        <v>0.11682203555183028</v>
      </c>
      <c r="L2">
        <f>1/K2 * 12/4</f>
        <v>25.680086687660854</v>
      </c>
    </row>
    <row r="3" spans="1:12" x14ac:dyDescent="0.3">
      <c r="A3">
        <v>24</v>
      </c>
      <c r="B3">
        <f t="shared" ref="B3:B7" si="0">L2-L3</f>
        <v>9.1754701922424715</v>
      </c>
      <c r="C3">
        <f t="shared" ref="C3:C32" si="1">B3</f>
        <v>9.1754701922424715</v>
      </c>
      <c r="D3" t="s">
        <v>30</v>
      </c>
      <c r="E3" t="s">
        <v>19</v>
      </c>
      <c r="F3">
        <v>1</v>
      </c>
      <c r="G3">
        <f t="shared" ref="G3:G7" si="2">G2+5</f>
        <v>15</v>
      </c>
      <c r="I3">
        <v>2050</v>
      </c>
      <c r="J3">
        <f t="shared" ref="J3:J7" si="3">AVERAGE(G3:G4)</f>
        <v>17.5</v>
      </c>
      <c r="K3" cm="1">
        <f t="array" ref="K3">STOWA2019_NDJF_T(A3*60,J3,I3,"WH","center")</f>
        <v>0.18176732557419847</v>
      </c>
      <c r="L3">
        <f t="shared" ref="L3:L66" si="4">1/K3 * 12/4</f>
        <v>16.504616495418382</v>
      </c>
    </row>
    <row r="4" spans="1:12" x14ac:dyDescent="0.3">
      <c r="A4">
        <v>24</v>
      </c>
      <c r="B4">
        <f t="shared" si="0"/>
        <v>9.4041499980848755</v>
      </c>
      <c r="C4">
        <f t="shared" si="1"/>
        <v>9.4041499980848755</v>
      </c>
      <c r="D4" t="s">
        <v>30</v>
      </c>
      <c r="E4" t="s">
        <v>19</v>
      </c>
      <c r="F4">
        <v>1</v>
      </c>
      <c r="G4">
        <f t="shared" si="2"/>
        <v>20</v>
      </c>
      <c r="I4">
        <v>2050</v>
      </c>
      <c r="J4">
        <f t="shared" si="3"/>
        <v>22.5</v>
      </c>
      <c r="K4" cm="1">
        <f t="array" ref="K4">STOWA2019_NDJF_T(A4*60,J4,I4,"WH","center")</f>
        <v>0.42250745090151659</v>
      </c>
      <c r="L4">
        <f t="shared" si="4"/>
        <v>7.1004664973335068</v>
      </c>
    </row>
    <row r="5" spans="1:12" x14ac:dyDescent="0.3">
      <c r="A5">
        <v>24</v>
      </c>
      <c r="B5">
        <f t="shared" si="0"/>
        <v>3.8925987204611863</v>
      </c>
      <c r="C5">
        <f t="shared" si="1"/>
        <v>3.8925987204611863</v>
      </c>
      <c r="D5" t="s">
        <v>30</v>
      </c>
      <c r="E5" t="s">
        <v>19</v>
      </c>
      <c r="F5">
        <v>1</v>
      </c>
      <c r="G5">
        <f t="shared" si="2"/>
        <v>25</v>
      </c>
      <c r="I5">
        <v>2050</v>
      </c>
      <c r="J5">
        <f t="shared" si="3"/>
        <v>27.5</v>
      </c>
      <c r="K5" cm="1">
        <f t="array" ref="K5">STOWA2019_NDJF_T(A5*60,J5,I5,"WH","center")</f>
        <v>0.93520064063395036</v>
      </c>
      <c r="L5">
        <f t="shared" si="4"/>
        <v>3.2078677768723205</v>
      </c>
    </row>
    <row r="6" spans="1:12" x14ac:dyDescent="0.3">
      <c r="A6">
        <v>24</v>
      </c>
      <c r="B6">
        <f t="shared" si="0"/>
        <v>1.6938075862694446</v>
      </c>
      <c r="C6">
        <f t="shared" si="1"/>
        <v>1.6938075862694446</v>
      </c>
      <c r="D6" t="s">
        <v>30</v>
      </c>
      <c r="E6" t="s">
        <v>19</v>
      </c>
      <c r="F6">
        <v>1</v>
      </c>
      <c r="G6">
        <f t="shared" si="2"/>
        <v>30</v>
      </c>
      <c r="I6">
        <v>2050</v>
      </c>
      <c r="J6">
        <f t="shared" si="3"/>
        <v>32.5</v>
      </c>
      <c r="K6" cm="1">
        <f t="array" ref="K6">STOWA2019_NDJF_T(A6*60,J6,I6,"WH","center")</f>
        <v>1.9814271708745244</v>
      </c>
      <c r="L6">
        <f t="shared" si="4"/>
        <v>1.5140601906028759</v>
      </c>
    </row>
    <row r="7" spans="1:12" x14ac:dyDescent="0.3">
      <c r="A7">
        <v>24</v>
      </c>
      <c r="B7">
        <f t="shared" si="0"/>
        <v>0.77111815275444906</v>
      </c>
      <c r="C7">
        <f t="shared" si="1"/>
        <v>0.77111815275444906</v>
      </c>
      <c r="D7" t="s">
        <v>30</v>
      </c>
      <c r="E7" t="s">
        <v>19</v>
      </c>
      <c r="F7">
        <v>1</v>
      </c>
      <c r="G7">
        <f t="shared" si="2"/>
        <v>35</v>
      </c>
      <c r="I7">
        <v>2050</v>
      </c>
      <c r="J7">
        <f t="shared" si="3"/>
        <v>37.5</v>
      </c>
      <c r="K7" cm="1">
        <f t="array" ref="K7">STOWA2019_NDJF_T(A7*60,J7,I7,"WH","center")</f>
        <v>4.0380000688721998</v>
      </c>
      <c r="L7">
        <f t="shared" si="4"/>
        <v>0.74294203784842683</v>
      </c>
    </row>
    <row r="8" spans="1:12" x14ac:dyDescent="0.3">
      <c r="A8">
        <v>24</v>
      </c>
      <c r="B8">
        <f>L7-L8</f>
        <v>0.36533344746702923</v>
      </c>
      <c r="C8">
        <f t="shared" si="1"/>
        <v>0.36533344746702923</v>
      </c>
      <c r="D8" t="s">
        <v>30</v>
      </c>
      <c r="E8" t="s">
        <v>19</v>
      </c>
      <c r="F8">
        <v>1</v>
      </c>
      <c r="G8">
        <f>G7+5</f>
        <v>40</v>
      </c>
      <c r="I8">
        <v>2050</v>
      </c>
      <c r="J8">
        <f>AVERAGE(G8:G9)</f>
        <v>42.5</v>
      </c>
      <c r="K8" cm="1">
        <f t="array" ref="K8">STOWA2019_NDJF_T(A8*60,J8,I8,"WH","center")</f>
        <v>7.9447345119185382</v>
      </c>
      <c r="L8">
        <f t="shared" si="4"/>
        <v>0.3776085903813976</v>
      </c>
    </row>
    <row r="9" spans="1:12" x14ac:dyDescent="0.3">
      <c r="A9">
        <v>24</v>
      </c>
      <c r="B9">
        <f t="shared" ref="B9:B31" si="5">L8-L9</f>
        <v>0.17946960005987123</v>
      </c>
      <c r="C9">
        <f t="shared" si="1"/>
        <v>0.17946960005987123</v>
      </c>
      <c r="D9" t="s">
        <v>30</v>
      </c>
      <c r="E9" t="s">
        <v>19</v>
      </c>
      <c r="F9">
        <v>1</v>
      </c>
      <c r="G9">
        <f t="shared" ref="G9:G32" si="6">G8+5</f>
        <v>45</v>
      </c>
      <c r="I9">
        <v>2050</v>
      </c>
      <c r="J9">
        <f t="shared" ref="J9:J31" si="7">AVERAGE(G9:G10)</f>
        <v>47.5</v>
      </c>
      <c r="K9" cm="1">
        <f t="array" ref="K9">STOWA2019_NDJF_T(A9*60,J9,I9,"WH","center")</f>
        <v>15.140886683291388</v>
      </c>
      <c r="L9">
        <f t="shared" si="4"/>
        <v>0.19813899032152638</v>
      </c>
    </row>
    <row r="10" spans="1:12" x14ac:dyDescent="0.3">
      <c r="A10">
        <v>24</v>
      </c>
      <c r="B10">
        <f t="shared" si="5"/>
        <v>9.1113014335673925E-2</v>
      </c>
      <c r="C10">
        <f t="shared" si="1"/>
        <v>9.1113014335673925E-2</v>
      </c>
      <c r="D10" t="s">
        <v>30</v>
      </c>
      <c r="E10" t="s">
        <v>19</v>
      </c>
      <c r="F10">
        <v>1</v>
      </c>
      <c r="G10">
        <f t="shared" si="6"/>
        <v>50</v>
      </c>
      <c r="I10">
        <v>2050</v>
      </c>
      <c r="J10">
        <f t="shared" si="7"/>
        <v>52.5</v>
      </c>
      <c r="K10" cm="1">
        <f t="array" ref="K10">STOWA2019_NDJF_T(A10*60,J10,I10,"WH","center")</f>
        <v>28.030578299949948</v>
      </c>
      <c r="L10">
        <f t="shared" si="4"/>
        <v>0.10702597598585245</v>
      </c>
    </row>
    <row r="11" spans="1:12" x14ac:dyDescent="0.3">
      <c r="A11">
        <v>24</v>
      </c>
      <c r="B11">
        <f t="shared" si="5"/>
        <v>4.7662104077598265E-2</v>
      </c>
      <c r="C11">
        <f t="shared" si="1"/>
        <v>4.7662104077598265E-2</v>
      </c>
      <c r="D11" t="s">
        <v>30</v>
      </c>
      <c r="E11" t="s">
        <v>19</v>
      </c>
      <c r="F11">
        <v>1</v>
      </c>
      <c r="G11">
        <f t="shared" si="6"/>
        <v>55</v>
      </c>
      <c r="I11">
        <v>2050</v>
      </c>
      <c r="J11">
        <f t="shared" si="7"/>
        <v>57.5</v>
      </c>
      <c r="K11" cm="1">
        <f t="array" ref="K11">STOWA2019_NDJF_T(A11*60,J11,I11,"WH","center")</f>
        <v>50.535787231608595</v>
      </c>
      <c r="L11">
        <f t="shared" si="4"/>
        <v>5.9363871908254186E-2</v>
      </c>
    </row>
    <row r="12" spans="1:12" x14ac:dyDescent="0.3">
      <c r="A12">
        <v>24</v>
      </c>
      <c r="B12">
        <f t="shared" si="5"/>
        <v>2.5626311862508154E-2</v>
      </c>
      <c r="C12">
        <f t="shared" si="1"/>
        <v>2.5626311862508154E-2</v>
      </c>
      <c r="D12" t="s">
        <v>30</v>
      </c>
      <c r="E12" t="s">
        <v>19</v>
      </c>
      <c r="F12">
        <v>1</v>
      </c>
      <c r="G12">
        <f t="shared" si="6"/>
        <v>60</v>
      </c>
      <c r="I12">
        <v>2050</v>
      </c>
      <c r="J12">
        <f t="shared" si="7"/>
        <v>62.5</v>
      </c>
      <c r="K12" cm="1">
        <f t="array" ref="K12">STOWA2019_NDJF_T(A12*60,J12,I12,"WH","center")</f>
        <v>88.921664635266652</v>
      </c>
      <c r="L12">
        <f t="shared" si="4"/>
        <v>3.3737560045746032E-2</v>
      </c>
    </row>
    <row r="13" spans="1:12" x14ac:dyDescent="0.3">
      <c r="A13">
        <v>24</v>
      </c>
      <c r="B13">
        <f t="shared" si="5"/>
        <v>1.4129835914255585E-2</v>
      </c>
      <c r="C13">
        <f t="shared" si="1"/>
        <v>1.4129835914255585E-2</v>
      </c>
      <c r="D13" t="s">
        <v>30</v>
      </c>
      <c r="E13" t="s">
        <v>19</v>
      </c>
      <c r="F13">
        <v>1</v>
      </c>
      <c r="G13">
        <f t="shared" si="6"/>
        <v>65</v>
      </c>
      <c r="I13">
        <v>2050</v>
      </c>
      <c r="J13">
        <f t="shared" si="7"/>
        <v>67.5</v>
      </c>
      <c r="K13" cm="1">
        <f t="array" ref="K13">STOWA2019_NDJF_T(A13*60,J13,I13,"WH","center")</f>
        <v>153.00092860761603</v>
      </c>
      <c r="L13">
        <f t="shared" si="4"/>
        <v>1.9607724131490447E-2</v>
      </c>
    </row>
    <row r="14" spans="1:12" x14ac:dyDescent="0.3">
      <c r="A14">
        <v>24</v>
      </c>
      <c r="B14">
        <f t="shared" si="5"/>
        <v>7.9737945085384884E-3</v>
      </c>
      <c r="C14">
        <f t="shared" si="1"/>
        <v>7.9737945085384884E-3</v>
      </c>
      <c r="D14" t="s">
        <v>30</v>
      </c>
      <c r="E14" t="s">
        <v>19</v>
      </c>
      <c r="F14">
        <v>1</v>
      </c>
      <c r="G14">
        <f t="shared" si="6"/>
        <v>70</v>
      </c>
      <c r="I14">
        <v>2050</v>
      </c>
      <c r="J14">
        <f t="shared" si="7"/>
        <v>72.5</v>
      </c>
      <c r="K14" cm="1">
        <f t="array" ref="K14">STOWA2019_NDJF_T(A14*60,J14,I14,"WH","center")</f>
        <v>257.86643870369136</v>
      </c>
      <c r="L14">
        <f t="shared" si="4"/>
        <v>1.1633929622951959E-2</v>
      </c>
    </row>
    <row r="15" spans="1:12" x14ac:dyDescent="0.3">
      <c r="A15">
        <v>24</v>
      </c>
      <c r="B15">
        <f t="shared" si="5"/>
        <v>4.5976535540949211E-3</v>
      </c>
      <c r="C15">
        <f t="shared" si="1"/>
        <v>4.5976535540949211E-3</v>
      </c>
      <c r="D15" t="s">
        <v>30</v>
      </c>
      <c r="E15" t="s">
        <v>19</v>
      </c>
      <c r="F15">
        <v>1</v>
      </c>
      <c r="G15">
        <f t="shared" si="6"/>
        <v>75</v>
      </c>
      <c r="I15">
        <v>2050</v>
      </c>
      <c r="J15">
        <f t="shared" si="7"/>
        <v>77.5</v>
      </c>
      <c r="K15" cm="1">
        <f t="array" ref="K15">STOWA2019_NDJF_T(A15*60,J15,I15,"WH","center")</f>
        <v>426.36189521871836</v>
      </c>
      <c r="L15">
        <f t="shared" si="4"/>
        <v>7.0362760688570374E-3</v>
      </c>
    </row>
    <row r="16" spans="1:12" x14ac:dyDescent="0.3">
      <c r="A16">
        <v>24</v>
      </c>
      <c r="B16">
        <f t="shared" si="5"/>
        <v>2.7042013685426042E-3</v>
      </c>
      <c r="C16">
        <f t="shared" si="1"/>
        <v>2.7042013685426042E-3</v>
      </c>
      <c r="D16" t="s">
        <v>30</v>
      </c>
      <c r="E16" t="s">
        <v>19</v>
      </c>
      <c r="F16">
        <v>1</v>
      </c>
      <c r="G16">
        <f t="shared" si="6"/>
        <v>80</v>
      </c>
      <c r="I16">
        <v>2050</v>
      </c>
      <c r="J16">
        <f t="shared" si="7"/>
        <v>82.5</v>
      </c>
      <c r="K16" cm="1">
        <f t="array" ref="K16">STOWA2019_NDJF_T(A16*60,J16,I16,"WH","center")</f>
        <v>692.50883411180621</v>
      </c>
      <c r="L16">
        <f t="shared" si="4"/>
        <v>4.3320747003144332E-3</v>
      </c>
    </row>
    <row r="17" spans="1:12" x14ac:dyDescent="0.3">
      <c r="A17">
        <v>24</v>
      </c>
      <c r="B17">
        <f t="shared" si="5"/>
        <v>1.6203072553097695E-3</v>
      </c>
      <c r="C17">
        <f t="shared" si="1"/>
        <v>1.6203072553097695E-3</v>
      </c>
      <c r="D17" t="s">
        <v>30</v>
      </c>
      <c r="E17" t="s">
        <v>19</v>
      </c>
      <c r="F17">
        <v>1</v>
      </c>
      <c r="G17">
        <f t="shared" si="6"/>
        <v>85</v>
      </c>
      <c r="I17">
        <v>2050</v>
      </c>
      <c r="J17">
        <f t="shared" si="7"/>
        <v>87.5</v>
      </c>
      <c r="K17" cm="1">
        <f t="array" ref="K17">STOWA2019_NDJF_T(A17*60,J17,I17,"WH","center")</f>
        <v>1106.2895550008495</v>
      </c>
      <c r="L17">
        <f t="shared" si="4"/>
        <v>2.7117674450046637E-3</v>
      </c>
    </row>
    <row r="18" spans="1:12" x14ac:dyDescent="0.3">
      <c r="A18">
        <v>24</v>
      </c>
      <c r="B18">
        <f t="shared" si="5"/>
        <v>9.8775827172954385E-4</v>
      </c>
      <c r="C18">
        <f t="shared" si="1"/>
        <v>9.8775827172954385E-4</v>
      </c>
      <c r="D18" t="s">
        <v>30</v>
      </c>
      <c r="E18" t="s">
        <v>19</v>
      </c>
      <c r="F18">
        <v>1</v>
      </c>
      <c r="G18">
        <f t="shared" si="6"/>
        <v>90</v>
      </c>
      <c r="I18">
        <v>2050</v>
      </c>
      <c r="J18">
        <f t="shared" si="7"/>
        <v>92.5</v>
      </c>
      <c r="K18" cm="1">
        <f t="array" ref="K18">STOWA2019_NDJF_T(A18*60,J18,I18,"WH","center")</f>
        <v>1740.1299520355024</v>
      </c>
      <c r="L18">
        <f t="shared" si="4"/>
        <v>1.7240091732751198E-3</v>
      </c>
    </row>
    <row r="19" spans="1:12" x14ac:dyDescent="0.3">
      <c r="A19">
        <v>24</v>
      </c>
      <c r="B19">
        <f t="shared" si="5"/>
        <v>6.1197180706733766E-4</v>
      </c>
      <c r="C19">
        <f t="shared" si="1"/>
        <v>6.1197180706733766E-4</v>
      </c>
      <c r="D19" t="s">
        <v>30</v>
      </c>
      <c r="E19" t="s">
        <v>19</v>
      </c>
      <c r="F19">
        <v>1</v>
      </c>
      <c r="G19">
        <f t="shared" si="6"/>
        <v>95</v>
      </c>
      <c r="I19">
        <v>2050</v>
      </c>
      <c r="J19">
        <f t="shared" si="7"/>
        <v>97.5</v>
      </c>
      <c r="K19" cm="1">
        <f t="array" ref="K19">STOWA2019_NDJF_T(A19*60,J19,I19,"WH","center")</f>
        <v>2697.7510748856034</v>
      </c>
      <c r="L19">
        <f t="shared" si="4"/>
        <v>1.1120373662077822E-3</v>
      </c>
    </row>
    <row r="20" spans="1:12" x14ac:dyDescent="0.3">
      <c r="A20">
        <v>24</v>
      </c>
      <c r="B20">
        <f t="shared" si="5"/>
        <v>3.8491345470712283E-4</v>
      </c>
      <c r="C20">
        <f t="shared" si="1"/>
        <v>3.8491345470712283E-4</v>
      </c>
      <c r="D20" t="s">
        <v>30</v>
      </c>
      <c r="E20" t="s">
        <v>19</v>
      </c>
      <c r="F20">
        <v>1</v>
      </c>
      <c r="G20">
        <f t="shared" si="6"/>
        <v>100</v>
      </c>
      <c r="I20">
        <v>2050</v>
      </c>
      <c r="J20">
        <f t="shared" si="7"/>
        <v>102.5</v>
      </c>
      <c r="K20" cm="1">
        <f t="array" ref="K20">STOWA2019_NDJF_T(A20*60,J20,I20,"WH","center")</f>
        <v>4125.8442372064392</v>
      </c>
      <c r="L20">
        <f t="shared" si="4"/>
        <v>7.2712391150065933E-4</v>
      </c>
    </row>
    <row r="21" spans="1:12" x14ac:dyDescent="0.3">
      <c r="A21">
        <v>24</v>
      </c>
      <c r="B21">
        <f t="shared" si="5"/>
        <v>2.4557035395974484E-4</v>
      </c>
      <c r="C21">
        <f t="shared" si="1"/>
        <v>2.4557035395974484E-4</v>
      </c>
      <c r="D21" t="s">
        <v>30</v>
      </c>
      <c r="E21" t="s">
        <v>19</v>
      </c>
      <c r="F21">
        <v>1</v>
      </c>
      <c r="G21">
        <f t="shared" si="6"/>
        <v>105</v>
      </c>
      <c r="I21">
        <v>2050</v>
      </c>
      <c r="J21">
        <f t="shared" si="7"/>
        <v>107.5</v>
      </c>
      <c r="K21" cm="1">
        <f t="array" ref="K21">STOWA2019_NDJF_T(A21*60,J21,I21,"WH","center")</f>
        <v>6229.8366464567334</v>
      </c>
      <c r="L21">
        <f t="shared" si="4"/>
        <v>4.8155355754091449E-4</v>
      </c>
    </row>
    <row r="22" spans="1:12" x14ac:dyDescent="0.3">
      <c r="A22">
        <v>24</v>
      </c>
      <c r="B22">
        <f t="shared" si="5"/>
        <v>1.5877089911097277E-4</v>
      </c>
      <c r="C22">
        <f t="shared" si="1"/>
        <v>1.5877089911097277E-4</v>
      </c>
      <c r="D22" t="s">
        <v>30</v>
      </c>
      <c r="E22" t="s">
        <v>19</v>
      </c>
      <c r="F22">
        <v>1</v>
      </c>
      <c r="G22">
        <f t="shared" si="6"/>
        <v>110</v>
      </c>
      <c r="I22">
        <v>2050</v>
      </c>
      <c r="J22">
        <f t="shared" si="7"/>
        <v>112.5</v>
      </c>
      <c r="K22" cm="1">
        <f t="array" ref="K22">STOWA2019_NDJF_T(A22*60,J22,I22,"WH","center")</f>
        <v>9294.1796024371433</v>
      </c>
      <c r="L22">
        <f t="shared" si="4"/>
        <v>3.2278265842994173E-4</v>
      </c>
    </row>
    <row r="23" spans="1:12" x14ac:dyDescent="0.3">
      <c r="A23">
        <v>24</v>
      </c>
      <c r="B23">
        <f t="shared" si="5"/>
        <v>1.0395340095854048E-4</v>
      </c>
      <c r="C23">
        <f t="shared" si="1"/>
        <v>1.0395340095854048E-4</v>
      </c>
      <c r="D23" t="s">
        <v>30</v>
      </c>
      <c r="E23" t="s">
        <v>19</v>
      </c>
      <c r="F23">
        <v>1</v>
      </c>
      <c r="G23">
        <f t="shared" si="6"/>
        <v>115</v>
      </c>
      <c r="I23">
        <v>2050</v>
      </c>
      <c r="J23">
        <f t="shared" si="7"/>
        <v>117.5</v>
      </c>
      <c r="K23" cm="1">
        <f t="array" ref="K23">STOWA2019_NDJF_T(A23*60,J23,I23,"WH","center")</f>
        <v>13709.318555778902</v>
      </c>
      <c r="L23">
        <f t="shared" si="4"/>
        <v>2.1882925747140124E-4</v>
      </c>
    </row>
    <row r="24" spans="1:12" x14ac:dyDescent="0.3">
      <c r="A24">
        <v>24</v>
      </c>
      <c r="B24">
        <f t="shared" si="5"/>
        <v>6.8875228816161799E-5</v>
      </c>
      <c r="C24">
        <f t="shared" si="1"/>
        <v>6.8875228816161799E-5</v>
      </c>
      <c r="D24" t="s">
        <v>30</v>
      </c>
      <c r="E24" t="s">
        <v>19</v>
      </c>
      <c r="F24">
        <v>1</v>
      </c>
      <c r="G24">
        <f t="shared" si="6"/>
        <v>120</v>
      </c>
      <c r="I24">
        <v>2050</v>
      </c>
      <c r="J24">
        <f t="shared" si="7"/>
        <v>122.5</v>
      </c>
      <c r="K24" cm="1">
        <f t="array" ref="K24">STOWA2019_NDJF_T(A24*60,J24,I24,"WH","center")</f>
        <v>20006.131391756902</v>
      </c>
      <c r="L24">
        <f t="shared" si="4"/>
        <v>1.4995402865523944E-4</v>
      </c>
    </row>
    <row r="25" spans="1:12" x14ac:dyDescent="0.3">
      <c r="A25">
        <v>24</v>
      </c>
      <c r="B25">
        <f t="shared" si="5"/>
        <v>4.6149014028607616E-5</v>
      </c>
      <c r="C25">
        <f t="shared" si="1"/>
        <v>4.6149014028607616E-5</v>
      </c>
      <c r="D25" t="s">
        <v>30</v>
      </c>
      <c r="E25" t="s">
        <v>19</v>
      </c>
      <c r="F25">
        <v>1</v>
      </c>
      <c r="G25">
        <f t="shared" si="6"/>
        <v>125</v>
      </c>
      <c r="I25">
        <v>2050</v>
      </c>
      <c r="J25">
        <f t="shared" si="7"/>
        <v>127.5</v>
      </c>
      <c r="K25" cm="1">
        <f t="array" ref="K25">STOWA2019_NDJF_T(A25*60,J25,I25,"WH","center")</f>
        <v>28900.337915181324</v>
      </c>
      <c r="L25">
        <f t="shared" si="4"/>
        <v>1.0380501462663183E-4</v>
      </c>
    </row>
    <row r="26" spans="1:12" x14ac:dyDescent="0.3">
      <c r="A26">
        <v>24</v>
      </c>
      <c r="B26">
        <f t="shared" si="5"/>
        <v>3.125199593257754E-5</v>
      </c>
      <c r="C26">
        <f t="shared" si="1"/>
        <v>3.125199593257754E-5</v>
      </c>
      <c r="D26" t="s">
        <v>30</v>
      </c>
      <c r="E26" t="s">
        <v>19</v>
      </c>
      <c r="F26">
        <v>1</v>
      </c>
      <c r="G26">
        <f t="shared" si="6"/>
        <v>130</v>
      </c>
      <c r="I26">
        <v>2050</v>
      </c>
      <c r="J26">
        <f t="shared" si="7"/>
        <v>132.5</v>
      </c>
      <c r="K26" cm="1">
        <f t="array" ref="K26">STOWA2019_NDJF_T(A26*60,J26,I26,"WH","center")</f>
        <v>41349.072085485117</v>
      </c>
      <c r="L26">
        <f t="shared" si="4"/>
        <v>7.2553018694054288E-5</v>
      </c>
    </row>
    <row r="27" spans="1:12" x14ac:dyDescent="0.3">
      <c r="A27">
        <v>24</v>
      </c>
      <c r="B27">
        <f t="shared" si="5"/>
        <v>2.1378150636776704E-5</v>
      </c>
      <c r="C27">
        <f t="shared" si="1"/>
        <v>2.1378150636776704E-5</v>
      </c>
      <c r="D27" t="s">
        <v>30</v>
      </c>
      <c r="E27" t="s">
        <v>19</v>
      </c>
      <c r="F27">
        <v>1</v>
      </c>
      <c r="G27">
        <f t="shared" si="6"/>
        <v>135</v>
      </c>
      <c r="I27">
        <v>2050</v>
      </c>
      <c r="J27">
        <f t="shared" si="7"/>
        <v>137.5</v>
      </c>
      <c r="K27" cm="1">
        <f t="array" ref="K27">STOWA2019_NDJF_T(A27*60,J27,I27,"WH","center")</f>
        <v>58622.52535057332</v>
      </c>
      <c r="L27">
        <f t="shared" si="4"/>
        <v>5.1174868057277584E-5</v>
      </c>
    </row>
    <row r="28" spans="1:12" x14ac:dyDescent="0.3">
      <c r="A28">
        <v>24</v>
      </c>
      <c r="B28">
        <f t="shared" si="5"/>
        <v>1.4764296753213822E-5</v>
      </c>
      <c r="C28">
        <f t="shared" si="1"/>
        <v>1.4764296753213822E-5</v>
      </c>
      <c r="D28" t="s">
        <v>30</v>
      </c>
      <c r="E28" t="s">
        <v>19</v>
      </c>
      <c r="F28">
        <v>1</v>
      </c>
      <c r="G28">
        <f t="shared" si="6"/>
        <v>140</v>
      </c>
      <c r="I28">
        <v>2050</v>
      </c>
      <c r="J28">
        <f t="shared" si="7"/>
        <v>142.5</v>
      </c>
      <c r="K28" cm="1">
        <f t="array" ref="K28">STOWA2019_NDJF_T(A28*60,J28,I28,"WH","center")</f>
        <v>82393.653616337848</v>
      </c>
      <c r="L28">
        <f t="shared" si="4"/>
        <v>3.6410571304063761E-5</v>
      </c>
    </row>
    <row r="29" spans="1:12" x14ac:dyDescent="0.3">
      <c r="A29">
        <v>24</v>
      </c>
      <c r="B29">
        <f t="shared" si="5"/>
        <v>1.0290154339748272E-5</v>
      </c>
      <c r="C29">
        <f t="shared" si="1"/>
        <v>1.0290154339748272E-5</v>
      </c>
      <c r="D29" t="s">
        <v>30</v>
      </c>
      <c r="E29" t="s">
        <v>19</v>
      </c>
      <c r="F29">
        <v>1</v>
      </c>
      <c r="G29">
        <f t="shared" si="6"/>
        <v>145</v>
      </c>
      <c r="I29">
        <v>2050</v>
      </c>
      <c r="J29">
        <f t="shared" si="7"/>
        <v>147.5</v>
      </c>
      <c r="K29" cm="1">
        <f t="array" ref="K29">STOWA2019_NDJF_T(A29*60,J29,I29,"WH","center")</f>
        <v>114852.68417033549</v>
      </c>
      <c r="L29">
        <f t="shared" si="4"/>
        <v>2.6120416964315489E-5</v>
      </c>
    </row>
    <row r="30" spans="1:12" x14ac:dyDescent="0.3">
      <c r="A30">
        <v>24</v>
      </c>
      <c r="B30">
        <f t="shared" si="5"/>
        <v>7.2340920174812969E-6</v>
      </c>
      <c r="C30">
        <f t="shared" si="1"/>
        <v>7.2340920174812969E-6</v>
      </c>
      <c r="D30" t="s">
        <v>30</v>
      </c>
      <c r="E30" t="s">
        <v>19</v>
      </c>
      <c r="F30">
        <v>1</v>
      </c>
      <c r="G30">
        <f t="shared" si="6"/>
        <v>150</v>
      </c>
      <c r="I30">
        <v>2050</v>
      </c>
      <c r="J30">
        <f t="shared" si="7"/>
        <v>152.5</v>
      </c>
      <c r="K30" cm="1">
        <f t="array" ref="K30">STOWA2019_NDJF_T(A30*60,J30,I30,"WH","center")</f>
        <v>158845.09074397097</v>
      </c>
      <c r="L30">
        <f t="shared" si="4"/>
        <v>1.8886324946834192E-5</v>
      </c>
    </row>
    <row r="31" spans="1:12" x14ac:dyDescent="0.3">
      <c r="A31">
        <v>24</v>
      </c>
      <c r="B31">
        <f t="shared" si="5"/>
        <v>5.1277395632378533E-6</v>
      </c>
      <c r="C31">
        <f t="shared" si="1"/>
        <v>5.1277395632378533E-6</v>
      </c>
      <c r="D31" t="s">
        <v>30</v>
      </c>
      <c r="E31" t="s">
        <v>19</v>
      </c>
      <c r="F31">
        <v>1</v>
      </c>
      <c r="G31">
        <f t="shared" si="6"/>
        <v>155</v>
      </c>
      <c r="I31">
        <v>2050</v>
      </c>
      <c r="J31">
        <f t="shared" si="7"/>
        <v>157.5</v>
      </c>
      <c r="K31" cm="1">
        <f t="array" ref="K31">STOWA2019_NDJF_T(A31*60,J31,I31,"WH","center")</f>
        <v>218045.67230994164</v>
      </c>
      <c r="L31">
        <f t="shared" si="4"/>
        <v>1.3758585383596339E-5</v>
      </c>
    </row>
    <row r="32" spans="1:12" x14ac:dyDescent="0.3">
      <c r="A32">
        <v>24</v>
      </c>
      <c r="B32" s="1">
        <f>L31</f>
        <v>1.3758585383596339E-5</v>
      </c>
      <c r="C32">
        <f t="shared" si="1"/>
        <v>1.3758585383596339E-5</v>
      </c>
      <c r="D32" t="s">
        <v>30</v>
      </c>
      <c r="E32" t="s">
        <v>19</v>
      </c>
      <c r="F32">
        <v>1</v>
      </c>
      <c r="G32">
        <f t="shared" si="6"/>
        <v>160</v>
      </c>
      <c r="I32">
        <v>2050</v>
      </c>
      <c r="J32">
        <f>AVERAGE(G32:G33)</f>
        <v>85</v>
      </c>
      <c r="K32" cm="1">
        <f t="array" ref="K32">STOWA2019_NDJF_T(A32*60,J32,I32,"WH","center")</f>
        <v>877.03043425045269</v>
      </c>
      <c r="L32">
        <f t="shared" si="4"/>
        <v>3.4206338604018081E-3</v>
      </c>
    </row>
    <row r="33" spans="1:12" x14ac:dyDescent="0.3">
      <c r="A33">
        <v>48</v>
      </c>
      <c r="B33" s="1">
        <f>365.25*24/A33 - L33</f>
        <v>134.02777475777282</v>
      </c>
      <c r="C33">
        <f>B33</f>
        <v>134.02777475777282</v>
      </c>
      <c r="D33" t="s">
        <v>30</v>
      </c>
      <c r="E33" t="s">
        <v>19</v>
      </c>
      <c r="F33">
        <v>1</v>
      </c>
      <c r="G33">
        <v>10</v>
      </c>
      <c r="I33">
        <v>2050</v>
      </c>
      <c r="J33">
        <f>AVERAGE(G33:G35)</f>
        <v>15</v>
      </c>
      <c r="K33" cm="1">
        <f t="array" ref="K33">STOWA2019_NDJF_T(A33*60,J33,I33,"WH","center")</f>
        <v>6.1731919570445645E-2</v>
      </c>
      <c r="L33">
        <f t="shared" si="4"/>
        <v>48.597225242227189</v>
      </c>
    </row>
    <row r="34" spans="1:12" x14ac:dyDescent="0.3">
      <c r="A34">
        <v>48</v>
      </c>
      <c r="B34">
        <f t="shared" ref="B34:B38" si="8">L33-L34</f>
        <v>13.681872185080074</v>
      </c>
      <c r="C34">
        <f t="shared" ref="C34:C63" si="9">B34</f>
        <v>13.681872185080074</v>
      </c>
      <c r="D34" t="s">
        <v>30</v>
      </c>
      <c r="E34" t="s">
        <v>19</v>
      </c>
      <c r="F34">
        <v>1</v>
      </c>
      <c r="G34">
        <f t="shared" ref="G34:G38" si="10">G33+5</f>
        <v>15</v>
      </c>
      <c r="I34">
        <v>2050</v>
      </c>
      <c r="J34">
        <f t="shared" ref="J34:J38" si="11">AVERAGE(G34:G35)</f>
        <v>17.5</v>
      </c>
      <c r="K34" cm="1">
        <f t="array" ref="K34">STOWA2019_NDJF_T(A34*60,J34,I34,"WH","center")</f>
        <v>8.5922086913736789E-2</v>
      </c>
      <c r="L34">
        <f t="shared" si="4"/>
        <v>34.915353057147115</v>
      </c>
    </row>
    <row r="35" spans="1:12" x14ac:dyDescent="0.3">
      <c r="A35">
        <v>48</v>
      </c>
      <c r="B35">
        <f t="shared" si="8"/>
        <v>16.568770169639155</v>
      </c>
      <c r="C35">
        <f t="shared" si="9"/>
        <v>16.568770169639155</v>
      </c>
      <c r="D35" t="s">
        <v>30</v>
      </c>
      <c r="E35" t="s">
        <v>19</v>
      </c>
      <c r="F35">
        <v>1</v>
      </c>
      <c r="G35">
        <f t="shared" si="10"/>
        <v>20</v>
      </c>
      <c r="I35">
        <v>2050</v>
      </c>
      <c r="J35">
        <f t="shared" si="11"/>
        <v>22.5</v>
      </c>
      <c r="K35" cm="1">
        <f t="array" ref="K35">STOWA2019_NDJF_T(A35*60,J35,I35,"WH","center")</f>
        <v>0.16351818855829964</v>
      </c>
      <c r="L35">
        <f t="shared" si="4"/>
        <v>18.34658288750796</v>
      </c>
    </row>
    <row r="36" spans="1:12" x14ac:dyDescent="0.3">
      <c r="A36">
        <v>48</v>
      </c>
      <c r="B36">
        <f t="shared" si="8"/>
        <v>8.487767679449858</v>
      </c>
      <c r="C36">
        <f t="shared" si="9"/>
        <v>8.487767679449858</v>
      </c>
      <c r="D36" t="s">
        <v>30</v>
      </c>
      <c r="E36" t="s">
        <v>19</v>
      </c>
      <c r="F36">
        <v>1</v>
      </c>
      <c r="G36">
        <f t="shared" si="10"/>
        <v>25</v>
      </c>
      <c r="I36">
        <v>2050</v>
      </c>
      <c r="J36">
        <f t="shared" si="11"/>
        <v>27.5</v>
      </c>
      <c r="K36" cm="1">
        <f t="array" ref="K36">STOWA2019_NDJF_T(A36*60,J36,I36,"WH","center")</f>
        <v>0.30429619956239268</v>
      </c>
      <c r="L36">
        <f t="shared" si="4"/>
        <v>9.8588152080581022</v>
      </c>
    </row>
    <row r="37" spans="1:12" x14ac:dyDescent="0.3">
      <c r="A37">
        <v>48</v>
      </c>
      <c r="B37">
        <f t="shared" si="8"/>
        <v>4.4492939072543258</v>
      </c>
      <c r="C37">
        <f t="shared" si="9"/>
        <v>4.4492939072543258</v>
      </c>
      <c r="D37" t="s">
        <v>30</v>
      </c>
      <c r="E37" t="s">
        <v>19</v>
      </c>
      <c r="F37">
        <v>1</v>
      </c>
      <c r="G37">
        <f t="shared" si="10"/>
        <v>30</v>
      </c>
      <c r="I37">
        <v>2050</v>
      </c>
      <c r="J37">
        <f t="shared" si="11"/>
        <v>32.5</v>
      </c>
      <c r="K37" cm="1">
        <f t="array" ref="K37">STOWA2019_NDJF_T(A37*60,J37,I37,"WH","center")</f>
        <v>0.55457772197962207</v>
      </c>
      <c r="L37">
        <f t="shared" si="4"/>
        <v>5.4095213008037764</v>
      </c>
    </row>
    <row r="38" spans="1:12" x14ac:dyDescent="0.3">
      <c r="A38">
        <v>48</v>
      </c>
      <c r="B38">
        <f t="shared" si="8"/>
        <v>2.3828116417817489</v>
      </c>
      <c r="C38">
        <f t="shared" si="9"/>
        <v>2.3828116417817489</v>
      </c>
      <c r="D38" t="s">
        <v>30</v>
      </c>
      <c r="E38" t="s">
        <v>19</v>
      </c>
      <c r="F38">
        <v>1</v>
      </c>
      <c r="G38">
        <f t="shared" si="10"/>
        <v>35</v>
      </c>
      <c r="I38">
        <v>2050</v>
      </c>
      <c r="J38">
        <f t="shared" si="11"/>
        <v>37.5</v>
      </c>
      <c r="K38" cm="1">
        <f t="array" ref="K38">STOWA2019_NDJF_T(A38*60,J38,I38,"WH","center")</f>
        <v>0.99117534814004682</v>
      </c>
      <c r="L38">
        <f t="shared" si="4"/>
        <v>3.0267096590220275</v>
      </c>
    </row>
    <row r="39" spans="1:12" x14ac:dyDescent="0.3">
      <c r="A39">
        <v>48</v>
      </c>
      <c r="B39">
        <f>L38-L39</f>
        <v>1.3017553139843776</v>
      </c>
      <c r="C39">
        <f t="shared" si="9"/>
        <v>1.3017553139843776</v>
      </c>
      <c r="D39" t="s">
        <v>30</v>
      </c>
      <c r="E39" t="s">
        <v>19</v>
      </c>
      <c r="F39">
        <v>1</v>
      </c>
      <c r="G39">
        <f>G38+5</f>
        <v>40</v>
      </c>
      <c r="I39">
        <v>2050</v>
      </c>
      <c r="J39">
        <f>AVERAGE(G39:G40)</f>
        <v>42.5</v>
      </c>
      <c r="K39" cm="1">
        <f t="array" ref="K39">STOWA2019_NDJF_T(A39*60,J39,I39,"WH","center")</f>
        <v>1.7391764649484216</v>
      </c>
      <c r="L39">
        <f t="shared" si="4"/>
        <v>1.7249543450376499</v>
      </c>
    </row>
    <row r="40" spans="1:12" x14ac:dyDescent="0.3">
      <c r="A40">
        <v>48</v>
      </c>
      <c r="B40">
        <f t="shared" ref="B40:B62" si="12">L39-L40</f>
        <v>0.72496614208716703</v>
      </c>
      <c r="C40">
        <f t="shared" si="9"/>
        <v>0.72496614208716703</v>
      </c>
      <c r="D40" t="s">
        <v>30</v>
      </c>
      <c r="E40" t="s">
        <v>19</v>
      </c>
      <c r="F40">
        <v>1</v>
      </c>
      <c r="G40">
        <f t="shared" ref="G40:G63" si="13">G39+5</f>
        <v>45</v>
      </c>
      <c r="I40">
        <v>2050</v>
      </c>
      <c r="J40">
        <f t="shared" ref="J40:J62" si="14">AVERAGE(G40:G41)</f>
        <v>47.5</v>
      </c>
      <c r="K40" cm="1">
        <f t="array" ref="K40">STOWA2019_NDJF_T(A40*60,J40,I40,"WH","center")</f>
        <v>3.0000353915660676</v>
      </c>
      <c r="L40">
        <f t="shared" si="4"/>
        <v>0.99998820295048285</v>
      </c>
    </row>
    <row r="41" spans="1:12" x14ac:dyDescent="0.3">
      <c r="A41">
        <v>48</v>
      </c>
      <c r="B41">
        <f t="shared" si="12"/>
        <v>0.41084443106482538</v>
      </c>
      <c r="C41">
        <f t="shared" si="9"/>
        <v>0.41084443106482538</v>
      </c>
      <c r="D41" t="s">
        <v>30</v>
      </c>
      <c r="E41" t="s">
        <v>19</v>
      </c>
      <c r="F41">
        <v>1</v>
      </c>
      <c r="G41">
        <f t="shared" si="13"/>
        <v>50</v>
      </c>
      <c r="I41">
        <v>2050</v>
      </c>
      <c r="J41">
        <f t="shared" si="14"/>
        <v>52.5</v>
      </c>
      <c r="K41" cm="1">
        <f t="array" ref="K41">STOWA2019_NDJF_T(A41*60,J41,I41,"WH","center")</f>
        <v>5.0921356435594261</v>
      </c>
      <c r="L41">
        <f t="shared" si="4"/>
        <v>0.58914377188565747</v>
      </c>
    </row>
    <row r="42" spans="1:12" x14ac:dyDescent="0.3">
      <c r="A42">
        <v>48</v>
      </c>
      <c r="B42">
        <f t="shared" si="12"/>
        <v>0.23672203509112777</v>
      </c>
      <c r="C42">
        <f t="shared" si="9"/>
        <v>0.23672203509112777</v>
      </c>
      <c r="D42" t="s">
        <v>30</v>
      </c>
      <c r="E42" t="s">
        <v>19</v>
      </c>
      <c r="F42">
        <v>1</v>
      </c>
      <c r="G42">
        <f t="shared" si="13"/>
        <v>55</v>
      </c>
      <c r="I42">
        <v>2050</v>
      </c>
      <c r="J42">
        <f t="shared" si="14"/>
        <v>57.5</v>
      </c>
      <c r="K42" cm="1">
        <f t="array" ref="K42">STOWA2019_NDJF_T(A42*60,J42,I42,"WH","center")</f>
        <v>8.5125282773039377</v>
      </c>
      <c r="L42">
        <f t="shared" si="4"/>
        <v>0.35242173679452971</v>
      </c>
    </row>
    <row r="43" spans="1:12" x14ac:dyDescent="0.3">
      <c r="A43">
        <v>48</v>
      </c>
      <c r="B43">
        <f t="shared" si="12"/>
        <v>0.1385520331093992</v>
      </c>
      <c r="C43">
        <f t="shared" si="9"/>
        <v>0.1385520331093992</v>
      </c>
      <c r="D43" t="s">
        <v>30</v>
      </c>
      <c r="E43" t="s">
        <v>19</v>
      </c>
      <c r="F43">
        <v>1</v>
      </c>
      <c r="G43">
        <f t="shared" si="13"/>
        <v>60</v>
      </c>
      <c r="I43">
        <v>2050</v>
      </c>
      <c r="J43">
        <f t="shared" si="14"/>
        <v>62.5</v>
      </c>
      <c r="K43" cm="1">
        <f t="array" ref="K43">STOWA2019_NDJF_T(A43*60,J43,I43,"WH","center")</f>
        <v>14.027232227416125</v>
      </c>
      <c r="L43">
        <f t="shared" si="4"/>
        <v>0.2138697036851305</v>
      </c>
    </row>
    <row r="44" spans="1:12" x14ac:dyDescent="0.3">
      <c r="A44">
        <v>48</v>
      </c>
      <c r="B44">
        <f t="shared" si="12"/>
        <v>8.2305775342557813E-2</v>
      </c>
      <c r="C44">
        <f t="shared" si="9"/>
        <v>8.2305775342557813E-2</v>
      </c>
      <c r="D44" t="s">
        <v>30</v>
      </c>
      <c r="E44" t="s">
        <v>19</v>
      </c>
      <c r="F44">
        <v>1</v>
      </c>
      <c r="G44">
        <f t="shared" si="13"/>
        <v>65</v>
      </c>
      <c r="I44">
        <v>2050</v>
      </c>
      <c r="J44">
        <f t="shared" si="14"/>
        <v>67.5</v>
      </c>
      <c r="K44" cm="1">
        <f t="array" ref="K44">STOWA2019_NDJF_T(A44*60,J44,I44,"WH","center")</f>
        <v>22.802602793893861</v>
      </c>
      <c r="L44">
        <f t="shared" si="4"/>
        <v>0.13156392834257269</v>
      </c>
    </row>
    <row r="45" spans="1:12" x14ac:dyDescent="0.3">
      <c r="A45">
        <v>48</v>
      </c>
      <c r="B45">
        <f t="shared" si="12"/>
        <v>4.9582976065269721E-2</v>
      </c>
      <c r="C45">
        <f t="shared" si="9"/>
        <v>4.9582976065269721E-2</v>
      </c>
      <c r="D45" t="s">
        <v>30</v>
      </c>
      <c r="E45" t="s">
        <v>19</v>
      </c>
      <c r="F45">
        <v>1</v>
      </c>
      <c r="G45">
        <f t="shared" si="13"/>
        <v>70</v>
      </c>
      <c r="I45">
        <v>2050</v>
      </c>
      <c r="J45">
        <f t="shared" si="14"/>
        <v>72.5</v>
      </c>
      <c r="K45" cm="1">
        <f t="array" ref="K45">STOWA2019_NDJF_T(A45*60,J45,I45,"WH","center")</f>
        <v>36.593866217269742</v>
      </c>
      <c r="L45">
        <f t="shared" si="4"/>
        <v>8.1980952277302968E-2</v>
      </c>
    </row>
    <row r="46" spans="1:12" x14ac:dyDescent="0.3">
      <c r="A46">
        <v>48</v>
      </c>
      <c r="B46">
        <f t="shared" si="12"/>
        <v>3.0269178183557968E-2</v>
      </c>
      <c r="C46">
        <f t="shared" si="9"/>
        <v>3.0269178183557968E-2</v>
      </c>
      <c r="D46" t="s">
        <v>30</v>
      </c>
      <c r="E46" t="s">
        <v>19</v>
      </c>
      <c r="F46">
        <v>1</v>
      </c>
      <c r="G46">
        <f t="shared" si="13"/>
        <v>75</v>
      </c>
      <c r="I46">
        <v>2050</v>
      </c>
      <c r="J46">
        <f t="shared" si="14"/>
        <v>77.5</v>
      </c>
      <c r="K46" cm="1">
        <f t="array" ref="K46">STOWA2019_NDJF_T(A46*60,J46,I46,"WH","center")</f>
        <v>58.013867297638839</v>
      </c>
      <c r="L46">
        <f t="shared" si="4"/>
        <v>5.1711774093745E-2</v>
      </c>
    </row>
    <row r="47" spans="1:12" x14ac:dyDescent="0.3">
      <c r="A47">
        <v>48</v>
      </c>
      <c r="B47">
        <f t="shared" si="12"/>
        <v>1.8712848216544696E-2</v>
      </c>
      <c r="C47">
        <f t="shared" si="9"/>
        <v>1.8712848216544696E-2</v>
      </c>
      <c r="D47" t="s">
        <v>30</v>
      </c>
      <c r="E47" t="s">
        <v>19</v>
      </c>
      <c r="F47">
        <v>1</v>
      </c>
      <c r="G47">
        <f t="shared" si="13"/>
        <v>80</v>
      </c>
      <c r="I47">
        <v>2050</v>
      </c>
      <c r="J47">
        <f t="shared" si="14"/>
        <v>82.5</v>
      </c>
      <c r="K47" cm="1">
        <f t="array" ref="K47">STOWA2019_NDJF_T(A47*60,J47,I47,"WH","center")</f>
        <v>90.912050021384701</v>
      </c>
      <c r="L47">
        <f t="shared" si="4"/>
        <v>3.2998925877200304E-2</v>
      </c>
    </row>
    <row r="48" spans="1:12" x14ac:dyDescent="0.3">
      <c r="A48">
        <v>48</v>
      </c>
      <c r="B48">
        <f t="shared" si="12"/>
        <v>1.1707696095651754E-2</v>
      </c>
      <c r="C48">
        <f t="shared" si="9"/>
        <v>1.1707696095651754E-2</v>
      </c>
      <c r="D48" t="s">
        <v>30</v>
      </c>
      <c r="E48" t="s">
        <v>19</v>
      </c>
      <c r="F48">
        <v>1</v>
      </c>
      <c r="G48">
        <f t="shared" si="13"/>
        <v>85</v>
      </c>
      <c r="I48">
        <v>2050</v>
      </c>
      <c r="J48">
        <f t="shared" si="14"/>
        <v>87.5</v>
      </c>
      <c r="K48" cm="1">
        <f t="array" ref="K48">STOWA2019_NDJF_T(A48*60,J48,I48,"WH","center")</f>
        <v>140.90308689448582</v>
      </c>
      <c r="L48">
        <f t="shared" si="4"/>
        <v>2.129122978154855E-2</v>
      </c>
    </row>
    <row r="49" spans="1:12" x14ac:dyDescent="0.3">
      <c r="A49">
        <v>48</v>
      </c>
      <c r="B49">
        <f t="shared" si="12"/>
        <v>7.4090042375935111E-3</v>
      </c>
      <c r="C49">
        <f t="shared" si="9"/>
        <v>7.4090042375935111E-3</v>
      </c>
      <c r="D49" t="s">
        <v>30</v>
      </c>
      <c r="E49" t="s">
        <v>19</v>
      </c>
      <c r="F49">
        <v>1</v>
      </c>
      <c r="G49">
        <f t="shared" si="13"/>
        <v>90</v>
      </c>
      <c r="I49">
        <v>2050</v>
      </c>
      <c r="J49">
        <f t="shared" si="14"/>
        <v>92.5</v>
      </c>
      <c r="K49" cm="1">
        <f t="array" ref="K49">STOWA2019_NDJF_T(A49*60,J49,I49,"WH","center")</f>
        <v>216.10367808109405</v>
      </c>
      <c r="L49">
        <f t="shared" si="4"/>
        <v>1.3882225543955039E-2</v>
      </c>
    </row>
    <row r="50" spans="1:12" x14ac:dyDescent="0.3">
      <c r="A50">
        <v>48</v>
      </c>
      <c r="B50">
        <f t="shared" si="12"/>
        <v>4.7398692163678618E-3</v>
      </c>
      <c r="C50">
        <f t="shared" si="9"/>
        <v>4.7398692163678618E-3</v>
      </c>
      <c r="D50" t="s">
        <v>30</v>
      </c>
      <c r="E50" t="s">
        <v>19</v>
      </c>
      <c r="F50">
        <v>1</v>
      </c>
      <c r="G50">
        <f t="shared" si="13"/>
        <v>95</v>
      </c>
      <c r="I50">
        <v>2050</v>
      </c>
      <c r="J50">
        <f t="shared" si="14"/>
        <v>97.5</v>
      </c>
      <c r="K50" cm="1">
        <f t="array" ref="K50">STOWA2019_NDJF_T(A50*60,J50,I50,"WH","center")</f>
        <v>328.1429745794814</v>
      </c>
      <c r="L50">
        <f t="shared" si="4"/>
        <v>9.1423563275871769E-3</v>
      </c>
    </row>
    <row r="51" spans="1:12" x14ac:dyDescent="0.3">
      <c r="A51">
        <v>48</v>
      </c>
      <c r="B51">
        <f t="shared" si="12"/>
        <v>3.0637156786263867E-3</v>
      </c>
      <c r="C51">
        <f t="shared" si="9"/>
        <v>3.0637156786263867E-3</v>
      </c>
      <c r="D51" t="s">
        <v>30</v>
      </c>
      <c r="E51" t="s">
        <v>19</v>
      </c>
      <c r="F51">
        <v>1</v>
      </c>
      <c r="G51">
        <f t="shared" si="13"/>
        <v>100</v>
      </c>
      <c r="I51">
        <v>2050</v>
      </c>
      <c r="J51">
        <f t="shared" si="14"/>
        <v>102.5</v>
      </c>
      <c r="K51" cm="1">
        <f t="array" ref="K51">STOWA2019_NDJF_T(A51*60,J51,I51,"WH","center")</f>
        <v>493.53139513402266</v>
      </c>
      <c r="L51">
        <f t="shared" si="4"/>
        <v>6.0786406489607902E-3</v>
      </c>
    </row>
    <row r="52" spans="1:12" x14ac:dyDescent="0.3">
      <c r="A52">
        <v>48</v>
      </c>
      <c r="B52">
        <f t="shared" si="12"/>
        <v>2.0000016885425185E-3</v>
      </c>
      <c r="C52">
        <f t="shared" si="9"/>
        <v>2.0000016885425185E-3</v>
      </c>
      <c r="D52" t="s">
        <v>30</v>
      </c>
      <c r="E52" t="s">
        <v>19</v>
      </c>
      <c r="F52">
        <v>1</v>
      </c>
      <c r="G52">
        <f t="shared" si="13"/>
        <v>105</v>
      </c>
      <c r="I52">
        <v>2050</v>
      </c>
      <c r="J52">
        <f t="shared" si="14"/>
        <v>107.5</v>
      </c>
      <c r="K52" cm="1">
        <f t="array" ref="K52">STOWA2019_NDJF_T(A52*60,J52,I52,"WH","center")</f>
        <v>735.53948489040692</v>
      </c>
      <c r="L52">
        <f t="shared" si="4"/>
        <v>4.0786389604182717E-3</v>
      </c>
    </row>
    <row r="53" spans="1:12" x14ac:dyDescent="0.3">
      <c r="A53">
        <v>48</v>
      </c>
      <c r="B53">
        <f t="shared" si="12"/>
        <v>1.3179883918573139E-3</v>
      </c>
      <c r="C53">
        <f t="shared" si="9"/>
        <v>1.3179883918573139E-3</v>
      </c>
      <c r="D53" t="s">
        <v>30</v>
      </c>
      <c r="E53" t="s">
        <v>19</v>
      </c>
      <c r="F53">
        <v>1</v>
      </c>
      <c r="G53">
        <f t="shared" si="13"/>
        <v>110</v>
      </c>
      <c r="I53">
        <v>2050</v>
      </c>
      <c r="J53">
        <f t="shared" si="14"/>
        <v>112.5</v>
      </c>
      <c r="K53" cm="1">
        <f t="array" ref="K53">STOWA2019_NDJF_T(A53*60,J53,I53,"WH","center")</f>
        <v>1086.7003720662146</v>
      </c>
      <c r="L53">
        <f t="shared" si="4"/>
        <v>2.7606505685609578E-3</v>
      </c>
    </row>
    <row r="54" spans="1:12" x14ac:dyDescent="0.3">
      <c r="A54">
        <v>48</v>
      </c>
      <c r="B54">
        <f t="shared" si="12"/>
        <v>8.764119893310341E-4</v>
      </c>
      <c r="C54">
        <f t="shared" si="9"/>
        <v>8.764119893310341E-4</v>
      </c>
      <c r="D54" t="s">
        <v>30</v>
      </c>
      <c r="E54" t="s">
        <v>19</v>
      </c>
      <c r="F54">
        <v>1</v>
      </c>
      <c r="G54">
        <f t="shared" si="13"/>
        <v>115</v>
      </c>
      <c r="I54">
        <v>2050</v>
      </c>
      <c r="J54">
        <f t="shared" si="14"/>
        <v>117.5</v>
      </c>
      <c r="K54" cm="1">
        <f t="array" ref="K54">STOWA2019_NDJF_T(A54*60,J54,I54,"WH","center")</f>
        <v>1592.1550662793884</v>
      </c>
      <c r="L54">
        <f t="shared" si="4"/>
        <v>1.8842385792299237E-3</v>
      </c>
    </row>
    <row r="55" spans="1:12" x14ac:dyDescent="0.3">
      <c r="A55">
        <v>48</v>
      </c>
      <c r="B55">
        <f t="shared" si="12"/>
        <v>5.878629023085241E-4</v>
      </c>
      <c r="C55">
        <f t="shared" si="9"/>
        <v>5.878629023085241E-4</v>
      </c>
      <c r="D55" t="s">
        <v>30</v>
      </c>
      <c r="E55" t="s">
        <v>19</v>
      </c>
      <c r="F55">
        <v>1</v>
      </c>
      <c r="G55">
        <f t="shared" si="13"/>
        <v>120</v>
      </c>
      <c r="I55">
        <v>2050</v>
      </c>
      <c r="J55">
        <f t="shared" si="14"/>
        <v>122.5</v>
      </c>
      <c r="K55" cm="1">
        <f t="array" ref="K55">STOWA2019_NDJF_T(A55*60,J55,I55,"WH","center")</f>
        <v>2314.1440042475379</v>
      </c>
      <c r="L55">
        <f t="shared" si="4"/>
        <v>1.2963756769213996E-3</v>
      </c>
    </row>
    <row r="56" spans="1:12" x14ac:dyDescent="0.3">
      <c r="A56">
        <v>48</v>
      </c>
      <c r="B56">
        <f t="shared" si="12"/>
        <v>3.9758822418499938E-4</v>
      </c>
      <c r="C56">
        <f t="shared" si="9"/>
        <v>3.9758822418499938E-4</v>
      </c>
      <c r="D56" t="s">
        <v>30</v>
      </c>
      <c r="E56" t="s">
        <v>19</v>
      </c>
      <c r="F56">
        <v>1</v>
      </c>
      <c r="G56">
        <f t="shared" si="13"/>
        <v>125</v>
      </c>
      <c r="I56">
        <v>2050</v>
      </c>
      <c r="J56">
        <f t="shared" si="14"/>
        <v>127.5</v>
      </c>
      <c r="K56" cm="1">
        <f t="array" ref="K56">STOWA2019_NDJF_T(A56*60,J56,I56,"WH","center")</f>
        <v>3337.8303077845162</v>
      </c>
      <c r="L56">
        <f t="shared" si="4"/>
        <v>8.9878745273640019E-4</v>
      </c>
    </row>
    <row r="57" spans="1:12" x14ac:dyDescent="0.3">
      <c r="A57">
        <v>48</v>
      </c>
      <c r="B57">
        <f t="shared" si="12"/>
        <v>2.7104295707906594E-4</v>
      </c>
      <c r="C57">
        <f t="shared" si="9"/>
        <v>2.7104295707906594E-4</v>
      </c>
      <c r="D57" t="s">
        <v>30</v>
      </c>
      <c r="E57" t="s">
        <v>19</v>
      </c>
      <c r="F57">
        <v>1</v>
      </c>
      <c r="G57">
        <f t="shared" si="13"/>
        <v>130</v>
      </c>
      <c r="I57">
        <v>2050</v>
      </c>
      <c r="J57">
        <f t="shared" si="14"/>
        <v>132.5</v>
      </c>
      <c r="K57" cm="1">
        <f t="array" ref="K57">STOWA2019_NDJF_T(A57*60,J57,I57,"WH","center")</f>
        <v>4779.0144250625253</v>
      </c>
      <c r="L57">
        <f t="shared" si="4"/>
        <v>6.2774449565733425E-4</v>
      </c>
    </row>
    <row r="58" spans="1:12" x14ac:dyDescent="0.3">
      <c r="A58">
        <v>48</v>
      </c>
      <c r="B58">
        <f t="shared" si="12"/>
        <v>1.8619702567323961E-4</v>
      </c>
      <c r="C58">
        <f t="shared" si="9"/>
        <v>1.8619702567323961E-4</v>
      </c>
      <c r="D58" t="s">
        <v>30</v>
      </c>
      <c r="E58" t="s">
        <v>19</v>
      </c>
      <c r="F58">
        <v>1</v>
      </c>
      <c r="G58">
        <f t="shared" si="13"/>
        <v>135</v>
      </c>
      <c r="I58">
        <v>2050</v>
      </c>
      <c r="J58">
        <f t="shared" si="14"/>
        <v>137.5</v>
      </c>
      <c r="K58" cm="1">
        <f t="array" ref="K58">STOWA2019_NDJF_T(A58*60,J58,I58,"WH","center")</f>
        <v>6794.2864673373979</v>
      </c>
      <c r="L58">
        <f t="shared" si="4"/>
        <v>4.4154746998409464E-4</v>
      </c>
    </row>
    <row r="59" spans="1:12" x14ac:dyDescent="0.3">
      <c r="A59">
        <v>48</v>
      </c>
      <c r="B59">
        <f t="shared" si="12"/>
        <v>1.2884821771074948E-4</v>
      </c>
      <c r="C59">
        <f t="shared" si="9"/>
        <v>1.2884821771074948E-4</v>
      </c>
      <c r="D59" t="s">
        <v>30</v>
      </c>
      <c r="E59" t="s">
        <v>19</v>
      </c>
      <c r="F59">
        <v>1</v>
      </c>
      <c r="G59">
        <f t="shared" si="13"/>
        <v>140</v>
      </c>
      <c r="I59">
        <v>2050</v>
      </c>
      <c r="J59">
        <f t="shared" si="14"/>
        <v>142.5</v>
      </c>
      <c r="K59" cm="1">
        <f t="array" ref="K59">STOWA2019_NDJF_T(A59*60,J59,I59,"WH","center")</f>
        <v>9593.882870489113</v>
      </c>
      <c r="L59">
        <f t="shared" si="4"/>
        <v>3.1269925227334517E-4</v>
      </c>
    </row>
    <row r="60" spans="1:12" x14ac:dyDescent="0.3">
      <c r="A60">
        <v>48</v>
      </c>
      <c r="B60">
        <f t="shared" si="12"/>
        <v>8.9795802459864769E-5</v>
      </c>
      <c r="C60">
        <f t="shared" si="9"/>
        <v>8.9795802459864769E-5</v>
      </c>
      <c r="D60" t="s">
        <v>30</v>
      </c>
      <c r="E60" t="s">
        <v>19</v>
      </c>
      <c r="F60">
        <v>1</v>
      </c>
      <c r="G60">
        <f t="shared" si="13"/>
        <v>145</v>
      </c>
      <c r="I60">
        <v>2050</v>
      </c>
      <c r="J60">
        <f t="shared" si="14"/>
        <v>147.5</v>
      </c>
      <c r="K60" cm="1">
        <f t="array" ref="K60">STOWA2019_NDJF_T(A60*60,J60,I60,"WH","center")</f>
        <v>13458.741901528754</v>
      </c>
      <c r="L60">
        <f t="shared" si="4"/>
        <v>2.229034498134804E-4</v>
      </c>
    </row>
    <row r="61" spans="1:12" x14ac:dyDescent="0.3">
      <c r="A61">
        <v>48</v>
      </c>
      <c r="B61">
        <f t="shared" si="12"/>
        <v>6.3005993942671478E-5</v>
      </c>
      <c r="C61">
        <f t="shared" si="9"/>
        <v>6.3005993942671478E-5</v>
      </c>
      <c r="D61" t="s">
        <v>30</v>
      </c>
      <c r="E61" t="s">
        <v>19</v>
      </c>
      <c r="F61">
        <v>1</v>
      </c>
      <c r="G61">
        <f t="shared" si="13"/>
        <v>150</v>
      </c>
      <c r="I61">
        <v>2050</v>
      </c>
      <c r="J61">
        <f t="shared" si="14"/>
        <v>152.5</v>
      </c>
      <c r="K61" cm="1">
        <f t="array" ref="K61">STOWA2019_NDJF_T(A61*60,J61,I61,"WH","center")</f>
        <v>18762.024596713323</v>
      </c>
      <c r="L61">
        <f t="shared" si="4"/>
        <v>1.5989745587080892E-4</v>
      </c>
    </row>
    <row r="62" spans="1:12" x14ac:dyDescent="0.3">
      <c r="A62">
        <v>48</v>
      </c>
      <c r="B62">
        <f t="shared" si="12"/>
        <v>4.4498669929052872E-5</v>
      </c>
      <c r="C62">
        <f t="shared" si="9"/>
        <v>4.4498669929052872E-5</v>
      </c>
      <c r="D62" t="s">
        <v>30</v>
      </c>
      <c r="E62" t="s">
        <v>19</v>
      </c>
      <c r="F62">
        <v>1</v>
      </c>
      <c r="G62">
        <f t="shared" si="13"/>
        <v>155</v>
      </c>
      <c r="I62">
        <v>2050</v>
      </c>
      <c r="J62">
        <f t="shared" si="14"/>
        <v>157.5</v>
      </c>
      <c r="K62" cm="1">
        <f t="array" ref="K62">STOWA2019_NDJF_T(A62*60,J62,I62,"WH","center")</f>
        <v>25996.807293225396</v>
      </c>
      <c r="L62">
        <f t="shared" si="4"/>
        <v>1.1539878594175605E-4</v>
      </c>
    </row>
    <row r="63" spans="1:12" x14ac:dyDescent="0.3">
      <c r="A63">
        <v>48</v>
      </c>
      <c r="B63" s="1">
        <f>L62</f>
        <v>1.1539878594175605E-4</v>
      </c>
      <c r="C63">
        <f t="shared" si="9"/>
        <v>1.1539878594175605E-4</v>
      </c>
      <c r="D63" t="s">
        <v>30</v>
      </c>
      <c r="E63" t="s">
        <v>19</v>
      </c>
      <c r="F63">
        <v>1</v>
      </c>
      <c r="G63">
        <f t="shared" si="13"/>
        <v>160</v>
      </c>
      <c r="I63">
        <v>2050</v>
      </c>
      <c r="J63">
        <f>AVERAGE(G63:G64)</f>
        <v>85</v>
      </c>
      <c r="K63" cm="1">
        <f t="array" ref="K63">STOWA2019_NDJF_T(A63*60,J63,I63,"WH","center")</f>
        <v>113.3320189376655</v>
      </c>
      <c r="L63">
        <f t="shared" si="4"/>
        <v>2.6470895234382529E-2</v>
      </c>
    </row>
    <row r="64" spans="1:12" x14ac:dyDescent="0.3">
      <c r="A64">
        <v>96</v>
      </c>
      <c r="B64" s="1">
        <f>365.25*24/A64 - L64</f>
        <v>21.479112064089406</v>
      </c>
      <c r="C64">
        <f>B64</f>
        <v>21.479112064089406</v>
      </c>
      <c r="D64" t="s">
        <v>30</v>
      </c>
      <c r="E64" t="s">
        <v>19</v>
      </c>
      <c r="F64">
        <v>1</v>
      </c>
      <c r="G64">
        <v>10</v>
      </c>
      <c r="I64">
        <v>2050</v>
      </c>
      <c r="J64">
        <f>AVERAGE(G64:G66)</f>
        <v>15</v>
      </c>
      <c r="K64" cm="1">
        <f t="array" ref="K64">STOWA2019_NDJF_T(A64*60,J64,I64,"WH","center")</f>
        <v>4.2959393617752618E-2</v>
      </c>
      <c r="L64">
        <f t="shared" si="4"/>
        <v>69.833387935910594</v>
      </c>
    </row>
    <row r="65" spans="1:12" x14ac:dyDescent="0.3">
      <c r="A65">
        <v>96</v>
      </c>
      <c r="B65">
        <f t="shared" ref="B65:B69" si="15">L64-L65</f>
        <v>13.951979324108507</v>
      </c>
      <c r="C65">
        <f t="shared" ref="C65:C94" si="16">B65</f>
        <v>13.951979324108507</v>
      </c>
      <c r="D65" t="s">
        <v>30</v>
      </c>
      <c r="E65" t="s">
        <v>19</v>
      </c>
      <c r="F65">
        <v>1</v>
      </c>
      <c r="G65">
        <f t="shared" ref="G65:G69" si="17">G64+5</f>
        <v>15</v>
      </c>
      <c r="I65">
        <v>2050</v>
      </c>
      <c r="J65">
        <f t="shared" ref="J65:J69" si="18">AVERAGE(G65:G66)</f>
        <v>17.5</v>
      </c>
      <c r="K65" cm="1">
        <f t="array" ref="K65">STOWA2019_NDJF_T(A65*60,J65,I65,"WH","center")</f>
        <v>5.3685117725654534E-2</v>
      </c>
      <c r="L65">
        <f t="shared" si="4"/>
        <v>55.881408611802087</v>
      </c>
    </row>
    <row r="66" spans="1:12" x14ac:dyDescent="0.3">
      <c r="A66">
        <v>96</v>
      </c>
      <c r="B66">
        <f t="shared" si="15"/>
        <v>19.981899048387717</v>
      </c>
      <c r="C66">
        <f t="shared" si="16"/>
        <v>19.981899048387717</v>
      </c>
      <c r="D66" t="s">
        <v>30</v>
      </c>
      <c r="E66" t="s">
        <v>19</v>
      </c>
      <c r="F66">
        <v>1</v>
      </c>
      <c r="G66">
        <f t="shared" si="17"/>
        <v>20</v>
      </c>
      <c r="I66">
        <v>2050</v>
      </c>
      <c r="J66">
        <f t="shared" si="18"/>
        <v>22.5</v>
      </c>
      <c r="K66" cm="1">
        <f t="array" ref="K66">STOWA2019_NDJF_T(A66*60,J66,I66,"WH","center")</f>
        <v>8.3566601228929796E-2</v>
      </c>
      <c r="L66">
        <f t="shared" si="4"/>
        <v>35.899509563414369</v>
      </c>
    </row>
    <row r="67" spans="1:12" x14ac:dyDescent="0.3">
      <c r="A67">
        <v>96</v>
      </c>
      <c r="B67">
        <f t="shared" si="15"/>
        <v>12.738075280536563</v>
      </c>
      <c r="C67">
        <f t="shared" si="16"/>
        <v>12.738075280536563</v>
      </c>
      <c r="D67" t="s">
        <v>30</v>
      </c>
      <c r="E67" t="s">
        <v>19</v>
      </c>
      <c r="F67">
        <v>1</v>
      </c>
      <c r="G67">
        <f t="shared" si="17"/>
        <v>25</v>
      </c>
      <c r="I67">
        <v>2050</v>
      </c>
      <c r="J67">
        <f t="shared" si="18"/>
        <v>27.5</v>
      </c>
      <c r="K67" cm="1">
        <f t="array" ref="K67">STOWA2019_NDJF_T(A67*60,J67,I67,"WH","center")</f>
        <v>0.12952565732156593</v>
      </c>
      <c r="L67">
        <f t="shared" ref="L67:L130" si="19">1/K67 * 12/4</f>
        <v>23.161434282877806</v>
      </c>
    </row>
    <row r="68" spans="1:12" x14ac:dyDescent="0.3">
      <c r="A68">
        <v>96</v>
      </c>
      <c r="B68">
        <f t="shared" si="15"/>
        <v>8.1555229477009306</v>
      </c>
      <c r="C68">
        <f t="shared" si="16"/>
        <v>8.1555229477009306</v>
      </c>
      <c r="D68" t="s">
        <v>30</v>
      </c>
      <c r="E68" t="s">
        <v>19</v>
      </c>
      <c r="F68">
        <v>1</v>
      </c>
      <c r="G68">
        <f t="shared" si="17"/>
        <v>30</v>
      </c>
      <c r="I68">
        <v>2050</v>
      </c>
      <c r="J68">
        <f t="shared" si="18"/>
        <v>32.5</v>
      </c>
      <c r="K68" cm="1">
        <f t="array" ref="K68">STOWA2019_NDJF_T(A68*60,J68,I68,"WH","center")</f>
        <v>0.19992121324663542</v>
      </c>
      <c r="L68">
        <f t="shared" si="19"/>
        <v>15.005911335176876</v>
      </c>
    </row>
    <row r="69" spans="1:12" x14ac:dyDescent="0.3">
      <c r="A69">
        <v>96</v>
      </c>
      <c r="B69">
        <f t="shared" si="15"/>
        <v>5.2438862889745312</v>
      </c>
      <c r="C69">
        <f t="shared" si="16"/>
        <v>5.2438862889745312</v>
      </c>
      <c r="D69" t="s">
        <v>30</v>
      </c>
      <c r="E69" t="s">
        <v>19</v>
      </c>
      <c r="F69">
        <v>1</v>
      </c>
      <c r="G69">
        <f t="shared" si="17"/>
        <v>35</v>
      </c>
      <c r="I69">
        <v>2050</v>
      </c>
      <c r="J69">
        <f t="shared" si="18"/>
        <v>37.5</v>
      </c>
      <c r="K69" cm="1">
        <f t="array" ref="K69">STOWA2019_NDJF_T(A69*60,J69,I69,"WH","center")</f>
        <v>0.3073132865160052</v>
      </c>
      <c r="L69">
        <f t="shared" si="19"/>
        <v>9.7620250462023446</v>
      </c>
    </row>
    <row r="70" spans="1:12" x14ac:dyDescent="0.3">
      <c r="A70">
        <v>96</v>
      </c>
      <c r="B70">
        <f>L69-L70</f>
        <v>3.3857630197513107</v>
      </c>
      <c r="C70">
        <f t="shared" si="16"/>
        <v>3.3857630197513107</v>
      </c>
      <c r="D70" t="s">
        <v>30</v>
      </c>
      <c r="E70" t="s">
        <v>19</v>
      </c>
      <c r="F70">
        <v>1</v>
      </c>
      <c r="G70">
        <f>G69+5</f>
        <v>40</v>
      </c>
      <c r="I70">
        <v>2050</v>
      </c>
      <c r="J70">
        <f>AVERAGE(G70:G71)</f>
        <v>42.5</v>
      </c>
      <c r="K70" cm="1">
        <f t="array" ref="K70">STOWA2019_NDJF_T(A70*60,J70,I70,"WH","center")</f>
        <v>0.47049509376417065</v>
      </c>
      <c r="L70">
        <f t="shared" si="19"/>
        <v>6.3762620264510339</v>
      </c>
    </row>
    <row r="71" spans="1:12" x14ac:dyDescent="0.3">
      <c r="A71">
        <v>96</v>
      </c>
      <c r="B71">
        <f t="shared" ref="B71:B93" si="20">L70-L71</f>
        <v>2.1949923282813124</v>
      </c>
      <c r="C71">
        <f t="shared" si="16"/>
        <v>2.1949923282813124</v>
      </c>
      <c r="D71" t="s">
        <v>30</v>
      </c>
      <c r="E71" t="s">
        <v>19</v>
      </c>
      <c r="F71">
        <v>1</v>
      </c>
      <c r="G71">
        <f t="shared" ref="G71:G94" si="21">G70+5</f>
        <v>45</v>
      </c>
      <c r="I71">
        <v>2050</v>
      </c>
      <c r="J71">
        <f t="shared" ref="J71:J93" si="22">AVERAGE(G71:G72)</f>
        <v>47.5</v>
      </c>
      <c r="K71" cm="1">
        <f t="array" ref="K71">STOWA2019_NDJF_T(A71*60,J71,I71,"WH","center")</f>
        <v>0.71748540911226033</v>
      </c>
      <c r="L71">
        <f t="shared" si="19"/>
        <v>4.1812696981697215</v>
      </c>
    </row>
    <row r="72" spans="1:12" x14ac:dyDescent="0.3">
      <c r="A72">
        <v>96</v>
      </c>
      <c r="B72">
        <f t="shared" si="20"/>
        <v>1.4284400303626636</v>
      </c>
      <c r="C72">
        <f t="shared" si="16"/>
        <v>1.4284400303626636</v>
      </c>
      <c r="D72" t="s">
        <v>30</v>
      </c>
      <c r="E72" t="s">
        <v>19</v>
      </c>
      <c r="F72">
        <v>1</v>
      </c>
      <c r="G72">
        <f t="shared" si="21"/>
        <v>50</v>
      </c>
      <c r="I72">
        <v>2050</v>
      </c>
      <c r="J72">
        <f t="shared" si="22"/>
        <v>52.5</v>
      </c>
      <c r="K72" cm="1">
        <f t="array" ref="K72">STOWA2019_NDJF_T(A72*60,J72,I72,"WH","center")</f>
        <v>1.0897877319049099</v>
      </c>
      <c r="L72">
        <f t="shared" si="19"/>
        <v>2.7528296678070578</v>
      </c>
    </row>
    <row r="73" spans="1:12" x14ac:dyDescent="0.3">
      <c r="A73">
        <v>96</v>
      </c>
      <c r="B73">
        <f t="shared" si="20"/>
        <v>0.93368999570839417</v>
      </c>
      <c r="C73">
        <f t="shared" si="16"/>
        <v>0.93368999570839417</v>
      </c>
      <c r="D73" t="s">
        <v>30</v>
      </c>
      <c r="E73" t="s">
        <v>19</v>
      </c>
      <c r="F73">
        <v>1</v>
      </c>
      <c r="G73">
        <f t="shared" si="21"/>
        <v>55</v>
      </c>
      <c r="I73">
        <v>2050</v>
      </c>
      <c r="J73">
        <f t="shared" si="22"/>
        <v>57.5</v>
      </c>
      <c r="K73" cm="1">
        <f t="array" ref="K73">STOWA2019_NDJF_T(A73*60,J73,I73,"WH","center")</f>
        <v>1.6491312052686027</v>
      </c>
      <c r="L73">
        <f t="shared" si="19"/>
        <v>1.8191396720986637</v>
      </c>
    </row>
    <row r="74" spans="1:12" x14ac:dyDescent="0.3">
      <c r="A74">
        <v>96</v>
      </c>
      <c r="B74">
        <f t="shared" si="20"/>
        <v>0.61250095527891713</v>
      </c>
      <c r="C74">
        <f t="shared" si="16"/>
        <v>0.61250095527891713</v>
      </c>
      <c r="D74" t="s">
        <v>30</v>
      </c>
      <c r="E74" t="s">
        <v>19</v>
      </c>
      <c r="F74">
        <v>1</v>
      </c>
      <c r="G74">
        <f t="shared" si="21"/>
        <v>60</v>
      </c>
      <c r="I74">
        <v>2050</v>
      </c>
      <c r="J74">
        <f t="shared" si="22"/>
        <v>62.5</v>
      </c>
      <c r="K74" cm="1">
        <f t="array" ref="K74">STOWA2019_NDJF_T(A74*60,J74,I74,"WH","center")</f>
        <v>2.4862454338502338</v>
      </c>
      <c r="L74">
        <f t="shared" si="19"/>
        <v>1.2066387168197465</v>
      </c>
    </row>
    <row r="75" spans="1:12" x14ac:dyDescent="0.3">
      <c r="A75">
        <v>96</v>
      </c>
      <c r="B75">
        <f t="shared" si="20"/>
        <v>0.40332483517794859</v>
      </c>
      <c r="C75">
        <f t="shared" si="16"/>
        <v>0.40332483517794859</v>
      </c>
      <c r="D75" t="s">
        <v>30</v>
      </c>
      <c r="E75" t="s">
        <v>19</v>
      </c>
      <c r="F75">
        <v>1</v>
      </c>
      <c r="G75">
        <f t="shared" si="21"/>
        <v>65</v>
      </c>
      <c r="I75">
        <v>2050</v>
      </c>
      <c r="J75">
        <f t="shared" si="22"/>
        <v>67.5</v>
      </c>
      <c r="K75" cm="1">
        <f t="array" ref="K75">STOWA2019_NDJF_T(A75*60,J75,I75,"WH","center")</f>
        <v>3.7345302609095405</v>
      </c>
      <c r="L75">
        <f t="shared" si="19"/>
        <v>0.80331388164179796</v>
      </c>
    </row>
    <row r="76" spans="1:12" x14ac:dyDescent="0.3">
      <c r="A76">
        <v>96</v>
      </c>
      <c r="B76">
        <f t="shared" si="20"/>
        <v>0.26657953967131065</v>
      </c>
      <c r="C76">
        <f t="shared" si="16"/>
        <v>0.26657953967131065</v>
      </c>
      <c r="D76" t="s">
        <v>30</v>
      </c>
      <c r="E76" t="s">
        <v>19</v>
      </c>
      <c r="F76">
        <v>1</v>
      </c>
      <c r="G76">
        <f t="shared" si="21"/>
        <v>70</v>
      </c>
      <c r="I76">
        <v>2050</v>
      </c>
      <c r="J76">
        <f t="shared" si="22"/>
        <v>72.5</v>
      </c>
      <c r="K76" cm="1">
        <f t="array" ref="K76">STOWA2019_NDJF_T(A76*60,J76,I76,"WH","center")</f>
        <v>5.5893572767977586</v>
      </c>
      <c r="L76">
        <f t="shared" si="19"/>
        <v>0.53673434197048731</v>
      </c>
    </row>
    <row r="77" spans="1:12" x14ac:dyDescent="0.3">
      <c r="A77">
        <v>96</v>
      </c>
      <c r="B77">
        <f t="shared" si="20"/>
        <v>0.17683879773426725</v>
      </c>
      <c r="C77">
        <f t="shared" si="16"/>
        <v>0.17683879773426725</v>
      </c>
      <c r="D77" t="s">
        <v>30</v>
      </c>
      <c r="E77" t="s">
        <v>19</v>
      </c>
      <c r="F77">
        <v>1</v>
      </c>
      <c r="G77">
        <f t="shared" si="21"/>
        <v>75</v>
      </c>
      <c r="I77">
        <v>2050</v>
      </c>
      <c r="J77">
        <f t="shared" si="22"/>
        <v>77.5</v>
      </c>
      <c r="K77" cm="1">
        <f t="array" ref="K77">STOWA2019_NDJF_T(A77*60,J77,I77,"WH","center")</f>
        <v>8.33575199261408</v>
      </c>
      <c r="L77">
        <f t="shared" si="19"/>
        <v>0.35989554423622006</v>
      </c>
    </row>
    <row r="78" spans="1:12" x14ac:dyDescent="0.3">
      <c r="A78">
        <v>96</v>
      </c>
      <c r="B78">
        <f t="shared" si="20"/>
        <v>0.11773352304363105</v>
      </c>
      <c r="C78">
        <f t="shared" si="16"/>
        <v>0.11773352304363105</v>
      </c>
      <c r="D78" t="s">
        <v>30</v>
      </c>
      <c r="E78" t="s">
        <v>19</v>
      </c>
      <c r="F78">
        <v>1</v>
      </c>
      <c r="G78">
        <f t="shared" si="21"/>
        <v>80</v>
      </c>
      <c r="I78">
        <v>2050</v>
      </c>
      <c r="J78">
        <f t="shared" si="22"/>
        <v>82.5</v>
      </c>
      <c r="K78" cm="1">
        <f t="array" ref="K78">STOWA2019_NDJF_T(A78*60,J78,I78,"WH","center")</f>
        <v>12.388400068787544</v>
      </c>
      <c r="L78">
        <f t="shared" si="19"/>
        <v>0.24216202119258901</v>
      </c>
    </row>
    <row r="79" spans="1:12" x14ac:dyDescent="0.3">
      <c r="A79">
        <v>96</v>
      </c>
      <c r="B79">
        <f t="shared" si="20"/>
        <v>7.8661823789284158E-2</v>
      </c>
      <c r="C79">
        <f t="shared" si="16"/>
        <v>7.8661823789284158E-2</v>
      </c>
      <c r="D79" t="s">
        <v>30</v>
      </c>
      <c r="E79" t="s">
        <v>19</v>
      </c>
      <c r="F79">
        <v>1</v>
      </c>
      <c r="G79">
        <f t="shared" si="21"/>
        <v>85</v>
      </c>
      <c r="I79">
        <v>2050</v>
      </c>
      <c r="J79">
        <f t="shared" si="22"/>
        <v>87.5</v>
      </c>
      <c r="K79" cm="1">
        <f t="array" ref="K79">STOWA2019_NDJF_T(A79*60,J79,I79,"WH","center")</f>
        <v>18.34860169984945</v>
      </c>
      <c r="L79">
        <f t="shared" si="19"/>
        <v>0.16350019740330485</v>
      </c>
    </row>
    <row r="80" spans="1:12" x14ac:dyDescent="0.3">
      <c r="A80">
        <v>96</v>
      </c>
      <c r="B80">
        <f t="shared" si="20"/>
        <v>5.2737035933777543E-2</v>
      </c>
      <c r="C80">
        <f t="shared" si="16"/>
        <v>5.2737035933777543E-2</v>
      </c>
      <c r="D80" t="s">
        <v>30</v>
      </c>
      <c r="E80" t="s">
        <v>19</v>
      </c>
      <c r="F80">
        <v>1</v>
      </c>
      <c r="G80">
        <f t="shared" si="21"/>
        <v>90</v>
      </c>
      <c r="I80">
        <v>2050</v>
      </c>
      <c r="J80">
        <f t="shared" si="22"/>
        <v>92.5</v>
      </c>
      <c r="K80" cm="1">
        <f t="array" ref="K80">STOWA2019_NDJF_T(A80*60,J80,I80,"WH","center")</f>
        <v>27.084817372474038</v>
      </c>
      <c r="L80">
        <f t="shared" si="19"/>
        <v>0.1107631614695273</v>
      </c>
    </row>
    <row r="81" spans="1:12" x14ac:dyDescent="0.3">
      <c r="A81">
        <v>96</v>
      </c>
      <c r="B81">
        <f t="shared" si="20"/>
        <v>3.5478116399577458E-2</v>
      </c>
      <c r="C81">
        <f t="shared" si="16"/>
        <v>3.5478116399577458E-2</v>
      </c>
      <c r="D81" t="s">
        <v>30</v>
      </c>
      <c r="E81" t="s">
        <v>19</v>
      </c>
      <c r="F81">
        <v>1</v>
      </c>
      <c r="G81">
        <f t="shared" si="21"/>
        <v>95</v>
      </c>
      <c r="I81">
        <v>2050</v>
      </c>
      <c r="J81">
        <f t="shared" si="22"/>
        <v>97.5</v>
      </c>
      <c r="K81" cm="1">
        <f t="array" ref="K81">STOWA2019_NDJF_T(A81*60,J81,I81,"WH","center")</f>
        <v>39.848551557784155</v>
      </c>
      <c r="L81">
        <f t="shared" si="19"/>
        <v>7.5285045069949846E-2</v>
      </c>
    </row>
    <row r="82" spans="1:12" x14ac:dyDescent="0.3">
      <c r="A82">
        <v>96</v>
      </c>
      <c r="B82">
        <f t="shared" si="20"/>
        <v>2.3947601055530697E-2</v>
      </c>
      <c r="C82">
        <f t="shared" si="16"/>
        <v>2.3947601055530697E-2</v>
      </c>
      <c r="D82" t="s">
        <v>30</v>
      </c>
      <c r="E82" t="s">
        <v>19</v>
      </c>
      <c r="F82">
        <v>1</v>
      </c>
      <c r="G82">
        <f t="shared" si="21"/>
        <v>100</v>
      </c>
      <c r="I82">
        <v>2050</v>
      </c>
      <c r="J82">
        <f t="shared" si="22"/>
        <v>102.5</v>
      </c>
      <c r="K82" cm="1">
        <f t="array" ref="K82">STOWA2019_NDJF_T(A82*60,J82,I82,"WH","center")</f>
        <v>58.436878921307219</v>
      </c>
      <c r="L82">
        <f t="shared" si="19"/>
        <v>5.1337444014419149E-2</v>
      </c>
    </row>
    <row r="83" spans="1:12" x14ac:dyDescent="0.3">
      <c r="A83">
        <v>96</v>
      </c>
      <c r="B83">
        <f t="shared" si="20"/>
        <v>1.6217940074656108E-2</v>
      </c>
      <c r="C83">
        <f t="shared" si="16"/>
        <v>1.6217940074656108E-2</v>
      </c>
      <c r="D83" t="s">
        <v>30</v>
      </c>
      <c r="E83" t="s">
        <v>19</v>
      </c>
      <c r="F83">
        <v>1</v>
      </c>
      <c r="G83">
        <f t="shared" si="21"/>
        <v>105</v>
      </c>
      <c r="I83">
        <v>2050</v>
      </c>
      <c r="J83">
        <f t="shared" si="22"/>
        <v>107.5</v>
      </c>
      <c r="K83" cm="1">
        <f t="array" ref="K83">STOWA2019_NDJF_T(A83*60,J83,I83,"WH","center")</f>
        <v>85.422618871428213</v>
      </c>
      <c r="L83">
        <f t="shared" si="19"/>
        <v>3.5119503939763042E-2</v>
      </c>
    </row>
    <row r="84" spans="1:12" x14ac:dyDescent="0.3">
      <c r="A84">
        <v>96</v>
      </c>
      <c r="B84">
        <f t="shared" si="20"/>
        <v>1.1018888371581173E-2</v>
      </c>
      <c r="C84">
        <f t="shared" si="16"/>
        <v>1.1018888371581173E-2</v>
      </c>
      <c r="D84" t="s">
        <v>30</v>
      </c>
      <c r="E84" t="s">
        <v>19</v>
      </c>
      <c r="F84">
        <v>1</v>
      </c>
      <c r="G84">
        <f t="shared" si="21"/>
        <v>110</v>
      </c>
      <c r="I84">
        <v>2050</v>
      </c>
      <c r="J84">
        <f t="shared" si="22"/>
        <v>112.5</v>
      </c>
      <c r="K84" cm="1">
        <f t="array" ref="K84">STOWA2019_NDJF_T(A84*60,J84,I84,"WH","center")</f>
        <v>124.47814834906798</v>
      </c>
      <c r="L84">
        <f t="shared" si="19"/>
        <v>2.4100615568181868E-2</v>
      </c>
    </row>
    <row r="85" spans="1:12" x14ac:dyDescent="0.3">
      <c r="A85">
        <v>96</v>
      </c>
      <c r="B85">
        <f t="shared" si="20"/>
        <v>7.5104347086725892E-3</v>
      </c>
      <c r="C85">
        <f t="shared" si="16"/>
        <v>7.5104347086725892E-3</v>
      </c>
      <c r="D85" t="s">
        <v>30</v>
      </c>
      <c r="E85" t="s">
        <v>19</v>
      </c>
      <c r="F85">
        <v>1</v>
      </c>
      <c r="G85">
        <f t="shared" si="21"/>
        <v>115</v>
      </c>
      <c r="I85">
        <v>2050</v>
      </c>
      <c r="J85">
        <f t="shared" si="22"/>
        <v>117.5</v>
      </c>
      <c r="K85" cm="1">
        <f t="array" ref="K85">STOWA2019_NDJF_T(A85*60,J85,I85,"WH","center")</f>
        <v>180.8298550452775</v>
      </c>
      <c r="L85">
        <f t="shared" si="19"/>
        <v>1.6590180859509279E-2</v>
      </c>
    </row>
    <row r="86" spans="1:12" x14ac:dyDescent="0.3">
      <c r="A86">
        <v>96</v>
      </c>
      <c r="B86">
        <f t="shared" si="20"/>
        <v>5.1351710789093903E-3</v>
      </c>
      <c r="C86">
        <f t="shared" si="16"/>
        <v>5.1351710789093903E-3</v>
      </c>
      <c r="D86" t="s">
        <v>30</v>
      </c>
      <c r="E86" t="s">
        <v>19</v>
      </c>
      <c r="F86">
        <v>1</v>
      </c>
      <c r="G86">
        <f t="shared" si="21"/>
        <v>120</v>
      </c>
      <c r="I86">
        <v>2050</v>
      </c>
      <c r="J86">
        <f t="shared" si="22"/>
        <v>122.5</v>
      </c>
      <c r="K86" cm="1">
        <f t="array" ref="K86">STOWA2019_NDJF_T(A86*60,J86,I86,"WH","center")</f>
        <v>261.89414565850268</v>
      </c>
      <c r="L86">
        <f t="shared" si="19"/>
        <v>1.1455009780599889E-2</v>
      </c>
    </row>
    <row r="87" spans="1:12" x14ac:dyDescent="0.3">
      <c r="A87">
        <v>96</v>
      </c>
      <c r="B87">
        <f t="shared" si="20"/>
        <v>3.5219170130749745E-3</v>
      </c>
      <c r="C87">
        <f t="shared" si="16"/>
        <v>3.5219170130749745E-3</v>
      </c>
      <c r="D87" t="s">
        <v>30</v>
      </c>
      <c r="E87" t="s">
        <v>19</v>
      </c>
      <c r="F87">
        <v>1</v>
      </c>
      <c r="G87">
        <f t="shared" si="21"/>
        <v>125</v>
      </c>
      <c r="I87">
        <v>2050</v>
      </c>
      <c r="J87">
        <f t="shared" si="22"/>
        <v>127.5</v>
      </c>
      <c r="K87" cm="1">
        <f t="array" ref="K87">STOWA2019_NDJF_T(A87*60,J87,I87,"WH","center")</f>
        <v>378.16272769188669</v>
      </c>
      <c r="L87">
        <f t="shared" si="19"/>
        <v>7.9330927675249144E-3</v>
      </c>
    </row>
    <row r="88" spans="1:12" x14ac:dyDescent="0.3">
      <c r="A88">
        <v>96</v>
      </c>
      <c r="B88">
        <f t="shared" si="20"/>
        <v>2.4229108991232449E-3</v>
      </c>
      <c r="C88">
        <f t="shared" si="16"/>
        <v>2.4229108991232449E-3</v>
      </c>
      <c r="D88" t="s">
        <v>30</v>
      </c>
      <c r="E88" t="s">
        <v>19</v>
      </c>
      <c r="F88">
        <v>1</v>
      </c>
      <c r="G88">
        <f t="shared" si="21"/>
        <v>130</v>
      </c>
      <c r="I88">
        <v>2050</v>
      </c>
      <c r="J88">
        <f t="shared" si="22"/>
        <v>132.5</v>
      </c>
      <c r="K88" cm="1">
        <f t="array" ref="K88">STOWA2019_NDJF_T(A88*60,J88,I88,"WH","center")</f>
        <v>544.44663926677356</v>
      </c>
      <c r="L88">
        <f t="shared" si="19"/>
        <v>5.5101818684016694E-3</v>
      </c>
    </row>
    <row r="89" spans="1:12" x14ac:dyDescent="0.3">
      <c r="A89">
        <v>96</v>
      </c>
      <c r="B89">
        <f t="shared" si="20"/>
        <v>1.6717998115784432E-3</v>
      </c>
      <c r="C89">
        <f t="shared" si="16"/>
        <v>1.6717998115784432E-3</v>
      </c>
      <c r="D89" t="s">
        <v>30</v>
      </c>
      <c r="E89" t="s">
        <v>19</v>
      </c>
      <c r="F89">
        <v>1</v>
      </c>
      <c r="G89">
        <f t="shared" si="21"/>
        <v>135</v>
      </c>
      <c r="I89">
        <v>2050</v>
      </c>
      <c r="J89">
        <f t="shared" si="22"/>
        <v>137.5</v>
      </c>
      <c r="K89" cm="1">
        <f t="array" ref="K89">STOWA2019_NDJF_T(A89*60,J89,I89,"WH","center")</f>
        <v>781.57931013331711</v>
      </c>
      <c r="L89">
        <f t="shared" si="19"/>
        <v>3.8383820568232262E-3</v>
      </c>
    </row>
    <row r="90" spans="1:12" x14ac:dyDescent="0.3">
      <c r="A90">
        <v>96</v>
      </c>
      <c r="B90">
        <f t="shared" si="20"/>
        <v>1.1569334206228549E-3</v>
      </c>
      <c r="C90">
        <f t="shared" si="16"/>
        <v>1.1569334206228549E-3</v>
      </c>
      <c r="D90" t="s">
        <v>30</v>
      </c>
      <c r="E90" t="s">
        <v>19</v>
      </c>
      <c r="F90">
        <v>1</v>
      </c>
      <c r="G90">
        <f t="shared" si="21"/>
        <v>140</v>
      </c>
      <c r="I90">
        <v>2050</v>
      </c>
      <c r="J90">
        <f t="shared" si="22"/>
        <v>142.5</v>
      </c>
      <c r="K90" cm="1">
        <f t="array" ref="K90">STOWA2019_NDJF_T(A90*60,J90,I90,"WH","center")</f>
        <v>1118.7982344688942</v>
      </c>
      <c r="L90">
        <f t="shared" si="19"/>
        <v>2.6814486362003714E-3</v>
      </c>
    </row>
    <row r="91" spans="1:12" x14ac:dyDescent="0.3">
      <c r="A91">
        <v>96</v>
      </c>
      <c r="B91">
        <f t="shared" si="20"/>
        <v>8.029421165439924E-4</v>
      </c>
      <c r="C91">
        <f t="shared" si="16"/>
        <v>8.029421165439924E-4</v>
      </c>
      <c r="D91" t="s">
        <v>30</v>
      </c>
      <c r="E91" t="s">
        <v>19</v>
      </c>
      <c r="F91">
        <v>1</v>
      </c>
      <c r="G91">
        <f t="shared" si="21"/>
        <v>145</v>
      </c>
      <c r="I91">
        <v>2050</v>
      </c>
      <c r="J91">
        <f t="shared" si="22"/>
        <v>147.5</v>
      </c>
      <c r="K91" cm="1">
        <f t="array" ref="K91">STOWA2019_NDJF_T(A91*60,J91,I91,"WH","center")</f>
        <v>1597.0133553482515</v>
      </c>
      <c r="L91">
        <f t="shared" si="19"/>
        <v>1.878506519656379E-3</v>
      </c>
    </row>
    <row r="92" spans="1:12" x14ac:dyDescent="0.3">
      <c r="A92">
        <v>96</v>
      </c>
      <c r="B92">
        <f t="shared" si="20"/>
        <v>5.5887054409822171E-4</v>
      </c>
      <c r="C92">
        <f t="shared" si="16"/>
        <v>5.5887054409822171E-4</v>
      </c>
      <c r="D92" t="s">
        <v>30</v>
      </c>
      <c r="E92" t="s">
        <v>19</v>
      </c>
      <c r="F92">
        <v>1</v>
      </c>
      <c r="G92">
        <f t="shared" si="21"/>
        <v>150</v>
      </c>
      <c r="I92">
        <v>2050</v>
      </c>
      <c r="J92">
        <f t="shared" si="22"/>
        <v>152.5</v>
      </c>
      <c r="K92" cm="1">
        <f t="array" ref="K92">STOWA2019_NDJF_T(A92*60,J92,I92,"WH","center")</f>
        <v>2273.354209467585</v>
      </c>
      <c r="L92">
        <f t="shared" si="19"/>
        <v>1.3196359755581573E-3</v>
      </c>
    </row>
    <row r="93" spans="1:12" x14ac:dyDescent="0.3">
      <c r="A93">
        <v>96</v>
      </c>
      <c r="B93">
        <f t="shared" si="20"/>
        <v>3.900704887962119E-4</v>
      </c>
      <c r="C93">
        <f t="shared" si="16"/>
        <v>3.900704887962119E-4</v>
      </c>
      <c r="D93" t="s">
        <v>30</v>
      </c>
      <c r="E93" t="s">
        <v>19</v>
      </c>
      <c r="F93">
        <v>1</v>
      </c>
      <c r="G93">
        <f t="shared" si="21"/>
        <v>155</v>
      </c>
      <c r="I93">
        <v>2050</v>
      </c>
      <c r="J93">
        <f t="shared" si="22"/>
        <v>157.5</v>
      </c>
      <c r="K93" cm="1">
        <f t="array" ref="K93">STOWA2019_NDJF_T(A93*60,J93,I93,"WH","center")</f>
        <v>3227.3143126798095</v>
      </c>
      <c r="L93">
        <f t="shared" si="19"/>
        <v>9.2956548676194535E-4</v>
      </c>
    </row>
    <row r="94" spans="1:12" x14ac:dyDescent="0.3">
      <c r="A94">
        <v>96</v>
      </c>
      <c r="B94" s="1">
        <f>L93</f>
        <v>9.2956548676194535E-4</v>
      </c>
      <c r="C94">
        <f t="shared" si="16"/>
        <v>9.2956548676194535E-4</v>
      </c>
      <c r="D94" t="s">
        <v>30</v>
      </c>
      <c r="E94" t="s">
        <v>19</v>
      </c>
      <c r="F94">
        <v>1</v>
      </c>
      <c r="G94">
        <f t="shared" si="21"/>
        <v>160</v>
      </c>
      <c r="I94">
        <v>2050</v>
      </c>
      <c r="J94">
        <f>AVERAGE(G94:G95)</f>
        <v>85</v>
      </c>
      <c r="K94" cm="1">
        <f t="array" ref="K94">STOWA2019_NDJF_T(A94*60,J94,I94,"WH","center")</f>
        <v>15.083258377877863</v>
      </c>
      <c r="L94">
        <f t="shared" si="19"/>
        <v>0.19889601602263901</v>
      </c>
    </row>
    <row r="95" spans="1:12" x14ac:dyDescent="0.3">
      <c r="A95">
        <v>192</v>
      </c>
      <c r="B95" s="1">
        <f>365.25*24/A95 - L95</f>
        <v>-24.79473531351087</v>
      </c>
      <c r="C95">
        <f>B95</f>
        <v>-24.79473531351087</v>
      </c>
      <c r="D95" t="s">
        <v>30</v>
      </c>
      <c r="E95" t="s">
        <v>19</v>
      </c>
      <c r="F95">
        <v>1</v>
      </c>
      <c r="G95">
        <v>10</v>
      </c>
      <c r="I95">
        <v>2050</v>
      </c>
      <c r="J95">
        <f>AVERAGE(G95:G97)</f>
        <v>15</v>
      </c>
      <c r="K95" cm="1">
        <f t="array" ref="K95">STOWA2019_NDJF_T(A95*60,J95,I95,"WH","center")</f>
        <v>4.2582796914050675E-2</v>
      </c>
      <c r="L95">
        <f t="shared" si="19"/>
        <v>70.45098531351087</v>
      </c>
    </row>
    <row r="96" spans="1:12" x14ac:dyDescent="0.3">
      <c r="A96">
        <v>192</v>
      </c>
      <c r="B96">
        <f t="shared" ref="B96:B100" si="23">L95-L96</f>
        <v>8.5495685702713473</v>
      </c>
      <c r="C96">
        <f t="shared" ref="C96:C125" si="24">B96</f>
        <v>8.5495685702713473</v>
      </c>
      <c r="D96" t="s">
        <v>30</v>
      </c>
      <c r="E96" t="s">
        <v>19</v>
      </c>
      <c r="F96">
        <v>1</v>
      </c>
      <c r="G96">
        <f t="shared" ref="G96:G100" si="25">G95+5</f>
        <v>15</v>
      </c>
      <c r="I96">
        <v>2050</v>
      </c>
      <c r="J96">
        <f t="shared" ref="J96:J100" si="26">AVERAGE(G96:G97)</f>
        <v>17.5</v>
      </c>
      <c r="K96" cm="1">
        <f t="array" ref="K96">STOWA2019_NDJF_T(A96*60,J96,I96,"WH","center")</f>
        <v>4.8464157330092787E-2</v>
      </c>
      <c r="L96">
        <f t="shared" si="19"/>
        <v>61.901416743239523</v>
      </c>
    </row>
    <row r="97" spans="1:12" x14ac:dyDescent="0.3">
      <c r="A97">
        <v>192</v>
      </c>
      <c r="B97">
        <f t="shared" si="23"/>
        <v>14.224248164574675</v>
      </c>
      <c r="C97">
        <f t="shared" si="24"/>
        <v>14.224248164574675</v>
      </c>
      <c r="D97" t="s">
        <v>30</v>
      </c>
      <c r="E97" t="s">
        <v>19</v>
      </c>
      <c r="F97">
        <v>1</v>
      </c>
      <c r="G97">
        <f t="shared" si="25"/>
        <v>20</v>
      </c>
      <c r="I97">
        <v>2050</v>
      </c>
      <c r="J97">
        <f t="shared" si="26"/>
        <v>22.5</v>
      </c>
      <c r="K97" cm="1">
        <f t="array" ref="K97">STOWA2019_NDJF_T(A97*60,J97,I97,"WH","center")</f>
        <v>6.2923199708266153E-2</v>
      </c>
      <c r="L97">
        <f t="shared" si="19"/>
        <v>47.677168578664848</v>
      </c>
    </row>
    <row r="98" spans="1:12" x14ac:dyDescent="0.3">
      <c r="A98">
        <v>192</v>
      </c>
      <c r="B98">
        <f t="shared" si="23"/>
        <v>11.072014120244503</v>
      </c>
      <c r="C98">
        <f t="shared" si="24"/>
        <v>11.072014120244503</v>
      </c>
      <c r="D98" t="s">
        <v>30</v>
      </c>
      <c r="E98" t="s">
        <v>19</v>
      </c>
      <c r="F98">
        <v>1</v>
      </c>
      <c r="G98">
        <f t="shared" si="25"/>
        <v>25</v>
      </c>
      <c r="I98">
        <v>2050</v>
      </c>
      <c r="J98">
        <f t="shared" si="26"/>
        <v>27.5</v>
      </c>
      <c r="K98" cm="1">
        <f t="array" ref="K98">STOWA2019_NDJF_T(A98*60,J98,I98,"WH","center")</f>
        <v>8.1955671117511286E-2</v>
      </c>
      <c r="L98">
        <f t="shared" si="19"/>
        <v>36.605154458420344</v>
      </c>
    </row>
    <row r="99" spans="1:12" x14ac:dyDescent="0.3">
      <c r="A99">
        <v>192</v>
      </c>
      <c r="B99">
        <f t="shared" si="23"/>
        <v>8.5920691735362311</v>
      </c>
      <c r="C99">
        <f t="shared" si="24"/>
        <v>8.5920691735362311</v>
      </c>
      <c r="D99" t="s">
        <v>30</v>
      </c>
      <c r="E99" t="s">
        <v>19</v>
      </c>
      <c r="F99">
        <v>1</v>
      </c>
      <c r="G99">
        <f t="shared" si="25"/>
        <v>30</v>
      </c>
      <c r="I99">
        <v>2050</v>
      </c>
      <c r="J99">
        <f t="shared" si="26"/>
        <v>32.5</v>
      </c>
      <c r="K99" cm="1">
        <f t="array" ref="K99">STOWA2019_NDJF_T(A99*60,J99,I99,"WH","center")</f>
        <v>0.1070928092886221</v>
      </c>
      <c r="L99">
        <f t="shared" si="19"/>
        <v>28.013085284884113</v>
      </c>
    </row>
    <row r="100" spans="1:12" x14ac:dyDescent="0.3">
      <c r="A100">
        <v>192</v>
      </c>
      <c r="B100">
        <f t="shared" si="23"/>
        <v>6.6467860676876924</v>
      </c>
      <c r="C100">
        <f t="shared" si="24"/>
        <v>6.6467860676876924</v>
      </c>
      <c r="D100" t="s">
        <v>30</v>
      </c>
      <c r="E100" t="s">
        <v>19</v>
      </c>
      <c r="F100">
        <v>1</v>
      </c>
      <c r="G100">
        <f t="shared" si="25"/>
        <v>35</v>
      </c>
      <c r="I100">
        <v>2050</v>
      </c>
      <c r="J100">
        <f t="shared" si="26"/>
        <v>37.5</v>
      </c>
      <c r="K100" cm="1">
        <f t="array" ref="K100">STOWA2019_NDJF_T(A100*60,J100,I100,"WH","center")</f>
        <v>0.14040803086692169</v>
      </c>
      <c r="L100">
        <f t="shared" si="19"/>
        <v>21.366299217196421</v>
      </c>
    </row>
    <row r="101" spans="1:12" x14ac:dyDescent="0.3">
      <c r="A101">
        <v>192</v>
      </c>
      <c r="B101">
        <f>L100-L101</f>
        <v>5.1251509097789878</v>
      </c>
      <c r="C101">
        <f t="shared" si="24"/>
        <v>5.1251509097789878</v>
      </c>
      <c r="D101" t="s">
        <v>30</v>
      </c>
      <c r="E101" t="s">
        <v>19</v>
      </c>
      <c r="F101">
        <v>1</v>
      </c>
      <c r="G101">
        <f>G100+5</f>
        <v>40</v>
      </c>
      <c r="I101">
        <v>2050</v>
      </c>
      <c r="J101">
        <f>AVERAGE(G101:G102)</f>
        <v>42.5</v>
      </c>
      <c r="K101" cm="1">
        <f t="array" ref="K101">STOWA2019_NDJF_T(A101*60,J101,I101,"WH","center")</f>
        <v>0.18471600303224137</v>
      </c>
      <c r="L101">
        <f t="shared" si="19"/>
        <v>16.241148307417433</v>
      </c>
    </row>
    <row r="102" spans="1:12" x14ac:dyDescent="0.3">
      <c r="A102">
        <v>192</v>
      </c>
      <c r="B102">
        <f t="shared" ref="B102:B124" si="27">L101-L102</f>
        <v>3.9389506655743709</v>
      </c>
      <c r="C102">
        <f t="shared" si="24"/>
        <v>3.9389506655743709</v>
      </c>
      <c r="D102" t="s">
        <v>30</v>
      </c>
      <c r="E102" t="s">
        <v>19</v>
      </c>
      <c r="F102">
        <v>1</v>
      </c>
      <c r="G102">
        <f t="shared" ref="G102:G125" si="28">G101+5</f>
        <v>45</v>
      </c>
      <c r="I102">
        <v>2050</v>
      </c>
      <c r="J102">
        <f t="shared" ref="J102:J124" si="29">AVERAGE(G102:G103)</f>
        <v>47.5</v>
      </c>
      <c r="K102" cm="1">
        <f t="array" ref="K102">STOWA2019_NDJF_T(A102*60,J102,I102,"WH","center")</f>
        <v>0.24385886874359738</v>
      </c>
      <c r="L102">
        <f t="shared" si="19"/>
        <v>12.302197641843062</v>
      </c>
    </row>
    <row r="103" spans="1:12" x14ac:dyDescent="0.3">
      <c r="A103">
        <v>192</v>
      </c>
      <c r="B103">
        <f t="shared" si="27"/>
        <v>3.0171461388649838</v>
      </c>
      <c r="C103">
        <f t="shared" si="24"/>
        <v>3.0171461388649838</v>
      </c>
      <c r="D103" t="s">
        <v>30</v>
      </c>
      <c r="E103" t="s">
        <v>19</v>
      </c>
      <c r="F103">
        <v>1</v>
      </c>
      <c r="G103">
        <f t="shared" si="28"/>
        <v>50</v>
      </c>
      <c r="I103">
        <v>2050</v>
      </c>
      <c r="J103">
        <f t="shared" si="29"/>
        <v>52.5</v>
      </c>
      <c r="K103" cm="1">
        <f t="array" ref="K103">STOWA2019_NDJF_T(A103*60,J103,I103,"WH","center")</f>
        <v>0.32309998485606489</v>
      </c>
      <c r="L103">
        <f t="shared" si="19"/>
        <v>9.285051502978078</v>
      </c>
    </row>
    <row r="104" spans="1:12" x14ac:dyDescent="0.3">
      <c r="A104">
        <v>192</v>
      </c>
      <c r="B104">
        <f t="shared" si="27"/>
        <v>2.3029122329209333</v>
      </c>
      <c r="C104">
        <f t="shared" si="24"/>
        <v>2.3029122329209333</v>
      </c>
      <c r="D104" t="s">
        <v>30</v>
      </c>
      <c r="E104" t="s">
        <v>19</v>
      </c>
      <c r="F104">
        <v>1</v>
      </c>
      <c r="G104">
        <f t="shared" si="28"/>
        <v>55</v>
      </c>
      <c r="I104">
        <v>2050</v>
      </c>
      <c r="J104">
        <f t="shared" si="29"/>
        <v>57.5</v>
      </c>
      <c r="K104" cm="1">
        <f t="array" ref="K104">STOWA2019_NDJF_T(A104*60,J104,I104,"WH","center")</f>
        <v>0.42966773992399132</v>
      </c>
      <c r="L104">
        <f t="shared" si="19"/>
        <v>6.9821392700571447</v>
      </c>
    </row>
    <row r="105" spans="1:12" x14ac:dyDescent="0.3">
      <c r="A105">
        <v>192</v>
      </c>
      <c r="B105">
        <f t="shared" si="27"/>
        <v>1.7516477760562026</v>
      </c>
      <c r="C105">
        <f t="shared" si="24"/>
        <v>1.7516477760562026</v>
      </c>
      <c r="D105" t="s">
        <v>30</v>
      </c>
      <c r="E105" t="s">
        <v>19</v>
      </c>
      <c r="F105">
        <v>1</v>
      </c>
      <c r="G105">
        <f t="shared" si="28"/>
        <v>60</v>
      </c>
      <c r="I105">
        <v>2050</v>
      </c>
      <c r="J105">
        <f t="shared" si="29"/>
        <v>62.5</v>
      </c>
      <c r="K105" cm="1">
        <f t="array" ref="K105">STOWA2019_NDJF_T(A105*60,J105,I105,"WH","center")</f>
        <v>0.57355986592097874</v>
      </c>
      <c r="L105">
        <f t="shared" si="19"/>
        <v>5.2304914940009422</v>
      </c>
    </row>
    <row r="106" spans="1:12" x14ac:dyDescent="0.3">
      <c r="A106">
        <v>192</v>
      </c>
      <c r="B106">
        <f t="shared" si="27"/>
        <v>1.3273673608362477</v>
      </c>
      <c r="C106">
        <f t="shared" si="24"/>
        <v>1.3273673608362477</v>
      </c>
      <c r="D106" t="s">
        <v>30</v>
      </c>
      <c r="E106" t="s">
        <v>19</v>
      </c>
      <c r="F106">
        <v>1</v>
      </c>
      <c r="G106">
        <f t="shared" si="28"/>
        <v>65</v>
      </c>
      <c r="I106">
        <v>2050</v>
      </c>
      <c r="J106">
        <f t="shared" si="29"/>
        <v>67.5</v>
      </c>
      <c r="K106" cm="1">
        <f t="array" ref="K106">STOWA2019_NDJF_T(A106*60,J106,I106,"WH","center")</f>
        <v>0.7686150626133349</v>
      </c>
      <c r="L106">
        <f t="shared" si="19"/>
        <v>3.9031241331646944</v>
      </c>
    </row>
    <row r="107" spans="1:12" x14ac:dyDescent="0.3">
      <c r="A107">
        <v>192</v>
      </c>
      <c r="B107">
        <f t="shared" si="27"/>
        <v>1.0019807558128742</v>
      </c>
      <c r="C107">
        <f t="shared" si="24"/>
        <v>1.0019807558128742</v>
      </c>
      <c r="D107" t="s">
        <v>30</v>
      </c>
      <c r="E107" t="s">
        <v>19</v>
      </c>
      <c r="F107">
        <v>1</v>
      </c>
      <c r="G107">
        <f t="shared" si="28"/>
        <v>70</v>
      </c>
      <c r="I107">
        <v>2050</v>
      </c>
      <c r="J107">
        <f t="shared" si="29"/>
        <v>72.5</v>
      </c>
      <c r="K107" cm="1">
        <f t="array" ref="K107">STOWA2019_NDJF_T(A107*60,J107,I107,"WH","center")</f>
        <v>1.0340750558624292</v>
      </c>
      <c r="L107">
        <f t="shared" si="19"/>
        <v>2.9011433773518203</v>
      </c>
    </row>
    <row r="108" spans="1:12" x14ac:dyDescent="0.3">
      <c r="A108">
        <v>192</v>
      </c>
      <c r="B108">
        <f t="shared" si="27"/>
        <v>0.75369672123945097</v>
      </c>
      <c r="C108">
        <f t="shared" si="24"/>
        <v>0.75369672123945097</v>
      </c>
      <c r="D108" t="s">
        <v>30</v>
      </c>
      <c r="E108" t="s">
        <v>19</v>
      </c>
      <c r="F108">
        <v>1</v>
      </c>
      <c r="G108">
        <f t="shared" si="28"/>
        <v>75</v>
      </c>
      <c r="I108">
        <v>2050</v>
      </c>
      <c r="J108">
        <f t="shared" si="29"/>
        <v>77.5</v>
      </c>
      <c r="K108" cm="1">
        <f t="array" ref="K108">STOWA2019_NDJF_T(A108*60,J108,I108,"WH","center")</f>
        <v>1.3970079263487041</v>
      </c>
      <c r="L108">
        <f t="shared" si="19"/>
        <v>2.1474466561123693</v>
      </c>
    </row>
    <row r="109" spans="1:12" x14ac:dyDescent="0.3">
      <c r="A109">
        <v>192</v>
      </c>
      <c r="B109">
        <f t="shared" si="27"/>
        <v>0.56459736002715921</v>
      </c>
      <c r="C109">
        <f t="shared" si="24"/>
        <v>0.56459736002715921</v>
      </c>
      <c r="D109" t="s">
        <v>30</v>
      </c>
      <c r="E109" t="s">
        <v>19</v>
      </c>
      <c r="F109">
        <v>1</v>
      </c>
      <c r="G109">
        <f t="shared" si="28"/>
        <v>80</v>
      </c>
      <c r="I109">
        <v>2050</v>
      </c>
      <c r="J109">
        <f t="shared" si="29"/>
        <v>82.5</v>
      </c>
      <c r="K109" cm="1">
        <f t="array" ref="K109">STOWA2019_NDJF_T(A109*60,J109,I109,"WH","center")</f>
        <v>1.8953162549459164</v>
      </c>
      <c r="L109">
        <f t="shared" si="19"/>
        <v>1.5828492960852101</v>
      </c>
    </row>
    <row r="110" spans="1:12" x14ac:dyDescent="0.3">
      <c r="A110">
        <v>192</v>
      </c>
      <c r="B110">
        <f t="shared" si="27"/>
        <v>0.42120739216819736</v>
      </c>
      <c r="C110">
        <f t="shared" si="24"/>
        <v>0.42120739216819736</v>
      </c>
      <c r="D110" t="s">
        <v>30</v>
      </c>
      <c r="E110" t="s">
        <v>19</v>
      </c>
      <c r="F110">
        <v>1</v>
      </c>
      <c r="G110">
        <f t="shared" si="28"/>
        <v>85</v>
      </c>
      <c r="I110">
        <v>2050</v>
      </c>
      <c r="J110">
        <f t="shared" si="29"/>
        <v>87.5</v>
      </c>
      <c r="K110" cm="1">
        <f t="array" ref="K110">STOWA2019_NDJF_T(A110*60,J110,I110,"WH","center")</f>
        <v>2.5825514643403555</v>
      </c>
      <c r="L110">
        <f t="shared" si="19"/>
        <v>1.1616419039170127</v>
      </c>
    </row>
    <row r="111" spans="1:12" x14ac:dyDescent="0.3">
      <c r="A111">
        <v>192</v>
      </c>
      <c r="B111">
        <f t="shared" si="27"/>
        <v>0.31292225856185896</v>
      </c>
      <c r="C111">
        <f t="shared" si="24"/>
        <v>0.31292225856185896</v>
      </c>
      <c r="D111" t="s">
        <v>30</v>
      </c>
      <c r="E111" t="s">
        <v>19</v>
      </c>
      <c r="F111">
        <v>1</v>
      </c>
      <c r="G111">
        <f t="shared" si="28"/>
        <v>90</v>
      </c>
      <c r="I111">
        <v>2050</v>
      </c>
      <c r="J111">
        <f t="shared" si="29"/>
        <v>92.5</v>
      </c>
      <c r="K111" cm="1">
        <f t="array" ref="K111">STOWA2019_NDJF_T(A111*60,J111,I111,"WH","center")</f>
        <v>3.5347361362710359</v>
      </c>
      <c r="L111">
        <f t="shared" si="19"/>
        <v>0.84871964535515376</v>
      </c>
    </row>
    <row r="112" spans="1:12" x14ac:dyDescent="0.3">
      <c r="A112">
        <v>192</v>
      </c>
      <c r="B112">
        <f t="shared" si="27"/>
        <v>0.23147225626402623</v>
      </c>
      <c r="C112">
        <f t="shared" si="24"/>
        <v>0.23147225626402623</v>
      </c>
      <c r="D112" t="s">
        <v>30</v>
      </c>
      <c r="E112" t="s">
        <v>19</v>
      </c>
      <c r="F112">
        <v>1</v>
      </c>
      <c r="G112">
        <f t="shared" si="28"/>
        <v>95</v>
      </c>
      <c r="I112">
        <v>2050</v>
      </c>
      <c r="J112">
        <f t="shared" si="29"/>
        <v>97.5</v>
      </c>
      <c r="K112" cm="1">
        <f t="array" ref="K112">STOWA2019_NDJF_T(A112*60,J112,I112,"WH","center")</f>
        <v>4.8602878732583736</v>
      </c>
      <c r="L112">
        <f t="shared" si="19"/>
        <v>0.61724738909112753</v>
      </c>
    </row>
    <row r="113" spans="1:12" x14ac:dyDescent="0.3">
      <c r="A113">
        <v>192</v>
      </c>
      <c r="B113">
        <f t="shared" si="27"/>
        <v>0.17046281976478539</v>
      </c>
      <c r="C113">
        <f t="shared" si="24"/>
        <v>0.17046281976478539</v>
      </c>
      <c r="D113" t="s">
        <v>30</v>
      </c>
      <c r="E113" t="s">
        <v>19</v>
      </c>
      <c r="F113">
        <v>1</v>
      </c>
      <c r="G113">
        <f t="shared" si="28"/>
        <v>100</v>
      </c>
      <c r="I113">
        <v>2050</v>
      </c>
      <c r="J113">
        <f t="shared" si="29"/>
        <v>102.5</v>
      </c>
      <c r="K113" cm="1">
        <f t="array" ref="K113">STOWA2019_NDJF_T(A113*60,J113,I113,"WH","center")</f>
        <v>6.7146455047079483</v>
      </c>
      <c r="L113">
        <f t="shared" si="19"/>
        <v>0.44678456932634214</v>
      </c>
    </row>
    <row r="114" spans="1:12" x14ac:dyDescent="0.3">
      <c r="A114">
        <v>192</v>
      </c>
      <c r="B114">
        <f t="shared" si="27"/>
        <v>0.12496237106196745</v>
      </c>
      <c r="C114">
        <f t="shared" si="24"/>
        <v>0.12496237106196745</v>
      </c>
      <c r="D114" t="s">
        <v>30</v>
      </c>
      <c r="E114" t="s">
        <v>19</v>
      </c>
      <c r="F114">
        <v>1</v>
      </c>
      <c r="G114">
        <f t="shared" si="28"/>
        <v>105</v>
      </c>
      <c r="I114">
        <v>2050</v>
      </c>
      <c r="J114">
        <f t="shared" si="29"/>
        <v>107.5</v>
      </c>
      <c r="K114" cm="1">
        <f t="array" ref="K114">STOWA2019_NDJF_T(A114*60,J114,I114,"WH","center")</f>
        <v>9.3219175562759684</v>
      </c>
      <c r="L114">
        <f t="shared" si="19"/>
        <v>0.32182219826437469</v>
      </c>
    </row>
    <row r="115" spans="1:12" x14ac:dyDescent="0.3">
      <c r="A115">
        <v>192</v>
      </c>
      <c r="B115">
        <f t="shared" si="27"/>
        <v>9.1171934599857118E-2</v>
      </c>
      <c r="C115">
        <f t="shared" si="24"/>
        <v>9.1171934599857118E-2</v>
      </c>
      <c r="D115" t="s">
        <v>30</v>
      </c>
      <c r="E115" t="s">
        <v>19</v>
      </c>
      <c r="F115">
        <v>1</v>
      </c>
      <c r="G115">
        <f t="shared" si="28"/>
        <v>110</v>
      </c>
      <c r="I115">
        <v>2050</v>
      </c>
      <c r="J115">
        <f t="shared" si="29"/>
        <v>112.5</v>
      </c>
      <c r="K115" cm="1">
        <f t="array" ref="K115">STOWA2019_NDJF_T(A115*60,J115,I115,"WH","center")</f>
        <v>13.006705270294079</v>
      </c>
      <c r="L115">
        <f t="shared" si="19"/>
        <v>0.23065026366451757</v>
      </c>
    </row>
    <row r="116" spans="1:12" x14ac:dyDescent="0.3">
      <c r="A116">
        <v>192</v>
      </c>
      <c r="B116">
        <f t="shared" si="27"/>
        <v>6.6197524011045394E-2</v>
      </c>
      <c r="C116">
        <f t="shared" si="24"/>
        <v>6.6197524011045394E-2</v>
      </c>
      <c r="D116" t="s">
        <v>30</v>
      </c>
      <c r="E116" t="s">
        <v>19</v>
      </c>
      <c r="F116">
        <v>1</v>
      </c>
      <c r="G116">
        <f t="shared" si="28"/>
        <v>115</v>
      </c>
      <c r="I116">
        <v>2050</v>
      </c>
      <c r="J116">
        <f t="shared" si="29"/>
        <v>117.5</v>
      </c>
      <c r="K116" cm="1">
        <f t="array" ref="K116">STOWA2019_NDJF_T(A116*60,J116,I116,"WH","center")</f>
        <v>18.242323030443107</v>
      </c>
      <c r="L116">
        <f t="shared" si="19"/>
        <v>0.16445273965347218</v>
      </c>
    </row>
    <row r="117" spans="1:12" x14ac:dyDescent="0.3">
      <c r="A117">
        <v>192</v>
      </c>
      <c r="B117">
        <f t="shared" si="27"/>
        <v>4.7824555840747948E-2</v>
      </c>
      <c r="C117">
        <f t="shared" si="24"/>
        <v>4.7824555840747948E-2</v>
      </c>
      <c r="D117" t="s">
        <v>30</v>
      </c>
      <c r="E117" t="s">
        <v>19</v>
      </c>
      <c r="F117">
        <v>1</v>
      </c>
      <c r="G117">
        <f t="shared" si="28"/>
        <v>120</v>
      </c>
      <c r="I117">
        <v>2050</v>
      </c>
      <c r="J117">
        <f t="shared" si="29"/>
        <v>122.5</v>
      </c>
      <c r="K117" cm="1">
        <f t="array" ref="K117">STOWA2019_NDJF_T(A117*60,J117,I117,"WH","center")</f>
        <v>25.722770448155583</v>
      </c>
      <c r="L117">
        <f t="shared" si="19"/>
        <v>0.11662818381272423</v>
      </c>
    </row>
    <row r="118" spans="1:12" x14ac:dyDescent="0.3">
      <c r="A118">
        <v>192</v>
      </c>
      <c r="B118">
        <f t="shared" si="27"/>
        <v>3.4371312409394519E-2</v>
      </c>
      <c r="C118">
        <f t="shared" si="24"/>
        <v>3.4371312409394519E-2</v>
      </c>
      <c r="D118" t="s">
        <v>30</v>
      </c>
      <c r="E118" t="s">
        <v>19</v>
      </c>
      <c r="F118">
        <v>1</v>
      </c>
      <c r="G118">
        <f t="shared" si="28"/>
        <v>125</v>
      </c>
      <c r="I118">
        <v>2050</v>
      </c>
      <c r="J118">
        <f t="shared" si="29"/>
        <v>127.5</v>
      </c>
      <c r="K118" cm="1">
        <f t="array" ref="K118">STOWA2019_NDJF_T(A118*60,J118,I118,"WH","center")</f>
        <v>36.471117230925486</v>
      </c>
      <c r="L118">
        <f t="shared" si="19"/>
        <v>8.2256871403329712E-2</v>
      </c>
    </row>
    <row r="119" spans="1:12" x14ac:dyDescent="0.3">
      <c r="A119">
        <v>192</v>
      </c>
      <c r="B119">
        <f t="shared" si="27"/>
        <v>2.4571809320254309E-2</v>
      </c>
      <c r="C119">
        <f t="shared" si="24"/>
        <v>2.4571809320254309E-2</v>
      </c>
      <c r="D119" t="s">
        <v>30</v>
      </c>
      <c r="E119" t="s">
        <v>19</v>
      </c>
      <c r="F119">
        <v>1</v>
      </c>
      <c r="G119">
        <f t="shared" si="28"/>
        <v>130</v>
      </c>
      <c r="I119">
        <v>2050</v>
      </c>
      <c r="J119">
        <f t="shared" si="29"/>
        <v>132.5</v>
      </c>
      <c r="K119" cm="1">
        <f t="array" ref="K119">STOWA2019_NDJF_T(A119*60,J119,I119,"WH","center")</f>
        <v>52.00653152941981</v>
      </c>
      <c r="L119">
        <f t="shared" si="19"/>
        <v>5.7685062083075403E-2</v>
      </c>
    </row>
    <row r="120" spans="1:12" x14ac:dyDescent="0.3">
      <c r="A120">
        <v>192</v>
      </c>
      <c r="B120">
        <f t="shared" si="27"/>
        <v>1.7469169189390579E-2</v>
      </c>
      <c r="C120">
        <f t="shared" si="24"/>
        <v>1.7469169189390579E-2</v>
      </c>
      <c r="D120" t="s">
        <v>30</v>
      </c>
      <c r="E120" t="s">
        <v>19</v>
      </c>
      <c r="F120">
        <v>1</v>
      </c>
      <c r="G120">
        <f t="shared" si="28"/>
        <v>135</v>
      </c>
      <c r="I120">
        <v>2050</v>
      </c>
      <c r="J120">
        <f t="shared" si="29"/>
        <v>137.5</v>
      </c>
      <c r="K120" cm="1">
        <f t="array" ref="K120">STOWA2019_NDJF_T(A120*60,J120,I120,"WH","center")</f>
        <v>74.597373927040067</v>
      </c>
      <c r="L120">
        <f t="shared" si="19"/>
        <v>4.0215892893684824E-2</v>
      </c>
    </row>
    <row r="121" spans="1:12" x14ac:dyDescent="0.3">
      <c r="A121">
        <v>192</v>
      </c>
      <c r="B121">
        <f t="shared" si="27"/>
        <v>1.2349137578913521E-2</v>
      </c>
      <c r="C121">
        <f t="shared" si="24"/>
        <v>1.2349137578913521E-2</v>
      </c>
      <c r="D121" t="s">
        <v>30</v>
      </c>
      <c r="E121" t="s">
        <v>19</v>
      </c>
      <c r="F121">
        <v>1</v>
      </c>
      <c r="G121">
        <f t="shared" si="28"/>
        <v>140</v>
      </c>
      <c r="I121">
        <v>2050</v>
      </c>
      <c r="J121">
        <f t="shared" si="29"/>
        <v>142.5</v>
      </c>
      <c r="K121" cm="1">
        <f t="array" ref="K121">STOWA2019_NDJF_T(A121*60,J121,I121,"WH","center")</f>
        <v>107.65515992490856</v>
      </c>
      <c r="L121">
        <f t="shared" si="19"/>
        <v>2.7866755314771303E-2</v>
      </c>
    </row>
    <row r="122" spans="1:12" x14ac:dyDescent="0.3">
      <c r="A122">
        <v>192</v>
      </c>
      <c r="B122">
        <f t="shared" si="27"/>
        <v>8.6781365401921856E-3</v>
      </c>
      <c r="C122">
        <f t="shared" si="24"/>
        <v>8.6781365401921856E-3</v>
      </c>
      <c r="D122" t="s">
        <v>30</v>
      </c>
      <c r="E122" t="s">
        <v>19</v>
      </c>
      <c r="F122">
        <v>1</v>
      </c>
      <c r="G122">
        <f t="shared" si="28"/>
        <v>145</v>
      </c>
      <c r="I122">
        <v>2050</v>
      </c>
      <c r="J122">
        <f t="shared" si="29"/>
        <v>147.5</v>
      </c>
      <c r="K122" cm="1">
        <f t="array" ref="K122">STOWA2019_NDJF_T(A122*60,J122,I122,"WH","center")</f>
        <v>156.34267558509052</v>
      </c>
      <c r="L122">
        <f t="shared" si="19"/>
        <v>1.9188618774579117E-2</v>
      </c>
    </row>
    <row r="123" spans="1:12" x14ac:dyDescent="0.3">
      <c r="A123">
        <v>192</v>
      </c>
      <c r="B123">
        <f t="shared" si="27"/>
        <v>6.061505386795325E-3</v>
      </c>
      <c r="C123">
        <f t="shared" si="24"/>
        <v>6.061505386795325E-3</v>
      </c>
      <c r="D123" t="s">
        <v>30</v>
      </c>
      <c r="E123" t="s">
        <v>19</v>
      </c>
      <c r="F123">
        <v>1</v>
      </c>
      <c r="G123">
        <f t="shared" si="28"/>
        <v>150</v>
      </c>
      <c r="I123">
        <v>2050</v>
      </c>
      <c r="J123">
        <f t="shared" si="29"/>
        <v>152.5</v>
      </c>
      <c r="K123" cm="1">
        <f t="array" ref="K123">STOWA2019_NDJF_T(A123*60,J123,I123,"WH","center")</f>
        <v>228.53462992037737</v>
      </c>
      <c r="L123">
        <f t="shared" si="19"/>
        <v>1.3127113387783792E-2</v>
      </c>
    </row>
    <row r="124" spans="1:12" x14ac:dyDescent="0.3">
      <c r="A124">
        <v>192</v>
      </c>
      <c r="B124">
        <f t="shared" si="27"/>
        <v>4.2071138567318731E-3</v>
      </c>
      <c r="C124">
        <f t="shared" si="24"/>
        <v>4.2071138567318731E-3</v>
      </c>
      <c r="D124" t="s">
        <v>30</v>
      </c>
      <c r="E124" t="s">
        <v>19</v>
      </c>
      <c r="F124">
        <v>1</v>
      </c>
      <c r="G124">
        <f t="shared" si="28"/>
        <v>155</v>
      </c>
      <c r="I124">
        <v>2050</v>
      </c>
      <c r="J124">
        <f t="shared" si="29"/>
        <v>157.5</v>
      </c>
      <c r="K124" cm="1">
        <f t="array" ref="K124">STOWA2019_NDJF_T(A124*60,J124,I124,"WH","center")</f>
        <v>336.32288763654407</v>
      </c>
      <c r="L124">
        <f t="shared" si="19"/>
        <v>8.9199995310519191E-3</v>
      </c>
    </row>
    <row r="125" spans="1:12" x14ac:dyDescent="0.3">
      <c r="A125">
        <v>192</v>
      </c>
      <c r="B125" s="1">
        <f>L124</f>
        <v>8.9199995310519191E-3</v>
      </c>
      <c r="C125">
        <f t="shared" si="24"/>
        <v>8.9199995310519191E-3</v>
      </c>
      <c r="D125" t="s">
        <v>30</v>
      </c>
      <c r="E125" t="s">
        <v>19</v>
      </c>
      <c r="F125">
        <v>1</v>
      </c>
      <c r="G125">
        <f t="shared" si="28"/>
        <v>160</v>
      </c>
      <c r="I125">
        <v>2050</v>
      </c>
      <c r="J125">
        <f>AVERAGE(G125:G126)</f>
        <v>85</v>
      </c>
      <c r="K125" cm="1">
        <f t="array" ref="K125">STOWA2019_NDJF_T(A125*60,J125,I125,"WH","center")</f>
        <v>2.2111990233624783</v>
      </c>
      <c r="L125">
        <f t="shared" si="19"/>
        <v>1.3567299769507066</v>
      </c>
    </row>
    <row r="126" spans="1:12" x14ac:dyDescent="0.3">
      <c r="A126">
        <v>216</v>
      </c>
      <c r="B126" s="1">
        <f>365.25*24/A126 - L126</f>
        <v>-27.386710180332152</v>
      </c>
      <c r="C126">
        <f>B126</f>
        <v>-27.386710180332152</v>
      </c>
      <c r="D126" t="s">
        <v>30</v>
      </c>
      <c r="E126" t="s">
        <v>19</v>
      </c>
      <c r="F126">
        <v>1</v>
      </c>
      <c r="G126">
        <v>10</v>
      </c>
      <c r="I126">
        <v>2050</v>
      </c>
      <c r="J126">
        <f>AVERAGE(G126:G128)</f>
        <v>15</v>
      </c>
      <c r="K126" cm="1">
        <f t="array" ref="K126">STOWA2019_NDJF_T(A126*60,J126,I126,"WH","center")</f>
        <v>4.4137091061253256E-2</v>
      </c>
      <c r="L126">
        <f t="shared" si="19"/>
        <v>67.970043513665487</v>
      </c>
    </row>
    <row r="127" spans="1:12" x14ac:dyDescent="0.3">
      <c r="A127">
        <v>216</v>
      </c>
      <c r="B127">
        <f t="shared" ref="B127:B131" si="30">L126-L127</f>
        <v>7.4390402388950818</v>
      </c>
      <c r="C127">
        <f t="shared" ref="C127:C156" si="31">B127</f>
        <v>7.4390402388950818</v>
      </c>
      <c r="D127" t="s">
        <v>30</v>
      </c>
      <c r="E127" t="s">
        <v>19</v>
      </c>
      <c r="F127">
        <v>1</v>
      </c>
      <c r="G127">
        <f t="shared" ref="G127:G131" si="32">G126+5</f>
        <v>15</v>
      </c>
      <c r="I127">
        <v>2050</v>
      </c>
      <c r="J127">
        <f t="shared" ref="J127:J131" si="33">AVERAGE(G127:G128)</f>
        <v>17.5</v>
      </c>
      <c r="K127" cm="1">
        <f t="array" ref="K127">STOWA2019_NDJF_T(A127*60,J127,I127,"WH","center")</f>
        <v>4.9561379090017718E-2</v>
      </c>
      <c r="L127">
        <f t="shared" si="19"/>
        <v>60.531003274770406</v>
      </c>
    </row>
    <row r="128" spans="1:12" x14ac:dyDescent="0.3">
      <c r="A128">
        <v>216</v>
      </c>
      <c r="B128">
        <f t="shared" si="30"/>
        <v>12.648773163653985</v>
      </c>
      <c r="C128">
        <f t="shared" si="31"/>
        <v>12.648773163653985</v>
      </c>
      <c r="D128" t="s">
        <v>30</v>
      </c>
      <c r="E128" t="s">
        <v>19</v>
      </c>
      <c r="F128">
        <v>1</v>
      </c>
      <c r="G128">
        <f t="shared" si="32"/>
        <v>20</v>
      </c>
      <c r="I128">
        <v>2050</v>
      </c>
      <c r="J128">
        <f t="shared" si="33"/>
        <v>22.5</v>
      </c>
      <c r="K128" cm="1">
        <f t="array" ref="K128">STOWA2019_NDJF_T(A128*60,J128,I128,"WH","center")</f>
        <v>6.2653723375835718E-2</v>
      </c>
      <c r="L128">
        <f t="shared" si="19"/>
        <v>47.882230111116421</v>
      </c>
    </row>
    <row r="129" spans="1:12" x14ac:dyDescent="0.3">
      <c r="A129">
        <v>216</v>
      </c>
      <c r="B129">
        <f t="shared" si="30"/>
        <v>10.138514689083038</v>
      </c>
      <c r="C129">
        <f t="shared" si="31"/>
        <v>10.138514689083038</v>
      </c>
      <c r="D129" t="s">
        <v>30</v>
      </c>
      <c r="E129" t="s">
        <v>19</v>
      </c>
      <c r="F129">
        <v>1</v>
      </c>
      <c r="G129">
        <f t="shared" si="32"/>
        <v>25</v>
      </c>
      <c r="I129">
        <v>2050</v>
      </c>
      <c r="J129">
        <f t="shared" si="33"/>
        <v>27.5</v>
      </c>
      <c r="K129" cm="1">
        <f t="array" ref="K129">STOWA2019_NDJF_T(A129*60,J129,I129,"WH","center")</f>
        <v>7.9483430988585485E-2</v>
      </c>
      <c r="L129">
        <f t="shared" si="19"/>
        <v>37.743715422033382</v>
      </c>
    </row>
    <row r="130" spans="1:12" x14ac:dyDescent="0.3">
      <c r="A130">
        <v>216</v>
      </c>
      <c r="B130">
        <f t="shared" si="30"/>
        <v>8.0993468645590596</v>
      </c>
      <c r="C130">
        <f t="shared" si="31"/>
        <v>8.0993468645590596</v>
      </c>
      <c r="D130" t="s">
        <v>30</v>
      </c>
      <c r="E130" t="s">
        <v>19</v>
      </c>
      <c r="F130">
        <v>1</v>
      </c>
      <c r="G130">
        <f t="shared" si="32"/>
        <v>30</v>
      </c>
      <c r="I130">
        <v>2050</v>
      </c>
      <c r="J130">
        <f t="shared" si="33"/>
        <v>32.5</v>
      </c>
      <c r="K130" cm="1">
        <f t="array" ref="K130">STOWA2019_NDJF_T(A130*60,J130,I130,"WH","center")</f>
        <v>0.10119965936139332</v>
      </c>
      <c r="L130">
        <f t="shared" si="19"/>
        <v>29.644368557474323</v>
      </c>
    </row>
    <row r="131" spans="1:12" x14ac:dyDescent="0.3">
      <c r="A131">
        <v>216</v>
      </c>
      <c r="B131">
        <f t="shared" si="30"/>
        <v>6.4480603290886336</v>
      </c>
      <c r="C131">
        <f t="shared" si="31"/>
        <v>6.4480603290886336</v>
      </c>
      <c r="D131" t="s">
        <v>30</v>
      </c>
      <c r="E131" t="s">
        <v>19</v>
      </c>
      <c r="F131">
        <v>1</v>
      </c>
      <c r="G131">
        <f t="shared" si="32"/>
        <v>35</v>
      </c>
      <c r="I131">
        <v>2050</v>
      </c>
      <c r="J131">
        <f t="shared" si="33"/>
        <v>37.5</v>
      </c>
      <c r="K131" cm="1">
        <f t="array" ref="K131">STOWA2019_NDJF_T(A131*60,J131,I131,"WH","center")</f>
        <v>0.12933092501025023</v>
      </c>
      <c r="L131">
        <f t="shared" ref="L131:L156" si="34">1/K131 * 12/4</f>
        <v>23.196308228385689</v>
      </c>
    </row>
    <row r="132" spans="1:12" x14ac:dyDescent="0.3">
      <c r="A132">
        <v>216</v>
      </c>
      <c r="B132">
        <f>L131-L132</f>
        <v>5.1153591426133218</v>
      </c>
      <c r="C132">
        <f t="shared" si="31"/>
        <v>5.1153591426133218</v>
      </c>
      <c r="D132" t="s">
        <v>30</v>
      </c>
      <c r="E132" t="s">
        <v>19</v>
      </c>
      <c r="F132">
        <v>1</v>
      </c>
      <c r="G132">
        <f>G131+5</f>
        <v>40</v>
      </c>
      <c r="I132">
        <v>2050</v>
      </c>
      <c r="J132">
        <f>AVERAGE(G132:G133)</f>
        <v>42.5</v>
      </c>
      <c r="K132" cm="1">
        <f t="array" ref="K132">STOWA2019_NDJF_T(A132*60,J132,I132,"WH","center")</f>
        <v>0.16592049376216961</v>
      </c>
      <c r="L132">
        <f t="shared" si="34"/>
        <v>18.080949085772367</v>
      </c>
    </row>
    <row r="133" spans="1:12" x14ac:dyDescent="0.3">
      <c r="A133">
        <v>216</v>
      </c>
      <c r="B133">
        <f t="shared" ref="B133:B155" si="35">L132-L133</f>
        <v>4.0430751925888195</v>
      </c>
      <c r="C133">
        <f t="shared" si="31"/>
        <v>4.0430751925888195</v>
      </c>
      <c r="D133" t="s">
        <v>30</v>
      </c>
      <c r="E133" t="s">
        <v>19</v>
      </c>
      <c r="F133">
        <v>1</v>
      </c>
      <c r="G133">
        <f t="shared" ref="G133:G156" si="36">G132+5</f>
        <v>45</v>
      </c>
      <c r="I133">
        <v>2050</v>
      </c>
      <c r="J133">
        <f t="shared" ref="J133:J155" si="37">AVERAGE(G133:G134)</f>
        <v>47.5</v>
      </c>
      <c r="K133" cm="1">
        <f t="array" ref="K133">STOWA2019_NDJF_T(A133*60,J133,I133,"WH","center")</f>
        <v>0.21370757586422881</v>
      </c>
      <c r="L133">
        <f t="shared" si="34"/>
        <v>14.037873893183548</v>
      </c>
    </row>
    <row r="134" spans="1:12" x14ac:dyDescent="0.3">
      <c r="A134">
        <v>216</v>
      </c>
      <c r="B134">
        <f t="shared" si="35"/>
        <v>3.1836881707462279</v>
      </c>
      <c r="C134">
        <f t="shared" si="31"/>
        <v>3.1836881707462279</v>
      </c>
      <c r="D134" t="s">
        <v>30</v>
      </c>
      <c r="E134" t="s">
        <v>19</v>
      </c>
      <c r="F134">
        <v>1</v>
      </c>
      <c r="G134">
        <f t="shared" si="36"/>
        <v>50</v>
      </c>
      <c r="I134">
        <v>2050</v>
      </c>
      <c r="J134">
        <f t="shared" si="37"/>
        <v>52.5</v>
      </c>
      <c r="K134" cm="1">
        <f t="array" ref="K134">STOWA2019_NDJF_T(A134*60,J134,I134,"WH","center")</f>
        <v>0.27639106946535152</v>
      </c>
      <c r="L134">
        <f t="shared" si="34"/>
        <v>10.85418572243732</v>
      </c>
    </row>
    <row r="135" spans="1:12" x14ac:dyDescent="0.3">
      <c r="A135">
        <v>216</v>
      </c>
      <c r="B135">
        <f t="shared" si="35"/>
        <v>2.4970474417544057</v>
      </c>
      <c r="C135">
        <f t="shared" si="31"/>
        <v>2.4970474417544057</v>
      </c>
      <c r="D135" t="s">
        <v>30</v>
      </c>
      <c r="E135" t="s">
        <v>19</v>
      </c>
      <c r="F135">
        <v>1</v>
      </c>
      <c r="G135">
        <f t="shared" si="36"/>
        <v>55</v>
      </c>
      <c r="I135">
        <v>2050</v>
      </c>
      <c r="J135">
        <f t="shared" si="37"/>
        <v>57.5</v>
      </c>
      <c r="K135" cm="1">
        <f t="array" ref="K135">STOWA2019_NDJF_T(A135*60,J135,I135,"WH","center")</f>
        <v>0.35897455555262764</v>
      </c>
      <c r="L135">
        <f t="shared" si="34"/>
        <v>8.3571382806829142</v>
      </c>
    </row>
    <row r="136" spans="1:12" x14ac:dyDescent="0.3">
      <c r="A136">
        <v>216</v>
      </c>
      <c r="B136">
        <f t="shared" si="35"/>
        <v>1.9507395097774172</v>
      </c>
      <c r="C136">
        <f t="shared" si="31"/>
        <v>1.9507395097774172</v>
      </c>
      <c r="D136" t="s">
        <v>30</v>
      </c>
      <c r="E136" t="s">
        <v>19</v>
      </c>
      <c r="F136">
        <v>1</v>
      </c>
      <c r="G136">
        <f t="shared" si="36"/>
        <v>60</v>
      </c>
      <c r="I136">
        <v>2050</v>
      </c>
      <c r="J136">
        <f t="shared" si="37"/>
        <v>62.5</v>
      </c>
      <c r="K136" cm="1">
        <f t="array" ref="K136">STOWA2019_NDJF_T(A136*60,J136,I136,"WH","center")</f>
        <v>0.4682818081235321</v>
      </c>
      <c r="L136">
        <f t="shared" si="34"/>
        <v>6.406398770905497</v>
      </c>
    </row>
    <row r="137" spans="1:12" x14ac:dyDescent="0.3">
      <c r="A137">
        <v>216</v>
      </c>
      <c r="B137">
        <f t="shared" si="35"/>
        <v>1.5175569668415161</v>
      </c>
      <c r="C137">
        <f t="shared" si="31"/>
        <v>1.5175569668415161</v>
      </c>
      <c r="D137" t="s">
        <v>30</v>
      </c>
      <c r="E137" t="s">
        <v>19</v>
      </c>
      <c r="F137">
        <v>1</v>
      </c>
      <c r="G137">
        <f t="shared" si="36"/>
        <v>65</v>
      </c>
      <c r="I137">
        <v>2050</v>
      </c>
      <c r="J137">
        <f t="shared" si="37"/>
        <v>67.5</v>
      </c>
      <c r="K137" cm="1">
        <f t="array" ref="K137">STOWA2019_NDJF_T(A137*60,J137,I137,"WH","center")</f>
        <v>0.61364227361707013</v>
      </c>
      <c r="L137">
        <f t="shared" si="34"/>
        <v>4.8888418040639809</v>
      </c>
    </row>
    <row r="138" spans="1:12" x14ac:dyDescent="0.3">
      <c r="A138">
        <v>216</v>
      </c>
      <c r="B138">
        <f t="shared" si="35"/>
        <v>1.1755220349137359</v>
      </c>
      <c r="C138">
        <f t="shared" si="31"/>
        <v>1.1755220349137359</v>
      </c>
      <c r="D138" t="s">
        <v>30</v>
      </c>
      <c r="E138" t="s">
        <v>19</v>
      </c>
      <c r="F138">
        <v>1</v>
      </c>
      <c r="G138">
        <f t="shared" si="36"/>
        <v>70</v>
      </c>
      <c r="I138">
        <v>2050</v>
      </c>
      <c r="J138">
        <f t="shared" si="37"/>
        <v>72.5</v>
      </c>
      <c r="K138" cm="1">
        <f t="array" ref="K138">STOWA2019_NDJF_T(A138*60,J138,I138,"WH","center")</f>
        <v>0.80790241253220141</v>
      </c>
      <c r="L138">
        <f t="shared" si="34"/>
        <v>3.7133197691502451</v>
      </c>
    </row>
    <row r="139" spans="1:12" x14ac:dyDescent="0.3">
      <c r="A139">
        <v>216</v>
      </c>
      <c r="B139">
        <f t="shared" si="35"/>
        <v>0.90636204502542483</v>
      </c>
      <c r="C139">
        <f t="shared" si="31"/>
        <v>0.90636204502542483</v>
      </c>
      <c r="D139" t="s">
        <v>30</v>
      </c>
      <c r="E139" t="s">
        <v>19</v>
      </c>
      <c r="F139">
        <v>1</v>
      </c>
      <c r="G139">
        <f t="shared" si="36"/>
        <v>75</v>
      </c>
      <c r="I139">
        <v>2050</v>
      </c>
      <c r="J139">
        <f t="shared" si="37"/>
        <v>77.5</v>
      </c>
      <c r="K139" cm="1">
        <f t="array" ref="K139">STOWA2019_NDJF_T(A139*60,J139,I139,"WH","center")</f>
        <v>1.0687727763820769</v>
      </c>
      <c r="L139">
        <f t="shared" si="34"/>
        <v>2.8069577241248203</v>
      </c>
    </row>
    <row r="140" spans="1:12" x14ac:dyDescent="0.3">
      <c r="A140">
        <v>216</v>
      </c>
      <c r="B140">
        <f t="shared" si="35"/>
        <v>0.69586366193382743</v>
      </c>
      <c r="C140">
        <f t="shared" si="31"/>
        <v>0.69586366193382743</v>
      </c>
      <c r="D140" t="s">
        <v>30</v>
      </c>
      <c r="E140" t="s">
        <v>19</v>
      </c>
      <c r="F140">
        <v>1</v>
      </c>
      <c r="G140">
        <f t="shared" si="36"/>
        <v>80</v>
      </c>
      <c r="I140">
        <v>2050</v>
      </c>
      <c r="J140">
        <f t="shared" si="37"/>
        <v>82.5</v>
      </c>
      <c r="K140" cm="1">
        <f t="array" ref="K140">STOWA2019_NDJF_T(A140*60,J140,I140,"WH","center")</f>
        <v>1.4210641078145323</v>
      </c>
      <c r="L140">
        <f t="shared" si="34"/>
        <v>2.1110940621909928</v>
      </c>
    </row>
    <row r="141" spans="1:12" x14ac:dyDescent="0.3">
      <c r="A141">
        <v>216</v>
      </c>
      <c r="B141">
        <f t="shared" si="35"/>
        <v>0.53160711901850721</v>
      </c>
      <c r="C141">
        <f t="shared" si="31"/>
        <v>0.53160711901850721</v>
      </c>
      <c r="D141" t="s">
        <v>30</v>
      </c>
      <c r="E141" t="s">
        <v>19</v>
      </c>
      <c r="F141">
        <v>1</v>
      </c>
      <c r="G141">
        <f t="shared" si="36"/>
        <v>85</v>
      </c>
      <c r="I141">
        <v>2050</v>
      </c>
      <c r="J141">
        <f t="shared" si="37"/>
        <v>87.5</v>
      </c>
      <c r="K141" cm="1">
        <f t="array" ref="K141">STOWA2019_NDJF_T(A141*60,J141,I141,"WH","center")</f>
        <v>1.8993509335217018</v>
      </c>
      <c r="L141">
        <f t="shared" si="34"/>
        <v>1.5794869431724856</v>
      </c>
    </row>
    <row r="142" spans="1:12" x14ac:dyDescent="0.3">
      <c r="A142">
        <v>216</v>
      </c>
      <c r="B142">
        <f t="shared" si="35"/>
        <v>0.40410160150906083</v>
      </c>
      <c r="C142">
        <f t="shared" si="31"/>
        <v>0.40410160150906083</v>
      </c>
      <c r="D142" t="s">
        <v>30</v>
      </c>
      <c r="E142" t="s">
        <v>19</v>
      </c>
      <c r="F142">
        <v>1</v>
      </c>
      <c r="G142">
        <f t="shared" si="36"/>
        <v>90</v>
      </c>
      <c r="I142">
        <v>2050</v>
      </c>
      <c r="J142">
        <f t="shared" si="37"/>
        <v>92.5</v>
      </c>
      <c r="K142" cm="1">
        <f t="array" ref="K142">STOWA2019_NDJF_T(A142*60,J142,I142,"WH","center")</f>
        <v>2.5523544438238019</v>
      </c>
      <c r="L142">
        <f t="shared" si="34"/>
        <v>1.1753853416634248</v>
      </c>
    </row>
    <row r="143" spans="1:12" x14ac:dyDescent="0.3">
      <c r="A143">
        <v>216</v>
      </c>
      <c r="B143">
        <f t="shared" si="35"/>
        <v>0.30560530569823707</v>
      </c>
      <c r="C143">
        <f t="shared" si="31"/>
        <v>0.30560530569823707</v>
      </c>
      <c r="D143" t="s">
        <v>30</v>
      </c>
      <c r="E143" t="s">
        <v>19</v>
      </c>
      <c r="F143">
        <v>1</v>
      </c>
      <c r="G143">
        <f t="shared" si="36"/>
        <v>95</v>
      </c>
      <c r="I143">
        <v>2050</v>
      </c>
      <c r="J143">
        <f t="shared" si="37"/>
        <v>97.5</v>
      </c>
      <c r="K143" cm="1">
        <f t="array" ref="K143">STOWA2019_NDJF_T(A143*60,J143,I143,"WH","center")</f>
        <v>3.4491479178076614</v>
      </c>
      <c r="L143">
        <f t="shared" si="34"/>
        <v>0.86978003596518771</v>
      </c>
    </row>
    <row r="144" spans="1:12" x14ac:dyDescent="0.3">
      <c r="A144">
        <v>216</v>
      </c>
      <c r="B144">
        <f t="shared" si="35"/>
        <v>0.22988338339993897</v>
      </c>
      <c r="C144">
        <f t="shared" si="31"/>
        <v>0.22988338339993897</v>
      </c>
      <c r="D144" t="s">
        <v>30</v>
      </c>
      <c r="E144" t="s">
        <v>19</v>
      </c>
      <c r="F144">
        <v>1</v>
      </c>
      <c r="G144">
        <f t="shared" si="36"/>
        <v>100</v>
      </c>
      <c r="I144">
        <v>2050</v>
      </c>
      <c r="J144">
        <f t="shared" si="37"/>
        <v>102.5</v>
      </c>
      <c r="K144" cm="1">
        <f t="array" ref="K144">STOWA2019_NDJF_T(A144*60,J144,I144,"WH","center")</f>
        <v>4.6882570614699333</v>
      </c>
      <c r="L144">
        <f t="shared" si="34"/>
        <v>0.63989665256524875</v>
      </c>
    </row>
    <row r="145" spans="1:12" x14ac:dyDescent="0.3">
      <c r="A145">
        <v>216</v>
      </c>
      <c r="B145">
        <f t="shared" si="35"/>
        <v>0.17196872564634957</v>
      </c>
      <c r="C145">
        <f t="shared" si="31"/>
        <v>0.17196872564634957</v>
      </c>
      <c r="D145" t="s">
        <v>30</v>
      </c>
      <c r="E145" t="s">
        <v>19</v>
      </c>
      <c r="F145">
        <v>1</v>
      </c>
      <c r="G145">
        <f t="shared" si="36"/>
        <v>105</v>
      </c>
      <c r="I145">
        <v>2050</v>
      </c>
      <c r="J145">
        <f t="shared" si="37"/>
        <v>107.5</v>
      </c>
      <c r="K145" cm="1">
        <f t="array" ref="K145">STOWA2019_NDJF_T(A145*60,J145,I145,"WH","center")</f>
        <v>6.4112437566051863</v>
      </c>
      <c r="L145">
        <f t="shared" si="34"/>
        <v>0.46792792691889917</v>
      </c>
    </row>
    <row r="146" spans="1:12" x14ac:dyDescent="0.3">
      <c r="A146">
        <v>216</v>
      </c>
      <c r="B146">
        <f t="shared" si="35"/>
        <v>0.12789799850236505</v>
      </c>
      <c r="C146">
        <f t="shared" si="31"/>
        <v>0.12789799850236505</v>
      </c>
      <c r="D146" t="s">
        <v>30</v>
      </c>
      <c r="E146" t="s">
        <v>19</v>
      </c>
      <c r="F146">
        <v>1</v>
      </c>
      <c r="G146">
        <f t="shared" si="36"/>
        <v>110</v>
      </c>
      <c r="I146">
        <v>2050</v>
      </c>
      <c r="J146">
        <f t="shared" si="37"/>
        <v>112.5</v>
      </c>
      <c r="K146" cm="1">
        <f t="array" ref="K146">STOWA2019_NDJF_T(A146*60,J146,I146,"WH","center")</f>
        <v>8.8227527911161463</v>
      </c>
      <c r="L146">
        <f t="shared" si="34"/>
        <v>0.34002992841653412</v>
      </c>
    </row>
    <row r="147" spans="1:12" x14ac:dyDescent="0.3">
      <c r="A147">
        <v>216</v>
      </c>
      <c r="B147">
        <f t="shared" si="35"/>
        <v>9.4555405523502112E-2</v>
      </c>
      <c r="C147">
        <f t="shared" si="31"/>
        <v>9.4555405523502112E-2</v>
      </c>
      <c r="D147" t="s">
        <v>30</v>
      </c>
      <c r="E147" t="s">
        <v>19</v>
      </c>
      <c r="F147">
        <v>1</v>
      </c>
      <c r="G147">
        <f t="shared" si="36"/>
        <v>115</v>
      </c>
      <c r="I147">
        <v>2050</v>
      </c>
      <c r="J147">
        <f t="shared" si="37"/>
        <v>117.5</v>
      </c>
      <c r="K147" cm="1">
        <f t="array" ref="K147">STOWA2019_NDJF_T(A147*60,J147,I147,"WH","center")</f>
        <v>12.221227541838548</v>
      </c>
      <c r="L147">
        <f t="shared" si="34"/>
        <v>0.24547452289303201</v>
      </c>
    </row>
    <row r="148" spans="1:12" x14ac:dyDescent="0.3">
      <c r="A148">
        <v>216</v>
      </c>
      <c r="B148">
        <f t="shared" si="35"/>
        <v>6.9466237407845716E-2</v>
      </c>
      <c r="C148">
        <f t="shared" si="31"/>
        <v>6.9466237407845716E-2</v>
      </c>
      <c r="D148" t="s">
        <v>30</v>
      </c>
      <c r="E148" t="s">
        <v>19</v>
      </c>
      <c r="F148">
        <v>1</v>
      </c>
      <c r="G148">
        <f t="shared" si="36"/>
        <v>120</v>
      </c>
      <c r="I148">
        <v>2050</v>
      </c>
      <c r="J148">
        <f t="shared" si="37"/>
        <v>122.5</v>
      </c>
      <c r="K148" cm="1">
        <f t="array" ref="K148">STOWA2019_NDJF_T(A148*60,J148,I148,"WH","center")</f>
        <v>17.044652140836259</v>
      </c>
      <c r="L148">
        <f t="shared" si="34"/>
        <v>0.17600828548518629</v>
      </c>
    </row>
    <row r="149" spans="1:12" x14ac:dyDescent="0.3">
      <c r="A149">
        <v>216</v>
      </c>
      <c r="B149">
        <f t="shared" si="35"/>
        <v>5.0704347083928708E-2</v>
      </c>
      <c r="C149">
        <f t="shared" si="31"/>
        <v>5.0704347083928708E-2</v>
      </c>
      <c r="D149" t="s">
        <v>30</v>
      </c>
      <c r="E149" t="s">
        <v>19</v>
      </c>
      <c r="F149">
        <v>1</v>
      </c>
      <c r="G149">
        <f t="shared" si="36"/>
        <v>125</v>
      </c>
      <c r="I149">
        <v>2050</v>
      </c>
      <c r="J149">
        <f t="shared" si="37"/>
        <v>127.5</v>
      </c>
      <c r="K149" cm="1">
        <f t="array" ref="K149">STOWA2019_NDJF_T(A149*60,J149,I149,"WH","center")</f>
        <v>23.941785376235952</v>
      </c>
      <c r="L149">
        <f t="shared" si="34"/>
        <v>0.12530393840125759</v>
      </c>
    </row>
    <row r="150" spans="1:12" x14ac:dyDescent="0.3">
      <c r="A150">
        <v>216</v>
      </c>
      <c r="B150">
        <f t="shared" si="35"/>
        <v>3.6758510568964148E-2</v>
      </c>
      <c r="C150">
        <f t="shared" si="31"/>
        <v>3.6758510568964148E-2</v>
      </c>
      <c r="D150" t="s">
        <v>30</v>
      </c>
      <c r="E150" t="s">
        <v>19</v>
      </c>
      <c r="F150">
        <v>1</v>
      </c>
      <c r="G150">
        <f t="shared" si="36"/>
        <v>130</v>
      </c>
      <c r="I150">
        <v>2050</v>
      </c>
      <c r="J150">
        <f t="shared" si="37"/>
        <v>132.5</v>
      </c>
      <c r="K150" cm="1">
        <f t="array" ref="K150">STOWA2019_NDJF_T(A150*60,J150,I150,"WH","center")</f>
        <v>33.880913712247811</v>
      </c>
      <c r="L150">
        <f t="shared" si="34"/>
        <v>8.8545427832293438E-2</v>
      </c>
    </row>
    <row r="151" spans="1:12" x14ac:dyDescent="0.3">
      <c r="A151">
        <v>216</v>
      </c>
      <c r="B151">
        <f t="shared" si="35"/>
        <v>2.6458776530441569E-2</v>
      </c>
      <c r="C151">
        <f t="shared" si="31"/>
        <v>2.6458776530441569E-2</v>
      </c>
      <c r="D151" t="s">
        <v>30</v>
      </c>
      <c r="E151" t="s">
        <v>19</v>
      </c>
      <c r="F151">
        <v>1</v>
      </c>
      <c r="G151">
        <f t="shared" si="36"/>
        <v>135</v>
      </c>
      <c r="I151">
        <v>2050</v>
      </c>
      <c r="J151">
        <f t="shared" si="37"/>
        <v>137.5</v>
      </c>
      <c r="K151" cm="1">
        <f t="array" ref="K151">STOWA2019_NDJF_T(A151*60,J151,I151,"WH","center")</f>
        <v>48.319565270393618</v>
      </c>
      <c r="L151">
        <f t="shared" si="34"/>
        <v>6.208665130185187E-2</v>
      </c>
    </row>
    <row r="152" spans="1:12" x14ac:dyDescent="0.3">
      <c r="A152">
        <v>216</v>
      </c>
      <c r="B152">
        <f t="shared" si="35"/>
        <v>1.8904768028415994E-2</v>
      </c>
      <c r="C152">
        <f t="shared" si="31"/>
        <v>1.8904768028415994E-2</v>
      </c>
      <c r="D152" t="s">
        <v>30</v>
      </c>
      <c r="E152" t="s">
        <v>19</v>
      </c>
      <c r="F152">
        <v>1</v>
      </c>
      <c r="G152">
        <f t="shared" si="36"/>
        <v>140</v>
      </c>
      <c r="I152">
        <v>2050</v>
      </c>
      <c r="J152">
        <f t="shared" si="37"/>
        <v>142.5</v>
      </c>
      <c r="K152" cm="1">
        <f t="array" ref="K152">STOWA2019_NDJF_T(A152*60,J152,I152,"WH","center")</f>
        <v>69.473579487106448</v>
      </c>
      <c r="L152">
        <f t="shared" si="34"/>
        <v>4.3181883273435875E-2</v>
      </c>
    </row>
    <row r="153" spans="1:12" x14ac:dyDescent="0.3">
      <c r="A153">
        <v>216</v>
      </c>
      <c r="B153">
        <f t="shared" si="35"/>
        <v>1.3402643686307308E-2</v>
      </c>
      <c r="C153">
        <f t="shared" si="31"/>
        <v>1.3402643686307308E-2</v>
      </c>
      <c r="D153" t="s">
        <v>30</v>
      </c>
      <c r="E153" t="s">
        <v>19</v>
      </c>
      <c r="F153">
        <v>1</v>
      </c>
      <c r="G153">
        <f t="shared" si="36"/>
        <v>145</v>
      </c>
      <c r="I153">
        <v>2050</v>
      </c>
      <c r="J153">
        <f t="shared" si="37"/>
        <v>147.5</v>
      </c>
      <c r="K153" cm="1">
        <f t="array" ref="K153">STOWA2019_NDJF_T(A153*60,J153,I153,"WH","center")</f>
        <v>100.74132320345363</v>
      </c>
      <c r="L153">
        <f t="shared" si="34"/>
        <v>2.9779239587128567E-2</v>
      </c>
    </row>
    <row r="154" spans="1:12" x14ac:dyDescent="0.3">
      <c r="A154">
        <v>216</v>
      </c>
      <c r="B154">
        <f t="shared" si="35"/>
        <v>9.4248867631047013E-3</v>
      </c>
      <c r="C154">
        <f t="shared" si="31"/>
        <v>9.4248867631047013E-3</v>
      </c>
      <c r="D154" t="s">
        <v>30</v>
      </c>
      <c r="E154" t="s">
        <v>19</v>
      </c>
      <c r="F154">
        <v>1</v>
      </c>
      <c r="G154">
        <f t="shared" si="36"/>
        <v>150</v>
      </c>
      <c r="I154">
        <v>2050</v>
      </c>
      <c r="J154">
        <f t="shared" si="37"/>
        <v>152.5</v>
      </c>
      <c r="K154" cm="1">
        <f t="array" ref="K154">STOWA2019_NDJF_T(A154*60,J154,I154,"WH","center")</f>
        <v>147.38862129083051</v>
      </c>
      <c r="L154">
        <f t="shared" si="34"/>
        <v>2.0354352824023866E-2</v>
      </c>
    </row>
    <row r="155" spans="1:12" x14ac:dyDescent="0.3">
      <c r="A155">
        <v>216</v>
      </c>
      <c r="B155">
        <f t="shared" si="35"/>
        <v>6.5714649002438872E-3</v>
      </c>
      <c r="C155">
        <f t="shared" si="31"/>
        <v>6.5714649002438872E-3</v>
      </c>
      <c r="D155" t="s">
        <v>30</v>
      </c>
      <c r="E155" t="s">
        <v>19</v>
      </c>
      <c r="F155">
        <v>1</v>
      </c>
      <c r="G155">
        <f t="shared" si="36"/>
        <v>155</v>
      </c>
      <c r="I155">
        <v>2050</v>
      </c>
      <c r="J155">
        <f t="shared" si="37"/>
        <v>157.5</v>
      </c>
      <c r="K155" cm="1">
        <f t="array" ref="K155">STOWA2019_NDJF_T(A155*60,J155,I155,"WH","center")</f>
        <v>217.66120544476178</v>
      </c>
      <c r="L155">
        <f t="shared" si="34"/>
        <v>1.3782887923779978E-2</v>
      </c>
    </row>
    <row r="156" spans="1:12" x14ac:dyDescent="0.3">
      <c r="A156">
        <v>216</v>
      </c>
      <c r="B156" s="1">
        <f>L155</f>
        <v>1.3782887923779978E-2</v>
      </c>
      <c r="C156">
        <f t="shared" si="31"/>
        <v>1.3782887923779978E-2</v>
      </c>
      <c r="D156" t="s">
        <v>30</v>
      </c>
      <c r="E156" t="s">
        <v>19</v>
      </c>
      <c r="F156">
        <v>1</v>
      </c>
      <c r="G156">
        <f t="shared" si="36"/>
        <v>160</v>
      </c>
      <c r="I156">
        <v>2050</v>
      </c>
      <c r="J156">
        <f>AVERAGE(G156:G157)</f>
        <v>160</v>
      </c>
      <c r="K156" cm="1">
        <f t="array" ref="K156">STOWA2019_NDJF_T(A156*60,J156,I156,"WH","center")</f>
        <v>265.47566232435713</v>
      </c>
      <c r="L156">
        <f t="shared" si="34"/>
        <v>1.1300470912224757E-2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16</vt:i4>
      </vt:variant>
      <vt:variant>
        <vt:lpstr>Grafieken</vt:lpstr>
      </vt:variant>
      <vt:variant>
        <vt:i4>1</vt:i4>
      </vt:variant>
    </vt:vector>
  </HeadingPairs>
  <TitlesOfParts>
    <vt:vector size="17" baseType="lpstr">
      <vt:lpstr>2014 ZOMER</vt:lpstr>
      <vt:lpstr>2014 WINTER</vt:lpstr>
      <vt:lpstr>2030 ZOMER center</vt:lpstr>
      <vt:lpstr>2030 WINTER center</vt:lpstr>
      <vt:lpstr>2030 ZOMER upper</vt:lpstr>
      <vt:lpstr>2030 WINTER upper</vt:lpstr>
      <vt:lpstr>2030 ZOMER lower</vt:lpstr>
      <vt:lpstr>2030 WINTER lower</vt:lpstr>
      <vt:lpstr>2050GL ZOMER center</vt:lpstr>
      <vt:lpstr>2050GL WINTER center</vt:lpstr>
      <vt:lpstr>2050GH ZOMER center</vt:lpstr>
      <vt:lpstr>2050GH WINTER center</vt:lpstr>
      <vt:lpstr>2050WL ZOMER center</vt:lpstr>
      <vt:lpstr>2050WL WINTER center</vt:lpstr>
      <vt:lpstr>2050WH ZOMER center</vt:lpstr>
      <vt:lpstr>2050WH WINTER center</vt:lpstr>
      <vt:lpstr>24H.Chart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Siebe Bosch</dc:creator>
  <cp:lastModifiedBy>Siebe Bosch</cp:lastModifiedBy>
  <dcterms:created xsi:type="dcterms:W3CDTF">2021-03-19T10:21:21Z</dcterms:created>
  <dcterms:modified xsi:type="dcterms:W3CDTF">2024-10-08T07:38:48Z</dcterms:modified>
</cp:coreProperties>
</file>