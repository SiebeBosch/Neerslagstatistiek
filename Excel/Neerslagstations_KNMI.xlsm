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202300"/>
  <mc:AlternateContent xmlns:mc="http://schemas.openxmlformats.org/markup-compatibility/2006">
    <mc:Choice Requires="x15">
      <x15ac:absPath xmlns:x15ac="http://schemas.microsoft.com/office/spreadsheetml/2010/11/ac" url="C:\GITHUB\Neerslagstatistiek\Excel\"/>
    </mc:Choice>
  </mc:AlternateContent>
  <xr:revisionPtr revIDLastSave="0" documentId="13_ncr:1_{52AA1DA4-6008-474F-B9F9-7DC894A83CCA}" xr6:coauthVersionLast="47" xr6:coauthVersionMax="47" xr10:uidLastSave="{00000000-0000-0000-0000-000000000000}"/>
  <bookViews>
    <workbookView xWindow="-120" yWindow="-120" windowWidth="29040" windowHeight="15720" xr2:uid="{5A68B491-B6EC-4A55-A317-BF0E87817605}"/>
  </bookViews>
  <sheets>
    <sheet name="Uurstations" sheetId="1" r:id="rId1"/>
    <sheet name="Etmaalstations" sheetId="3" r:id="rId2"/>
    <sheet name="Coordinaten" sheetId="2" r:id="rId3"/>
  </sheets>
  <functionGroups builtInGroupCount="19"/>
  <definedNames>
    <definedName name="_xleta.VLOOKUP"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3" l="1"/>
  <c r="C3" i="3"/>
  <c r="D3" i="3"/>
  <c r="C4" i="3"/>
  <c r="D4" i="3"/>
  <c r="C5" i="3"/>
  <c r="D5" i="3"/>
  <c r="C6" i="3"/>
  <c r="D6" i="3"/>
  <c r="C7" i="3"/>
  <c r="D7" i="3"/>
  <c r="C8" i="3"/>
  <c r="D8" i="3"/>
  <c r="C9" i="3"/>
  <c r="D9" i="3"/>
  <c r="C10" i="3"/>
  <c r="D10" i="3"/>
  <c r="C11" i="3"/>
  <c r="D11" i="3"/>
  <c r="C12" i="3"/>
  <c r="D12" i="3"/>
  <c r="C13" i="3"/>
  <c r="D13" i="3"/>
  <c r="C14" i="3"/>
  <c r="D14" i="3"/>
  <c r="C15" i="3"/>
  <c r="D15" i="3"/>
  <c r="C16" i="3"/>
  <c r="D16" i="3"/>
  <c r="C17" i="3"/>
  <c r="D17" i="3"/>
  <c r="C18" i="3"/>
  <c r="D18" i="3"/>
  <c r="C19" i="3"/>
  <c r="D19" i="3"/>
  <c r="C20" i="3"/>
  <c r="D20" i="3"/>
  <c r="C21" i="3"/>
  <c r="D21" i="3"/>
  <c r="C22" i="3"/>
  <c r="D22" i="3"/>
  <c r="C23" i="3"/>
  <c r="D23" i="3"/>
  <c r="C24" i="3"/>
  <c r="D24" i="3"/>
  <c r="C25" i="3"/>
  <c r="D25" i="3"/>
  <c r="C26" i="3"/>
  <c r="D26" i="3"/>
  <c r="C27" i="3"/>
  <c r="D27" i="3"/>
  <c r="C28" i="3"/>
  <c r="D28" i="3"/>
  <c r="C29" i="3"/>
  <c r="D29" i="3"/>
  <c r="C30" i="3"/>
  <c r="D30" i="3"/>
  <c r="C31" i="3"/>
  <c r="D31" i="3"/>
  <c r="C32" i="3"/>
  <c r="D32" i="3"/>
  <c r="C33" i="3"/>
  <c r="D33" i="3"/>
  <c r="C34" i="3"/>
  <c r="D34" i="3"/>
  <c r="C35" i="3"/>
  <c r="D35" i="3"/>
  <c r="C36" i="3"/>
  <c r="D36" i="3"/>
  <c r="C37" i="3"/>
  <c r="D37" i="3"/>
  <c r="C38" i="3"/>
  <c r="D38" i="3"/>
  <c r="C39" i="3"/>
  <c r="D39" i="3"/>
  <c r="C40" i="3"/>
  <c r="D40" i="3"/>
  <c r="C41" i="3"/>
  <c r="D41" i="3"/>
  <c r="C42" i="3"/>
  <c r="D42" i="3"/>
  <c r="C43" i="3"/>
  <c r="D43" i="3"/>
  <c r="C44" i="3"/>
  <c r="D44" i="3"/>
  <c r="C45" i="3"/>
  <c r="D45" i="3"/>
  <c r="C46" i="3"/>
  <c r="D46" i="3"/>
  <c r="C47" i="3"/>
  <c r="D47" i="3"/>
  <c r="C48" i="3"/>
  <c r="D48" i="3"/>
  <c r="C49" i="3"/>
  <c r="D49" i="3"/>
  <c r="C50" i="3"/>
  <c r="D50" i="3"/>
  <c r="C51" i="3"/>
  <c r="D51" i="3"/>
  <c r="C52" i="3"/>
  <c r="D52" i="3"/>
  <c r="C53" i="3"/>
  <c r="D53" i="3"/>
  <c r="C54" i="3"/>
  <c r="D54" i="3"/>
  <c r="C55" i="3"/>
  <c r="D55" i="3"/>
  <c r="C56" i="3"/>
  <c r="D56" i="3"/>
  <c r="C57" i="3"/>
  <c r="D57" i="3"/>
  <c r="C58" i="3"/>
  <c r="D58" i="3"/>
  <c r="C59" i="3"/>
  <c r="D59" i="3"/>
  <c r="C60" i="3"/>
  <c r="D60" i="3"/>
  <c r="C61" i="3"/>
  <c r="D61" i="3"/>
  <c r="C62" i="3"/>
  <c r="D62" i="3"/>
  <c r="C63" i="3"/>
  <c r="D63" i="3"/>
  <c r="C64" i="3"/>
  <c r="D64" i="3"/>
  <c r="C65" i="3"/>
  <c r="D65" i="3"/>
  <c r="C66" i="3"/>
  <c r="D66" i="3"/>
  <c r="C67" i="3"/>
  <c r="D67" i="3"/>
  <c r="C68" i="3"/>
  <c r="D68" i="3"/>
  <c r="C69" i="3"/>
  <c r="D69" i="3"/>
  <c r="C70" i="3"/>
  <c r="D70" i="3"/>
  <c r="C71" i="3"/>
  <c r="D71" i="3"/>
  <c r="C72" i="3"/>
  <c r="D72" i="3"/>
  <c r="C73" i="3"/>
  <c r="D73" i="3"/>
  <c r="C74" i="3"/>
  <c r="D74" i="3"/>
  <c r="C75" i="3"/>
  <c r="D75" i="3"/>
  <c r="C76" i="3"/>
  <c r="D76" i="3"/>
  <c r="C77" i="3"/>
  <c r="D77" i="3"/>
  <c r="C78" i="3"/>
  <c r="D78" i="3"/>
  <c r="C79" i="3"/>
  <c r="D79" i="3"/>
  <c r="C80" i="3"/>
  <c r="D80" i="3"/>
  <c r="C81" i="3"/>
  <c r="D81" i="3"/>
  <c r="C82" i="3"/>
  <c r="D82" i="3"/>
  <c r="C83" i="3"/>
  <c r="D83" i="3"/>
  <c r="C84" i="3"/>
  <c r="D84" i="3"/>
  <c r="C85" i="3"/>
  <c r="D85" i="3"/>
  <c r="C86" i="3"/>
  <c r="D86" i="3"/>
  <c r="C87" i="3"/>
  <c r="D87" i="3"/>
  <c r="C88" i="3"/>
  <c r="D88" i="3"/>
  <c r="C89" i="3"/>
  <c r="D89" i="3"/>
  <c r="C90" i="3"/>
  <c r="D90" i="3"/>
  <c r="C91" i="3"/>
  <c r="D91" i="3"/>
  <c r="C92" i="3"/>
  <c r="D92" i="3"/>
  <c r="C93" i="3"/>
  <c r="D93" i="3"/>
  <c r="C94" i="3"/>
  <c r="D94" i="3"/>
  <c r="C95" i="3"/>
  <c r="D95" i="3"/>
  <c r="C96" i="3"/>
  <c r="D96" i="3"/>
  <c r="C97" i="3"/>
  <c r="D97" i="3"/>
  <c r="C98" i="3"/>
  <c r="D98" i="3"/>
  <c r="C99" i="3"/>
  <c r="D99" i="3"/>
  <c r="C100" i="3"/>
  <c r="D100" i="3"/>
  <c r="C101" i="3"/>
  <c r="D101" i="3"/>
  <c r="C102" i="3"/>
  <c r="D102" i="3"/>
  <c r="C103" i="3"/>
  <c r="D103" i="3"/>
  <c r="C104" i="3"/>
  <c r="D104" i="3"/>
  <c r="C105" i="3"/>
  <c r="D105" i="3"/>
  <c r="C106" i="3"/>
  <c r="D106" i="3"/>
  <c r="C107" i="3"/>
  <c r="D107" i="3"/>
  <c r="C108" i="3"/>
  <c r="D108" i="3"/>
  <c r="C109" i="3"/>
  <c r="D109" i="3"/>
  <c r="C110" i="3"/>
  <c r="D110" i="3"/>
  <c r="C111" i="3"/>
  <c r="D111" i="3"/>
  <c r="C112" i="3"/>
  <c r="D112" i="3"/>
  <c r="C113" i="3"/>
  <c r="D113" i="3"/>
  <c r="C114" i="3"/>
  <c r="D114" i="3"/>
  <c r="C115" i="3"/>
  <c r="D115" i="3"/>
  <c r="C116" i="3"/>
  <c r="D116" i="3"/>
  <c r="C117" i="3"/>
  <c r="D117" i="3"/>
  <c r="C118" i="3"/>
  <c r="D118" i="3"/>
  <c r="C119" i="3"/>
  <c r="D119" i="3"/>
  <c r="C120" i="3"/>
  <c r="D120" i="3"/>
  <c r="C121" i="3"/>
  <c r="D121" i="3"/>
  <c r="C122" i="3"/>
  <c r="D122" i="3"/>
  <c r="C123" i="3"/>
  <c r="D123" i="3"/>
  <c r="C124" i="3"/>
  <c r="D124" i="3"/>
  <c r="C125" i="3"/>
  <c r="D125" i="3"/>
  <c r="C126" i="3"/>
  <c r="D126" i="3"/>
  <c r="C127" i="3"/>
  <c r="D127" i="3"/>
  <c r="C128" i="3"/>
  <c r="D128" i="3"/>
  <c r="C129" i="3"/>
  <c r="D129" i="3"/>
  <c r="C130" i="3"/>
  <c r="D130" i="3"/>
  <c r="C131" i="3"/>
  <c r="D131" i="3"/>
  <c r="C132" i="3"/>
  <c r="D132" i="3"/>
  <c r="C133" i="3"/>
  <c r="D133" i="3"/>
  <c r="C134" i="3"/>
  <c r="D134" i="3"/>
  <c r="C135" i="3"/>
  <c r="D135" i="3"/>
  <c r="C136" i="3"/>
  <c r="D136" i="3"/>
  <c r="C137" i="3"/>
  <c r="D137" i="3"/>
  <c r="C138" i="3"/>
  <c r="D138" i="3"/>
  <c r="C139" i="3"/>
  <c r="D139" i="3"/>
  <c r="C140" i="3"/>
  <c r="D140" i="3"/>
  <c r="C141" i="3"/>
  <c r="D141" i="3"/>
  <c r="C142" i="3"/>
  <c r="D142" i="3"/>
  <c r="C143" i="3"/>
  <c r="D143" i="3"/>
  <c r="C144" i="3"/>
  <c r="D144" i="3"/>
  <c r="C145" i="3"/>
  <c r="D145" i="3"/>
  <c r="C146" i="3"/>
  <c r="D146" i="3"/>
  <c r="C147" i="3"/>
  <c r="D147" i="3"/>
  <c r="C148" i="3"/>
  <c r="D148" i="3"/>
  <c r="C149" i="3"/>
  <c r="D149" i="3"/>
  <c r="C150" i="3"/>
  <c r="D150" i="3"/>
  <c r="C151" i="3"/>
  <c r="D151" i="3"/>
  <c r="C152" i="3"/>
  <c r="D152" i="3"/>
  <c r="C153" i="3"/>
  <c r="D153" i="3"/>
  <c r="C154" i="3"/>
  <c r="D154" i="3"/>
  <c r="C155" i="3"/>
  <c r="D155" i="3"/>
  <c r="C156" i="3"/>
  <c r="D156" i="3"/>
  <c r="C157" i="3"/>
  <c r="D157" i="3"/>
  <c r="C158" i="3"/>
  <c r="D158" i="3"/>
  <c r="C159" i="3"/>
  <c r="D159" i="3"/>
  <c r="C160" i="3"/>
  <c r="D160" i="3"/>
  <c r="C161" i="3"/>
  <c r="D161" i="3"/>
  <c r="C162" i="3"/>
  <c r="D162" i="3"/>
  <c r="C163" i="3"/>
  <c r="D163" i="3"/>
  <c r="C164" i="3"/>
  <c r="D164" i="3"/>
  <c r="C165" i="3"/>
  <c r="D165" i="3"/>
  <c r="C166" i="3"/>
  <c r="D166" i="3"/>
  <c r="C167" i="3"/>
  <c r="D167" i="3"/>
  <c r="C168" i="3"/>
  <c r="D168" i="3"/>
  <c r="C169" i="3"/>
  <c r="D169" i="3"/>
  <c r="C170" i="3"/>
  <c r="D170" i="3"/>
  <c r="C171" i="3"/>
  <c r="D171" i="3"/>
  <c r="C172" i="3"/>
  <c r="D172" i="3"/>
  <c r="C173" i="3"/>
  <c r="D173" i="3"/>
  <c r="C174" i="3"/>
  <c r="D174" i="3"/>
  <c r="C175" i="3"/>
  <c r="D175" i="3"/>
  <c r="C176" i="3"/>
  <c r="D176" i="3"/>
  <c r="C177" i="3"/>
  <c r="D177" i="3"/>
  <c r="C178" i="3"/>
  <c r="D178" i="3"/>
  <c r="C179" i="3"/>
  <c r="D179" i="3"/>
  <c r="C180" i="3"/>
  <c r="D180" i="3"/>
  <c r="C181" i="3"/>
  <c r="D181" i="3"/>
  <c r="C182" i="3"/>
  <c r="D182" i="3"/>
  <c r="C183" i="3"/>
  <c r="D183" i="3"/>
  <c r="C184" i="3"/>
  <c r="D184" i="3"/>
  <c r="C185" i="3"/>
  <c r="D185" i="3"/>
  <c r="C186" i="3"/>
  <c r="D186" i="3"/>
  <c r="C187" i="3"/>
  <c r="D187" i="3"/>
  <c r="C188" i="3"/>
  <c r="D188" i="3"/>
  <c r="C189" i="3"/>
  <c r="D189" i="3"/>
  <c r="C190" i="3"/>
  <c r="D190" i="3"/>
  <c r="C191" i="3"/>
  <c r="D191" i="3"/>
  <c r="C192" i="3"/>
  <c r="D192" i="3"/>
  <c r="C193" i="3"/>
  <c r="D193" i="3"/>
  <c r="C194" i="3"/>
  <c r="D194" i="3"/>
  <c r="C195" i="3"/>
  <c r="D195" i="3"/>
  <c r="C196" i="3"/>
  <c r="D196" i="3"/>
  <c r="C197" i="3"/>
  <c r="D197" i="3"/>
  <c r="C198" i="3"/>
  <c r="D198" i="3"/>
  <c r="C199" i="3"/>
  <c r="D199" i="3"/>
  <c r="C200" i="3"/>
  <c r="D200" i="3"/>
  <c r="C201" i="3"/>
  <c r="D201" i="3"/>
  <c r="C202" i="3"/>
  <c r="D202" i="3"/>
  <c r="C203" i="3"/>
  <c r="D203" i="3"/>
  <c r="C204" i="3"/>
  <c r="D204" i="3"/>
  <c r="C205" i="3"/>
  <c r="D205" i="3"/>
  <c r="C206" i="3"/>
  <c r="D206" i="3"/>
  <c r="C207" i="3"/>
  <c r="D207" i="3"/>
  <c r="C208" i="3"/>
  <c r="D208" i="3"/>
  <c r="C209" i="3"/>
  <c r="D209" i="3"/>
  <c r="C210" i="3"/>
  <c r="D210" i="3"/>
  <c r="C211" i="3"/>
  <c r="D211" i="3"/>
  <c r="C212" i="3"/>
  <c r="D212" i="3"/>
  <c r="C213" i="3"/>
  <c r="D213" i="3"/>
  <c r="C214" i="3"/>
  <c r="D214" i="3"/>
  <c r="C215" i="3"/>
  <c r="D215" i="3"/>
  <c r="C216" i="3"/>
  <c r="D216" i="3"/>
  <c r="C217" i="3"/>
  <c r="D217" i="3"/>
  <c r="C218" i="3"/>
  <c r="D218" i="3"/>
  <c r="C219" i="3"/>
  <c r="D219" i="3"/>
  <c r="C220" i="3"/>
  <c r="D220" i="3"/>
  <c r="C221" i="3"/>
  <c r="D221" i="3"/>
  <c r="C222" i="3"/>
  <c r="D222" i="3"/>
  <c r="C223" i="3"/>
  <c r="D223" i="3"/>
  <c r="C224" i="3"/>
  <c r="D224" i="3"/>
  <c r="C225" i="3"/>
  <c r="D225" i="3"/>
  <c r="C226" i="3"/>
  <c r="D226" i="3"/>
  <c r="C227" i="3"/>
  <c r="D227" i="3"/>
  <c r="C228" i="3"/>
  <c r="D228" i="3"/>
  <c r="C229" i="3"/>
  <c r="D229" i="3"/>
  <c r="C230" i="3"/>
  <c r="D230" i="3"/>
  <c r="C231" i="3"/>
  <c r="D231" i="3"/>
  <c r="C232" i="3"/>
  <c r="D232" i="3"/>
  <c r="C233" i="3"/>
  <c r="D233" i="3"/>
  <c r="C234" i="3"/>
  <c r="D234" i="3"/>
  <c r="C235" i="3"/>
  <c r="D235" i="3"/>
  <c r="C236" i="3"/>
  <c r="D236" i="3"/>
  <c r="C237" i="3"/>
  <c r="D237" i="3"/>
  <c r="C238" i="3"/>
  <c r="D238" i="3"/>
  <c r="C239" i="3"/>
  <c r="D239" i="3"/>
  <c r="C240" i="3"/>
  <c r="D240" i="3"/>
  <c r="C241" i="3"/>
  <c r="D241" i="3"/>
  <c r="C242" i="3"/>
  <c r="D242" i="3"/>
  <c r="C243" i="3"/>
  <c r="D243" i="3"/>
  <c r="C244" i="3"/>
  <c r="D244" i="3"/>
  <c r="C245" i="3"/>
  <c r="D245" i="3"/>
  <c r="C246" i="3"/>
  <c r="D246" i="3"/>
  <c r="C247" i="3"/>
  <c r="D247" i="3"/>
  <c r="C248" i="3"/>
  <c r="D248" i="3"/>
  <c r="C249" i="3"/>
  <c r="D249" i="3"/>
  <c r="C250" i="3"/>
  <c r="D250" i="3"/>
  <c r="C251" i="3"/>
  <c r="D251" i="3"/>
  <c r="C252" i="3"/>
  <c r="D252" i="3"/>
  <c r="C253" i="3"/>
  <c r="D253" i="3"/>
  <c r="C254" i="3"/>
  <c r="D254" i="3"/>
  <c r="C255" i="3"/>
  <c r="D255" i="3"/>
  <c r="C256" i="3"/>
  <c r="D256" i="3"/>
  <c r="C257" i="3"/>
  <c r="D257" i="3"/>
  <c r="C258" i="3"/>
  <c r="D258" i="3"/>
  <c r="C259" i="3"/>
  <c r="D259" i="3"/>
  <c r="C260" i="3"/>
  <c r="D260" i="3"/>
  <c r="C261" i="3"/>
  <c r="D261" i="3"/>
  <c r="C262" i="3"/>
  <c r="D262" i="3"/>
  <c r="C263" i="3"/>
  <c r="D263" i="3"/>
  <c r="C264" i="3"/>
  <c r="D264" i="3"/>
  <c r="C265" i="3"/>
  <c r="D265" i="3"/>
  <c r="C266" i="3"/>
  <c r="D266" i="3"/>
  <c r="C267" i="3"/>
  <c r="D267" i="3"/>
  <c r="C268" i="3"/>
  <c r="D268" i="3"/>
  <c r="C269" i="3"/>
  <c r="D269" i="3"/>
  <c r="C270" i="3"/>
  <c r="D270" i="3"/>
  <c r="C271" i="3"/>
  <c r="D271" i="3"/>
  <c r="C272" i="3"/>
  <c r="D272" i="3"/>
  <c r="C273" i="3"/>
  <c r="D273" i="3"/>
  <c r="C274" i="3"/>
  <c r="D274" i="3"/>
  <c r="C275" i="3"/>
  <c r="D275" i="3"/>
  <c r="C276" i="3"/>
  <c r="D276" i="3"/>
  <c r="C277" i="3"/>
  <c r="D277" i="3"/>
  <c r="C278" i="3"/>
  <c r="D278" i="3"/>
  <c r="C279" i="3"/>
  <c r="D279" i="3"/>
  <c r="C280" i="3"/>
  <c r="D280" i="3"/>
  <c r="C281" i="3"/>
  <c r="D281" i="3"/>
  <c r="C282" i="3"/>
  <c r="D282" i="3"/>
  <c r="C283" i="3"/>
  <c r="D283" i="3"/>
  <c r="C284" i="3"/>
  <c r="D284" i="3"/>
  <c r="C285" i="3"/>
  <c r="D285" i="3"/>
  <c r="C286" i="3"/>
  <c r="D286" i="3"/>
  <c r="C287" i="3"/>
  <c r="D287" i="3"/>
  <c r="C288" i="3"/>
  <c r="D288" i="3"/>
  <c r="C289" i="3"/>
  <c r="D289" i="3"/>
  <c r="C290" i="3"/>
  <c r="D290" i="3"/>
  <c r="C291" i="3"/>
  <c r="D291" i="3"/>
  <c r="C292" i="3"/>
  <c r="D292" i="3"/>
  <c r="C293" i="3"/>
  <c r="D293" i="3"/>
  <c r="C294" i="3"/>
  <c r="D294" i="3"/>
  <c r="C295" i="3"/>
  <c r="D295" i="3"/>
  <c r="C296" i="3"/>
  <c r="D296" i="3"/>
  <c r="C297" i="3"/>
  <c r="D297" i="3"/>
  <c r="C298" i="3"/>
  <c r="D298" i="3"/>
  <c r="C299" i="3"/>
  <c r="D299" i="3"/>
  <c r="C300" i="3"/>
  <c r="D300" i="3"/>
  <c r="C301" i="3"/>
  <c r="D301" i="3"/>
  <c r="C302" i="3"/>
  <c r="D302" i="3"/>
  <c r="C303" i="3"/>
  <c r="D303" i="3"/>
  <c r="C304" i="3"/>
  <c r="D304" i="3"/>
  <c r="C305" i="3"/>
  <c r="D305" i="3"/>
  <c r="C306" i="3"/>
  <c r="D306" i="3"/>
  <c r="C307" i="3"/>
  <c r="D307" i="3"/>
  <c r="C308" i="3"/>
  <c r="D308" i="3"/>
  <c r="C309" i="3"/>
  <c r="D309" i="3"/>
  <c r="C310" i="3"/>
  <c r="D310" i="3"/>
  <c r="C311" i="3"/>
  <c r="D311" i="3"/>
  <c r="C312" i="3"/>
  <c r="D312" i="3"/>
  <c r="C313" i="3"/>
  <c r="D313" i="3"/>
  <c r="C314" i="3"/>
  <c r="D314" i="3"/>
  <c r="C315" i="3"/>
  <c r="D315" i="3"/>
  <c r="C316" i="3"/>
  <c r="D316" i="3"/>
  <c r="C317" i="3"/>
  <c r="D317" i="3"/>
  <c r="C318" i="3"/>
  <c r="D318" i="3"/>
  <c r="C319" i="3"/>
  <c r="D319" i="3"/>
  <c r="C320" i="3"/>
  <c r="D320" i="3"/>
  <c r="C321" i="3"/>
  <c r="D321" i="3"/>
  <c r="C322" i="3"/>
  <c r="D322" i="3"/>
  <c r="C323" i="3"/>
  <c r="D323" i="3"/>
  <c r="C324" i="3"/>
  <c r="D324" i="3"/>
  <c r="C325" i="3"/>
  <c r="D325" i="3"/>
  <c r="C326" i="3"/>
  <c r="D326" i="3"/>
  <c r="D2" i="3"/>
  <c r="C2" i="3"/>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D2" i="1"/>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F33" i="1" a="1"/>
  <c r="L1" i="3" a="1"/>
  <c r="L1" i="1" a="1"/>
  <c r="F34" i="1" a="1"/>
  <c r="F12" i="1" a="1"/>
  <c r="F32" i="1" a="1"/>
  <c r="F16" i="1" a="1"/>
  <c r="F256" i="3" a="1"/>
  <c r="F156" i="3" a="1"/>
  <c r="F56" i="3" a="1"/>
  <c r="E274" i="3" a="1"/>
  <c r="E174" i="3" a="1"/>
  <c r="E74" i="3" a="1"/>
  <c r="F293" i="3" a="1"/>
  <c r="F188" i="3" a="1"/>
  <c r="F203" i="3" a="1"/>
  <c r="E131" i="3" a="1"/>
  <c r="F190" i="3" a="1"/>
  <c r="F239" i="3" a="1"/>
  <c r="F144" i="3" a="1"/>
  <c r="E297" i="3" a="1"/>
  <c r="F304" i="3" a="1"/>
  <c r="E256" i="3" a="1"/>
  <c r="E172" i="3" a="1"/>
  <c r="F224" i="3" a="1"/>
  <c r="E168" i="3" a="1"/>
  <c r="F199" i="3" a="1"/>
  <c r="E116" i="3" a="1"/>
  <c r="E321" i="3" a="1"/>
  <c r="F284" i="3" a="1"/>
  <c r="E263" i="3" a="1"/>
  <c r="F242" i="3" a="1"/>
  <c r="E166" i="3" a="1"/>
  <c r="E241" i="3" a="1"/>
  <c r="F267" i="3" a="1"/>
  <c r="E25" i="3" a="1"/>
  <c r="F230" i="3" a="1"/>
  <c r="E11" i="3" a="1"/>
  <c r="F217" i="3" a="1"/>
  <c r="E147" i="3" a="1"/>
  <c r="F315" i="3" a="1"/>
  <c r="E88" i="3" a="1"/>
  <c r="E245" i="3" a="1"/>
  <c r="E106" i="3" a="1"/>
  <c r="F60" i="3" a="1"/>
  <c r="E86" i="3" a="1"/>
  <c r="F43" i="3" a="1"/>
  <c r="E95" i="3" a="1"/>
  <c r="F47" i="3" a="1"/>
  <c r="E185" i="3" a="1"/>
  <c r="E120" i="3" a="1"/>
  <c r="F4" i="1" a="1"/>
  <c r="F263" i="3" a="1"/>
  <c r="E275" i="3" a="1"/>
  <c r="F23" i="3" a="1"/>
  <c r="F149" i="3" a="1"/>
  <c r="E278" i="3" a="1"/>
  <c r="F221" i="3" a="1"/>
  <c r="E239" i="3" a="1"/>
  <c r="E39" i="3" a="1"/>
  <c r="F153" i="3" a="1"/>
  <c r="F13" i="3" a="1"/>
  <c r="E246" i="3" a="1"/>
  <c r="E206" i="3" a="1"/>
  <c r="F89" i="3" a="1"/>
  <c r="F265" i="3" a="1"/>
  <c r="F29" i="1" a="1"/>
  <c r="F7" i="1" a="1"/>
  <c r="F27" i="1" a="1"/>
  <c r="F6" i="1" a="1"/>
  <c r="F251" i="3" a="1"/>
  <c r="F151" i="3" a="1"/>
  <c r="F51" i="3" a="1"/>
  <c r="E269" i="3" a="1"/>
  <c r="E169" i="3" a="1"/>
  <c r="E69" i="3" a="1"/>
  <c r="F288" i="3" a="1"/>
  <c r="F183" i="3" a="1"/>
  <c r="F148" i="3" a="1"/>
  <c r="E111" i="3" a="1"/>
  <c r="F110" i="3" a="1"/>
  <c r="E183" i="3" a="1"/>
  <c r="F137" i="3" a="1"/>
  <c r="E247" i="3" a="1"/>
  <c r="E290" i="3" a="1"/>
  <c r="F245" i="3" a="1"/>
  <c r="E127" i="3" a="1"/>
  <c r="F169" i="3" a="1"/>
  <c r="E115" i="3" a="1"/>
  <c r="F180" i="3" a="1"/>
  <c r="F55" i="3" a="1"/>
  <c r="E271" i="3" a="1"/>
  <c r="F255" i="3" a="1"/>
  <c r="E215" i="3" a="1"/>
  <c r="E186" i="3" a="1"/>
  <c r="E128" i="3" a="1"/>
  <c r="F200" i="3" a="1"/>
  <c r="E158" i="3" a="1"/>
  <c r="E173" i="3" a="1"/>
  <c r="F155" i="3" a="1"/>
  <c r="F30" i="3" a="1"/>
  <c r="F105" i="3" a="1"/>
  <c r="F112" i="3" a="1"/>
  <c r="F187" i="3" a="1"/>
  <c r="F26" i="3" a="1"/>
  <c r="E210" i="3" a="1"/>
  <c r="F5" i="3" a="1"/>
  <c r="F25" i="1" a="1"/>
  <c r="E26" i="1" a="1"/>
  <c r="F23" i="1" a="1"/>
  <c r="E11" i="1" a="1"/>
  <c r="F246" i="3" a="1"/>
  <c r="F146" i="3" a="1"/>
  <c r="F46" i="3" a="1"/>
  <c r="E264" i="3" a="1"/>
  <c r="E164" i="3" a="1"/>
  <c r="E64" i="3" a="1"/>
  <c r="F283" i="3" a="1"/>
  <c r="F178" i="3" a="1"/>
  <c r="F118" i="3" a="1"/>
  <c r="E91" i="3" a="1"/>
  <c r="F70" i="3" a="1"/>
  <c r="E163" i="3" a="1"/>
  <c r="F124" i="3" a="1"/>
  <c r="F204" i="3" a="1"/>
  <c r="E240" i="3" a="1"/>
  <c r="E237" i="3" a="1"/>
  <c r="E92" i="3" a="1"/>
  <c r="F134" i="3" a="1"/>
  <c r="F145" i="3" a="1"/>
  <c r="F205" i="3" a="1"/>
  <c r="F80" i="3" a="1"/>
  <c r="E101" i="3" a="1"/>
  <c r="E85" i="3" a="1"/>
  <c r="F326" i="3" a="1"/>
  <c r="F25" i="3" a="1"/>
  <c r="E192" i="3" a="1"/>
  <c r="F20" i="1" a="1"/>
  <c r="F30" i="1" a="1"/>
  <c r="F18" i="1" a="1"/>
  <c r="E6" i="1" a="1"/>
  <c r="F241" i="3" a="1"/>
  <c r="F141" i="3" a="1"/>
  <c r="F41" i="3" a="1"/>
  <c r="E259" i="3" a="1"/>
  <c r="E159" i="3" a="1"/>
  <c r="E59" i="3" a="1"/>
  <c r="F278" i="3" a="1"/>
  <c r="F173" i="3" a="1"/>
  <c r="F103" i="3" a="1"/>
  <c r="E71" i="3" a="1"/>
  <c r="E58" i="3" a="1"/>
  <c r="E123" i="3" a="1"/>
  <c r="F117" i="3" a="1"/>
  <c r="E177" i="3" a="1"/>
  <c r="F310" i="3" a="1"/>
  <c r="E208" i="3" a="1"/>
  <c r="F65" i="3" a="1"/>
  <c r="F99" i="3" a="1"/>
  <c r="E232" i="3" a="1"/>
  <c r="F135" i="3" a="1"/>
  <c r="E313" i="3" a="1"/>
  <c r="E178" i="3" a="1"/>
  <c r="E216" i="3" a="1"/>
  <c r="E55" i="3" a="1"/>
  <c r="E300" i="3" a="1"/>
  <c r="E50" i="3" a="1"/>
  <c r="F285" i="3" a="1"/>
  <c r="F11" i="3" a="1"/>
  <c r="E220" i="3" a="1"/>
  <c r="E53" i="3" a="1"/>
  <c r="E287" i="3" a="1"/>
  <c r="F18" i="3" a="1"/>
  <c r="E193" i="3" a="1"/>
  <c r="F131" i="3" a="1"/>
  <c r="E51" i="3" a="1"/>
  <c r="E7" i="3" a="1"/>
  <c r="E98" i="3" a="1"/>
  <c r="E200" i="3" a="1"/>
  <c r="F75" i="3" a="1"/>
  <c r="F226" i="3" a="1"/>
  <c r="E244" i="3" a="1"/>
  <c r="E44" i="3" a="1"/>
  <c r="F158" i="3" a="1"/>
  <c r="E326" i="3" a="1"/>
  <c r="F52" i="3" a="1"/>
  <c r="F32" i="3" a="1"/>
  <c r="E170" i="3" a="1"/>
  <c r="E301" i="3" a="1"/>
  <c r="F15" i="3" a="1"/>
  <c r="F49" i="3" a="1"/>
  <c r="F321" i="3" a="1"/>
  <c r="E139" i="3" a="1"/>
  <c r="F258" i="3" a="1"/>
  <c r="E46" i="3" a="1"/>
  <c r="F77" i="3" a="1"/>
  <c r="F154" i="3" a="1"/>
  <c r="E82" i="3" a="1"/>
  <c r="E4" i="3" a="1"/>
  <c r="F15" i="1" a="1"/>
  <c r="E30" i="1" a="1"/>
  <c r="F13" i="1" a="1"/>
  <c r="F2" i="1" a="1"/>
  <c r="F236" i="3" a="1"/>
  <c r="F136" i="3" a="1"/>
  <c r="F36" i="3" a="1"/>
  <c r="E254" i="3" a="1"/>
  <c r="E154" i="3" a="1"/>
  <c r="E54" i="3" a="1"/>
  <c r="F273" i="3" a="1"/>
  <c r="F168" i="3" a="1"/>
  <c r="F88" i="3" a="1"/>
  <c r="E65" i="3" a="1"/>
  <c r="F45" i="3" a="1"/>
  <c r="E103" i="3" a="1"/>
  <c r="F104" i="3" a="1"/>
  <c r="E117" i="3" a="1"/>
  <c r="F210" i="3" a="1"/>
  <c r="F189" i="3" a="1"/>
  <c r="F40" i="3" a="1"/>
  <c r="F72" i="3" a="1"/>
  <c r="E141" i="3" a="1"/>
  <c r="F100" i="3" a="1"/>
  <c r="E281" i="3" a="1"/>
  <c r="E125" i="3" a="1"/>
  <c r="F207" i="3" a="1"/>
  <c r="F312" i="3" a="1"/>
  <c r="F270" i="3" a="1"/>
  <c r="E317" i="3" a="1"/>
  <c r="F139" i="3" a="1"/>
  <c r="E228" i="3" a="1"/>
  <c r="E156" i="3" a="1"/>
  <c r="F17" i="3" a="1"/>
  <c r="E201" i="3" a="1"/>
  <c r="F31" i="3" a="1"/>
  <c r="E272" i="3" a="1"/>
  <c r="E323" i="3" a="1"/>
  <c r="F121" i="3" a="1"/>
  <c r="F10" i="1" a="1"/>
  <c r="E34" i="1" a="1"/>
  <c r="F8" i="1" a="1"/>
  <c r="E2" i="1" a="1"/>
  <c r="F231" i="3" a="1"/>
  <c r="E249" i="3" a="1"/>
  <c r="E149" i="3" a="1"/>
  <c r="E49" i="3" a="1"/>
  <c r="F268" i="3" a="1"/>
  <c r="F163" i="3" a="1"/>
  <c r="F78" i="3" a="1"/>
  <c r="F58" i="3" a="1"/>
  <c r="E33" i="3" a="1"/>
  <c r="F97" i="3" a="1"/>
  <c r="F289" i="3" a="1"/>
  <c r="E190" i="3" a="1"/>
  <c r="F172" i="3" a="1"/>
  <c r="E62" i="3" a="1"/>
  <c r="F48" i="3" a="1"/>
  <c r="E162" i="3" a="1"/>
  <c r="E203" i="3" a="1"/>
  <c r="F165" i="3" a="1"/>
  <c r="F250" i="3" a="1"/>
  <c r="E29" i="1" a="1"/>
  <c r="E144" i="3" a="1"/>
  <c r="F20" i="3" a="1"/>
  <c r="F162" i="3" a="1"/>
  <c r="E37" i="3" a="1"/>
  <c r="F29" i="3" a="1"/>
  <c r="F234" i="3" a="1"/>
  <c r="E78" i="3" a="1"/>
  <c r="E32" i="1" a="1"/>
  <c r="F21" i="3" a="1"/>
  <c r="E9" i="3" a="1"/>
  <c r="E143" i="3" a="1"/>
  <c r="F309" i="3" a="1"/>
  <c r="E316" i="3" a="1"/>
  <c r="F5" i="1" a="1"/>
  <c r="F126" i="3" a="1"/>
  <c r="F84" i="3" a="1"/>
  <c r="F142" i="3" a="1"/>
  <c r="F67" i="3" a="1"/>
  <c r="E60" i="3" a="1"/>
  <c r="E25" i="1" a="1"/>
  <c r="F319" i="3" a="1"/>
  <c r="F264" i="3" a="1"/>
  <c r="E248" i="3" a="1"/>
  <c r="F24" i="1" a="1"/>
  <c r="F19" i="1" a="1"/>
  <c r="E20" i="1" a="1"/>
  <c r="E27" i="1" a="1"/>
  <c r="F316" i="3" a="1"/>
  <c r="F216" i="3" a="1"/>
  <c r="F116" i="3" a="1"/>
  <c r="F16" i="3" a="1"/>
  <c r="E234" i="3" a="1"/>
  <c r="E134" i="3" a="1"/>
  <c r="E34" i="3" a="1"/>
  <c r="F253" i="3" a="1"/>
  <c r="F143" i="3" a="1"/>
  <c r="E305" i="3" a="1"/>
  <c r="E40" i="3" a="1"/>
  <c r="E318" i="3" a="1"/>
  <c r="E312" i="3" a="1"/>
  <c r="E311" i="3" a="1"/>
  <c r="E225" i="3" a="1"/>
  <c r="E90" i="3" a="1"/>
  <c r="F127" i="3" a="1"/>
  <c r="E227" i="3" a="1"/>
  <c r="F160" i="3" a="1"/>
  <c r="F222" i="3" a="1"/>
  <c r="E56" i="3" a="1"/>
  <c r="E63" i="3" a="1"/>
  <c r="E251" i="3" a="1"/>
  <c r="E100" i="3" a="1"/>
  <c r="E142" i="3" a="1"/>
  <c r="F79" i="3" a="1"/>
  <c r="F202" i="3" a="1"/>
  <c r="E258" i="3" a="1"/>
  <c r="E122" i="3" a="1"/>
  <c r="E238" i="3" a="1"/>
  <c r="E93" i="3" a="1"/>
  <c r="E102" i="3" a="1"/>
  <c r="F299" i="3" a="1"/>
  <c r="E73" i="3" a="1"/>
  <c r="F44" i="3" a="1"/>
  <c r="E306" i="3" a="1"/>
  <c r="E175" i="3" a="1"/>
  <c r="E35" i="3" a="1"/>
  <c r="F212" i="3" a="1"/>
  <c r="E10" i="1" a="1"/>
  <c r="F306" i="3" a="1"/>
  <c r="F206" i="3" a="1"/>
  <c r="F106" i="3" a="1"/>
  <c r="E324" i="3" a="1"/>
  <c r="E224" i="3" a="1"/>
  <c r="E124" i="3" a="1"/>
  <c r="E24" i="3" a="1"/>
  <c r="F243" i="3" a="1"/>
  <c r="E276" i="3" a="1"/>
  <c r="F27" i="3" a="1"/>
  <c r="E268" i="3" a="1"/>
  <c r="E283" i="3" a="1"/>
  <c r="E150" i="3" a="1"/>
  <c r="F57" i="3" a="1"/>
  <c r="E153" i="3" a="1"/>
  <c r="F132" i="3" a="1"/>
  <c r="E13" i="3" a="1"/>
  <c r="E282" i="3" a="1"/>
  <c r="F62" i="3" a="1"/>
  <c r="E28" i="3" a="1"/>
  <c r="E213" i="3" a="1"/>
  <c r="E307" i="3" a="1"/>
  <c r="E181" i="3" a="1"/>
  <c r="F192" i="3" a="1"/>
  <c r="E165" i="3" a="1"/>
  <c r="E75" i="3" a="1"/>
  <c r="F66" i="3" a="1"/>
  <c r="E171" i="3" a="1"/>
  <c r="F164" i="3" a="1"/>
  <c r="E303" i="3" a="1"/>
  <c r="F227" i="3" a="1"/>
  <c r="F107" i="3" a="1"/>
  <c r="E121" i="3" a="1"/>
  <c r="F279" i="3" a="1"/>
  <c r="E16" i="1" a="1"/>
  <c r="E257" i="3" a="1"/>
  <c r="F9" i="1" a="1"/>
  <c r="E15" i="1" a="1"/>
  <c r="E23" i="1" a="1"/>
  <c r="F311" i="3" a="1"/>
  <c r="F211" i="3" a="1"/>
  <c r="F111" i="3" a="1"/>
  <c r="F7" i="3" a="1"/>
  <c r="E229" i="3" a="1"/>
  <c r="E129" i="3" a="1"/>
  <c r="E29" i="3" a="1"/>
  <c r="F248" i="3" a="1"/>
  <c r="F138" i="3" a="1"/>
  <c r="F290" i="3" a="1"/>
  <c r="F33" i="3" a="1"/>
  <c r="F282" i="3" a="1"/>
  <c r="F297" i="3" a="1"/>
  <c r="E211" i="3" a="1"/>
  <c r="E197" i="3" a="1"/>
  <c r="E70" i="3" a="1"/>
  <c r="F119" i="3" a="1"/>
  <c r="E180" i="3" a="1"/>
  <c r="F125" i="3" a="1"/>
  <c r="F167" i="3" a="1"/>
  <c r="E31" i="3" a="1"/>
  <c r="E38" i="3" a="1"/>
  <c r="E176" i="3" a="1"/>
  <c r="E107" i="3" a="1"/>
  <c r="E105" i="3" a="1"/>
  <c r="F85" i="3" a="1"/>
  <c r="E308" i="3" a="1"/>
  <c r="E18" i="1" a="1"/>
  <c r="F133" i="3" a="1"/>
  <c r="F170" i="3" a="1"/>
  <c r="F109" i="3" a="1"/>
  <c r="E322" i="3" a="1"/>
  <c r="E293" i="3" a="1"/>
  <c r="E96" i="3" a="1"/>
  <c r="F19" i="3" a="1"/>
  <c r="E266" i="3" a="1"/>
  <c r="E298" i="3" a="1"/>
  <c r="E230" i="3" a="1"/>
  <c r="F259" i="3" a="1"/>
  <c r="F166" i="3" a="1"/>
  <c r="F214" i="3" a="1"/>
  <c r="E267" i="3" a="1"/>
  <c r="F61" i="3" a="1"/>
  <c r="F157" i="3" a="1"/>
  <c r="E217" i="3" a="1"/>
  <c r="F249" i="3" a="1"/>
  <c r="E42" i="3" a="1"/>
  <c r="E24" i="1" a="1"/>
  <c r="E14" i="1" a="1"/>
  <c r="E5" i="1" a="1"/>
  <c r="E13" i="1" a="1"/>
  <c r="F301" i="3" a="1"/>
  <c r="F201" i="3" a="1"/>
  <c r="F101" i="3" a="1"/>
  <c r="E319" i="3" a="1"/>
  <c r="E219" i="3" a="1"/>
  <c r="E119" i="3" a="1"/>
  <c r="E19" i="3" a="1"/>
  <c r="F238" i="3" a="1"/>
  <c r="F128" i="3" a="1"/>
  <c r="F269" i="3" a="1"/>
  <c r="E21" i="3" a="1"/>
  <c r="F232" i="3" a="1"/>
  <c r="E262" i="3" a="1"/>
  <c r="F150" i="3" a="1"/>
  <c r="E130" i="3" a="1"/>
  <c r="E45" i="3" a="1"/>
  <c r="F92" i="3" a="1"/>
  <c r="E135" i="3" a="1"/>
  <c r="E292" i="3" a="1"/>
  <c r="F87" i="3" a="1"/>
  <c r="E273" i="3" a="1"/>
  <c r="F252" i="3" a="1"/>
  <c r="E12" i="3" a="1"/>
  <c r="E207" i="3" a="1"/>
  <c r="E310" i="3" a="1"/>
  <c r="E320" i="3" a="1"/>
  <c r="F287" i="3" a="1"/>
  <c r="E36" i="3" a="1"/>
  <c r="E222" i="3" a="1"/>
  <c r="E138" i="3" a="1"/>
  <c r="E277" i="3" a="1"/>
  <c r="F120" i="3" a="1"/>
  <c r="E132" i="3" a="1"/>
  <c r="F28" i="1" a="1"/>
  <c r="E8" i="1" a="1"/>
  <c r="F296" i="3" a="1"/>
  <c r="F196" i="3" a="1"/>
  <c r="F96" i="3" a="1"/>
  <c r="E314" i="3" a="1"/>
  <c r="E214" i="3" a="1"/>
  <c r="E114" i="3" a="1"/>
  <c r="E14" i="3" a="1"/>
  <c r="F233" i="3" a="1"/>
  <c r="F123" i="3" a="1"/>
  <c r="E255" i="3" a="1"/>
  <c r="E15" i="3" a="1"/>
  <c r="E218" i="3" a="1"/>
  <c r="F247" i="3" a="1"/>
  <c r="F130" i="3" a="1"/>
  <c r="E110" i="3" a="1"/>
  <c r="E26" i="3" a="1"/>
  <c r="F82" i="3" a="1"/>
  <c r="E108" i="3" a="1"/>
  <c r="E243" i="3" a="1"/>
  <c r="F69" i="3" a="1"/>
  <c r="F235" i="3" a="1"/>
  <c r="F195" i="3" a="1"/>
  <c r="F320" i="3" a="1"/>
  <c r="E126" i="3" a="1"/>
  <c r="E291" i="3" a="1"/>
  <c r="F295" i="3" a="1"/>
  <c r="E146" i="3" a="1"/>
  <c r="F257" i="3" a="1"/>
  <c r="F59" i="3" a="1"/>
  <c r="E284" i="3" a="1"/>
  <c r="E296" i="3" a="1"/>
  <c r="E285" i="3" a="1"/>
  <c r="F37" i="3" a="1"/>
  <c r="E87" i="3" a="1"/>
  <c r="F277" i="3" a="1"/>
  <c r="E3" i="1" a="1"/>
  <c r="E151" i="3" a="1"/>
  <c r="E195" i="3" a="1"/>
  <c r="E280" i="3" a="1"/>
  <c r="F182" i="3" a="1"/>
  <c r="F122" i="3" a="1"/>
  <c r="F31" i="1" a="1"/>
  <c r="E12" i="1" a="1"/>
  <c r="F14" i="1" a="1"/>
  <c r="E4" i="1" a="1"/>
  <c r="F291" i="3" a="1"/>
  <c r="F191" i="3" a="1"/>
  <c r="F91" i="3" a="1"/>
  <c r="E309" i="3" a="1"/>
  <c r="E209" i="3" a="1"/>
  <c r="E109" i="3" a="1"/>
  <c r="E10" i="3" a="1"/>
  <c r="F228" i="3" a="1"/>
  <c r="F113" i="3" a="1"/>
  <c r="F240" i="3" a="1"/>
  <c r="F9" i="3" a="1"/>
  <c r="E157" i="3" a="1"/>
  <c r="E233" i="3" a="1"/>
  <c r="F90" i="3" a="1"/>
  <c r="E83" i="3" a="1"/>
  <c r="F8" i="3" a="1"/>
  <c r="F74" i="3" a="1"/>
  <c r="F244" i="3" a="1"/>
  <c r="E72" i="3" a="1"/>
  <c r="F53" i="3" a="1"/>
  <c r="E188" i="3" a="1"/>
  <c r="F115" i="3" a="1"/>
  <c r="E260" i="3" a="1"/>
  <c r="F322" i="3" a="1"/>
  <c r="E252" i="3" a="1"/>
  <c r="E250" i="3" a="1"/>
  <c r="E67" i="3" a="1"/>
  <c r="E155" i="3" a="1"/>
  <c r="F102" i="3" a="1"/>
  <c r="F237" i="3" a="1"/>
  <c r="E148" i="3" a="1"/>
  <c r="F175" i="3" a="1"/>
  <c r="F35" i="3" a="1"/>
  <c r="E19" i="1" a="1"/>
  <c r="F281" i="3" a="1"/>
  <c r="F81" i="3" a="1"/>
  <c r="E299" i="3" a="1"/>
  <c r="E99" i="3" a="1"/>
  <c r="F218" i="3" a="1"/>
  <c r="F219" i="3" a="1"/>
  <c r="E97" i="3" a="1"/>
  <c r="E52" i="3" a="1"/>
  <c r="E315" i="3" a="1"/>
  <c r="E161" i="3" a="1"/>
  <c r="F4" i="3" a="1"/>
  <c r="E6" i="3" a="1"/>
  <c r="E235" i="3" a="1"/>
  <c r="E167" i="3" a="1"/>
  <c r="F229" i="3" a="1"/>
  <c r="E136" i="3" a="1"/>
  <c r="F307" i="3" a="1"/>
  <c r="E17" i="3" a="1"/>
  <c r="E33" i="1" a="1"/>
  <c r="E288" i="3" a="1"/>
  <c r="F161" i="3" a="1"/>
  <c r="E179" i="3" a="1"/>
  <c r="F298" i="3" a="1"/>
  <c r="F318" i="3" a="1"/>
  <c r="F260" i="3" a="1"/>
  <c r="F325" i="3" a="1"/>
  <c r="F272" i="3" a="1"/>
  <c r="F12" i="3" a="1"/>
  <c r="F314" i="3" a="1"/>
  <c r="E61" i="3" a="1"/>
  <c r="E76" i="3" a="1"/>
  <c r="F302" i="3" a="1"/>
  <c r="E7" i="1" a="1"/>
  <c r="E28" i="1" a="1"/>
  <c r="F17" i="1" a="1"/>
  <c r="F286" i="3" a="1"/>
  <c r="F186" i="3" a="1"/>
  <c r="F86" i="3" a="1"/>
  <c r="E304" i="3" a="1"/>
  <c r="E204" i="3" a="1"/>
  <c r="E104" i="3" a="1"/>
  <c r="E5" i="3" a="1"/>
  <c r="F223" i="3" a="1"/>
  <c r="F108" i="3" a="1"/>
  <c r="E226" i="3" a="1"/>
  <c r="F3" i="3" a="1"/>
  <c r="E137" i="3" a="1"/>
  <c r="E212" i="3" a="1"/>
  <c r="F64" i="3" a="1"/>
  <c r="F63" i="3" a="1"/>
  <c r="F324" i="3" a="1"/>
  <c r="E66" i="3" a="1"/>
  <c r="F215" i="3" a="1"/>
  <c r="E47" i="3" a="1"/>
  <c r="F28" i="3" a="1"/>
  <c r="E145" i="3" a="1"/>
  <c r="E30" i="3" a="1"/>
  <c r="E231" i="3" a="1"/>
  <c r="F292" i="3" a="1"/>
  <c r="E223" i="3" a="1"/>
  <c r="F209" i="3" a="1"/>
  <c r="E202" i="3" a="1"/>
  <c r="E270" i="3" a="1"/>
  <c r="E221" i="3" a="1"/>
  <c r="F174" i="3" a="1"/>
  <c r="F129" i="3" a="1"/>
  <c r="F42" i="3" a="1"/>
  <c r="F2" i="3" a="1"/>
  <c r="F3" i="1" a="1"/>
  <c r="F181" i="3" a="1"/>
  <c r="E199" i="3" a="1"/>
  <c r="F323" i="3" a="1"/>
  <c r="F98" i="3" a="1"/>
  <c r="F275" i="3" a="1"/>
  <c r="E205" i="3" a="1"/>
  <c r="F38" i="3" a="1"/>
  <c r="E57" i="3" a="1"/>
  <c r="E22" i="3" a="1"/>
  <c r="E118" i="3" a="1"/>
  <c r="F194" i="3" a="1"/>
  <c r="E160" i="3" a="1"/>
  <c r="F140" i="3" a="1"/>
  <c r="F10" i="3" a="1"/>
  <c r="E112" i="3" a="1"/>
  <c r="E2" i="3" a="1"/>
  <c r="F24" i="3" a="1"/>
  <c r="F21" i="1" a="1"/>
  <c r="F266" i="3" a="1"/>
  <c r="E184" i="3" a="1"/>
  <c r="F303" i="3" a="1"/>
  <c r="F198" i="3" a="1"/>
  <c r="F73" i="3" a="1"/>
  <c r="F225" i="3" a="1"/>
  <c r="F14" i="3" a="1"/>
  <c r="E16" i="3" a="1"/>
  <c r="E253" i="3" a="1"/>
  <c r="F54" i="3" a="1"/>
  <c r="E43" i="3" a="1"/>
  <c r="E9" i="1" a="1"/>
  <c r="F274" i="3" a="1"/>
  <c r="E295" i="3" a="1"/>
  <c r="E113" i="3" a="1"/>
  <c r="F11" i="1" a="1"/>
  <c r="E21" i="1" a="1"/>
  <c r="F26" i="1" a="1"/>
  <c r="E31" i="1" a="1"/>
  <c r="F276" i="3" a="1"/>
  <c r="F176" i="3" a="1"/>
  <c r="F76" i="3" a="1"/>
  <c r="E294" i="3" a="1"/>
  <c r="E194" i="3" a="1"/>
  <c r="E94" i="3" a="1"/>
  <c r="F313" i="3" a="1"/>
  <c r="F213" i="3" a="1"/>
  <c r="F93" i="3" a="1"/>
  <c r="E198" i="3" a="1"/>
  <c r="E261" i="3" a="1"/>
  <c r="E77" i="3" a="1"/>
  <c r="F184" i="3" a="1"/>
  <c r="F39" i="3" a="1"/>
  <c r="E20" i="3" a="1"/>
  <c r="F305" i="3" a="1"/>
  <c r="E41" i="3" a="1"/>
  <c r="E81" i="3" a="1"/>
  <c r="F300" i="3" a="1"/>
  <c r="E265" i="3" a="1"/>
  <c r="E48" i="3" a="1"/>
  <c r="F280" i="3" a="1"/>
  <c r="F159" i="3" a="1"/>
  <c r="F179" i="3" a="1"/>
  <c r="E133" i="3" a="1"/>
  <c r="F50" i="3" a="1"/>
  <c r="E242" i="3" a="1"/>
  <c r="F185" i="3" a="1"/>
  <c r="E286" i="3" a="1"/>
  <c r="F94" i="3" a="1"/>
  <c r="F68" i="3" a="1"/>
  <c r="F95" i="3" a="1"/>
  <c r="E22" i="1" a="1"/>
  <c r="F22" i="1" a="1"/>
  <c r="F271" i="3" a="1"/>
  <c r="F171" i="3" a="1"/>
  <c r="F71" i="3" a="1"/>
  <c r="E289" i="3" a="1"/>
  <c r="E189" i="3" a="1"/>
  <c r="E89" i="3" a="1"/>
  <c r="F308" i="3" a="1"/>
  <c r="F208" i="3" a="1"/>
  <c r="F83" i="3" a="1"/>
  <c r="E191" i="3" a="1"/>
  <c r="F254" i="3" a="1"/>
  <c r="E325" i="3" a="1"/>
  <c r="F177" i="3" a="1"/>
  <c r="E27" i="3" a="1"/>
  <c r="F317" i="3" a="1"/>
  <c r="F294" i="3" a="1"/>
  <c r="E32" i="3" a="1"/>
  <c r="F6" i="3" a="1"/>
  <c r="F262" i="3" a="1"/>
  <c r="E236" i="3" a="1"/>
  <c r="E23" i="3" a="1"/>
  <c r="E152" i="3" a="1"/>
  <c r="F114" i="3" a="1"/>
  <c r="F152" i="3" a="1"/>
  <c r="E80" i="3" a="1"/>
  <c r="F34" i="3" a="1"/>
  <c r="E182" i="3" a="1"/>
  <c r="F147" i="3" a="1"/>
  <c r="E140" i="3" a="1"/>
  <c r="E18" i="3" a="1"/>
  <c r="E17" i="1" a="1"/>
  <c r="E84" i="3" a="1"/>
  <c r="E302" i="3" a="1"/>
  <c r="E68" i="3" a="1"/>
  <c r="F261" i="3" a="1"/>
  <c r="E279" i="3" a="1"/>
  <c r="E79" i="3" a="1"/>
  <c r="F193" i="3" a="1"/>
  <c r="F197" i="3" a="1"/>
  <c r="E3" i="3" a="1"/>
  <c r="E8" i="3" a="1"/>
  <c r="E196" i="3" a="1"/>
  <c r="F22" i="3" a="1"/>
  <c r="F220" i="3" a="1"/>
  <c r="E187" i="3" a="1"/>
  <c r="L1" i="3" l="1"/>
  <c r="L1" i="1"/>
  <c r="E6" i="1"/>
  <c r="E11" i="1"/>
  <c r="F6" i="1"/>
  <c r="F16" i="1"/>
  <c r="E3" i="1"/>
  <c r="E17" i="1"/>
  <c r="F22" i="1"/>
  <c r="E31" i="1"/>
  <c r="F3" i="1"/>
  <c r="F17" i="1"/>
  <c r="E4" i="1"/>
  <c r="E8" i="1"/>
  <c r="E13" i="1"/>
  <c r="G13" i="1" s="1"/>
  <c r="E18" i="1"/>
  <c r="G18" i="1" s="1"/>
  <c r="E23" i="1"/>
  <c r="G23" i="1" s="1"/>
  <c r="E27" i="1"/>
  <c r="G27" i="1" s="1"/>
  <c r="E32" i="1"/>
  <c r="G32" i="1" s="1"/>
  <c r="F4" i="1"/>
  <c r="F8" i="1"/>
  <c r="F13" i="1"/>
  <c r="F18" i="1"/>
  <c r="F23" i="1"/>
  <c r="F27" i="1"/>
  <c r="F32" i="1"/>
  <c r="E16" i="1"/>
  <c r="G16" i="1" s="1"/>
  <c r="F21" i="1"/>
  <c r="E22" i="1"/>
  <c r="G22" i="1" s="1"/>
  <c r="F26" i="1"/>
  <c r="E19" i="1"/>
  <c r="E28" i="1"/>
  <c r="F14" i="1"/>
  <c r="F28" i="1"/>
  <c r="E5" i="1"/>
  <c r="E10" i="1"/>
  <c r="E15" i="1"/>
  <c r="E20" i="1"/>
  <c r="E25" i="1"/>
  <c r="E29" i="1"/>
  <c r="E34" i="1"/>
  <c r="E30" i="1"/>
  <c r="F30" i="1"/>
  <c r="E26" i="1"/>
  <c r="F7" i="1"/>
  <c r="F12" i="1"/>
  <c r="E9" i="1"/>
  <c r="E33" i="1"/>
  <c r="F33" i="1"/>
  <c r="E21" i="1"/>
  <c r="G21" i="1" s="1"/>
  <c r="F11" i="1"/>
  <c r="E7" i="1"/>
  <c r="G7" i="1" s="1"/>
  <c r="E12" i="1"/>
  <c r="G12" i="1" s="1"/>
  <c r="F31" i="1"/>
  <c r="E14" i="1"/>
  <c r="G14" i="1" s="1"/>
  <c r="E24" i="1"/>
  <c r="F9" i="1"/>
  <c r="F19" i="1"/>
  <c r="F24" i="1"/>
  <c r="F5" i="1"/>
  <c r="F10" i="1"/>
  <c r="F15" i="1"/>
  <c r="F20" i="1"/>
  <c r="F25" i="1"/>
  <c r="F29" i="1"/>
  <c r="F34" i="1"/>
  <c r="E2" i="1"/>
  <c r="F2" i="1"/>
  <c r="F35" i="3"/>
  <c r="E75" i="3"/>
  <c r="G75" i="3" s="1"/>
  <c r="E132" i="3"/>
  <c r="F192" i="3"/>
  <c r="F212" i="3"/>
  <c r="F299" i="3"/>
  <c r="E113" i="3"/>
  <c r="E278" i="3"/>
  <c r="F75" i="3"/>
  <c r="E193" i="3"/>
  <c r="G193" i="3" s="1"/>
  <c r="F18" i="3"/>
  <c r="E95" i="3"/>
  <c r="G95" i="3" s="1"/>
  <c r="F155" i="3"/>
  <c r="F217" i="3"/>
  <c r="E76" i="3"/>
  <c r="F279" i="3"/>
  <c r="F24" i="3"/>
  <c r="F95" i="3"/>
  <c r="F307" i="3"/>
  <c r="F42" i="3"/>
  <c r="F175" i="3"/>
  <c r="F259" i="3"/>
  <c r="F120" i="3"/>
  <c r="E181" i="3"/>
  <c r="G181" i="3" s="1"/>
  <c r="E308" i="3"/>
  <c r="G308" i="3" s="1"/>
  <c r="E102" i="3"/>
  <c r="F265" i="3"/>
  <c r="F25" i="3"/>
  <c r="E85" i="3"/>
  <c r="E201" i="3"/>
  <c r="E287" i="3"/>
  <c r="G287" i="3" s="1"/>
  <c r="F43" i="3"/>
  <c r="F315" i="3"/>
  <c r="E11" i="3"/>
  <c r="F182" i="3"/>
  <c r="E267" i="3"/>
  <c r="G267" i="3" s="1"/>
  <c r="E17" i="3"/>
  <c r="F68" i="3"/>
  <c r="E112" i="3"/>
  <c r="F129" i="3"/>
  <c r="E148" i="3"/>
  <c r="G148" i="3" s="1"/>
  <c r="E230" i="3"/>
  <c r="G230" i="3" s="1"/>
  <c r="E277" i="3"/>
  <c r="E298" i="3"/>
  <c r="G298" i="3" s="1"/>
  <c r="E35" i="3"/>
  <c r="G35" i="3" s="1"/>
  <c r="E93" i="3"/>
  <c r="E192" i="3"/>
  <c r="E210" i="3"/>
  <c r="F250" i="3"/>
  <c r="F17" i="3"/>
  <c r="E53" i="3"/>
  <c r="F112" i="3"/>
  <c r="E173" i="3"/>
  <c r="F230" i="3"/>
  <c r="E257" i="3"/>
  <c r="F277" i="3"/>
  <c r="E18" i="3"/>
  <c r="F94" i="3"/>
  <c r="E136" i="3"/>
  <c r="F174" i="3"/>
  <c r="F237" i="3"/>
  <c r="F59" i="3"/>
  <c r="E138" i="3"/>
  <c r="E307" i="3"/>
  <c r="G307" i="3" s="1"/>
  <c r="E175" i="3"/>
  <c r="G175" i="3" s="1"/>
  <c r="E238" i="3"/>
  <c r="E4" i="3"/>
  <c r="E60" i="3"/>
  <c r="E120" i="3"/>
  <c r="G120" i="3" s="1"/>
  <c r="E156" i="3"/>
  <c r="G156" i="3" s="1"/>
  <c r="E220" i="3"/>
  <c r="G220" i="3" s="1"/>
  <c r="E101" i="3"/>
  <c r="E158" i="3"/>
  <c r="E25" i="3"/>
  <c r="F220" i="3"/>
  <c r="E43" i="3"/>
  <c r="E140" i="3"/>
  <c r="E286" i="3"/>
  <c r="F10" i="3"/>
  <c r="E221" i="3"/>
  <c r="F102" i="3"/>
  <c r="E165" i="3"/>
  <c r="G165" i="3" s="1"/>
  <c r="E222" i="3"/>
  <c r="E266" i="3"/>
  <c r="G266" i="3" s="1"/>
  <c r="F85" i="3"/>
  <c r="E122" i="3"/>
  <c r="E248" i="3"/>
  <c r="F49" i="3"/>
  <c r="F165" i="3"/>
  <c r="E228" i="3"/>
  <c r="F11" i="3"/>
  <c r="E86" i="3"/>
  <c r="G86" i="3" s="1"/>
  <c r="E147" i="3"/>
  <c r="F267" i="3"/>
  <c r="E295" i="3"/>
  <c r="E68" i="3"/>
  <c r="G68" i="3" s="1"/>
  <c r="F147" i="3"/>
  <c r="F185" i="3"/>
  <c r="F229" i="3"/>
  <c r="E270" i="3"/>
  <c r="E155" i="3"/>
  <c r="G155" i="3" s="1"/>
  <c r="F257" i="3"/>
  <c r="E36" i="3"/>
  <c r="E213" i="3"/>
  <c r="G213" i="3" s="1"/>
  <c r="E306" i="3"/>
  <c r="G306" i="3" s="1"/>
  <c r="E258" i="3"/>
  <c r="E42" i="3"/>
  <c r="G42" i="3" s="1"/>
  <c r="E78" i="3"/>
  <c r="E200" i="3"/>
  <c r="G200" i="3" s="1"/>
  <c r="F139" i="3"/>
  <c r="F285" i="3"/>
  <c r="F60" i="3"/>
  <c r="F200" i="3"/>
  <c r="E241" i="3"/>
  <c r="E61" i="3"/>
  <c r="E121" i="3"/>
  <c r="E182" i="3"/>
  <c r="G182" i="3" s="1"/>
  <c r="E242" i="3"/>
  <c r="G242" i="3" s="1"/>
  <c r="F140" i="3"/>
  <c r="E202" i="3"/>
  <c r="G202" i="3" s="1"/>
  <c r="E67" i="3"/>
  <c r="G67" i="3" s="1"/>
  <c r="E146" i="3"/>
  <c r="G146" i="3" s="1"/>
  <c r="F287" i="3"/>
  <c r="E28" i="3"/>
  <c r="G28" i="3" s="1"/>
  <c r="E105" i="3"/>
  <c r="G105" i="3" s="1"/>
  <c r="F202" i="3"/>
  <c r="E316" i="3"/>
  <c r="F67" i="3"/>
  <c r="E185" i="3"/>
  <c r="G185" i="3" s="1"/>
  <c r="E317" i="3"/>
  <c r="E50" i="3"/>
  <c r="G50" i="3" s="1"/>
  <c r="F105" i="3"/>
  <c r="E128" i="3"/>
  <c r="E166" i="3"/>
  <c r="F249" i="3"/>
  <c r="E87" i="3"/>
  <c r="F34" i="3"/>
  <c r="F50" i="3"/>
  <c r="E167" i="3"/>
  <c r="F209" i="3"/>
  <c r="E250" i="3"/>
  <c r="G250" i="3" s="1"/>
  <c r="F295" i="3"/>
  <c r="E320" i="3"/>
  <c r="F19" i="3"/>
  <c r="F44" i="3"/>
  <c r="F79" i="3"/>
  <c r="F122" i="3"/>
  <c r="F149" i="3"/>
  <c r="E203" i="3"/>
  <c r="G203" i="3" s="1"/>
  <c r="F270" i="3"/>
  <c r="E300" i="3"/>
  <c r="G300" i="3" s="1"/>
  <c r="E106" i="3"/>
  <c r="E186" i="3"/>
  <c r="F242" i="3"/>
  <c r="E280" i="3"/>
  <c r="F54" i="3"/>
  <c r="E80" i="3"/>
  <c r="E133" i="3"/>
  <c r="E160" i="3"/>
  <c r="G160" i="3" s="1"/>
  <c r="E223" i="3"/>
  <c r="E252" i="3"/>
  <c r="E291" i="3"/>
  <c r="G291" i="3" s="1"/>
  <c r="E310" i="3"/>
  <c r="F62" i="3"/>
  <c r="E107" i="3"/>
  <c r="G107" i="3" s="1"/>
  <c r="E142" i="3"/>
  <c r="E187" i="3"/>
  <c r="F234" i="3"/>
  <c r="E272" i="3"/>
  <c r="G272" i="3" s="1"/>
  <c r="F312" i="3"/>
  <c r="E55" i="3"/>
  <c r="G55" i="3" s="1"/>
  <c r="F80" i="3"/>
  <c r="E215" i="3"/>
  <c r="E263" i="3"/>
  <c r="F22" i="3"/>
  <c r="F107" i="3"/>
  <c r="F152" i="3"/>
  <c r="F179" i="3"/>
  <c r="E235" i="3"/>
  <c r="F292" i="3"/>
  <c r="F322" i="3"/>
  <c r="E126" i="3"/>
  <c r="G126" i="3" s="1"/>
  <c r="E207" i="3"/>
  <c r="E282" i="3"/>
  <c r="E73" i="3"/>
  <c r="G73" i="3" s="1"/>
  <c r="E100" i="3"/>
  <c r="F302" i="3"/>
  <c r="F15" i="3"/>
  <c r="E162" i="3"/>
  <c r="G162" i="3" s="1"/>
  <c r="F207" i="3"/>
  <c r="E216" i="3"/>
  <c r="G216" i="3" s="1"/>
  <c r="E245" i="3"/>
  <c r="G245" i="3" s="1"/>
  <c r="F255" i="3"/>
  <c r="F284" i="3"/>
  <c r="F314" i="3"/>
  <c r="E288" i="3"/>
  <c r="G288" i="3" s="1"/>
  <c r="F114" i="3"/>
  <c r="F159" i="3"/>
  <c r="F194" i="3"/>
  <c r="E231" i="3"/>
  <c r="E260" i="3"/>
  <c r="G260" i="3" s="1"/>
  <c r="F320" i="3"/>
  <c r="E12" i="3"/>
  <c r="G12" i="3" s="1"/>
  <c r="E96" i="3"/>
  <c r="G96" i="3" s="1"/>
  <c r="E176" i="3"/>
  <c r="G176" i="3" s="1"/>
  <c r="E251" i="3"/>
  <c r="F5" i="3"/>
  <c r="F29" i="3"/>
  <c r="E98" i="3"/>
  <c r="E125" i="3"/>
  <c r="E178" i="3"/>
  <c r="F205" i="3"/>
  <c r="E271" i="3"/>
  <c r="E321" i="3"/>
  <c r="F12" i="3"/>
  <c r="F37" i="3"/>
  <c r="E152" i="3"/>
  <c r="G152" i="3" s="1"/>
  <c r="F280" i="3"/>
  <c r="E6" i="3"/>
  <c r="E30" i="3"/>
  <c r="F115" i="3"/>
  <c r="F195" i="3"/>
  <c r="F252" i="3"/>
  <c r="E13" i="3"/>
  <c r="G13" i="3" s="1"/>
  <c r="E38" i="3"/>
  <c r="G38" i="3" s="1"/>
  <c r="E63" i="3"/>
  <c r="F89" i="3"/>
  <c r="F142" i="3"/>
  <c r="F187" i="3"/>
  <c r="E281" i="3"/>
  <c r="E313" i="3"/>
  <c r="F30" i="3"/>
  <c r="F55" i="3"/>
  <c r="E116" i="3"/>
  <c r="E196" i="3"/>
  <c r="E253" i="3"/>
  <c r="G253" i="3" s="1"/>
  <c r="E23" i="3"/>
  <c r="G23" i="3" s="1"/>
  <c r="E48" i="3"/>
  <c r="E118" i="3"/>
  <c r="E145" i="3"/>
  <c r="E188" i="3"/>
  <c r="G188" i="3" s="1"/>
  <c r="F235" i="3"/>
  <c r="E273" i="3"/>
  <c r="G273" i="3" s="1"/>
  <c r="E293" i="3"/>
  <c r="G293" i="3" s="1"/>
  <c r="E31" i="3"/>
  <c r="G31" i="3" s="1"/>
  <c r="E56" i="3"/>
  <c r="G56" i="3" s="1"/>
  <c r="E82" i="3"/>
  <c r="F23" i="3"/>
  <c r="F48" i="3"/>
  <c r="F100" i="3"/>
  <c r="F135" i="3"/>
  <c r="F145" i="3"/>
  <c r="F180" i="3"/>
  <c r="F199" i="3"/>
  <c r="E217" i="3"/>
  <c r="G217" i="3" s="1"/>
  <c r="F227" i="3"/>
  <c r="E236" i="3"/>
  <c r="G236" i="3" s="1"/>
  <c r="E265" i="3"/>
  <c r="G265" i="3" s="1"/>
  <c r="F4" i="3"/>
  <c r="F28" i="3"/>
  <c r="F53" i="3"/>
  <c r="F69" i="3"/>
  <c r="F87" i="3"/>
  <c r="F132" i="3"/>
  <c r="F167" i="3"/>
  <c r="F222" i="3"/>
  <c r="F309" i="3"/>
  <c r="E37" i="3"/>
  <c r="E62" i="3"/>
  <c r="E141" i="3"/>
  <c r="E232" i="3"/>
  <c r="E88" i="3"/>
  <c r="G88" i="3" s="1"/>
  <c r="E115" i="3"/>
  <c r="E168" i="3"/>
  <c r="E195" i="3"/>
  <c r="F214" i="3"/>
  <c r="F262" i="3"/>
  <c r="F300" i="3"/>
  <c r="E22" i="3"/>
  <c r="G22" i="3" s="1"/>
  <c r="E47" i="3"/>
  <c r="E72" i="3"/>
  <c r="G72" i="3" s="1"/>
  <c r="E243" i="3"/>
  <c r="E292" i="3"/>
  <c r="G292" i="3" s="1"/>
  <c r="E322" i="3"/>
  <c r="G322" i="3" s="1"/>
  <c r="F125" i="3"/>
  <c r="F160" i="3"/>
  <c r="E206" i="3"/>
  <c r="E301" i="3"/>
  <c r="F47" i="3"/>
  <c r="F72" i="3"/>
  <c r="F99" i="3"/>
  <c r="F134" i="3"/>
  <c r="F169" i="3"/>
  <c r="F224" i="3"/>
  <c r="F272" i="3"/>
  <c r="E302" i="3"/>
  <c r="G302" i="3" s="1"/>
  <c r="F6" i="3"/>
  <c r="E81" i="3"/>
  <c r="E161" i="3"/>
  <c r="G161" i="3" s="1"/>
  <c r="F215" i="3"/>
  <c r="F244" i="3"/>
  <c r="E108" i="3"/>
  <c r="G108" i="3" s="1"/>
  <c r="E135" i="3"/>
  <c r="G135" i="3" s="1"/>
  <c r="E153" i="3"/>
  <c r="G153" i="3" s="1"/>
  <c r="E180" i="3"/>
  <c r="G180" i="3" s="1"/>
  <c r="E227" i="3"/>
  <c r="F264" i="3"/>
  <c r="E323" i="3"/>
  <c r="E7" i="3"/>
  <c r="F40" i="3"/>
  <c r="F65" i="3"/>
  <c r="E92" i="3"/>
  <c r="E127" i="3"/>
  <c r="E172" i="3"/>
  <c r="E8" i="3"/>
  <c r="E16" i="3"/>
  <c r="G16" i="3" s="1"/>
  <c r="E32" i="3"/>
  <c r="G32" i="3" s="1"/>
  <c r="E41" i="3"/>
  <c r="E57" i="3"/>
  <c r="E66" i="3"/>
  <c r="F74" i="3"/>
  <c r="F82" i="3"/>
  <c r="F92" i="3"/>
  <c r="F109" i="3"/>
  <c r="F119" i="3"/>
  <c r="F127" i="3"/>
  <c r="F154" i="3"/>
  <c r="F162" i="3"/>
  <c r="F172" i="3"/>
  <c r="F189" i="3"/>
  <c r="E208" i="3"/>
  <c r="E237" i="3"/>
  <c r="F245" i="3"/>
  <c r="E256" i="3"/>
  <c r="F274" i="3"/>
  <c r="E285" i="3"/>
  <c r="G285" i="3" s="1"/>
  <c r="F294" i="3"/>
  <c r="F305" i="3"/>
  <c r="E315" i="3"/>
  <c r="G315" i="3" s="1"/>
  <c r="F324" i="3"/>
  <c r="F8" i="3"/>
  <c r="E26" i="3"/>
  <c r="G26" i="3" s="1"/>
  <c r="E45" i="3"/>
  <c r="G45" i="3" s="1"/>
  <c r="F57" i="3"/>
  <c r="E70" i="3"/>
  <c r="G70" i="3" s="1"/>
  <c r="E90" i="3"/>
  <c r="E143" i="3"/>
  <c r="G143" i="3" s="1"/>
  <c r="E170" i="3"/>
  <c r="E190" i="3"/>
  <c r="G190" i="3" s="1"/>
  <c r="F210" i="3"/>
  <c r="F310" i="3"/>
  <c r="E240" i="3"/>
  <c r="E290" i="3"/>
  <c r="F304" i="3"/>
  <c r="F325" i="3"/>
  <c r="E303" i="3"/>
  <c r="F317" i="3"/>
  <c r="E20" i="3"/>
  <c r="G20" i="3" s="1"/>
  <c r="F38" i="3"/>
  <c r="F63" i="3"/>
  <c r="E83" i="3"/>
  <c r="G83" i="3" s="1"/>
  <c r="E110" i="3"/>
  <c r="G110" i="3" s="1"/>
  <c r="E130" i="3"/>
  <c r="G130" i="3" s="1"/>
  <c r="E150" i="3"/>
  <c r="G150" i="3" s="1"/>
  <c r="E197" i="3"/>
  <c r="G197" i="3" s="1"/>
  <c r="E225" i="3"/>
  <c r="E246" i="3"/>
  <c r="E275" i="3"/>
  <c r="F289" i="3"/>
  <c r="E117" i="3"/>
  <c r="E177" i="3"/>
  <c r="F204" i="3"/>
  <c r="E247" i="3"/>
  <c r="E297" i="3"/>
  <c r="E3" i="3"/>
  <c r="F14" i="3"/>
  <c r="E27" i="3"/>
  <c r="F39" i="3"/>
  <c r="E52" i="3"/>
  <c r="G52" i="3" s="1"/>
  <c r="F64" i="3"/>
  <c r="F90" i="3"/>
  <c r="F130" i="3"/>
  <c r="F150" i="3"/>
  <c r="F170" i="3"/>
  <c r="E211" i="3"/>
  <c r="E311" i="3"/>
  <c r="F77" i="3"/>
  <c r="F84" i="3"/>
  <c r="F97" i="3"/>
  <c r="F104" i="3"/>
  <c r="F117" i="3"/>
  <c r="F124" i="3"/>
  <c r="F137" i="3"/>
  <c r="F144" i="3"/>
  <c r="F157" i="3"/>
  <c r="F164" i="3"/>
  <c r="F177" i="3"/>
  <c r="F184" i="3"/>
  <c r="E205" i="3"/>
  <c r="G205" i="3" s="1"/>
  <c r="E212" i="3"/>
  <c r="E233" i="3"/>
  <c r="F247" i="3"/>
  <c r="E262" i="3"/>
  <c r="G262" i="3" s="1"/>
  <c r="E283" i="3"/>
  <c r="G283" i="3" s="1"/>
  <c r="F297" i="3"/>
  <c r="E312" i="3"/>
  <c r="F13" i="3"/>
  <c r="F32" i="3"/>
  <c r="E51" i="3"/>
  <c r="G51" i="3" s="1"/>
  <c r="E103" i="3"/>
  <c r="E123" i="3"/>
  <c r="E163" i="3"/>
  <c r="G163" i="3" s="1"/>
  <c r="E183" i="3"/>
  <c r="F239" i="3"/>
  <c r="F260" i="3"/>
  <c r="E296" i="3"/>
  <c r="E325" i="3"/>
  <c r="G325" i="3" s="1"/>
  <c r="E77" i="3"/>
  <c r="G77" i="3" s="1"/>
  <c r="E97" i="3"/>
  <c r="G97" i="3" s="1"/>
  <c r="E137" i="3"/>
  <c r="G137" i="3" s="1"/>
  <c r="E157" i="3"/>
  <c r="G157" i="3" s="1"/>
  <c r="E218" i="3"/>
  <c r="G218" i="3" s="1"/>
  <c r="F232" i="3"/>
  <c r="E268" i="3"/>
  <c r="G268" i="3" s="1"/>
  <c r="F282" i="3"/>
  <c r="E318" i="3"/>
  <c r="G318" i="3" s="1"/>
  <c r="E9" i="3"/>
  <c r="F20" i="3"/>
  <c r="E33" i="3"/>
  <c r="F45" i="3"/>
  <c r="E58" i="3"/>
  <c r="G58" i="3" s="1"/>
  <c r="F70" i="3"/>
  <c r="F110" i="3"/>
  <c r="F190" i="3"/>
  <c r="F197" i="3"/>
  <c r="F225" i="3"/>
  <c r="F254" i="3"/>
  <c r="E261" i="3"/>
  <c r="G261" i="3" s="1"/>
  <c r="F275" i="3"/>
  <c r="F3" i="3"/>
  <c r="F9" i="3"/>
  <c r="E15" i="3"/>
  <c r="G15" i="3" s="1"/>
  <c r="E21" i="3"/>
  <c r="G21" i="3" s="1"/>
  <c r="F27" i="3"/>
  <c r="F33" i="3"/>
  <c r="E40" i="3"/>
  <c r="E46" i="3"/>
  <c r="F52" i="3"/>
  <c r="F58" i="3"/>
  <c r="E65" i="3"/>
  <c r="E71" i="3"/>
  <c r="E91" i="3"/>
  <c r="E111" i="3"/>
  <c r="E131" i="3"/>
  <c r="E151" i="3"/>
  <c r="E171" i="3"/>
  <c r="E191" i="3"/>
  <c r="E198" i="3"/>
  <c r="G198" i="3" s="1"/>
  <c r="F219" i="3"/>
  <c r="E226" i="3"/>
  <c r="G226" i="3" s="1"/>
  <c r="F240" i="3"/>
  <c r="E255" i="3"/>
  <c r="G255" i="3" s="1"/>
  <c r="F269" i="3"/>
  <c r="E276" i="3"/>
  <c r="G276" i="3" s="1"/>
  <c r="F290" i="3"/>
  <c r="E305" i="3"/>
  <c r="F319" i="3"/>
  <c r="E326" i="3"/>
  <c r="F78" i="3"/>
  <c r="F88" i="3"/>
  <c r="F103" i="3"/>
  <c r="F118" i="3"/>
  <c r="F148" i="3"/>
  <c r="F203" i="3"/>
  <c r="F318" i="3"/>
  <c r="F73" i="3"/>
  <c r="F83" i="3"/>
  <c r="F93" i="3"/>
  <c r="F98" i="3"/>
  <c r="F108" i="3"/>
  <c r="F113" i="3"/>
  <c r="F123" i="3"/>
  <c r="F128" i="3"/>
  <c r="F133" i="3"/>
  <c r="F138" i="3"/>
  <c r="F143" i="3"/>
  <c r="F153" i="3"/>
  <c r="F158" i="3"/>
  <c r="F163" i="3"/>
  <c r="F168" i="3"/>
  <c r="F173" i="3"/>
  <c r="F178" i="3"/>
  <c r="F183" i="3"/>
  <c r="F188" i="3"/>
  <c r="F193" i="3"/>
  <c r="F198" i="3"/>
  <c r="F208" i="3"/>
  <c r="F213" i="3"/>
  <c r="F218" i="3"/>
  <c r="F223" i="3"/>
  <c r="F228" i="3"/>
  <c r="F233" i="3"/>
  <c r="F238" i="3"/>
  <c r="F243" i="3"/>
  <c r="F248" i="3"/>
  <c r="F253" i="3"/>
  <c r="F258" i="3"/>
  <c r="F263" i="3"/>
  <c r="F268" i="3"/>
  <c r="F273" i="3"/>
  <c r="F278" i="3"/>
  <c r="F283" i="3"/>
  <c r="F288" i="3"/>
  <c r="F293" i="3"/>
  <c r="F298" i="3"/>
  <c r="F303" i="3"/>
  <c r="F308" i="3"/>
  <c r="F313" i="3"/>
  <c r="F323" i="3"/>
  <c r="E5" i="3"/>
  <c r="G5" i="3" s="1"/>
  <c r="E10" i="3"/>
  <c r="G10" i="3" s="1"/>
  <c r="E14" i="3"/>
  <c r="G14" i="3" s="1"/>
  <c r="E19" i="3"/>
  <c r="E24" i="3"/>
  <c r="G24" i="3" s="1"/>
  <c r="E29" i="3"/>
  <c r="G29" i="3" s="1"/>
  <c r="E34" i="3"/>
  <c r="E39" i="3"/>
  <c r="E44" i="3"/>
  <c r="E49" i="3"/>
  <c r="G49" i="3" s="1"/>
  <c r="E54" i="3"/>
  <c r="G54" i="3" s="1"/>
  <c r="E59" i="3"/>
  <c r="E64" i="3"/>
  <c r="G64" i="3" s="1"/>
  <c r="E69" i="3"/>
  <c r="E74" i="3"/>
  <c r="E79" i="3"/>
  <c r="E84" i="3"/>
  <c r="G84" i="3" s="1"/>
  <c r="E89" i="3"/>
  <c r="G89" i="3" s="1"/>
  <c r="E94" i="3"/>
  <c r="G94" i="3" s="1"/>
  <c r="E99" i="3"/>
  <c r="G99" i="3" s="1"/>
  <c r="E104" i="3"/>
  <c r="G104" i="3" s="1"/>
  <c r="E109" i="3"/>
  <c r="E114" i="3"/>
  <c r="G114" i="3" s="1"/>
  <c r="E119" i="3"/>
  <c r="E124" i="3"/>
  <c r="G124" i="3" s="1"/>
  <c r="E129" i="3"/>
  <c r="G129" i="3" s="1"/>
  <c r="E134" i="3"/>
  <c r="E139" i="3"/>
  <c r="G139" i="3" s="1"/>
  <c r="E144" i="3"/>
  <c r="G144" i="3" s="1"/>
  <c r="E149" i="3"/>
  <c r="G149" i="3" s="1"/>
  <c r="E154" i="3"/>
  <c r="G154" i="3" s="1"/>
  <c r="E159" i="3"/>
  <c r="G159" i="3" s="1"/>
  <c r="E164" i="3"/>
  <c r="G164" i="3" s="1"/>
  <c r="E169" i="3"/>
  <c r="G169" i="3" s="1"/>
  <c r="E174" i="3"/>
  <c r="E179" i="3"/>
  <c r="E184" i="3"/>
  <c r="G184" i="3" s="1"/>
  <c r="E189" i="3"/>
  <c r="G189" i="3" s="1"/>
  <c r="E194" i="3"/>
  <c r="G194" i="3" s="1"/>
  <c r="E199" i="3"/>
  <c r="G199" i="3" s="1"/>
  <c r="E204" i="3"/>
  <c r="E209" i="3"/>
  <c r="G209" i="3" s="1"/>
  <c r="E214" i="3"/>
  <c r="G214" i="3" s="1"/>
  <c r="E219" i="3"/>
  <c r="G219" i="3" s="1"/>
  <c r="E224" i="3"/>
  <c r="G224" i="3" s="1"/>
  <c r="E229" i="3"/>
  <c r="G229" i="3" s="1"/>
  <c r="E234" i="3"/>
  <c r="G234" i="3" s="1"/>
  <c r="E239" i="3"/>
  <c r="G239" i="3" s="1"/>
  <c r="E244" i="3"/>
  <c r="E249" i="3"/>
  <c r="G249" i="3" s="1"/>
  <c r="E254" i="3"/>
  <c r="E259" i="3"/>
  <c r="E264" i="3"/>
  <c r="G264" i="3" s="1"/>
  <c r="E269" i="3"/>
  <c r="E274" i="3"/>
  <c r="E279" i="3"/>
  <c r="G279" i="3" s="1"/>
  <c r="E284" i="3"/>
  <c r="G284" i="3" s="1"/>
  <c r="E289" i="3"/>
  <c r="G289" i="3" s="1"/>
  <c r="E294" i="3"/>
  <c r="G294" i="3" s="1"/>
  <c r="E299" i="3"/>
  <c r="G299" i="3" s="1"/>
  <c r="E304" i="3"/>
  <c r="G304" i="3" s="1"/>
  <c r="E309" i="3"/>
  <c r="G309" i="3" s="1"/>
  <c r="E314" i="3"/>
  <c r="G314" i="3" s="1"/>
  <c r="E319" i="3"/>
  <c r="G319" i="3" s="1"/>
  <c r="E324" i="3"/>
  <c r="G324" i="3" s="1"/>
  <c r="F7" i="3"/>
  <c r="F16" i="3"/>
  <c r="F21" i="3"/>
  <c r="F26" i="3"/>
  <c r="F31" i="3"/>
  <c r="F36" i="3"/>
  <c r="F41" i="3"/>
  <c r="F46" i="3"/>
  <c r="F51" i="3"/>
  <c r="F56" i="3"/>
  <c r="F61" i="3"/>
  <c r="F66" i="3"/>
  <c r="F71" i="3"/>
  <c r="F76" i="3"/>
  <c r="F81" i="3"/>
  <c r="F86" i="3"/>
  <c r="F91" i="3"/>
  <c r="F96" i="3"/>
  <c r="F101" i="3"/>
  <c r="F106" i="3"/>
  <c r="F111" i="3"/>
  <c r="F116" i="3"/>
  <c r="F121" i="3"/>
  <c r="F126" i="3"/>
  <c r="F131" i="3"/>
  <c r="F136" i="3"/>
  <c r="F141" i="3"/>
  <c r="F146" i="3"/>
  <c r="F151" i="3"/>
  <c r="F156" i="3"/>
  <c r="F161" i="3"/>
  <c r="F166" i="3"/>
  <c r="F171" i="3"/>
  <c r="F176" i="3"/>
  <c r="F181" i="3"/>
  <c r="F186" i="3"/>
  <c r="F191" i="3"/>
  <c r="F196" i="3"/>
  <c r="F201" i="3"/>
  <c r="F206" i="3"/>
  <c r="F211" i="3"/>
  <c r="F216" i="3"/>
  <c r="F221" i="3"/>
  <c r="F226" i="3"/>
  <c r="F231" i="3"/>
  <c r="F236" i="3"/>
  <c r="F241" i="3"/>
  <c r="F246" i="3"/>
  <c r="F251" i="3"/>
  <c r="F256" i="3"/>
  <c r="F261" i="3"/>
  <c r="F266" i="3"/>
  <c r="F271" i="3"/>
  <c r="F276" i="3"/>
  <c r="F281" i="3"/>
  <c r="F286" i="3"/>
  <c r="F291" i="3"/>
  <c r="F296" i="3"/>
  <c r="F301" i="3"/>
  <c r="F306" i="3"/>
  <c r="F311" i="3"/>
  <c r="F316" i="3"/>
  <c r="F321" i="3"/>
  <c r="F326" i="3"/>
  <c r="F2" i="3"/>
  <c r="E2" i="3"/>
  <c r="G240" i="3" l="1"/>
  <c r="G106" i="3"/>
  <c r="G53" i="3"/>
  <c r="G109" i="3"/>
  <c r="G92" i="3"/>
  <c r="G101" i="3"/>
  <c r="G254" i="3"/>
  <c r="G65" i="3"/>
  <c r="G103" i="3"/>
  <c r="G117" i="3"/>
  <c r="G141" i="3"/>
  <c r="G281" i="3"/>
  <c r="G125" i="3"/>
  <c r="G317" i="3"/>
  <c r="G228" i="3"/>
  <c r="G201" i="3"/>
  <c r="G211" i="3"/>
  <c r="G119" i="3"/>
  <c r="G237" i="3"/>
  <c r="G59" i="3"/>
  <c r="G71" i="3"/>
  <c r="G208" i="3"/>
  <c r="G232" i="3"/>
  <c r="G7" i="3"/>
  <c r="G98" i="3"/>
  <c r="G85" i="3"/>
  <c r="G178" i="3"/>
  <c r="G33" i="3"/>
  <c r="G62" i="3"/>
  <c r="G244" i="3"/>
  <c r="G44" i="3"/>
  <c r="G326" i="3"/>
  <c r="G275" i="3"/>
  <c r="G170" i="3"/>
  <c r="G323" i="3"/>
  <c r="G301" i="3"/>
  <c r="G37" i="3"/>
  <c r="G78" i="3"/>
  <c r="G60" i="3"/>
  <c r="G210" i="3"/>
  <c r="G278" i="3"/>
  <c r="G233" i="3"/>
  <c r="G91" i="3"/>
  <c r="G123" i="3"/>
  <c r="G313" i="3"/>
  <c r="G206" i="3"/>
  <c r="G82" i="3"/>
  <c r="G187" i="3"/>
  <c r="G316" i="3"/>
  <c r="G248" i="3"/>
  <c r="G4" i="3"/>
  <c r="G192" i="3"/>
  <c r="G113" i="3"/>
  <c r="G243" i="3"/>
  <c r="G259" i="3"/>
  <c r="G177" i="3"/>
  <c r="G39" i="3"/>
  <c r="G46" i="3"/>
  <c r="G9" i="3"/>
  <c r="G246" i="3"/>
  <c r="G134" i="3"/>
  <c r="G34" i="3"/>
  <c r="G305" i="3"/>
  <c r="G40" i="3"/>
  <c r="G312" i="3"/>
  <c r="G311" i="3"/>
  <c r="G225" i="3"/>
  <c r="G90" i="3"/>
  <c r="G227" i="3"/>
  <c r="G63" i="3"/>
  <c r="G251" i="3"/>
  <c r="G100" i="3"/>
  <c r="G142" i="3"/>
  <c r="G258" i="3"/>
  <c r="G122" i="3"/>
  <c r="G238" i="3"/>
  <c r="G93" i="3"/>
  <c r="G102" i="3"/>
  <c r="G207" i="3"/>
  <c r="G310" i="3"/>
  <c r="G320" i="3"/>
  <c r="G36" i="3"/>
  <c r="G222" i="3"/>
  <c r="G138" i="3"/>
  <c r="G277" i="3"/>
  <c r="G132" i="3"/>
  <c r="G204" i="3"/>
  <c r="G212" i="3"/>
  <c r="G66" i="3"/>
  <c r="G47" i="3"/>
  <c r="G145" i="3"/>
  <c r="G30" i="3"/>
  <c r="G231" i="3"/>
  <c r="G223" i="3"/>
  <c r="G270" i="3"/>
  <c r="G221" i="3"/>
  <c r="G252" i="3"/>
  <c r="G57" i="3"/>
  <c r="G118" i="3"/>
  <c r="G6" i="3"/>
  <c r="G235" i="3"/>
  <c r="G167" i="3"/>
  <c r="G136" i="3"/>
  <c r="G112" i="3"/>
  <c r="G41" i="3"/>
  <c r="G81" i="3"/>
  <c r="G48" i="3"/>
  <c r="G133" i="3"/>
  <c r="G286" i="3"/>
  <c r="G140" i="3"/>
  <c r="G18" i="3"/>
  <c r="G17" i="3"/>
  <c r="G19" i="3"/>
  <c r="G27" i="3"/>
  <c r="G80" i="3"/>
  <c r="G296" i="3"/>
  <c r="G87" i="3"/>
  <c r="G121" i="3"/>
  <c r="G43" i="3"/>
  <c r="G282" i="3"/>
  <c r="G196" i="3"/>
  <c r="G280" i="3"/>
  <c r="G61" i="3"/>
  <c r="G295" i="3"/>
  <c r="G257" i="3"/>
  <c r="G76" i="3"/>
  <c r="G179" i="3"/>
  <c r="G79" i="3"/>
  <c r="G151" i="3"/>
  <c r="G3" i="3"/>
  <c r="G8" i="3"/>
  <c r="G195" i="3"/>
  <c r="G274" i="3"/>
  <c r="G174" i="3"/>
  <c r="G74" i="3"/>
  <c r="G131" i="3"/>
  <c r="G297" i="3"/>
  <c r="G256" i="3"/>
  <c r="G172" i="3"/>
  <c r="G168" i="3"/>
  <c r="G116" i="3"/>
  <c r="G321" i="3"/>
  <c r="G263" i="3"/>
  <c r="G166" i="3"/>
  <c r="G241" i="3"/>
  <c r="G25" i="3"/>
  <c r="G11" i="3"/>
  <c r="G191" i="3"/>
  <c r="G171" i="3"/>
  <c r="G303" i="3"/>
  <c r="G269" i="3"/>
  <c r="G69" i="3"/>
  <c r="G111" i="3"/>
  <c r="G183" i="3"/>
  <c r="G247" i="3"/>
  <c r="G290" i="3"/>
  <c r="G127" i="3"/>
  <c r="G115" i="3"/>
  <c r="G271" i="3"/>
  <c r="G215" i="3"/>
  <c r="G186" i="3"/>
  <c r="G128" i="3"/>
  <c r="G147" i="3"/>
  <c r="G158" i="3"/>
  <c r="G173" i="3"/>
  <c r="G8" i="1"/>
  <c r="G5" i="1"/>
  <c r="G4" i="1"/>
  <c r="G10" i="1"/>
  <c r="G19" i="1"/>
  <c r="G24" i="1"/>
  <c r="G9" i="1"/>
  <c r="G28" i="1"/>
  <c r="G2" i="1"/>
  <c r="G33" i="1"/>
  <c r="G31" i="1"/>
  <c r="G26" i="1"/>
  <c r="G29" i="1"/>
  <c r="G30" i="1"/>
  <c r="G25" i="1"/>
  <c r="G11" i="1"/>
  <c r="G34" i="1"/>
  <c r="G20" i="1"/>
  <c r="G6" i="1"/>
  <c r="G17" i="1"/>
  <c r="G3" i="1"/>
  <c r="G15"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<sst xmlns="http://schemas.openxmlformats.org/spreadsheetml/2006/main" count="707" uniqueCount="343">
  <si>
    <t>Valkenburg</t>
  </si>
  <si>
    <t>De Kooy</t>
  </si>
  <si>
    <t>Schiphol</t>
  </si>
  <si>
    <t>Berkhout</t>
  </si>
  <si>
    <t>Wijk aan Zee</t>
  </si>
  <si>
    <t>De Bilt</t>
  </si>
  <si>
    <t>Soesterberg</t>
  </si>
  <si>
    <t>Stavoren</t>
  </si>
  <si>
    <t>Lelystad (Eendenweg)</t>
  </si>
  <si>
    <t>Leeuwarden</t>
  </si>
  <si>
    <t>Marknesse</t>
  </si>
  <si>
    <t>Deelen</t>
  </si>
  <si>
    <t>Lauwersoog</t>
  </si>
  <si>
    <t>Heino</t>
  </si>
  <si>
    <t>Hoogeveen</t>
  </si>
  <si>
    <t>Eelde</t>
  </si>
  <si>
    <t>Hupsel</t>
  </si>
  <si>
    <t>Nieuw Beerta</t>
  </si>
  <si>
    <t>Twenthe</t>
  </si>
  <si>
    <t>Vlissingen</t>
  </si>
  <si>
    <t>Westdorpe</t>
  </si>
  <si>
    <t>Wilhelminadorp</t>
  </si>
  <si>
    <t>Hoek van Holland</t>
  </si>
  <si>
    <t>Rotterdam</t>
  </si>
  <si>
    <t>Cabauw</t>
  </si>
  <si>
    <t>Gilze-Rijen</t>
  </si>
  <si>
    <t>Herwijnen</t>
  </si>
  <si>
    <t>Eindhoven (Vb)</t>
  </si>
  <si>
    <t>Volkel</t>
  </si>
  <si>
    <t>Ell</t>
  </si>
  <si>
    <t>Maastricht</t>
  </si>
  <si>
    <t>Arcen</t>
  </si>
  <si>
    <t>StationsNaam</t>
  </si>
  <si>
    <t>StationsNummer</t>
  </si>
  <si>
    <t>]</t>
  </si>
  <si>
    <t>s Heerenhoek</t>
  </si>
  <si>
    <t>Aalsmeer</t>
  </si>
  <si>
    <t>Aalten</t>
  </si>
  <si>
    <t>Abcoude</t>
  </si>
  <si>
    <t>Akkrum</t>
  </si>
  <si>
    <t>Almelo</t>
  </si>
  <si>
    <t>Almen</t>
  </si>
  <si>
    <t>Amerongen</t>
  </si>
  <si>
    <t>Ammerzoden</t>
  </si>
  <si>
    <t>Amsterdam</t>
  </si>
  <si>
    <t>Andel</t>
  </si>
  <si>
    <t>Anjum</t>
  </si>
  <si>
    <t>Anna Jacoba Polder</t>
  </si>
  <si>
    <t>Anna Paulowna</t>
  </si>
  <si>
    <t>Apeldoorn</t>
  </si>
  <si>
    <t>Appelscha</t>
  </si>
  <si>
    <t>Arnhem</t>
  </si>
  <si>
    <t>Assen</t>
  </si>
  <si>
    <t>Assendelft</t>
  </si>
  <si>
    <t>Barendrecht</t>
  </si>
  <si>
    <t>Barneveld</t>
  </si>
  <si>
    <t>Beek</t>
  </si>
  <si>
    <t>Beekbergen</t>
  </si>
  <si>
    <t>Benschop</t>
  </si>
  <si>
    <t>Bergen (Nh)</t>
  </si>
  <si>
    <t>Bergen op Zoom</t>
  </si>
  <si>
    <t>Bergschenhoek</t>
  </si>
  <si>
    <t>Bergumerdam</t>
  </si>
  <si>
    <t>Biddinghuizen</t>
  </si>
  <si>
    <t>Biervliet</t>
  </si>
  <si>
    <t>Blokzijl</t>
  </si>
  <si>
    <t>Borculo</t>
  </si>
  <si>
    <t>Boskoop</t>
  </si>
  <si>
    <t>Boxtel</t>
  </si>
  <si>
    <t>Breskens</t>
  </si>
  <si>
    <t>Brielle</t>
  </si>
  <si>
    <t>Brouwershaven</t>
  </si>
  <si>
    <t>Buchten</t>
  </si>
  <si>
    <t>Cadzand</t>
  </si>
  <si>
    <t>Callantsoog</t>
  </si>
  <si>
    <t>Capelle (Nb)</t>
  </si>
  <si>
    <t>Castricum</t>
  </si>
  <si>
    <t>Chaam</t>
  </si>
  <si>
    <t>Culemborg</t>
  </si>
  <si>
    <t>De Cocksdorp</t>
  </si>
  <si>
    <t>De Haukes</t>
  </si>
  <si>
    <t>De Koog</t>
  </si>
  <si>
    <t>Dedemsvaart</t>
  </si>
  <si>
    <t>Delft</t>
  </si>
  <si>
    <t>Delfzijl</t>
  </si>
  <si>
    <t>Den Bommel</t>
  </si>
  <si>
    <t>Den Burg</t>
  </si>
  <si>
    <t>Den Oever</t>
  </si>
  <si>
    <t>Denekamp</t>
  </si>
  <si>
    <t>Deurne</t>
  </si>
  <si>
    <t>Deventer</t>
  </si>
  <si>
    <t>Dinther</t>
  </si>
  <si>
    <t>Dirksland</t>
  </si>
  <si>
    <t>Doetinchem</t>
  </si>
  <si>
    <t>Dokkum</t>
  </si>
  <si>
    <t>Doorn</t>
  </si>
  <si>
    <t>Drachten</t>
  </si>
  <si>
    <t>Dronten</t>
  </si>
  <si>
    <t>Duiven</t>
  </si>
  <si>
    <t>Dwingelo</t>
  </si>
  <si>
    <t>Echt</t>
  </si>
  <si>
    <t>Edam</t>
  </si>
  <si>
    <t>Eemnes</t>
  </si>
  <si>
    <t>Eenrum</t>
  </si>
  <si>
    <t>Eerbeek</t>
  </si>
  <si>
    <t>Eernewoude</t>
  </si>
  <si>
    <t>Eersel</t>
  </si>
  <si>
    <t>Eext</t>
  </si>
  <si>
    <t>Elburg</t>
  </si>
  <si>
    <t>Elspeet</t>
  </si>
  <si>
    <t>Emmeloord</t>
  </si>
  <si>
    <t>Emmen</t>
  </si>
  <si>
    <t>Enkhuizen</t>
  </si>
  <si>
    <t>Enschede</t>
  </si>
  <si>
    <t>Epe</t>
  </si>
  <si>
    <t>Epen (Nieuw) (L)</t>
  </si>
  <si>
    <t>Esbeek</t>
  </si>
  <si>
    <t>Ezinge</t>
  </si>
  <si>
    <t>Ezumazijl</t>
  </si>
  <si>
    <t>Finsterwolde</t>
  </si>
  <si>
    <t>Formerum</t>
  </si>
  <si>
    <t>Frederiksoord</t>
  </si>
  <si>
    <t>Geldermalsen</t>
  </si>
  <si>
    <t>Gemert</t>
  </si>
  <si>
    <t>Gendringen</t>
  </si>
  <si>
    <t>Giersbergen</t>
  </si>
  <si>
    <t>Gieterveen</t>
  </si>
  <si>
    <t>Giethoorn</t>
  </si>
  <si>
    <t>Ginneken</t>
  </si>
  <si>
    <t>Goedereede</t>
  </si>
  <si>
    <t>Gorinchem</t>
  </si>
  <si>
    <t>Gorredijk</t>
  </si>
  <si>
    <t>Gouda</t>
  </si>
  <si>
    <t>Groningen</t>
  </si>
  <si>
    <t>Groot Ammers</t>
  </si>
  <si>
    <t>Haamstede</t>
  </si>
  <si>
    <t>Hamersveld</t>
  </si>
  <si>
    <t>Harderwijk</t>
  </si>
  <si>
    <t>Harlingen</t>
  </si>
  <si>
    <t>Harskamp</t>
  </si>
  <si>
    <t>Heeg</t>
  </si>
  <si>
    <t>Heemstede</t>
  </si>
  <si>
    <t>Heerde</t>
  </si>
  <si>
    <t>Heibloem (L)</t>
  </si>
  <si>
    <t>Heiloo</t>
  </si>
  <si>
    <t>Hellendoorn</t>
  </si>
  <si>
    <t>Helmond</t>
  </si>
  <si>
    <t>Hendrik Ido Ambacht</t>
  </si>
  <si>
    <t>Hengelo (O)</t>
  </si>
  <si>
    <t>Hengelo</t>
  </si>
  <si>
    <t>Herbayum</t>
  </si>
  <si>
    <t>Herwen</t>
  </si>
  <si>
    <t>Heumen</t>
  </si>
  <si>
    <t>Hollum</t>
  </si>
  <si>
    <t>Holten</t>
  </si>
  <si>
    <t>Honselersdijk</t>
  </si>
  <si>
    <t>Hoofddorp</t>
  </si>
  <si>
    <t>Hoogerheide</t>
  </si>
  <si>
    <t>Hoogkarspel</t>
  </si>
  <si>
    <t>Hoogwoud</t>
  </si>
  <si>
    <t>Hoorn (Nh)</t>
  </si>
  <si>
    <t>Hoorn (Terschelling)</t>
  </si>
  <si>
    <t>Hulshorst</t>
  </si>
  <si>
    <t>IJsselmuiden</t>
  </si>
  <si>
    <t>IJsselsteyn (L)</t>
  </si>
  <si>
    <t>Joure</t>
  </si>
  <si>
    <t>Kapelle</t>
  </si>
  <si>
    <t>Kapellebrug</t>
  </si>
  <si>
    <t>Katwijk aan den Rijn</t>
  </si>
  <si>
    <t>Kerkwerve</t>
  </si>
  <si>
    <t>Klazienaveen</t>
  </si>
  <si>
    <t>Kloosterzande</t>
  </si>
  <si>
    <t>Klundert</t>
  </si>
  <si>
    <t>Kolhorn</t>
  </si>
  <si>
    <t>Kollum</t>
  </si>
  <si>
    <t>Kootwijk (Radio)</t>
  </si>
  <si>
    <t>Kornwerderzand</t>
  </si>
  <si>
    <t>Kortgene</t>
  </si>
  <si>
    <t>Krabbendijke</t>
  </si>
  <si>
    <t>Kreileroord</t>
  </si>
  <si>
    <t>Krimpen aan de Lek</t>
  </si>
  <si>
    <t>Kuinre</t>
  </si>
  <si>
    <t>Laaghalen</t>
  </si>
  <si>
    <t>Laren</t>
  </si>
  <si>
    <t>Leende</t>
  </si>
  <si>
    <t>Leiden</t>
  </si>
  <si>
    <t>Lemmer (Gemaal Buma)</t>
  </si>
  <si>
    <t>Lettele</t>
  </si>
  <si>
    <t>Lichtenvoorde</t>
  </si>
  <si>
    <t>Lievelde</t>
  </si>
  <si>
    <t>Lijnden (Nh)</t>
  </si>
  <si>
    <t>Lisse</t>
  </si>
  <si>
    <t>Lochem</t>
  </si>
  <si>
    <t>Loenen aan de Vecht</t>
  </si>
  <si>
    <t>Lunteren</t>
  </si>
  <si>
    <t>Maarheeze</t>
  </si>
  <si>
    <t>Maasland</t>
  </si>
  <si>
    <t>Makkum</t>
  </si>
  <si>
    <t>Markelo</t>
  </si>
  <si>
    <t>Marken (Nieuw)</t>
  </si>
  <si>
    <t>Marum</t>
  </si>
  <si>
    <t>Medemblik</t>
  </si>
  <si>
    <t>Megen</t>
  </si>
  <si>
    <t>Middelburg</t>
  </si>
  <si>
    <t>Middelstum</t>
  </si>
  <si>
    <t>Mill</t>
  </si>
  <si>
    <t>Nagele</t>
  </si>
  <si>
    <t>Nes (Ameland)</t>
  </si>
  <si>
    <t>Niekerk</t>
  </si>
  <si>
    <t>Nieuw Buinen</t>
  </si>
  <si>
    <t>Nieuw Helvoet</t>
  </si>
  <si>
    <t>Nieuwendijk (Nb)</t>
  </si>
  <si>
    <t>Nieuwolda</t>
  </si>
  <si>
    <t>Nijbeets</t>
  </si>
  <si>
    <t>Nijkerk</t>
  </si>
  <si>
    <t>Nijmegen</t>
  </si>
  <si>
    <t>Noorbeek</t>
  </si>
  <si>
    <t>Noordgouwe</t>
  </si>
  <si>
    <t>Nuland</t>
  </si>
  <si>
    <t>Numansdorp</t>
  </si>
  <si>
    <t>Obdam (Nieuw)</t>
  </si>
  <si>
    <t>Oirschot</t>
  </si>
  <si>
    <t>Oldebroek</t>
  </si>
  <si>
    <t>Oldeholtpade</t>
  </si>
  <si>
    <t>Onnen</t>
  </si>
  <si>
    <t>Oost Maarland</t>
  </si>
  <si>
    <t>Oost Vlieland</t>
  </si>
  <si>
    <t>Oosterbeek</t>
  </si>
  <si>
    <t>Oosterhout</t>
  </si>
  <si>
    <t>Oostvaardersdiep</t>
  </si>
  <si>
    <t>Oostvoorne</t>
  </si>
  <si>
    <t>Oss</t>
  </si>
  <si>
    <t>Oud Alblas</t>
  </si>
  <si>
    <t>Ouddorp</t>
  </si>
  <si>
    <t>Oudemirdum</t>
  </si>
  <si>
    <t>Oudenbosch</t>
  </si>
  <si>
    <t>Overveen</t>
  </si>
  <si>
    <t>Ovezande</t>
  </si>
  <si>
    <t>Petten</t>
  </si>
  <si>
    <t>Philippine</t>
  </si>
  <si>
    <t>Poortugaal</t>
  </si>
  <si>
    <t>Purmerend</t>
  </si>
  <si>
    <t>Putten (Gld)</t>
  </si>
  <si>
    <t>Rotterdam-Waalhaven</t>
  </si>
  <si>
    <t>Rekken</t>
  </si>
  <si>
    <t>Reuver</t>
  </si>
  <si>
    <t>Rheezerveen</t>
  </si>
  <si>
    <t>Rilland</t>
  </si>
  <si>
    <t>Ritthem</t>
  </si>
  <si>
    <t>Roden</t>
  </si>
  <si>
    <t>Roelofarendsveen</t>
  </si>
  <si>
    <t>Roermond</t>
  </si>
  <si>
    <t>Roodeschool</t>
  </si>
  <si>
    <t>Rouveen</t>
  </si>
  <si>
    <t>Ruinerwold</t>
  </si>
  <si>
    <t>Sappemeer</t>
  </si>
  <si>
    <t>Schaesberg</t>
  </si>
  <si>
    <t>Schagen</t>
  </si>
  <si>
    <t>Schellingwoude</t>
  </si>
  <si>
    <t>Scheveningen</t>
  </si>
  <si>
    <t>Schiermonnikoog</t>
  </si>
  <si>
    <t>Schinnen</t>
  </si>
  <si>
    <t>Schinveld</t>
  </si>
  <si>
    <t>Schoondijke</t>
  </si>
  <si>
    <t>Schoonebeek</t>
  </si>
  <si>
    <t>Schoonlo</t>
  </si>
  <si>
    <t>Sevenum</t>
  </si>
  <si>
    <t>Siebengewald</t>
  </si>
  <si>
    <t>Skrins</t>
  </si>
  <si>
    <t>Sneek</t>
  </si>
  <si>
    <t>Soest</t>
  </si>
  <si>
    <t>Someren</t>
  </si>
  <si>
    <t>Spakenburg</t>
  </si>
  <si>
    <t>St Anna Parochie</t>
  </si>
  <si>
    <t>St Anthonis</t>
  </si>
  <si>
    <t>St Kruis</t>
  </si>
  <si>
    <t>Stavenisse</t>
  </si>
  <si>
    <t>Steenbergen (Nb)</t>
  </si>
  <si>
    <t>Steenwijksmoer</t>
  </si>
  <si>
    <t>Stein (L)</t>
  </si>
  <si>
    <t>Stramproy</t>
  </si>
  <si>
    <t>Strijen</t>
  </si>
  <si>
    <t>Swifterbant</t>
  </si>
  <si>
    <t>Ter Apel</t>
  </si>
  <si>
    <t>Ternaard</t>
  </si>
  <si>
    <t>Terneuzen</t>
  </si>
  <si>
    <t>Tholen</t>
  </si>
  <si>
    <t>Tiel</t>
  </si>
  <si>
    <t>Tilburg</t>
  </si>
  <si>
    <t>Tollebeek</t>
  </si>
  <si>
    <t>Tubbergen</t>
  </si>
  <si>
    <t>Ubachsberg</t>
  </si>
  <si>
    <t>Uithuizen</t>
  </si>
  <si>
    <t>Vaals</t>
  </si>
  <si>
    <t>Vaassen</t>
  </si>
  <si>
    <t>Valkenburg (L)</t>
  </si>
  <si>
    <t>Veendam</t>
  </si>
  <si>
    <t>Veenendaal</t>
  </si>
  <si>
    <t>Veenhuizen (D)</t>
  </si>
  <si>
    <t>Venlo</t>
  </si>
  <si>
    <t>Venray</t>
  </si>
  <si>
    <t>Vilsteren</t>
  </si>
  <si>
    <t>Vlagtwedde</t>
  </si>
  <si>
    <t>Vleuten</t>
  </si>
  <si>
    <t>Voorschoten</t>
  </si>
  <si>
    <t>Voorthuizen</t>
  </si>
  <si>
    <t>Vroomshoop</t>
  </si>
  <si>
    <t>Vrouwenpolder</t>
  </si>
  <si>
    <t>Waalre</t>
  </si>
  <si>
    <t>Wageningen (Pd)</t>
  </si>
  <si>
    <t>Wapenveld</t>
  </si>
  <si>
    <t>Warffum</t>
  </si>
  <si>
    <t>Weerselo</t>
  </si>
  <si>
    <t>Weert</t>
  </si>
  <si>
    <t>Weesp</t>
  </si>
  <si>
    <t>West Beemster</t>
  </si>
  <si>
    <t>West Terschelling</t>
  </si>
  <si>
    <t>Westkapelle</t>
  </si>
  <si>
    <t>Wijk bij Duurstede</t>
  </si>
  <si>
    <t>Winschoten</t>
  </si>
  <si>
    <t>Winterswijk (Sibinkweg)</t>
  </si>
  <si>
    <t>Wolphaartsdijk</t>
  </si>
  <si>
    <t>Woltersum</t>
  </si>
  <si>
    <t>Woold</t>
  </si>
  <si>
    <t>Woudenberg</t>
  </si>
  <si>
    <t>Zaandam (Hembrug)</t>
  </si>
  <si>
    <t>Zaandijk</t>
  </si>
  <si>
    <t>Zaltbommel</t>
  </si>
  <si>
    <t>Zandvoort</t>
  </si>
  <si>
    <t>Zeerijp</t>
  </si>
  <si>
    <t>Zeewolde (Schillinkweg)</t>
  </si>
  <si>
    <t>Zeewolde</t>
  </si>
  <si>
    <t>Zegveld</t>
  </si>
  <si>
    <t>Zetten</t>
  </si>
  <si>
    <t>Zoetermeer</t>
  </si>
  <si>
    <t>Zoutkamp</t>
  </si>
  <si>
    <t>Zundert</t>
  </si>
  <si>
    <t>Zweelo</t>
  </si>
  <si>
    <t>Zwolle</t>
  </si>
  <si>
    <t>X</t>
  </si>
  <si>
    <t>Longitude</t>
  </si>
  <si>
    <t>Latitude</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</si>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</sst>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b/>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applyAlignment="1">
      <alignment horizontal="left"/>
    </xf>
    <xf numFmtId="0" fontId="1" fillId="0" borderId="0" xfId="0" applyFont="1" applyAlignment="1">
      <alignment horizontal="left"/>
    </xf>
  </cellXfs>
  <cellStyles count="1">
    <cellStyle name="Standa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Kantoorthema">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364AE-800D-412F-BA5B-EE68B5A07DFA}">
  <sheetPr codeName="Blad1"/>
  <dimension ref="A1:L34"/>
  <sheetViews>
    <sheetView tabSelected="1" workbookViewId="0">
      <selection activeCell="G2" sqref="G2:G34"/>
    </sheetView>
  </sheetViews>
  <sheetFormatPr defaultColWidth="8.85546875" defaultRowHeight="15" x14ac:dyDescent="0.25"/>
  <cols>
    <col min="1" max="1" width="27.28515625" style="1" bestFit="1" customWidth="1"/>
    <col min="2" max="2" width="16.140625" style="1" customWidth="1"/>
    <col min="3" max="3" width="16.28515625" style="1" hidden="1" customWidth="1"/>
    <col min="4" max="4" width="17.85546875" style="1" hidden="1" customWidth="1"/>
    <col min="5" max="6" width="8.85546875" style="1"/>
    <col min="7" max="7" width="9.85546875" style="1" bestFit="1" customWidth="1"/>
    <col min="8" max="16384" width="8.85546875" style="1"/>
  </cols>
  <sheetData>
    <row r="1" spans="1:12" s="2" customFormat="1" x14ac:dyDescent="0.25">
      <c r="A1" s="2" t="s">
        <v>32</v>
      </c>
      <c r="B1" s="2" t="s">
        <v>33</v>
      </c>
      <c r="C1" s="2" t="s">
        <v>341</v>
      </c>
      <c r="D1" s="2" t="s">
        <v>340</v>
      </c>
      <c r="E1" s="2" t="s">
        <v>339</v>
      </c>
      <c r="F1" s="2" t="s">
        <v>342</v>
      </c>
      <c r="L1" s="1" t="str" cm="1">
        <f t="array" ref="L1">CONCATENATEWITHDELIMITER(G2:G34,CHAR(10))</f>
        <v>Valkenburg,6210,89000,466000
De Kooy,6235,115000,548000
Schiphol,6240,112900,479293
Berkhout,6249,127437,517022
Hoorn (Terschelling),6251,152524,600408
Wijk aan Zee,6257,103000,501000
De Bilt,6260,141000,457000
Soesterberg,6265,146975,460206
Stavoren,6267,153000,544000
Lelystad (Eendenweg),6269,165000,496000
Leeuwarden,6270,180000,582000
Marknesse,6273,187000,523000
Deelen,6275,189000,453000
Lauwersoog,6277,209051,602938
Heino,6278,215000,495000
Hoogeveen,6279,229000,525000
Eelde,6280,235000,571000
Hupsel,6283,241000,454000
Nieuw Beerta,6286,272792,580703
Twenthe,6290,259000,476000
Vlissingen,6310,30748,384956
Westdorpe,6319,49000,360000
Wilhelminadorp,6323,52000,394000
Hoek van Holland,6330,70000,445000
Rotterdam,6344,89882,440597
Cabauw,6348,123582,442497
Gilze-Rijen,6350,123000,398000
Herwijnen,6356,139000,426000
Eindhoven (Vb),6370,157000,384000
Volkel,6375,177000,408000
Ell,6377,181056,356800
Maastricht,6380,181924,324541
Arcen,6391,210000,388000</v>
      </c>
    </row>
    <row r="2" spans="1:12" x14ac:dyDescent="0.25">
      <c r="A2" s="1" t="s">
        <v>0</v>
      </c>
      <c r="B2" s="1">
        <v>6210</v>
      </c>
      <c r="C2" s="1">
        <f>VLOOKUP($A2,Coordinaten!$A:$C,2,FALSE)</f>
        <v>52.178190000000001</v>
      </c>
      <c r="D2" s="1">
        <f>VLOOKUP($A2,Coordinaten!$A:$C,3,FALSE)</f>
        <v>4.4222580000000002</v>
      </c>
      <c r="E2" cm="1">
        <f t="array" ref="E2">WGS842X($C2,$D2)</f>
        <v>89000</v>
      </c>
      <c r="F2" cm="1">
        <f t="array" ref="F2">WGS842Y($C2,$D2)</f>
        <v>466000</v>
      </c>
      <c r="G2" s="1" t="str">
        <f>A2&amp;"," &amp;B2 &amp;"," &amp;E2&amp;"," &amp;F2</f>
        <v>Valkenburg,6210,89000,466000</v>
      </c>
    </row>
    <row r="3" spans="1:12" x14ac:dyDescent="0.25">
      <c r="A3" s="1" t="s">
        <v>1</v>
      </c>
      <c r="B3" s="1">
        <v>6235</v>
      </c>
      <c r="C3" s="1">
        <f>VLOOKUP(A3,Coordinaten!A:C,2,FALSE)</f>
        <v>52.917603</v>
      </c>
      <c r="D3" s="1">
        <f>VLOOKUP($A3,Coordinaten!$A:$C,3,FALSE)</f>
        <v>4.7925139999999997</v>
      </c>
      <c r="E3" cm="1">
        <f t="array" ref="E3">WGS842X($C3,$D3)</f>
        <v>115000</v>
      </c>
      <c r="F3" cm="1">
        <f t="array" ref="F3">WGS842Y($C3,$D3)</f>
        <v>548000</v>
      </c>
      <c r="G3" s="1" t="str">
        <f t="shared" ref="G3:G34" si="0">A3&amp;"," &amp;B3 &amp;"," &amp;E3&amp;"," &amp;F3</f>
        <v>De Kooy,6235,115000,548000</v>
      </c>
    </row>
    <row r="4" spans="1:12" x14ac:dyDescent="0.25">
      <c r="A4" s="1" t="s">
        <v>2</v>
      </c>
      <c r="B4" s="1">
        <v>6240</v>
      </c>
      <c r="C4" s="1">
        <f>VLOOKUP(A4,Coordinaten!A:C,2,FALSE)</f>
        <v>52.3</v>
      </c>
      <c r="D4" s="1">
        <f>VLOOKUP($A4,Coordinaten!$A:$C,3,FALSE)</f>
        <v>4.7699999999999996</v>
      </c>
      <c r="E4" cm="1">
        <f t="array" ref="E4">WGS842X($C4,$D4)</f>
        <v>112900</v>
      </c>
      <c r="F4" cm="1">
        <f t="array" ref="F4">WGS842Y($C4,$D4)</f>
        <v>479293</v>
      </c>
      <c r="G4" s="1" t="str">
        <f t="shared" si="0"/>
        <v>Schiphol,6240,112900,479293</v>
      </c>
    </row>
    <row r="5" spans="1:12" x14ac:dyDescent="0.25">
      <c r="A5" s="1" t="s">
        <v>3</v>
      </c>
      <c r="B5" s="1">
        <v>6249</v>
      </c>
      <c r="C5" s="1">
        <f>VLOOKUP(A5,Coordinaten!A:C,2,FALSE)</f>
        <v>52.64</v>
      </c>
      <c r="D5" s="1">
        <f>VLOOKUP($A5,Coordinaten!$A:$C,3,FALSE)</f>
        <v>4.9800000000000004</v>
      </c>
      <c r="E5" cm="1">
        <f t="array" ref="E5">WGS842X($C5,$D5)</f>
        <v>127437</v>
      </c>
      <c r="F5" cm="1">
        <f t="array" ref="F5">WGS842Y($C5,$D5)</f>
        <v>517022</v>
      </c>
      <c r="G5" s="1" t="str">
        <f t="shared" si="0"/>
        <v>Berkhout,6249,127437,517022</v>
      </c>
    </row>
    <row r="6" spans="1:12" x14ac:dyDescent="0.25">
      <c r="A6" s="1" t="s">
        <v>161</v>
      </c>
      <c r="B6" s="1">
        <v>6251</v>
      </c>
      <c r="C6" s="1">
        <f>VLOOKUP(A6,Coordinaten!A:C,2,FALSE)</f>
        <v>53.39</v>
      </c>
      <c r="D6" s="1">
        <f>VLOOKUP($A6,Coordinaten!$A:$C,3,FALSE)</f>
        <v>5.35</v>
      </c>
      <c r="E6" cm="1">
        <f t="array" ref="E6">WGS842X($C6,$D6)</f>
        <v>152524</v>
      </c>
      <c r="F6" cm="1">
        <f t="array" ref="F6">WGS842Y($C6,$D6)</f>
        <v>600408</v>
      </c>
      <c r="G6" s="1" t="str">
        <f t="shared" si="0"/>
        <v>Hoorn (Terschelling),6251,152524,600408</v>
      </c>
    </row>
    <row r="7" spans="1:12" x14ac:dyDescent="0.25">
      <c r="A7" s="1" t="s">
        <v>4</v>
      </c>
      <c r="B7" s="1">
        <v>6257</v>
      </c>
      <c r="C7" s="1">
        <f>VLOOKUP(A7,Coordinaten!A:C,2,FALSE)</f>
        <v>52.494230000000002</v>
      </c>
      <c r="D7" s="1">
        <f>VLOOKUP($A7,Coordinaten!$A:$C,3,FALSE)</f>
        <v>4.6215190000000002</v>
      </c>
      <c r="E7" cm="1">
        <f t="array" ref="E7">WGS842X($C7,$D7)</f>
        <v>103000</v>
      </c>
      <c r="F7" cm="1">
        <f t="array" ref="F7">WGS842Y($C7,$D7)</f>
        <v>501000</v>
      </c>
      <c r="G7" s="1" t="str">
        <f t="shared" si="0"/>
        <v>Wijk aan Zee,6257,103000,501000</v>
      </c>
    </row>
    <row r="8" spans="1:12" x14ac:dyDescent="0.25">
      <c r="A8" s="1" t="s">
        <v>5</v>
      </c>
      <c r="B8" s="1">
        <v>6260</v>
      </c>
      <c r="C8" s="1">
        <f>VLOOKUP(A8,Coordinaten!A:C,2,FALSE)</f>
        <v>52.101064999999998</v>
      </c>
      <c r="D8" s="1">
        <f>VLOOKUP($A8,Coordinaten!$A:$C,3,FALSE)</f>
        <v>5.1828770000000004</v>
      </c>
      <c r="E8" cm="1">
        <f t="array" ref="E8">WGS842X($C8,$D8)</f>
        <v>141000</v>
      </c>
      <c r="F8" cm="1">
        <f t="array" ref="F8">WGS842Y($C8,$D8)</f>
        <v>457000</v>
      </c>
      <c r="G8" s="1" t="str">
        <f t="shared" si="0"/>
        <v>De Bilt,6260,141000,457000</v>
      </c>
    </row>
    <row r="9" spans="1:12" x14ac:dyDescent="0.25">
      <c r="A9" s="1" t="s">
        <v>6</v>
      </c>
      <c r="B9" s="1">
        <v>6265</v>
      </c>
      <c r="C9" s="1">
        <f>VLOOKUP(A9,Coordinaten!A:C,2,FALSE)</f>
        <v>52.13</v>
      </c>
      <c r="D9" s="1">
        <f>VLOOKUP($A9,Coordinaten!$A:$C,3,FALSE)</f>
        <v>5.27</v>
      </c>
      <c r="E9" cm="1">
        <f t="array" ref="E9">WGS842X($C9,$D9)</f>
        <v>146975</v>
      </c>
      <c r="F9" cm="1">
        <f t="array" ref="F9">WGS842Y($C9,$D9)</f>
        <v>460206</v>
      </c>
      <c r="G9" s="1" t="str">
        <f t="shared" si="0"/>
        <v>Soesterberg,6265,146975,460206</v>
      </c>
    </row>
    <row r="10" spans="1:12" x14ac:dyDescent="0.25">
      <c r="A10" s="1" t="s">
        <v>7</v>
      </c>
      <c r="B10" s="1">
        <v>6267</v>
      </c>
      <c r="C10" s="1">
        <f>VLOOKUP(A10,Coordinaten!A:C,2,FALSE)</f>
        <v>52.883133999999998</v>
      </c>
      <c r="D10" s="1">
        <f>VLOOKUP($A10,Coordinaten!$A:$C,3,FALSE)</f>
        <v>5.3574979999999996</v>
      </c>
      <c r="E10" cm="1">
        <f t="array" ref="E10">WGS842X($C10,$D10)</f>
        <v>153000</v>
      </c>
      <c r="F10" cm="1">
        <f t="array" ref="F10">WGS842Y($C10,$D10)</f>
        <v>544000</v>
      </c>
      <c r="G10" s="1" t="str">
        <f t="shared" si="0"/>
        <v>Stavoren,6267,153000,544000</v>
      </c>
    </row>
    <row r="11" spans="1:12" x14ac:dyDescent="0.25">
      <c r="A11" s="1" t="s">
        <v>8</v>
      </c>
      <c r="B11" s="1">
        <v>6269</v>
      </c>
      <c r="C11" s="1">
        <f>VLOOKUP(A11,Coordinaten!A:C,2,FALSE)</f>
        <v>52.451672000000002</v>
      </c>
      <c r="D11" s="1">
        <f>VLOOKUP($A11,Coordinaten!$A:$C,3,FALSE)</f>
        <v>5.5343109999999998</v>
      </c>
      <c r="E11" cm="1">
        <f t="array" ref="E11">WGS842X($C11,$D11)</f>
        <v>165000</v>
      </c>
      <c r="F11" cm="1">
        <f t="array" ref="F11">WGS842Y($C11,$D11)</f>
        <v>496000</v>
      </c>
      <c r="G11" s="1" t="str">
        <f t="shared" si="0"/>
        <v>Lelystad (Eendenweg),6269,165000,496000</v>
      </c>
    </row>
    <row r="12" spans="1:12" x14ac:dyDescent="0.25">
      <c r="A12" s="1" t="s">
        <v>9</v>
      </c>
      <c r="B12" s="1">
        <v>6270</v>
      </c>
      <c r="C12" s="1">
        <f>VLOOKUP(A12,Coordinaten!A:C,2,FALSE)</f>
        <v>53.224021</v>
      </c>
      <c r="D12" s="1">
        <f>VLOOKUP($A12,Coordinaten!$A:$C,3,FALSE)</f>
        <v>5.7615239999999996</v>
      </c>
      <c r="E12" cm="1">
        <f t="array" ref="E12">WGS842X($C12,$D12)</f>
        <v>180000</v>
      </c>
      <c r="F12" cm="1">
        <f t="array" ref="F12">WGS842Y($C12,$D12)</f>
        <v>582000</v>
      </c>
      <c r="G12" s="1" t="str">
        <f t="shared" si="0"/>
        <v>Leeuwarden,6270,180000,582000</v>
      </c>
    </row>
    <row r="13" spans="1:12" x14ac:dyDescent="0.25">
      <c r="A13" s="1" t="s">
        <v>10</v>
      </c>
      <c r="B13" s="1">
        <v>6273</v>
      </c>
      <c r="C13" s="1">
        <f>VLOOKUP(A13,Coordinaten!A:C,2,FALSE)</f>
        <v>52.693474999999999</v>
      </c>
      <c r="D13" s="1">
        <f>VLOOKUP($A13,Coordinaten!$A:$C,3,FALSE)</f>
        <v>5.8605330000000002</v>
      </c>
      <c r="E13" cm="1">
        <f t="array" ref="E13">WGS842X($C13,$D13)</f>
        <v>187000</v>
      </c>
      <c r="F13" cm="1">
        <f t="array" ref="F13">WGS842Y($C13,$D13)</f>
        <v>523000</v>
      </c>
      <c r="G13" s="1" t="str">
        <f t="shared" si="0"/>
        <v>Marknesse,6273,187000,523000</v>
      </c>
    </row>
    <row r="14" spans="1:12" x14ac:dyDescent="0.25">
      <c r="A14" s="1" t="s">
        <v>11</v>
      </c>
      <c r="B14" s="1">
        <v>6275</v>
      </c>
      <c r="C14" s="1">
        <f>VLOOKUP(A14,Coordinaten!A:C,2,FALSE)</f>
        <v>52.064245999999997</v>
      </c>
      <c r="D14" s="1">
        <f>VLOOKUP($A14,Coordinaten!$A:$C,3,FALSE)</f>
        <v>5.8830260000000001</v>
      </c>
      <c r="E14" cm="1">
        <f t="array" ref="E14">WGS842X($C14,$D14)</f>
        <v>189000</v>
      </c>
      <c r="F14" cm="1">
        <f t="array" ref="F14">WGS842Y($C14,$D14)</f>
        <v>453000</v>
      </c>
      <c r="G14" s="1" t="str">
        <f t="shared" si="0"/>
        <v>Deelen,6275,189000,453000</v>
      </c>
    </row>
    <row r="15" spans="1:12" x14ac:dyDescent="0.25">
      <c r="A15" s="1" t="s">
        <v>12</v>
      </c>
      <c r="B15" s="1">
        <v>6277</v>
      </c>
      <c r="C15" s="1">
        <f>VLOOKUP(A15,Coordinaten!A:C,2,FALSE)</f>
        <v>53.41</v>
      </c>
      <c r="D15" s="1">
        <f>VLOOKUP($A15,Coordinaten!$A:$C,3,FALSE)</f>
        <v>6.2</v>
      </c>
      <c r="E15" cm="1">
        <f t="array" ref="E15">WGS842X($C15,$D15)</f>
        <v>209051</v>
      </c>
      <c r="F15" cm="1">
        <f t="array" ref="F15">WGS842Y($C15,$D15)</f>
        <v>602938</v>
      </c>
      <c r="G15" s="1" t="str">
        <f t="shared" si="0"/>
        <v>Lauwersoog,6277,209051,602938</v>
      </c>
    </row>
    <row r="16" spans="1:12" x14ac:dyDescent="0.25">
      <c r="A16" s="1" t="s">
        <v>13</v>
      </c>
      <c r="B16" s="1">
        <v>6278</v>
      </c>
      <c r="C16" s="1">
        <f>VLOOKUP(A16,Coordinaten!A:C,2,FALSE)</f>
        <v>52.439489000000002</v>
      </c>
      <c r="D16" s="1">
        <f>VLOOKUP($A16,Coordinaten!$A:$C,3,FALSE)</f>
        <v>6.2696040000000002</v>
      </c>
      <c r="E16" cm="1">
        <f t="array" ref="E16">WGS842X($C16,$D16)</f>
        <v>215000</v>
      </c>
      <c r="F16" cm="1">
        <f t="array" ref="F16">WGS842Y($C16,$D16)</f>
        <v>495000</v>
      </c>
      <c r="G16" s="1" t="str">
        <f t="shared" si="0"/>
        <v>Heino,6278,215000,495000</v>
      </c>
    </row>
    <row r="17" spans="1:7" x14ac:dyDescent="0.25">
      <c r="A17" s="1" t="s">
        <v>14</v>
      </c>
      <c r="B17" s="1">
        <v>6279</v>
      </c>
      <c r="C17" s="1">
        <f>VLOOKUP(A17,Coordinaten!A:C,2,FALSE)</f>
        <v>52.707352</v>
      </c>
      <c r="D17" s="1">
        <f>VLOOKUP($A17,Coordinaten!$A:$C,3,FALSE)</f>
        <v>6.4821419999999996</v>
      </c>
      <c r="E17" cm="1">
        <f t="array" ref="E17">WGS842X($C17,$D17)</f>
        <v>229000</v>
      </c>
      <c r="F17" cm="1">
        <f t="array" ref="F17">WGS842Y($C17,$D17)</f>
        <v>525000</v>
      </c>
      <c r="G17" s="1" t="str">
        <f t="shared" si="0"/>
        <v>Hoogeveen,6279,229000,525000</v>
      </c>
    </row>
    <row r="18" spans="1:7" x14ac:dyDescent="0.25">
      <c r="A18" s="1" t="s">
        <v>15</v>
      </c>
      <c r="B18" s="1">
        <v>6280</v>
      </c>
      <c r="C18" s="1">
        <f>VLOOKUP(A18,Coordinaten!A:C,2,FALSE)</f>
        <v>53.119802999999997</v>
      </c>
      <c r="D18" s="1">
        <f>VLOOKUP($A18,Coordinaten!$A:$C,3,FALSE)</f>
        <v>6.5821709999999998</v>
      </c>
      <c r="E18" cm="1">
        <f t="array" ref="E18">WGS842X($C18,$D18)</f>
        <v>235000</v>
      </c>
      <c r="F18" cm="1">
        <f t="array" ref="F18">WGS842Y($C18,$D18)</f>
        <v>571000</v>
      </c>
      <c r="G18" s="1" t="str">
        <f t="shared" si="0"/>
        <v>Eelde,6280,235000,571000</v>
      </c>
    </row>
    <row r="19" spans="1:7" x14ac:dyDescent="0.25">
      <c r="A19" s="1" t="s">
        <v>16</v>
      </c>
      <c r="B19" s="1">
        <v>6283</v>
      </c>
      <c r="C19" s="1">
        <f>VLOOKUP(A19,Coordinaten!A:C,2,FALSE)</f>
        <v>52.067599000000001</v>
      </c>
      <c r="D19" s="1">
        <f>VLOOKUP($A19,Coordinaten!$A:$C,3,FALSE)</f>
        <v>6.6414710000000001</v>
      </c>
      <c r="E19" cm="1">
        <f t="array" ref="E19">WGS842X($C19,$D19)</f>
        <v>241000</v>
      </c>
      <c r="F19" cm="1">
        <f t="array" ref="F19">WGS842Y($C19,$D19)</f>
        <v>454000</v>
      </c>
      <c r="G19" s="1" t="str">
        <f t="shared" si="0"/>
        <v>Hupsel,6283,241000,454000</v>
      </c>
    </row>
    <row r="20" spans="1:7" x14ac:dyDescent="0.25">
      <c r="A20" s="1" t="s">
        <v>17</v>
      </c>
      <c r="B20" s="1">
        <v>6286</v>
      </c>
      <c r="C20" s="1">
        <f>VLOOKUP(A20,Coordinaten!A:C,2,FALSE)</f>
        <v>53.2</v>
      </c>
      <c r="D20" s="1">
        <f>VLOOKUP($A20,Coordinaten!$A:$C,3,FALSE)</f>
        <v>7.15</v>
      </c>
      <c r="E20" cm="1">
        <f t="array" ref="E20">WGS842X($C20,$D20)</f>
        <v>272792</v>
      </c>
      <c r="F20" cm="1">
        <f t="array" ref="F20">WGS842Y($C20,$D20)</f>
        <v>580703</v>
      </c>
      <c r="G20" s="1" t="str">
        <f t="shared" si="0"/>
        <v>Nieuw Beerta,6286,272792,580703</v>
      </c>
    </row>
    <row r="21" spans="1:7" x14ac:dyDescent="0.25">
      <c r="A21" s="1" t="s">
        <v>18</v>
      </c>
      <c r="B21" s="1">
        <v>6290</v>
      </c>
      <c r="C21" s="1">
        <f>VLOOKUP(A21,Coordinaten!A:C,2,FALSE)</f>
        <v>52.262188999999999</v>
      </c>
      <c r="D21" s="1">
        <f>VLOOKUP($A21,Coordinaten!$A:$C,3,FALSE)</f>
        <v>6.9106480000000001</v>
      </c>
      <c r="E21" cm="1">
        <f t="array" ref="E21">WGS842X($C21,$D21)</f>
        <v>259000</v>
      </c>
      <c r="F21" cm="1">
        <f t="array" ref="F21">WGS842Y($C21,$D21)</f>
        <v>476000</v>
      </c>
      <c r="G21" s="1" t="str">
        <f t="shared" si="0"/>
        <v>Twenthe,6290,259000,476000</v>
      </c>
    </row>
    <row r="22" spans="1:7" x14ac:dyDescent="0.25">
      <c r="A22" s="1" t="s">
        <v>19</v>
      </c>
      <c r="B22" s="1">
        <v>6310</v>
      </c>
      <c r="C22" s="1">
        <f>VLOOKUP(A22,Coordinaten!A:C,2,FALSE)</f>
        <v>51.44</v>
      </c>
      <c r="D22" s="1">
        <f>VLOOKUP($A22,Coordinaten!$A:$C,3,FALSE)</f>
        <v>3.6</v>
      </c>
      <c r="E22" cm="1">
        <f t="array" ref="E22">WGS842X($C22,$D22)</f>
        <v>30748</v>
      </c>
      <c r="F22" cm="1">
        <f t="array" ref="F22">WGS842Y($C22,$D22)</f>
        <v>384956</v>
      </c>
      <c r="G22" s="1" t="str">
        <f t="shared" si="0"/>
        <v>Vlissingen,6310,30748,384956</v>
      </c>
    </row>
    <row r="23" spans="1:7" x14ac:dyDescent="0.25">
      <c r="A23" s="1" t="s">
        <v>20</v>
      </c>
      <c r="B23" s="1">
        <v>6319</v>
      </c>
      <c r="C23" s="1">
        <f>VLOOKUP(A23,Coordinaten!A:C,2,FALSE)</f>
        <v>51.219462</v>
      </c>
      <c r="D23" s="1">
        <f>VLOOKUP($A23,Coordinaten!$A:$C,3,FALSE)</f>
        <v>3.8699029999999999</v>
      </c>
      <c r="E23" cm="1">
        <f t="array" ref="E23">WGS842X($C23,$D23)</f>
        <v>49000</v>
      </c>
      <c r="F23" cm="1">
        <f t="array" ref="F23">WGS842Y($C23,$D23)</f>
        <v>360000</v>
      </c>
      <c r="G23" s="1" t="str">
        <f t="shared" si="0"/>
        <v>Westdorpe,6319,49000,360000</v>
      </c>
    </row>
    <row r="24" spans="1:7" x14ac:dyDescent="0.25">
      <c r="A24" s="1" t="s">
        <v>21</v>
      </c>
      <c r="B24" s="1">
        <v>6323</v>
      </c>
      <c r="C24" s="1">
        <f>VLOOKUP(A24,Coordinaten!A:C,2,FALSE)</f>
        <v>51.525548000000001</v>
      </c>
      <c r="D24" s="1">
        <f>VLOOKUP($A24,Coordinaten!$A:$C,3,FALSE)</f>
        <v>3.9029310000000002</v>
      </c>
      <c r="E24" cm="1">
        <f t="array" ref="E24">WGS842X($C24,$D24)</f>
        <v>52000</v>
      </c>
      <c r="F24" cm="1">
        <f t="array" ref="F24">WGS842Y($C24,$D24)</f>
        <v>394000</v>
      </c>
      <c r="G24" s="1" t="str">
        <f t="shared" si="0"/>
        <v>Wilhelminadorp,6323,52000,394000</v>
      </c>
    </row>
    <row r="25" spans="1:7" x14ac:dyDescent="0.25">
      <c r="A25" s="1" t="s">
        <v>22</v>
      </c>
      <c r="B25" s="1">
        <v>6330</v>
      </c>
      <c r="C25" s="1">
        <f>VLOOKUP(A25,Coordinaten!A:C,2,FALSE)</f>
        <v>51.986879000000002</v>
      </c>
      <c r="D25" s="1">
        <f>VLOOKUP($A25,Coordinaten!$A:$C,3,FALSE)</f>
        <v>4.1497580000000003</v>
      </c>
      <c r="E25" cm="1">
        <f t="array" ref="E25">WGS842X($C25,$D25)</f>
        <v>70000</v>
      </c>
      <c r="F25" cm="1">
        <f t="array" ref="F25">WGS842Y($C25,$D25)</f>
        <v>445000</v>
      </c>
      <c r="G25" s="1" t="str">
        <f t="shared" si="0"/>
        <v>Hoek van Holland,6330,70000,445000</v>
      </c>
    </row>
    <row r="26" spans="1:7" x14ac:dyDescent="0.25">
      <c r="A26" s="1" t="s">
        <v>23</v>
      </c>
      <c r="B26" s="1">
        <v>6344</v>
      </c>
      <c r="C26" s="1">
        <f>VLOOKUP(A26,Coordinaten!A:C,2,FALSE)</f>
        <v>51.95</v>
      </c>
      <c r="D26" s="1">
        <f>VLOOKUP($A26,Coordinaten!$A:$C,3,FALSE)</f>
        <v>4.4400000000000004</v>
      </c>
      <c r="E26" cm="1">
        <f t="array" ref="E26">WGS842X($C26,$D26)</f>
        <v>89882</v>
      </c>
      <c r="F26" cm="1">
        <f t="array" ref="F26">WGS842Y($C26,$D26)</f>
        <v>440597</v>
      </c>
      <c r="G26" s="1" t="str">
        <f t="shared" si="0"/>
        <v>Rotterdam,6344,89882,440597</v>
      </c>
    </row>
    <row r="27" spans="1:7" x14ac:dyDescent="0.25">
      <c r="A27" s="1" t="s">
        <v>24</v>
      </c>
      <c r="B27" s="1">
        <v>6348</v>
      </c>
      <c r="C27" s="1">
        <f>VLOOKUP(A27,Coordinaten!A:C,2,FALSE)</f>
        <v>51.97</v>
      </c>
      <c r="D27" s="1">
        <f>VLOOKUP($A27,Coordinaten!$A:$C,3,FALSE)</f>
        <v>4.93</v>
      </c>
      <c r="E27" cm="1">
        <f t="array" ref="E27">WGS842X($C27,$D27)</f>
        <v>123582</v>
      </c>
      <c r="F27" cm="1">
        <f t="array" ref="F27">WGS842Y($C27,$D27)</f>
        <v>442497</v>
      </c>
      <c r="G27" s="1" t="str">
        <f t="shared" si="0"/>
        <v>Cabauw,6348,123582,442497</v>
      </c>
    </row>
    <row r="28" spans="1:7" x14ac:dyDescent="0.25">
      <c r="A28" s="1" t="s">
        <v>25</v>
      </c>
      <c r="B28" s="1">
        <v>6350</v>
      </c>
      <c r="C28" s="1">
        <f>VLOOKUP(A28,Coordinaten!A:C,2,FALSE)</f>
        <v>51.57002</v>
      </c>
      <c r="D28" s="1">
        <f>VLOOKUP($A28,Coordinaten!$A:$C,3,FALSE)</f>
        <v>4.9256390000000003</v>
      </c>
      <c r="E28" cm="1">
        <f t="array" ref="E28">WGS842X($C28,$D28)</f>
        <v>123000</v>
      </c>
      <c r="F28" cm="1">
        <f t="array" ref="F28">WGS842Y($C28,$D28)</f>
        <v>398000</v>
      </c>
      <c r="G28" s="1" t="str">
        <f t="shared" si="0"/>
        <v>Gilze-Rijen,6350,123000,398000</v>
      </c>
    </row>
    <row r="29" spans="1:7" x14ac:dyDescent="0.25">
      <c r="A29" s="1" t="s">
        <v>26</v>
      </c>
      <c r="B29" s="1">
        <v>6356</v>
      </c>
      <c r="C29" s="1">
        <f>VLOOKUP(A29,Coordinaten!A:C,2,FALSE)</f>
        <v>51.822378999999998</v>
      </c>
      <c r="D29" s="1">
        <f>VLOOKUP($A29,Coordinaten!$A:$C,3,FALSE)</f>
        <v>5.155132</v>
      </c>
      <c r="E29" cm="1">
        <f t="array" ref="E29">WGS842X($C29,$D29)</f>
        <v>139000</v>
      </c>
      <c r="F29" cm="1">
        <f t="array" ref="F29">WGS842Y($C29,$D29)</f>
        <v>426000</v>
      </c>
      <c r="G29" s="1" t="str">
        <f t="shared" si="0"/>
        <v>Herwijnen,6356,139000,426000</v>
      </c>
    </row>
    <row r="30" spans="1:7" x14ac:dyDescent="0.25">
      <c r="A30" s="1" t="s">
        <v>27</v>
      </c>
      <c r="B30" s="1">
        <v>6370</v>
      </c>
      <c r="C30" s="1">
        <f>VLOOKUP(A30,Coordinaten!A:C,2,FALSE)</f>
        <v>51.445086000000003</v>
      </c>
      <c r="D30" s="1">
        <f>VLOOKUP($A30,Coordinaten!$A:$C,3,FALSE)</f>
        <v>5.415972</v>
      </c>
      <c r="E30" cm="1">
        <f t="array" ref="E30">WGS842X($C30,$D30)</f>
        <v>157000</v>
      </c>
      <c r="F30" cm="1">
        <f t="array" ref="F30">WGS842Y($C30,$D30)</f>
        <v>384000</v>
      </c>
      <c r="G30" s="1" t="str">
        <f t="shared" si="0"/>
        <v>Eindhoven (Vb),6370,157000,384000</v>
      </c>
    </row>
    <row r="31" spans="1:7" x14ac:dyDescent="0.25">
      <c r="A31" s="1" t="s">
        <v>28</v>
      </c>
      <c r="B31" s="1">
        <v>6375</v>
      </c>
      <c r="C31" s="1">
        <f>VLOOKUP(A31,Coordinaten!A:C,2,FALSE)</f>
        <v>51.660384000000001</v>
      </c>
      <c r="D31" s="1">
        <f>VLOOKUP($A31,Coordinaten!$A:$C,3,FALSE)</f>
        <v>5.7051619999999996</v>
      </c>
      <c r="E31" cm="1">
        <f t="array" ref="E31">WGS842X($C31,$D31)</f>
        <v>177000</v>
      </c>
      <c r="F31" cm="1">
        <f t="array" ref="F31">WGS842Y($C31,$D31)</f>
        <v>408000</v>
      </c>
      <c r="G31" s="1" t="str">
        <f t="shared" si="0"/>
        <v>Volkel,6375,177000,408000</v>
      </c>
    </row>
    <row r="32" spans="1:7" x14ac:dyDescent="0.25">
      <c r="A32" s="1" t="s">
        <v>29</v>
      </c>
      <c r="B32" s="1">
        <v>6377</v>
      </c>
      <c r="C32" s="1">
        <f>VLOOKUP(A32,Coordinaten!A:C,2,FALSE)</f>
        <v>51.2</v>
      </c>
      <c r="D32" s="1">
        <f>VLOOKUP($A32,Coordinaten!$A:$C,3,FALSE)</f>
        <v>5.76</v>
      </c>
      <c r="E32" cm="1">
        <f t="array" ref="E32">WGS842X($C32,$D32)</f>
        <v>181056</v>
      </c>
      <c r="F32" cm="1">
        <f t="array" ref="F32">WGS842Y($C32,$D32)</f>
        <v>356800</v>
      </c>
      <c r="G32" s="1" t="str">
        <f t="shared" si="0"/>
        <v>Ell,6377,181056,356800</v>
      </c>
    </row>
    <row r="33" spans="1:7" x14ac:dyDescent="0.25">
      <c r="A33" s="1" t="s">
        <v>30</v>
      </c>
      <c r="B33" s="1">
        <v>6380</v>
      </c>
      <c r="C33" s="1">
        <f>VLOOKUP(A33,Coordinaten!A:C,2,FALSE)</f>
        <v>50.91</v>
      </c>
      <c r="D33" s="1">
        <f>VLOOKUP($A33,Coordinaten!$A:$C,3,FALSE)</f>
        <v>5.77</v>
      </c>
      <c r="E33" cm="1">
        <f t="array" ref="E33">WGS842X($C33,$D33)</f>
        <v>181924</v>
      </c>
      <c r="F33" cm="1">
        <f t="array" ref="F33">WGS842Y($C33,$D33)</f>
        <v>324541</v>
      </c>
      <c r="G33" s="1" t="str">
        <f t="shared" si="0"/>
        <v>Maastricht,6380,181924,324541</v>
      </c>
    </row>
    <row r="34" spans="1:7" x14ac:dyDescent="0.25">
      <c r="A34" s="1" t="s">
        <v>31</v>
      </c>
      <c r="B34" s="1">
        <v>6391</v>
      </c>
      <c r="C34" s="1">
        <f>VLOOKUP(A34,Coordinaten!A:C,2,FALSE)</f>
        <v>51.478358</v>
      </c>
      <c r="D34" s="1">
        <f>VLOOKUP($A34,Coordinaten!$A:$C,3,FALSE)</f>
        <v>6.1789269999999998</v>
      </c>
      <c r="E34" cm="1">
        <f t="array" ref="E34">WGS842X($C34,$D34)</f>
        <v>210000</v>
      </c>
      <c r="F34" cm="1">
        <f t="array" ref="F34">WGS842Y($C34,$D34)</f>
        <v>388000</v>
      </c>
      <c r="G34" s="1" t="str">
        <f t="shared" si="0"/>
        <v>Arcen,6391,210000,388000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5CBE9-0E3E-456E-ACE7-DD0E8E4E5713}">
  <sheetPr codeName="Blad2"/>
  <dimension ref="A1:L326"/>
  <sheetViews>
    <sheetView topLeftCell="A285" workbookViewId="0">
      <selection activeCell="G2" sqref="G2:G326"/>
    </sheetView>
  </sheetViews>
  <sheetFormatPr defaultRowHeight="15" x14ac:dyDescent="0.25"/>
  <cols>
    <col min="1" max="1" width="20.7109375" bestFit="1" customWidth="1"/>
    <col min="2" max="2" width="15.28515625" bestFit="1" customWidth="1"/>
    <col min="5" max="5" width="9.85546875" bestFit="1" customWidth="1"/>
  </cols>
  <sheetData>
    <row r="1" spans="1:12" x14ac:dyDescent="0.25">
      <c r="A1" s="2" t="s">
        <v>32</v>
      </c>
      <c r="B1" s="2" t="s">
        <v>33</v>
      </c>
      <c r="C1" s="2" t="s">
        <v>341</v>
      </c>
      <c r="D1" s="2" t="s">
        <v>340</v>
      </c>
      <c r="E1" s="2" t="s">
        <v>339</v>
      </c>
      <c r="F1" s="2" t="s">
        <v>342</v>
      </c>
      <c r="L1" s="1" t="str" cm="1">
        <f t="array" ref="L1">CONCATENATEWITHDELIMITER(G2:G326,CHAR(10))</f>
        <v>Hollum,10,172000,605000
West Terschelling,11,144000,598000
Schiermonnikoog,12,208000,610000
Oost Vlieland,15,134000,590000
Petten,16,106000,531000
Den Burg,17,116000,563000
Nes (Ameland),18,181000,607000
De Cocksdorp,19,121000,575000
Callantsoog,21,109000,541000
De Koog,22,114000,568000
De Kooy,25,115000,548000
Formerum,26,149000,601000
Skrins,61,173000,570000
Sneek,64,172000,561000
Makkum,65,156000,564000
Harlingen,66,158000,577000
Dokkum,67,195000,593000
St Anna Parochie,68,174000,588000
Appelscha,69,219000,553000
Oudemirdum,70,163000,541000
Drachten,73,203000,570000
Oldeholtpade,75,200000,546000
Kornwerderzand,76,152000,564000
Kollum,77,205000,588000
Herbayum,78,163000,577000
Heeg,79,169000,553000
Stavoren,80,153000,544000
Joure,81,184000,553000
Gorredijk,82,200000,557000
Ezumazijl,84,206000,597000
Leeuwarden,85,180000,582000
Nijbeets,86,196000,564000
Bergumerdam,87,197000,577000
Akkrum,89,184000,563000
Eernewoude,90,192000,572000
Ternaard,91,194000,599000
Middelstum,134,237000,594000
Woltersum,135,244000,588000
Ezinge,136,226000,590000
Groningen,139,235000,578000
Assen,140,236000,558000
Delfzijl,141,258000,594000
Warffum,142,233000,602000
Finsterwolde,143,270000,581000
Ter Apel,144,269000,544000
Zoutkamp,145,215000,594000
Veendam,147,251000,569000
Sappemeer,148,245000,575000
Uithuizen,150,241000,600000
Roodeschool,151,248000,607000
Gieterveen,152,253000,561000
Winschoten,153,266000,573000
Eenrum,154,227000,598000
Eext,155,245000,558000
Vlagtwedde,156,271000,562000
Onnen,158,241000,575000
Nieuw Buinen,159,260000,555000
Veenhuizen (D),160,222000,563000
Eelde,161,235000,571000
Niekerk,162,219000,582000
Roden,163,225000,574000
Zeerijp,164,246000,596000
Marum,166,215000,574000
Anjum,171,205000,600000
Nieuwolda,172,262000,586000
Heiloo,217,111000,512000
Enkhuizen,221,148000,525000
Hoorn (Nh),222,132000,518000
Schellingwoude,223,128000,490000
Edam,224,132000,503000
Overveen,225,101000,490000
Wijk aan Zee,226,103000,501000
Anna Paulowna,227,118000,542000
Schagen,228,116000,534000
Zandvoort,229,95000,484000
Zaandijk,230,116000,499000
Zaandam (Hembrug),233,117000,493000
Bergen (Nh),234,107000,522000
Castricum,235,105000,507000
Medemblik,236,136000,530000
De Haukes,238,125000,544000
Den Oever,239,131000,549000
Kreileroord,240,135000,542000
Purmerend,242,125000,503000
Hoogkarspel,249,140000,522000
West Beemster,251,122000,511000
Kolhorn,252,122000,534000
Obdam (Nieuw),255,121000,521000
Marken (Nieuw),256,137000,497000
Hoogwoud,257,126000,527000
Assendelft,263,110000,498000
Steenwijksmoer,298,242000,520000
Marknesse,317,187000,523000
Laaghalen,323,232000,549000
Frederiksoord,326,209000,540000
Dwingelo,327,224000,538000
Heerde,328,199000,488000
Wapenveld,329,202000,494000
Zwolle,330,206000,505000
Denekamp,331,267000,489000
Hoogeveen,332,229000,525000
Emmen,333,256000,534000
IJsselmuiden,335,194000,510000
Oldebroek,336,191000,489000
Schoonlo,337,244000,547000
Giethoorn,338,201000,526000
Rheezerveen,339,235000,509000
Heino,340,215000,495000
Zweelo,341,246000,535000
Vilsteren,342,221000,505000
Schoonebeek,343,257000,523000
Tollebeek,344,171000,520000
Vroomshoop,345,236000,496000
Emmeloord,348,181000,524000
Klazienaveen,349,264000,529000
Elburg,350,185000,495000
Nagele,352,178000,515000
Blokzijl,353,193000,527000
Dedemsvaart,354,227000,512000
Kuinre,356,186000,533000
Rouveen,358,209000,514000
Lemmer (Gemaal Buma),359,177000,539000
Tubbergen,361,250000,491000
Ruinerwold,362,213000,526000
Dronten,364,187000,506000
Swifterbant,365,171000,508000
Biddinghuizen,366,176000,496000
Oostvaardersdiep,367,144000,492000
Lelystad (Eendenweg),369,165000,496000
Zeewolde,371,154000,489000
Zeewolde (Schillinkweg),372,157000,479000
Zoetermeer,426,96000,454000
Groot Ammers,434,117000,438000
Heemstede,435,104000,484000
Lijnden (Nh),437,112000,485000
Hoofddorp,438,106000,478000
Roelofarendsveen,439,103000,470000
Scheveningen,440,81000,458000
Amsterdam,441,123000,487000
Boskoop,442,107000,455000
Gouda,443,109000,447000
Katwijk aan den Rijn,444,88000,467000
Goedereede,446,57000,426000
Den Bommel,447,80000,415000
Delft,449,85000,447000
Numansdorp,450,88000,417000
Bergschenhoek,453,94000,444000
Lisse,454,98000,475000
Strijen,455,100000,420000
Oostvoorne,456,66000,436000
Aalsmeer,458,113000,475000
Barendrecht,461,97000,430000
Dirksland,462,65000,418000
Nieuw Helvoet,463,68000,428000
Brielle,464,70000,435000
Oud Alblas,465,107000,430000
Poortugaal,467,86000,430000
Leiden,469,93000,462000
Zegveld,470,117000,461000
Ouddorp,471,51000,427000
Rotterdam-Waalhaven,473,89000,434000
Valkenburg,474,89000,466000
Hoek van Holland,477,70000,445000
Maasland,479,77000,443000
Honselersdijk,480,77000,447000
Voorschoten,481,89000,461000
Hendrik Ido Ambacht,482,104000,427000
Krimpen aan de Lek,483,102000,434000
Doorn,509,151000,452000
Vaassen,510,195000,477000
Epe,514,197000,484000
Harderwijk,516,170000,486000
Wijk bij Duurstede,523,150000,442000
Nijmegen,539,190000,429000
Arnhem,541,192000,446000
Putten (Gld),542,170000,472000
Apeldoorn,543,193000,470000
Woudenberg,546,160000,455000
Nijkerk,547,161000,472000
Loenen aan de Vecht,548,131000,469000
Culemborg,549,144000,438000
De Bilt,550,141000,457000
Eerbeek,557,202000,458000
Lunteren,558,170000,456000
Vleuten,559,129000,456000
Amerongen,560,160000,445000
Benschop,561,124000,446000
Tiel,562,159000,438000
Weesp,563,131000,480000
Hulshorst,564,176000,486000
Voorthuizen,565,170000,466000
Kootwijk (Radio),567,185000,465000
Heumen,569,186000,420000
Elspeet,570,182000,478000
Harskamp,571,179000,463000
Abcoude,572,127000,475000
Beekbergen,573,194000,464000
Spakenburg,576,155000,474000
Oosterbeek,578,186000,447000
Veenendaal,579,169000,449000
Barneveld,580,167000,461000
Hamersveld,582,157000,461000
Wageningen (Pd),583,173000,443000
Geldermalsen,584,147000,432000
Duiven,588,198000,442000
Zetten,589,178000,439000
Deelen,591,189000,453000
Laren,593,142000,473000
Soest,595,151000,464000
Eemnes,596,147000,476000
Hengelo,645,218000,453000
Lochem,663,224000,463000
Almelo,664,242000,485000
Enschede,665,259000,470000
Winterswijk (Sibinkweg),666,244000,442000
Doetinchem,667,218000,444000
Hengelo (O),668,249000,476000
Borculo,669,233000,457000
Twenthe,670,259000,476000
Hellendoorn,672,227000,489000
Gendringen,673,221000,431000
Rekken,674,247000,456000
Weerselo,675,256000,486000
Almen,678,219000,464000
Herwen,679,204000,434000
Aalten,680,236000,437000
Lettele,681,216000,476000
Markelo,682,230000,473000
Lichtenvoorde,683,236000,446000
Lievelde,684,241000,448000
Woold,686,248000,438000
Holten,687,228000,480000
Hupsel,688,241000,454000
Deventer,689,212000,475000
Breskens,705,27000,380000
Ritthem,733,32000,387000
Kapelle,735,55000,389000
Brouwershaven,736,51000,417000
Kerkwerve,737,50000,411000
Biervliet,738,37000,373000
St Kruis,740,23000,367000
Stavenisse,741,60000,401000
Terneuzen,742,49000,370000
Noordgouwe,743,57000,413000
Anna Jacoba Polder,744,68000,406000
Westkapelle,746,20000,395000
Krabbendijke,747,66000,384000
Wilhelminadorp,749,52000,394000
Rilland,750,71000,382000
Vrouwenpolder,751,30000,401000
Haamstede,752,40000,412000
Ovezande,754,46000,383000
Kortgene,755,47000,398000
Middelburg,756,30000,390000
Tholen,757,73000,394000
Wolphaartsdijk,758,41000,395000
s Heerenhoek,760,43000,388000
Philippine,761,41000,369000
Schoondijke,762,27000,376000
Cadzand,763,17000,378000
Kloosterzande,764,60000,378000
Kapellebrug,767,61000,364000
Westdorpe,770,49000,360000
Tilburg,827,137000,397000
Oudenbosch,828,95000,399000
Zundert,829,105000,387000
Herwijnen,830,139000,426000
Esbeek,831,138000,383000
Bergen op Zoom,832,76000,391000
Oosterhout,833,120000,406000
Chaam,834,119000,391000
Andel,835,132000,422000
Gorinchem,836,127000,428000
Steenbergen (Nb),837,82000,401000
Ginneken,838,111000,396000
Hoogerheide,839,80000,383000
Nieuwendijk (Nb),840,123000,420000
Klundert,841,96000,408000
Gilze-Rijen,843,123000,398000
Capelle (Nb),844,127000,410000
Sevenum,883,199000,379000
Giersbergen,892,139000,408000
Helmond,896,170000,386000
Venlo,897,211000,374000
Gemert,899,175000,395000
Nuland,901,157000,415000
Megen,903,167000,426000
Someren,904,176000,379000
St Anthonis,905,189000,405000
Oirschot,906,151000,391000
Boxtel,907,151000,399000
Deurne,908,182000,385000
Mill,909,183000,410000
Ammerzoden,910,143000,418000
Dinther,911,162000,406000
Leende,912,165000,371000
IJsselsteyn (L),913,190000,389000
Oss,914,165000,419000
Eersel,915,146000,373000
Zaltbommel,917,147000,423000
Maarheeze,918,169000,369000
Eindhoven (Vb),919,157000,384000
Volkel,920,177000,408000
Venray,921,197000,392000
Siebengewald,922,204000,408000
Arcen,923,210000,388000
Waalre,926,159000,375000
Roermond,961,195000,355000
Ubachsberg,962,192000,318000
Valkenburg (L),963,187000,319000
Weert,964,177000,363000
Schaesberg,965,200000,323000
Schinnen,966,189000,327000
Heibloem (L),967,190000,367000
Vaals,968,199000,310000
Stein (L),969,181000,331000
Stramproy,970,178000,355000
Noorbeek,971,185000,309000
Beek,973,185000,326000
Buchten,974,184000,339000
Reuver,977,203000,366000
Echt,979,192000,345000
Epen (Nieuw) (L),980,192000,308000
Oost Maarland,981,178000,312000
Schinveld,982,197000,332000</v>
      </c>
    </row>
    <row r="2" spans="1:12" x14ac:dyDescent="0.25">
      <c r="A2" t="s">
        <v>153</v>
      </c>
      <c r="B2">
        <v>10</v>
      </c>
      <c r="C2" s="1">
        <f>VLOOKUP($A2,Coordinaten!$A:$C,2,FALSE)</f>
        <v>53.430993000000001</v>
      </c>
      <c r="D2" s="1">
        <f>VLOOKUP($A2,Coordinaten!$A:$C,3,FALSE)</f>
        <v>5.64297</v>
      </c>
      <c r="E2" cm="1">
        <f t="array" ref="E2">WGS842X($C2,$D2)</f>
        <v>172000</v>
      </c>
      <c r="F2" cm="1">
        <f t="array" ref="F2">WGS842Y($C2,$D2)</f>
        <v>605000</v>
      </c>
      <c r="G2" s="1" t="str">
        <f>A2&amp;"," &amp;B2 &amp;"," &amp;E2&amp;"," &amp;F2</f>
        <v>Hollum,10,172000,605000</v>
      </c>
    </row>
    <row r="3" spans="1:12" x14ac:dyDescent="0.25">
      <c r="A3" t="s">
        <v>316</v>
      </c>
      <c r="B3">
        <v>11</v>
      </c>
      <c r="C3" s="1">
        <f>VLOOKUP($A3,Coordinaten!$A:$C,2,FALSE)</f>
        <v>53.368257</v>
      </c>
      <c r="D3" s="1">
        <f>VLOOKUP($A3,Coordinaten!$A:$C,3,FALSE)</f>
        <v>5.2219610000000003</v>
      </c>
      <c r="E3" cm="1">
        <f t="array" ref="E3">WGS842X($C3,$D3)</f>
        <v>144000</v>
      </c>
      <c r="F3" cm="1">
        <f t="array" ref="F3">WGS842Y($C3,$D3)</f>
        <v>598000</v>
      </c>
      <c r="G3" s="1" t="str">
        <f t="shared" ref="G3:G66" si="0">A3&amp;"," &amp;B3 &amp;"," &amp;E3&amp;"," &amp;F3</f>
        <v>West Terschelling,11,144000,598000</v>
      </c>
    </row>
    <row r="4" spans="1:12" x14ac:dyDescent="0.25">
      <c r="A4" t="s">
        <v>260</v>
      </c>
      <c r="B4">
        <v>12</v>
      </c>
      <c r="C4" s="1">
        <f>VLOOKUP($A4,Coordinaten!$A:$C,2,FALSE)</f>
        <v>53.473545000000001</v>
      </c>
      <c r="D4" s="1">
        <f>VLOOKUP($A4,Coordinaten!$A:$C,3,FALSE)</f>
        <v>6.185378</v>
      </c>
      <c r="E4" cm="1">
        <f t="array" ref="E4">WGS842X($C4,$D4)</f>
        <v>208000</v>
      </c>
      <c r="F4" cm="1">
        <f t="array" ref="F4">WGS842Y($C4,$D4)</f>
        <v>610000</v>
      </c>
      <c r="G4" s="1" t="str">
        <f t="shared" si="0"/>
        <v>Schiermonnikoog,12,208000,610000</v>
      </c>
    </row>
    <row r="5" spans="1:12" x14ac:dyDescent="0.25">
      <c r="A5" t="s">
        <v>226</v>
      </c>
      <c r="B5">
        <v>15</v>
      </c>
      <c r="C5" s="1">
        <f>VLOOKUP($A5,Coordinaten!$A:$C,2,FALSE)</f>
        <v>53.296075999999999</v>
      </c>
      <c r="D5" s="1">
        <f>VLOOKUP($A5,Coordinaten!$A:$C,3,FALSE)</f>
        <v>5.0722620000000003</v>
      </c>
      <c r="E5" cm="1">
        <f t="array" ref="E5">WGS842X($C5,$D5)</f>
        <v>134000</v>
      </c>
      <c r="F5" cm="1">
        <f t="array" ref="F5">WGS842Y($C5,$D5)</f>
        <v>590000</v>
      </c>
      <c r="G5" s="1" t="str">
        <f t="shared" si="0"/>
        <v>Oost Vlieland,15,134000,590000</v>
      </c>
    </row>
    <row r="6" spans="1:12" x14ac:dyDescent="0.25">
      <c r="A6" t="s">
        <v>238</v>
      </c>
      <c r="B6">
        <v>16</v>
      </c>
      <c r="C6" s="1">
        <f>VLOOKUP($A6,Coordinaten!$A:$C,2,FALSE)</f>
        <v>52.764099999999999</v>
      </c>
      <c r="D6" s="1">
        <f>VLOOKUP($A6,Coordinaten!$A:$C,3,FALSE)</f>
        <v>4.661257</v>
      </c>
      <c r="E6" cm="1">
        <f t="array" ref="E6">WGS842X($C6,$D6)</f>
        <v>106000</v>
      </c>
      <c r="F6" cm="1">
        <f t="array" ref="F6">WGS842Y($C6,$D6)</f>
        <v>531000</v>
      </c>
      <c r="G6" s="1" t="str">
        <f t="shared" si="0"/>
        <v>Petten,16,106000,531000</v>
      </c>
    </row>
    <row r="7" spans="1:12" x14ac:dyDescent="0.25">
      <c r="A7" t="s">
        <v>86</v>
      </c>
      <c r="B7">
        <v>17</v>
      </c>
      <c r="C7" s="1">
        <f>VLOOKUP($A7,Coordinaten!$A:$C,2,FALSE)</f>
        <v>53.052463000000003</v>
      </c>
      <c r="D7" s="1">
        <f>VLOOKUP($A7,Coordinaten!$A:$C,3,FALSE)</f>
        <v>4.8055830000000004</v>
      </c>
      <c r="E7" cm="1">
        <f t="array" ref="E7">WGS842X($C7,$D7)</f>
        <v>116000</v>
      </c>
      <c r="F7" cm="1">
        <f t="array" ref="F7">WGS842Y($C7,$D7)</f>
        <v>563000</v>
      </c>
      <c r="G7" s="1" t="str">
        <f t="shared" si="0"/>
        <v>Den Burg,17,116000,563000</v>
      </c>
    </row>
    <row r="8" spans="1:12" x14ac:dyDescent="0.25">
      <c r="A8" t="s">
        <v>207</v>
      </c>
      <c r="B8">
        <v>18</v>
      </c>
      <c r="C8" s="1">
        <f>VLOOKUP($A8,Coordinaten!$A:$C,2,FALSE)</f>
        <v>53.448599000000002</v>
      </c>
      <c r="D8" s="1">
        <f>VLOOKUP($A8,Coordinaten!$A:$C,3,FALSE)</f>
        <v>5.7785320000000002</v>
      </c>
      <c r="E8" cm="1">
        <f t="array" ref="E8">WGS842X($C8,$D8)</f>
        <v>181000</v>
      </c>
      <c r="F8" cm="1">
        <f t="array" ref="F8">WGS842Y($C8,$D8)</f>
        <v>607000</v>
      </c>
      <c r="G8" s="1" t="str">
        <f t="shared" si="0"/>
        <v>Nes (Ameland),18,181000,607000</v>
      </c>
    </row>
    <row r="9" spans="1:12" x14ac:dyDescent="0.25">
      <c r="A9" t="s">
        <v>79</v>
      </c>
      <c r="B9">
        <v>19</v>
      </c>
      <c r="C9" s="1">
        <f>VLOOKUP($A9,Coordinaten!$A:$C,2,FALSE)</f>
        <v>53.160629</v>
      </c>
      <c r="D9" s="1">
        <f>VLOOKUP($A9,Coordinaten!$A:$C,3,FALSE)</f>
        <v>4.8788859999999996</v>
      </c>
      <c r="E9" cm="1">
        <f t="array" ref="E9">WGS842X($C9,$D9)</f>
        <v>121000</v>
      </c>
      <c r="F9" cm="1">
        <f t="array" ref="F9">WGS842Y($C9,$D9)</f>
        <v>575000</v>
      </c>
      <c r="G9" s="1" t="str">
        <f t="shared" si="0"/>
        <v>De Cocksdorp,19,121000,575000</v>
      </c>
    </row>
    <row r="10" spans="1:12" x14ac:dyDescent="0.25">
      <c r="A10" t="s">
        <v>74</v>
      </c>
      <c r="B10">
        <v>21</v>
      </c>
      <c r="C10" s="1">
        <f>VLOOKUP($A10,Coordinaten!$A:$C,2,FALSE)</f>
        <v>52.854224000000002</v>
      </c>
      <c r="D10" s="1">
        <f>VLOOKUP($A10,Coordinaten!$A:$C,3,FALSE)</f>
        <v>4.7042989999999998</v>
      </c>
      <c r="E10" cm="1">
        <f t="array" ref="E10">WGS842X($C10,$D10)</f>
        <v>109000</v>
      </c>
      <c r="F10" cm="1">
        <f t="array" ref="F10">WGS842Y($C10,$D10)</f>
        <v>541000</v>
      </c>
      <c r="G10" s="1" t="str">
        <f t="shared" si="0"/>
        <v>Callantsoog,21,109000,541000</v>
      </c>
    </row>
    <row r="11" spans="1:12" x14ac:dyDescent="0.25">
      <c r="A11" t="s">
        <v>81</v>
      </c>
      <c r="B11">
        <v>22</v>
      </c>
      <c r="C11" s="1">
        <f>VLOOKUP($A11,Coordinaten!$A:$C,2,FALSE)</f>
        <v>53.097242000000001</v>
      </c>
      <c r="D11" s="1">
        <f>VLOOKUP($A11,Coordinaten!$A:$C,3,FALSE)</f>
        <v>4.7751250000000001</v>
      </c>
      <c r="E11" cm="1">
        <f t="array" ref="E11">WGS842X($C11,$D11)</f>
        <v>114000</v>
      </c>
      <c r="F11" cm="1">
        <f t="array" ref="F11">WGS842Y($C11,$D11)</f>
        <v>568000</v>
      </c>
      <c r="G11" s="1" t="str">
        <f t="shared" si="0"/>
        <v>De Koog,22,114000,568000</v>
      </c>
    </row>
    <row r="12" spans="1:12" x14ac:dyDescent="0.25">
      <c r="A12" t="s">
        <v>1</v>
      </c>
      <c r="B12">
        <v>25</v>
      </c>
      <c r="C12" s="1">
        <f>VLOOKUP($A12,Coordinaten!$A:$C,2,FALSE)</f>
        <v>52.917603</v>
      </c>
      <c r="D12" s="1">
        <f>VLOOKUP($A12,Coordinaten!$A:$C,3,FALSE)</f>
        <v>4.7925139999999997</v>
      </c>
      <c r="E12" cm="1">
        <f t="array" ref="E12">WGS842X($C12,$D12)</f>
        <v>115000</v>
      </c>
      <c r="F12" cm="1">
        <f t="array" ref="F12">WGS842Y($C12,$D12)</f>
        <v>548000</v>
      </c>
      <c r="G12" s="1" t="str">
        <f t="shared" si="0"/>
        <v>De Kooy,25,115000,548000</v>
      </c>
    </row>
    <row r="13" spans="1:12" x14ac:dyDescent="0.25">
      <c r="A13" t="s">
        <v>120</v>
      </c>
      <c r="B13">
        <v>26</v>
      </c>
      <c r="C13" s="1">
        <f>VLOOKUP($A13,Coordinaten!$A:$C,2,FALSE)</f>
        <v>53.395291999999998</v>
      </c>
      <c r="D13" s="1">
        <f>VLOOKUP($A13,Coordinaten!$A:$C,3,FALSE)</f>
        <v>5.2970179999999996</v>
      </c>
      <c r="E13" cm="1">
        <f t="array" ref="E13">WGS842X($C13,$D13)</f>
        <v>149000</v>
      </c>
      <c r="F13" cm="1">
        <f t="array" ref="F13">WGS842Y($C13,$D13)</f>
        <v>601000</v>
      </c>
      <c r="G13" s="1" t="str">
        <f t="shared" si="0"/>
        <v>Formerum,26,149000,601000</v>
      </c>
    </row>
    <row r="14" spans="1:12" x14ac:dyDescent="0.25">
      <c r="A14" t="s">
        <v>268</v>
      </c>
      <c r="B14">
        <v>61</v>
      </c>
      <c r="C14" s="1">
        <f>VLOOKUP($A14,Coordinaten!$A:$C,2,FALSE)</f>
        <v>53.116475000000001</v>
      </c>
      <c r="D14" s="1">
        <f>VLOOKUP($A14,Coordinaten!$A:$C,3,FALSE)</f>
        <v>5.656047</v>
      </c>
      <c r="E14" cm="1">
        <f t="array" ref="E14">WGS842X($C14,$D14)</f>
        <v>173000</v>
      </c>
      <c r="F14" cm="1">
        <f t="array" ref="F14">WGS842Y($C14,$D14)</f>
        <v>570000</v>
      </c>
      <c r="G14" s="1" t="str">
        <f t="shared" si="0"/>
        <v>Skrins,61,173000,570000</v>
      </c>
    </row>
    <row r="15" spans="1:12" x14ac:dyDescent="0.25">
      <c r="A15" t="s">
        <v>269</v>
      </c>
      <c r="B15">
        <v>64</v>
      </c>
      <c r="C15" s="1">
        <f>VLOOKUP($A15,Coordinaten!$A:$C,2,FALSE)</f>
        <v>53.035634999999999</v>
      </c>
      <c r="D15" s="1">
        <f>VLOOKUP($A15,Coordinaten!$A:$C,3,FALSE)</f>
        <v>5.6406390000000002</v>
      </c>
      <c r="E15" cm="1">
        <f t="array" ref="E15">WGS842X($C15,$D15)</f>
        <v>172000</v>
      </c>
      <c r="F15" cm="1">
        <f t="array" ref="F15">WGS842Y($C15,$D15)</f>
        <v>561000</v>
      </c>
      <c r="G15" s="1" t="str">
        <f t="shared" si="0"/>
        <v>Sneek,64,172000,561000</v>
      </c>
    </row>
    <row r="16" spans="1:12" x14ac:dyDescent="0.25">
      <c r="A16" t="s">
        <v>197</v>
      </c>
      <c r="B16">
        <v>65</v>
      </c>
      <c r="C16" s="1">
        <f>VLOOKUP($A16,Coordinaten!$A:$C,2,FALSE)</f>
        <v>53.062860999999998</v>
      </c>
      <c r="D16" s="1">
        <f>VLOOKUP($A16,Coordinaten!$A:$C,3,FALSE)</f>
        <v>5.402126</v>
      </c>
      <c r="E16" cm="1">
        <f t="array" ref="E16">WGS842X($C16,$D16)</f>
        <v>156000</v>
      </c>
      <c r="F16" cm="1">
        <f t="array" ref="F16">WGS842Y($C16,$D16)</f>
        <v>564000</v>
      </c>
      <c r="G16" s="1" t="str">
        <f t="shared" si="0"/>
        <v>Makkum,65,156000,564000</v>
      </c>
    </row>
    <row r="17" spans="1:7" x14ac:dyDescent="0.25">
      <c r="A17" t="s">
        <v>138</v>
      </c>
      <c r="B17">
        <v>66</v>
      </c>
      <c r="C17" s="1">
        <f>VLOOKUP($A17,Coordinaten!$A:$C,2,FALSE)</f>
        <v>53.179668999999997</v>
      </c>
      <c r="D17" s="1">
        <f>VLOOKUP($A17,Coordinaten!$A:$C,3,FALSE)</f>
        <v>5.4320810000000002</v>
      </c>
      <c r="E17" cm="1">
        <f t="array" ref="E17">WGS842X($C17,$D17)</f>
        <v>158000</v>
      </c>
      <c r="F17" cm="1">
        <f t="array" ref="F17">WGS842Y($C17,$D17)</f>
        <v>577000</v>
      </c>
      <c r="G17" s="1" t="str">
        <f t="shared" si="0"/>
        <v>Harlingen,66,158000,577000</v>
      </c>
    </row>
    <row r="18" spans="1:7" x14ac:dyDescent="0.25">
      <c r="A18" t="s">
        <v>94</v>
      </c>
      <c r="B18">
        <v>67</v>
      </c>
      <c r="C18" s="1">
        <f>VLOOKUP($A18,Coordinaten!$A:$C,2,FALSE)</f>
        <v>53.321944999999999</v>
      </c>
      <c r="D18" s="1">
        <f>VLOOKUP($A18,Coordinaten!$A:$C,3,FALSE)</f>
        <v>5.9874770000000002</v>
      </c>
      <c r="E18" cm="1">
        <f t="array" ref="E18">WGS842X($C18,$D18)</f>
        <v>195000</v>
      </c>
      <c r="F18" cm="1">
        <f t="array" ref="F18">WGS842Y($C18,$D18)</f>
        <v>593000</v>
      </c>
      <c r="G18" s="1" t="str">
        <f t="shared" si="0"/>
        <v>Dokkum,67,195000,593000</v>
      </c>
    </row>
    <row r="19" spans="1:7" x14ac:dyDescent="0.25">
      <c r="A19" t="s">
        <v>273</v>
      </c>
      <c r="B19">
        <v>68</v>
      </c>
      <c r="C19" s="1">
        <f>VLOOKUP($A19,Coordinaten!$A:$C,2,FALSE)</f>
        <v>53.278179999999999</v>
      </c>
      <c r="D19" s="1">
        <f>VLOOKUP($A19,Coordinaten!$A:$C,3,FALSE)</f>
        <v>5.6720459999999999</v>
      </c>
      <c r="E19" cm="1">
        <f t="array" ref="E19">WGS842X($C19,$D19)</f>
        <v>174000</v>
      </c>
      <c r="F19" cm="1">
        <f t="array" ref="F19">WGS842Y($C19,$D19)</f>
        <v>588000</v>
      </c>
      <c r="G19" s="1" t="str">
        <f t="shared" si="0"/>
        <v>St Anna Parochie,68,174000,588000</v>
      </c>
    </row>
    <row r="20" spans="1:7" x14ac:dyDescent="0.25">
      <c r="A20" t="s">
        <v>50</v>
      </c>
      <c r="B20">
        <v>69</v>
      </c>
      <c r="C20" s="1">
        <f>VLOOKUP($A20,Coordinaten!$A:$C,2,FALSE)</f>
        <v>52.960217999999998</v>
      </c>
      <c r="D20" s="1">
        <f>VLOOKUP($A20,Coordinaten!$A:$C,3,FALSE)</f>
        <v>6.3396629999999998</v>
      </c>
      <c r="E20" cm="1">
        <f t="array" ref="E20">WGS842X($C20,$D20)</f>
        <v>219000</v>
      </c>
      <c r="F20" cm="1">
        <f t="array" ref="F20">WGS842Y($C20,$D20)</f>
        <v>553000</v>
      </c>
      <c r="G20" s="1" t="str">
        <f t="shared" si="0"/>
        <v>Appelscha,69,219000,553000</v>
      </c>
    </row>
    <row r="21" spans="1:7" x14ac:dyDescent="0.25">
      <c r="A21" t="s">
        <v>234</v>
      </c>
      <c r="B21">
        <v>70</v>
      </c>
      <c r="C21" s="1">
        <f>VLOOKUP($A21,Coordinaten!$A:$C,2,FALSE)</f>
        <v>52.856119</v>
      </c>
      <c r="D21" s="1">
        <f>VLOOKUP($A21,Coordinaten!$A:$C,3,FALSE)</f>
        <v>5.505979</v>
      </c>
      <c r="E21" cm="1">
        <f t="array" ref="E21">WGS842X($C21,$D21)</f>
        <v>163000</v>
      </c>
      <c r="F21" cm="1">
        <f t="array" ref="F21">WGS842Y($C21,$D21)</f>
        <v>541000</v>
      </c>
      <c r="G21" s="1" t="str">
        <f t="shared" si="0"/>
        <v>Oudemirdum,70,163000,541000</v>
      </c>
    </row>
    <row r="22" spans="1:7" x14ac:dyDescent="0.25">
      <c r="A22" t="s">
        <v>96</v>
      </c>
      <c r="B22">
        <v>73</v>
      </c>
      <c r="C22" s="1">
        <f>VLOOKUP($A22,Coordinaten!$A:$C,2,FALSE)</f>
        <v>53.114632</v>
      </c>
      <c r="D22" s="1">
        <f>VLOOKUP($A22,Coordinaten!$A:$C,3,FALSE)</f>
        <v>6.1040859999999997</v>
      </c>
      <c r="E22" cm="1">
        <f t="array" ref="E22">WGS842X($C22,$D22)</f>
        <v>203000</v>
      </c>
      <c r="F22" cm="1">
        <f t="array" ref="F22">WGS842Y($C22,$D22)</f>
        <v>570000</v>
      </c>
      <c r="G22" s="1" t="str">
        <f t="shared" si="0"/>
        <v>Drachten,73,203000,570000</v>
      </c>
    </row>
    <row r="23" spans="1:7" x14ac:dyDescent="0.25">
      <c r="A23" t="s">
        <v>223</v>
      </c>
      <c r="B23">
        <v>75</v>
      </c>
      <c r="C23" s="1">
        <f>VLOOKUP($A23,Coordinaten!$A:$C,2,FALSE)</f>
        <v>52.899236000000002</v>
      </c>
      <c r="D23" s="1">
        <f>VLOOKUP($A23,Coordinaten!$A:$C,3,FALSE)</f>
        <v>6.0559609999999999</v>
      </c>
      <c r="E23" cm="1">
        <f t="array" ref="E23">WGS842X($C23,$D23)</f>
        <v>200000</v>
      </c>
      <c r="F23" cm="1">
        <f t="array" ref="F23">WGS842Y($C23,$D23)</f>
        <v>546000</v>
      </c>
      <c r="G23" s="1" t="str">
        <f t="shared" si="0"/>
        <v>Oldeholtpade,75,200000,546000</v>
      </c>
    </row>
    <row r="24" spans="1:7" x14ac:dyDescent="0.25">
      <c r="A24" t="s">
        <v>176</v>
      </c>
      <c r="B24">
        <v>76</v>
      </c>
      <c r="C24" s="1">
        <f>VLOOKUP($A24,Coordinaten!$A:$C,2,FALSE)</f>
        <v>53.062852999999997</v>
      </c>
      <c r="D24" s="1">
        <f>VLOOKUP($A24,Coordinaten!$A:$C,3,FALSE)</f>
        <v>5.3424589999999998</v>
      </c>
      <c r="E24" cm="1">
        <f t="array" ref="E24">WGS842X($C24,$D24)</f>
        <v>152000</v>
      </c>
      <c r="F24" cm="1">
        <f t="array" ref="F24">WGS842Y($C24,$D24)</f>
        <v>564000</v>
      </c>
      <c r="G24" s="1" t="str">
        <f t="shared" si="0"/>
        <v>Kornwerderzand,76,152000,564000</v>
      </c>
    </row>
    <row r="25" spans="1:7" x14ac:dyDescent="0.25">
      <c r="A25" t="s">
        <v>174</v>
      </c>
      <c r="B25">
        <v>77</v>
      </c>
      <c r="C25" s="1">
        <f>VLOOKUP($A25,Coordinaten!$A:$C,2,FALSE)</f>
        <v>53.276178999999999</v>
      </c>
      <c r="D25" s="1">
        <f>VLOOKUP($A25,Coordinaten!$A:$C,3,FALSE)</f>
        <v>6.1367510000000003</v>
      </c>
      <c r="E25" cm="1">
        <f t="array" ref="E25">WGS842X($C25,$D25)</f>
        <v>205000</v>
      </c>
      <c r="F25" cm="1">
        <f t="array" ref="F25">WGS842Y($C25,$D25)</f>
        <v>588000</v>
      </c>
      <c r="G25" s="1" t="str">
        <f t="shared" si="0"/>
        <v>Kollum,77,205000,588000</v>
      </c>
    </row>
    <row r="26" spans="1:7" x14ac:dyDescent="0.25">
      <c r="A26" t="s">
        <v>150</v>
      </c>
      <c r="B26">
        <v>78</v>
      </c>
      <c r="C26" s="1">
        <f>VLOOKUP($A26,Coordinaten!$A:$C,2,FALSE)</f>
        <v>53.179617999999998</v>
      </c>
      <c r="D26" s="1">
        <f>VLOOKUP($A26,Coordinaten!$A:$C,3,FALSE)</f>
        <v>5.5068669999999997</v>
      </c>
      <c r="E26" cm="1">
        <f t="array" ref="E26">WGS842X($C26,$D26)</f>
        <v>163000</v>
      </c>
      <c r="F26" cm="1">
        <f t="array" ref="F26">WGS842Y($C26,$D26)</f>
        <v>577000</v>
      </c>
      <c r="G26" s="1" t="str">
        <f t="shared" si="0"/>
        <v>Herbayum,78,163000,577000</v>
      </c>
    </row>
    <row r="27" spans="1:7" x14ac:dyDescent="0.25">
      <c r="A27" t="s">
        <v>140</v>
      </c>
      <c r="B27">
        <v>79</v>
      </c>
      <c r="C27" s="1">
        <f>VLOOKUP($A27,Coordinaten!$A:$C,2,FALSE)</f>
        <v>52.963833000000001</v>
      </c>
      <c r="D27" s="1">
        <f>VLOOKUP($A27,Coordinaten!$A:$C,3,FALSE)</f>
        <v>5.5955719999999998</v>
      </c>
      <c r="E27" cm="1">
        <f t="array" ref="E27">WGS842X($C27,$D27)</f>
        <v>169000</v>
      </c>
      <c r="F27" cm="1">
        <f t="array" ref="F27">WGS842Y($C27,$D27)</f>
        <v>553000</v>
      </c>
      <c r="G27" s="1" t="str">
        <f t="shared" si="0"/>
        <v>Heeg,79,169000,553000</v>
      </c>
    </row>
    <row r="28" spans="1:7" x14ac:dyDescent="0.25">
      <c r="A28" t="s">
        <v>7</v>
      </c>
      <c r="B28">
        <v>80</v>
      </c>
      <c r="C28" s="1">
        <f>VLOOKUP($A28,Coordinaten!$A:$C,2,FALSE)</f>
        <v>52.883133999999998</v>
      </c>
      <c r="D28" s="1">
        <f>VLOOKUP($A28,Coordinaten!$A:$C,3,FALSE)</f>
        <v>5.3574979999999996</v>
      </c>
      <c r="E28" cm="1">
        <f t="array" ref="E28">WGS842X($C28,$D28)</f>
        <v>153000</v>
      </c>
      <c r="F28" cm="1">
        <f t="array" ref="F28">WGS842Y($C28,$D28)</f>
        <v>544000</v>
      </c>
      <c r="G28" s="1" t="str">
        <f t="shared" si="0"/>
        <v>Stavoren,80,153000,544000</v>
      </c>
    </row>
    <row r="29" spans="1:7" x14ac:dyDescent="0.25">
      <c r="A29" t="s">
        <v>165</v>
      </c>
      <c r="B29">
        <v>81</v>
      </c>
      <c r="C29" s="1">
        <f>VLOOKUP($A29,Coordinaten!$A:$C,2,FALSE)</f>
        <v>52.963234999999997</v>
      </c>
      <c r="D29" s="1">
        <f>VLOOKUP($A29,Coordinaten!$A:$C,3,FALSE)</f>
        <v>5.8188129999999996</v>
      </c>
      <c r="E29" cm="1">
        <f t="array" ref="E29">WGS842X($C29,$D29)</f>
        <v>184000</v>
      </c>
      <c r="F29" cm="1">
        <f t="array" ref="F29">WGS842Y($C29,$D29)</f>
        <v>553000</v>
      </c>
      <c r="G29" s="1" t="str">
        <f t="shared" si="0"/>
        <v>Joure,81,184000,553000</v>
      </c>
    </row>
    <row r="30" spans="1:7" x14ac:dyDescent="0.25">
      <c r="A30" t="s">
        <v>131</v>
      </c>
      <c r="B30">
        <v>82</v>
      </c>
      <c r="C30" s="1">
        <f>VLOOKUP($A30,Coordinaten!$A:$C,2,FALSE)</f>
        <v>52.998080000000002</v>
      </c>
      <c r="D30" s="1">
        <f>VLOOKUP($A30,Coordinaten!$A:$C,3,FALSE)</f>
        <v>6.0574789999999998</v>
      </c>
      <c r="E30" cm="1">
        <f t="array" ref="E30">WGS842X($C30,$D30)</f>
        <v>200000</v>
      </c>
      <c r="F30" cm="1">
        <f t="array" ref="F30">WGS842Y($C30,$D30)</f>
        <v>557000</v>
      </c>
      <c r="G30" s="1" t="str">
        <f t="shared" si="0"/>
        <v>Gorredijk,82,200000,557000</v>
      </c>
    </row>
    <row r="31" spans="1:7" x14ac:dyDescent="0.25">
      <c r="A31" t="s">
        <v>118</v>
      </c>
      <c r="B31">
        <v>84</v>
      </c>
      <c r="C31" s="1">
        <f>VLOOKUP($A31,Coordinaten!$A:$C,2,FALSE)</f>
        <v>53.356945000000003</v>
      </c>
      <c r="D31" s="1">
        <f>VLOOKUP($A31,Coordinaten!$A:$C,3,FALSE)</f>
        <v>6.1531760000000002</v>
      </c>
      <c r="E31" cm="1">
        <f t="array" ref="E31">WGS842X($C31,$D31)</f>
        <v>206000</v>
      </c>
      <c r="F31" cm="1">
        <f t="array" ref="F31">WGS842Y($C31,$D31)</f>
        <v>597000</v>
      </c>
      <c r="G31" s="1" t="str">
        <f t="shared" si="0"/>
        <v>Ezumazijl,84,206000,597000</v>
      </c>
    </row>
    <row r="32" spans="1:7" x14ac:dyDescent="0.25">
      <c r="A32" t="s">
        <v>9</v>
      </c>
      <c r="B32">
        <v>85</v>
      </c>
      <c r="C32" s="1">
        <f>VLOOKUP($A32,Coordinaten!$A:$C,2,FALSE)</f>
        <v>53.224021</v>
      </c>
      <c r="D32" s="1">
        <f>VLOOKUP($A32,Coordinaten!$A:$C,3,FALSE)</f>
        <v>5.7615239999999996</v>
      </c>
      <c r="E32" cm="1">
        <f t="array" ref="E32">WGS842X($C32,$D32)</f>
        <v>180000</v>
      </c>
      <c r="F32" cm="1">
        <f t="array" ref="F32">WGS842Y($C32,$D32)</f>
        <v>582000</v>
      </c>
      <c r="G32" s="1" t="str">
        <f t="shared" si="0"/>
        <v>Leeuwarden,85,180000,582000</v>
      </c>
    </row>
    <row r="33" spans="1:7" x14ac:dyDescent="0.25">
      <c r="A33" t="s">
        <v>213</v>
      </c>
      <c r="B33">
        <v>86</v>
      </c>
      <c r="C33" s="1">
        <f>VLOOKUP($A33,Coordinaten!$A:$C,2,FALSE)</f>
        <v>53.061298999999998</v>
      </c>
      <c r="D33" s="1">
        <f>VLOOKUP($A33,Coordinaten!$A:$C,3,FALSE)</f>
        <v>5.9987870000000001</v>
      </c>
      <c r="E33" cm="1">
        <f t="array" ref="E33">WGS842X($C33,$D33)</f>
        <v>196000</v>
      </c>
      <c r="F33" cm="1">
        <f t="array" ref="F33">WGS842Y($C33,$D33)</f>
        <v>564000</v>
      </c>
      <c r="G33" s="1" t="str">
        <f t="shared" si="0"/>
        <v>Nijbeets,86,196000,564000</v>
      </c>
    </row>
    <row r="34" spans="1:7" x14ac:dyDescent="0.25">
      <c r="A34" t="s">
        <v>62</v>
      </c>
      <c r="B34">
        <v>87</v>
      </c>
      <c r="C34" s="1">
        <f>VLOOKUP($A34,Coordinaten!$A:$C,2,FALSE)</f>
        <v>53.178030999999997</v>
      </c>
      <c r="D34" s="1">
        <f>VLOOKUP($A34,Coordinaten!$A:$C,3,FALSE)</f>
        <v>6.0153930000000004</v>
      </c>
      <c r="E34" cm="1">
        <f t="array" ref="E34">WGS842X($C34,$D34)</f>
        <v>197000</v>
      </c>
      <c r="F34" cm="1">
        <f t="array" ref="F34">WGS842Y($C34,$D34)</f>
        <v>577000</v>
      </c>
      <c r="G34" s="1" t="str">
        <f t="shared" si="0"/>
        <v>Bergumerdam,87,197000,577000</v>
      </c>
    </row>
    <row r="35" spans="1:7" x14ac:dyDescent="0.25">
      <c r="A35" t="s">
        <v>39</v>
      </c>
      <c r="B35">
        <v>89</v>
      </c>
      <c r="C35" s="1">
        <f>VLOOKUP($A35,Coordinaten!$A:$C,2,FALSE)</f>
        <v>53.053094000000002</v>
      </c>
      <c r="D35" s="1">
        <f>VLOOKUP($A35,Coordinaten!$A:$C,3,FALSE)</f>
        <v>5.8197049999999999</v>
      </c>
      <c r="E35" cm="1">
        <f t="array" ref="E35">WGS842X($C35,$D35)</f>
        <v>184000</v>
      </c>
      <c r="F35" cm="1">
        <f t="array" ref="F35">WGS842Y($C35,$D35)</f>
        <v>563000</v>
      </c>
      <c r="G35" s="1" t="str">
        <f t="shared" si="0"/>
        <v>Akkrum,89,184000,563000</v>
      </c>
    </row>
    <row r="36" spans="1:7" x14ac:dyDescent="0.25">
      <c r="A36" t="s">
        <v>105</v>
      </c>
      <c r="B36">
        <v>90</v>
      </c>
      <c r="C36" s="1">
        <f>VLOOKUP($A36,Coordinaten!$A:$C,2,FALSE)</f>
        <v>53.133473000000002</v>
      </c>
      <c r="D36" s="1">
        <f>VLOOKUP($A36,Coordinaten!$A:$C,3,FALSE)</f>
        <v>5.9400389999999996</v>
      </c>
      <c r="E36" cm="1">
        <f t="array" ref="E36">WGS842X($C36,$D36)</f>
        <v>192000</v>
      </c>
      <c r="F36" cm="1">
        <f t="array" ref="F36">WGS842Y($C36,$D36)</f>
        <v>572000</v>
      </c>
      <c r="G36" s="1" t="str">
        <f t="shared" si="0"/>
        <v>Eernewoude,90,192000,572000</v>
      </c>
    </row>
    <row r="37" spans="1:7" x14ac:dyDescent="0.25">
      <c r="A37" t="s">
        <v>284</v>
      </c>
      <c r="B37">
        <v>91</v>
      </c>
      <c r="C37" s="1">
        <f>VLOOKUP($A37,Coordinaten!$A:$C,2,FALSE)</f>
        <v>53.375928000000002</v>
      </c>
      <c r="D37" s="1">
        <f>VLOOKUP($A37,Coordinaten!$A:$C,3,FALSE)</f>
        <v>5.973204</v>
      </c>
      <c r="E37" cm="1">
        <f t="array" ref="E37">WGS842X($C37,$D37)</f>
        <v>194000</v>
      </c>
      <c r="F37" cm="1">
        <f t="array" ref="F37">WGS842Y($C37,$D37)</f>
        <v>599000</v>
      </c>
      <c r="G37" s="1" t="str">
        <f t="shared" si="0"/>
        <v>Ternaard,91,194000,599000</v>
      </c>
    </row>
    <row r="38" spans="1:7" x14ac:dyDescent="0.25">
      <c r="A38" t="s">
        <v>204</v>
      </c>
      <c r="B38">
        <v>134</v>
      </c>
      <c r="C38" s="1">
        <f>VLOOKUP($A38,Coordinaten!$A:$C,2,FALSE)</f>
        <v>53.326129000000002</v>
      </c>
      <c r="D38" s="1">
        <f>VLOOKUP($A38,Coordinaten!$A:$C,3,FALSE)</f>
        <v>6.6179079999999999</v>
      </c>
      <c r="E38" cm="1">
        <f t="array" ref="E38">WGS842X($C38,$D38)</f>
        <v>237000</v>
      </c>
      <c r="F38" cm="1">
        <f t="array" ref="F38">WGS842Y($C38,$D38)</f>
        <v>594000</v>
      </c>
      <c r="G38" s="1" t="str">
        <f t="shared" si="0"/>
        <v>Middelstum,134,237000,594000</v>
      </c>
    </row>
    <row r="39" spans="1:7" x14ac:dyDescent="0.25">
      <c r="A39" t="s">
        <v>322</v>
      </c>
      <c r="B39">
        <v>135</v>
      </c>
      <c r="C39" s="1">
        <f>VLOOKUP($A39,Coordinaten!$A:$C,2,FALSE)</f>
        <v>53.271107999999998</v>
      </c>
      <c r="D39" s="1">
        <f>VLOOKUP($A39,Coordinaten!$A:$C,3,FALSE)</f>
        <v>6.7212719999999999</v>
      </c>
      <c r="E39" cm="1">
        <f t="array" ref="E39">WGS842X($C39,$D39)</f>
        <v>244000</v>
      </c>
      <c r="F39" cm="1">
        <f t="array" ref="F39">WGS842Y($C39,$D39)</f>
        <v>588000</v>
      </c>
      <c r="G39" s="1" t="str">
        <f t="shared" si="0"/>
        <v>Woltersum,135,244000,588000</v>
      </c>
    </row>
    <row r="40" spans="1:7" x14ac:dyDescent="0.25">
      <c r="A40" t="s">
        <v>117</v>
      </c>
      <c r="B40">
        <v>136</v>
      </c>
      <c r="C40" s="1">
        <f>VLOOKUP($A40,Coordinaten!$A:$C,2,FALSE)</f>
        <v>53.29177</v>
      </c>
      <c r="D40" s="1">
        <f>VLOOKUP($A40,Coordinaten!$A:$C,3,FALSE)</f>
        <v>6.451956</v>
      </c>
      <c r="E40" cm="1">
        <f t="array" ref="E40">WGS842X($C40,$D40)</f>
        <v>226000</v>
      </c>
      <c r="F40" cm="1">
        <f t="array" ref="F40">WGS842Y($C40,$D40)</f>
        <v>590000</v>
      </c>
      <c r="G40" s="1" t="str">
        <f t="shared" si="0"/>
        <v>Ezinge,136,226000,590000</v>
      </c>
    </row>
    <row r="41" spans="1:7" x14ac:dyDescent="0.25">
      <c r="A41" t="s">
        <v>133</v>
      </c>
      <c r="B41">
        <v>139</v>
      </c>
      <c r="C41" s="1">
        <f>VLOOKUP($A41,Coordinaten!$A:$C,2,FALSE)</f>
        <v>53.182692000000003</v>
      </c>
      <c r="D41" s="1">
        <f>VLOOKUP($A41,Coordinaten!$A:$C,3,FALSE)</f>
        <v>6.583907</v>
      </c>
      <c r="E41" cm="1">
        <f t="array" ref="E41">WGS842X($C41,$D41)</f>
        <v>235000</v>
      </c>
      <c r="F41" cm="1">
        <f t="array" ref="F41">WGS842Y($C41,$D41)</f>
        <v>578000</v>
      </c>
      <c r="G41" s="1" t="str">
        <f t="shared" si="0"/>
        <v>Groningen,139,235000,578000</v>
      </c>
    </row>
    <row r="42" spans="1:7" x14ac:dyDescent="0.25">
      <c r="A42" t="s">
        <v>52</v>
      </c>
      <c r="B42">
        <v>140</v>
      </c>
      <c r="C42" s="1">
        <f>VLOOKUP($A42,Coordinaten!$A:$C,2,FALSE)</f>
        <v>53.002856000000001</v>
      </c>
      <c r="D42" s="1">
        <f>VLOOKUP($A42,Coordinaten!$A:$C,3,FALSE)</f>
        <v>6.5938549999999996</v>
      </c>
      <c r="E42" cm="1">
        <f t="array" ref="E42">WGS842X($C42,$D42)</f>
        <v>236000</v>
      </c>
      <c r="F42" cm="1">
        <f t="array" ref="F42">WGS842Y($C42,$D42)</f>
        <v>558000</v>
      </c>
      <c r="G42" s="1" t="str">
        <f t="shared" si="0"/>
        <v>Assen,140,236000,558000</v>
      </c>
    </row>
    <row r="43" spans="1:7" x14ac:dyDescent="0.25">
      <c r="A43" t="s">
        <v>84</v>
      </c>
      <c r="B43">
        <v>141</v>
      </c>
      <c r="C43" s="1">
        <f>VLOOKUP($A43,Coordinaten!$A:$C,2,FALSE)</f>
        <v>53.322490000000002</v>
      </c>
      <c r="D43" s="1">
        <f>VLOOKUP($A43,Coordinaten!$A:$C,3,FALSE)</f>
        <v>6.9329869999999998</v>
      </c>
      <c r="E43" cm="1">
        <f t="array" ref="E43">WGS842X($C43,$D43)</f>
        <v>258000</v>
      </c>
      <c r="F43" cm="1">
        <f t="array" ref="F43">WGS842Y($C43,$D43)</f>
        <v>594000</v>
      </c>
      <c r="G43" s="1" t="str">
        <f t="shared" si="0"/>
        <v>Delfzijl,141,258000,594000</v>
      </c>
    </row>
    <row r="44" spans="1:7" x14ac:dyDescent="0.25">
      <c r="A44" t="s">
        <v>311</v>
      </c>
      <c r="B44">
        <v>142</v>
      </c>
      <c r="C44" s="1">
        <f>VLOOKUP($A44,Coordinaten!$A:$C,2,FALSE)</f>
        <v>53.398597000000002</v>
      </c>
      <c r="D44" s="1">
        <f>VLOOKUP($A44,Coordinaten!$A:$C,3,FALSE)</f>
        <v>6.5598429999999999</v>
      </c>
      <c r="E44" cm="1">
        <f t="array" ref="E44">WGS842X($C44,$D44)</f>
        <v>233000</v>
      </c>
      <c r="F44" cm="1">
        <f t="array" ref="F44">WGS842Y($C44,$D44)</f>
        <v>602000</v>
      </c>
      <c r="G44" s="1" t="str">
        <f t="shared" si="0"/>
        <v>Warffum,142,233000,602000</v>
      </c>
    </row>
    <row r="45" spans="1:7" x14ac:dyDescent="0.25">
      <c r="A45" t="s">
        <v>119</v>
      </c>
      <c r="B45">
        <v>143</v>
      </c>
      <c r="C45" s="1">
        <f>VLOOKUP($A45,Coordinaten!$A:$C,2,FALSE)</f>
        <v>53.203273000000003</v>
      </c>
      <c r="D45" s="1">
        <f>VLOOKUP($A45,Coordinaten!$A:$C,3,FALSE)</f>
        <v>7.1083400000000001</v>
      </c>
      <c r="E45" cm="1">
        <f t="array" ref="E45">WGS842X($C45,$D45)</f>
        <v>270000</v>
      </c>
      <c r="F45" cm="1">
        <f t="array" ref="F45">WGS842Y($C45,$D45)</f>
        <v>581000</v>
      </c>
      <c r="G45" s="1" t="str">
        <f t="shared" si="0"/>
        <v>Finsterwolde,143,270000,581000</v>
      </c>
    </row>
    <row r="46" spans="1:7" x14ac:dyDescent="0.25">
      <c r="A46" t="s">
        <v>283</v>
      </c>
      <c r="B46">
        <v>144</v>
      </c>
      <c r="C46" s="1">
        <f>VLOOKUP($A46,Coordinaten!$A:$C,2,FALSE)</f>
        <v>52.871122999999997</v>
      </c>
      <c r="D46" s="1">
        <f>VLOOKUP($A46,Coordinaten!$A:$C,3,FALSE)</f>
        <v>7.0803820000000002</v>
      </c>
      <c r="E46" cm="1">
        <f t="array" ref="E46">WGS842X($C46,$D46)</f>
        <v>269000</v>
      </c>
      <c r="F46" cm="1">
        <f t="array" ref="F46">WGS842Y($C46,$D46)</f>
        <v>544000</v>
      </c>
      <c r="G46" s="1" t="str">
        <f t="shared" si="0"/>
        <v>Ter Apel,144,269000,544000</v>
      </c>
    </row>
    <row r="47" spans="1:7" x14ac:dyDescent="0.25">
      <c r="A47" t="s">
        <v>335</v>
      </c>
      <c r="B47">
        <v>145</v>
      </c>
      <c r="C47" s="1">
        <f>VLOOKUP($A47,Coordinaten!$A:$C,2,FALSE)</f>
        <v>53.329056000000001</v>
      </c>
      <c r="D47" s="1">
        <f>VLOOKUP($A47,Coordinaten!$A:$C,3,FALSE)</f>
        <v>6.2877669999999997</v>
      </c>
      <c r="E47" cm="1">
        <f t="array" ref="E47">WGS842X($C47,$D47)</f>
        <v>215000</v>
      </c>
      <c r="F47" cm="1">
        <f t="array" ref="F47">WGS842Y($C47,$D47)</f>
        <v>594000</v>
      </c>
      <c r="G47" s="1" t="str">
        <f t="shared" si="0"/>
        <v>Zoutkamp,145,215000,594000</v>
      </c>
    </row>
    <row r="48" spans="1:7" x14ac:dyDescent="0.25">
      <c r="A48" t="s">
        <v>296</v>
      </c>
      <c r="B48">
        <v>147</v>
      </c>
      <c r="C48" s="1">
        <f>VLOOKUP($A48,Coordinaten!$A:$C,2,FALSE)</f>
        <v>53.099214000000003</v>
      </c>
      <c r="D48" s="1">
        <f>VLOOKUP($A48,Coordinaten!$A:$C,3,FALSE)</f>
        <v>6.8205030000000004</v>
      </c>
      <c r="E48" cm="1">
        <f t="array" ref="E48">WGS842X($C48,$D48)</f>
        <v>251000</v>
      </c>
      <c r="F48" cm="1">
        <f t="array" ref="F48">WGS842Y($C48,$D48)</f>
        <v>569000</v>
      </c>
      <c r="G48" s="1" t="str">
        <f t="shared" si="0"/>
        <v>Veendam,147,251000,569000</v>
      </c>
    </row>
    <row r="49" spans="1:7" x14ac:dyDescent="0.25">
      <c r="A49" t="s">
        <v>255</v>
      </c>
      <c r="B49">
        <v>148</v>
      </c>
      <c r="C49" s="1">
        <f>VLOOKUP($A49,Coordinaten!$A:$C,2,FALSE)</f>
        <v>53.154155000000003</v>
      </c>
      <c r="D49" s="1">
        <f>VLOOKUP($A49,Coordinaten!$A:$C,3,FALSE)</f>
        <v>6.7326189999999997</v>
      </c>
      <c r="E49" cm="1">
        <f t="array" ref="E49">WGS842X($C49,$D49)</f>
        <v>245000</v>
      </c>
      <c r="F49" cm="1">
        <f t="array" ref="F49">WGS842Y($C49,$D49)</f>
        <v>575000</v>
      </c>
      <c r="G49" s="1" t="str">
        <f t="shared" si="0"/>
        <v>Sappemeer,148,245000,575000</v>
      </c>
    </row>
    <row r="50" spans="1:7" x14ac:dyDescent="0.25">
      <c r="A50" t="s">
        <v>292</v>
      </c>
      <c r="B50">
        <v>150</v>
      </c>
      <c r="C50" s="1">
        <f>VLOOKUP($A50,Coordinaten!$A:$C,2,FALSE)</f>
        <v>53.379398999999999</v>
      </c>
      <c r="D50" s="1">
        <f>VLOOKUP($A50,Coordinaten!$A:$C,3,FALSE)</f>
        <v>6.6795439999999999</v>
      </c>
      <c r="E50" cm="1">
        <f t="array" ref="E50">WGS842X($C50,$D50)</f>
        <v>241000</v>
      </c>
      <c r="F50" cm="1">
        <f t="array" ref="F50">WGS842Y($C50,$D50)</f>
        <v>600000</v>
      </c>
      <c r="G50" s="1" t="str">
        <f t="shared" si="0"/>
        <v>Uithuizen,150,241000,600000</v>
      </c>
    </row>
    <row r="51" spans="1:7" x14ac:dyDescent="0.25">
      <c r="A51" t="s">
        <v>252</v>
      </c>
      <c r="B51">
        <v>151</v>
      </c>
      <c r="C51" s="1">
        <f>VLOOKUP($A51,Coordinaten!$A:$C,2,FALSE)</f>
        <v>53.441102999999998</v>
      </c>
      <c r="D51" s="1">
        <f>VLOOKUP($A51,Coordinaten!$A:$C,3,FALSE)</f>
        <v>6.7867509999999998</v>
      </c>
      <c r="E51" cm="1">
        <f t="array" ref="E51">WGS842X($C51,$D51)</f>
        <v>248000</v>
      </c>
      <c r="F51" cm="1">
        <f t="array" ref="F51">WGS842Y($C51,$D51)</f>
        <v>607000</v>
      </c>
      <c r="G51" s="1" t="str">
        <f t="shared" si="0"/>
        <v>Roodeschool,151,248000,607000</v>
      </c>
    </row>
    <row r="52" spans="1:7" x14ac:dyDescent="0.25">
      <c r="A52" t="s">
        <v>126</v>
      </c>
      <c r="B52">
        <v>152</v>
      </c>
      <c r="C52" s="1">
        <f>VLOOKUP($A52,Coordinaten!$A:$C,2,FALSE)</f>
        <v>53.026983999999999</v>
      </c>
      <c r="D52" s="1">
        <f>VLOOKUP($A52,Coordinaten!$A:$C,3,FALSE)</f>
        <v>6.8479340000000004</v>
      </c>
      <c r="E52" cm="1">
        <f t="array" ref="E52">WGS842X($C52,$D52)</f>
        <v>253000</v>
      </c>
      <c r="F52" cm="1">
        <f t="array" ref="F52">WGS842Y($C52,$D52)</f>
        <v>561000</v>
      </c>
      <c r="G52" s="1" t="str">
        <f t="shared" si="0"/>
        <v>Gieterveen,152,253000,561000</v>
      </c>
    </row>
    <row r="53" spans="1:7" x14ac:dyDescent="0.25">
      <c r="A53" t="s">
        <v>319</v>
      </c>
      <c r="B53">
        <v>153</v>
      </c>
      <c r="C53" s="1">
        <f>VLOOKUP($A53,Coordinaten!$A:$C,2,FALSE)</f>
        <v>53.132255999999998</v>
      </c>
      <c r="D53" s="1">
        <f>VLOOKUP($A53,Coordinaten!$A:$C,3,FALSE)</f>
        <v>7.045744</v>
      </c>
      <c r="E53" cm="1">
        <f t="array" ref="E53">WGS842X($C53,$D53)</f>
        <v>266000</v>
      </c>
      <c r="F53" cm="1">
        <f t="array" ref="F53">WGS842Y($C53,$D53)</f>
        <v>573000</v>
      </c>
      <c r="G53" s="1" t="str">
        <f t="shared" si="0"/>
        <v>Winschoten,153,266000,573000</v>
      </c>
    </row>
    <row r="54" spans="1:7" x14ac:dyDescent="0.25">
      <c r="A54" t="s">
        <v>103</v>
      </c>
      <c r="B54">
        <v>154</v>
      </c>
      <c r="C54" s="1">
        <f>VLOOKUP($A54,Coordinaten!$A:$C,2,FALSE)</f>
        <v>53.363506999999998</v>
      </c>
      <c r="D54" s="1">
        <f>VLOOKUP($A54,Coordinaten!$A:$C,3,FALSE)</f>
        <v>6.4687530000000004</v>
      </c>
      <c r="E54" cm="1">
        <f t="array" ref="E54">WGS842X($C54,$D54)</f>
        <v>227000</v>
      </c>
      <c r="F54" cm="1">
        <f t="array" ref="F54">WGS842Y($C54,$D54)</f>
        <v>598000</v>
      </c>
      <c r="G54" s="1" t="str">
        <f t="shared" si="0"/>
        <v>Eenrum,154,227000,598000</v>
      </c>
    </row>
    <row r="55" spans="1:7" x14ac:dyDescent="0.25">
      <c r="A55" t="s">
        <v>107</v>
      </c>
      <c r="B55">
        <v>155</v>
      </c>
      <c r="C55" s="1">
        <f>VLOOKUP($A55,Coordinaten!$A:$C,2,FALSE)</f>
        <v>53.001427999999997</v>
      </c>
      <c r="D55" s="1">
        <f>VLOOKUP($A55,Coordinaten!$A:$C,3,FALSE)</f>
        <v>6.7278929999999999</v>
      </c>
      <c r="E55" cm="1">
        <f t="array" ref="E55">WGS842X($C55,$D55)</f>
        <v>245000</v>
      </c>
      <c r="F55" cm="1">
        <f t="array" ref="F55">WGS842Y($C55,$D55)</f>
        <v>558000</v>
      </c>
      <c r="G55" s="1" t="str">
        <f t="shared" si="0"/>
        <v>Eext,155,245000,558000</v>
      </c>
    </row>
    <row r="56" spans="1:7" x14ac:dyDescent="0.25">
      <c r="A56" t="s">
        <v>302</v>
      </c>
      <c r="B56">
        <v>156</v>
      </c>
      <c r="C56" s="1">
        <f>VLOOKUP($A56,Coordinaten!$A:$C,2,FALSE)</f>
        <v>53.032390999999997</v>
      </c>
      <c r="D56" s="1">
        <f>VLOOKUP($A56,Coordinaten!$A:$C,3,FALSE)</f>
        <v>7.116479</v>
      </c>
      <c r="E56" cm="1">
        <f t="array" ref="E56">WGS842X($C56,$D56)</f>
        <v>271000</v>
      </c>
      <c r="F56" cm="1">
        <f t="array" ref="F56">WGS842Y($C56,$D56)</f>
        <v>562000</v>
      </c>
      <c r="G56" s="1" t="str">
        <f t="shared" si="0"/>
        <v>Vlagtwedde,156,271000,562000</v>
      </c>
    </row>
    <row r="57" spans="1:7" x14ac:dyDescent="0.25">
      <c r="A57" t="s">
        <v>224</v>
      </c>
      <c r="B57">
        <v>158</v>
      </c>
      <c r="C57" s="1">
        <f>VLOOKUP($A57,Coordinaten!$A:$C,2,FALSE)</f>
        <v>53.154811000000002</v>
      </c>
      <c r="D57" s="1">
        <f>VLOOKUP($A57,Coordinaten!$A:$C,3,FALSE)</f>
        <v>6.6728370000000004</v>
      </c>
      <c r="E57" cm="1">
        <f t="array" ref="E57">WGS842X($C57,$D57)</f>
        <v>241000</v>
      </c>
      <c r="F57" cm="1">
        <f t="array" ref="F57">WGS842Y($C57,$D57)</f>
        <v>575000</v>
      </c>
      <c r="G57" s="1" t="str">
        <f t="shared" si="0"/>
        <v>Onnen,158,241000,575000</v>
      </c>
    </row>
    <row r="58" spans="1:7" x14ac:dyDescent="0.25">
      <c r="A58" t="s">
        <v>209</v>
      </c>
      <c r="B58">
        <v>159</v>
      </c>
      <c r="C58" s="1">
        <f>VLOOKUP($A58,Coordinaten!$A:$C,2,FALSE)</f>
        <v>52.971764</v>
      </c>
      <c r="D58" s="1">
        <f>VLOOKUP($A58,Coordinaten!$A:$C,3,FALSE)</f>
        <v>6.9502980000000001</v>
      </c>
      <c r="E58" cm="1">
        <f t="array" ref="E58">WGS842X($C58,$D58)</f>
        <v>260000</v>
      </c>
      <c r="F58" cm="1">
        <f t="array" ref="F58">WGS842Y($C58,$D58)</f>
        <v>555000</v>
      </c>
      <c r="G58" s="1" t="str">
        <f t="shared" si="0"/>
        <v>Nieuw Buinen,159,260000,555000</v>
      </c>
    </row>
    <row r="59" spans="1:7" x14ac:dyDescent="0.25">
      <c r="A59" t="s">
        <v>298</v>
      </c>
      <c r="B59">
        <v>160</v>
      </c>
      <c r="C59" s="1">
        <f>VLOOKUP($A59,Coordinaten!$A:$C,2,FALSE)</f>
        <v>53.049703999999998</v>
      </c>
      <c r="D59" s="1">
        <f>VLOOKUP($A59,Coordinaten!$A:$C,3,FALSE)</f>
        <v>6.3863649999999996</v>
      </c>
      <c r="E59" cm="1">
        <f t="array" ref="E59">WGS842X($C59,$D59)</f>
        <v>222000</v>
      </c>
      <c r="F59" cm="1">
        <f t="array" ref="F59">WGS842Y($C59,$D59)</f>
        <v>563000</v>
      </c>
      <c r="G59" s="1" t="str">
        <f t="shared" si="0"/>
        <v>Veenhuizen (D),160,222000,563000</v>
      </c>
    </row>
    <row r="60" spans="1:7" x14ac:dyDescent="0.25">
      <c r="A60" t="s">
        <v>15</v>
      </c>
      <c r="B60">
        <v>161</v>
      </c>
      <c r="C60" s="1">
        <f>VLOOKUP($A60,Coordinaten!$A:$C,2,FALSE)</f>
        <v>53.119802999999997</v>
      </c>
      <c r="D60" s="1">
        <f>VLOOKUP($A60,Coordinaten!$A:$C,3,FALSE)</f>
        <v>6.5821709999999998</v>
      </c>
      <c r="E60" cm="1">
        <f t="array" ref="E60">WGS842X($C60,$D60)</f>
        <v>235000</v>
      </c>
      <c r="F60" cm="1">
        <f t="array" ref="F60">WGS842Y($C60,$D60)</f>
        <v>571000</v>
      </c>
      <c r="G60" s="1" t="str">
        <f t="shared" si="0"/>
        <v>Eelde,161,235000,571000</v>
      </c>
    </row>
    <row r="61" spans="1:7" x14ac:dyDescent="0.25">
      <c r="A61" t="s">
        <v>208</v>
      </c>
      <c r="B61">
        <v>162</v>
      </c>
      <c r="C61" s="1">
        <f>VLOOKUP($A61,Coordinaten!$A:$C,2,FALSE)</f>
        <v>53.220779</v>
      </c>
      <c r="D61" s="1">
        <f>VLOOKUP($A61,Coordinaten!$A:$C,3,FALSE)</f>
        <v>6.3453999999999997</v>
      </c>
      <c r="E61" cm="1">
        <f t="array" ref="E61">WGS842X($C61,$D61)</f>
        <v>219000</v>
      </c>
      <c r="F61" cm="1">
        <f t="array" ref="F61">WGS842Y($C61,$D61)</f>
        <v>582000</v>
      </c>
      <c r="G61" s="1" t="str">
        <f t="shared" si="0"/>
        <v>Niekerk,162,219000,582000</v>
      </c>
    </row>
    <row r="62" spans="1:7" x14ac:dyDescent="0.25">
      <c r="A62" t="s">
        <v>249</v>
      </c>
      <c r="B62">
        <v>163</v>
      </c>
      <c r="C62" s="1">
        <f>VLOOKUP($A62,Coordinaten!$A:$C,2,FALSE)</f>
        <v>53.148153000000001</v>
      </c>
      <c r="D62" s="1">
        <f>VLOOKUP($A62,Coordinaten!$A:$C,3,FALSE)</f>
        <v>6.4334769999999999</v>
      </c>
      <c r="E62" cm="1">
        <f t="array" ref="E62">WGS842X($C62,$D62)</f>
        <v>225000</v>
      </c>
      <c r="F62" cm="1">
        <f t="array" ref="F62">WGS842Y($C62,$D62)</f>
        <v>574000</v>
      </c>
      <c r="G62" s="1" t="str">
        <f t="shared" si="0"/>
        <v>Roden,163,225000,574000</v>
      </c>
    </row>
    <row r="63" spans="1:7" x14ac:dyDescent="0.25">
      <c r="A63" t="s">
        <v>329</v>
      </c>
      <c r="B63">
        <v>164</v>
      </c>
      <c r="C63" s="1">
        <f>VLOOKUP($A63,Coordinaten!$A:$C,2,FALSE)</f>
        <v>53.342637000000003</v>
      </c>
      <c r="D63" s="1">
        <f>VLOOKUP($A63,Coordinaten!$A:$C,3,FALSE)</f>
        <v>6.7535189999999998</v>
      </c>
      <c r="E63" cm="1">
        <f t="array" ref="E63">WGS842X($C63,$D63)</f>
        <v>246000</v>
      </c>
      <c r="F63" cm="1">
        <f t="array" ref="F63">WGS842Y($C63,$D63)</f>
        <v>596000</v>
      </c>
      <c r="G63" s="1" t="str">
        <f t="shared" si="0"/>
        <v>Zeerijp,164,246000,596000</v>
      </c>
    </row>
    <row r="64" spans="1:7" x14ac:dyDescent="0.25">
      <c r="A64" t="s">
        <v>200</v>
      </c>
      <c r="B64">
        <v>166</v>
      </c>
      <c r="C64" s="1">
        <f>VLOOKUP($A64,Coordinaten!$A:$C,2,FALSE)</f>
        <v>53.149365000000003</v>
      </c>
      <c r="D64" s="1">
        <f>VLOOKUP($A64,Coordinaten!$A:$C,3,FALSE)</f>
        <v>6.2840290000000003</v>
      </c>
      <c r="E64" cm="1">
        <f t="array" ref="E64">WGS842X($C64,$D64)</f>
        <v>215000</v>
      </c>
      <c r="F64" cm="1">
        <f t="array" ref="F64">WGS842Y($C64,$D64)</f>
        <v>574000</v>
      </c>
      <c r="G64" s="1" t="str">
        <f t="shared" si="0"/>
        <v>Marum,166,215000,574000</v>
      </c>
    </row>
    <row r="65" spans="1:7" x14ac:dyDescent="0.25">
      <c r="A65" t="s">
        <v>46</v>
      </c>
      <c r="B65">
        <v>171</v>
      </c>
      <c r="C65" s="1">
        <f>VLOOKUP($A65,Coordinaten!$A:$C,2,FALSE)</f>
        <v>53.383992999999997</v>
      </c>
      <c r="D65" s="1">
        <f>VLOOKUP($A65,Coordinaten!$A:$C,3,FALSE)</f>
        <v>6.1386289999999999</v>
      </c>
      <c r="E65" cm="1">
        <f t="array" ref="E65">WGS842X($C65,$D65)</f>
        <v>205000</v>
      </c>
      <c r="F65" cm="1">
        <f t="array" ref="F65">WGS842Y($C65,$D65)</f>
        <v>600000</v>
      </c>
      <c r="G65" s="1" t="str">
        <f t="shared" si="0"/>
        <v>Anjum,171,205000,600000</v>
      </c>
    </row>
    <row r="66" spans="1:7" x14ac:dyDescent="0.25">
      <c r="A66" t="s">
        <v>212</v>
      </c>
      <c r="B66">
        <v>172</v>
      </c>
      <c r="C66" s="1">
        <f>VLOOKUP($A66,Coordinaten!$A:$C,2,FALSE)</f>
        <v>53.249844000000003</v>
      </c>
      <c r="D66" s="1">
        <f>VLOOKUP($A66,Coordinaten!$A:$C,3,FALSE)</f>
        <v>6.9903219999999999</v>
      </c>
      <c r="E66" cm="1">
        <f t="array" ref="E66">WGS842X($C66,$D66)</f>
        <v>262000</v>
      </c>
      <c r="F66" cm="1">
        <f t="array" ref="F66">WGS842Y($C66,$D66)</f>
        <v>586000</v>
      </c>
      <c r="G66" s="1" t="str">
        <f t="shared" si="0"/>
        <v>Nieuwolda,172,262000,586000</v>
      </c>
    </row>
    <row r="67" spans="1:7" x14ac:dyDescent="0.25">
      <c r="A67" t="s">
        <v>144</v>
      </c>
      <c r="B67">
        <v>217</v>
      </c>
      <c r="C67" s="1">
        <f>VLOOKUP($A67,Coordinaten!$A:$C,2,FALSE)</f>
        <v>52.593786000000001</v>
      </c>
      <c r="D67" s="1">
        <f>VLOOKUP($A67,Coordinaten!$A:$C,3,FALSE)</f>
        <v>4.7378559999999998</v>
      </c>
      <c r="E67" cm="1">
        <f t="array" ref="E67">WGS842X($C67,$D67)</f>
        <v>111000</v>
      </c>
      <c r="F67" cm="1">
        <f t="array" ref="F67">WGS842Y($C67,$D67)</f>
        <v>512000</v>
      </c>
      <c r="G67" s="1" t="str">
        <f t="shared" ref="G67:G130" si="1">A67&amp;"," &amp;B67 &amp;"," &amp;E67&amp;"," &amp;F67</f>
        <v>Heiloo,217,111000,512000</v>
      </c>
    </row>
    <row r="68" spans="1:7" x14ac:dyDescent="0.25">
      <c r="A68" t="s">
        <v>112</v>
      </c>
      <c r="B68">
        <v>221</v>
      </c>
      <c r="C68" s="1">
        <f>VLOOKUP($A68,Coordinaten!$A:$C,2,FALSE)</f>
        <v>52.712345999999997</v>
      </c>
      <c r="D68" s="1">
        <f>VLOOKUP($A68,Coordinaten!$A:$C,3,FALSE)</f>
        <v>5.2836239999999997</v>
      </c>
      <c r="E68" cm="1">
        <f t="array" ref="E68">WGS842X($C68,$D68)</f>
        <v>148000</v>
      </c>
      <c r="F68" cm="1">
        <f t="array" ref="F68">WGS842Y($C68,$D68)</f>
        <v>525000</v>
      </c>
      <c r="G68" s="1" t="str">
        <f t="shared" si="1"/>
        <v>Enkhuizen,221,148000,525000</v>
      </c>
    </row>
    <row r="69" spans="1:7" x14ac:dyDescent="0.25">
      <c r="A69" t="s">
        <v>160</v>
      </c>
      <c r="B69">
        <v>222</v>
      </c>
      <c r="C69" s="1">
        <f>VLOOKUP($A69,Coordinaten!$A:$C,2,FALSE)</f>
        <v>52.648997000000001</v>
      </c>
      <c r="D69" s="1">
        <f>VLOOKUP($A69,Coordinaten!$A:$C,3,FALSE)</f>
        <v>5.0473499999999998</v>
      </c>
      <c r="E69" cm="1">
        <f t="array" ref="E69">WGS842X($C69,$D69)</f>
        <v>132000</v>
      </c>
      <c r="F69" cm="1">
        <f t="array" ref="F69">WGS842Y($C69,$D69)</f>
        <v>518000</v>
      </c>
      <c r="G69" s="1" t="str">
        <f t="shared" si="1"/>
        <v>Hoorn (Nh),222,132000,518000</v>
      </c>
    </row>
    <row r="70" spans="1:7" x14ac:dyDescent="0.25">
      <c r="A70" t="s">
        <v>258</v>
      </c>
      <c r="B70">
        <v>223</v>
      </c>
      <c r="C70" s="1">
        <f>VLOOKUP($A70,Coordinaten!$A:$C,2,FALSE)</f>
        <v>52.397174999999997</v>
      </c>
      <c r="D70" s="1">
        <f>VLOOKUP($A70,Coordinaten!$A:$C,3,FALSE)</f>
        <v>4.990513</v>
      </c>
      <c r="E70" cm="1">
        <f t="array" ref="E70">WGS842X($C70,$D70)</f>
        <v>128000</v>
      </c>
      <c r="F70" cm="1">
        <f t="array" ref="F70">WGS842Y($C70,$D70)</f>
        <v>490000</v>
      </c>
      <c r="G70" s="1" t="str">
        <f t="shared" si="1"/>
        <v>Schellingwoude,223,128000,490000</v>
      </c>
    </row>
    <row r="71" spans="1:7" x14ac:dyDescent="0.25">
      <c r="A71" t="s">
        <v>101</v>
      </c>
      <c r="B71">
        <v>224</v>
      </c>
      <c r="C71" s="1">
        <f>VLOOKUP($A71,Coordinaten!$A:$C,2,FALSE)</f>
        <v>52.514192000000001</v>
      </c>
      <c r="D71" s="1">
        <f>VLOOKUP($A71,Coordinaten!$A:$C,3,FALSE)</f>
        <v>5.0483880000000001</v>
      </c>
      <c r="E71" cm="1">
        <f t="array" ref="E71">WGS842X($C71,$D71)</f>
        <v>132000</v>
      </c>
      <c r="F71" cm="1">
        <f t="array" ref="F71">WGS842Y($C71,$D71)</f>
        <v>503000</v>
      </c>
      <c r="G71" s="1" t="str">
        <f t="shared" si="1"/>
        <v>Edam,224,132000,503000</v>
      </c>
    </row>
    <row r="72" spans="1:7" x14ac:dyDescent="0.25">
      <c r="A72" t="s">
        <v>236</v>
      </c>
      <c r="B72">
        <v>225</v>
      </c>
      <c r="C72" s="1">
        <f>VLOOKUP($A72,Coordinaten!$A:$C,2,FALSE)</f>
        <v>52.395181999999998</v>
      </c>
      <c r="D72" s="1">
        <f>VLOOKUP($A72,Coordinaten!$A:$C,3,FALSE)</f>
        <v>4.5938460000000001</v>
      </c>
      <c r="E72" cm="1">
        <f t="array" ref="E72">WGS842X($C72,$D72)</f>
        <v>101000</v>
      </c>
      <c r="F72" cm="1">
        <f t="array" ref="F72">WGS842Y($C72,$D72)</f>
        <v>490000</v>
      </c>
      <c r="G72" s="1" t="str">
        <f t="shared" si="1"/>
        <v>Overveen,225,101000,490000</v>
      </c>
    </row>
    <row r="73" spans="1:7" x14ac:dyDescent="0.25">
      <c r="A73" t="s">
        <v>4</v>
      </c>
      <c r="B73">
        <v>226</v>
      </c>
      <c r="C73" s="1">
        <f>VLOOKUP($A73,Coordinaten!$A:$C,2,FALSE)</f>
        <v>52.494230000000002</v>
      </c>
      <c r="D73" s="1">
        <f>VLOOKUP($A73,Coordinaten!$A:$C,3,FALSE)</f>
        <v>4.6215190000000002</v>
      </c>
      <c r="E73" cm="1">
        <f t="array" ref="E73">WGS842X($C73,$D73)</f>
        <v>103000</v>
      </c>
      <c r="F73" cm="1">
        <f t="array" ref="F73">WGS842Y($C73,$D73)</f>
        <v>501000</v>
      </c>
      <c r="G73" s="1" t="str">
        <f t="shared" si="1"/>
        <v>Wijk aan Zee,226,103000,501000</v>
      </c>
    </row>
    <row r="74" spans="1:7" x14ac:dyDescent="0.25">
      <c r="A74" t="s">
        <v>48</v>
      </c>
      <c r="B74">
        <v>227</v>
      </c>
      <c r="C74" s="1">
        <f>VLOOKUP($A74,Coordinaten!$A:$C,2,FALSE)</f>
        <v>52.863900000000001</v>
      </c>
      <c r="D74" s="1">
        <f>VLOOKUP($A74,Coordinaten!$A:$C,3,FALSE)</f>
        <v>4.8377929999999996</v>
      </c>
      <c r="E74" cm="1">
        <f t="array" ref="E74">WGS842X($C74,$D74)</f>
        <v>118000</v>
      </c>
      <c r="F74" cm="1">
        <f t="array" ref="F74">WGS842Y($C74,$D74)</f>
        <v>542000</v>
      </c>
      <c r="G74" s="1" t="str">
        <f t="shared" si="1"/>
        <v>Anna Paulowna,227,118000,542000</v>
      </c>
    </row>
    <row r="75" spans="1:7" x14ac:dyDescent="0.25">
      <c r="A75" t="s">
        <v>257</v>
      </c>
      <c r="B75">
        <v>228</v>
      </c>
      <c r="C75" s="1">
        <f>VLOOKUP($A75,Coordinaten!$A:$C,2,FALSE)</f>
        <v>52.791870000000003</v>
      </c>
      <c r="D75" s="1">
        <f>VLOOKUP($A75,Coordinaten!$A:$C,3,FALSE)</f>
        <v>4.8090460000000004</v>
      </c>
      <c r="E75" cm="1">
        <f t="array" ref="E75">WGS842X($C75,$D75)</f>
        <v>116000</v>
      </c>
      <c r="F75" cm="1">
        <f t="array" ref="F75">WGS842Y($C75,$D75)</f>
        <v>534000</v>
      </c>
      <c r="G75" s="1" t="str">
        <f t="shared" si="1"/>
        <v>Schagen,228,116000,534000</v>
      </c>
    </row>
    <row r="76" spans="1:7" x14ac:dyDescent="0.25">
      <c r="A76" t="s">
        <v>328</v>
      </c>
      <c r="B76">
        <v>229</v>
      </c>
      <c r="C76" s="1">
        <f>VLOOKUP($A76,Coordinaten!$A:$C,2,FALSE)</f>
        <v>52.340637999999998</v>
      </c>
      <c r="D76" s="1">
        <f>VLOOKUP($A76,Coordinaten!$A:$C,3,FALSE)</f>
        <v>4.5067750000000002</v>
      </c>
      <c r="E76" cm="1">
        <f t="array" ref="E76">WGS842X($C76,$D76)</f>
        <v>95000</v>
      </c>
      <c r="F76" cm="1">
        <f t="array" ref="F76">WGS842Y($C76,$D76)</f>
        <v>484000</v>
      </c>
      <c r="G76" s="1" t="str">
        <f t="shared" si="1"/>
        <v>Zandvoort,229,95000,484000</v>
      </c>
    </row>
    <row r="77" spans="1:7" x14ac:dyDescent="0.25">
      <c r="A77" t="s">
        <v>326</v>
      </c>
      <c r="B77">
        <v>230</v>
      </c>
      <c r="C77" s="1">
        <f>VLOOKUP($A77,Coordinaten!$A:$C,2,FALSE)</f>
        <v>52.477336999999999</v>
      </c>
      <c r="D77" s="1">
        <f>VLOOKUP($A77,Coordinaten!$A:$C,3,FALSE)</f>
        <v>4.8131640000000004</v>
      </c>
      <c r="E77" cm="1">
        <f t="array" ref="E77">WGS842X($C77,$D77)</f>
        <v>116000</v>
      </c>
      <c r="F77" cm="1">
        <f t="array" ref="F77">WGS842Y($C77,$D77)</f>
        <v>499000</v>
      </c>
      <c r="G77" s="1" t="str">
        <f t="shared" si="1"/>
        <v>Zaandijk,230,116000,499000</v>
      </c>
    </row>
    <row r="78" spans="1:7" x14ac:dyDescent="0.25">
      <c r="A78" t="s">
        <v>325</v>
      </c>
      <c r="B78">
        <v>233</v>
      </c>
      <c r="C78" s="1">
        <f>VLOOKUP($A78,Coordinaten!$A:$C,2,FALSE)</f>
        <v>52.423484999999999</v>
      </c>
      <c r="D78" s="1">
        <f>VLOOKUP($A78,Coordinaten!$A:$C,3,FALSE)</f>
        <v>4.8285629999999999</v>
      </c>
      <c r="E78" cm="1">
        <f t="array" ref="E78">WGS842X($C78,$D78)</f>
        <v>117000</v>
      </c>
      <c r="F78" cm="1">
        <f t="array" ref="F78">WGS842Y($C78,$D78)</f>
        <v>493000</v>
      </c>
      <c r="G78" s="1" t="str">
        <f t="shared" si="1"/>
        <v>Zaandam (Hembrug),233,117000,493000</v>
      </c>
    </row>
    <row r="79" spans="1:7" x14ac:dyDescent="0.25">
      <c r="A79" t="s">
        <v>59</v>
      </c>
      <c r="B79">
        <v>234</v>
      </c>
      <c r="C79" s="1">
        <f>VLOOKUP($A79,Coordinaten!$A:$C,2,FALSE)</f>
        <v>52.683312999999998</v>
      </c>
      <c r="D79" s="1">
        <f>VLOOKUP($A79,Coordinaten!$A:$C,3,FALSE)</f>
        <v>4.6773800000000003</v>
      </c>
      <c r="E79" cm="1">
        <f t="array" ref="E79">WGS842X($C79,$D79)</f>
        <v>107000</v>
      </c>
      <c r="F79" cm="1">
        <f t="array" ref="F79">WGS842Y($C79,$D79)</f>
        <v>522000</v>
      </c>
      <c r="G79" s="1" t="str">
        <f t="shared" si="1"/>
        <v>Bergen (Nh),234,107000,522000</v>
      </c>
    </row>
    <row r="80" spans="1:7" x14ac:dyDescent="0.25">
      <c r="A80" t="s">
        <v>76</v>
      </c>
      <c r="B80">
        <v>235</v>
      </c>
      <c r="C80" s="1">
        <f>VLOOKUP($A80,Coordinaten!$A:$C,2,FALSE)</f>
        <v>52.548335999999999</v>
      </c>
      <c r="D80" s="1">
        <f>VLOOKUP($A80,Coordinaten!$A:$C,3,FALSE)</f>
        <v>4.6500659999999998</v>
      </c>
      <c r="E80" cm="1">
        <f t="array" ref="E80">WGS842X($C80,$D80)</f>
        <v>105000</v>
      </c>
      <c r="F80" cm="1">
        <f t="array" ref="F80">WGS842Y($C80,$D80)</f>
        <v>507000</v>
      </c>
      <c r="G80" s="1" t="str">
        <f t="shared" si="1"/>
        <v>Castricum,235,105000,507000</v>
      </c>
    </row>
    <row r="81" spans="1:7" x14ac:dyDescent="0.25">
      <c r="A81" t="s">
        <v>201</v>
      </c>
      <c r="B81">
        <v>236</v>
      </c>
      <c r="C81" s="1">
        <f>VLOOKUP($A81,Coordinaten!$A:$C,2,FALSE)</f>
        <v>52.756993000000001</v>
      </c>
      <c r="D81" s="1">
        <f>VLOOKUP($A81,Coordinaten!$A:$C,3,FALSE)</f>
        <v>5.1057649999999999</v>
      </c>
      <c r="E81" cm="1">
        <f t="array" ref="E81">WGS842X($C81,$D81)</f>
        <v>136000</v>
      </c>
      <c r="F81" cm="1">
        <f t="array" ref="F81">WGS842Y($C81,$D81)</f>
        <v>530000</v>
      </c>
      <c r="G81" s="1" t="str">
        <f t="shared" si="1"/>
        <v>Medemblik,236,136000,530000</v>
      </c>
    </row>
    <row r="82" spans="1:7" x14ac:dyDescent="0.25">
      <c r="A82" t="s">
        <v>80</v>
      </c>
      <c r="B82">
        <v>238</v>
      </c>
      <c r="C82" s="1">
        <f>VLOOKUP($A82,Coordinaten!$A:$C,2,FALSE)</f>
        <v>52.882306</v>
      </c>
      <c r="D82" s="1">
        <f>VLOOKUP($A82,Coordinaten!$A:$C,3,FALSE)</f>
        <v>4.9415500000000003</v>
      </c>
      <c r="E82" cm="1">
        <f t="array" ref="E82">WGS842X($C82,$D82)</f>
        <v>125000</v>
      </c>
      <c r="F82" cm="1">
        <f t="array" ref="F82">WGS842Y($C82,$D82)</f>
        <v>544000</v>
      </c>
      <c r="G82" s="1" t="str">
        <f t="shared" si="1"/>
        <v>De Haukes,238,125000,544000</v>
      </c>
    </row>
    <row r="83" spans="1:7" x14ac:dyDescent="0.25">
      <c r="A83" t="s">
        <v>87</v>
      </c>
      <c r="B83">
        <v>239</v>
      </c>
      <c r="C83" s="1">
        <f>VLOOKUP($A83,Coordinaten!$A:$C,2,FALSE)</f>
        <v>52.927537000000001</v>
      </c>
      <c r="D83" s="1">
        <f>VLOOKUP($A83,Coordinaten!$A:$C,3,FALSE)</f>
        <v>5.0303120000000003</v>
      </c>
      <c r="E83" cm="1">
        <f t="array" ref="E83">WGS842X($C83,$D83)</f>
        <v>131000</v>
      </c>
      <c r="F83" cm="1">
        <f t="array" ref="F83">WGS842Y($C83,$D83)</f>
        <v>549000</v>
      </c>
      <c r="G83" s="1" t="str">
        <f t="shared" si="1"/>
        <v>Den Oever,239,131000,549000</v>
      </c>
    </row>
    <row r="84" spans="1:7" x14ac:dyDescent="0.25">
      <c r="A84" t="s">
        <v>179</v>
      </c>
      <c r="B84">
        <v>240</v>
      </c>
      <c r="C84" s="1">
        <f>VLOOKUP($A84,Coordinaten!$A:$C,2,FALSE)</f>
        <v>52.864795000000001</v>
      </c>
      <c r="D84" s="1">
        <f>VLOOKUP($A84,Coordinaten!$A:$C,3,FALSE)</f>
        <v>5.0902219999999998</v>
      </c>
      <c r="E84" cm="1">
        <f t="array" ref="E84">WGS842X($C84,$D84)</f>
        <v>135000</v>
      </c>
      <c r="F84" cm="1">
        <f t="array" ref="F84">WGS842Y($C84,$D84)</f>
        <v>542000</v>
      </c>
      <c r="G84" s="1" t="str">
        <f t="shared" si="1"/>
        <v>Kreileroord,240,135000,542000</v>
      </c>
    </row>
    <row r="85" spans="1:7" x14ac:dyDescent="0.25">
      <c r="A85" t="s">
        <v>241</v>
      </c>
      <c r="B85">
        <v>242</v>
      </c>
      <c r="C85" s="1">
        <f>VLOOKUP($A85,Coordinaten!$A:$C,2,FALSE)</f>
        <v>52.513852</v>
      </c>
      <c r="D85" s="1">
        <f>VLOOKUP($A85,Coordinaten!$A:$C,3,FALSE)</f>
        <v>4.9452720000000001</v>
      </c>
      <c r="E85" cm="1">
        <f t="array" ref="E85">WGS842X($C85,$D85)</f>
        <v>125000</v>
      </c>
      <c r="F85" cm="1">
        <f t="array" ref="F85">WGS842Y($C85,$D85)</f>
        <v>503000</v>
      </c>
      <c r="G85" s="1" t="str">
        <f t="shared" si="1"/>
        <v>Purmerend,242,125000,503000</v>
      </c>
    </row>
    <row r="86" spans="1:7" x14ac:dyDescent="0.25">
      <c r="A86" t="s">
        <v>158</v>
      </c>
      <c r="B86">
        <v>249</v>
      </c>
      <c r="C86" s="1">
        <f>VLOOKUP($A86,Coordinaten!$A:$C,2,FALSE)</f>
        <v>52.685223999999998</v>
      </c>
      <c r="D86" s="1">
        <f>VLOOKUP($A86,Coordinaten!$A:$C,3,FALSE)</f>
        <v>5.1653789999999997</v>
      </c>
      <c r="E86" cm="1">
        <f t="array" ref="E86">WGS842X($C86,$D86)</f>
        <v>140000</v>
      </c>
      <c r="F86" cm="1">
        <f t="array" ref="F86">WGS842Y($C86,$D86)</f>
        <v>522000</v>
      </c>
      <c r="G86" s="1" t="str">
        <f t="shared" si="1"/>
        <v>Hoogkarspel,249,140000,522000</v>
      </c>
    </row>
    <row r="87" spans="1:7" x14ac:dyDescent="0.25">
      <c r="A87" t="s">
        <v>315</v>
      </c>
      <c r="B87">
        <v>251</v>
      </c>
      <c r="C87" s="1">
        <f>VLOOKUP($A87,Coordinaten!$A:$C,2,FALSE)</f>
        <v>52.585574999999999</v>
      </c>
      <c r="D87" s="1">
        <f>VLOOKUP($A87,Coordinaten!$A:$C,3,FALSE)</f>
        <v>4.9002869999999996</v>
      </c>
      <c r="E87" cm="1">
        <f t="array" ref="E87">WGS842X($C87,$D87)</f>
        <v>122000</v>
      </c>
      <c r="F87" cm="1">
        <f t="array" ref="F87">WGS842Y($C87,$D87)</f>
        <v>511000</v>
      </c>
      <c r="G87" s="1" t="str">
        <f t="shared" si="1"/>
        <v>West Beemster,251,122000,511000</v>
      </c>
    </row>
    <row r="88" spans="1:7" x14ac:dyDescent="0.25">
      <c r="A88" t="s">
        <v>173</v>
      </c>
      <c r="B88">
        <v>252</v>
      </c>
      <c r="C88" s="1">
        <f>VLOOKUP($A88,Coordinaten!$A:$C,2,FALSE)</f>
        <v>52.792268</v>
      </c>
      <c r="D88" s="1">
        <f>VLOOKUP($A88,Coordinaten!$A:$C,3,FALSE)</f>
        <v>4.8979910000000002</v>
      </c>
      <c r="E88" cm="1">
        <f t="array" ref="E88">WGS842X($C88,$D88)</f>
        <v>122000</v>
      </c>
      <c r="F88" cm="1">
        <f t="array" ref="F88">WGS842Y($C88,$D88)</f>
        <v>534000</v>
      </c>
      <c r="G88" s="1" t="str">
        <f t="shared" si="1"/>
        <v>Kolhorn,252,122000,534000</v>
      </c>
    </row>
    <row r="89" spans="1:7" x14ac:dyDescent="0.25">
      <c r="A89" t="s">
        <v>220</v>
      </c>
      <c r="B89">
        <v>255</v>
      </c>
      <c r="C89" s="1">
        <f>VLOOKUP($A89,Coordinaten!$A:$C,2,FALSE)</f>
        <v>52.675381999999999</v>
      </c>
      <c r="D89" s="1">
        <f>VLOOKUP($A89,Coordinaten!$A:$C,3,FALSE)</f>
        <v>4.8845070000000002</v>
      </c>
      <c r="E89" cm="1">
        <f t="array" ref="E89">WGS842X($C89,$D89)</f>
        <v>121000</v>
      </c>
      <c r="F89" cm="1">
        <f t="array" ref="F89">WGS842Y($C89,$D89)</f>
        <v>521000</v>
      </c>
      <c r="G89" s="1" t="str">
        <f t="shared" si="1"/>
        <v>Obdam (Nieuw),255,121000,521000</v>
      </c>
    </row>
    <row r="90" spans="1:7" x14ac:dyDescent="0.25">
      <c r="A90" t="s">
        <v>199</v>
      </c>
      <c r="B90">
        <v>256</v>
      </c>
      <c r="C90" s="1">
        <f>VLOOKUP($A90,Coordinaten!$A:$C,2,FALSE)</f>
        <v>52.460455000000003</v>
      </c>
      <c r="D90" s="1">
        <f>VLOOKUP($A90,Coordinaten!$A:$C,3,FALSE)</f>
        <v>5.1223669999999997</v>
      </c>
      <c r="E90" cm="1">
        <f t="array" ref="E90">WGS842X($C90,$D90)</f>
        <v>137000</v>
      </c>
      <c r="F90" cm="1">
        <f t="array" ref="F90">WGS842Y($C90,$D90)</f>
        <v>497000</v>
      </c>
      <c r="G90" s="1" t="str">
        <f t="shared" si="1"/>
        <v>Marken (Nieuw),256,137000,497000</v>
      </c>
    </row>
    <row r="91" spans="1:7" x14ac:dyDescent="0.25">
      <c r="A91" t="s">
        <v>159</v>
      </c>
      <c r="B91">
        <v>257</v>
      </c>
      <c r="C91" s="1">
        <f>VLOOKUP($A91,Coordinaten!$A:$C,2,FALSE)</f>
        <v>52.729590999999999</v>
      </c>
      <c r="D91" s="1">
        <f>VLOOKUP($A91,Coordinaten!$A:$C,3,FALSE)</f>
        <v>4.9579050000000002</v>
      </c>
      <c r="E91" cm="1">
        <f t="array" ref="E91">WGS842X($C91,$D91)</f>
        <v>126000</v>
      </c>
      <c r="F91" cm="1">
        <f t="array" ref="F91">WGS842Y($C91,$D91)</f>
        <v>527000</v>
      </c>
      <c r="G91" s="1" t="str">
        <f t="shared" si="1"/>
        <v>Hoogwoud,257,126000,527000</v>
      </c>
    </row>
    <row r="92" spans="1:7" x14ac:dyDescent="0.25">
      <c r="A92" t="s">
        <v>53</v>
      </c>
      <c r="B92">
        <v>263</v>
      </c>
      <c r="C92" s="1">
        <f>VLOOKUP($A92,Coordinaten!$A:$C,2,FALSE)</f>
        <v>52.467889999999997</v>
      </c>
      <c r="D92" s="1">
        <f>VLOOKUP($A92,Coordinaten!$A:$C,3,FALSE)</f>
        <v>4.7249889999999999</v>
      </c>
      <c r="E92" cm="1">
        <f t="array" ref="E92">WGS842X($C92,$D92)</f>
        <v>110000</v>
      </c>
      <c r="F92" cm="1">
        <f t="array" ref="F92">WGS842Y($C92,$D92)</f>
        <v>498000</v>
      </c>
      <c r="G92" s="1" t="str">
        <f t="shared" si="1"/>
        <v>Assendelft,263,110000,498000</v>
      </c>
    </row>
    <row r="93" spans="1:7" x14ac:dyDescent="0.25">
      <c r="A93" t="s">
        <v>278</v>
      </c>
      <c r="B93">
        <v>298</v>
      </c>
      <c r="C93" s="1">
        <f>VLOOKUP($A93,Coordinaten!$A:$C,2,FALSE)</f>
        <v>52.660502000000001</v>
      </c>
      <c r="D93" s="1">
        <f>VLOOKUP($A93,Coordinaten!$A:$C,3,FALSE)</f>
        <v>6.6731360000000004</v>
      </c>
      <c r="E93" cm="1">
        <f t="array" ref="E93">WGS842X($C93,$D93)</f>
        <v>242000</v>
      </c>
      <c r="F93" cm="1">
        <f t="array" ref="F93">WGS842Y($C93,$D93)</f>
        <v>520000</v>
      </c>
      <c r="G93" s="1" t="str">
        <f t="shared" si="1"/>
        <v>Steenwijksmoer,298,242000,520000</v>
      </c>
    </row>
    <row r="94" spans="1:7" x14ac:dyDescent="0.25">
      <c r="A94" t="s">
        <v>10</v>
      </c>
      <c r="B94">
        <v>317</v>
      </c>
      <c r="C94" s="1">
        <f>VLOOKUP($A94,Coordinaten!$A:$C,2,FALSE)</f>
        <v>52.693474999999999</v>
      </c>
      <c r="D94" s="1">
        <f>VLOOKUP($A94,Coordinaten!$A:$C,3,FALSE)</f>
        <v>5.8605330000000002</v>
      </c>
      <c r="E94" cm="1">
        <f t="array" ref="E94">WGS842X($C94,$D94)</f>
        <v>187000</v>
      </c>
      <c r="F94" cm="1">
        <f t="array" ref="F94">WGS842Y($C94,$D94)</f>
        <v>523000</v>
      </c>
      <c r="G94" s="1" t="str">
        <f t="shared" si="1"/>
        <v>Marknesse,317,187000,523000</v>
      </c>
    </row>
    <row r="95" spans="1:7" x14ac:dyDescent="0.25">
      <c r="A95" t="s">
        <v>182</v>
      </c>
      <c r="B95">
        <v>323</v>
      </c>
      <c r="C95" s="1">
        <f>VLOOKUP($A95,Coordinaten!$A:$C,2,FALSE)</f>
        <v>52.922580000000004</v>
      </c>
      <c r="D95" s="1">
        <f>VLOOKUP($A95,Coordinaten!$A:$C,3,FALSE)</f>
        <v>6.532152</v>
      </c>
      <c r="E95" cm="1">
        <f t="array" ref="E95">WGS842X($C95,$D95)</f>
        <v>232000</v>
      </c>
      <c r="F95" cm="1">
        <f t="array" ref="F95">WGS842Y($C95,$D95)</f>
        <v>549000</v>
      </c>
      <c r="G95" s="1" t="str">
        <f t="shared" si="1"/>
        <v>Laaghalen,323,232000,549000</v>
      </c>
    </row>
    <row r="96" spans="1:7" x14ac:dyDescent="0.25">
      <c r="A96" t="s">
        <v>121</v>
      </c>
      <c r="B96">
        <v>326</v>
      </c>
      <c r="C96" s="1">
        <f>VLOOKUP($A96,Coordinaten!$A:$C,2,FALSE)</f>
        <v>52.844496999999997</v>
      </c>
      <c r="D96" s="1">
        <f>VLOOKUP($A96,Coordinaten!$A:$C,3,FALSE)</f>
        <v>6.1887090000000002</v>
      </c>
      <c r="E96" cm="1">
        <f t="array" ref="E96">WGS842X($C96,$D96)</f>
        <v>209000</v>
      </c>
      <c r="F96" cm="1">
        <f t="array" ref="F96">WGS842Y($C96,$D96)</f>
        <v>540000</v>
      </c>
      <c r="G96" s="1" t="str">
        <f t="shared" si="1"/>
        <v>Frederiksoord,326,209000,540000</v>
      </c>
    </row>
    <row r="97" spans="1:7" x14ac:dyDescent="0.25">
      <c r="A97" t="s">
        <v>99</v>
      </c>
      <c r="B97">
        <v>327</v>
      </c>
      <c r="C97" s="1">
        <f>VLOOKUP($A97,Coordinaten!$A:$C,2,FALSE)</f>
        <v>52.824821999999998</v>
      </c>
      <c r="D97" s="1">
        <f>VLOOKUP($A97,Coordinaten!$A:$C,3,FALSE)</f>
        <v>6.4108970000000003</v>
      </c>
      <c r="E97" cm="1">
        <f t="array" ref="E97">WGS842X($C97,$D97)</f>
        <v>224000</v>
      </c>
      <c r="F97" cm="1">
        <f t="array" ref="F97">WGS842Y($C97,$D97)</f>
        <v>538000</v>
      </c>
      <c r="G97" s="1" t="str">
        <f t="shared" si="1"/>
        <v>Dwingelo,327,224000,538000</v>
      </c>
    </row>
    <row r="98" spans="1:7" x14ac:dyDescent="0.25">
      <c r="A98" t="s">
        <v>142</v>
      </c>
      <c r="B98">
        <v>328</v>
      </c>
      <c r="C98" s="1">
        <f>VLOOKUP($A98,Coordinaten!$A:$C,2,FALSE)</f>
        <v>52.378098999999999</v>
      </c>
      <c r="D98" s="1">
        <f>VLOOKUP($A98,Coordinaten!$A:$C,3,FALSE)</f>
        <v>6.0333969999999999</v>
      </c>
      <c r="E98" cm="1">
        <f t="array" ref="E98">WGS842X($C98,$D98)</f>
        <v>199000</v>
      </c>
      <c r="F98" cm="1">
        <f t="array" ref="F98">WGS842Y($C98,$D98)</f>
        <v>488000</v>
      </c>
      <c r="G98" s="1" t="str">
        <f t="shared" si="1"/>
        <v>Heerde,328,199000,488000</v>
      </c>
    </row>
    <row r="99" spans="1:7" x14ac:dyDescent="0.25">
      <c r="A99" t="s">
        <v>310</v>
      </c>
      <c r="B99">
        <v>329</v>
      </c>
      <c r="C99" s="1">
        <f>VLOOKUP($A99,Coordinaten!$A:$C,2,FALSE)</f>
        <v>52.431772000000002</v>
      </c>
      <c r="D99" s="1">
        <f>VLOOKUP($A99,Coordinaten!$A:$C,3,FALSE)</f>
        <v>6.0782930000000004</v>
      </c>
      <c r="E99" cm="1">
        <f t="array" ref="E99">WGS842X($C99,$D99)</f>
        <v>202000</v>
      </c>
      <c r="F99" cm="1">
        <f t="array" ref="F99">WGS842Y($C99,$D99)</f>
        <v>494000</v>
      </c>
      <c r="G99" s="1" t="str">
        <f t="shared" si="1"/>
        <v>Wapenveld,329,202000,494000</v>
      </c>
    </row>
    <row r="100" spans="1:7" x14ac:dyDescent="0.25">
      <c r="A100" t="s">
        <v>338</v>
      </c>
      <c r="B100">
        <v>330</v>
      </c>
      <c r="C100" s="1">
        <f>VLOOKUP($A100,Coordinaten!$A:$C,2,FALSE)</f>
        <v>52.530268</v>
      </c>
      <c r="D100" s="1">
        <f>VLOOKUP($A100,Coordinaten!$A:$C,3,FALSE)</f>
        <v>6.1387840000000002</v>
      </c>
      <c r="E100" cm="1">
        <f t="array" ref="E100">WGS842X($C100,$D100)</f>
        <v>206000</v>
      </c>
      <c r="F100" cm="1">
        <f t="array" ref="F100">WGS842Y($C100,$D100)</f>
        <v>505000</v>
      </c>
      <c r="G100" s="1" t="str">
        <f t="shared" si="1"/>
        <v>Zwolle,330,206000,505000</v>
      </c>
    </row>
    <row r="101" spans="1:7" x14ac:dyDescent="0.25">
      <c r="A101" t="s">
        <v>88</v>
      </c>
      <c r="B101">
        <v>331</v>
      </c>
      <c r="C101" s="1">
        <f>VLOOKUP($A101,Coordinaten!$A:$C,2,FALSE)</f>
        <v>52.377420000000001</v>
      </c>
      <c r="D101" s="1">
        <f>VLOOKUP($A101,Coordinaten!$A:$C,3,FALSE)</f>
        <v>7.0321129999999998</v>
      </c>
      <c r="E101" cm="1">
        <f t="array" ref="E101">WGS842X($C101,$D101)</f>
        <v>267000</v>
      </c>
      <c r="F101" cm="1">
        <f t="array" ref="F101">WGS842Y($C101,$D101)</f>
        <v>489000</v>
      </c>
      <c r="G101" s="1" t="str">
        <f t="shared" si="1"/>
        <v>Denekamp,331,267000,489000</v>
      </c>
    </row>
    <row r="102" spans="1:7" x14ac:dyDescent="0.25">
      <c r="A102" t="s">
        <v>14</v>
      </c>
      <c r="B102">
        <v>332</v>
      </c>
      <c r="C102" s="1">
        <f>VLOOKUP($A102,Coordinaten!$A:$C,2,FALSE)</f>
        <v>52.707352</v>
      </c>
      <c r="D102" s="1">
        <f>VLOOKUP($A102,Coordinaten!$A:$C,3,FALSE)</f>
        <v>6.4821419999999996</v>
      </c>
      <c r="E102" cm="1">
        <f t="array" ref="E102">WGS842X($C102,$D102)</f>
        <v>229000</v>
      </c>
      <c r="F102" cm="1">
        <f t="array" ref="F102">WGS842Y($C102,$D102)</f>
        <v>525000</v>
      </c>
      <c r="G102" s="1" t="str">
        <f t="shared" si="1"/>
        <v>Hoogeveen,332,229000,525000</v>
      </c>
    </row>
    <row r="103" spans="1:7" x14ac:dyDescent="0.25">
      <c r="A103" t="s">
        <v>111</v>
      </c>
      <c r="B103">
        <v>333</v>
      </c>
      <c r="C103" s="1">
        <f>VLOOKUP($A103,Coordinaten!$A:$C,2,FALSE)</f>
        <v>52.783864999999999</v>
      </c>
      <c r="D103" s="1">
        <f>VLOOKUP($A103,Coordinaten!$A:$C,3,FALSE)</f>
        <v>6.88429</v>
      </c>
      <c r="E103" cm="1">
        <f t="array" ref="E103">WGS842X($C103,$D103)</f>
        <v>256000</v>
      </c>
      <c r="F103" cm="1">
        <f t="array" ref="F103">WGS842Y($C103,$D103)</f>
        <v>534000</v>
      </c>
      <c r="G103" s="1" t="str">
        <f t="shared" si="1"/>
        <v>Emmen,333,256000,534000</v>
      </c>
    </row>
    <row r="104" spans="1:7" x14ac:dyDescent="0.25">
      <c r="A104" t="s">
        <v>163</v>
      </c>
      <c r="B104">
        <v>335</v>
      </c>
      <c r="C104" s="1">
        <f>VLOOKUP($A104,Coordinaten!$A:$C,2,FALSE)</f>
        <v>52.576191000000001</v>
      </c>
      <c r="D104" s="1">
        <f>VLOOKUP($A104,Coordinaten!$A:$C,3,FALSE)</f>
        <v>5.9625380000000003</v>
      </c>
      <c r="E104" cm="1">
        <f t="array" ref="E104">WGS842X($C104,$D104)</f>
        <v>194000</v>
      </c>
      <c r="F104" cm="1">
        <f t="array" ref="F104">WGS842Y($C104,$D104)</f>
        <v>510000</v>
      </c>
      <c r="G104" s="1" t="str">
        <f t="shared" si="1"/>
        <v>IJsselmuiden,335,194000,510000</v>
      </c>
    </row>
    <row r="105" spans="1:7" x14ac:dyDescent="0.25">
      <c r="A105" t="s">
        <v>222</v>
      </c>
      <c r="B105">
        <v>336</v>
      </c>
      <c r="C105" s="1">
        <f>VLOOKUP($A105,Coordinaten!$A:$C,2,FALSE)</f>
        <v>52.387669000000002</v>
      </c>
      <c r="D105" s="1">
        <f>VLOOKUP($A105,Coordinaten!$A:$C,3,FALSE)</f>
        <v>5.9160199999999996</v>
      </c>
      <c r="E105" cm="1">
        <f t="array" ref="E105">WGS842X($C105,$D105)</f>
        <v>191000</v>
      </c>
      <c r="F105" cm="1">
        <f t="array" ref="F105">WGS842Y($C105,$D105)</f>
        <v>489000</v>
      </c>
      <c r="G105" s="1" t="str">
        <f t="shared" si="1"/>
        <v>Oldebroek,336,191000,489000</v>
      </c>
    </row>
    <row r="106" spans="1:7" x14ac:dyDescent="0.25">
      <c r="A106" t="s">
        <v>265</v>
      </c>
      <c r="B106">
        <v>337</v>
      </c>
      <c r="C106" s="1">
        <f>VLOOKUP($A106,Coordinaten!$A:$C,2,FALSE)</f>
        <v>52.902766999999997</v>
      </c>
      <c r="D106" s="1">
        <f>VLOOKUP($A106,Coordinaten!$A:$C,3,FALSE)</f>
        <v>6.7099970000000004</v>
      </c>
      <c r="E106" cm="1">
        <f t="array" ref="E106">WGS842X($C106,$D106)</f>
        <v>244000</v>
      </c>
      <c r="F106" cm="1">
        <f t="array" ref="F106">WGS842Y($C106,$D106)</f>
        <v>547000</v>
      </c>
      <c r="G106" s="1" t="str">
        <f t="shared" si="1"/>
        <v>Schoonlo,337,244000,547000</v>
      </c>
    </row>
    <row r="107" spans="1:7" x14ac:dyDescent="0.25">
      <c r="A107" t="s">
        <v>127</v>
      </c>
      <c r="B107">
        <v>338</v>
      </c>
      <c r="C107" s="1">
        <f>VLOOKUP($A107,Coordinaten!$A:$C,2,FALSE)</f>
        <v>52.719430000000003</v>
      </c>
      <c r="D107" s="1">
        <f>VLOOKUP($A107,Coordinaten!$A:$C,3,FALSE)</f>
        <v>6.0680189999999996</v>
      </c>
      <c r="E107" cm="1">
        <f t="array" ref="E107">WGS842X($C107,$D107)</f>
        <v>201000</v>
      </c>
      <c r="F107" cm="1">
        <f t="array" ref="F107">WGS842Y($C107,$D107)</f>
        <v>526000</v>
      </c>
      <c r="G107" s="1" t="str">
        <f t="shared" si="1"/>
        <v>Giethoorn,338,201000,526000</v>
      </c>
    </row>
    <row r="108" spans="1:7" x14ac:dyDescent="0.25">
      <c r="A108" t="s">
        <v>246</v>
      </c>
      <c r="B108">
        <v>339</v>
      </c>
      <c r="C108" s="1">
        <f>VLOOKUP($A108,Coordinaten!$A:$C,2,FALSE)</f>
        <v>52.562735000000004</v>
      </c>
      <c r="D108" s="1">
        <f>VLOOKUP($A108,Coordinaten!$A:$C,3,FALSE)</f>
        <v>6.5670409999999997</v>
      </c>
      <c r="E108" cm="1">
        <f t="array" ref="E108">WGS842X($C108,$D108)</f>
        <v>235000</v>
      </c>
      <c r="F108" cm="1">
        <f t="array" ref="F108">WGS842Y($C108,$D108)</f>
        <v>509000</v>
      </c>
      <c r="G108" s="1" t="str">
        <f t="shared" si="1"/>
        <v>Rheezerveen,339,235000,509000</v>
      </c>
    </row>
    <row r="109" spans="1:7" x14ac:dyDescent="0.25">
      <c r="A109" t="s">
        <v>13</v>
      </c>
      <c r="B109">
        <v>340</v>
      </c>
      <c r="C109" s="1">
        <f>VLOOKUP($A109,Coordinaten!$A:$C,2,FALSE)</f>
        <v>52.439489000000002</v>
      </c>
      <c r="D109" s="1">
        <f>VLOOKUP($A109,Coordinaten!$A:$C,3,FALSE)</f>
        <v>6.2696040000000002</v>
      </c>
      <c r="E109" cm="1">
        <f t="array" ref="E109">WGS842X($C109,$D109)</f>
        <v>215000</v>
      </c>
      <c r="F109" cm="1">
        <f t="array" ref="F109">WGS842Y($C109,$D109)</f>
        <v>495000</v>
      </c>
      <c r="G109" s="1" t="str">
        <f t="shared" si="1"/>
        <v>Heino,340,215000,495000</v>
      </c>
    </row>
    <row r="110" spans="1:7" x14ac:dyDescent="0.25">
      <c r="A110" t="s">
        <v>337</v>
      </c>
      <c r="B110">
        <v>341</v>
      </c>
      <c r="C110" s="1">
        <f>VLOOKUP($A110,Coordinaten!$A:$C,2,FALSE)</f>
        <v>52.794620000000002</v>
      </c>
      <c r="D110" s="1">
        <f>VLOOKUP($A110,Coordinaten!$A:$C,3,FALSE)</f>
        <v>6.736383</v>
      </c>
      <c r="E110" cm="1">
        <f t="array" ref="E110">WGS842X($C110,$D110)</f>
        <v>246000</v>
      </c>
      <c r="F110" cm="1">
        <f t="array" ref="F110">WGS842Y($C110,$D110)</f>
        <v>535000</v>
      </c>
      <c r="G110" s="1" t="str">
        <f t="shared" si="1"/>
        <v>Zweelo,341,246000,535000</v>
      </c>
    </row>
    <row r="111" spans="1:7" x14ac:dyDescent="0.25">
      <c r="A111" t="s">
        <v>301</v>
      </c>
      <c r="B111">
        <v>342</v>
      </c>
      <c r="C111" s="1">
        <f>VLOOKUP($A111,Coordinaten!$A:$C,2,FALSE)</f>
        <v>52.528661999999997</v>
      </c>
      <c r="D111" s="1">
        <f>VLOOKUP($A111,Coordinaten!$A:$C,3,FALSE)</f>
        <v>6.3598090000000003</v>
      </c>
      <c r="E111" cm="1">
        <f t="array" ref="E111">WGS842X($C111,$D111)</f>
        <v>221000</v>
      </c>
      <c r="F111" cm="1">
        <f t="array" ref="F111">WGS842Y($C111,$D111)</f>
        <v>505000</v>
      </c>
      <c r="G111" s="1" t="str">
        <f t="shared" si="1"/>
        <v>Vilsteren,342,221000,505000</v>
      </c>
    </row>
    <row r="112" spans="1:7" x14ac:dyDescent="0.25">
      <c r="A112" t="s">
        <v>264</v>
      </c>
      <c r="B112">
        <v>343</v>
      </c>
      <c r="C112" s="1">
        <f>VLOOKUP($A112,Coordinaten!$A:$C,2,FALSE)</f>
        <v>52.684851000000002</v>
      </c>
      <c r="D112" s="1">
        <f>VLOOKUP($A112,Coordinaten!$A:$C,3,FALSE)</f>
        <v>6.8957050000000004</v>
      </c>
      <c r="E112" cm="1">
        <f t="array" ref="E112">WGS842X($C112,$D112)</f>
        <v>257000</v>
      </c>
      <c r="F112" cm="1">
        <f t="array" ref="F112">WGS842Y($C112,$D112)</f>
        <v>523000</v>
      </c>
      <c r="G112" s="1" t="str">
        <f t="shared" si="1"/>
        <v>Schoonebeek,343,257000,523000</v>
      </c>
    </row>
    <row r="113" spans="1:7" x14ac:dyDescent="0.25">
      <c r="A113" t="s">
        <v>289</v>
      </c>
      <c r="B113">
        <v>344</v>
      </c>
      <c r="C113" s="1">
        <f>VLOOKUP($A113,Coordinaten!$A:$C,2,FALSE)</f>
        <v>52.667220999999998</v>
      </c>
      <c r="D113" s="1">
        <f>VLOOKUP($A113,Coordinaten!$A:$C,3,FALSE)</f>
        <v>5.6237279999999998</v>
      </c>
      <c r="E113" cm="1">
        <f t="array" ref="E113">WGS842X($C113,$D113)</f>
        <v>171000</v>
      </c>
      <c r="F113" cm="1">
        <f t="array" ref="F113">WGS842Y($C113,$D113)</f>
        <v>520000</v>
      </c>
      <c r="G113" s="1" t="str">
        <f t="shared" si="1"/>
        <v>Tollebeek,344,171000,520000</v>
      </c>
    </row>
    <row r="114" spans="1:7" x14ac:dyDescent="0.25">
      <c r="A114" t="s">
        <v>306</v>
      </c>
      <c r="B114">
        <v>345</v>
      </c>
      <c r="C114" s="1">
        <f>VLOOKUP($A114,Coordinaten!$A:$C,2,FALSE)</f>
        <v>52.445773000000003</v>
      </c>
      <c r="D114" s="1">
        <f>VLOOKUP($A114,Coordinaten!$A:$C,3,FALSE)</f>
        <v>6.5786300000000004</v>
      </c>
      <c r="E114" cm="1">
        <f t="array" ref="E114">WGS842X($C114,$D114)</f>
        <v>236000</v>
      </c>
      <c r="F114" cm="1">
        <f t="array" ref="F114">WGS842Y($C114,$D114)</f>
        <v>496000</v>
      </c>
      <c r="G114" s="1" t="str">
        <f t="shared" si="1"/>
        <v>Vroomshoop,345,236000,496000</v>
      </c>
    </row>
    <row r="115" spans="1:7" x14ac:dyDescent="0.25">
      <c r="A115" t="s">
        <v>110</v>
      </c>
      <c r="B115">
        <v>348</v>
      </c>
      <c r="C115" s="1">
        <f>VLOOKUP($A115,Coordinaten!$A:$C,2,FALSE)</f>
        <v>52.702781999999999</v>
      </c>
      <c r="D115" s="1">
        <f>VLOOKUP($A115,Coordinaten!$A:$C,3,FALSE)</f>
        <v>5.771865</v>
      </c>
      <c r="E115" cm="1">
        <f t="array" ref="E115">WGS842X($C115,$D115)</f>
        <v>181000</v>
      </c>
      <c r="F115" cm="1">
        <f t="array" ref="F115">WGS842Y($C115,$D115)</f>
        <v>524000</v>
      </c>
      <c r="G115" s="1" t="str">
        <f t="shared" si="1"/>
        <v>Emmeloord,348,181000,524000</v>
      </c>
    </row>
    <row r="116" spans="1:7" x14ac:dyDescent="0.25">
      <c r="A116" t="s">
        <v>170</v>
      </c>
      <c r="B116">
        <v>349</v>
      </c>
      <c r="C116" s="1">
        <f>VLOOKUP($A116,Coordinaten!$A:$C,2,FALSE)</f>
        <v>52.737397000000001</v>
      </c>
      <c r="D116" s="1">
        <f>VLOOKUP($A116,Coordinaten!$A:$C,3,FALSE)</f>
        <v>7.0011720000000004</v>
      </c>
      <c r="E116" cm="1">
        <f t="array" ref="E116">WGS842X($C116,$D116)</f>
        <v>264000</v>
      </c>
      <c r="F116" cm="1">
        <f t="array" ref="F116">WGS842Y($C116,$D116)</f>
        <v>529000</v>
      </c>
      <c r="G116" s="1" t="str">
        <f t="shared" si="1"/>
        <v>Klazienaveen,349,264000,529000</v>
      </c>
    </row>
    <row r="117" spans="1:7" x14ac:dyDescent="0.25">
      <c r="A117" t="s">
        <v>108</v>
      </c>
      <c r="B117">
        <v>350</v>
      </c>
      <c r="C117" s="1">
        <f>VLOOKUP($A117,Coordinaten!$A:$C,2,FALSE)</f>
        <v>52.441954000000003</v>
      </c>
      <c r="D117" s="1">
        <f>VLOOKUP($A117,Coordinaten!$A:$C,3,FALSE)</f>
        <v>5.8284250000000002</v>
      </c>
      <c r="E117" cm="1">
        <f t="array" ref="E117">WGS842X($C117,$D117)</f>
        <v>185000</v>
      </c>
      <c r="F117" cm="1">
        <f t="array" ref="F117">WGS842Y($C117,$D117)</f>
        <v>495000</v>
      </c>
      <c r="G117" s="1" t="str">
        <f t="shared" si="1"/>
        <v>Elburg,350,185000,495000</v>
      </c>
    </row>
    <row r="118" spans="1:7" x14ac:dyDescent="0.25">
      <c r="A118" t="s">
        <v>206</v>
      </c>
      <c r="B118">
        <v>352</v>
      </c>
      <c r="C118" s="1">
        <f>VLOOKUP($A118,Coordinaten!$A:$C,2,FALSE)</f>
        <v>52.622034999999997</v>
      </c>
      <c r="D118" s="1">
        <f>VLOOKUP($A118,Coordinaten!$A:$C,3,FALSE)</f>
        <v>5.7268569999999999</v>
      </c>
      <c r="E118" cm="1">
        <f t="array" ref="E118">WGS842X($C118,$D118)</f>
        <v>178000</v>
      </c>
      <c r="F118" cm="1">
        <f t="array" ref="F118">WGS842Y($C118,$D118)</f>
        <v>515000</v>
      </c>
      <c r="G118" s="1" t="str">
        <f t="shared" si="1"/>
        <v>Nagele,352,178000,515000</v>
      </c>
    </row>
    <row r="119" spans="1:7" x14ac:dyDescent="0.25">
      <c r="A119" t="s">
        <v>65</v>
      </c>
      <c r="B119">
        <v>353</v>
      </c>
      <c r="C119" s="1">
        <f>VLOOKUP($A119,Coordinaten!$A:$C,2,FALSE)</f>
        <v>52.729035000000003</v>
      </c>
      <c r="D119" s="1">
        <f>VLOOKUP($A119,Coordinaten!$A:$C,3,FALSE)</f>
        <v>5.949738</v>
      </c>
      <c r="E119" cm="1">
        <f t="array" ref="E119">WGS842X($C119,$D119)</f>
        <v>193000</v>
      </c>
      <c r="F119" cm="1">
        <f t="array" ref="F119">WGS842Y($C119,$D119)</f>
        <v>527000</v>
      </c>
      <c r="G119" s="1" t="str">
        <f t="shared" si="1"/>
        <v>Blokzijl,353,193000,527000</v>
      </c>
    </row>
    <row r="120" spans="1:7" x14ac:dyDescent="0.25">
      <c r="A120" t="s">
        <v>82</v>
      </c>
      <c r="B120">
        <v>354</v>
      </c>
      <c r="C120" s="1">
        <f>VLOOKUP($A120,Coordinaten!$A:$C,2,FALSE)</f>
        <v>52.590806000000001</v>
      </c>
      <c r="D120" s="1">
        <f>VLOOKUP($A120,Coordinaten!$A:$C,3,FALSE)</f>
        <v>6.4497280000000003</v>
      </c>
      <c r="E120" cm="1">
        <f t="array" ref="E120">WGS842X($C120,$D120)</f>
        <v>227000</v>
      </c>
      <c r="F120" cm="1">
        <f t="array" ref="F120">WGS842Y($C120,$D120)</f>
        <v>512000</v>
      </c>
      <c r="G120" s="1" t="str">
        <f t="shared" si="1"/>
        <v>Dedemsvaart,354,227000,512000</v>
      </c>
    </row>
    <row r="121" spans="1:7" x14ac:dyDescent="0.25">
      <c r="A121" t="s">
        <v>181</v>
      </c>
      <c r="B121">
        <v>356</v>
      </c>
      <c r="C121" s="1">
        <f>VLOOKUP($A121,Coordinaten!$A:$C,2,FALSE)</f>
        <v>52.783397999999998</v>
      </c>
      <c r="D121" s="1">
        <f>VLOOKUP($A121,Coordinaten!$A:$C,3,FALSE)</f>
        <v>5.8466829999999996</v>
      </c>
      <c r="E121" cm="1">
        <f t="array" ref="E121">WGS842X($C121,$D121)</f>
        <v>186000</v>
      </c>
      <c r="F121" cm="1">
        <f t="array" ref="F121">WGS842Y($C121,$D121)</f>
        <v>533000</v>
      </c>
      <c r="G121" s="1" t="str">
        <f t="shared" si="1"/>
        <v>Kuinre,356,186000,533000</v>
      </c>
    </row>
    <row r="122" spans="1:7" x14ac:dyDescent="0.25">
      <c r="A122" t="s">
        <v>253</v>
      </c>
      <c r="B122">
        <v>358</v>
      </c>
      <c r="C122" s="1">
        <f>VLOOKUP($A122,Coordinaten!$A:$C,2,FALSE)</f>
        <v>52.610858</v>
      </c>
      <c r="D122" s="1">
        <f>VLOOKUP($A122,Coordinaten!$A:$C,3,FALSE)</f>
        <v>6.1844520000000003</v>
      </c>
      <c r="E122" cm="1">
        <f t="array" ref="E122">WGS842X($C122,$D122)</f>
        <v>209000</v>
      </c>
      <c r="F122" cm="1">
        <f t="array" ref="F122">WGS842Y($C122,$D122)</f>
        <v>514000</v>
      </c>
      <c r="G122" s="1" t="str">
        <f t="shared" si="1"/>
        <v>Rouveen,358,209000,514000</v>
      </c>
    </row>
    <row r="123" spans="1:7" x14ac:dyDescent="0.25">
      <c r="A123" t="s">
        <v>186</v>
      </c>
      <c r="B123">
        <v>359</v>
      </c>
      <c r="C123" s="1">
        <f>VLOOKUP($A123,Coordinaten!$A:$C,2,FALSE)</f>
        <v>52.837757000000003</v>
      </c>
      <c r="D123" s="1">
        <f>VLOOKUP($A123,Coordinaten!$A:$C,3,FALSE)</f>
        <v>5.713692</v>
      </c>
      <c r="E123" cm="1">
        <f t="array" ref="E123">WGS842X($C123,$D123)</f>
        <v>177000</v>
      </c>
      <c r="F123" cm="1">
        <f t="array" ref="F123">WGS842Y($C123,$D123)</f>
        <v>539000</v>
      </c>
      <c r="G123" s="1" t="str">
        <f t="shared" si="1"/>
        <v>Lemmer (Gemaal Buma),359,177000,539000</v>
      </c>
    </row>
    <row r="124" spans="1:7" x14ac:dyDescent="0.25">
      <c r="A124" t="s">
        <v>290</v>
      </c>
      <c r="B124">
        <v>361</v>
      </c>
      <c r="C124" s="1">
        <f>VLOOKUP($A124,Coordinaten!$A:$C,2,FALSE)</f>
        <v>52.398597000000002</v>
      </c>
      <c r="D124" s="1">
        <f>VLOOKUP($A124,Coordinaten!$A:$C,3,FALSE)</f>
        <v>6.7830830000000004</v>
      </c>
      <c r="E124" cm="1">
        <f t="array" ref="E124">WGS842X($C124,$D124)</f>
        <v>250000</v>
      </c>
      <c r="F124" cm="1">
        <f t="array" ref="F124">WGS842Y($C124,$D124)</f>
        <v>491000</v>
      </c>
      <c r="G124" s="1" t="str">
        <f t="shared" si="1"/>
        <v>Tubbergen,361,250000,491000</v>
      </c>
    </row>
    <row r="125" spans="1:7" x14ac:dyDescent="0.25">
      <c r="A125" t="s">
        <v>254</v>
      </c>
      <c r="B125">
        <v>362</v>
      </c>
      <c r="C125" s="1">
        <f>VLOOKUP($A125,Coordinaten!$A:$C,2,FALSE)</f>
        <v>52.718280999999998</v>
      </c>
      <c r="D125" s="1">
        <f>VLOOKUP($A125,Coordinaten!$A:$C,3,FALSE)</f>
        <v>6.2456040000000002</v>
      </c>
      <c r="E125" cm="1">
        <f t="array" ref="E125">WGS842X($C125,$D125)</f>
        <v>213000</v>
      </c>
      <c r="F125" cm="1">
        <f t="array" ref="F125">WGS842Y($C125,$D125)</f>
        <v>526000</v>
      </c>
      <c r="G125" s="1" t="str">
        <f t="shared" si="1"/>
        <v>Ruinerwold,362,213000,526000</v>
      </c>
    </row>
    <row r="126" spans="1:7" x14ac:dyDescent="0.25">
      <c r="A126" t="s">
        <v>97</v>
      </c>
      <c r="B126">
        <v>364</v>
      </c>
      <c r="C126" s="1">
        <f>VLOOKUP($A126,Coordinaten!$A:$C,2,FALSE)</f>
        <v>52.540698999999996</v>
      </c>
      <c r="D126" s="1">
        <f>VLOOKUP($A126,Coordinaten!$A:$C,3,FALSE)</f>
        <v>5.8588930000000001</v>
      </c>
      <c r="E126" cm="1">
        <f t="array" ref="E126">WGS842X($C126,$D126)</f>
        <v>187000</v>
      </c>
      <c r="F126" cm="1">
        <f t="array" ref="F126">WGS842Y($C126,$D126)</f>
        <v>506000</v>
      </c>
      <c r="G126" s="1" t="str">
        <f t="shared" si="1"/>
        <v>Dronten,364,187000,506000</v>
      </c>
    </row>
    <row r="127" spans="1:7" x14ac:dyDescent="0.25">
      <c r="A127" t="s">
        <v>282</v>
      </c>
      <c r="B127">
        <v>365</v>
      </c>
      <c r="C127" s="1">
        <f>VLOOKUP($A127,Coordinaten!$A:$C,2,FALSE)</f>
        <v>52.559376</v>
      </c>
      <c r="D127" s="1">
        <f>VLOOKUP($A127,Coordinaten!$A:$C,3,FALSE)</f>
        <v>5.6231489999999997</v>
      </c>
      <c r="E127" cm="1">
        <f t="array" ref="E127">WGS842X($C127,$D127)</f>
        <v>171000</v>
      </c>
      <c r="F127" cm="1">
        <f t="array" ref="F127">WGS842Y($C127,$D127)</f>
        <v>508000</v>
      </c>
      <c r="G127" s="1" t="str">
        <f t="shared" si="1"/>
        <v>Swifterbant,365,171000,508000</v>
      </c>
    </row>
    <row r="128" spans="1:7" x14ac:dyDescent="0.25">
      <c r="A128" t="s">
        <v>63</v>
      </c>
      <c r="B128">
        <v>366</v>
      </c>
      <c r="C128" s="1">
        <f>VLOOKUP($A128,Coordinaten!$A:$C,2,FALSE)</f>
        <v>52.451360000000001</v>
      </c>
      <c r="D128" s="1">
        <f>VLOOKUP($A128,Coordinaten!$A:$C,3,FALSE)</f>
        <v>5.6961240000000002</v>
      </c>
      <c r="E128" cm="1">
        <f t="array" ref="E128">WGS842X($C128,$D128)</f>
        <v>176000</v>
      </c>
      <c r="F128" cm="1">
        <f t="array" ref="F128">WGS842Y($C128,$D128)</f>
        <v>496000</v>
      </c>
      <c r="G128" s="1" t="str">
        <f t="shared" si="1"/>
        <v>Biddinghuizen,366,176000,496000</v>
      </c>
    </row>
    <row r="129" spans="1:7" x14ac:dyDescent="0.25">
      <c r="A129" t="s">
        <v>229</v>
      </c>
      <c r="B129">
        <v>367</v>
      </c>
      <c r="C129" s="1">
        <f>VLOOKUP($A129,Coordinaten!$A:$C,2,FALSE)</f>
        <v>52.415703999999998</v>
      </c>
      <c r="D129" s="1">
        <f>VLOOKUP($A129,Coordinaten!$A:$C,3,FALSE)</f>
        <v>5.2255240000000001</v>
      </c>
      <c r="E129" cm="1">
        <f t="array" ref="E129">WGS842X($C129,$D129)</f>
        <v>144000</v>
      </c>
      <c r="F129" cm="1">
        <f t="array" ref="F129">WGS842Y($C129,$D129)</f>
        <v>492000</v>
      </c>
      <c r="G129" s="1" t="str">
        <f t="shared" si="1"/>
        <v>Oostvaardersdiep,367,144000,492000</v>
      </c>
    </row>
    <row r="130" spans="1:7" x14ac:dyDescent="0.25">
      <c r="A130" t="s">
        <v>8</v>
      </c>
      <c r="B130">
        <v>369</v>
      </c>
      <c r="C130" s="1">
        <f>VLOOKUP($A130,Coordinaten!$A:$C,2,FALSE)</f>
        <v>52.451672000000002</v>
      </c>
      <c r="D130" s="1">
        <f>VLOOKUP($A130,Coordinaten!$A:$C,3,FALSE)</f>
        <v>5.5343109999999998</v>
      </c>
      <c r="E130" cm="1">
        <f t="array" ref="E130">WGS842X($C130,$D130)</f>
        <v>165000</v>
      </c>
      <c r="F130" cm="1">
        <f t="array" ref="F130">WGS842Y($C130,$D130)</f>
        <v>496000</v>
      </c>
      <c r="G130" s="1" t="str">
        <f t="shared" si="1"/>
        <v>Lelystad (Eendenweg),369,165000,496000</v>
      </c>
    </row>
    <row r="131" spans="1:7" x14ac:dyDescent="0.25">
      <c r="A131" t="s">
        <v>331</v>
      </c>
      <c r="B131">
        <v>371</v>
      </c>
      <c r="C131" s="1">
        <f>VLOOKUP($A131,Coordinaten!$A:$C,2,FALSE)</f>
        <v>52.388849999999998</v>
      </c>
      <c r="D131" s="1">
        <f>VLOOKUP($A131,Coordinaten!$A:$C,3,FALSE)</f>
        <v>5.3725170000000002</v>
      </c>
      <c r="E131" cm="1">
        <f t="array" ref="E131">WGS842X($C131,$D131)</f>
        <v>154000</v>
      </c>
      <c r="F131" cm="1">
        <f t="array" ref="F131">WGS842Y($C131,$D131)</f>
        <v>489000</v>
      </c>
      <c r="G131" s="1" t="str">
        <f t="shared" ref="G131:G194" si="2">A131&amp;"," &amp;B131 &amp;"," &amp;E131&amp;"," &amp;F131</f>
        <v>Zeewolde,371,154000,489000</v>
      </c>
    </row>
    <row r="132" spans="1:7" x14ac:dyDescent="0.25">
      <c r="A132" t="s">
        <v>330</v>
      </c>
      <c r="B132">
        <v>372</v>
      </c>
      <c r="C132" s="1">
        <f>VLOOKUP($A132,Coordinaten!$A:$C,2,FALSE)</f>
        <v>52.298971000000002</v>
      </c>
      <c r="D132" s="1">
        <f>VLOOKUP($A132,Coordinaten!$A:$C,3,FALSE)</f>
        <v>5.4165260000000002</v>
      </c>
      <c r="E132" cm="1">
        <f t="array" ref="E132">WGS842X($C132,$D132)</f>
        <v>157000</v>
      </c>
      <c r="F132" cm="1">
        <f t="array" ref="F132">WGS842Y($C132,$D132)</f>
        <v>479000</v>
      </c>
      <c r="G132" s="1" t="str">
        <f t="shared" si="2"/>
        <v>Zeewolde (Schillinkweg),372,157000,479000</v>
      </c>
    </row>
    <row r="133" spans="1:7" x14ac:dyDescent="0.25">
      <c r="A133" t="s">
        <v>334</v>
      </c>
      <c r="B133">
        <v>426</v>
      </c>
      <c r="C133" s="1">
        <f>VLOOKUP($A133,Coordinaten!$A:$C,2,FALSE)</f>
        <v>52.071136000000003</v>
      </c>
      <c r="D133" s="1">
        <f>VLOOKUP($A133,Coordinaten!$A:$C,3,FALSE)</f>
        <v>4.5266690000000001</v>
      </c>
      <c r="E133" cm="1">
        <f t="array" ref="E133">WGS842X($C133,$D133)</f>
        <v>96000</v>
      </c>
      <c r="F133" cm="1">
        <f t="array" ref="F133">WGS842Y($C133,$D133)</f>
        <v>454000</v>
      </c>
      <c r="G133" s="1" t="str">
        <f t="shared" si="2"/>
        <v>Zoetermeer,426,96000,454000</v>
      </c>
    </row>
    <row r="134" spans="1:7" x14ac:dyDescent="0.25">
      <c r="A134" t="s">
        <v>134</v>
      </c>
      <c r="B134">
        <v>434</v>
      </c>
      <c r="C134" s="1">
        <f>VLOOKUP($A134,Coordinaten!$A:$C,2,FALSE)</f>
        <v>51.929169999999999</v>
      </c>
      <c r="D134" s="1">
        <f>VLOOKUP($A134,Coordinaten!$A:$C,3,FALSE)</f>
        <v>4.8347189999999998</v>
      </c>
      <c r="E134" cm="1">
        <f t="array" ref="E134">WGS842X($C134,$D134)</f>
        <v>117000</v>
      </c>
      <c r="F134" cm="1">
        <f t="array" ref="F134">WGS842Y($C134,$D134)</f>
        <v>438000</v>
      </c>
      <c r="G134" s="1" t="str">
        <f t="shared" si="2"/>
        <v>Groot Ammers,434,117000,438000</v>
      </c>
    </row>
    <row r="135" spans="1:7" x14ac:dyDescent="0.25">
      <c r="A135" t="s">
        <v>141</v>
      </c>
      <c r="B135">
        <v>435</v>
      </c>
      <c r="C135" s="1">
        <f>VLOOKUP($A135,Coordinaten!$A:$C,2,FALSE)</f>
        <v>52.341546999999998</v>
      </c>
      <c r="D135" s="1">
        <f>VLOOKUP($A135,Coordinaten!$A:$C,3,FALSE)</f>
        <v>4.6388280000000002</v>
      </c>
      <c r="E135" cm="1">
        <f t="array" ref="E135">WGS842X($C135,$D135)</f>
        <v>104000</v>
      </c>
      <c r="F135" cm="1">
        <f t="array" ref="F135">WGS842Y($C135,$D135)</f>
        <v>484000</v>
      </c>
      <c r="G135" s="1" t="str">
        <f t="shared" si="2"/>
        <v>Heemstede,435,104000,484000</v>
      </c>
    </row>
    <row r="136" spans="1:7" x14ac:dyDescent="0.25">
      <c r="A136" t="s">
        <v>190</v>
      </c>
      <c r="B136">
        <v>437</v>
      </c>
      <c r="C136" s="1">
        <f>VLOOKUP($A136,Coordinaten!$A:$C,2,FALSE)</f>
        <v>52.351219</v>
      </c>
      <c r="D136" s="1">
        <f>VLOOKUP($A136,Coordinaten!$A:$C,3,FALSE)</f>
        <v>4.7560859999999998</v>
      </c>
      <c r="E136" cm="1">
        <f t="array" ref="E136">WGS842X($C136,$D136)</f>
        <v>112000</v>
      </c>
      <c r="F136" cm="1">
        <f t="array" ref="F136">WGS842Y($C136,$D136)</f>
        <v>485000</v>
      </c>
      <c r="G136" s="1" t="str">
        <f t="shared" si="2"/>
        <v>Lijnden (Nh),437,112000,485000</v>
      </c>
    </row>
    <row r="137" spans="1:7" x14ac:dyDescent="0.25">
      <c r="A137" t="s">
        <v>156</v>
      </c>
      <c r="B137">
        <v>438</v>
      </c>
      <c r="C137" s="1">
        <f>VLOOKUP($A137,Coordinaten!$A:$C,2,FALSE)</f>
        <v>52.287807000000001</v>
      </c>
      <c r="D137" s="1">
        <f>VLOOKUP($A137,Coordinaten!$A:$C,3,FALSE)</f>
        <v>4.6690459999999998</v>
      </c>
      <c r="E137" cm="1">
        <f t="array" ref="E137">WGS842X($C137,$D137)</f>
        <v>106000</v>
      </c>
      <c r="F137" cm="1">
        <f t="array" ref="F137">WGS842Y($C137,$D137)</f>
        <v>478000</v>
      </c>
      <c r="G137" s="1" t="str">
        <f t="shared" si="2"/>
        <v>Hoofddorp,438,106000,478000</v>
      </c>
    </row>
    <row r="138" spans="1:7" x14ac:dyDescent="0.25">
      <c r="A138" t="s">
        <v>250</v>
      </c>
      <c r="B138">
        <v>439</v>
      </c>
      <c r="C138" s="1">
        <f>VLOOKUP($A138,Coordinaten!$A:$C,2,FALSE)</f>
        <v>52.215634999999999</v>
      </c>
      <c r="D138" s="1">
        <f>VLOOKUP($A138,Coordinaten!$A:$C,3,FALSE)</f>
        <v>4.6263110000000003</v>
      </c>
      <c r="E138" cm="1">
        <f t="array" ref="E138">WGS842X($C138,$D138)</f>
        <v>103000</v>
      </c>
      <c r="F138" cm="1">
        <f t="array" ref="F138">WGS842Y($C138,$D138)</f>
        <v>470000</v>
      </c>
      <c r="G138" s="1" t="str">
        <f t="shared" si="2"/>
        <v>Roelofarendsveen,439,103000,470000</v>
      </c>
    </row>
    <row r="139" spans="1:7" x14ac:dyDescent="0.25">
      <c r="A139" t="s">
        <v>259</v>
      </c>
      <c r="B139">
        <v>440</v>
      </c>
      <c r="C139" s="1">
        <f>VLOOKUP($A139,Coordinaten!$A:$C,2,FALSE)</f>
        <v>52.105282000000003</v>
      </c>
      <c r="D139" s="1">
        <f>VLOOKUP($A139,Coordinaten!$A:$C,3,FALSE)</f>
        <v>4.3070539999999999</v>
      </c>
      <c r="E139" cm="1">
        <f t="array" ref="E139">WGS842X($C139,$D139)</f>
        <v>81000</v>
      </c>
      <c r="F139" cm="1">
        <f t="array" ref="F139">WGS842Y($C139,$D139)</f>
        <v>458000</v>
      </c>
      <c r="G139" s="1" t="str">
        <f t="shared" si="2"/>
        <v>Scheveningen,440,81000,458000</v>
      </c>
    </row>
    <row r="140" spans="1:7" x14ac:dyDescent="0.25">
      <c r="A140" t="s">
        <v>44</v>
      </c>
      <c r="B140">
        <v>441</v>
      </c>
      <c r="C140" s="1">
        <f>VLOOKUP($A140,Coordinaten!$A:$C,2,FALSE)</f>
        <v>52.369943999999997</v>
      </c>
      <c r="D140" s="1">
        <f>VLOOKUP($A140,Coordinaten!$A:$C,3,FALSE)</f>
        <v>4.9173390000000001</v>
      </c>
      <c r="E140" cm="1">
        <f t="array" ref="E140">WGS842X($C140,$D140)</f>
        <v>123000</v>
      </c>
      <c r="F140" cm="1">
        <f t="array" ref="F140">WGS842Y($C140,$D140)</f>
        <v>487000</v>
      </c>
      <c r="G140" s="1" t="str">
        <f t="shared" si="2"/>
        <v>Amsterdam,441,123000,487000</v>
      </c>
    </row>
    <row r="141" spans="1:7" x14ac:dyDescent="0.25">
      <c r="A141" t="s">
        <v>67</v>
      </c>
      <c r="B141">
        <v>442</v>
      </c>
      <c r="C141" s="1">
        <f>VLOOKUP($A141,Coordinaten!$A:$C,2,FALSE)</f>
        <v>52.081186000000002</v>
      </c>
      <c r="D141" s="1">
        <f>VLOOKUP($A141,Coordinaten!$A:$C,3,FALSE)</f>
        <v>4.6869550000000002</v>
      </c>
      <c r="E141" cm="1">
        <f t="array" ref="E141">WGS842X($C141,$D141)</f>
        <v>107000</v>
      </c>
      <c r="F141" cm="1">
        <f t="array" ref="F141">WGS842Y($C141,$D141)</f>
        <v>455000</v>
      </c>
      <c r="G141" s="1" t="str">
        <f t="shared" si="2"/>
        <v>Boskoop,442,107000,455000</v>
      </c>
    </row>
    <row r="142" spans="1:7" x14ac:dyDescent="0.25">
      <c r="A142" t="s">
        <v>132</v>
      </c>
      <c r="B142">
        <v>443</v>
      </c>
      <c r="C142" s="1">
        <f>VLOOKUP($A142,Coordinaten!$A:$C,2,FALSE)</f>
        <v>52.009455000000003</v>
      </c>
      <c r="D142" s="1">
        <f>VLOOKUP($A142,Coordinaten!$A:$C,3,FALSE)</f>
        <v>4.7172070000000001</v>
      </c>
      <c r="E142" cm="1">
        <f t="array" ref="E142">WGS842X($C142,$D142)</f>
        <v>109000</v>
      </c>
      <c r="F142" cm="1">
        <f t="array" ref="F142">WGS842Y($C142,$D142)</f>
        <v>447000</v>
      </c>
      <c r="G142" s="1" t="str">
        <f t="shared" si="2"/>
        <v>Gouda,443,109000,447000</v>
      </c>
    </row>
    <row r="143" spans="1:7" x14ac:dyDescent="0.25">
      <c r="A143" t="s">
        <v>168</v>
      </c>
      <c r="B143">
        <v>444</v>
      </c>
      <c r="C143" s="1">
        <f>VLOOKUP($A143,Coordinaten!$A:$C,2,FALSE)</f>
        <v>52.187055999999998</v>
      </c>
      <c r="D143" s="1">
        <f>VLOOKUP($A143,Coordinaten!$A:$C,3,FALSE)</f>
        <v>4.4074419999999996</v>
      </c>
      <c r="E143" cm="1">
        <f t="array" ref="E143">WGS842X($C143,$D143)</f>
        <v>88000</v>
      </c>
      <c r="F143" cm="1">
        <f t="array" ref="F143">WGS842Y($C143,$D143)</f>
        <v>467000</v>
      </c>
      <c r="G143" s="1" t="str">
        <f t="shared" si="2"/>
        <v>Katwijk aan den Rijn,444,88000,467000</v>
      </c>
    </row>
    <row r="144" spans="1:7" x14ac:dyDescent="0.25">
      <c r="A144" t="s">
        <v>129</v>
      </c>
      <c r="B144">
        <v>446</v>
      </c>
      <c r="C144" s="1">
        <f>VLOOKUP($A144,Coordinaten!$A:$C,2,FALSE)</f>
        <v>51.814002000000002</v>
      </c>
      <c r="D144" s="1">
        <f>VLOOKUP($A144,Coordinaten!$A:$C,3,FALSE)</f>
        <v>3.9659610000000001</v>
      </c>
      <c r="E144" cm="1">
        <f t="array" ref="E144">WGS842X($C144,$D144)</f>
        <v>57000</v>
      </c>
      <c r="F144" cm="1">
        <f t="array" ref="F144">WGS842Y($C144,$D144)</f>
        <v>426000</v>
      </c>
      <c r="G144" s="1" t="str">
        <f t="shared" si="2"/>
        <v>Goedereede,446,57000,426000</v>
      </c>
    </row>
    <row r="145" spans="1:7" x14ac:dyDescent="0.25">
      <c r="A145" t="s">
        <v>85</v>
      </c>
      <c r="B145">
        <v>447</v>
      </c>
      <c r="C145" s="1">
        <f>VLOOKUP($A145,Coordinaten!$A:$C,2,FALSE)</f>
        <v>51.718710000000002</v>
      </c>
      <c r="D145" s="1">
        <f>VLOOKUP($A145,Coordinaten!$A:$C,3,FALSE)</f>
        <v>4.3018320000000001</v>
      </c>
      <c r="E145" cm="1">
        <f t="array" ref="E145">WGS842X($C145,$D145)</f>
        <v>80000</v>
      </c>
      <c r="F145" cm="1">
        <f t="array" ref="F145">WGS842Y($C145,$D145)</f>
        <v>415000</v>
      </c>
      <c r="G145" s="1" t="str">
        <f t="shared" si="2"/>
        <v>Den Bommel,447,80000,415000</v>
      </c>
    </row>
    <row r="146" spans="1:7" x14ac:dyDescent="0.25">
      <c r="A146" t="s">
        <v>83</v>
      </c>
      <c r="B146">
        <v>449</v>
      </c>
      <c r="C146" s="1">
        <f>VLOOKUP($A146,Coordinaten!$A:$C,2,FALSE)</f>
        <v>52.006946999999997</v>
      </c>
      <c r="D146" s="1">
        <f>VLOOKUP($A146,Coordinaten!$A:$C,3,FALSE)</f>
        <v>4.367686</v>
      </c>
      <c r="E146" cm="1">
        <f t="array" ref="E146">WGS842X($C146,$D146)</f>
        <v>85000</v>
      </c>
      <c r="F146" cm="1">
        <f t="array" ref="F146">WGS842Y($C146,$D146)</f>
        <v>447000</v>
      </c>
      <c r="G146" s="1" t="str">
        <f t="shared" si="2"/>
        <v>Delft,449,85000,447000</v>
      </c>
    </row>
    <row r="147" spans="1:7" x14ac:dyDescent="0.25">
      <c r="A147" t="s">
        <v>219</v>
      </c>
      <c r="B147">
        <v>450</v>
      </c>
      <c r="C147" s="1">
        <f>VLOOKUP($A147,Coordinaten!$A:$C,2,FALSE)</f>
        <v>51.737699999999997</v>
      </c>
      <c r="D147" s="1">
        <f>VLOOKUP($A147,Coordinaten!$A:$C,3,FALSE)</f>
        <v>4.4172019999999996</v>
      </c>
      <c r="E147" cm="1">
        <f t="array" ref="E147">WGS842X($C147,$D147)</f>
        <v>88000</v>
      </c>
      <c r="F147" cm="1">
        <f t="array" ref="F147">WGS842Y($C147,$D147)</f>
        <v>417000</v>
      </c>
      <c r="G147" s="1" t="str">
        <f t="shared" si="2"/>
        <v>Numansdorp,450,88000,417000</v>
      </c>
    </row>
    <row r="148" spans="1:7" x14ac:dyDescent="0.25">
      <c r="A148" t="s">
        <v>61</v>
      </c>
      <c r="B148">
        <v>453</v>
      </c>
      <c r="C148" s="1">
        <f>VLOOKUP($A148,Coordinaten!$A:$C,2,FALSE)</f>
        <v>51.981046999999997</v>
      </c>
      <c r="D148" s="1">
        <f>VLOOKUP($A148,Coordinaten!$A:$C,3,FALSE)</f>
        <v>4.4992850000000004</v>
      </c>
      <c r="E148" cm="1">
        <f t="array" ref="E148">WGS842X($C148,$D148)</f>
        <v>94000</v>
      </c>
      <c r="F148" cm="1">
        <f t="array" ref="F148">WGS842Y($C148,$D148)</f>
        <v>444000</v>
      </c>
      <c r="G148" s="1" t="str">
        <f t="shared" si="2"/>
        <v>Bergschenhoek,453,94000,444000</v>
      </c>
    </row>
    <row r="149" spans="1:7" x14ac:dyDescent="0.25">
      <c r="A149" t="s">
        <v>191</v>
      </c>
      <c r="B149">
        <v>454</v>
      </c>
      <c r="C149" s="1">
        <f>VLOOKUP($A149,Coordinaten!$A:$C,2,FALSE)</f>
        <v>52.260075999999998</v>
      </c>
      <c r="D149" s="1">
        <f>VLOOKUP($A149,Coordinaten!$A:$C,3,FALSE)</f>
        <v>4.5523129999999998</v>
      </c>
      <c r="E149" cm="1">
        <f t="array" ref="E149">WGS842X($C149,$D149)</f>
        <v>98000</v>
      </c>
      <c r="F149" cm="1">
        <f t="array" ref="F149">WGS842Y($C149,$D149)</f>
        <v>475000</v>
      </c>
      <c r="G149" s="1" t="str">
        <f t="shared" si="2"/>
        <v>Lisse,454,98000,475000</v>
      </c>
    </row>
    <row r="150" spans="1:7" x14ac:dyDescent="0.25">
      <c r="A150" t="s">
        <v>281</v>
      </c>
      <c r="B150">
        <v>455</v>
      </c>
      <c r="C150" s="1">
        <f>VLOOKUP($A150,Coordinaten!$A:$C,2,FALSE)</f>
        <v>51.765971999999998</v>
      </c>
      <c r="D150" s="1">
        <f>VLOOKUP($A150,Coordinaten!$A:$C,3,FALSE)</f>
        <v>4.5904410000000002</v>
      </c>
      <c r="E150" cm="1">
        <f t="array" ref="E150">WGS842X($C150,$D150)</f>
        <v>100000</v>
      </c>
      <c r="F150" cm="1">
        <f t="array" ref="F150">WGS842Y($C150,$D150)</f>
        <v>420000</v>
      </c>
      <c r="G150" s="1" t="str">
        <f t="shared" si="2"/>
        <v>Strijen,455,100000,420000</v>
      </c>
    </row>
    <row r="151" spans="1:7" x14ac:dyDescent="0.25">
      <c r="A151" t="s">
        <v>230</v>
      </c>
      <c r="B151">
        <v>456</v>
      </c>
      <c r="C151" s="1">
        <f>VLOOKUP($A151,Coordinaten!$A:$C,2,FALSE)</f>
        <v>51.905374999999999</v>
      </c>
      <c r="D151" s="1">
        <f>VLOOKUP($A151,Coordinaten!$A:$C,3,FALSE)</f>
        <v>4.093871</v>
      </c>
      <c r="E151" cm="1">
        <f t="array" ref="E151">WGS842X($C151,$D151)</f>
        <v>66000</v>
      </c>
      <c r="F151" cm="1">
        <f t="array" ref="F151">WGS842Y($C151,$D151)</f>
        <v>436000</v>
      </c>
      <c r="G151" s="1" t="str">
        <f t="shared" si="2"/>
        <v>Oostvoorne,456,66000,436000</v>
      </c>
    </row>
    <row r="152" spans="1:7" x14ac:dyDescent="0.25">
      <c r="A152" t="s">
        <v>36</v>
      </c>
      <c r="B152">
        <v>458</v>
      </c>
      <c r="C152" s="1">
        <f>VLOOKUP($A152,Coordinaten!$A:$C,2,FALSE)</f>
        <v>52.261423000000001</v>
      </c>
      <c r="D152" s="1">
        <f>VLOOKUP($A152,Coordinaten!$A:$C,3,FALSE)</f>
        <v>4.7720079999999996</v>
      </c>
      <c r="E152" cm="1">
        <f t="array" ref="E152">WGS842X($C152,$D152)</f>
        <v>113000</v>
      </c>
      <c r="F152" cm="1">
        <f t="array" ref="F152">WGS842Y($C152,$D152)</f>
        <v>475000</v>
      </c>
      <c r="G152" s="1" t="str">
        <f t="shared" si="2"/>
        <v>Aalsmeer,458,113000,475000</v>
      </c>
    </row>
    <row r="153" spans="1:7" x14ac:dyDescent="0.25">
      <c r="A153" t="s">
        <v>54</v>
      </c>
      <c r="B153">
        <v>461</v>
      </c>
      <c r="C153" s="1">
        <f>VLOOKUP($A153,Coordinaten!$A:$C,2,FALSE)</f>
        <v>51.855544000000002</v>
      </c>
      <c r="D153" s="1">
        <f>VLOOKUP($A153,Coordinaten!$A:$C,3,FALSE)</f>
        <v>4.5453089999999996</v>
      </c>
      <c r="E153" cm="1">
        <f t="array" ref="E153">WGS842X($C153,$D153)</f>
        <v>97000</v>
      </c>
      <c r="F153" cm="1">
        <f t="array" ref="F153">WGS842Y($C153,$D153)</f>
        <v>430000</v>
      </c>
      <c r="G153" s="1" t="str">
        <f t="shared" si="2"/>
        <v>Barendrecht,461,97000,430000</v>
      </c>
    </row>
    <row r="154" spans="1:7" x14ac:dyDescent="0.25">
      <c r="A154" t="s">
        <v>92</v>
      </c>
      <c r="B154">
        <v>462</v>
      </c>
      <c r="C154" s="1">
        <f>VLOOKUP($A154,Coordinaten!$A:$C,2,FALSE)</f>
        <v>51.743457999999997</v>
      </c>
      <c r="D154" s="1">
        <f>VLOOKUP($A154,Coordinaten!$A:$C,3,FALSE)</f>
        <v>4.0840290000000001</v>
      </c>
      <c r="E154" cm="1">
        <f t="array" ref="E154">WGS842X($C154,$D154)</f>
        <v>65000</v>
      </c>
      <c r="F154" cm="1">
        <f t="array" ref="F154">WGS842Y($C154,$D154)</f>
        <v>418000</v>
      </c>
      <c r="G154" s="1" t="str">
        <f t="shared" si="2"/>
        <v>Dirksland,462,65000,418000</v>
      </c>
    </row>
    <row r="155" spans="1:7" x14ac:dyDescent="0.25">
      <c r="A155" t="s">
        <v>210</v>
      </c>
      <c r="B155">
        <v>463</v>
      </c>
      <c r="C155" s="1">
        <f>VLOOKUP($A155,Coordinaten!$A:$C,2,FALSE)</f>
        <v>51.833798999999999</v>
      </c>
      <c r="D155" s="1">
        <f>VLOOKUP($A155,Coordinaten!$A:$C,3,FALSE)</f>
        <v>4.1249459999999996</v>
      </c>
      <c r="E155" cm="1">
        <f t="array" ref="E155">WGS842X($C155,$D155)</f>
        <v>68000</v>
      </c>
      <c r="F155" cm="1">
        <f t="array" ref="F155">WGS842Y($C155,$D155)</f>
        <v>428000</v>
      </c>
      <c r="G155" s="1" t="str">
        <f t="shared" si="2"/>
        <v>Nieuw Helvoet,463,68000,428000</v>
      </c>
    </row>
    <row r="156" spans="1:7" x14ac:dyDescent="0.25">
      <c r="A156" t="s">
        <v>70</v>
      </c>
      <c r="B156">
        <v>464</v>
      </c>
      <c r="C156" s="1">
        <f>VLOOKUP($A156,Coordinaten!$A:$C,2,FALSE)</f>
        <v>51.897013999999999</v>
      </c>
      <c r="D156" s="1">
        <f>VLOOKUP($A156,Coordinaten!$A:$C,3,FALSE)</f>
        <v>4.1522319999999997</v>
      </c>
      <c r="E156" cm="1">
        <f t="array" ref="E156">WGS842X($C156,$D156)</f>
        <v>70000</v>
      </c>
      <c r="F156" cm="1">
        <f t="array" ref="F156">WGS842Y($C156,$D156)</f>
        <v>435000</v>
      </c>
      <c r="G156" s="1" t="str">
        <f t="shared" si="2"/>
        <v>Brielle,464,70000,435000</v>
      </c>
    </row>
    <row r="157" spans="1:7" x14ac:dyDescent="0.25">
      <c r="A157" t="s">
        <v>232</v>
      </c>
      <c r="B157">
        <v>465</v>
      </c>
      <c r="C157" s="1">
        <f>VLOOKUP($A157,Coordinaten!$A:$C,2,FALSE)</f>
        <v>51.856495000000002</v>
      </c>
      <c r="D157" s="1">
        <f>VLOOKUP($A157,Coordinaten!$A:$C,3,FALSE)</f>
        <v>4.6904519999999996</v>
      </c>
      <c r="E157" cm="1">
        <f t="array" ref="E157">WGS842X($C157,$D157)</f>
        <v>107000</v>
      </c>
      <c r="F157" cm="1">
        <f t="array" ref="F157">WGS842Y($C157,$D157)</f>
        <v>430000</v>
      </c>
      <c r="G157" s="1" t="str">
        <f t="shared" si="2"/>
        <v>Oud Alblas,465,107000,430000</v>
      </c>
    </row>
    <row r="158" spans="1:7" x14ac:dyDescent="0.25">
      <c r="A158" t="s">
        <v>240</v>
      </c>
      <c r="B158">
        <v>467</v>
      </c>
      <c r="C158" s="1">
        <f>VLOOKUP($A158,Coordinaten!$A:$C,2,FALSE)</f>
        <v>51.854291000000003</v>
      </c>
      <c r="D158" s="1">
        <f>VLOOKUP($A158,Coordinaten!$A:$C,3,FALSE)</f>
        <v>4.3856599999999997</v>
      </c>
      <c r="E158" cm="1">
        <f t="array" ref="E158">WGS842X($C158,$D158)</f>
        <v>86000</v>
      </c>
      <c r="F158" cm="1">
        <f t="array" ref="F158">WGS842Y($C158,$D158)</f>
        <v>430000</v>
      </c>
      <c r="G158" s="1" t="str">
        <f t="shared" si="2"/>
        <v>Poortugaal,467,86000,430000</v>
      </c>
    </row>
    <row r="159" spans="1:7" x14ac:dyDescent="0.25">
      <c r="A159" t="s">
        <v>185</v>
      </c>
      <c r="B159">
        <v>469</v>
      </c>
      <c r="C159" s="1">
        <f>VLOOKUP($A159,Coordinaten!$A:$C,2,FALSE)</f>
        <v>52.142704999999999</v>
      </c>
      <c r="D159" s="1">
        <f>VLOOKUP($A159,Coordinaten!$A:$C,3,FALSE)</f>
        <v>4.4814629999999998</v>
      </c>
      <c r="E159" cm="1">
        <f t="array" ref="E159">WGS842X($C159,$D159)</f>
        <v>93000</v>
      </c>
      <c r="F159" cm="1">
        <f t="array" ref="F159">WGS842Y($C159,$D159)</f>
        <v>462000</v>
      </c>
      <c r="G159" s="1" t="str">
        <f t="shared" si="2"/>
        <v>Leiden,469,93000,462000</v>
      </c>
    </row>
    <row r="160" spans="1:7" x14ac:dyDescent="0.25">
      <c r="A160" t="s">
        <v>332</v>
      </c>
      <c r="B160">
        <v>470</v>
      </c>
      <c r="C160" s="1">
        <f>VLOOKUP($A160,Coordinaten!$A:$C,2,FALSE)</f>
        <v>52.135888999999999</v>
      </c>
      <c r="D160" s="1">
        <f>VLOOKUP($A160,Coordinaten!$A:$C,3,FALSE)</f>
        <v>4.8321639999999997</v>
      </c>
      <c r="E160" cm="1">
        <f t="array" ref="E160">WGS842X($C160,$D160)</f>
        <v>117000</v>
      </c>
      <c r="F160" cm="1">
        <f t="array" ref="F160">WGS842Y($C160,$D160)</f>
        <v>461000</v>
      </c>
      <c r="G160" s="1" t="str">
        <f t="shared" si="2"/>
        <v>Zegveld,470,117000,461000</v>
      </c>
    </row>
    <row r="161" spans="1:7" x14ac:dyDescent="0.25">
      <c r="A161" t="s">
        <v>233</v>
      </c>
      <c r="B161">
        <v>471</v>
      </c>
      <c r="C161" s="1">
        <f>VLOOKUP($A161,Coordinaten!$A:$C,2,FALSE)</f>
        <v>51.821902000000001</v>
      </c>
      <c r="D161" s="1">
        <f>VLOOKUP($A161,Coordinaten!$A:$C,3,FALSE)</f>
        <v>3.878673</v>
      </c>
      <c r="E161" cm="1">
        <f t="array" ref="E161">WGS842X($C161,$D161)</f>
        <v>51000</v>
      </c>
      <c r="F161" cm="1">
        <f t="array" ref="F161">WGS842Y($C161,$D161)</f>
        <v>427000</v>
      </c>
      <c r="G161" s="1" t="str">
        <f t="shared" si="2"/>
        <v>Ouddorp,471,51000,427000</v>
      </c>
    </row>
    <row r="162" spans="1:7" x14ac:dyDescent="0.25">
      <c r="A162" t="s">
        <v>243</v>
      </c>
      <c r="B162">
        <v>473</v>
      </c>
      <c r="C162" s="1">
        <f>VLOOKUP($A162,Coordinaten!$A:$C,2,FALSE)</f>
        <v>51.890602999999999</v>
      </c>
      <c r="D162" s="1">
        <f>VLOOKUP($A162,Coordinaten!$A:$C,3,FALSE)</f>
        <v>4.4284340000000002</v>
      </c>
      <c r="E162" cm="1">
        <f t="array" ref="E162">WGS842X($C162,$D162)</f>
        <v>89000</v>
      </c>
      <c r="F162" cm="1">
        <f t="array" ref="F162">WGS842Y($C162,$D162)</f>
        <v>434000</v>
      </c>
      <c r="G162" s="1" t="str">
        <f t="shared" si="2"/>
        <v>Rotterdam-Waalhaven,473,89000,434000</v>
      </c>
    </row>
    <row r="163" spans="1:7" x14ac:dyDescent="0.25">
      <c r="A163" t="s">
        <v>0</v>
      </c>
      <c r="B163">
        <v>474</v>
      </c>
      <c r="C163" s="1">
        <f>VLOOKUP($A163,Coordinaten!$A:$C,2,FALSE)</f>
        <v>52.178190000000001</v>
      </c>
      <c r="D163" s="1">
        <f>VLOOKUP($A163,Coordinaten!$A:$C,3,FALSE)</f>
        <v>4.4222580000000002</v>
      </c>
      <c r="E163" cm="1">
        <f t="array" ref="E163">WGS842X($C163,$D163)</f>
        <v>89000</v>
      </c>
      <c r="F163" cm="1">
        <f t="array" ref="F163">WGS842Y($C163,$D163)</f>
        <v>466000</v>
      </c>
      <c r="G163" s="1" t="str">
        <f t="shared" si="2"/>
        <v>Valkenburg,474,89000,466000</v>
      </c>
    </row>
    <row r="164" spans="1:7" x14ac:dyDescent="0.25">
      <c r="A164" t="s">
        <v>22</v>
      </c>
      <c r="B164">
        <v>477</v>
      </c>
      <c r="C164" s="1">
        <f>VLOOKUP($A164,Coordinaten!$A:$C,2,FALSE)</f>
        <v>51.986879000000002</v>
      </c>
      <c r="D164" s="1">
        <f>VLOOKUP($A164,Coordinaten!$A:$C,3,FALSE)</f>
        <v>4.1497580000000003</v>
      </c>
      <c r="E164" cm="1">
        <f t="array" ref="E164">WGS842X($C164,$D164)</f>
        <v>70000</v>
      </c>
      <c r="F164" cm="1">
        <f t="array" ref="F164">WGS842Y($C164,$D164)</f>
        <v>445000</v>
      </c>
      <c r="G164" s="1" t="str">
        <f t="shared" si="2"/>
        <v>Hoek van Holland,477,70000,445000</v>
      </c>
    </row>
    <row r="165" spans="1:7" x14ac:dyDescent="0.25">
      <c r="A165" t="s">
        <v>196</v>
      </c>
      <c r="B165">
        <v>479</v>
      </c>
      <c r="C165" s="1">
        <f>VLOOKUP($A165,Coordinaten!$A:$C,2,FALSE)</f>
        <v>51.969932999999997</v>
      </c>
      <c r="D165" s="1">
        <f>VLOOKUP($A165,Coordinaten!$A:$C,3,FALSE)</f>
        <v>4.2521000000000004</v>
      </c>
      <c r="E165" cm="1">
        <f t="array" ref="E165">WGS842X($C165,$D165)</f>
        <v>77000</v>
      </c>
      <c r="F165" cm="1">
        <f t="array" ref="F165">WGS842Y($C165,$D165)</f>
        <v>443000</v>
      </c>
      <c r="G165" s="1" t="str">
        <f t="shared" si="2"/>
        <v>Maasland,479,77000,443000</v>
      </c>
    </row>
    <row r="166" spans="1:7" x14ac:dyDescent="0.25">
      <c r="A166" t="s">
        <v>155</v>
      </c>
      <c r="B166">
        <v>480</v>
      </c>
      <c r="C166" s="1">
        <f>VLOOKUP($A166,Coordinaten!$A:$C,2,FALSE)</f>
        <v>52.005879999999998</v>
      </c>
      <c r="D166" s="1">
        <f>VLOOKUP($A166,Coordinaten!$A:$C,3,FALSE)</f>
        <v>4.2511900000000002</v>
      </c>
      <c r="E166" cm="1">
        <f t="array" ref="E166">WGS842X($C166,$D166)</f>
        <v>77000</v>
      </c>
      <c r="F166" cm="1">
        <f t="array" ref="F166">WGS842Y($C166,$D166)</f>
        <v>447000</v>
      </c>
      <c r="G166" s="1" t="str">
        <f t="shared" si="2"/>
        <v>Honselersdijk,480,77000,447000</v>
      </c>
    </row>
    <row r="167" spans="1:7" x14ac:dyDescent="0.25">
      <c r="A167" t="s">
        <v>304</v>
      </c>
      <c r="B167">
        <v>481</v>
      </c>
      <c r="C167" s="1">
        <f>VLOOKUP($A167,Coordinaten!$A:$C,2,FALSE)</f>
        <v>52.133254999999998</v>
      </c>
      <c r="D167" s="1">
        <f>VLOOKUP($A167,Coordinaten!$A:$C,3,FALSE)</f>
        <v>4.4232290000000001</v>
      </c>
      <c r="E167" cm="1">
        <f t="array" ref="E167">WGS842X($C167,$D167)</f>
        <v>89000</v>
      </c>
      <c r="F167" cm="1">
        <f t="array" ref="F167">WGS842Y($C167,$D167)</f>
        <v>461000</v>
      </c>
      <c r="G167" s="1" t="str">
        <f t="shared" si="2"/>
        <v>Voorschoten,481,89000,461000</v>
      </c>
    </row>
    <row r="168" spans="1:7" x14ac:dyDescent="0.25">
      <c r="A168" t="s">
        <v>147</v>
      </c>
      <c r="B168">
        <v>482</v>
      </c>
      <c r="C168" s="1">
        <f>VLOOKUP($A168,Coordinaten!$A:$C,2,FALSE)</f>
        <v>51.829265999999997</v>
      </c>
      <c r="D168" s="1">
        <f>VLOOKUP($A168,Coordinaten!$A:$C,3,FALSE)</f>
        <v>4.6473509999999996</v>
      </c>
      <c r="E168" cm="1">
        <f t="array" ref="E168">WGS842X($C168,$D168)</f>
        <v>104000</v>
      </c>
      <c r="F168" cm="1">
        <f t="array" ref="F168">WGS842Y($C168,$D168)</f>
        <v>427000</v>
      </c>
      <c r="G168" s="1" t="str">
        <f t="shared" si="2"/>
        <v>Hendrik Ido Ambacht,482,104000,427000</v>
      </c>
    </row>
    <row r="169" spans="1:7" x14ac:dyDescent="0.25">
      <c r="A169" t="s">
        <v>180</v>
      </c>
      <c r="B169">
        <v>483</v>
      </c>
      <c r="C169" s="1">
        <f>VLOOKUP($A169,Coordinaten!$A:$C,2,FALSE)</f>
        <v>51.891992999999999</v>
      </c>
      <c r="D169" s="1">
        <f>VLOOKUP($A169,Coordinaten!$A:$C,3,FALSE)</f>
        <v>4.6172649999999997</v>
      </c>
      <c r="E169" cm="1">
        <f t="array" ref="E169">WGS842X($C169,$D169)</f>
        <v>102000</v>
      </c>
      <c r="F169" cm="1">
        <f t="array" ref="F169">WGS842Y($C169,$D169)</f>
        <v>434000</v>
      </c>
      <c r="G169" s="1" t="str">
        <f t="shared" si="2"/>
        <v>Krimpen aan de Lek,483,102000,434000</v>
      </c>
    </row>
    <row r="170" spans="1:7" x14ac:dyDescent="0.25">
      <c r="A170" t="s">
        <v>95</v>
      </c>
      <c r="B170">
        <v>509</v>
      </c>
      <c r="C170" s="1">
        <f>VLOOKUP($A170,Coordinaten!$A:$C,2,FALSE)</f>
        <v>52.056288000000002</v>
      </c>
      <c r="D170" s="1">
        <f>VLOOKUP($A170,Coordinaten!$A:$C,3,FALSE)</f>
        <v>5.3288840000000004</v>
      </c>
      <c r="E170" cm="1">
        <f t="array" ref="E170">WGS842X($C170,$D170)</f>
        <v>151000</v>
      </c>
      <c r="F170" cm="1">
        <f t="array" ref="F170">WGS842Y($C170,$D170)</f>
        <v>452000</v>
      </c>
      <c r="G170" s="1" t="str">
        <f t="shared" si="2"/>
        <v>Doorn,509,151000,452000</v>
      </c>
    </row>
    <row r="171" spans="1:7" x14ac:dyDescent="0.25">
      <c r="A171" t="s">
        <v>294</v>
      </c>
      <c r="B171">
        <v>510</v>
      </c>
      <c r="C171" s="1">
        <f>VLOOKUP($A171,Coordinaten!$A:$C,2,FALSE)</f>
        <v>52.279544999999999</v>
      </c>
      <c r="D171" s="1">
        <f>VLOOKUP($A171,Coordinaten!$A:$C,3,FALSE)</f>
        <v>5.9733479999999997</v>
      </c>
      <c r="E171" cm="1">
        <f t="array" ref="E171">WGS842X($C171,$D171)</f>
        <v>195000</v>
      </c>
      <c r="F171" cm="1">
        <f t="array" ref="F171">WGS842Y($C171,$D171)</f>
        <v>477000</v>
      </c>
      <c r="G171" s="1" t="str">
        <f t="shared" si="2"/>
        <v>Vaassen,510,195000,477000</v>
      </c>
    </row>
    <row r="172" spans="1:7" x14ac:dyDescent="0.25">
      <c r="A172" t="s">
        <v>114</v>
      </c>
      <c r="B172">
        <v>514</v>
      </c>
      <c r="C172" s="1">
        <f>VLOOKUP($A172,Coordinaten!$A:$C,2,FALSE)</f>
        <v>52.342306999999998</v>
      </c>
      <c r="D172" s="1">
        <f>VLOOKUP($A172,Coordinaten!$A:$C,3,FALSE)</f>
        <v>6.0035259999999999</v>
      </c>
      <c r="E172" cm="1">
        <f t="array" ref="E172">WGS842X($C172,$D172)</f>
        <v>197000</v>
      </c>
      <c r="F172" cm="1">
        <f t="array" ref="F172">WGS842Y($C172,$D172)</f>
        <v>484000</v>
      </c>
      <c r="G172" s="1" t="str">
        <f t="shared" si="2"/>
        <v>Epe,514,197000,484000</v>
      </c>
    </row>
    <row r="173" spans="1:7" x14ac:dyDescent="0.25">
      <c r="A173" t="s">
        <v>137</v>
      </c>
      <c r="B173">
        <v>516</v>
      </c>
      <c r="C173" s="1">
        <f>VLOOKUP($A173,Coordinaten!$A:$C,2,FALSE)</f>
        <v>52.361682999999999</v>
      </c>
      <c r="D173" s="1">
        <f>VLOOKUP($A173,Coordinaten!$A:$C,3,FALSE)</f>
        <v>5.6074149999999996</v>
      </c>
      <c r="E173" cm="1">
        <f t="array" ref="E173">WGS842X($C173,$D173)</f>
        <v>170000</v>
      </c>
      <c r="F173" cm="1">
        <f t="array" ref="F173">WGS842Y($C173,$D173)</f>
        <v>486000</v>
      </c>
      <c r="G173" s="1" t="str">
        <f t="shared" si="2"/>
        <v>Harderwijk,516,170000,486000</v>
      </c>
    </row>
    <row r="174" spans="1:7" x14ac:dyDescent="0.25">
      <c r="A174" t="s">
        <v>318</v>
      </c>
      <c r="B174">
        <v>523</v>
      </c>
      <c r="C174" s="1">
        <f>VLOOKUP($A174,Coordinaten!$A:$C,2,FALSE)</f>
        <v>51.966397999999998</v>
      </c>
      <c r="D174" s="1">
        <f>VLOOKUP($A174,Coordinaten!$A:$C,3,FALSE)</f>
        <v>5.3144499999999999</v>
      </c>
      <c r="E174" cm="1">
        <f t="array" ref="E174">WGS842X($C174,$D174)</f>
        <v>150000</v>
      </c>
      <c r="F174" cm="1">
        <f t="array" ref="F174">WGS842Y($C174,$D174)</f>
        <v>442000</v>
      </c>
      <c r="G174" s="1" t="str">
        <f t="shared" si="2"/>
        <v>Wijk bij Duurstede,523,150000,442000</v>
      </c>
    </row>
    <row r="175" spans="1:7" x14ac:dyDescent="0.25">
      <c r="A175" t="s">
        <v>215</v>
      </c>
      <c r="B175">
        <v>539</v>
      </c>
      <c r="C175" s="1">
        <f>VLOOKUP($A175,Coordinaten!$A:$C,2,FALSE)</f>
        <v>51.848474000000003</v>
      </c>
      <c r="D175" s="1">
        <f>VLOOKUP($A175,Coordinaten!$A:$C,3,FALSE)</f>
        <v>5.8951609999999999</v>
      </c>
      <c r="E175" cm="1">
        <f t="array" ref="E175">WGS842X($C175,$D175)</f>
        <v>190000</v>
      </c>
      <c r="F175" cm="1">
        <f t="array" ref="F175">WGS842Y($C175,$D175)</f>
        <v>429000</v>
      </c>
      <c r="G175" s="1" t="str">
        <f t="shared" si="2"/>
        <v>Nijmegen,539,190000,429000</v>
      </c>
    </row>
    <row r="176" spans="1:7" x14ac:dyDescent="0.25">
      <c r="A176" t="s">
        <v>51</v>
      </c>
      <c r="B176">
        <v>541</v>
      </c>
      <c r="C176" s="1">
        <f>VLOOKUP($A176,Coordinaten!$A:$C,2,FALSE)</f>
        <v>52.001139000000002</v>
      </c>
      <c r="D176" s="1">
        <f>VLOOKUP($A176,Coordinaten!$A:$C,3,FALSE)</f>
        <v>5.9260159999999997</v>
      </c>
      <c r="E176" cm="1">
        <f t="array" ref="E176">WGS842X($C176,$D176)</f>
        <v>192000</v>
      </c>
      <c r="F176" cm="1">
        <f t="array" ref="F176">WGS842Y($C176,$D176)</f>
        <v>446000</v>
      </c>
      <c r="G176" s="1" t="str">
        <f t="shared" si="2"/>
        <v>Arnhem,541,192000,446000</v>
      </c>
    </row>
    <row r="177" spans="1:7" x14ac:dyDescent="0.25">
      <c r="A177" t="s">
        <v>242</v>
      </c>
      <c r="B177">
        <v>542</v>
      </c>
      <c r="C177" s="1">
        <f>VLOOKUP($A177,Coordinaten!$A:$C,2,FALSE)</f>
        <v>52.235855999999998</v>
      </c>
      <c r="D177" s="1">
        <f>VLOOKUP($A177,Coordinaten!$A:$C,3,FALSE)</f>
        <v>5.6067920000000004</v>
      </c>
      <c r="E177" cm="1">
        <f t="array" ref="E177">WGS842X($C177,$D177)</f>
        <v>170000</v>
      </c>
      <c r="F177" cm="1">
        <f t="array" ref="F177">WGS842Y($C177,$D177)</f>
        <v>472000</v>
      </c>
      <c r="G177" s="1" t="str">
        <f t="shared" si="2"/>
        <v>Putten (Gld),542,170000,472000</v>
      </c>
    </row>
    <row r="178" spans="1:7" x14ac:dyDescent="0.25">
      <c r="A178" t="s">
        <v>49</v>
      </c>
      <c r="B178">
        <v>543</v>
      </c>
      <c r="C178" s="1">
        <f>VLOOKUP($A178,Coordinaten!$A:$C,2,FALSE)</f>
        <v>52.216774999999998</v>
      </c>
      <c r="D178" s="1">
        <f>VLOOKUP($A178,Coordinaten!$A:$C,3,FALSE)</f>
        <v>5.9432559999999999</v>
      </c>
      <c r="E178" cm="1">
        <f t="array" ref="E178">WGS842X($C178,$D178)</f>
        <v>193000</v>
      </c>
      <c r="F178" cm="1">
        <f t="array" ref="F178">WGS842Y($C178,$D178)</f>
        <v>470000</v>
      </c>
      <c r="G178" s="1" t="str">
        <f t="shared" si="2"/>
        <v>Apeldoorn,543,193000,470000</v>
      </c>
    </row>
    <row r="179" spans="1:7" x14ac:dyDescent="0.25">
      <c r="A179" t="s">
        <v>324</v>
      </c>
      <c r="B179">
        <v>546</v>
      </c>
      <c r="C179" s="1">
        <f>VLOOKUP($A179,Coordinaten!$A:$C,2,FALSE)</f>
        <v>52.083243000000003</v>
      </c>
      <c r="D179" s="1">
        <f>VLOOKUP($A179,Coordinaten!$A:$C,3,FALSE)</f>
        <v>5.4601509999999998</v>
      </c>
      <c r="E179" cm="1">
        <f t="array" ref="E179">WGS842X($C179,$D179)</f>
        <v>160000</v>
      </c>
      <c r="F179" cm="1">
        <f t="array" ref="F179">WGS842Y($C179,$D179)</f>
        <v>455000</v>
      </c>
      <c r="G179" s="1" t="str">
        <f t="shared" si="2"/>
        <v>Woudenberg,546,160000,455000</v>
      </c>
    </row>
    <row r="180" spans="1:7" x14ac:dyDescent="0.25">
      <c r="A180" t="s">
        <v>214</v>
      </c>
      <c r="B180">
        <v>547</v>
      </c>
      <c r="C180" s="1">
        <f>VLOOKUP($A180,Coordinaten!$A:$C,2,FALSE)</f>
        <v>52.236027999999997</v>
      </c>
      <c r="D180" s="1">
        <f>VLOOKUP($A180,Coordinaten!$A:$C,3,FALSE)</f>
        <v>5.475041</v>
      </c>
      <c r="E180" cm="1">
        <f t="array" ref="E180">WGS842X($C180,$D180)</f>
        <v>161000</v>
      </c>
      <c r="F180" cm="1">
        <f t="array" ref="F180">WGS842Y($C180,$D180)</f>
        <v>472000</v>
      </c>
      <c r="G180" s="1" t="str">
        <f t="shared" si="2"/>
        <v>Nijkerk,547,161000,472000</v>
      </c>
    </row>
    <row r="181" spans="1:7" x14ac:dyDescent="0.25">
      <c r="A181" t="s">
        <v>193</v>
      </c>
      <c r="B181">
        <v>548</v>
      </c>
      <c r="C181" s="1">
        <f>VLOOKUP($A181,Coordinaten!$A:$C,2,FALSE)</f>
        <v>52.208576000000001</v>
      </c>
      <c r="D181" s="1">
        <f>VLOOKUP($A181,Coordinaten!$A:$C,3,FALSE)</f>
        <v>5.0360829999999996</v>
      </c>
      <c r="E181" cm="1">
        <f t="array" ref="E181">WGS842X($C181,$D181)</f>
        <v>131000</v>
      </c>
      <c r="F181" cm="1">
        <f t="array" ref="F181">WGS842Y($C181,$D181)</f>
        <v>469000</v>
      </c>
      <c r="G181" s="1" t="str">
        <f t="shared" si="2"/>
        <v>Loenen aan de Vecht,548,131000,469000</v>
      </c>
    </row>
    <row r="182" spans="1:7" x14ac:dyDescent="0.25">
      <c r="A182" t="s">
        <v>78</v>
      </c>
      <c r="B182">
        <v>549</v>
      </c>
      <c r="C182" s="1">
        <f>VLOOKUP($A182,Coordinaten!$A:$C,2,FALSE)</f>
        <v>51.930359000000003</v>
      </c>
      <c r="D182" s="1">
        <f>VLOOKUP($A182,Coordinaten!$A:$C,3,FALSE)</f>
        <v>5.2272720000000001</v>
      </c>
      <c r="E182" cm="1">
        <f t="array" ref="E182">WGS842X($C182,$D182)</f>
        <v>144000</v>
      </c>
      <c r="F182" cm="1">
        <f t="array" ref="F182">WGS842Y($C182,$D182)</f>
        <v>438000</v>
      </c>
      <c r="G182" s="1" t="str">
        <f t="shared" si="2"/>
        <v>Culemborg,549,144000,438000</v>
      </c>
    </row>
    <row r="183" spans="1:7" x14ac:dyDescent="0.25">
      <c r="A183" t="s">
        <v>5</v>
      </c>
      <c r="B183">
        <v>550</v>
      </c>
      <c r="C183" s="1">
        <f>VLOOKUP($A183,Coordinaten!$A:$C,2,FALSE)</f>
        <v>52.101064999999998</v>
      </c>
      <c r="D183" s="1">
        <f>VLOOKUP($A183,Coordinaten!$A:$C,3,FALSE)</f>
        <v>5.1828770000000004</v>
      </c>
      <c r="E183" cm="1">
        <f t="array" ref="E183">WGS842X($C183,$D183)</f>
        <v>141000</v>
      </c>
      <c r="F183" cm="1">
        <f t="array" ref="F183">WGS842Y($C183,$D183)</f>
        <v>457000</v>
      </c>
      <c r="G183" s="1" t="str">
        <f t="shared" si="2"/>
        <v>De Bilt,550,141000,457000</v>
      </c>
    </row>
    <row r="184" spans="1:7" x14ac:dyDescent="0.25">
      <c r="A184" t="s">
        <v>104</v>
      </c>
      <c r="B184">
        <v>557</v>
      </c>
      <c r="C184" s="1">
        <f>VLOOKUP($A184,Coordinaten!$A:$C,2,FALSE)</f>
        <v>52.108232999999998</v>
      </c>
      <c r="D184" s="1">
        <f>VLOOKUP($A184,Coordinaten!$A:$C,3,FALSE)</f>
        <v>6.073283</v>
      </c>
      <c r="E184" cm="1">
        <f t="array" ref="E184">WGS842X($C184,$D184)</f>
        <v>202000</v>
      </c>
      <c r="F184" cm="1">
        <f t="array" ref="F184">WGS842Y($C184,$D184)</f>
        <v>458000</v>
      </c>
      <c r="G184" s="1" t="str">
        <f t="shared" si="2"/>
        <v>Eerbeek,557,202000,458000</v>
      </c>
    </row>
    <row r="185" spans="1:7" x14ac:dyDescent="0.25">
      <c r="A185" t="s">
        <v>194</v>
      </c>
      <c r="B185">
        <v>558</v>
      </c>
      <c r="C185" s="1">
        <f>VLOOKUP($A185,Coordinaten!$A:$C,2,FALSE)</f>
        <v>52.092050999999998</v>
      </c>
      <c r="D185" s="1">
        <f>VLOOKUP($A185,Coordinaten!$A:$C,3,FALSE)</f>
        <v>5.6060850000000002</v>
      </c>
      <c r="E185" cm="1">
        <f t="array" ref="E185">WGS842X($C185,$D185)</f>
        <v>170000</v>
      </c>
      <c r="F185" cm="1">
        <f t="array" ref="F185">WGS842Y($C185,$D185)</f>
        <v>456000</v>
      </c>
      <c r="G185" s="1" t="str">
        <f t="shared" si="2"/>
        <v>Lunteren,558,170000,456000</v>
      </c>
    </row>
    <row r="186" spans="1:7" x14ac:dyDescent="0.25">
      <c r="A186" t="s">
        <v>303</v>
      </c>
      <c r="B186">
        <v>559</v>
      </c>
      <c r="C186" s="1">
        <f>VLOOKUP($A186,Coordinaten!$A:$C,2,FALSE)</f>
        <v>52.091644000000002</v>
      </c>
      <c r="D186" s="1">
        <f>VLOOKUP($A186,Coordinaten!$A:$C,3,FALSE)</f>
        <v>5.0078170000000002</v>
      </c>
      <c r="E186" cm="1">
        <f t="array" ref="E186">WGS842X($C186,$D186)</f>
        <v>129000</v>
      </c>
      <c r="F186" cm="1">
        <f t="array" ref="F186">WGS842Y($C186,$D186)</f>
        <v>456000</v>
      </c>
      <c r="G186" s="1" t="str">
        <f t="shared" si="2"/>
        <v>Vleuten,559,129000,456000</v>
      </c>
    </row>
    <row r="187" spans="1:7" x14ac:dyDescent="0.25">
      <c r="A187" t="s">
        <v>42</v>
      </c>
      <c r="B187">
        <v>560</v>
      </c>
      <c r="C187" s="1">
        <f>VLOOKUP($A187,Coordinaten!$A:$C,2,FALSE)</f>
        <v>51.993363000000002</v>
      </c>
      <c r="D187" s="1">
        <f>VLOOKUP($A187,Coordinaten!$A:$C,3,FALSE)</f>
        <v>5.4600049999999998</v>
      </c>
      <c r="E187" cm="1">
        <f t="array" ref="E187">WGS842X($C187,$D187)</f>
        <v>160000</v>
      </c>
      <c r="F187" cm="1">
        <f t="array" ref="F187">WGS842Y($C187,$D187)</f>
        <v>445000</v>
      </c>
      <c r="G187" s="1" t="str">
        <f t="shared" si="2"/>
        <v>Amerongen,560,160000,445000</v>
      </c>
    </row>
    <row r="188" spans="1:7" x14ac:dyDescent="0.25">
      <c r="A188" t="s">
        <v>58</v>
      </c>
      <c r="B188">
        <v>561</v>
      </c>
      <c r="C188" s="1">
        <f>VLOOKUP($A188,Coordinaten!$A:$C,2,FALSE)</f>
        <v>52.001508000000001</v>
      </c>
      <c r="D188" s="1">
        <f>VLOOKUP($A188,Coordinaten!$A:$C,3,FALSE)</f>
        <v>4.9357670000000002</v>
      </c>
      <c r="E188" cm="1">
        <f t="array" ref="E188">WGS842X($C188,$D188)</f>
        <v>124000</v>
      </c>
      <c r="F188" cm="1">
        <f t="array" ref="F188">WGS842Y($C188,$D188)</f>
        <v>446000</v>
      </c>
      <c r="G188" s="1" t="str">
        <f t="shared" si="2"/>
        <v>Benschop,561,124000,446000</v>
      </c>
    </row>
    <row r="189" spans="1:7" x14ac:dyDescent="0.25">
      <c r="A189" t="s">
        <v>287</v>
      </c>
      <c r="B189">
        <v>562</v>
      </c>
      <c r="C189" s="1">
        <f>VLOOKUP($A189,Coordinaten!$A:$C,2,FALSE)</f>
        <v>51.930453</v>
      </c>
      <c r="D189" s="1">
        <f>VLOOKUP($A189,Coordinaten!$A:$C,3,FALSE)</f>
        <v>5.4453630000000004</v>
      </c>
      <c r="E189" cm="1">
        <f t="array" ref="E189">WGS842X($C189,$D189)</f>
        <v>159000</v>
      </c>
      <c r="F189" cm="1">
        <f t="array" ref="F189">WGS842Y($C189,$D189)</f>
        <v>438000</v>
      </c>
      <c r="G189" s="1" t="str">
        <f t="shared" si="2"/>
        <v>Tiel,562,159000,438000</v>
      </c>
    </row>
    <row r="190" spans="1:7" x14ac:dyDescent="0.25">
      <c r="A190" t="s">
        <v>314</v>
      </c>
      <c r="B190">
        <v>563</v>
      </c>
      <c r="C190" s="1">
        <f>VLOOKUP($A190,Coordinaten!$A:$C,2,FALSE)</f>
        <v>52.30744</v>
      </c>
      <c r="D190" s="1">
        <f>VLOOKUP($A190,Coordinaten!$A:$C,3,FALSE)</f>
        <v>5.0353019999999997</v>
      </c>
      <c r="E190" cm="1">
        <f t="array" ref="E190">WGS842X($C190,$D190)</f>
        <v>131000</v>
      </c>
      <c r="F190" cm="1">
        <f t="array" ref="F190">WGS842Y($C190,$D190)</f>
        <v>480000</v>
      </c>
      <c r="G190" s="1" t="str">
        <f t="shared" si="2"/>
        <v>Weesp,563,131000,480000</v>
      </c>
    </row>
    <row r="191" spans="1:7" x14ac:dyDescent="0.25">
      <c r="A191" t="s">
        <v>162</v>
      </c>
      <c r="B191">
        <v>564</v>
      </c>
      <c r="C191" s="1">
        <f>VLOOKUP($A191,Coordinaten!$A:$C,2,FALSE)</f>
        <v>52.361485999999999</v>
      </c>
      <c r="D191" s="1">
        <f>VLOOKUP($A191,Coordinaten!$A:$C,3,FALSE)</f>
        <v>5.6954979999999997</v>
      </c>
      <c r="E191" cm="1">
        <f t="array" ref="E191">WGS842X($C191,$D191)</f>
        <v>176000</v>
      </c>
      <c r="F191" cm="1">
        <f t="array" ref="F191">WGS842Y($C191,$D191)</f>
        <v>486000</v>
      </c>
      <c r="G191" s="1" t="str">
        <f t="shared" si="2"/>
        <v>Hulshorst,564,176000,486000</v>
      </c>
    </row>
    <row r="192" spans="1:7" x14ac:dyDescent="0.25">
      <c r="A192" t="s">
        <v>305</v>
      </c>
      <c r="B192">
        <v>565</v>
      </c>
      <c r="C192" s="1">
        <f>VLOOKUP($A192,Coordinaten!$A:$C,2,FALSE)</f>
        <v>52.181930000000001</v>
      </c>
      <c r="D192" s="1">
        <f>VLOOKUP($A192,Coordinaten!$A:$C,3,FALSE)</f>
        <v>5.6065269999999998</v>
      </c>
      <c r="E192" cm="1">
        <f t="array" ref="E192">WGS842X($C192,$D192)</f>
        <v>170000</v>
      </c>
      <c r="F192" cm="1">
        <f t="array" ref="F192">WGS842Y($C192,$D192)</f>
        <v>466000</v>
      </c>
      <c r="G192" s="1" t="str">
        <f t="shared" si="2"/>
        <v>Voorthuizen,565,170000,466000</v>
      </c>
    </row>
    <row r="193" spans="1:7" x14ac:dyDescent="0.25">
      <c r="A193" t="s">
        <v>175</v>
      </c>
      <c r="B193">
        <v>567</v>
      </c>
      <c r="C193" s="1">
        <f>VLOOKUP($A193,Coordinaten!$A:$C,2,FALSE)</f>
        <v>52.172330000000002</v>
      </c>
      <c r="D193" s="1">
        <f>VLOOKUP($A193,Coordinaten!$A:$C,3,FALSE)</f>
        <v>5.8257539999999999</v>
      </c>
      <c r="E193" cm="1">
        <f t="array" ref="E193">WGS842X($C193,$D193)</f>
        <v>185000</v>
      </c>
      <c r="F193" cm="1">
        <f t="array" ref="F193">WGS842Y($C193,$D193)</f>
        <v>465000</v>
      </c>
      <c r="G193" s="1" t="str">
        <f t="shared" si="2"/>
        <v>Kootwijk (Radio),567,185000,465000</v>
      </c>
    </row>
    <row r="194" spans="1:7" x14ac:dyDescent="0.25">
      <c r="A194" t="s">
        <v>152</v>
      </c>
      <c r="B194">
        <v>569</v>
      </c>
      <c r="C194" s="1">
        <f>VLOOKUP($A194,Coordinaten!$A:$C,2,FALSE)</f>
        <v>51.767817000000001</v>
      </c>
      <c r="D194" s="1">
        <f>VLOOKUP($A194,Coordinaten!$A:$C,3,FALSE)</f>
        <v>5.8363040000000002</v>
      </c>
      <c r="E194" cm="1">
        <f t="array" ref="E194">WGS842X($C194,$D194)</f>
        <v>186000</v>
      </c>
      <c r="F194" cm="1">
        <f t="array" ref="F194">WGS842Y($C194,$D194)</f>
        <v>420000</v>
      </c>
      <c r="G194" s="1" t="str">
        <f t="shared" si="2"/>
        <v>Heumen,569,186000,420000</v>
      </c>
    </row>
    <row r="195" spans="1:7" x14ac:dyDescent="0.25">
      <c r="A195" t="s">
        <v>109</v>
      </c>
      <c r="B195">
        <v>570</v>
      </c>
      <c r="C195" s="1">
        <f>VLOOKUP($A195,Coordinaten!$A:$C,2,FALSE)</f>
        <v>52.289324000000001</v>
      </c>
      <c r="D195" s="1">
        <f>VLOOKUP($A195,Coordinaten!$A:$C,3,FALSE)</f>
        <v>5.7829379999999997</v>
      </c>
      <c r="E195" cm="1">
        <f t="array" ref="E195">WGS842X($C195,$D195)</f>
        <v>182000</v>
      </c>
      <c r="F195" cm="1">
        <f t="array" ref="F195">WGS842Y($C195,$D195)</f>
        <v>478000</v>
      </c>
      <c r="G195" s="1" t="str">
        <f t="shared" ref="G195:G258" si="3">A195&amp;"," &amp;B195 &amp;"," &amp;E195&amp;"," &amp;F195</f>
        <v>Elspeet,570,182000,478000</v>
      </c>
    </row>
    <row r="196" spans="1:7" x14ac:dyDescent="0.25">
      <c r="A196" t="s">
        <v>139</v>
      </c>
      <c r="B196">
        <v>571</v>
      </c>
      <c r="C196" s="1">
        <f>VLOOKUP($A196,Coordinaten!$A:$C,2,FALSE)</f>
        <v>52.154648000000002</v>
      </c>
      <c r="D196" s="1">
        <f>VLOOKUP($A196,Coordinaten!$A:$C,3,FALSE)</f>
        <v>5.7379049999999996</v>
      </c>
      <c r="E196" cm="1">
        <f t="array" ref="E196">WGS842X($C196,$D196)</f>
        <v>179000</v>
      </c>
      <c r="F196" cm="1">
        <f t="array" ref="F196">WGS842Y($C196,$D196)</f>
        <v>463000</v>
      </c>
      <c r="G196" s="1" t="str">
        <f t="shared" si="3"/>
        <v>Harskamp,571,179000,463000</v>
      </c>
    </row>
    <row r="197" spans="1:7" x14ac:dyDescent="0.25">
      <c r="A197" t="s">
        <v>38</v>
      </c>
      <c r="B197">
        <v>572</v>
      </c>
      <c r="C197" s="1">
        <f>VLOOKUP($A197,Coordinaten!$A:$C,2,FALSE)</f>
        <v>52.262312999999999</v>
      </c>
      <c r="D197" s="1">
        <f>VLOOKUP($A197,Coordinaten!$A:$C,3,FALSE)</f>
        <v>4.977068</v>
      </c>
      <c r="E197" cm="1">
        <f t="array" ref="E197">WGS842X($C197,$D197)</f>
        <v>127000</v>
      </c>
      <c r="F197" cm="1">
        <f t="array" ref="F197">WGS842Y($C197,$D197)</f>
        <v>475000</v>
      </c>
      <c r="G197" s="1" t="str">
        <f t="shared" si="3"/>
        <v>Abcoude,572,127000,475000</v>
      </c>
    </row>
    <row r="198" spans="1:7" x14ac:dyDescent="0.25">
      <c r="A198" t="s">
        <v>57</v>
      </c>
      <c r="B198">
        <v>573</v>
      </c>
      <c r="C198" s="1">
        <f>VLOOKUP($A198,Coordinaten!$A:$C,2,FALSE)</f>
        <v>52.162779999999998</v>
      </c>
      <c r="D198" s="1">
        <f>VLOOKUP($A198,Coordinaten!$A:$C,3,FALSE)</f>
        <v>5.957198</v>
      </c>
      <c r="E198" cm="1">
        <f t="array" ref="E198">WGS842X($C198,$D198)</f>
        <v>194000</v>
      </c>
      <c r="F198" cm="1">
        <f t="array" ref="F198">WGS842Y($C198,$D198)</f>
        <v>464000</v>
      </c>
      <c r="G198" s="1" t="str">
        <f t="shared" si="3"/>
        <v>Beekbergen,573,194000,464000</v>
      </c>
    </row>
    <row r="199" spans="1:7" x14ac:dyDescent="0.25">
      <c r="A199" t="s">
        <v>272</v>
      </c>
      <c r="B199">
        <v>576</v>
      </c>
      <c r="C199" s="1">
        <f>VLOOKUP($A199,Coordinaten!$A:$C,2,FALSE)</f>
        <v>52.254035999999999</v>
      </c>
      <c r="D199" s="1">
        <f>VLOOKUP($A199,Coordinaten!$A:$C,3,FALSE)</f>
        <v>5.3872059999999999</v>
      </c>
      <c r="E199" cm="1">
        <f t="array" ref="E199">WGS842X($C199,$D199)</f>
        <v>155000</v>
      </c>
      <c r="F199" cm="1">
        <f t="array" ref="F199">WGS842Y($C199,$D199)</f>
        <v>474000</v>
      </c>
      <c r="G199" s="1" t="str">
        <f t="shared" si="3"/>
        <v>Spakenburg,576,155000,474000</v>
      </c>
    </row>
    <row r="200" spans="1:7" x14ac:dyDescent="0.25">
      <c r="A200" t="s">
        <v>227</v>
      </c>
      <c r="B200">
        <v>578</v>
      </c>
      <c r="C200" s="1">
        <f>VLOOKUP($A200,Coordinaten!$A:$C,2,FALSE)</f>
        <v>52.010494999999999</v>
      </c>
      <c r="D200" s="1">
        <f>VLOOKUP($A200,Coordinaten!$A:$C,3,FALSE)</f>
        <v>5.8387339999999996</v>
      </c>
      <c r="E200" cm="1">
        <f t="array" ref="E200">WGS842X($C200,$D200)</f>
        <v>186000</v>
      </c>
      <c r="F200" cm="1">
        <f t="array" ref="F200">WGS842Y($C200,$D200)</f>
        <v>447000</v>
      </c>
      <c r="G200" s="1" t="str">
        <f t="shared" si="3"/>
        <v>Oosterbeek,578,186000,447000</v>
      </c>
    </row>
    <row r="201" spans="1:7" x14ac:dyDescent="0.25">
      <c r="A201" t="s">
        <v>297</v>
      </c>
      <c r="B201">
        <v>579</v>
      </c>
      <c r="C201" s="1">
        <f>VLOOKUP($A201,Coordinaten!$A:$C,2,FALSE)</f>
        <v>52.029161000000002</v>
      </c>
      <c r="D201" s="1">
        <f>VLOOKUP($A201,Coordinaten!$A:$C,3,FALSE)</f>
        <v>5.5912059999999997</v>
      </c>
      <c r="E201" cm="1">
        <f t="array" ref="E201">WGS842X($C201,$D201)</f>
        <v>169000</v>
      </c>
      <c r="F201" cm="1">
        <f t="array" ref="F201">WGS842Y($C201,$D201)</f>
        <v>449000</v>
      </c>
      <c r="G201" s="1" t="str">
        <f t="shared" si="3"/>
        <v>Veenendaal,579,169000,449000</v>
      </c>
    </row>
    <row r="202" spans="1:7" x14ac:dyDescent="0.25">
      <c r="A202" t="s">
        <v>55</v>
      </c>
      <c r="B202">
        <v>580</v>
      </c>
      <c r="C202" s="1">
        <f>VLOOKUP($A202,Coordinaten!$A:$C,2,FALSE)</f>
        <v>52.137064000000002</v>
      </c>
      <c r="D202" s="1">
        <f>VLOOKUP($A202,Coordinaten!$A:$C,3,FALSE)</f>
        <v>5.5624859999999998</v>
      </c>
      <c r="E202" cm="1">
        <f t="array" ref="E202">WGS842X($C202,$D202)</f>
        <v>167000</v>
      </c>
      <c r="F202" cm="1">
        <f t="array" ref="F202">WGS842Y($C202,$D202)</f>
        <v>461000</v>
      </c>
      <c r="G202" s="1" t="str">
        <f t="shared" si="3"/>
        <v>Barneveld,580,167000,461000</v>
      </c>
    </row>
    <row r="203" spans="1:7" x14ac:dyDescent="0.25">
      <c r="A203" t="s">
        <v>136</v>
      </c>
      <c r="B203">
        <v>582</v>
      </c>
      <c r="C203" s="1">
        <f>VLOOKUP($A203,Coordinaten!$A:$C,2,FALSE)</f>
        <v>52.137189999999997</v>
      </c>
      <c r="D203" s="1">
        <f>VLOOKUP($A203,Coordinaten!$A:$C,3,FALSE)</f>
        <v>5.4164190000000003</v>
      </c>
      <c r="E203" cm="1">
        <f t="array" ref="E203">WGS842X($C203,$D203)</f>
        <v>157000</v>
      </c>
      <c r="F203" cm="1">
        <f t="array" ref="F203">WGS842Y($C203,$D203)</f>
        <v>461000</v>
      </c>
      <c r="G203" s="1" t="str">
        <f t="shared" si="3"/>
        <v>Hamersveld,582,157000,461000</v>
      </c>
    </row>
    <row r="204" spans="1:7" x14ac:dyDescent="0.25">
      <c r="A204" t="s">
        <v>309</v>
      </c>
      <c r="B204">
        <v>583</v>
      </c>
      <c r="C204" s="1">
        <f>VLOOKUP($A204,Coordinaten!$A:$C,2,FALSE)</f>
        <v>51.975116999999997</v>
      </c>
      <c r="D204" s="1">
        <f>VLOOKUP($A204,Coordinaten!$A:$C,3,FALSE)</f>
        <v>5.6491759999999998</v>
      </c>
      <c r="E204" cm="1">
        <f t="array" ref="E204">WGS842X($C204,$D204)</f>
        <v>173000</v>
      </c>
      <c r="F204" cm="1">
        <f t="array" ref="F204">WGS842Y($C204,$D204)</f>
        <v>443000</v>
      </c>
      <c r="G204" s="1" t="str">
        <f t="shared" si="3"/>
        <v>Wageningen (Pd),583,173000,443000</v>
      </c>
    </row>
    <row r="205" spans="1:7" x14ac:dyDescent="0.25">
      <c r="A205" t="s">
        <v>122</v>
      </c>
      <c r="B205">
        <v>584</v>
      </c>
      <c r="C205" s="1">
        <f>VLOOKUP($A205,Coordinaten!$A:$C,2,FALSE)</f>
        <v>51.876480999999998</v>
      </c>
      <c r="D205" s="1">
        <f>VLOOKUP($A205,Coordinaten!$A:$C,3,FALSE)</f>
        <v>5.2710290000000004</v>
      </c>
      <c r="E205" cm="1">
        <f t="array" ref="E205">WGS842X($C205,$D205)</f>
        <v>147000</v>
      </c>
      <c r="F205" cm="1">
        <f t="array" ref="F205">WGS842Y($C205,$D205)</f>
        <v>432000</v>
      </c>
      <c r="G205" s="1" t="str">
        <f t="shared" si="3"/>
        <v>Geldermalsen,584,147000,432000</v>
      </c>
    </row>
    <row r="206" spans="1:7" x14ac:dyDescent="0.25">
      <c r="A206" t="s">
        <v>98</v>
      </c>
      <c r="B206">
        <v>588</v>
      </c>
      <c r="C206" s="1">
        <f>VLOOKUP($A206,Coordinaten!$A:$C,2,FALSE)</f>
        <v>51.964754999999997</v>
      </c>
      <c r="D206" s="1">
        <f>VLOOKUP($A206,Coordinaten!$A:$C,3,FALSE)</f>
        <v>6.0128839999999997</v>
      </c>
      <c r="E206" cm="1">
        <f t="array" ref="E206">WGS842X($C206,$D206)</f>
        <v>198000</v>
      </c>
      <c r="F206" cm="1">
        <f t="array" ref="F206">WGS842Y($C206,$D206)</f>
        <v>442000</v>
      </c>
      <c r="G206" s="1" t="str">
        <f t="shared" si="3"/>
        <v>Duiven,588,198000,442000</v>
      </c>
    </row>
    <row r="207" spans="1:7" x14ac:dyDescent="0.25">
      <c r="A207" t="s">
        <v>333</v>
      </c>
      <c r="B207">
        <v>589</v>
      </c>
      <c r="C207" s="1">
        <f>VLOOKUP($A207,Coordinaten!$A:$C,2,FALSE)</f>
        <v>51.938980000000001</v>
      </c>
      <c r="D207" s="1">
        <f>VLOOKUP($A207,Coordinaten!$A:$C,3,FALSE)</f>
        <v>5.7216760000000004</v>
      </c>
      <c r="E207" cm="1">
        <f t="array" ref="E207">WGS842X($C207,$D207)</f>
        <v>178000</v>
      </c>
      <c r="F207" cm="1">
        <f t="array" ref="F207">WGS842Y($C207,$D207)</f>
        <v>439000</v>
      </c>
      <c r="G207" s="1" t="str">
        <f t="shared" si="3"/>
        <v>Zetten,589,178000,439000</v>
      </c>
    </row>
    <row r="208" spans="1:7" x14ac:dyDescent="0.25">
      <c r="A208" t="s">
        <v>11</v>
      </c>
      <c r="B208">
        <v>591</v>
      </c>
      <c r="C208" s="1">
        <f>VLOOKUP($A208,Coordinaten!$A:$C,2,FALSE)</f>
        <v>52.064245999999997</v>
      </c>
      <c r="D208" s="1">
        <f>VLOOKUP($A208,Coordinaten!$A:$C,3,FALSE)</f>
        <v>5.8830260000000001</v>
      </c>
      <c r="E208" cm="1">
        <f t="array" ref="E208">WGS842X($C208,$D208)</f>
        <v>189000</v>
      </c>
      <c r="F208" cm="1">
        <f t="array" ref="F208">WGS842Y($C208,$D208)</f>
        <v>453000</v>
      </c>
      <c r="G208" s="1" t="str">
        <f t="shared" si="3"/>
        <v>Deelen,591,189000,453000</v>
      </c>
    </row>
    <row r="209" spans="1:7" x14ac:dyDescent="0.25">
      <c r="A209" t="s">
        <v>183</v>
      </c>
      <c r="B209">
        <v>593</v>
      </c>
      <c r="C209" s="1">
        <f>VLOOKUP($A209,Coordinaten!$A:$C,2,FALSE)</f>
        <v>52.244895</v>
      </c>
      <c r="D209" s="1">
        <f>VLOOKUP($A209,Coordinaten!$A:$C,3,FALSE)</f>
        <v>5.19686</v>
      </c>
      <c r="E209" cm="1">
        <f t="array" ref="E209">WGS842X($C209,$D209)</f>
        <v>142000</v>
      </c>
      <c r="F209" cm="1">
        <f t="array" ref="F209">WGS842Y($C209,$D209)</f>
        <v>473000</v>
      </c>
      <c r="G209" s="1" t="str">
        <f t="shared" si="3"/>
        <v>Laren,593,142000,473000</v>
      </c>
    </row>
    <row r="210" spans="1:7" x14ac:dyDescent="0.25">
      <c r="A210" t="s">
        <v>270</v>
      </c>
      <c r="B210">
        <v>595</v>
      </c>
      <c r="C210" s="1">
        <f>VLOOKUP($A210,Coordinaten!$A:$C,2,FALSE)</f>
        <v>52.164144</v>
      </c>
      <c r="D210" s="1">
        <f>VLOOKUP($A210,Coordinaten!$A:$C,3,FALSE)</f>
        <v>5.3287440000000004</v>
      </c>
      <c r="E210" cm="1">
        <f t="array" ref="E210">WGS842X($C210,$D210)</f>
        <v>151000</v>
      </c>
      <c r="F210" cm="1">
        <f t="array" ref="F210">WGS842Y($C210,$D210)</f>
        <v>464000</v>
      </c>
      <c r="G210" s="1" t="str">
        <f t="shared" si="3"/>
        <v>Soest,595,151000,464000</v>
      </c>
    </row>
    <row r="211" spans="1:7" x14ac:dyDescent="0.25">
      <c r="A211" t="s">
        <v>102</v>
      </c>
      <c r="B211">
        <v>596</v>
      </c>
      <c r="C211" s="1">
        <f>VLOOKUP($A211,Coordinaten!$A:$C,2,FALSE)</f>
        <v>52.271954000000001</v>
      </c>
      <c r="D211" s="1">
        <f>VLOOKUP($A211,Coordinaten!$A:$C,3,FALSE)</f>
        <v>5.2699990000000003</v>
      </c>
      <c r="E211" cm="1">
        <f t="array" ref="E211">WGS842X($C211,$D211)</f>
        <v>147000</v>
      </c>
      <c r="F211" cm="1">
        <f t="array" ref="F211">WGS842Y($C211,$D211)</f>
        <v>476000</v>
      </c>
      <c r="G211" s="1" t="str">
        <f t="shared" si="3"/>
        <v>Eemnes,596,147000,476000</v>
      </c>
    </row>
    <row r="212" spans="1:7" x14ac:dyDescent="0.25">
      <c r="A212" t="s">
        <v>149</v>
      </c>
      <c r="B212">
        <v>645</v>
      </c>
      <c r="C212" s="1">
        <f>VLOOKUP($A212,Coordinaten!$A:$C,2,FALSE)</f>
        <v>52.061706000000001</v>
      </c>
      <c r="D212" s="1">
        <f>VLOOKUP($A212,Coordinaten!$A:$C,3,FALSE)</f>
        <v>6.3058920000000001</v>
      </c>
      <c r="E212" cm="1">
        <f t="array" ref="E212">WGS842X($C212,$D212)</f>
        <v>218000</v>
      </c>
      <c r="F212" cm="1">
        <f t="array" ref="F212">WGS842Y($C212,$D212)</f>
        <v>453000</v>
      </c>
      <c r="G212" s="1" t="str">
        <f t="shared" si="3"/>
        <v>Hengelo,645,218000,453000</v>
      </c>
    </row>
    <row r="213" spans="1:7" x14ac:dyDescent="0.25">
      <c r="A213" t="s">
        <v>192</v>
      </c>
      <c r="B213">
        <v>663</v>
      </c>
      <c r="C213" s="1">
        <f>VLOOKUP($A213,Coordinaten!$A:$C,2,FALSE)</f>
        <v>52.150860000000002</v>
      </c>
      <c r="D213" s="1">
        <f>VLOOKUP($A213,Coordinaten!$A:$C,3,FALSE)</f>
        <v>6.3953990000000003</v>
      </c>
      <c r="E213" cm="1">
        <f t="array" ref="E213">WGS842X($C213,$D213)</f>
        <v>224000</v>
      </c>
      <c r="F213" cm="1">
        <f t="array" ref="F213">WGS842Y($C213,$D213)</f>
        <v>463000</v>
      </c>
      <c r="G213" s="1" t="str">
        <f t="shared" si="3"/>
        <v>Lochem,663,224000,463000</v>
      </c>
    </row>
    <row r="214" spans="1:7" x14ac:dyDescent="0.25">
      <c r="A214" t="s">
        <v>40</v>
      </c>
      <c r="B214">
        <v>664</v>
      </c>
      <c r="C214" s="1">
        <f>VLOOKUP($A214,Coordinaten!$A:$C,2,FALSE)</f>
        <v>52.34601</v>
      </c>
      <c r="D214" s="1">
        <f>VLOOKUP($A214,Coordinaten!$A:$C,3,FALSE)</f>
        <v>6.6640110000000004</v>
      </c>
      <c r="E214" cm="1">
        <f t="array" ref="E214">WGS842X($C214,$D214)</f>
        <v>242000</v>
      </c>
      <c r="F214" cm="1">
        <f t="array" ref="F214">WGS842Y($C214,$D214)</f>
        <v>485000</v>
      </c>
      <c r="G214" s="1" t="str">
        <f t="shared" si="3"/>
        <v>Almelo,664,242000,485000</v>
      </c>
    </row>
    <row r="215" spans="1:7" x14ac:dyDescent="0.25">
      <c r="A215" t="s">
        <v>113</v>
      </c>
      <c r="B215">
        <v>665</v>
      </c>
      <c r="C215" s="1">
        <f>VLOOKUP($A215,Coordinaten!$A:$C,2,FALSE)</f>
        <v>52.208277000000002</v>
      </c>
      <c r="D215" s="1">
        <f>VLOOKUP($A215,Coordinaten!$A:$C,3,FALSE)</f>
        <v>6.9088039999999999</v>
      </c>
      <c r="E215" cm="1">
        <f t="array" ref="E215">WGS842X($C215,$D215)</f>
        <v>259000</v>
      </c>
      <c r="F215" cm="1">
        <f t="array" ref="F215">WGS842Y($C215,$D215)</f>
        <v>470000</v>
      </c>
      <c r="G215" s="1" t="str">
        <f t="shared" si="3"/>
        <v>Enschede,665,259000,470000</v>
      </c>
    </row>
    <row r="216" spans="1:7" x14ac:dyDescent="0.25">
      <c r="A216" t="s">
        <v>320</v>
      </c>
      <c r="B216">
        <v>666</v>
      </c>
      <c r="C216" s="1">
        <f>VLOOKUP($A216,Coordinaten!$A:$C,2,FALSE)</f>
        <v>51.959290000000003</v>
      </c>
      <c r="D216" s="1">
        <f>VLOOKUP($A216,Coordinaten!$A:$C,3,FALSE)</f>
        <v>6.6820930000000001</v>
      </c>
      <c r="E216" cm="1">
        <f t="array" ref="E216">WGS842X($C216,$D216)</f>
        <v>244000</v>
      </c>
      <c r="F216" cm="1">
        <f t="array" ref="F216">WGS842Y($C216,$D216)</f>
        <v>442000</v>
      </c>
      <c r="G216" s="1" t="str">
        <f t="shared" si="3"/>
        <v>Winterswijk (Sibinkweg),666,244000,442000</v>
      </c>
    </row>
    <row r="217" spans="1:7" x14ac:dyDescent="0.25">
      <c r="A217" t="s">
        <v>93</v>
      </c>
      <c r="B217">
        <v>667</v>
      </c>
      <c r="C217" s="1">
        <f>VLOOKUP($A217,Coordinaten!$A:$C,2,FALSE)</f>
        <v>51.980820999999999</v>
      </c>
      <c r="D217" s="1">
        <f>VLOOKUP($A217,Coordinaten!$A:$C,3,FALSE)</f>
        <v>6.3042350000000003</v>
      </c>
      <c r="E217" cm="1">
        <f t="array" ref="E217">WGS842X($C217,$D217)</f>
        <v>218000</v>
      </c>
      <c r="F217" cm="1">
        <f t="array" ref="F217">WGS842Y($C217,$D217)</f>
        <v>444000</v>
      </c>
      <c r="G217" s="1" t="str">
        <f t="shared" si="3"/>
        <v>Doetinchem,667,218000,444000</v>
      </c>
    </row>
    <row r="218" spans="1:7" x14ac:dyDescent="0.25">
      <c r="A218" t="s">
        <v>148</v>
      </c>
      <c r="B218">
        <v>668</v>
      </c>
      <c r="C218" s="1">
        <f>VLOOKUP($A218,Coordinaten!$A:$C,2,FALSE)</f>
        <v>52.263987</v>
      </c>
      <c r="D218" s="1">
        <f>VLOOKUP($A218,Coordinaten!$A:$C,3,FALSE)</f>
        <v>6.7642059999999997</v>
      </c>
      <c r="E218" cm="1">
        <f t="array" ref="E218">WGS842X($C218,$D218)</f>
        <v>249000</v>
      </c>
      <c r="F218" cm="1">
        <f t="array" ref="F218">WGS842Y($C218,$D218)</f>
        <v>476000</v>
      </c>
      <c r="G218" s="1" t="str">
        <f t="shared" si="3"/>
        <v>Hengelo (O),668,249000,476000</v>
      </c>
    </row>
    <row r="219" spans="1:7" x14ac:dyDescent="0.25">
      <c r="A219" t="s">
        <v>66</v>
      </c>
      <c r="B219">
        <v>669</v>
      </c>
      <c r="C219" s="1">
        <f>VLOOKUP($A219,Coordinaten!$A:$C,2,FALSE)</f>
        <v>52.095742999999999</v>
      </c>
      <c r="D219" s="1">
        <f>VLOOKUP($A219,Coordinaten!$A:$C,3,FALSE)</f>
        <v>6.5255039999999997</v>
      </c>
      <c r="E219" cm="1">
        <f t="array" ref="E219">WGS842X($C219,$D219)</f>
        <v>233000</v>
      </c>
      <c r="F219" cm="1">
        <f t="array" ref="F219">WGS842Y($C219,$D219)</f>
        <v>457000</v>
      </c>
      <c r="G219" s="1" t="str">
        <f t="shared" si="3"/>
        <v>Borculo,669,233000,457000</v>
      </c>
    </row>
    <row r="220" spans="1:7" x14ac:dyDescent="0.25">
      <c r="A220" t="s">
        <v>18</v>
      </c>
      <c r="B220">
        <v>670</v>
      </c>
      <c r="C220" s="1">
        <f>VLOOKUP($A220,Coordinaten!$A:$C,2,FALSE)</f>
        <v>52.262188999999999</v>
      </c>
      <c r="D220" s="1">
        <f>VLOOKUP($A220,Coordinaten!$A:$C,3,FALSE)</f>
        <v>6.9106480000000001</v>
      </c>
      <c r="E220" cm="1">
        <f t="array" ref="E220">WGS842X($C220,$D220)</f>
        <v>259000</v>
      </c>
      <c r="F220" cm="1">
        <f t="array" ref="F220">WGS842Y($C220,$D220)</f>
        <v>476000</v>
      </c>
      <c r="G220" s="1" t="str">
        <f t="shared" si="3"/>
        <v>Twenthe,670,259000,476000</v>
      </c>
    </row>
    <row r="221" spans="1:7" x14ac:dyDescent="0.25">
      <c r="A221" t="s">
        <v>145</v>
      </c>
      <c r="B221">
        <v>672</v>
      </c>
      <c r="C221" s="1">
        <f>VLOOKUP($A221,Coordinaten!$A:$C,2,FALSE)</f>
        <v>52.384126000000002</v>
      </c>
      <c r="D221" s="1">
        <f>VLOOKUP($A221,Coordinaten!$A:$C,3,FALSE)</f>
        <v>6.444769</v>
      </c>
      <c r="E221" cm="1">
        <f t="array" ref="E221">WGS842X($C221,$D221)</f>
        <v>227000</v>
      </c>
      <c r="F221" cm="1">
        <f t="array" ref="F221">WGS842Y($C221,$D221)</f>
        <v>489000</v>
      </c>
      <c r="G221" s="1" t="str">
        <f t="shared" si="3"/>
        <v>Hellendoorn,672,227000,489000</v>
      </c>
    </row>
    <row r="222" spans="1:7" x14ac:dyDescent="0.25">
      <c r="A222" t="s">
        <v>124</v>
      </c>
      <c r="B222">
        <v>673</v>
      </c>
      <c r="C222" s="1">
        <f>VLOOKUP($A222,Coordinaten!$A:$C,2,FALSE)</f>
        <v>51.863638999999999</v>
      </c>
      <c r="D222" s="1">
        <f>VLOOKUP($A222,Coordinaten!$A:$C,3,FALSE)</f>
        <v>6.345402</v>
      </c>
      <c r="E222" cm="1">
        <f t="array" ref="E222">WGS842X($C222,$D222)</f>
        <v>221000</v>
      </c>
      <c r="F222" cm="1">
        <f t="array" ref="F222">WGS842Y($C222,$D222)</f>
        <v>431000</v>
      </c>
      <c r="G222" s="1" t="str">
        <f t="shared" si="3"/>
        <v>Gendringen,673,221000,431000</v>
      </c>
    </row>
    <row r="223" spans="1:7" x14ac:dyDescent="0.25">
      <c r="A223" t="s">
        <v>244</v>
      </c>
      <c r="B223">
        <v>674</v>
      </c>
      <c r="C223" s="1">
        <f>VLOOKUP($A223,Coordinaten!$A:$C,2,FALSE)</f>
        <v>52.084606999999998</v>
      </c>
      <c r="D223" s="1">
        <f>VLOOKUP($A223,Coordinaten!$A:$C,3,FALSE)</f>
        <v>6.729495</v>
      </c>
      <c r="E223" cm="1">
        <f t="array" ref="E223">WGS842X($C223,$D223)</f>
        <v>247000</v>
      </c>
      <c r="F223" cm="1">
        <f t="array" ref="F223">WGS842Y($C223,$D223)</f>
        <v>456000</v>
      </c>
      <c r="G223" s="1" t="str">
        <f t="shared" si="3"/>
        <v>Rekken,674,247000,456000</v>
      </c>
    </row>
    <row r="224" spans="1:7" x14ac:dyDescent="0.25">
      <c r="A224" t="s">
        <v>312</v>
      </c>
      <c r="B224">
        <v>675</v>
      </c>
      <c r="C224" s="1">
        <f>VLOOKUP($A224,Coordinaten!$A:$C,2,FALSE)</f>
        <v>52.352600000000002</v>
      </c>
      <c r="D224" s="1">
        <f>VLOOKUP($A224,Coordinaten!$A:$C,3,FALSE)</f>
        <v>6.869713</v>
      </c>
      <c r="E224" cm="1">
        <f t="array" ref="E224">WGS842X($C224,$D224)</f>
        <v>256000</v>
      </c>
      <c r="F224" cm="1">
        <f t="array" ref="F224">WGS842Y($C224,$D224)</f>
        <v>486000</v>
      </c>
      <c r="G224" s="1" t="str">
        <f t="shared" si="3"/>
        <v>Weerselo,675,256000,486000</v>
      </c>
    </row>
    <row r="225" spans="1:7" x14ac:dyDescent="0.25">
      <c r="A225" t="s">
        <v>41</v>
      </c>
      <c r="B225">
        <v>678</v>
      </c>
      <c r="C225" s="1">
        <f>VLOOKUP($A225,Coordinaten!$A:$C,2,FALSE)</f>
        <v>52.160449</v>
      </c>
      <c r="D225" s="1">
        <f>VLOOKUP($A225,Coordinaten!$A:$C,3,FALSE)</f>
        <v>6.32254</v>
      </c>
      <c r="E225" cm="1">
        <f t="array" ref="E225">WGS842X($C225,$D225)</f>
        <v>219000</v>
      </c>
      <c r="F225" cm="1">
        <f t="array" ref="F225">WGS842Y($C225,$D225)</f>
        <v>464000</v>
      </c>
      <c r="G225" s="1" t="str">
        <f t="shared" si="3"/>
        <v>Almen,678,219000,464000</v>
      </c>
    </row>
    <row r="226" spans="1:7" x14ac:dyDescent="0.25">
      <c r="A226" t="s">
        <v>151</v>
      </c>
      <c r="B226">
        <v>679</v>
      </c>
      <c r="C226" s="1">
        <f>VLOOKUP($A226,Coordinaten!$A:$C,2,FALSE)</f>
        <v>51.892356999999997</v>
      </c>
      <c r="D226" s="1">
        <f>VLOOKUP($A226,Coordinaten!$A:$C,3,FALSE)</f>
        <v>6.0990409999999997</v>
      </c>
      <c r="E226" cm="1">
        <f t="array" ref="E226">WGS842X($C226,$D226)</f>
        <v>204000</v>
      </c>
      <c r="F226" cm="1">
        <f t="array" ref="F226">WGS842Y($C226,$D226)</f>
        <v>434000</v>
      </c>
      <c r="G226" s="1" t="str">
        <f t="shared" si="3"/>
        <v>Herwen,679,204000,434000</v>
      </c>
    </row>
    <row r="227" spans="1:7" x14ac:dyDescent="0.25">
      <c r="A227" t="s">
        <v>37</v>
      </c>
      <c r="B227">
        <v>680</v>
      </c>
      <c r="C227" s="1">
        <f>VLOOKUP($A227,Coordinaten!$A:$C,2,FALSE)</f>
        <v>51.915579999999999</v>
      </c>
      <c r="D227" s="1">
        <f>VLOOKUP($A227,Coordinaten!$A:$C,3,FALSE)</f>
        <v>6.5645449999999999</v>
      </c>
      <c r="E227" cm="1">
        <f t="array" ref="E227">WGS842X($C227,$D227)</f>
        <v>236000</v>
      </c>
      <c r="F227" cm="1">
        <f t="array" ref="F227">WGS842Y($C227,$D227)</f>
        <v>437000</v>
      </c>
      <c r="G227" s="1" t="str">
        <f t="shared" si="3"/>
        <v>Aalten,680,236000,437000</v>
      </c>
    </row>
    <row r="228" spans="1:7" x14ac:dyDescent="0.25">
      <c r="A228" t="s">
        <v>187</v>
      </c>
      <c r="B228">
        <v>681</v>
      </c>
      <c r="C228" s="1">
        <f>VLOOKUP($A228,Coordinaten!$A:$C,2,FALSE)</f>
        <v>52.268631999999997</v>
      </c>
      <c r="D228" s="1">
        <f>VLOOKUP($A228,Coordinaten!$A:$C,3,FALSE)</f>
        <v>6.2808630000000001</v>
      </c>
      <c r="E228" cm="1">
        <f t="array" ref="E228">WGS842X($C228,$D228)</f>
        <v>216000</v>
      </c>
      <c r="F228" cm="1">
        <f t="array" ref="F228">WGS842Y($C228,$D228)</f>
        <v>476000</v>
      </c>
      <c r="G228" s="1" t="str">
        <f t="shared" si="3"/>
        <v>Lettele,681,216000,476000</v>
      </c>
    </row>
    <row r="229" spans="1:7" x14ac:dyDescent="0.25">
      <c r="A229" t="s">
        <v>198</v>
      </c>
      <c r="B229">
        <v>682</v>
      </c>
      <c r="C229" s="1">
        <f>VLOOKUP($A229,Coordinaten!$A:$C,2,FALSE)</f>
        <v>52.239942999999997</v>
      </c>
      <c r="D229" s="1">
        <f>VLOOKUP($A229,Coordinaten!$A:$C,3,FALSE)</f>
        <v>6.4852660000000002</v>
      </c>
      <c r="E229" cm="1">
        <f t="array" ref="E229">WGS842X($C229,$D229)</f>
        <v>230000</v>
      </c>
      <c r="F229" cm="1">
        <f t="array" ref="F229">WGS842Y($C229,$D229)</f>
        <v>473000</v>
      </c>
      <c r="G229" s="1" t="str">
        <f t="shared" si="3"/>
        <v>Markelo,682,230000,473000</v>
      </c>
    </row>
    <row r="230" spans="1:7" x14ac:dyDescent="0.25">
      <c r="A230" t="s">
        <v>188</v>
      </c>
      <c r="B230">
        <v>683</v>
      </c>
      <c r="C230" s="1">
        <f>VLOOKUP($A230,Coordinaten!$A:$C,2,FALSE)</f>
        <v>51.996459999999999</v>
      </c>
      <c r="D230" s="1">
        <f>VLOOKUP($A230,Coordinaten!$A:$C,3,FALSE)</f>
        <v>6.5666679999999999</v>
      </c>
      <c r="E230" cm="1">
        <f t="array" ref="E230">WGS842X($C230,$D230)</f>
        <v>236000</v>
      </c>
      <c r="F230" cm="1">
        <f t="array" ref="F230">WGS842Y($C230,$D230)</f>
        <v>446000</v>
      </c>
      <c r="G230" s="1" t="str">
        <f t="shared" si="3"/>
        <v>Lichtenvoorde,683,236000,446000</v>
      </c>
    </row>
    <row r="231" spans="1:7" x14ac:dyDescent="0.25">
      <c r="A231" t="s">
        <v>189</v>
      </c>
      <c r="B231">
        <v>684</v>
      </c>
      <c r="C231" s="1">
        <f>VLOOKUP($A231,Coordinaten!$A:$C,2,FALSE)</f>
        <v>52.013680999999998</v>
      </c>
      <c r="D231" s="1">
        <f>VLOOKUP($A231,Coordinaten!$A:$C,3,FALSE)</f>
        <v>6.6399609999999996</v>
      </c>
      <c r="E231" cm="1">
        <f t="array" ref="E231">WGS842X($C231,$D231)</f>
        <v>241000</v>
      </c>
      <c r="F231" cm="1">
        <f t="array" ref="F231">WGS842Y($C231,$D231)</f>
        <v>448000</v>
      </c>
      <c r="G231" s="1" t="str">
        <f t="shared" si="3"/>
        <v>Lievelde,684,241000,448000</v>
      </c>
    </row>
    <row r="232" spans="1:7" x14ac:dyDescent="0.25">
      <c r="A232" t="s">
        <v>323</v>
      </c>
      <c r="B232">
        <v>686</v>
      </c>
      <c r="C232" s="1">
        <f>VLOOKUP($A232,Coordinaten!$A:$C,2,FALSE)</f>
        <v>51.922690000000003</v>
      </c>
      <c r="D232" s="1">
        <f>VLOOKUP($A232,Coordinaten!$A:$C,3,FALSE)</f>
        <v>6.7391920000000001</v>
      </c>
      <c r="E232" cm="1">
        <f t="array" ref="E232">WGS842X($C232,$D232)</f>
        <v>248000</v>
      </c>
      <c r="F232" cm="1">
        <f t="array" ref="F232">WGS842Y($C232,$D232)</f>
        <v>438000</v>
      </c>
      <c r="G232" s="1" t="str">
        <f t="shared" si="3"/>
        <v>Woold,686,248000,438000</v>
      </c>
    </row>
    <row r="233" spans="1:7" x14ac:dyDescent="0.25">
      <c r="A233" t="s">
        <v>154</v>
      </c>
      <c r="B233">
        <v>687</v>
      </c>
      <c r="C233" s="1">
        <f>VLOOKUP($A233,Coordinaten!$A:$C,2,FALSE)</f>
        <v>52.303117</v>
      </c>
      <c r="D233" s="1">
        <f>VLOOKUP($A233,Coordinaten!$A:$C,3,FALSE)</f>
        <v>6.4575019999999999</v>
      </c>
      <c r="E233" cm="1">
        <f t="array" ref="E233">WGS842X($C233,$D233)</f>
        <v>228000</v>
      </c>
      <c r="F233" cm="1">
        <f t="array" ref="F233">WGS842Y($C233,$D233)</f>
        <v>480000</v>
      </c>
      <c r="G233" s="1" t="str">
        <f t="shared" si="3"/>
        <v>Holten,687,228000,480000</v>
      </c>
    </row>
    <row r="234" spans="1:7" x14ac:dyDescent="0.25">
      <c r="A234" t="s">
        <v>16</v>
      </c>
      <c r="B234">
        <v>688</v>
      </c>
      <c r="C234" s="1">
        <f>VLOOKUP($A234,Coordinaten!$A:$C,2,FALSE)</f>
        <v>52.067599000000001</v>
      </c>
      <c r="D234" s="1">
        <f>VLOOKUP($A234,Coordinaten!$A:$C,3,FALSE)</f>
        <v>6.6414710000000001</v>
      </c>
      <c r="E234" cm="1">
        <f t="array" ref="E234">WGS842X($C234,$D234)</f>
        <v>241000</v>
      </c>
      <c r="F234" cm="1">
        <f t="array" ref="F234">WGS842Y($C234,$D234)</f>
        <v>454000</v>
      </c>
      <c r="G234" s="1" t="str">
        <f t="shared" si="3"/>
        <v>Hupsel,688,241000,454000</v>
      </c>
    </row>
    <row r="235" spans="1:7" x14ac:dyDescent="0.25">
      <c r="A235" t="s">
        <v>90</v>
      </c>
      <c r="B235">
        <v>689</v>
      </c>
      <c r="C235" s="1">
        <f>VLOOKUP($A235,Coordinaten!$A:$C,2,FALSE)</f>
        <v>52.260072999999998</v>
      </c>
      <c r="D235" s="1">
        <f>VLOOKUP($A235,Coordinaten!$A:$C,3,FALSE)</f>
        <v>6.2221000000000002</v>
      </c>
      <c r="E235" cm="1">
        <f t="array" ref="E235">WGS842X($C235,$D235)</f>
        <v>212000</v>
      </c>
      <c r="F235" cm="1">
        <f t="array" ref="F235">WGS842Y($C235,$D235)</f>
        <v>475000</v>
      </c>
      <c r="G235" s="1" t="str">
        <f t="shared" si="3"/>
        <v>Deventer,689,212000,475000</v>
      </c>
    </row>
    <row r="236" spans="1:7" x14ac:dyDescent="0.25">
      <c r="A236" t="s">
        <v>69</v>
      </c>
      <c r="B236">
        <v>705</v>
      </c>
      <c r="C236" s="1">
        <f>VLOOKUP($A236,Coordinaten!$A:$C,2,FALSE)</f>
        <v>51.394627999999997</v>
      </c>
      <c r="D236" s="1">
        <f>VLOOKUP($A236,Coordinaten!$A:$C,3,FALSE)</f>
        <v>3.5479189999999998</v>
      </c>
      <c r="E236" cm="1">
        <f t="array" ref="E236">WGS842X($C236,$D236)</f>
        <v>27000</v>
      </c>
      <c r="F236" cm="1">
        <f t="array" ref="F236">WGS842Y($C236,$D236)</f>
        <v>380000</v>
      </c>
      <c r="G236" s="1" t="str">
        <f t="shared" si="3"/>
        <v>Breskens,705,27000,380000</v>
      </c>
    </row>
    <row r="237" spans="1:7" x14ac:dyDescent="0.25">
      <c r="A237" t="s">
        <v>248</v>
      </c>
      <c r="B237">
        <v>733</v>
      </c>
      <c r="C237" s="1">
        <f>VLOOKUP($A237,Coordinaten!$A:$C,2,FALSE)</f>
        <v>51.458635999999998</v>
      </c>
      <c r="D237" s="1">
        <f>VLOOKUP($A237,Coordinaten!$A:$C,3,FALSE)</f>
        <v>3.617292</v>
      </c>
      <c r="E237" cm="1">
        <f t="array" ref="E237">WGS842X($C237,$D237)</f>
        <v>32000</v>
      </c>
      <c r="F237" cm="1">
        <f t="array" ref="F237">WGS842Y($C237,$D237)</f>
        <v>387000</v>
      </c>
      <c r="G237" s="1" t="str">
        <f t="shared" si="3"/>
        <v>Ritthem,733,32000,387000</v>
      </c>
    </row>
    <row r="238" spans="1:7" x14ac:dyDescent="0.25">
      <c r="A238" t="s">
        <v>166</v>
      </c>
      <c r="B238">
        <v>735</v>
      </c>
      <c r="C238" s="1">
        <f>VLOOKUP($A238,Coordinaten!$A:$C,2,FALSE)</f>
        <v>51.481158000000001</v>
      </c>
      <c r="D238" s="1">
        <f>VLOOKUP($A238,Coordinaten!$A:$C,3,FALSE)</f>
        <v>3.9475720000000001</v>
      </c>
      <c r="E238" cm="1">
        <f t="array" ref="E238">WGS842X($C238,$D238)</f>
        <v>55000</v>
      </c>
      <c r="F238" cm="1">
        <f t="array" ref="F238">WGS842Y($C238,$D238)</f>
        <v>389000</v>
      </c>
      <c r="G238" s="1" t="str">
        <f t="shared" si="3"/>
        <v>Kapelle,735,55000,389000</v>
      </c>
    </row>
    <row r="239" spans="1:7" x14ac:dyDescent="0.25">
      <c r="A239" t="s">
        <v>71</v>
      </c>
      <c r="B239">
        <v>736</v>
      </c>
      <c r="C239" s="1">
        <f>VLOOKUP($A239,Coordinaten!$A:$C,2,FALSE)</f>
        <v>51.732042999999997</v>
      </c>
      <c r="D239" s="1">
        <f>VLOOKUP($A239,Coordinaten!$A:$C,3,FALSE)</f>
        <v>3.8816739999999998</v>
      </c>
      <c r="E239" cm="1">
        <f t="array" ref="E239">WGS842X($C239,$D239)</f>
        <v>51000</v>
      </c>
      <c r="F239" cm="1">
        <f t="array" ref="F239">WGS842Y($C239,$D239)</f>
        <v>417000</v>
      </c>
      <c r="G239" s="1" t="str">
        <f t="shared" si="3"/>
        <v>Brouwershaven,736,51000,417000</v>
      </c>
    </row>
    <row r="240" spans="1:7" x14ac:dyDescent="0.25">
      <c r="A240" t="s">
        <v>169</v>
      </c>
      <c r="B240">
        <v>737</v>
      </c>
      <c r="C240" s="1">
        <f>VLOOKUP($A240,Coordinaten!$A:$C,2,FALSE)</f>
        <v>51.677940999999997</v>
      </c>
      <c r="D240" s="1">
        <f>VLOOKUP($A240,Coordinaten!$A:$C,3,FALSE)</f>
        <v>3.869014</v>
      </c>
      <c r="E240" cm="1">
        <f t="array" ref="E240">WGS842X($C240,$D240)</f>
        <v>50000</v>
      </c>
      <c r="F240" cm="1">
        <f t="array" ref="F240">WGS842Y($C240,$D240)</f>
        <v>411000</v>
      </c>
      <c r="G240" s="1" t="str">
        <f t="shared" si="3"/>
        <v>Kerkwerve,737,50000,411000</v>
      </c>
    </row>
    <row r="241" spans="1:7" x14ac:dyDescent="0.25">
      <c r="A241" t="s">
        <v>64</v>
      </c>
      <c r="B241">
        <v>738</v>
      </c>
      <c r="C241" s="1">
        <f>VLOOKUP($A241,Coordinaten!$A:$C,2,FALSE)</f>
        <v>51.333907000000004</v>
      </c>
      <c r="D241" s="1">
        <f>VLOOKUP($A241,Coordinaten!$A:$C,3,FALSE)</f>
        <v>3.6938849999999999</v>
      </c>
      <c r="E241" cm="1">
        <f t="array" ref="E241">WGS842X($C241,$D241)</f>
        <v>37000</v>
      </c>
      <c r="F241" cm="1">
        <f t="array" ref="F241">WGS842Y($C241,$D241)</f>
        <v>373000</v>
      </c>
      <c r="G241" s="1" t="str">
        <f t="shared" si="3"/>
        <v>Biervliet,738,37000,373000</v>
      </c>
    </row>
    <row r="242" spans="1:7" x14ac:dyDescent="0.25">
      <c r="A242" t="s">
        <v>275</v>
      </c>
      <c r="B242">
        <v>740</v>
      </c>
      <c r="C242" s="1">
        <f>VLOOKUP($A242,Coordinaten!$A:$C,2,FALSE)</f>
        <v>51.276905999999997</v>
      </c>
      <c r="D242" s="1">
        <f>VLOOKUP($A242,Coordinaten!$A:$C,3,FALSE)</f>
        <v>3.4953129999999999</v>
      </c>
      <c r="E242" cm="1">
        <f t="array" ref="E242">WGS842X($C242,$D242)</f>
        <v>23000</v>
      </c>
      <c r="F242" cm="1">
        <f t="array" ref="F242">WGS842Y($C242,$D242)</f>
        <v>367000</v>
      </c>
      <c r="G242" s="1" t="str">
        <f t="shared" si="3"/>
        <v>St Kruis,740,23000,367000</v>
      </c>
    </row>
    <row r="243" spans="1:7" x14ac:dyDescent="0.25">
      <c r="A243" t="s">
        <v>276</v>
      </c>
      <c r="B243">
        <v>741</v>
      </c>
      <c r="C243" s="1">
        <f>VLOOKUP($A243,Coordinaten!$A:$C,2,FALSE)</f>
        <v>51.589861999999997</v>
      </c>
      <c r="D243" s="1">
        <f>VLOOKUP($A243,Coordinaten!$A:$C,3,FALSE)</f>
        <v>4.0162839999999997</v>
      </c>
      <c r="E243" cm="1">
        <f t="array" ref="E243">WGS842X($C243,$D243)</f>
        <v>60000</v>
      </c>
      <c r="F243" cm="1">
        <f t="array" ref="F243">WGS842Y($C243,$D243)</f>
        <v>401000</v>
      </c>
      <c r="G243" s="1" t="str">
        <f t="shared" si="3"/>
        <v>Stavenisse,741,60000,401000</v>
      </c>
    </row>
    <row r="244" spans="1:7" x14ac:dyDescent="0.25">
      <c r="A244" t="s">
        <v>285</v>
      </c>
      <c r="B244">
        <v>742</v>
      </c>
      <c r="C244" s="1">
        <f>VLOOKUP($A244,Coordinaten!$A:$C,2,FALSE)</f>
        <v>51.309323999999997</v>
      </c>
      <c r="D244" s="1">
        <f>VLOOKUP($A244,Coordinaten!$A:$C,3,FALSE)</f>
        <v>3.8669229999999999</v>
      </c>
      <c r="E244" cm="1">
        <f t="array" ref="E244">WGS842X($C244,$D244)</f>
        <v>49000</v>
      </c>
      <c r="F244" cm="1">
        <f t="array" ref="F244">WGS842Y($C244,$D244)</f>
        <v>370000</v>
      </c>
      <c r="G244" s="1" t="str">
        <f t="shared" si="3"/>
        <v>Terneuzen,742,49000,370000</v>
      </c>
    </row>
    <row r="245" spans="1:7" x14ac:dyDescent="0.25">
      <c r="A245" t="s">
        <v>217</v>
      </c>
      <c r="B245">
        <v>743</v>
      </c>
      <c r="C245" s="1">
        <f>VLOOKUP($A245,Coordinaten!$A:$C,2,FALSE)</f>
        <v>51.697181999999998</v>
      </c>
      <c r="D245" s="1">
        <f>VLOOKUP($A245,Coordinaten!$A:$C,3,FALSE)</f>
        <v>3.969633</v>
      </c>
      <c r="E245" cm="1">
        <f t="array" ref="E245">WGS842X($C245,$D245)</f>
        <v>57000</v>
      </c>
      <c r="F245" cm="1">
        <f t="array" ref="F245">WGS842Y($C245,$D245)</f>
        <v>413000</v>
      </c>
      <c r="G245" s="1" t="str">
        <f t="shared" si="3"/>
        <v>Noordgouwe,743,57000,413000</v>
      </c>
    </row>
    <row r="246" spans="1:7" x14ac:dyDescent="0.25">
      <c r="A246" t="s">
        <v>47</v>
      </c>
      <c r="B246">
        <v>744</v>
      </c>
      <c r="C246" s="1">
        <f>VLOOKUP($A246,Coordinaten!$A:$C,2,FALSE)</f>
        <v>51.636091999999998</v>
      </c>
      <c r="D246" s="1">
        <f>VLOOKUP($A246,Coordinaten!$A:$C,3,FALSE)</f>
        <v>4.1304569999999998</v>
      </c>
      <c r="E246" cm="1">
        <f t="array" ref="E246">WGS842X($C246,$D246)</f>
        <v>68000</v>
      </c>
      <c r="F246" cm="1">
        <f t="array" ref="F246">WGS842Y($C246,$D246)</f>
        <v>406000</v>
      </c>
      <c r="G246" s="1" t="str">
        <f t="shared" si="3"/>
        <v>Anna Jacoba Polder,744,68000,406000</v>
      </c>
    </row>
    <row r="247" spans="1:7" x14ac:dyDescent="0.25">
      <c r="A247" t="s">
        <v>317</v>
      </c>
      <c r="B247">
        <v>746</v>
      </c>
      <c r="C247" s="1">
        <f>VLOOKUP($A247,Coordinaten!$A:$C,2,FALSE)</f>
        <v>51.527766</v>
      </c>
      <c r="D247" s="1">
        <f>VLOOKUP($A247,Coordinaten!$A:$C,3,FALSE)</f>
        <v>3.4416359999999999</v>
      </c>
      <c r="E247" cm="1">
        <f t="array" ref="E247">WGS842X($C247,$D247)</f>
        <v>20000</v>
      </c>
      <c r="F247" cm="1">
        <f t="array" ref="F247">WGS842Y($C247,$D247)</f>
        <v>395000</v>
      </c>
      <c r="G247" s="1" t="str">
        <f t="shared" si="3"/>
        <v>Westkapelle,746,20000,395000</v>
      </c>
    </row>
    <row r="248" spans="1:7" x14ac:dyDescent="0.25">
      <c r="A248" t="s">
        <v>178</v>
      </c>
      <c r="B248">
        <v>747</v>
      </c>
      <c r="C248" s="1">
        <f>VLOOKUP($A248,Coordinaten!$A:$C,2,FALSE)</f>
        <v>51.438068999999999</v>
      </c>
      <c r="D248" s="1">
        <f>VLOOKUP($A248,Coordinaten!$A:$C,3,FALSE)</f>
        <v>4.1071549999999997</v>
      </c>
      <c r="E248" cm="1">
        <f t="array" ref="E248">WGS842X($C248,$D248)</f>
        <v>66000</v>
      </c>
      <c r="F248" cm="1">
        <f t="array" ref="F248">WGS842Y($C248,$D248)</f>
        <v>384000</v>
      </c>
      <c r="G248" s="1" t="str">
        <f t="shared" si="3"/>
        <v>Krabbendijke,747,66000,384000</v>
      </c>
    </row>
    <row r="249" spans="1:7" x14ac:dyDescent="0.25">
      <c r="A249" t="s">
        <v>21</v>
      </c>
      <c r="B249">
        <v>749</v>
      </c>
      <c r="C249" s="1">
        <f>VLOOKUP($A249,Coordinaten!$A:$C,2,FALSE)</f>
        <v>51.525548000000001</v>
      </c>
      <c r="D249" s="1">
        <f>VLOOKUP($A249,Coordinaten!$A:$C,3,FALSE)</f>
        <v>3.9029310000000002</v>
      </c>
      <c r="E249" cm="1">
        <f t="array" ref="E249">WGS842X($C249,$D249)</f>
        <v>52000</v>
      </c>
      <c r="F249" cm="1">
        <f t="array" ref="F249">WGS842Y($C249,$D249)</f>
        <v>394000</v>
      </c>
      <c r="G249" s="1" t="str">
        <f t="shared" si="3"/>
        <v>Wilhelminadorp,749,52000,394000</v>
      </c>
    </row>
    <row r="250" spans="1:7" x14ac:dyDescent="0.25">
      <c r="A250" t="s">
        <v>247</v>
      </c>
      <c r="B250">
        <v>750</v>
      </c>
      <c r="C250" s="1">
        <f>VLOOKUP($A250,Coordinaten!$A:$C,2,FALSE)</f>
        <v>51.420861000000002</v>
      </c>
      <c r="D250" s="1">
        <f>VLOOKUP($A250,Coordinaten!$A:$C,3,FALSE)</f>
        <v>4.1795289999999996</v>
      </c>
      <c r="E250" cm="1">
        <f t="array" ref="E250">WGS842X($C250,$D250)</f>
        <v>71000</v>
      </c>
      <c r="F250" cm="1">
        <f t="array" ref="F250">WGS842Y($C250,$D250)</f>
        <v>382000</v>
      </c>
      <c r="G250" s="1" t="str">
        <f t="shared" si="3"/>
        <v>Rilland,750,71000,382000</v>
      </c>
    </row>
    <row r="251" spans="1:7" x14ac:dyDescent="0.25">
      <c r="A251" t="s">
        <v>307</v>
      </c>
      <c r="B251">
        <v>751</v>
      </c>
      <c r="C251" s="1">
        <f>VLOOKUP($A251,Coordinaten!$A:$C,2,FALSE)</f>
        <v>51.583986000000003</v>
      </c>
      <c r="D251" s="1">
        <f>VLOOKUP($A251,Coordinaten!$A:$C,3,FALSE)</f>
        <v>3.583542</v>
      </c>
      <c r="E251" cm="1">
        <f t="array" ref="E251">WGS842X($C251,$D251)</f>
        <v>30000</v>
      </c>
      <c r="F251" cm="1">
        <f t="array" ref="F251">WGS842Y($C251,$D251)</f>
        <v>401000</v>
      </c>
      <c r="G251" s="1" t="str">
        <f t="shared" si="3"/>
        <v>Vrouwenpolder,751,30000,401000</v>
      </c>
    </row>
    <row r="252" spans="1:7" x14ac:dyDescent="0.25">
      <c r="A252" t="s">
        <v>135</v>
      </c>
      <c r="B252">
        <v>752</v>
      </c>
      <c r="C252" s="1">
        <f>VLOOKUP($A252,Coordinaten!$A:$C,2,FALSE)</f>
        <v>51.684963000000003</v>
      </c>
      <c r="D252" s="1">
        <f>VLOOKUP($A252,Coordinaten!$A:$C,3,FALSE)</f>
        <v>3.7241499999999998</v>
      </c>
      <c r="E252" cm="1">
        <f t="array" ref="E252">WGS842X($C252,$D252)</f>
        <v>40000</v>
      </c>
      <c r="F252" cm="1">
        <f t="array" ref="F252">WGS842Y($C252,$D252)</f>
        <v>412000</v>
      </c>
      <c r="G252" s="1" t="str">
        <f t="shared" si="3"/>
        <v>Haamstede,752,40000,412000</v>
      </c>
    </row>
    <row r="253" spans="1:7" x14ac:dyDescent="0.25">
      <c r="A253" t="s">
        <v>237</v>
      </c>
      <c r="B253">
        <v>754</v>
      </c>
      <c r="C253" s="1">
        <f>VLOOKUP($A253,Coordinaten!$A:$C,2,FALSE)</f>
        <v>51.425573</v>
      </c>
      <c r="D253" s="1">
        <f>VLOOKUP($A253,Coordinaten!$A:$C,3,FALSE)</f>
        <v>3.819906</v>
      </c>
      <c r="E253" cm="1">
        <f t="array" ref="E253">WGS842X($C253,$D253)</f>
        <v>46000</v>
      </c>
      <c r="F253" cm="1">
        <f t="array" ref="F253">WGS842Y($C253,$D253)</f>
        <v>383000</v>
      </c>
      <c r="G253" s="1" t="str">
        <f t="shared" si="3"/>
        <v>Ovezande,754,46000,383000</v>
      </c>
    </row>
    <row r="254" spans="1:7" x14ac:dyDescent="0.25">
      <c r="A254" t="s">
        <v>177</v>
      </c>
      <c r="B254">
        <v>755</v>
      </c>
      <c r="C254" s="1">
        <f>VLOOKUP($A254,Coordinaten!$A:$C,2,FALSE)</f>
        <v>51.560555000000001</v>
      </c>
      <c r="D254" s="1">
        <f>VLOOKUP($A254,Coordinaten!$A:$C,3,FALSE)</f>
        <v>3.829672</v>
      </c>
      <c r="E254" cm="1">
        <f t="array" ref="E254">WGS842X($C254,$D254)</f>
        <v>47000</v>
      </c>
      <c r="F254" cm="1">
        <f t="array" ref="F254">WGS842Y($C254,$D254)</f>
        <v>398000</v>
      </c>
      <c r="G254" s="1" t="str">
        <f t="shared" si="3"/>
        <v>Kortgene,755,47000,398000</v>
      </c>
    </row>
    <row r="255" spans="1:7" x14ac:dyDescent="0.25">
      <c r="A255" t="s">
        <v>203</v>
      </c>
      <c r="B255">
        <v>756</v>
      </c>
      <c r="C255" s="1">
        <f>VLOOKUP($A255,Coordinaten!$A:$C,2,FALSE)</f>
        <v>51.485151000000002</v>
      </c>
      <c r="D255" s="1">
        <f>VLOOKUP($A255,Coordinaten!$A:$C,3,FALSE)</f>
        <v>3.5874609999999998</v>
      </c>
      <c r="E255" cm="1">
        <f t="array" ref="E255">WGS842X($C255,$D255)</f>
        <v>30000</v>
      </c>
      <c r="F255" cm="1">
        <f t="array" ref="F255">WGS842Y($C255,$D255)</f>
        <v>390000</v>
      </c>
      <c r="G255" s="1" t="str">
        <f t="shared" si="3"/>
        <v>Middelburg,756,30000,390000</v>
      </c>
    </row>
    <row r="256" spans="1:7" x14ac:dyDescent="0.25">
      <c r="A256" t="s">
        <v>286</v>
      </c>
      <c r="B256">
        <v>757</v>
      </c>
      <c r="C256" s="1">
        <f>VLOOKUP($A256,Coordinaten!$A:$C,2,FALSE)</f>
        <v>51.529001000000001</v>
      </c>
      <c r="D256" s="1">
        <f>VLOOKUP($A256,Coordinaten!$A:$C,3,FALSE)</f>
        <v>4.2054809999999998</v>
      </c>
      <c r="E256" cm="1">
        <f t="array" ref="E256">WGS842X($C256,$D256)</f>
        <v>73000</v>
      </c>
      <c r="F256" cm="1">
        <f t="array" ref="F256">WGS842Y($C256,$D256)</f>
        <v>394000</v>
      </c>
      <c r="G256" s="1" t="str">
        <f t="shared" si="3"/>
        <v>Tholen,757,73000,394000</v>
      </c>
    </row>
    <row r="257" spans="1:7" x14ac:dyDescent="0.25">
      <c r="A257" t="s">
        <v>321</v>
      </c>
      <c r="B257">
        <v>758</v>
      </c>
      <c r="C257" s="1">
        <f>VLOOKUP($A257,Coordinaten!$A:$C,2,FALSE)</f>
        <v>51.532412999999998</v>
      </c>
      <c r="D257" s="1">
        <f>VLOOKUP($A257,Coordinaten!$A:$C,3,FALSE)</f>
        <v>3.744151</v>
      </c>
      <c r="E257" cm="1">
        <f t="array" ref="E257">WGS842X($C257,$D257)</f>
        <v>41000</v>
      </c>
      <c r="F257" cm="1">
        <f t="array" ref="F257">WGS842Y($C257,$D257)</f>
        <v>395000</v>
      </c>
      <c r="G257" s="1" t="str">
        <f t="shared" si="3"/>
        <v>Wolphaartsdijk,758,41000,395000</v>
      </c>
    </row>
    <row r="258" spans="1:7" x14ac:dyDescent="0.25">
      <c r="A258" t="s">
        <v>35</v>
      </c>
      <c r="B258">
        <v>760</v>
      </c>
      <c r="C258" s="1">
        <f>VLOOKUP($A258,Coordinaten!$A:$C,2,FALSE)</f>
        <v>51.469914000000003</v>
      </c>
      <c r="D258" s="1">
        <f>VLOOKUP($A258,Coordinaten!$A:$C,3,FALSE)</f>
        <v>3.7751960000000002</v>
      </c>
      <c r="E258" cm="1">
        <f t="array" ref="E258">WGS842X($C258,$D258)</f>
        <v>43000</v>
      </c>
      <c r="F258" cm="1">
        <f t="array" ref="F258">WGS842Y($C258,$D258)</f>
        <v>388000</v>
      </c>
      <c r="G258" s="1" t="str">
        <f t="shared" si="3"/>
        <v>s Heerenhoek,760,43000,388000</v>
      </c>
    </row>
    <row r="259" spans="1:7" x14ac:dyDescent="0.25">
      <c r="A259" t="s">
        <v>239</v>
      </c>
      <c r="B259">
        <v>761</v>
      </c>
      <c r="C259" s="1">
        <f>VLOOKUP($A259,Coordinaten!$A:$C,2,FALSE)</f>
        <v>51.298783999999998</v>
      </c>
      <c r="D259" s="1">
        <f>VLOOKUP($A259,Coordinaten!$A:$C,3,FALSE)</f>
        <v>3.7525490000000001</v>
      </c>
      <c r="E259" cm="1">
        <f t="array" ref="E259">WGS842X($C259,$D259)</f>
        <v>41000</v>
      </c>
      <c r="F259" cm="1">
        <f t="array" ref="F259">WGS842Y($C259,$D259)</f>
        <v>369000</v>
      </c>
      <c r="G259" s="1" t="str">
        <f t="shared" ref="G259:G322" si="4">A259&amp;"," &amp;B259 &amp;"," &amp;E259&amp;"," &amp;F259</f>
        <v>Philippine,761,41000,369000</v>
      </c>
    </row>
    <row r="260" spans="1:7" x14ac:dyDescent="0.25">
      <c r="A260" t="s">
        <v>263</v>
      </c>
      <c r="B260">
        <v>762</v>
      </c>
      <c r="C260" s="1">
        <f>VLOOKUP($A260,Coordinaten!$A:$C,2,FALSE)</f>
        <v>51.358688000000001</v>
      </c>
      <c r="D260" s="1">
        <f>VLOOKUP($A260,Coordinaten!$A:$C,3,FALSE)</f>
        <v>3.5493670000000002</v>
      </c>
      <c r="E260" cm="1">
        <f t="array" ref="E260">WGS842X($C260,$D260)</f>
        <v>27000</v>
      </c>
      <c r="F260" cm="1">
        <f t="array" ref="F260">WGS842Y($C260,$D260)</f>
        <v>376000</v>
      </c>
      <c r="G260" s="1" t="str">
        <f t="shared" si="4"/>
        <v>Schoondijke,762,27000,376000</v>
      </c>
    </row>
    <row r="261" spans="1:7" x14ac:dyDescent="0.25">
      <c r="A261" t="s">
        <v>73</v>
      </c>
      <c r="B261">
        <v>763</v>
      </c>
      <c r="C261" s="1">
        <f>VLOOKUP($A261,Coordinaten!$A:$C,2,FALSE)</f>
        <v>51.374305</v>
      </c>
      <c r="D261" s="1">
        <f>VLOOKUP($A261,Coordinaten!$A:$C,3,FALSE)</f>
        <v>3.405084</v>
      </c>
      <c r="E261" cm="1">
        <f t="array" ref="E261">WGS842X($C261,$D261)</f>
        <v>17000</v>
      </c>
      <c r="F261" cm="1">
        <f t="array" ref="F261">WGS842Y($C261,$D261)</f>
        <v>378000</v>
      </c>
      <c r="G261" s="1" t="str">
        <f t="shared" si="4"/>
        <v>Cadzand,763,17000,378000</v>
      </c>
    </row>
    <row r="262" spans="1:7" x14ac:dyDescent="0.25">
      <c r="A262" t="s">
        <v>171</v>
      </c>
      <c r="B262">
        <v>764</v>
      </c>
      <c r="C262" s="1">
        <f>VLOOKUP($A262,Coordinaten!$A:$C,2,FALSE)</f>
        <v>51.38317</v>
      </c>
      <c r="D262" s="1">
        <f>VLOOKUP($A262,Coordinaten!$A:$C,3,FALSE)</f>
        <v>4.0224970000000004</v>
      </c>
      <c r="E262" cm="1">
        <f t="array" ref="E262">WGS842X($C262,$D262)</f>
        <v>60000</v>
      </c>
      <c r="F262" cm="1">
        <f t="array" ref="F262">WGS842Y($C262,$D262)</f>
        <v>378000</v>
      </c>
      <c r="G262" s="1" t="str">
        <f t="shared" si="4"/>
        <v>Kloosterzande,764,60000,378000</v>
      </c>
    </row>
    <row r="263" spans="1:7" x14ac:dyDescent="0.25">
      <c r="A263" t="s">
        <v>167</v>
      </c>
      <c r="B263">
        <v>767</v>
      </c>
      <c r="C263" s="1">
        <f>VLOOKUP($A263,Coordinaten!$A:$C,2,FALSE)</f>
        <v>51.257523999999997</v>
      </c>
      <c r="D263" s="1">
        <f>VLOOKUP($A263,Coordinaten!$A:$C,3,FALSE)</f>
        <v>4.0405689999999996</v>
      </c>
      <c r="E263" cm="1">
        <f t="array" ref="E263">WGS842X($C263,$D263)</f>
        <v>61000</v>
      </c>
      <c r="F263" cm="1">
        <f t="array" ref="F263">WGS842Y($C263,$D263)</f>
        <v>364000</v>
      </c>
      <c r="G263" s="1" t="str">
        <f t="shared" si="4"/>
        <v>Kapellebrug,767,61000,364000</v>
      </c>
    </row>
    <row r="264" spans="1:7" x14ac:dyDescent="0.25">
      <c r="A264" t="s">
        <v>20</v>
      </c>
      <c r="B264">
        <v>770</v>
      </c>
      <c r="C264" s="1">
        <f>VLOOKUP($A264,Coordinaten!$A:$C,2,FALSE)</f>
        <v>51.219462</v>
      </c>
      <c r="D264" s="1">
        <f>VLOOKUP($A264,Coordinaten!$A:$C,3,FALSE)</f>
        <v>3.8699029999999999</v>
      </c>
      <c r="E264" cm="1">
        <f t="array" ref="E264">WGS842X($C264,$D264)</f>
        <v>49000</v>
      </c>
      <c r="F264" cm="1">
        <f t="array" ref="F264">WGS842Y($C264,$D264)</f>
        <v>360000</v>
      </c>
      <c r="G264" s="1" t="str">
        <f t="shared" si="4"/>
        <v>Westdorpe,770,49000,360000</v>
      </c>
    </row>
    <row r="265" spans="1:7" x14ac:dyDescent="0.25">
      <c r="A265" t="s">
        <v>288</v>
      </c>
      <c r="B265">
        <v>827</v>
      </c>
      <c r="C265" s="1">
        <f>VLOOKUP($A265,Coordinaten!$A:$C,2,FALSE)</f>
        <v>51.561653999999997</v>
      </c>
      <c r="D265" s="1">
        <f>VLOOKUP($A265,Coordinaten!$A:$C,3,FALSE)</f>
        <v>5.1276219999999997</v>
      </c>
      <c r="E265" cm="1">
        <f t="array" ref="E265">WGS842X($C265,$D265)</f>
        <v>137000</v>
      </c>
      <c r="F265" cm="1">
        <f t="array" ref="F265">WGS842Y($C265,$D265)</f>
        <v>397000</v>
      </c>
      <c r="G265" s="1" t="str">
        <f t="shared" si="4"/>
        <v>Tilburg,827,137000,397000</v>
      </c>
    </row>
    <row r="266" spans="1:7" x14ac:dyDescent="0.25">
      <c r="A266" t="s">
        <v>235</v>
      </c>
      <c r="B266">
        <v>828</v>
      </c>
      <c r="C266" s="1">
        <f>VLOOKUP($A266,Coordinaten!$A:$C,2,FALSE)</f>
        <v>51.576715999999998</v>
      </c>
      <c r="D266" s="1">
        <f>VLOOKUP($A266,Coordinaten!$A:$C,3,FALSE)</f>
        <v>4.5216320000000003</v>
      </c>
      <c r="E266" cm="1">
        <f t="array" ref="E266">WGS842X($C266,$D266)</f>
        <v>95000</v>
      </c>
      <c r="F266" cm="1">
        <f t="array" ref="F266">WGS842Y($C266,$D266)</f>
        <v>399000</v>
      </c>
      <c r="G266" s="1" t="str">
        <f t="shared" si="4"/>
        <v>Oudenbosch,828,95000,399000</v>
      </c>
    </row>
    <row r="267" spans="1:7" x14ac:dyDescent="0.25">
      <c r="A267" t="s">
        <v>336</v>
      </c>
      <c r="B267">
        <v>829</v>
      </c>
      <c r="C267" s="1">
        <f>VLOOKUP($A267,Coordinaten!$A:$C,2,FALSE)</f>
        <v>51.469838000000003</v>
      </c>
      <c r="D267" s="1">
        <f>VLOOKUP($A267,Coordinaten!$A:$C,3,FALSE)</f>
        <v>4.6675909999999998</v>
      </c>
      <c r="E267" cm="1">
        <f t="array" ref="E267">WGS842X($C267,$D267)</f>
        <v>105000</v>
      </c>
      <c r="F267" cm="1">
        <f t="array" ref="F267">WGS842Y($C267,$D267)</f>
        <v>387000</v>
      </c>
      <c r="G267" s="1" t="str">
        <f t="shared" si="4"/>
        <v>Zundert,829,105000,387000</v>
      </c>
    </row>
    <row r="268" spans="1:7" x14ac:dyDescent="0.25">
      <c r="A268" t="s">
        <v>26</v>
      </c>
      <c r="B268">
        <v>830</v>
      </c>
      <c r="C268" s="1">
        <f>VLOOKUP($A268,Coordinaten!$A:$C,2,FALSE)</f>
        <v>51.822378999999998</v>
      </c>
      <c r="D268" s="1">
        <f>VLOOKUP($A268,Coordinaten!$A:$C,3,FALSE)</f>
        <v>5.155132</v>
      </c>
      <c r="E268" cm="1">
        <f t="array" ref="E268">WGS842X($C268,$D268)</f>
        <v>139000</v>
      </c>
      <c r="F268" cm="1">
        <f t="array" ref="F268">WGS842Y($C268,$D268)</f>
        <v>426000</v>
      </c>
      <c r="G268" s="1" t="str">
        <f t="shared" si="4"/>
        <v>Herwijnen,830,139000,426000</v>
      </c>
    </row>
    <row r="269" spans="1:7" x14ac:dyDescent="0.25">
      <c r="A269" t="s">
        <v>116</v>
      </c>
      <c r="B269">
        <v>831</v>
      </c>
      <c r="C269" s="1">
        <f>VLOOKUP($A269,Coordinaten!$A:$C,2,FALSE)</f>
        <v>51.435845</v>
      </c>
      <c r="D269" s="1">
        <f>VLOOKUP($A269,Coordinaten!$A:$C,3,FALSE)</f>
        <v>5.1427199999999997</v>
      </c>
      <c r="E269" cm="1">
        <f t="array" ref="E269">WGS842X($C269,$D269)</f>
        <v>138000</v>
      </c>
      <c r="F269" cm="1">
        <f t="array" ref="F269">WGS842Y($C269,$D269)</f>
        <v>383000</v>
      </c>
      <c r="G269" s="1" t="str">
        <f t="shared" si="4"/>
        <v>Esbeek,831,138000,383000</v>
      </c>
    </row>
    <row r="270" spans="1:7" x14ac:dyDescent="0.25">
      <c r="A270" t="s">
        <v>60</v>
      </c>
      <c r="B270">
        <v>832</v>
      </c>
      <c r="C270" s="1">
        <f>VLOOKUP($A270,Coordinaten!$A:$C,2,FALSE)</f>
        <v>51.502468</v>
      </c>
      <c r="D270" s="1">
        <f>VLOOKUP($A270,Coordinaten!$A:$C,3,FALSE)</f>
        <v>4.2493809999999996</v>
      </c>
      <c r="E270" cm="1">
        <f t="array" ref="E270">WGS842X($C270,$D270)</f>
        <v>76000</v>
      </c>
      <c r="F270" cm="1">
        <f t="array" ref="F270">WGS842Y($C270,$D270)</f>
        <v>391000</v>
      </c>
      <c r="G270" s="1" t="str">
        <f t="shared" si="4"/>
        <v>Bergen op Zoom,832,76000,391000</v>
      </c>
    </row>
    <row r="271" spans="1:7" x14ac:dyDescent="0.25">
      <c r="A271" t="s">
        <v>228</v>
      </c>
      <c r="B271">
        <v>833</v>
      </c>
      <c r="C271" s="1">
        <f>VLOOKUP($A271,Coordinaten!$A:$C,2,FALSE)</f>
        <v>51.641747000000002</v>
      </c>
      <c r="D271" s="1">
        <f>VLOOKUP($A271,Coordinaten!$A:$C,3,FALSE)</f>
        <v>4.8815679999999997</v>
      </c>
      <c r="E271" cm="1">
        <f t="array" ref="E271">WGS842X($C271,$D271)</f>
        <v>120000</v>
      </c>
      <c r="F271" cm="1">
        <f t="array" ref="F271">WGS842Y($C271,$D271)</f>
        <v>406000</v>
      </c>
      <c r="G271" s="1" t="str">
        <f t="shared" si="4"/>
        <v>Oosterhout,833,120000,406000</v>
      </c>
    </row>
    <row r="272" spans="1:7" x14ac:dyDescent="0.25">
      <c r="A272" t="s">
        <v>77</v>
      </c>
      <c r="B272">
        <v>834</v>
      </c>
      <c r="C272" s="1">
        <f>VLOOKUP($A272,Coordinaten!$A:$C,2,FALSE)</f>
        <v>51.506860000000003</v>
      </c>
      <c r="D272" s="1">
        <f>VLOOKUP($A272,Coordinaten!$A:$C,3,FALSE)</f>
        <v>4.8686639999999999</v>
      </c>
      <c r="E272" cm="1">
        <f t="array" ref="E272">WGS842X($C272,$D272)</f>
        <v>119000</v>
      </c>
      <c r="F272" cm="1">
        <f t="array" ref="F272">WGS842Y($C272,$D272)</f>
        <v>391000</v>
      </c>
      <c r="G272" s="1" t="str">
        <f t="shared" si="4"/>
        <v>Chaam,834,119000,391000</v>
      </c>
    </row>
    <row r="273" spans="1:7" x14ac:dyDescent="0.25">
      <c r="A273" t="s">
        <v>45</v>
      </c>
      <c r="B273">
        <v>835</v>
      </c>
      <c r="C273" s="1">
        <f>VLOOKUP($A273,Coordinaten!$A:$C,2,FALSE)</f>
        <v>51.786180999999999</v>
      </c>
      <c r="D273" s="1">
        <f>VLOOKUP($A273,Coordinaten!$A:$C,3,FALSE)</f>
        <v>5.0538670000000003</v>
      </c>
      <c r="E273" cm="1">
        <f t="array" ref="E273">WGS842X($C273,$D273)</f>
        <v>132000</v>
      </c>
      <c r="F273" cm="1">
        <f t="array" ref="F273">WGS842Y($C273,$D273)</f>
        <v>422000</v>
      </c>
      <c r="G273" s="1" t="str">
        <f t="shared" si="4"/>
        <v>Andel,835,132000,422000</v>
      </c>
    </row>
    <row r="274" spans="1:7" x14ac:dyDescent="0.25">
      <c r="A274" t="s">
        <v>130</v>
      </c>
      <c r="B274">
        <v>836</v>
      </c>
      <c r="C274" s="1">
        <f>VLOOKUP($A274,Coordinaten!$A:$C,2,FALSE)</f>
        <v>51.839882000000003</v>
      </c>
      <c r="D274" s="1">
        <f>VLOOKUP($A274,Coordinaten!$A:$C,3,FALSE)</f>
        <v>4.980918</v>
      </c>
      <c r="E274" cm="1">
        <f t="array" ref="E274">WGS842X($C274,$D274)</f>
        <v>127000</v>
      </c>
      <c r="F274" cm="1">
        <f t="array" ref="F274">WGS842Y($C274,$D274)</f>
        <v>428000</v>
      </c>
      <c r="G274" s="1" t="str">
        <f t="shared" si="4"/>
        <v>Gorinchem,836,127000,428000</v>
      </c>
    </row>
    <row r="275" spans="1:7" x14ac:dyDescent="0.25">
      <c r="A275" t="s">
        <v>277</v>
      </c>
      <c r="B275">
        <v>837</v>
      </c>
      <c r="C275" s="1">
        <f>VLOOKUP($A275,Coordinaten!$A:$C,2,FALSE)</f>
        <v>51.593152000000003</v>
      </c>
      <c r="D275" s="1">
        <f>VLOOKUP($A275,Coordinaten!$A:$C,3,FALSE)</f>
        <v>4.3337009999999996</v>
      </c>
      <c r="E275" cm="1">
        <f t="array" ref="E275">WGS842X($C275,$D275)</f>
        <v>82000</v>
      </c>
      <c r="F275" cm="1">
        <f t="array" ref="F275">WGS842Y($C275,$D275)</f>
        <v>401000</v>
      </c>
      <c r="G275" s="1" t="str">
        <f t="shared" si="4"/>
        <v>Steenbergen (Nb),837,82000,401000</v>
      </c>
    </row>
    <row r="276" spans="1:7" x14ac:dyDescent="0.25">
      <c r="A276" t="s">
        <v>128</v>
      </c>
      <c r="B276">
        <v>838</v>
      </c>
      <c r="C276" s="1">
        <f>VLOOKUP($A276,Coordinaten!$A:$C,2,FALSE)</f>
        <v>51.551231999999999</v>
      </c>
      <c r="D276" s="1">
        <f>VLOOKUP($A276,Coordinaten!$A:$C,3,FALSE)</f>
        <v>4.7528119999999996</v>
      </c>
      <c r="E276" cm="1">
        <f t="array" ref="E276">WGS842X($C276,$D276)</f>
        <v>111000</v>
      </c>
      <c r="F276" cm="1">
        <f t="array" ref="F276">WGS842Y($C276,$D276)</f>
        <v>396000</v>
      </c>
      <c r="G276" s="1" t="str">
        <f t="shared" si="4"/>
        <v>Ginneken,838,111000,396000</v>
      </c>
    </row>
    <row r="277" spans="1:7" x14ac:dyDescent="0.25">
      <c r="A277" t="s">
        <v>157</v>
      </c>
      <c r="B277">
        <v>839</v>
      </c>
      <c r="C277" s="1">
        <f>VLOOKUP($A277,Coordinaten!$A:$C,2,FALSE)</f>
        <v>51.431117</v>
      </c>
      <c r="D277" s="1">
        <f>VLOOKUP($A277,Coordinaten!$A:$C,3,FALSE)</f>
        <v>4.3086869999999999</v>
      </c>
      <c r="E277" cm="1">
        <f t="array" ref="E277">WGS842X($C277,$D277)</f>
        <v>80000</v>
      </c>
      <c r="F277" cm="1">
        <f t="array" ref="F277">WGS842Y($C277,$D277)</f>
        <v>383000</v>
      </c>
      <c r="G277" s="1" t="str">
        <f t="shared" si="4"/>
        <v>Hoogerheide,839,80000,383000</v>
      </c>
    </row>
    <row r="278" spans="1:7" x14ac:dyDescent="0.25">
      <c r="A278" t="s">
        <v>211</v>
      </c>
      <c r="B278">
        <v>840</v>
      </c>
      <c r="C278" s="1">
        <f>VLOOKUP($A278,Coordinaten!$A:$C,2,FALSE)</f>
        <v>51.767761999999998</v>
      </c>
      <c r="D278" s="1">
        <f>VLOOKUP($A278,Coordinaten!$A:$C,3,FALSE)</f>
        <v>4.9236190000000004</v>
      </c>
      <c r="E278" cm="1">
        <f t="array" ref="E278">WGS842X($C278,$D278)</f>
        <v>123000</v>
      </c>
      <c r="F278" cm="1">
        <f t="array" ref="F278">WGS842Y($C278,$D278)</f>
        <v>420000</v>
      </c>
      <c r="G278" s="1" t="str">
        <f t="shared" si="4"/>
        <v>Nieuwendijk (Nb),840,123000,420000</v>
      </c>
    </row>
    <row r="279" spans="1:7" x14ac:dyDescent="0.25">
      <c r="A279" t="s">
        <v>172</v>
      </c>
      <c r="B279">
        <v>841</v>
      </c>
      <c r="C279" s="1">
        <f>VLOOKUP($A279,Coordinaten!$A:$C,2,FALSE)</f>
        <v>51.657711999999997</v>
      </c>
      <c r="D279" s="1">
        <f>VLOOKUP($A279,Coordinaten!$A:$C,3,FALSE)</f>
        <v>4.5345370000000003</v>
      </c>
      <c r="E279" cm="1">
        <f t="array" ref="E279">WGS842X($C279,$D279)</f>
        <v>96000</v>
      </c>
      <c r="F279" cm="1">
        <f t="array" ref="F279">WGS842Y($C279,$D279)</f>
        <v>408000</v>
      </c>
      <c r="G279" s="1" t="str">
        <f t="shared" si="4"/>
        <v>Klundert,841,96000,408000</v>
      </c>
    </row>
    <row r="280" spans="1:7" x14ac:dyDescent="0.25">
      <c r="A280" t="s">
        <v>25</v>
      </c>
      <c r="B280">
        <v>843</v>
      </c>
      <c r="C280" s="1">
        <f>VLOOKUP($A280,Coordinaten!$A:$C,2,FALSE)</f>
        <v>51.57002</v>
      </c>
      <c r="D280" s="1">
        <f>VLOOKUP($A280,Coordinaten!$A:$C,3,FALSE)</f>
        <v>4.9256390000000003</v>
      </c>
      <c r="E280" cm="1">
        <f t="array" ref="E280">WGS842X($C280,$D280)</f>
        <v>123000</v>
      </c>
      <c r="F280" cm="1">
        <f t="array" ref="F280">WGS842Y($C280,$D280)</f>
        <v>398000</v>
      </c>
      <c r="G280" s="1" t="str">
        <f t="shared" si="4"/>
        <v>Gilze-Rijen,843,123000,398000</v>
      </c>
    </row>
    <row r="281" spans="1:7" x14ac:dyDescent="0.25">
      <c r="A281" t="s">
        <v>75</v>
      </c>
      <c r="B281">
        <v>844</v>
      </c>
      <c r="C281" s="1">
        <f>VLOOKUP($A281,Coordinaten!$A:$C,2,FALSE)</f>
        <v>51.678094000000002</v>
      </c>
      <c r="D281" s="1">
        <f>VLOOKUP($A281,Coordinaten!$A:$C,3,FALSE)</f>
        <v>4.9823709999999997</v>
      </c>
      <c r="E281" cm="1">
        <f t="array" ref="E281">WGS842X($C281,$D281)</f>
        <v>127000</v>
      </c>
      <c r="F281" cm="1">
        <f t="array" ref="F281">WGS842Y($C281,$D281)</f>
        <v>410000</v>
      </c>
      <c r="G281" s="1" t="str">
        <f t="shared" si="4"/>
        <v>Capelle (Nb),844,127000,410000</v>
      </c>
    </row>
    <row r="282" spans="1:7" x14ac:dyDescent="0.25">
      <c r="A282" t="s">
        <v>266</v>
      </c>
      <c r="B282">
        <v>883</v>
      </c>
      <c r="C282" s="1">
        <f>VLOOKUP($A282,Coordinaten!$A:$C,2,FALSE)</f>
        <v>51.398431000000002</v>
      </c>
      <c r="D282" s="1">
        <f>VLOOKUP($A282,Coordinaten!$A:$C,3,FALSE)</f>
        <v>6.019469</v>
      </c>
      <c r="E282" cm="1">
        <f t="array" ref="E282">WGS842X($C282,$D282)</f>
        <v>199000</v>
      </c>
      <c r="F282" cm="1">
        <f t="array" ref="F282">WGS842Y($C282,$D282)</f>
        <v>379000</v>
      </c>
      <c r="G282" s="1" t="str">
        <f t="shared" si="4"/>
        <v>Sevenum,883,199000,379000</v>
      </c>
    </row>
    <row r="283" spans="1:7" x14ac:dyDescent="0.25">
      <c r="A283" t="s">
        <v>125</v>
      </c>
      <c r="B283">
        <v>892</v>
      </c>
      <c r="C283" s="1">
        <f>VLOOKUP($A283,Coordinaten!$A:$C,2,FALSE)</f>
        <v>51.660587999999997</v>
      </c>
      <c r="D283" s="1">
        <f>VLOOKUP($A283,Coordinaten!$A:$C,3,FALSE)</f>
        <v>5.1559609999999996</v>
      </c>
      <c r="E283" cm="1">
        <f t="array" ref="E283">WGS842X($C283,$D283)</f>
        <v>139000</v>
      </c>
      <c r="F283" cm="1">
        <f t="array" ref="F283">WGS842Y($C283,$D283)</f>
        <v>408000</v>
      </c>
      <c r="G283" s="1" t="str">
        <f t="shared" si="4"/>
        <v>Giersbergen,892,139000,408000</v>
      </c>
    </row>
    <row r="284" spans="1:7" x14ac:dyDescent="0.25">
      <c r="A284" t="s">
        <v>146</v>
      </c>
      <c r="B284">
        <v>896</v>
      </c>
      <c r="C284" s="1">
        <f>VLOOKUP($A284,Coordinaten!$A:$C,2,FALSE)</f>
        <v>51.462867000000003</v>
      </c>
      <c r="D284" s="1">
        <f>VLOOKUP($A284,Coordinaten!$A:$C,3,FALSE)</f>
        <v>5.6030519999999999</v>
      </c>
      <c r="E284" cm="1">
        <f t="array" ref="E284">WGS842X($C284,$D284)</f>
        <v>170000</v>
      </c>
      <c r="F284" cm="1">
        <f t="array" ref="F284">WGS842Y($C284,$D284)</f>
        <v>386000</v>
      </c>
      <c r="G284" s="1" t="str">
        <f t="shared" si="4"/>
        <v>Helmond,896,170000,386000</v>
      </c>
    </row>
    <row r="285" spans="1:7" x14ac:dyDescent="0.25">
      <c r="A285" t="s">
        <v>299</v>
      </c>
      <c r="B285">
        <v>897</v>
      </c>
      <c r="C285" s="1">
        <f>VLOOKUP($A285,Coordinaten!$A:$C,2,FALSE)</f>
        <v>51.352428000000003</v>
      </c>
      <c r="D285" s="1">
        <f>VLOOKUP($A285,Coordinaten!$A:$C,3,FALSE)</f>
        <v>6.1910990000000004</v>
      </c>
      <c r="E285" cm="1">
        <f t="array" ref="E285">WGS842X($C285,$D285)</f>
        <v>211000</v>
      </c>
      <c r="F285" cm="1">
        <f t="array" ref="F285">WGS842Y($C285,$D285)</f>
        <v>374000</v>
      </c>
      <c r="G285" s="1" t="str">
        <f t="shared" si="4"/>
        <v>Venlo,897,211000,374000</v>
      </c>
    </row>
    <row r="286" spans="1:7" x14ac:dyDescent="0.25">
      <c r="A286" t="s">
        <v>123</v>
      </c>
      <c r="B286">
        <v>899</v>
      </c>
      <c r="C286" s="1">
        <f>VLOOKUP($A286,Coordinaten!$A:$C,2,FALSE)</f>
        <v>51.543608999999996</v>
      </c>
      <c r="D286" s="1">
        <f>VLOOKUP($A286,Coordinaten!$A:$C,3,FALSE)</f>
        <v>5.6755129999999996</v>
      </c>
      <c r="E286" cm="1">
        <f t="array" ref="E286">WGS842X($C286,$D286)</f>
        <v>175000</v>
      </c>
      <c r="F286" cm="1">
        <f t="array" ref="F286">WGS842Y($C286,$D286)</f>
        <v>395000</v>
      </c>
      <c r="G286" s="1" t="str">
        <f t="shared" si="4"/>
        <v>Gemert,899,175000,395000</v>
      </c>
    </row>
    <row r="287" spans="1:7" x14ac:dyDescent="0.25">
      <c r="A287" t="s">
        <v>218</v>
      </c>
      <c r="B287">
        <v>901</v>
      </c>
      <c r="C287" s="1">
        <f>VLOOKUP($A287,Coordinaten!$A:$C,2,FALSE)</f>
        <v>51.723731999999998</v>
      </c>
      <c r="D287" s="1">
        <f>VLOOKUP($A287,Coordinaten!$A:$C,3,FALSE)</f>
        <v>5.41615</v>
      </c>
      <c r="E287" cm="1">
        <f t="array" ref="E287">WGS842X($C287,$D287)</f>
        <v>157000</v>
      </c>
      <c r="F287" cm="1">
        <f t="array" ref="F287">WGS842Y($C287,$D287)</f>
        <v>415000</v>
      </c>
      <c r="G287" s="1" t="str">
        <f t="shared" si="4"/>
        <v>Nuland,901,157000,415000</v>
      </c>
    </row>
    <row r="288" spans="1:7" x14ac:dyDescent="0.25">
      <c r="A288" t="s">
        <v>202</v>
      </c>
      <c r="B288">
        <v>903</v>
      </c>
      <c r="C288" s="1">
        <f>VLOOKUP($A288,Coordinaten!$A:$C,2,FALSE)</f>
        <v>51.822479000000001</v>
      </c>
      <c r="D288" s="1">
        <f>VLOOKUP($A288,Coordinaten!$A:$C,3,FALSE)</f>
        <v>5.5612599999999999</v>
      </c>
      <c r="E288" cm="1">
        <f t="array" ref="E288">WGS842X($C288,$D288)</f>
        <v>167000</v>
      </c>
      <c r="F288" cm="1">
        <f t="array" ref="F288">WGS842Y($C288,$D288)</f>
        <v>426000</v>
      </c>
      <c r="G288" s="1" t="str">
        <f t="shared" si="4"/>
        <v>Megen,903,167000,426000</v>
      </c>
    </row>
    <row r="289" spans="1:7" x14ac:dyDescent="0.25">
      <c r="A289" t="s">
        <v>271</v>
      </c>
      <c r="B289">
        <v>904</v>
      </c>
      <c r="C289" s="1">
        <f>VLOOKUP($A289,Coordinaten!$A:$C,2,FALSE)</f>
        <v>51.399754999999999</v>
      </c>
      <c r="D289" s="1">
        <f>VLOOKUP($A289,Coordinaten!$A:$C,3,FALSE)</f>
        <v>5.6889729999999998</v>
      </c>
      <c r="E289" cm="1">
        <f t="array" ref="E289">WGS842X($C289,$D289)</f>
        <v>176000</v>
      </c>
      <c r="F289" cm="1">
        <f t="array" ref="F289">WGS842Y($C289,$D289)</f>
        <v>379000</v>
      </c>
      <c r="G289" s="1" t="str">
        <f t="shared" si="4"/>
        <v>Someren,904,176000,379000</v>
      </c>
    </row>
    <row r="290" spans="1:7" x14ac:dyDescent="0.25">
      <c r="A290" t="s">
        <v>274</v>
      </c>
      <c r="B290">
        <v>905</v>
      </c>
      <c r="C290" s="1">
        <f>VLOOKUP($A290,Coordinaten!$A:$C,2,FALSE)</f>
        <v>51.632818999999998</v>
      </c>
      <c r="D290" s="1">
        <f>VLOOKUP($A290,Coordinaten!$A:$C,3,FALSE)</f>
        <v>5.8782969999999999</v>
      </c>
      <c r="E290" cm="1">
        <f t="array" ref="E290">WGS842X($C290,$D290)</f>
        <v>189000</v>
      </c>
      <c r="F290" cm="1">
        <f t="array" ref="F290">WGS842Y($C290,$D290)</f>
        <v>405000</v>
      </c>
      <c r="G290" s="1" t="str">
        <f t="shared" si="4"/>
        <v>St Anthonis,905,189000,405000</v>
      </c>
    </row>
    <row r="291" spans="1:7" x14ac:dyDescent="0.25">
      <c r="A291" t="s">
        <v>221</v>
      </c>
      <c r="B291">
        <v>906</v>
      </c>
      <c r="C291" s="1">
        <f>VLOOKUP($A291,Coordinaten!$A:$C,2,FALSE)</f>
        <v>51.507995999999999</v>
      </c>
      <c r="D291" s="1">
        <f>VLOOKUP($A291,Coordinaten!$A:$C,3,FALSE)</f>
        <v>5.3295870000000001</v>
      </c>
      <c r="E291" cm="1">
        <f t="array" ref="E291">WGS842X($C291,$D291)</f>
        <v>151000</v>
      </c>
      <c r="F291" cm="1">
        <f t="array" ref="F291">WGS842Y($C291,$D291)</f>
        <v>391000</v>
      </c>
      <c r="G291" s="1" t="str">
        <f t="shared" si="4"/>
        <v>Oirschot,906,151000,391000</v>
      </c>
    </row>
    <row r="292" spans="1:7" x14ac:dyDescent="0.25">
      <c r="A292" t="s">
        <v>68</v>
      </c>
      <c r="B292">
        <v>907</v>
      </c>
      <c r="C292" s="1">
        <f>VLOOKUP($A292,Coordinaten!$A:$C,2,FALSE)</f>
        <v>51.579904999999997</v>
      </c>
      <c r="D292" s="1">
        <f>VLOOKUP($A292,Coordinaten!$A:$C,3,FALSE)</f>
        <v>5.3294959999999998</v>
      </c>
      <c r="E292" cm="1">
        <f t="array" ref="E292">WGS842X($C292,$D292)</f>
        <v>151000</v>
      </c>
      <c r="F292" cm="1">
        <f t="array" ref="F292">WGS842Y($C292,$D292)</f>
        <v>399000</v>
      </c>
      <c r="G292" s="1" t="str">
        <f t="shared" si="4"/>
        <v>Boxtel,907,151000,399000</v>
      </c>
    </row>
    <row r="293" spans="1:7" x14ac:dyDescent="0.25">
      <c r="A293" t="s">
        <v>89</v>
      </c>
      <c r="B293">
        <v>908</v>
      </c>
      <c r="C293" s="1">
        <f>VLOOKUP($A293,Coordinaten!$A:$C,2,FALSE)</f>
        <v>51.453431000000002</v>
      </c>
      <c r="D293" s="1">
        <f>VLOOKUP($A293,Coordinaten!$A:$C,3,FALSE)</f>
        <v>5.7756509999999999</v>
      </c>
      <c r="E293" cm="1">
        <f t="array" ref="E293">WGS842X($C293,$D293)</f>
        <v>182000</v>
      </c>
      <c r="F293" cm="1">
        <f t="array" ref="F293">WGS842Y($C293,$D293)</f>
        <v>385000</v>
      </c>
      <c r="G293" s="1" t="str">
        <f t="shared" si="4"/>
        <v>Deurne,908,182000,385000</v>
      </c>
    </row>
    <row r="294" spans="1:7" x14ac:dyDescent="0.25">
      <c r="A294" t="s">
        <v>205</v>
      </c>
      <c r="B294">
        <v>909</v>
      </c>
      <c r="C294" s="1">
        <f>VLOOKUP($A294,Coordinaten!$A:$C,2,FALSE)</f>
        <v>51.678092999999997</v>
      </c>
      <c r="D294" s="1">
        <f>VLOOKUP($A294,Coordinaten!$A:$C,3,FALSE)</f>
        <v>5.7920369999999997</v>
      </c>
      <c r="E294" cm="1">
        <f t="array" ref="E294">WGS842X($C294,$D294)</f>
        <v>183000</v>
      </c>
      <c r="F294" cm="1">
        <f t="array" ref="F294">WGS842Y($C294,$D294)</f>
        <v>410000</v>
      </c>
      <c r="G294" s="1" t="str">
        <f t="shared" si="4"/>
        <v>Mill,909,183000,410000</v>
      </c>
    </row>
    <row r="295" spans="1:7" x14ac:dyDescent="0.25">
      <c r="A295" t="s">
        <v>43</v>
      </c>
      <c r="B295">
        <v>910</v>
      </c>
      <c r="C295" s="1">
        <f>VLOOKUP($A295,Coordinaten!$A:$C,2,FALSE)</f>
        <v>51.750571999999998</v>
      </c>
      <c r="D295" s="1">
        <f>VLOOKUP($A295,Coordinaten!$A:$C,3,FALSE)</f>
        <v>5.2134270000000003</v>
      </c>
      <c r="E295" cm="1">
        <f t="array" ref="E295">WGS842X($C295,$D295)</f>
        <v>143000</v>
      </c>
      <c r="F295" cm="1">
        <f t="array" ref="F295">WGS842Y($C295,$D295)</f>
        <v>418000</v>
      </c>
      <c r="G295" s="1" t="str">
        <f t="shared" si="4"/>
        <v>Ammerzoden,910,143000,418000</v>
      </c>
    </row>
    <row r="296" spans="1:7" x14ac:dyDescent="0.25">
      <c r="A296" t="s">
        <v>91</v>
      </c>
      <c r="B296">
        <v>911</v>
      </c>
      <c r="C296" s="1">
        <f>VLOOKUP($A296,Coordinaten!$A:$C,2,FALSE)</f>
        <v>51.642795</v>
      </c>
      <c r="D296" s="1">
        <f>VLOOKUP($A296,Coordinaten!$A:$C,3,FALSE)</f>
        <v>5.4883329999999999</v>
      </c>
      <c r="E296" cm="1">
        <f t="array" ref="E296">WGS842X($C296,$D296)</f>
        <v>162000</v>
      </c>
      <c r="F296" cm="1">
        <f t="array" ref="F296">WGS842Y($C296,$D296)</f>
        <v>406000</v>
      </c>
      <c r="G296" s="1" t="str">
        <f t="shared" si="4"/>
        <v>Dinther,911,162000,406000</v>
      </c>
    </row>
    <row r="297" spans="1:7" x14ac:dyDescent="0.25">
      <c r="A297" t="s">
        <v>184</v>
      </c>
      <c r="B297">
        <v>912</v>
      </c>
      <c r="C297" s="1">
        <f>VLOOKUP($A297,Coordinaten!$A:$C,2,FALSE)</f>
        <v>51.328147999999999</v>
      </c>
      <c r="D297" s="1">
        <f>VLOOKUP($A297,Coordinaten!$A:$C,3,FALSE)</f>
        <v>5.530678</v>
      </c>
      <c r="E297" cm="1">
        <f t="array" ref="E297">WGS842X($C297,$D297)</f>
        <v>165000</v>
      </c>
      <c r="F297" cm="1">
        <f t="array" ref="F297">WGS842Y($C297,$D297)</f>
        <v>371000</v>
      </c>
      <c r="G297" s="1" t="str">
        <f t="shared" si="4"/>
        <v>Leende,912,165000,371000</v>
      </c>
    </row>
    <row r="298" spans="1:7" x14ac:dyDescent="0.25">
      <c r="A298" t="s">
        <v>164</v>
      </c>
      <c r="B298">
        <v>913</v>
      </c>
      <c r="C298" s="1">
        <f>VLOOKUP($A298,Coordinaten!$A:$C,2,FALSE)</f>
        <v>51.488945000000001</v>
      </c>
      <c r="D298" s="1">
        <f>VLOOKUP($A298,Coordinaten!$A:$C,3,FALSE)</f>
        <v>5.8911410000000002</v>
      </c>
      <c r="E298" cm="1">
        <f t="array" ref="E298">WGS842X($C298,$D298)</f>
        <v>190000</v>
      </c>
      <c r="F298" cm="1">
        <f t="array" ref="F298">WGS842Y($C298,$D298)</f>
        <v>389000</v>
      </c>
      <c r="G298" s="1" t="str">
        <f t="shared" si="4"/>
        <v>IJsselsteyn (L),913,190000,389000</v>
      </c>
    </row>
    <row r="299" spans="1:7" x14ac:dyDescent="0.25">
      <c r="A299" t="s">
        <v>231</v>
      </c>
      <c r="B299">
        <v>914</v>
      </c>
      <c r="C299" s="1">
        <f>VLOOKUP($A299,Coordinaten!$A:$C,2,FALSE)</f>
        <v>51.759599999999999</v>
      </c>
      <c r="D299" s="1">
        <f>VLOOKUP($A299,Coordinaten!$A:$C,3,FALSE)</f>
        <v>5.5320479999999996</v>
      </c>
      <c r="E299" cm="1">
        <f t="array" ref="E299">WGS842X($C299,$D299)</f>
        <v>165000</v>
      </c>
      <c r="F299" cm="1">
        <f t="array" ref="F299">WGS842Y($C299,$D299)</f>
        <v>419000</v>
      </c>
      <c r="G299" s="1" t="str">
        <f t="shared" si="4"/>
        <v>Oss,914,165000,419000</v>
      </c>
    </row>
    <row r="300" spans="1:7" x14ac:dyDescent="0.25">
      <c r="A300" t="s">
        <v>106</v>
      </c>
      <c r="B300">
        <v>915</v>
      </c>
      <c r="C300" s="1">
        <f>VLOOKUP($A300,Coordinaten!$A:$C,2,FALSE)</f>
        <v>51.346142999999998</v>
      </c>
      <c r="D300" s="1">
        <f>VLOOKUP($A300,Coordinaten!$A:$C,3,FALSE)</f>
        <v>5.2580249999999999</v>
      </c>
      <c r="E300" cm="1">
        <f t="array" ref="E300">WGS842X($C300,$D300)</f>
        <v>146000</v>
      </c>
      <c r="F300" cm="1">
        <f t="array" ref="F300">WGS842Y($C300,$D300)</f>
        <v>373000</v>
      </c>
      <c r="G300" s="1" t="str">
        <f t="shared" si="4"/>
        <v>Eersel,915,146000,373000</v>
      </c>
    </row>
    <row r="301" spans="1:7" x14ac:dyDescent="0.25">
      <c r="A301" t="s">
        <v>327</v>
      </c>
      <c r="B301">
        <v>917</v>
      </c>
      <c r="C301" s="1">
        <f>VLOOKUP($A301,Coordinaten!$A:$C,2,FALSE)</f>
        <v>51.795586</v>
      </c>
      <c r="D301" s="1">
        <f>VLOOKUP($A301,Coordinaten!$A:$C,3,FALSE)</f>
        <v>5.2712370000000002</v>
      </c>
      <c r="E301" cm="1">
        <f t="array" ref="E301">WGS842X($C301,$D301)</f>
        <v>147000</v>
      </c>
      <c r="F301" cm="1">
        <f t="array" ref="F301">WGS842Y($C301,$D301)</f>
        <v>423000</v>
      </c>
      <c r="G301" s="1" t="str">
        <f t="shared" si="4"/>
        <v>Zaltbommel,917,147000,423000</v>
      </c>
    </row>
    <row r="302" spans="1:7" x14ac:dyDescent="0.25">
      <c r="A302" t="s">
        <v>195</v>
      </c>
      <c r="B302">
        <v>918</v>
      </c>
      <c r="C302" s="1">
        <f>VLOOKUP($A302,Coordinaten!$A:$C,2,FALSE)</f>
        <v>51.310085999999998</v>
      </c>
      <c r="D302" s="1">
        <f>VLOOKUP($A302,Coordinaten!$A:$C,3,FALSE)</f>
        <v>5.5879880000000002</v>
      </c>
      <c r="E302" cm="1">
        <f t="array" ref="E302">WGS842X($C302,$D302)</f>
        <v>169000</v>
      </c>
      <c r="F302" cm="1">
        <f t="array" ref="F302">WGS842Y($C302,$D302)</f>
        <v>369000</v>
      </c>
      <c r="G302" s="1" t="str">
        <f t="shared" si="4"/>
        <v>Maarheeze,918,169000,369000</v>
      </c>
    </row>
    <row r="303" spans="1:7" x14ac:dyDescent="0.25">
      <c r="A303" t="s">
        <v>27</v>
      </c>
      <c r="B303">
        <v>919</v>
      </c>
      <c r="C303" s="1">
        <f>VLOOKUP($A303,Coordinaten!$A:$C,2,FALSE)</f>
        <v>51.445086000000003</v>
      </c>
      <c r="D303" s="1">
        <f>VLOOKUP($A303,Coordinaten!$A:$C,3,FALSE)</f>
        <v>5.415972</v>
      </c>
      <c r="E303" cm="1">
        <f t="array" ref="E303">WGS842X($C303,$D303)</f>
        <v>157000</v>
      </c>
      <c r="F303" cm="1">
        <f t="array" ref="F303">WGS842Y($C303,$D303)</f>
        <v>384000</v>
      </c>
      <c r="G303" s="1" t="str">
        <f t="shared" si="4"/>
        <v>Eindhoven (Vb),919,157000,384000</v>
      </c>
    </row>
    <row r="304" spans="1:7" x14ac:dyDescent="0.25">
      <c r="A304" t="s">
        <v>28</v>
      </c>
      <c r="B304">
        <v>920</v>
      </c>
      <c r="C304" s="1">
        <f>VLOOKUP($A304,Coordinaten!$A:$C,2,FALSE)</f>
        <v>51.660384000000001</v>
      </c>
      <c r="D304" s="1">
        <f>VLOOKUP($A304,Coordinaten!$A:$C,3,FALSE)</f>
        <v>5.7051619999999996</v>
      </c>
      <c r="E304" cm="1">
        <f t="array" ref="E304">WGS842X($C304,$D304)</f>
        <v>177000</v>
      </c>
      <c r="F304" cm="1">
        <f t="array" ref="F304">WGS842Y($C304,$D304)</f>
        <v>408000</v>
      </c>
      <c r="G304" s="1" t="str">
        <f t="shared" si="4"/>
        <v>Volkel,920,177000,408000</v>
      </c>
    </row>
    <row r="305" spans="1:7" x14ac:dyDescent="0.25">
      <c r="A305" t="s">
        <v>300</v>
      </c>
      <c r="B305">
        <v>921</v>
      </c>
      <c r="C305" s="1">
        <f>VLOOKUP($A305,Coordinaten!$A:$C,2,FALSE)</f>
        <v>51.515431</v>
      </c>
      <c r="D305" s="1">
        <f>VLOOKUP($A305,Coordinaten!$A:$C,3,FALSE)</f>
        <v>5.9922820000000003</v>
      </c>
      <c r="E305" cm="1">
        <f t="array" ref="E305">WGS842X($C305,$D305)</f>
        <v>197000</v>
      </c>
      <c r="F305" cm="1">
        <f t="array" ref="F305">WGS842Y($C305,$D305)</f>
        <v>392000</v>
      </c>
      <c r="G305" s="1" t="str">
        <f t="shared" si="4"/>
        <v>Venray,921,197000,392000</v>
      </c>
    </row>
    <row r="306" spans="1:7" x14ac:dyDescent="0.25">
      <c r="A306" t="s">
        <v>267</v>
      </c>
      <c r="B306">
        <v>922</v>
      </c>
      <c r="C306" s="1">
        <f>VLOOKUP($A306,Coordinaten!$A:$C,2,FALSE)</f>
        <v>51.658673</v>
      </c>
      <c r="D306" s="1">
        <f>VLOOKUP($A306,Coordinaten!$A:$C,3,FALSE)</f>
        <v>6.0953629999999999</v>
      </c>
      <c r="E306" cm="1">
        <f t="array" ref="E306">WGS842X($C306,$D306)</f>
        <v>204000</v>
      </c>
      <c r="F306" cm="1">
        <f t="array" ref="F306">WGS842Y($C306,$D306)</f>
        <v>408000</v>
      </c>
      <c r="G306" s="1" t="str">
        <f t="shared" si="4"/>
        <v>Siebengewald,922,204000,408000</v>
      </c>
    </row>
    <row r="307" spans="1:7" x14ac:dyDescent="0.25">
      <c r="A307" t="s">
        <v>31</v>
      </c>
      <c r="B307">
        <v>923</v>
      </c>
      <c r="C307" s="1">
        <f>VLOOKUP($A307,Coordinaten!$A:$C,2,FALSE)</f>
        <v>51.478358</v>
      </c>
      <c r="D307" s="1">
        <f>VLOOKUP($A307,Coordinaten!$A:$C,3,FALSE)</f>
        <v>6.1789269999999998</v>
      </c>
      <c r="E307" cm="1">
        <f t="array" ref="E307">WGS842X($C307,$D307)</f>
        <v>210000</v>
      </c>
      <c r="F307" cm="1">
        <f t="array" ref="F307">WGS842Y($C307,$D307)</f>
        <v>388000</v>
      </c>
      <c r="G307" s="1" t="str">
        <f t="shared" si="4"/>
        <v>Arcen,923,210000,388000</v>
      </c>
    </row>
    <row r="308" spans="1:7" x14ac:dyDescent="0.25">
      <c r="A308" t="s">
        <v>308</v>
      </c>
      <c r="B308">
        <v>926</v>
      </c>
      <c r="C308" s="1">
        <f>VLOOKUP($A308,Coordinaten!$A:$C,2,FALSE)</f>
        <v>51.364176999999998</v>
      </c>
      <c r="D308" s="1">
        <f>VLOOKUP($A308,Coordinaten!$A:$C,3,FALSE)</f>
        <v>5.4446380000000003</v>
      </c>
      <c r="E308" cm="1">
        <f t="array" ref="E308">WGS842X($C308,$D308)</f>
        <v>159000</v>
      </c>
      <c r="F308" cm="1">
        <f t="array" ref="F308">WGS842Y($C308,$D308)</f>
        <v>375000</v>
      </c>
      <c r="G308" s="1" t="str">
        <f t="shared" si="4"/>
        <v>Waalre,926,159000,375000</v>
      </c>
    </row>
    <row r="309" spans="1:7" x14ac:dyDescent="0.25">
      <c r="A309" t="s">
        <v>251</v>
      </c>
      <c r="B309">
        <v>961</v>
      </c>
      <c r="C309" s="1">
        <f>VLOOKUP($A309,Coordinaten!$A:$C,2,FALSE)</f>
        <v>51.183008000000001</v>
      </c>
      <c r="D309" s="1">
        <f>VLOOKUP($A309,Coordinaten!$A:$C,3,FALSE)</f>
        <v>5.9592890000000001</v>
      </c>
      <c r="E309" cm="1">
        <f t="array" ref="E309">WGS842X($C309,$D309)</f>
        <v>195000</v>
      </c>
      <c r="F309" cm="1">
        <f t="array" ref="F309">WGS842Y($C309,$D309)</f>
        <v>355000</v>
      </c>
      <c r="G309" s="1" t="str">
        <f t="shared" si="4"/>
        <v>Roermond,961,195000,355000</v>
      </c>
    </row>
    <row r="310" spans="1:7" x14ac:dyDescent="0.25">
      <c r="A310" t="s">
        <v>291</v>
      </c>
      <c r="B310">
        <v>962</v>
      </c>
      <c r="C310" s="1">
        <f>VLOOKUP($A310,Coordinaten!$A:$C,2,FALSE)</f>
        <v>50.850636999999999</v>
      </c>
      <c r="D310" s="1">
        <f>VLOOKUP($A310,Coordinaten!$A:$C,3,FALSE)</f>
        <v>5.9125810000000003</v>
      </c>
      <c r="E310" cm="1">
        <f t="array" ref="E310">WGS842X($C310,$D310)</f>
        <v>192000</v>
      </c>
      <c r="F310" cm="1">
        <f t="array" ref="F310">WGS842Y($C310,$D310)</f>
        <v>318000</v>
      </c>
      <c r="G310" s="1" t="str">
        <f t="shared" si="4"/>
        <v>Ubachsberg,962,192000,318000</v>
      </c>
    </row>
    <row r="311" spans="1:7" x14ac:dyDescent="0.25">
      <c r="A311" t="s">
        <v>295</v>
      </c>
      <c r="B311">
        <v>963</v>
      </c>
      <c r="C311" s="1">
        <f>VLOOKUP($A311,Coordinaten!$A:$C,2,FALSE)</f>
        <v>50.859926999999999</v>
      </c>
      <c r="D311" s="1">
        <f>VLOOKUP($A311,Coordinaten!$A:$C,3,FALSE)</f>
        <v>5.8416740000000003</v>
      </c>
      <c r="E311" cm="1">
        <f t="array" ref="E311">WGS842X($C311,$D311)</f>
        <v>187000</v>
      </c>
      <c r="F311" cm="1">
        <f t="array" ref="F311">WGS842Y($C311,$D311)</f>
        <v>319000</v>
      </c>
      <c r="G311" s="1" t="str">
        <f t="shared" si="4"/>
        <v>Valkenburg (L),963,187000,319000</v>
      </c>
    </row>
    <row r="312" spans="1:7" x14ac:dyDescent="0.25">
      <c r="A312" t="s">
        <v>313</v>
      </c>
      <c r="B312">
        <v>964</v>
      </c>
      <c r="C312" s="1">
        <f>VLOOKUP($A312,Coordinaten!$A:$C,2,FALSE)</f>
        <v>51.255898999999999</v>
      </c>
      <c r="D312" s="1">
        <f>VLOOKUP($A312,Coordinaten!$A:$C,3,FALSE)</f>
        <v>5.7023489999999999</v>
      </c>
      <c r="E312" cm="1">
        <f t="array" ref="E312">WGS842X($C312,$D312)</f>
        <v>177000</v>
      </c>
      <c r="F312" cm="1">
        <f t="array" ref="F312">WGS842Y($C312,$D312)</f>
        <v>363000</v>
      </c>
      <c r="G312" s="1" t="str">
        <f t="shared" si="4"/>
        <v>Weert,964,177000,363000</v>
      </c>
    </row>
    <row r="313" spans="1:7" x14ac:dyDescent="0.25">
      <c r="A313" t="s">
        <v>256</v>
      </c>
      <c r="B313">
        <v>965</v>
      </c>
      <c r="C313" s="1">
        <f>VLOOKUP($A313,Coordinaten!$A:$C,2,FALSE)</f>
        <v>50.895007</v>
      </c>
      <c r="D313" s="1">
        <f>VLOOKUP($A313,Coordinaten!$A:$C,3,FALSE)</f>
        <v>6.0267910000000002</v>
      </c>
      <c r="E313" cm="1">
        <f t="array" ref="E313">WGS842X($C313,$D313)</f>
        <v>200000</v>
      </c>
      <c r="F313" cm="1">
        <f t="array" ref="F313">WGS842Y($C313,$D313)</f>
        <v>323000</v>
      </c>
      <c r="G313" s="1" t="str">
        <f t="shared" si="4"/>
        <v>Schaesberg,965,200000,323000</v>
      </c>
    </row>
    <row r="314" spans="1:7" x14ac:dyDescent="0.25">
      <c r="A314" t="s">
        <v>261</v>
      </c>
      <c r="B314">
        <v>966</v>
      </c>
      <c r="C314" s="1">
        <f>VLOOKUP($A314,Coordinaten!$A:$C,2,FALSE)</f>
        <v>50.931719999999999</v>
      </c>
      <c r="D314" s="1">
        <f>VLOOKUP($A314,Coordinaten!$A:$C,3,FALSE)</f>
        <v>5.8708289999999996</v>
      </c>
      <c r="E314" cm="1">
        <f t="array" ref="E314">WGS842X($C314,$D314)</f>
        <v>189000</v>
      </c>
      <c r="F314" cm="1">
        <f t="array" ref="F314">WGS842Y($C314,$D314)</f>
        <v>327000</v>
      </c>
      <c r="G314" s="1" t="str">
        <f t="shared" si="4"/>
        <v>Schinnen,966,189000,327000</v>
      </c>
    </row>
    <row r="315" spans="1:7" x14ac:dyDescent="0.25">
      <c r="A315" t="s">
        <v>143</v>
      </c>
      <c r="B315">
        <v>967</v>
      </c>
      <c r="C315" s="1">
        <f>VLOOKUP($A315,Coordinaten!$A:$C,2,FALSE)</f>
        <v>51.291200000000003</v>
      </c>
      <c r="D315" s="1">
        <f>VLOOKUP($A315,Coordinaten!$A:$C,3,FALSE)</f>
        <v>5.8889610000000001</v>
      </c>
      <c r="E315" cm="1">
        <f t="array" ref="E315">WGS842X($C315,$D315)</f>
        <v>190000</v>
      </c>
      <c r="F315" cm="1">
        <f t="array" ref="F315">WGS842Y($C315,$D315)</f>
        <v>367000</v>
      </c>
      <c r="G315" s="1" t="str">
        <f t="shared" si="4"/>
        <v>Heibloem (L),967,190000,367000</v>
      </c>
    </row>
    <row r="316" spans="1:7" x14ac:dyDescent="0.25">
      <c r="A316" t="s">
        <v>293</v>
      </c>
      <c r="B316">
        <v>968</v>
      </c>
      <c r="C316" s="1">
        <f>VLOOKUP($A316,Coordinaten!$A:$C,2,FALSE)</f>
        <v>50.778236</v>
      </c>
      <c r="D316" s="1">
        <f>VLOOKUP($A316,Coordinaten!$A:$C,3,FALSE)</f>
        <v>6.0110039999999998</v>
      </c>
      <c r="E316" cm="1">
        <f t="array" ref="E316">WGS842X($C316,$D316)</f>
        <v>199000</v>
      </c>
      <c r="F316" cm="1">
        <f t="array" ref="F316">WGS842Y($C316,$D316)</f>
        <v>310000</v>
      </c>
      <c r="G316" s="1" t="str">
        <f t="shared" si="4"/>
        <v>Vaals,968,199000,310000</v>
      </c>
    </row>
    <row r="317" spans="1:7" x14ac:dyDescent="0.25">
      <c r="A317" t="s">
        <v>279</v>
      </c>
      <c r="B317">
        <v>969</v>
      </c>
      <c r="C317" s="1">
        <f>VLOOKUP($A317,Coordinaten!$A:$C,2,FALSE)</f>
        <v>50.968094000000001</v>
      </c>
      <c r="D317" s="1">
        <f>VLOOKUP($A317,Coordinaten!$A:$C,3,FALSE)</f>
        <v>5.7573249999999998</v>
      </c>
      <c r="E317" cm="1">
        <f t="array" ref="E317">WGS842X($C317,$D317)</f>
        <v>181000</v>
      </c>
      <c r="F317" cm="1">
        <f t="array" ref="F317">WGS842Y($C317,$D317)</f>
        <v>331000</v>
      </c>
      <c r="G317" s="1" t="str">
        <f t="shared" si="4"/>
        <v>Stein (L),969,181000,331000</v>
      </c>
    </row>
    <row r="318" spans="1:7" x14ac:dyDescent="0.25">
      <c r="A318" t="s">
        <v>280</v>
      </c>
      <c r="B318">
        <v>970</v>
      </c>
      <c r="C318" s="1">
        <f>VLOOKUP($A318,Coordinaten!$A:$C,2,FALSE)</f>
        <v>51.183951</v>
      </c>
      <c r="D318" s="1">
        <f>VLOOKUP($A318,Coordinaten!$A:$C,3,FALSE)</f>
        <v>5.7161580000000001</v>
      </c>
      <c r="E318" cm="1">
        <f t="array" ref="E318">WGS842X($C318,$D318)</f>
        <v>178000</v>
      </c>
      <c r="F318" cm="1">
        <f t="array" ref="F318">WGS842Y($C318,$D318)</f>
        <v>355000</v>
      </c>
      <c r="G318" s="1" t="str">
        <f t="shared" si="4"/>
        <v>Stramproy,970,178000,355000</v>
      </c>
    </row>
    <row r="319" spans="1:7" x14ac:dyDescent="0.25">
      <c r="A319" t="s">
        <v>216</v>
      </c>
      <c r="B319">
        <v>971</v>
      </c>
      <c r="C319" s="1">
        <f>VLOOKUP($A319,Coordinaten!$A:$C,2,FALSE)</f>
        <v>50.770149000000004</v>
      </c>
      <c r="D319" s="1">
        <f>VLOOKUP($A319,Coordinaten!$A:$C,3,FALSE)</f>
        <v>5.8124450000000003</v>
      </c>
      <c r="E319" cm="1">
        <f t="array" ref="E319">WGS842X($C319,$D319)</f>
        <v>185000</v>
      </c>
      <c r="F319" cm="1">
        <f t="array" ref="F319">WGS842Y($C319,$D319)</f>
        <v>309000</v>
      </c>
      <c r="G319" s="1" t="str">
        <f t="shared" si="4"/>
        <v>Noorbeek,971,185000,309000</v>
      </c>
    </row>
    <row r="320" spans="1:7" x14ac:dyDescent="0.25">
      <c r="A320" t="s">
        <v>56</v>
      </c>
      <c r="B320">
        <v>973</v>
      </c>
      <c r="C320" s="1">
        <f>VLOOKUP($A320,Coordinaten!$A:$C,2,FALSE)</f>
        <v>50.922955000000002</v>
      </c>
      <c r="D320" s="1">
        <f>VLOOKUP($A320,Coordinaten!$A:$C,3,FALSE)</f>
        <v>5.8138500000000004</v>
      </c>
      <c r="E320" cm="1">
        <f t="array" ref="E320">WGS842X($C320,$D320)</f>
        <v>185000</v>
      </c>
      <c r="F320" cm="1">
        <f t="array" ref="F320">WGS842Y($C320,$D320)</f>
        <v>326000</v>
      </c>
      <c r="G320" s="1" t="str">
        <f t="shared" si="4"/>
        <v>Beek,973,185000,326000</v>
      </c>
    </row>
    <row r="321" spans="1:7" x14ac:dyDescent="0.25">
      <c r="A321" t="s">
        <v>72</v>
      </c>
      <c r="B321">
        <v>974</v>
      </c>
      <c r="C321" s="1">
        <f>VLOOKUP($A321,Coordinaten!$A:$C,2,FALSE)</f>
        <v>51.039858000000002</v>
      </c>
      <c r="D321" s="1">
        <f>VLOOKUP($A321,Coordinaten!$A:$C,3,FALSE)</f>
        <v>5.800675</v>
      </c>
      <c r="E321" cm="1">
        <f t="array" ref="E321">WGS842X($C321,$D321)</f>
        <v>184000</v>
      </c>
      <c r="F321" cm="1">
        <f t="array" ref="F321">WGS842Y($C321,$D321)</f>
        <v>339000</v>
      </c>
      <c r="G321" s="1" t="str">
        <f t="shared" si="4"/>
        <v>Buchten,974,184000,339000</v>
      </c>
    </row>
    <row r="322" spans="1:7" x14ac:dyDescent="0.25">
      <c r="A322" t="s">
        <v>245</v>
      </c>
      <c r="B322">
        <v>977</v>
      </c>
      <c r="C322" s="1">
        <f>VLOOKUP($A322,Coordinaten!$A:$C,2,FALSE)</f>
        <v>51.281258000000001</v>
      </c>
      <c r="D322" s="1">
        <f>VLOOKUP($A322,Coordinaten!$A:$C,3,FALSE)</f>
        <v>6.0751819999999999</v>
      </c>
      <c r="E322" cm="1">
        <f t="array" ref="E322">WGS842X($C322,$D322)</f>
        <v>203000</v>
      </c>
      <c r="F322" cm="1">
        <f t="array" ref="F322">WGS842Y($C322,$D322)</f>
        <v>366000</v>
      </c>
      <c r="G322" s="1" t="str">
        <f t="shared" si="4"/>
        <v>Reuver,977,203000,366000</v>
      </c>
    </row>
    <row r="323" spans="1:7" x14ac:dyDescent="0.25">
      <c r="A323" t="s">
        <v>100</v>
      </c>
      <c r="B323">
        <v>979</v>
      </c>
      <c r="C323" s="1">
        <f>VLOOKUP($A323,Coordinaten!$A:$C,2,FALSE)</f>
        <v>51.093325999999998</v>
      </c>
      <c r="D323" s="1">
        <f>VLOOKUP($A323,Coordinaten!$A:$C,3,FALSE)</f>
        <v>5.9153500000000001</v>
      </c>
      <c r="E323" cm="1">
        <f t="array" ref="E323">WGS842X($C323,$D323)</f>
        <v>192000</v>
      </c>
      <c r="F323" cm="1">
        <f t="array" ref="F323">WGS842Y($C323,$D323)</f>
        <v>345000</v>
      </c>
      <c r="G323" s="1" t="str">
        <f t="shared" ref="G323:G326" si="5">A323&amp;"," &amp;B323 &amp;"," &amp;E323&amp;"," &amp;F323</f>
        <v>Echt,979,192000,345000</v>
      </c>
    </row>
    <row r="324" spans="1:7" x14ac:dyDescent="0.25">
      <c r="A324" t="s">
        <v>115</v>
      </c>
      <c r="B324">
        <v>980</v>
      </c>
      <c r="C324" s="1">
        <f>VLOOKUP($A324,Coordinaten!$A:$C,2,FALSE)</f>
        <v>50.760753000000001</v>
      </c>
      <c r="D324" s="1">
        <f>VLOOKUP($A324,Coordinaten!$A:$C,3,FALSE)</f>
        <v>5.9115640000000003</v>
      </c>
      <c r="E324" cm="1">
        <f t="array" ref="E324">WGS842X($C324,$D324)</f>
        <v>192000</v>
      </c>
      <c r="F324" cm="1">
        <f t="array" ref="F324">WGS842Y($C324,$D324)</f>
        <v>308000</v>
      </c>
      <c r="G324" s="1" t="str">
        <f t="shared" si="5"/>
        <v>Epen (Nieuw) (L),980,192000,308000</v>
      </c>
    </row>
    <row r="325" spans="1:7" x14ac:dyDescent="0.25">
      <c r="A325" t="s">
        <v>225</v>
      </c>
      <c r="B325">
        <v>981</v>
      </c>
      <c r="C325" s="1">
        <f>VLOOKUP($A325,Coordinaten!$A:$C,2,FALSE)</f>
        <v>50.797438</v>
      </c>
      <c r="D325" s="1">
        <f>VLOOKUP($A325,Coordinaten!$A:$C,3,FALSE)</f>
        <v>5.7134130000000001</v>
      </c>
      <c r="E325" cm="1">
        <f t="array" ref="E325">WGS842X($C325,$D325)</f>
        <v>178000</v>
      </c>
      <c r="F325" cm="1">
        <f t="array" ref="F325">WGS842Y($C325,$D325)</f>
        <v>312000</v>
      </c>
      <c r="G325" s="1" t="str">
        <f t="shared" si="5"/>
        <v>Oost Maarland,981,178000,312000</v>
      </c>
    </row>
    <row r="326" spans="1:7" x14ac:dyDescent="0.25">
      <c r="A326" t="s">
        <v>262</v>
      </c>
      <c r="B326">
        <v>982</v>
      </c>
      <c r="C326" s="1">
        <f>VLOOKUP($A326,Coordinaten!$A:$C,2,FALSE)</f>
        <v>50.976129999999998</v>
      </c>
      <c r="D326" s="1">
        <f>VLOOKUP($A326,Coordinaten!$A:$C,3,FALSE)</f>
        <v>5.9851999999999999</v>
      </c>
      <c r="E326" cm="1">
        <f t="array" ref="E326">WGS842X($C326,$D326)</f>
        <v>197000</v>
      </c>
      <c r="F326" cm="1">
        <f t="array" ref="F326">WGS842Y($C326,$D326)</f>
        <v>332000</v>
      </c>
      <c r="G326" s="1" t="str">
        <f t="shared" si="5"/>
        <v>Schinveld,982,197000,332000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5E37D-E561-4398-AFA3-82C5284DDA15}">
  <sheetPr codeName="Blad3"/>
  <dimension ref="A1:C337"/>
  <sheetViews>
    <sheetView workbookViewId="0"/>
  </sheetViews>
  <sheetFormatPr defaultRowHeight="15" x14ac:dyDescent="0.25"/>
  <cols>
    <col min="1" max="1" width="20.7109375" bestFit="1" customWidth="1"/>
  </cols>
  <sheetData>
    <row r="1" spans="1:3" x14ac:dyDescent="0.25">
      <c r="A1" t="s">
        <v>35</v>
      </c>
      <c r="B1">
        <v>51.469914000000003</v>
      </c>
      <c r="C1">
        <v>3.7751960000000002</v>
      </c>
    </row>
    <row r="2" spans="1:3" x14ac:dyDescent="0.25">
      <c r="A2" t="s">
        <v>36</v>
      </c>
      <c r="B2">
        <v>52.261423000000001</v>
      </c>
      <c r="C2">
        <v>4.7720079999999996</v>
      </c>
    </row>
    <row r="3" spans="1:3" x14ac:dyDescent="0.25">
      <c r="A3" t="s">
        <v>37</v>
      </c>
      <c r="B3">
        <v>51.915579999999999</v>
      </c>
      <c r="C3">
        <v>6.5645449999999999</v>
      </c>
    </row>
    <row r="4" spans="1:3" x14ac:dyDescent="0.25">
      <c r="A4" t="s">
        <v>38</v>
      </c>
      <c r="B4">
        <v>52.262312999999999</v>
      </c>
      <c r="C4">
        <v>4.977068</v>
      </c>
    </row>
    <row r="5" spans="1:3" x14ac:dyDescent="0.25">
      <c r="A5" t="s">
        <v>39</v>
      </c>
      <c r="B5">
        <v>53.053094000000002</v>
      </c>
      <c r="C5">
        <v>5.8197049999999999</v>
      </c>
    </row>
    <row r="6" spans="1:3" x14ac:dyDescent="0.25">
      <c r="A6" t="s">
        <v>40</v>
      </c>
      <c r="B6">
        <v>52.34601</v>
      </c>
      <c r="C6">
        <v>6.6640110000000004</v>
      </c>
    </row>
    <row r="7" spans="1:3" x14ac:dyDescent="0.25">
      <c r="A7" t="s">
        <v>41</v>
      </c>
      <c r="B7">
        <v>52.160449</v>
      </c>
      <c r="C7">
        <v>6.32254</v>
      </c>
    </row>
    <row r="8" spans="1:3" x14ac:dyDescent="0.25">
      <c r="A8" t="s">
        <v>42</v>
      </c>
      <c r="B8">
        <v>51.993363000000002</v>
      </c>
      <c r="C8">
        <v>5.4600049999999998</v>
      </c>
    </row>
    <row r="9" spans="1:3" x14ac:dyDescent="0.25">
      <c r="A9" t="s">
        <v>43</v>
      </c>
      <c r="B9">
        <v>51.750571999999998</v>
      </c>
      <c r="C9">
        <v>5.2134270000000003</v>
      </c>
    </row>
    <row r="10" spans="1:3" x14ac:dyDescent="0.25">
      <c r="A10" t="s">
        <v>44</v>
      </c>
      <c r="B10">
        <v>52.369943999999997</v>
      </c>
      <c r="C10">
        <v>4.9173390000000001</v>
      </c>
    </row>
    <row r="11" spans="1:3" x14ac:dyDescent="0.25">
      <c r="A11" t="s">
        <v>45</v>
      </c>
      <c r="B11">
        <v>51.786180999999999</v>
      </c>
      <c r="C11">
        <v>5.0538670000000003</v>
      </c>
    </row>
    <row r="12" spans="1:3" x14ac:dyDescent="0.25">
      <c r="A12" t="s">
        <v>46</v>
      </c>
      <c r="B12">
        <v>53.383992999999997</v>
      </c>
      <c r="C12">
        <v>6.1386289999999999</v>
      </c>
    </row>
    <row r="13" spans="1:3" x14ac:dyDescent="0.25">
      <c r="A13" t="s">
        <v>47</v>
      </c>
      <c r="B13">
        <v>51.636091999999998</v>
      </c>
      <c r="C13">
        <v>4.1304569999999998</v>
      </c>
    </row>
    <row r="14" spans="1:3" x14ac:dyDescent="0.25">
      <c r="A14" t="s">
        <v>48</v>
      </c>
      <c r="B14">
        <v>52.863900000000001</v>
      </c>
      <c r="C14">
        <v>4.8377929999999996</v>
      </c>
    </row>
    <row r="15" spans="1:3" x14ac:dyDescent="0.25">
      <c r="A15" t="s">
        <v>49</v>
      </c>
      <c r="B15">
        <v>52.216774999999998</v>
      </c>
      <c r="C15">
        <v>5.9432559999999999</v>
      </c>
    </row>
    <row r="16" spans="1:3" x14ac:dyDescent="0.25">
      <c r="A16" t="s">
        <v>50</v>
      </c>
      <c r="B16">
        <v>52.960217999999998</v>
      </c>
      <c r="C16">
        <v>6.3396629999999998</v>
      </c>
    </row>
    <row r="17" spans="1:3" x14ac:dyDescent="0.25">
      <c r="A17" t="s">
        <v>31</v>
      </c>
      <c r="B17">
        <v>51.478358</v>
      </c>
      <c r="C17">
        <v>6.1789269999999998</v>
      </c>
    </row>
    <row r="18" spans="1:3" x14ac:dyDescent="0.25">
      <c r="A18" t="s">
        <v>51</v>
      </c>
      <c r="B18">
        <v>52.001139000000002</v>
      </c>
      <c r="C18">
        <v>5.9260159999999997</v>
      </c>
    </row>
    <row r="19" spans="1:3" x14ac:dyDescent="0.25">
      <c r="A19" t="s">
        <v>52</v>
      </c>
      <c r="B19">
        <v>53.002856000000001</v>
      </c>
      <c r="C19">
        <v>6.5938549999999996</v>
      </c>
    </row>
    <row r="20" spans="1:3" x14ac:dyDescent="0.25">
      <c r="A20" t="s">
        <v>53</v>
      </c>
      <c r="B20">
        <v>52.467889999999997</v>
      </c>
      <c r="C20">
        <v>4.7249889999999999</v>
      </c>
    </row>
    <row r="21" spans="1:3" x14ac:dyDescent="0.25">
      <c r="A21" t="s">
        <v>54</v>
      </c>
      <c r="B21">
        <v>51.855544000000002</v>
      </c>
      <c r="C21">
        <v>4.5453089999999996</v>
      </c>
    </row>
    <row r="22" spans="1:3" x14ac:dyDescent="0.25">
      <c r="A22" t="s">
        <v>55</v>
      </c>
      <c r="B22">
        <v>52.137064000000002</v>
      </c>
      <c r="C22">
        <v>5.5624859999999998</v>
      </c>
    </row>
    <row r="23" spans="1:3" x14ac:dyDescent="0.25">
      <c r="A23" t="s">
        <v>56</v>
      </c>
      <c r="B23">
        <v>50.922955000000002</v>
      </c>
      <c r="C23">
        <v>5.8138500000000004</v>
      </c>
    </row>
    <row r="24" spans="1:3" x14ac:dyDescent="0.25">
      <c r="A24" t="s">
        <v>57</v>
      </c>
      <c r="B24">
        <v>52.162779999999998</v>
      </c>
      <c r="C24">
        <v>5.957198</v>
      </c>
    </row>
    <row r="25" spans="1:3" x14ac:dyDescent="0.25">
      <c r="A25" t="s">
        <v>58</v>
      </c>
      <c r="B25">
        <v>52.001508000000001</v>
      </c>
      <c r="C25">
        <v>4.9357670000000002</v>
      </c>
    </row>
    <row r="26" spans="1:3" x14ac:dyDescent="0.25">
      <c r="A26" t="s">
        <v>59</v>
      </c>
      <c r="B26">
        <v>52.683312999999998</v>
      </c>
      <c r="C26">
        <v>4.6773800000000003</v>
      </c>
    </row>
    <row r="27" spans="1:3" x14ac:dyDescent="0.25">
      <c r="A27" t="s">
        <v>60</v>
      </c>
      <c r="B27">
        <v>51.502468</v>
      </c>
      <c r="C27">
        <v>4.2493809999999996</v>
      </c>
    </row>
    <row r="28" spans="1:3" x14ac:dyDescent="0.25">
      <c r="A28" t="s">
        <v>61</v>
      </c>
      <c r="B28">
        <v>51.981046999999997</v>
      </c>
      <c r="C28">
        <v>4.4992850000000004</v>
      </c>
    </row>
    <row r="29" spans="1:3" x14ac:dyDescent="0.25">
      <c r="A29" t="s">
        <v>62</v>
      </c>
      <c r="B29">
        <v>53.178030999999997</v>
      </c>
      <c r="C29">
        <v>6.0153930000000004</v>
      </c>
    </row>
    <row r="30" spans="1:3" x14ac:dyDescent="0.25">
      <c r="A30" t="s">
        <v>3</v>
      </c>
      <c r="B30">
        <v>52.64</v>
      </c>
      <c r="C30">
        <v>4.9800000000000004</v>
      </c>
    </row>
    <row r="31" spans="1:3" x14ac:dyDescent="0.25">
      <c r="A31" t="s">
        <v>63</v>
      </c>
      <c r="B31">
        <v>52.451360000000001</v>
      </c>
      <c r="C31">
        <v>5.6961240000000002</v>
      </c>
    </row>
    <row r="32" spans="1:3" x14ac:dyDescent="0.25">
      <c r="A32" t="s">
        <v>64</v>
      </c>
      <c r="B32">
        <v>51.333907000000004</v>
      </c>
      <c r="C32">
        <v>3.6938849999999999</v>
      </c>
    </row>
    <row r="33" spans="1:3" x14ac:dyDescent="0.25">
      <c r="A33" t="s">
        <v>65</v>
      </c>
      <c r="B33">
        <v>52.729035000000003</v>
      </c>
      <c r="C33">
        <v>5.949738</v>
      </c>
    </row>
    <row r="34" spans="1:3" x14ac:dyDescent="0.25">
      <c r="A34" t="s">
        <v>66</v>
      </c>
      <c r="B34">
        <v>52.095742999999999</v>
      </c>
      <c r="C34">
        <v>6.5255039999999997</v>
      </c>
    </row>
    <row r="35" spans="1:3" x14ac:dyDescent="0.25">
      <c r="A35" t="s">
        <v>67</v>
      </c>
      <c r="B35">
        <v>52.081186000000002</v>
      </c>
      <c r="C35">
        <v>4.6869550000000002</v>
      </c>
    </row>
    <row r="36" spans="1:3" x14ac:dyDescent="0.25">
      <c r="A36" t="s">
        <v>68</v>
      </c>
      <c r="B36">
        <v>51.579904999999997</v>
      </c>
      <c r="C36">
        <v>5.3294959999999998</v>
      </c>
    </row>
    <row r="37" spans="1:3" x14ac:dyDescent="0.25">
      <c r="A37" t="s">
        <v>69</v>
      </c>
      <c r="B37">
        <v>51.394627999999997</v>
      </c>
      <c r="C37">
        <v>3.5479189999999998</v>
      </c>
    </row>
    <row r="38" spans="1:3" x14ac:dyDescent="0.25">
      <c r="A38" t="s">
        <v>70</v>
      </c>
      <c r="B38">
        <v>51.897013999999999</v>
      </c>
      <c r="C38">
        <v>4.1522319999999997</v>
      </c>
    </row>
    <row r="39" spans="1:3" x14ac:dyDescent="0.25">
      <c r="A39" t="s">
        <v>71</v>
      </c>
      <c r="B39">
        <v>51.732042999999997</v>
      </c>
      <c r="C39">
        <v>3.8816739999999998</v>
      </c>
    </row>
    <row r="40" spans="1:3" x14ac:dyDescent="0.25">
      <c r="A40" t="s">
        <v>72</v>
      </c>
      <c r="B40">
        <v>51.039858000000002</v>
      </c>
      <c r="C40">
        <v>5.800675</v>
      </c>
    </row>
    <row r="41" spans="1:3" x14ac:dyDescent="0.25">
      <c r="A41" t="s">
        <v>24</v>
      </c>
      <c r="B41">
        <v>51.97</v>
      </c>
      <c r="C41">
        <v>4.93</v>
      </c>
    </row>
    <row r="42" spans="1:3" x14ac:dyDescent="0.25">
      <c r="A42" t="s">
        <v>73</v>
      </c>
      <c r="B42">
        <v>51.374305</v>
      </c>
      <c r="C42">
        <v>3.405084</v>
      </c>
    </row>
    <row r="43" spans="1:3" x14ac:dyDescent="0.25">
      <c r="A43" t="s">
        <v>74</v>
      </c>
      <c r="B43">
        <v>52.854224000000002</v>
      </c>
      <c r="C43">
        <v>4.7042989999999998</v>
      </c>
    </row>
    <row r="44" spans="1:3" x14ac:dyDescent="0.25">
      <c r="A44" t="s">
        <v>75</v>
      </c>
      <c r="B44">
        <v>51.678094000000002</v>
      </c>
      <c r="C44">
        <v>4.9823709999999997</v>
      </c>
    </row>
    <row r="45" spans="1:3" x14ac:dyDescent="0.25">
      <c r="A45" t="s">
        <v>76</v>
      </c>
      <c r="B45">
        <v>52.548335999999999</v>
      </c>
      <c r="C45">
        <v>4.6500659999999998</v>
      </c>
    </row>
    <row r="46" spans="1:3" x14ac:dyDescent="0.25">
      <c r="A46" t="s">
        <v>77</v>
      </c>
      <c r="B46">
        <v>51.506860000000003</v>
      </c>
      <c r="C46">
        <v>4.8686639999999999</v>
      </c>
    </row>
    <row r="47" spans="1:3" x14ac:dyDescent="0.25">
      <c r="A47" t="s">
        <v>78</v>
      </c>
      <c r="B47">
        <v>51.930359000000003</v>
      </c>
      <c r="C47">
        <v>5.2272720000000001</v>
      </c>
    </row>
    <row r="48" spans="1:3" x14ac:dyDescent="0.25">
      <c r="A48" t="s">
        <v>5</v>
      </c>
      <c r="B48">
        <v>52.101064999999998</v>
      </c>
      <c r="C48">
        <v>5.1828770000000004</v>
      </c>
    </row>
    <row r="49" spans="1:3" x14ac:dyDescent="0.25">
      <c r="A49" t="s">
        <v>79</v>
      </c>
      <c r="B49">
        <v>53.160629</v>
      </c>
      <c r="C49">
        <v>4.8788859999999996</v>
      </c>
    </row>
    <row r="50" spans="1:3" x14ac:dyDescent="0.25">
      <c r="A50" t="s">
        <v>80</v>
      </c>
      <c r="B50">
        <v>52.882306</v>
      </c>
      <c r="C50">
        <v>4.9415500000000003</v>
      </c>
    </row>
    <row r="51" spans="1:3" x14ac:dyDescent="0.25">
      <c r="A51" t="s">
        <v>81</v>
      </c>
      <c r="B51">
        <v>53.097242000000001</v>
      </c>
      <c r="C51">
        <v>4.7751250000000001</v>
      </c>
    </row>
    <row r="52" spans="1:3" x14ac:dyDescent="0.25">
      <c r="A52" t="s">
        <v>1</v>
      </c>
      <c r="B52">
        <v>52.917603</v>
      </c>
      <c r="C52">
        <v>4.7925139999999997</v>
      </c>
    </row>
    <row r="53" spans="1:3" x14ac:dyDescent="0.25">
      <c r="A53" t="s">
        <v>82</v>
      </c>
      <c r="B53">
        <v>52.590806000000001</v>
      </c>
      <c r="C53">
        <v>6.4497280000000003</v>
      </c>
    </row>
    <row r="54" spans="1:3" x14ac:dyDescent="0.25">
      <c r="A54" t="s">
        <v>11</v>
      </c>
      <c r="B54">
        <v>52.064245999999997</v>
      </c>
      <c r="C54">
        <v>5.8830260000000001</v>
      </c>
    </row>
    <row r="55" spans="1:3" x14ac:dyDescent="0.25">
      <c r="A55" t="s">
        <v>83</v>
      </c>
      <c r="B55">
        <v>52.006946999999997</v>
      </c>
      <c r="C55">
        <v>4.367686</v>
      </c>
    </row>
    <row r="56" spans="1:3" x14ac:dyDescent="0.25">
      <c r="A56" t="s">
        <v>84</v>
      </c>
      <c r="B56">
        <v>53.322490000000002</v>
      </c>
      <c r="C56">
        <v>6.9329869999999998</v>
      </c>
    </row>
    <row r="57" spans="1:3" x14ac:dyDescent="0.25">
      <c r="A57" t="s">
        <v>85</v>
      </c>
      <c r="B57">
        <v>51.718710000000002</v>
      </c>
      <c r="C57">
        <v>4.3018320000000001</v>
      </c>
    </row>
    <row r="58" spans="1:3" x14ac:dyDescent="0.25">
      <c r="A58" t="s">
        <v>86</v>
      </c>
      <c r="B58">
        <v>53.052463000000003</v>
      </c>
      <c r="C58">
        <v>4.8055830000000004</v>
      </c>
    </row>
    <row r="59" spans="1:3" x14ac:dyDescent="0.25">
      <c r="A59" t="s">
        <v>87</v>
      </c>
      <c r="B59">
        <v>52.927537000000001</v>
      </c>
      <c r="C59">
        <v>5.0303120000000003</v>
      </c>
    </row>
    <row r="60" spans="1:3" x14ac:dyDescent="0.25">
      <c r="A60" t="s">
        <v>88</v>
      </c>
      <c r="B60">
        <v>52.377420000000001</v>
      </c>
      <c r="C60">
        <v>7.0321129999999998</v>
      </c>
    </row>
    <row r="61" spans="1:3" x14ac:dyDescent="0.25">
      <c r="A61" t="s">
        <v>89</v>
      </c>
      <c r="B61">
        <v>51.453431000000002</v>
      </c>
      <c r="C61">
        <v>5.7756509999999999</v>
      </c>
    </row>
    <row r="62" spans="1:3" x14ac:dyDescent="0.25">
      <c r="A62" t="s">
        <v>90</v>
      </c>
      <c r="B62">
        <v>52.260072999999998</v>
      </c>
      <c r="C62">
        <v>6.2221000000000002</v>
      </c>
    </row>
    <row r="63" spans="1:3" x14ac:dyDescent="0.25">
      <c r="A63" t="s">
        <v>91</v>
      </c>
      <c r="B63">
        <v>51.642795</v>
      </c>
      <c r="C63">
        <v>5.4883329999999999</v>
      </c>
    </row>
    <row r="64" spans="1:3" x14ac:dyDescent="0.25">
      <c r="A64" t="s">
        <v>92</v>
      </c>
      <c r="B64">
        <v>51.743457999999997</v>
      </c>
      <c r="C64">
        <v>4.0840290000000001</v>
      </c>
    </row>
    <row r="65" spans="1:3" x14ac:dyDescent="0.25">
      <c r="A65" t="s">
        <v>93</v>
      </c>
      <c r="B65">
        <v>51.980820999999999</v>
      </c>
      <c r="C65">
        <v>6.3042350000000003</v>
      </c>
    </row>
    <row r="66" spans="1:3" x14ac:dyDescent="0.25">
      <c r="A66" t="s">
        <v>94</v>
      </c>
      <c r="B66">
        <v>53.321944999999999</v>
      </c>
      <c r="C66">
        <v>5.9874770000000002</v>
      </c>
    </row>
    <row r="67" spans="1:3" x14ac:dyDescent="0.25">
      <c r="A67" t="s">
        <v>95</v>
      </c>
      <c r="B67">
        <v>52.056288000000002</v>
      </c>
      <c r="C67">
        <v>5.3288840000000004</v>
      </c>
    </row>
    <row r="68" spans="1:3" x14ac:dyDescent="0.25">
      <c r="A68" t="s">
        <v>96</v>
      </c>
      <c r="B68">
        <v>53.114632</v>
      </c>
      <c r="C68">
        <v>6.1040859999999997</v>
      </c>
    </row>
    <row r="69" spans="1:3" x14ac:dyDescent="0.25">
      <c r="A69" t="s">
        <v>97</v>
      </c>
      <c r="B69">
        <v>52.540698999999996</v>
      </c>
      <c r="C69">
        <v>5.8588930000000001</v>
      </c>
    </row>
    <row r="70" spans="1:3" x14ac:dyDescent="0.25">
      <c r="A70" t="s">
        <v>98</v>
      </c>
      <c r="B70">
        <v>51.964754999999997</v>
      </c>
      <c r="C70">
        <v>6.0128839999999997</v>
      </c>
    </row>
    <row r="71" spans="1:3" x14ac:dyDescent="0.25">
      <c r="A71" t="s">
        <v>99</v>
      </c>
      <c r="B71">
        <v>52.824821999999998</v>
      </c>
      <c r="C71">
        <v>6.4108970000000003</v>
      </c>
    </row>
    <row r="72" spans="1:3" x14ac:dyDescent="0.25">
      <c r="A72" t="s">
        <v>100</v>
      </c>
      <c r="B72">
        <v>51.093325999999998</v>
      </c>
      <c r="C72">
        <v>5.9153500000000001</v>
      </c>
    </row>
    <row r="73" spans="1:3" x14ac:dyDescent="0.25">
      <c r="A73" t="s">
        <v>101</v>
      </c>
      <c r="B73">
        <v>52.514192000000001</v>
      </c>
      <c r="C73">
        <v>5.0483880000000001</v>
      </c>
    </row>
    <row r="74" spans="1:3" x14ac:dyDescent="0.25">
      <c r="A74" t="s">
        <v>15</v>
      </c>
      <c r="B74">
        <v>53.119802999999997</v>
      </c>
      <c r="C74">
        <v>6.5821709999999998</v>
      </c>
    </row>
    <row r="75" spans="1:3" x14ac:dyDescent="0.25">
      <c r="A75" t="s">
        <v>102</v>
      </c>
      <c r="B75">
        <v>52.271954000000001</v>
      </c>
      <c r="C75">
        <v>5.2699990000000003</v>
      </c>
    </row>
    <row r="76" spans="1:3" x14ac:dyDescent="0.25">
      <c r="A76" t="s">
        <v>103</v>
      </c>
      <c r="B76">
        <v>53.363506999999998</v>
      </c>
      <c r="C76">
        <v>6.4687530000000004</v>
      </c>
    </row>
    <row r="77" spans="1:3" x14ac:dyDescent="0.25">
      <c r="A77" t="s">
        <v>104</v>
      </c>
      <c r="B77">
        <v>52.108232999999998</v>
      </c>
      <c r="C77">
        <v>6.073283</v>
      </c>
    </row>
    <row r="78" spans="1:3" x14ac:dyDescent="0.25">
      <c r="A78" t="s">
        <v>105</v>
      </c>
      <c r="B78">
        <v>53.133473000000002</v>
      </c>
      <c r="C78">
        <v>5.9400389999999996</v>
      </c>
    </row>
    <row r="79" spans="1:3" x14ac:dyDescent="0.25">
      <c r="A79" t="s">
        <v>106</v>
      </c>
      <c r="B79">
        <v>51.346142999999998</v>
      </c>
      <c r="C79">
        <v>5.2580249999999999</v>
      </c>
    </row>
    <row r="80" spans="1:3" x14ac:dyDescent="0.25">
      <c r="A80" t="s">
        <v>107</v>
      </c>
      <c r="B80">
        <v>53.001427999999997</v>
      </c>
      <c r="C80">
        <v>6.7278929999999999</v>
      </c>
    </row>
    <row r="81" spans="1:3" x14ac:dyDescent="0.25">
      <c r="A81" t="s">
        <v>27</v>
      </c>
      <c r="B81">
        <v>51.445086000000003</v>
      </c>
      <c r="C81">
        <v>5.415972</v>
      </c>
    </row>
    <row r="82" spans="1:3" x14ac:dyDescent="0.25">
      <c r="A82" t="s">
        <v>108</v>
      </c>
      <c r="B82">
        <v>52.441954000000003</v>
      </c>
      <c r="C82">
        <v>5.8284250000000002</v>
      </c>
    </row>
    <row r="83" spans="1:3" x14ac:dyDescent="0.25">
      <c r="A83" t="s">
        <v>29</v>
      </c>
      <c r="B83">
        <v>51.2</v>
      </c>
      <c r="C83">
        <v>5.76</v>
      </c>
    </row>
    <row r="84" spans="1:3" x14ac:dyDescent="0.25">
      <c r="A84" t="s">
        <v>109</v>
      </c>
      <c r="B84">
        <v>52.289324000000001</v>
      </c>
      <c r="C84">
        <v>5.7829379999999997</v>
      </c>
    </row>
    <row r="85" spans="1:3" x14ac:dyDescent="0.25">
      <c r="A85" t="s">
        <v>110</v>
      </c>
      <c r="B85">
        <v>52.702781999999999</v>
      </c>
      <c r="C85">
        <v>5.771865</v>
      </c>
    </row>
    <row r="86" spans="1:3" x14ac:dyDescent="0.25">
      <c r="A86" t="s">
        <v>111</v>
      </c>
      <c r="B86">
        <v>52.783864999999999</v>
      </c>
      <c r="C86">
        <v>6.88429</v>
      </c>
    </row>
    <row r="87" spans="1:3" x14ac:dyDescent="0.25">
      <c r="A87" t="s">
        <v>112</v>
      </c>
      <c r="B87">
        <v>52.712345999999997</v>
      </c>
      <c r="C87">
        <v>5.2836239999999997</v>
      </c>
    </row>
    <row r="88" spans="1:3" x14ac:dyDescent="0.25">
      <c r="A88" t="s">
        <v>113</v>
      </c>
      <c r="B88">
        <v>52.208277000000002</v>
      </c>
      <c r="C88">
        <v>6.9088039999999999</v>
      </c>
    </row>
    <row r="89" spans="1:3" x14ac:dyDescent="0.25">
      <c r="A89" t="s">
        <v>114</v>
      </c>
      <c r="B89">
        <v>52.342306999999998</v>
      </c>
      <c r="C89">
        <v>6.0035259999999999</v>
      </c>
    </row>
    <row r="90" spans="1:3" x14ac:dyDescent="0.25">
      <c r="A90" t="s">
        <v>115</v>
      </c>
      <c r="B90">
        <v>50.760753000000001</v>
      </c>
      <c r="C90">
        <v>5.9115640000000003</v>
      </c>
    </row>
    <row r="91" spans="1:3" x14ac:dyDescent="0.25">
      <c r="A91" t="s">
        <v>116</v>
      </c>
      <c r="B91">
        <v>51.435845</v>
      </c>
      <c r="C91">
        <v>5.1427199999999997</v>
      </c>
    </row>
    <row r="92" spans="1:3" x14ac:dyDescent="0.25">
      <c r="A92" t="s">
        <v>117</v>
      </c>
      <c r="B92">
        <v>53.29177</v>
      </c>
      <c r="C92">
        <v>6.451956</v>
      </c>
    </row>
    <row r="93" spans="1:3" x14ac:dyDescent="0.25">
      <c r="A93" t="s">
        <v>118</v>
      </c>
      <c r="B93">
        <v>53.356945000000003</v>
      </c>
      <c r="C93">
        <v>6.1531760000000002</v>
      </c>
    </row>
    <row r="94" spans="1:3" x14ac:dyDescent="0.25">
      <c r="A94" t="s">
        <v>119</v>
      </c>
      <c r="B94">
        <v>53.203273000000003</v>
      </c>
      <c r="C94">
        <v>7.1083400000000001</v>
      </c>
    </row>
    <row r="95" spans="1:3" x14ac:dyDescent="0.25">
      <c r="A95" t="s">
        <v>120</v>
      </c>
      <c r="B95">
        <v>53.395291999999998</v>
      </c>
      <c r="C95">
        <v>5.2970179999999996</v>
      </c>
    </row>
    <row r="96" spans="1:3" x14ac:dyDescent="0.25">
      <c r="A96" t="s">
        <v>121</v>
      </c>
      <c r="B96">
        <v>52.844496999999997</v>
      </c>
      <c r="C96">
        <v>6.1887090000000002</v>
      </c>
    </row>
    <row r="97" spans="1:3" x14ac:dyDescent="0.25">
      <c r="A97" t="s">
        <v>122</v>
      </c>
      <c r="B97">
        <v>51.876480999999998</v>
      </c>
      <c r="C97">
        <v>5.2710290000000004</v>
      </c>
    </row>
    <row r="98" spans="1:3" x14ac:dyDescent="0.25">
      <c r="A98" t="s">
        <v>123</v>
      </c>
      <c r="B98">
        <v>51.543608999999996</v>
      </c>
      <c r="C98">
        <v>5.6755129999999996</v>
      </c>
    </row>
    <row r="99" spans="1:3" x14ac:dyDescent="0.25">
      <c r="A99" t="s">
        <v>124</v>
      </c>
      <c r="B99">
        <v>51.863638999999999</v>
      </c>
      <c r="C99">
        <v>6.345402</v>
      </c>
    </row>
    <row r="100" spans="1:3" x14ac:dyDescent="0.25">
      <c r="A100" t="s">
        <v>125</v>
      </c>
      <c r="B100">
        <v>51.660587999999997</v>
      </c>
      <c r="C100">
        <v>5.1559609999999996</v>
      </c>
    </row>
    <row r="101" spans="1:3" x14ac:dyDescent="0.25">
      <c r="A101" t="s">
        <v>126</v>
      </c>
      <c r="B101">
        <v>53.026983999999999</v>
      </c>
      <c r="C101">
        <v>6.8479340000000004</v>
      </c>
    </row>
    <row r="102" spans="1:3" x14ac:dyDescent="0.25">
      <c r="A102" t="s">
        <v>127</v>
      </c>
      <c r="B102">
        <v>52.719430000000003</v>
      </c>
      <c r="C102">
        <v>6.0680189999999996</v>
      </c>
    </row>
    <row r="103" spans="1:3" x14ac:dyDescent="0.25">
      <c r="A103" t="s">
        <v>25</v>
      </c>
      <c r="B103">
        <v>51.57002</v>
      </c>
      <c r="C103">
        <v>4.9256390000000003</v>
      </c>
    </row>
    <row r="104" spans="1:3" x14ac:dyDescent="0.25">
      <c r="A104" t="s">
        <v>128</v>
      </c>
      <c r="B104">
        <v>51.551231999999999</v>
      </c>
      <c r="C104">
        <v>4.7528119999999996</v>
      </c>
    </row>
    <row r="105" spans="1:3" x14ac:dyDescent="0.25">
      <c r="A105" t="s">
        <v>129</v>
      </c>
      <c r="B105">
        <v>51.814002000000002</v>
      </c>
      <c r="C105">
        <v>3.9659610000000001</v>
      </c>
    </row>
    <row r="106" spans="1:3" x14ac:dyDescent="0.25">
      <c r="A106" t="s">
        <v>130</v>
      </c>
      <c r="B106">
        <v>51.839882000000003</v>
      </c>
      <c r="C106">
        <v>4.980918</v>
      </c>
    </row>
    <row r="107" spans="1:3" x14ac:dyDescent="0.25">
      <c r="A107" t="s">
        <v>131</v>
      </c>
      <c r="B107">
        <v>52.998080000000002</v>
      </c>
      <c r="C107">
        <v>6.0574789999999998</v>
      </c>
    </row>
    <row r="108" spans="1:3" x14ac:dyDescent="0.25">
      <c r="A108" t="s">
        <v>132</v>
      </c>
      <c r="B108">
        <v>52.009455000000003</v>
      </c>
      <c r="C108">
        <v>4.7172070000000001</v>
      </c>
    </row>
    <row r="109" spans="1:3" x14ac:dyDescent="0.25">
      <c r="A109" t="s">
        <v>133</v>
      </c>
      <c r="B109">
        <v>53.182692000000003</v>
      </c>
      <c r="C109">
        <v>6.583907</v>
      </c>
    </row>
    <row r="110" spans="1:3" x14ac:dyDescent="0.25">
      <c r="A110" t="s">
        <v>134</v>
      </c>
      <c r="B110">
        <v>51.929169999999999</v>
      </c>
      <c r="C110">
        <v>4.8347189999999998</v>
      </c>
    </row>
    <row r="111" spans="1:3" x14ac:dyDescent="0.25">
      <c r="A111" t="s">
        <v>135</v>
      </c>
      <c r="B111">
        <v>51.684963000000003</v>
      </c>
      <c r="C111">
        <v>3.7241499999999998</v>
      </c>
    </row>
    <row r="112" spans="1:3" x14ac:dyDescent="0.25">
      <c r="A112" t="s">
        <v>136</v>
      </c>
      <c r="B112">
        <v>52.137189999999997</v>
      </c>
      <c r="C112">
        <v>5.4164190000000003</v>
      </c>
    </row>
    <row r="113" spans="1:3" x14ac:dyDescent="0.25">
      <c r="A113" t="s">
        <v>137</v>
      </c>
      <c r="B113">
        <v>52.361682999999999</v>
      </c>
      <c r="C113">
        <v>5.6074149999999996</v>
      </c>
    </row>
    <row r="114" spans="1:3" x14ac:dyDescent="0.25">
      <c r="A114" t="s">
        <v>138</v>
      </c>
      <c r="B114">
        <v>53.179668999999997</v>
      </c>
      <c r="C114">
        <v>5.4320810000000002</v>
      </c>
    </row>
    <row r="115" spans="1:3" x14ac:dyDescent="0.25">
      <c r="A115" t="s">
        <v>139</v>
      </c>
      <c r="B115">
        <v>52.154648000000002</v>
      </c>
      <c r="C115">
        <v>5.7379049999999996</v>
      </c>
    </row>
    <row r="116" spans="1:3" x14ac:dyDescent="0.25">
      <c r="A116" t="s">
        <v>140</v>
      </c>
      <c r="B116">
        <v>52.963833000000001</v>
      </c>
      <c r="C116">
        <v>5.5955719999999998</v>
      </c>
    </row>
    <row r="117" spans="1:3" x14ac:dyDescent="0.25">
      <c r="A117" t="s">
        <v>141</v>
      </c>
      <c r="B117">
        <v>52.341546999999998</v>
      </c>
      <c r="C117">
        <v>4.6388280000000002</v>
      </c>
    </row>
    <row r="118" spans="1:3" x14ac:dyDescent="0.25">
      <c r="A118" t="s">
        <v>142</v>
      </c>
      <c r="B118">
        <v>52.378098999999999</v>
      </c>
      <c r="C118">
        <v>6.0333969999999999</v>
      </c>
    </row>
    <row r="119" spans="1:3" x14ac:dyDescent="0.25">
      <c r="A119" t="s">
        <v>143</v>
      </c>
      <c r="B119">
        <v>51.291200000000003</v>
      </c>
      <c r="C119">
        <v>5.8889610000000001</v>
      </c>
    </row>
    <row r="120" spans="1:3" x14ac:dyDescent="0.25">
      <c r="A120" t="s">
        <v>144</v>
      </c>
      <c r="B120">
        <v>52.593786000000001</v>
      </c>
      <c r="C120">
        <v>4.7378559999999998</v>
      </c>
    </row>
    <row r="121" spans="1:3" x14ac:dyDescent="0.25">
      <c r="A121" t="s">
        <v>13</v>
      </c>
      <c r="B121">
        <v>52.439489000000002</v>
      </c>
      <c r="C121">
        <v>6.2696040000000002</v>
      </c>
    </row>
    <row r="122" spans="1:3" x14ac:dyDescent="0.25">
      <c r="A122" t="s">
        <v>145</v>
      </c>
      <c r="B122">
        <v>52.384126000000002</v>
      </c>
      <c r="C122">
        <v>6.444769</v>
      </c>
    </row>
    <row r="123" spans="1:3" x14ac:dyDescent="0.25">
      <c r="A123" t="s">
        <v>146</v>
      </c>
      <c r="B123">
        <v>51.462867000000003</v>
      </c>
      <c r="C123">
        <v>5.6030519999999999</v>
      </c>
    </row>
    <row r="124" spans="1:3" x14ac:dyDescent="0.25">
      <c r="A124" t="s">
        <v>147</v>
      </c>
      <c r="B124">
        <v>51.829265999999997</v>
      </c>
      <c r="C124">
        <v>4.6473509999999996</v>
      </c>
    </row>
    <row r="125" spans="1:3" x14ac:dyDescent="0.25">
      <c r="A125" t="s">
        <v>148</v>
      </c>
      <c r="B125">
        <v>52.263987</v>
      </c>
      <c r="C125">
        <v>6.7642059999999997</v>
      </c>
    </row>
    <row r="126" spans="1:3" x14ac:dyDescent="0.25">
      <c r="A126" t="s">
        <v>149</v>
      </c>
      <c r="B126">
        <v>52.061706000000001</v>
      </c>
      <c r="C126">
        <v>6.3058920000000001</v>
      </c>
    </row>
    <row r="127" spans="1:3" x14ac:dyDescent="0.25">
      <c r="A127" t="s">
        <v>150</v>
      </c>
      <c r="B127">
        <v>53.179617999999998</v>
      </c>
      <c r="C127">
        <v>5.5068669999999997</v>
      </c>
    </row>
    <row r="128" spans="1:3" x14ac:dyDescent="0.25">
      <c r="A128" t="s">
        <v>151</v>
      </c>
      <c r="B128">
        <v>51.892356999999997</v>
      </c>
      <c r="C128">
        <v>6.0990409999999997</v>
      </c>
    </row>
    <row r="129" spans="1:3" x14ac:dyDescent="0.25">
      <c r="A129" t="s">
        <v>26</v>
      </c>
      <c r="B129">
        <v>51.822378999999998</v>
      </c>
      <c r="C129">
        <v>5.155132</v>
      </c>
    </row>
    <row r="130" spans="1:3" x14ac:dyDescent="0.25">
      <c r="A130" t="s">
        <v>152</v>
      </c>
      <c r="B130">
        <v>51.767817000000001</v>
      </c>
      <c r="C130">
        <v>5.8363040000000002</v>
      </c>
    </row>
    <row r="131" spans="1:3" x14ac:dyDescent="0.25">
      <c r="A131" t="s">
        <v>22</v>
      </c>
      <c r="B131">
        <v>51.986879000000002</v>
      </c>
      <c r="C131">
        <v>4.1497580000000003</v>
      </c>
    </row>
    <row r="132" spans="1:3" x14ac:dyDescent="0.25">
      <c r="A132" t="s">
        <v>153</v>
      </c>
      <c r="B132">
        <v>53.430993000000001</v>
      </c>
      <c r="C132">
        <v>5.64297</v>
      </c>
    </row>
    <row r="133" spans="1:3" x14ac:dyDescent="0.25">
      <c r="A133" t="s">
        <v>154</v>
      </c>
      <c r="B133">
        <v>52.303117</v>
      </c>
      <c r="C133">
        <v>6.4575019999999999</v>
      </c>
    </row>
    <row r="134" spans="1:3" x14ac:dyDescent="0.25">
      <c r="A134" t="s">
        <v>155</v>
      </c>
      <c r="B134">
        <v>52.005879999999998</v>
      </c>
      <c r="C134">
        <v>4.2511900000000002</v>
      </c>
    </row>
    <row r="135" spans="1:3" x14ac:dyDescent="0.25">
      <c r="A135" t="s">
        <v>156</v>
      </c>
      <c r="B135">
        <v>52.287807000000001</v>
      </c>
      <c r="C135">
        <v>4.6690459999999998</v>
      </c>
    </row>
    <row r="136" spans="1:3" x14ac:dyDescent="0.25">
      <c r="A136" t="s">
        <v>157</v>
      </c>
      <c r="B136">
        <v>51.431117</v>
      </c>
      <c r="C136">
        <v>4.3086869999999999</v>
      </c>
    </row>
    <row r="137" spans="1:3" x14ac:dyDescent="0.25">
      <c r="A137" t="s">
        <v>14</v>
      </c>
      <c r="B137">
        <v>52.707352</v>
      </c>
      <c r="C137">
        <v>6.4821419999999996</v>
      </c>
    </row>
    <row r="138" spans="1:3" x14ac:dyDescent="0.25">
      <c r="A138" t="s">
        <v>158</v>
      </c>
      <c r="B138">
        <v>52.685223999999998</v>
      </c>
      <c r="C138">
        <v>5.1653789999999997</v>
      </c>
    </row>
    <row r="139" spans="1:3" x14ac:dyDescent="0.25">
      <c r="A139" t="s">
        <v>159</v>
      </c>
      <c r="B139">
        <v>52.729590999999999</v>
      </c>
      <c r="C139">
        <v>4.9579050000000002</v>
      </c>
    </row>
    <row r="140" spans="1:3" x14ac:dyDescent="0.25">
      <c r="A140" t="s">
        <v>160</v>
      </c>
      <c r="B140">
        <v>52.648997000000001</v>
      </c>
      <c r="C140">
        <v>5.0473499999999998</v>
      </c>
    </row>
    <row r="141" spans="1:3" x14ac:dyDescent="0.25">
      <c r="A141" t="s">
        <v>161</v>
      </c>
      <c r="B141">
        <v>53.39</v>
      </c>
      <c r="C141">
        <v>5.35</v>
      </c>
    </row>
    <row r="142" spans="1:3" x14ac:dyDescent="0.25">
      <c r="A142" t="s">
        <v>162</v>
      </c>
      <c r="B142">
        <v>52.361485999999999</v>
      </c>
      <c r="C142">
        <v>5.6954979999999997</v>
      </c>
    </row>
    <row r="143" spans="1:3" x14ac:dyDescent="0.25">
      <c r="A143" t="s">
        <v>16</v>
      </c>
      <c r="B143">
        <v>52.067599000000001</v>
      </c>
      <c r="C143">
        <v>6.6414710000000001</v>
      </c>
    </row>
    <row r="144" spans="1:3" x14ac:dyDescent="0.25">
      <c r="A144" t="s">
        <v>163</v>
      </c>
      <c r="B144">
        <v>52.576191000000001</v>
      </c>
      <c r="C144">
        <v>5.9625380000000003</v>
      </c>
    </row>
    <row r="145" spans="1:3" x14ac:dyDescent="0.25">
      <c r="A145" t="s">
        <v>164</v>
      </c>
      <c r="B145">
        <v>51.488945000000001</v>
      </c>
      <c r="C145">
        <v>5.8911410000000002</v>
      </c>
    </row>
    <row r="146" spans="1:3" x14ac:dyDescent="0.25">
      <c r="A146" t="s">
        <v>165</v>
      </c>
      <c r="B146">
        <v>52.963234999999997</v>
      </c>
      <c r="C146">
        <v>5.8188129999999996</v>
      </c>
    </row>
    <row r="147" spans="1:3" x14ac:dyDescent="0.25">
      <c r="A147" t="s">
        <v>166</v>
      </c>
      <c r="B147">
        <v>51.481158000000001</v>
      </c>
      <c r="C147">
        <v>3.9475720000000001</v>
      </c>
    </row>
    <row r="148" spans="1:3" x14ac:dyDescent="0.25">
      <c r="A148" t="s">
        <v>167</v>
      </c>
      <c r="B148">
        <v>51.257523999999997</v>
      </c>
      <c r="C148">
        <v>4.0405689999999996</v>
      </c>
    </row>
    <row r="149" spans="1:3" x14ac:dyDescent="0.25">
      <c r="A149" t="s">
        <v>168</v>
      </c>
      <c r="B149">
        <v>52.187055999999998</v>
      </c>
      <c r="C149">
        <v>4.4074419999999996</v>
      </c>
    </row>
    <row r="150" spans="1:3" x14ac:dyDescent="0.25">
      <c r="A150" t="s">
        <v>169</v>
      </c>
      <c r="B150">
        <v>51.677940999999997</v>
      </c>
      <c r="C150">
        <v>3.869014</v>
      </c>
    </row>
    <row r="151" spans="1:3" x14ac:dyDescent="0.25">
      <c r="A151" t="s">
        <v>170</v>
      </c>
      <c r="B151">
        <v>52.737397000000001</v>
      </c>
      <c r="C151">
        <v>7.0011720000000004</v>
      </c>
    </row>
    <row r="152" spans="1:3" x14ac:dyDescent="0.25">
      <c r="A152" t="s">
        <v>171</v>
      </c>
      <c r="B152">
        <v>51.38317</v>
      </c>
      <c r="C152">
        <v>4.0224970000000004</v>
      </c>
    </row>
    <row r="153" spans="1:3" x14ac:dyDescent="0.25">
      <c r="A153" t="s">
        <v>172</v>
      </c>
      <c r="B153">
        <v>51.657711999999997</v>
      </c>
      <c r="C153">
        <v>4.5345370000000003</v>
      </c>
    </row>
    <row r="154" spans="1:3" x14ac:dyDescent="0.25">
      <c r="A154" t="s">
        <v>173</v>
      </c>
      <c r="B154">
        <v>52.792268</v>
      </c>
      <c r="C154">
        <v>4.8979910000000002</v>
      </c>
    </row>
    <row r="155" spans="1:3" x14ac:dyDescent="0.25">
      <c r="A155" t="s">
        <v>174</v>
      </c>
      <c r="B155">
        <v>53.276178999999999</v>
      </c>
      <c r="C155">
        <v>6.1367510000000003</v>
      </c>
    </row>
    <row r="156" spans="1:3" x14ac:dyDescent="0.25">
      <c r="A156" t="s">
        <v>175</v>
      </c>
      <c r="B156">
        <v>52.172330000000002</v>
      </c>
      <c r="C156">
        <v>5.8257539999999999</v>
      </c>
    </row>
    <row r="157" spans="1:3" x14ac:dyDescent="0.25">
      <c r="A157" t="s">
        <v>176</v>
      </c>
      <c r="B157">
        <v>53.062852999999997</v>
      </c>
      <c r="C157">
        <v>5.3424589999999998</v>
      </c>
    </row>
    <row r="158" spans="1:3" x14ac:dyDescent="0.25">
      <c r="A158" t="s">
        <v>177</v>
      </c>
      <c r="B158">
        <v>51.560555000000001</v>
      </c>
      <c r="C158">
        <v>3.829672</v>
      </c>
    </row>
    <row r="159" spans="1:3" x14ac:dyDescent="0.25">
      <c r="A159" t="s">
        <v>178</v>
      </c>
      <c r="B159">
        <v>51.438068999999999</v>
      </c>
      <c r="C159">
        <v>4.1071549999999997</v>
      </c>
    </row>
    <row r="160" spans="1:3" x14ac:dyDescent="0.25">
      <c r="A160" t="s">
        <v>179</v>
      </c>
      <c r="B160">
        <v>52.864795000000001</v>
      </c>
      <c r="C160">
        <v>5.0902219999999998</v>
      </c>
    </row>
    <row r="161" spans="1:3" x14ac:dyDescent="0.25">
      <c r="A161" t="s">
        <v>180</v>
      </c>
      <c r="B161">
        <v>51.891992999999999</v>
      </c>
      <c r="C161">
        <v>4.6172649999999997</v>
      </c>
    </row>
    <row r="162" spans="1:3" x14ac:dyDescent="0.25">
      <c r="A162" t="s">
        <v>181</v>
      </c>
      <c r="B162">
        <v>52.783397999999998</v>
      </c>
      <c r="C162">
        <v>5.8466829999999996</v>
      </c>
    </row>
    <row r="163" spans="1:3" x14ac:dyDescent="0.25">
      <c r="A163" t="s">
        <v>182</v>
      </c>
      <c r="B163">
        <v>52.922580000000004</v>
      </c>
      <c r="C163">
        <v>6.532152</v>
      </c>
    </row>
    <row r="164" spans="1:3" x14ac:dyDescent="0.25">
      <c r="A164" t="s">
        <v>183</v>
      </c>
      <c r="B164">
        <v>52.244895</v>
      </c>
      <c r="C164">
        <v>5.19686</v>
      </c>
    </row>
    <row r="165" spans="1:3" x14ac:dyDescent="0.25">
      <c r="A165" t="s">
        <v>12</v>
      </c>
      <c r="B165">
        <v>53.41</v>
      </c>
      <c r="C165">
        <v>6.2</v>
      </c>
    </row>
    <row r="166" spans="1:3" x14ac:dyDescent="0.25">
      <c r="A166" t="s">
        <v>184</v>
      </c>
      <c r="B166">
        <v>51.328147999999999</v>
      </c>
      <c r="C166">
        <v>5.530678</v>
      </c>
    </row>
    <row r="167" spans="1:3" x14ac:dyDescent="0.25">
      <c r="A167" t="s">
        <v>9</v>
      </c>
      <c r="B167">
        <v>53.224021</v>
      </c>
      <c r="C167">
        <v>5.7615239999999996</v>
      </c>
    </row>
    <row r="168" spans="1:3" x14ac:dyDescent="0.25">
      <c r="A168" t="s">
        <v>185</v>
      </c>
      <c r="B168">
        <v>52.142704999999999</v>
      </c>
      <c r="C168">
        <v>4.4814629999999998</v>
      </c>
    </row>
    <row r="169" spans="1:3" x14ac:dyDescent="0.25">
      <c r="A169" t="s">
        <v>8</v>
      </c>
      <c r="B169">
        <v>52.451672000000002</v>
      </c>
      <c r="C169">
        <v>5.5343109999999998</v>
      </c>
    </row>
    <row r="170" spans="1:3" x14ac:dyDescent="0.25">
      <c r="A170" t="s">
        <v>186</v>
      </c>
      <c r="B170">
        <v>52.837757000000003</v>
      </c>
      <c r="C170">
        <v>5.713692</v>
      </c>
    </row>
    <row r="171" spans="1:3" x14ac:dyDescent="0.25">
      <c r="A171" t="s">
        <v>187</v>
      </c>
      <c r="B171">
        <v>52.268631999999997</v>
      </c>
      <c r="C171">
        <v>6.2808630000000001</v>
      </c>
    </row>
    <row r="172" spans="1:3" x14ac:dyDescent="0.25">
      <c r="A172" t="s">
        <v>188</v>
      </c>
      <c r="B172">
        <v>51.996459999999999</v>
      </c>
      <c r="C172">
        <v>6.5666679999999999</v>
      </c>
    </row>
    <row r="173" spans="1:3" x14ac:dyDescent="0.25">
      <c r="A173" t="s">
        <v>189</v>
      </c>
      <c r="B173">
        <v>52.013680999999998</v>
      </c>
      <c r="C173">
        <v>6.6399609999999996</v>
      </c>
    </row>
    <row r="174" spans="1:3" x14ac:dyDescent="0.25">
      <c r="A174" t="s">
        <v>190</v>
      </c>
      <c r="B174">
        <v>52.351219</v>
      </c>
      <c r="C174">
        <v>4.7560859999999998</v>
      </c>
    </row>
    <row r="175" spans="1:3" x14ac:dyDescent="0.25">
      <c r="A175" t="s">
        <v>191</v>
      </c>
      <c r="B175">
        <v>52.260075999999998</v>
      </c>
      <c r="C175">
        <v>4.5523129999999998</v>
      </c>
    </row>
    <row r="176" spans="1:3" x14ac:dyDescent="0.25">
      <c r="A176" t="s">
        <v>192</v>
      </c>
      <c r="B176">
        <v>52.150860000000002</v>
      </c>
      <c r="C176">
        <v>6.3953990000000003</v>
      </c>
    </row>
    <row r="177" spans="1:3" x14ac:dyDescent="0.25">
      <c r="A177" t="s">
        <v>193</v>
      </c>
      <c r="B177">
        <v>52.208576000000001</v>
      </c>
      <c r="C177">
        <v>5.0360829999999996</v>
      </c>
    </row>
    <row r="178" spans="1:3" x14ac:dyDescent="0.25">
      <c r="A178" t="s">
        <v>194</v>
      </c>
      <c r="B178">
        <v>52.092050999999998</v>
      </c>
      <c r="C178">
        <v>5.6060850000000002</v>
      </c>
    </row>
    <row r="179" spans="1:3" x14ac:dyDescent="0.25">
      <c r="A179" t="s">
        <v>195</v>
      </c>
      <c r="B179">
        <v>51.310085999999998</v>
      </c>
      <c r="C179">
        <v>5.5879880000000002</v>
      </c>
    </row>
    <row r="180" spans="1:3" x14ac:dyDescent="0.25">
      <c r="A180" t="s">
        <v>196</v>
      </c>
      <c r="B180">
        <v>51.969932999999997</v>
      </c>
      <c r="C180">
        <v>4.2521000000000004</v>
      </c>
    </row>
    <row r="181" spans="1:3" x14ac:dyDescent="0.25">
      <c r="A181" t="s">
        <v>30</v>
      </c>
      <c r="B181">
        <v>50.91</v>
      </c>
      <c r="C181">
        <v>5.77</v>
      </c>
    </row>
    <row r="182" spans="1:3" x14ac:dyDescent="0.25">
      <c r="A182" t="s">
        <v>197</v>
      </c>
      <c r="B182">
        <v>53.062860999999998</v>
      </c>
      <c r="C182">
        <v>5.402126</v>
      </c>
    </row>
    <row r="183" spans="1:3" x14ac:dyDescent="0.25">
      <c r="A183" t="s">
        <v>198</v>
      </c>
      <c r="B183">
        <v>52.239942999999997</v>
      </c>
      <c r="C183">
        <v>6.4852660000000002</v>
      </c>
    </row>
    <row r="184" spans="1:3" x14ac:dyDescent="0.25">
      <c r="A184" t="s">
        <v>199</v>
      </c>
      <c r="B184">
        <v>52.460455000000003</v>
      </c>
      <c r="C184">
        <v>5.1223669999999997</v>
      </c>
    </row>
    <row r="185" spans="1:3" x14ac:dyDescent="0.25">
      <c r="A185" t="s">
        <v>10</v>
      </c>
      <c r="B185">
        <v>52.693474999999999</v>
      </c>
      <c r="C185">
        <v>5.8605330000000002</v>
      </c>
    </row>
    <row r="186" spans="1:3" x14ac:dyDescent="0.25">
      <c r="A186" t="s">
        <v>200</v>
      </c>
      <c r="B186">
        <v>53.149365000000003</v>
      </c>
      <c r="C186">
        <v>6.2840290000000003</v>
      </c>
    </row>
    <row r="187" spans="1:3" x14ac:dyDescent="0.25">
      <c r="A187" t="s">
        <v>201</v>
      </c>
      <c r="B187">
        <v>52.756993000000001</v>
      </c>
      <c r="C187">
        <v>5.1057649999999999</v>
      </c>
    </row>
    <row r="188" spans="1:3" x14ac:dyDescent="0.25">
      <c r="A188" t="s">
        <v>202</v>
      </c>
      <c r="B188">
        <v>51.822479000000001</v>
      </c>
      <c r="C188">
        <v>5.5612599999999999</v>
      </c>
    </row>
    <row r="189" spans="1:3" x14ac:dyDescent="0.25">
      <c r="A189" t="s">
        <v>203</v>
      </c>
      <c r="B189">
        <v>51.485151000000002</v>
      </c>
      <c r="C189">
        <v>3.5874609999999998</v>
      </c>
    </row>
    <row r="190" spans="1:3" x14ac:dyDescent="0.25">
      <c r="A190" t="s">
        <v>204</v>
      </c>
      <c r="B190">
        <v>53.326129000000002</v>
      </c>
      <c r="C190">
        <v>6.6179079999999999</v>
      </c>
    </row>
    <row r="191" spans="1:3" x14ac:dyDescent="0.25">
      <c r="A191" t="s">
        <v>205</v>
      </c>
      <c r="B191">
        <v>51.678092999999997</v>
      </c>
      <c r="C191">
        <v>5.7920369999999997</v>
      </c>
    </row>
    <row r="192" spans="1:3" x14ac:dyDescent="0.25">
      <c r="A192" t="s">
        <v>206</v>
      </c>
      <c r="B192">
        <v>52.622034999999997</v>
      </c>
      <c r="C192">
        <v>5.7268569999999999</v>
      </c>
    </row>
    <row r="193" spans="1:3" x14ac:dyDescent="0.25">
      <c r="A193" t="s">
        <v>207</v>
      </c>
      <c r="B193">
        <v>53.448599000000002</v>
      </c>
      <c r="C193">
        <v>5.7785320000000002</v>
      </c>
    </row>
    <row r="194" spans="1:3" x14ac:dyDescent="0.25">
      <c r="A194" t="s">
        <v>208</v>
      </c>
      <c r="B194">
        <v>53.220779</v>
      </c>
      <c r="C194">
        <v>6.3453999999999997</v>
      </c>
    </row>
    <row r="195" spans="1:3" x14ac:dyDescent="0.25">
      <c r="A195" t="s">
        <v>17</v>
      </c>
      <c r="B195">
        <v>53.2</v>
      </c>
      <c r="C195">
        <v>7.15</v>
      </c>
    </row>
    <row r="196" spans="1:3" x14ac:dyDescent="0.25">
      <c r="A196" t="s">
        <v>209</v>
      </c>
      <c r="B196">
        <v>52.971764</v>
      </c>
      <c r="C196">
        <v>6.9502980000000001</v>
      </c>
    </row>
    <row r="197" spans="1:3" x14ac:dyDescent="0.25">
      <c r="A197" t="s">
        <v>210</v>
      </c>
      <c r="B197">
        <v>51.833798999999999</v>
      </c>
      <c r="C197">
        <v>4.1249459999999996</v>
      </c>
    </row>
    <row r="198" spans="1:3" x14ac:dyDescent="0.25">
      <c r="A198" t="s">
        <v>211</v>
      </c>
      <c r="B198">
        <v>51.767761999999998</v>
      </c>
      <c r="C198">
        <v>4.9236190000000004</v>
      </c>
    </row>
    <row r="199" spans="1:3" x14ac:dyDescent="0.25">
      <c r="A199" t="s">
        <v>212</v>
      </c>
      <c r="B199">
        <v>53.249844000000003</v>
      </c>
      <c r="C199">
        <v>6.9903219999999999</v>
      </c>
    </row>
    <row r="200" spans="1:3" x14ac:dyDescent="0.25">
      <c r="A200" t="s">
        <v>213</v>
      </c>
      <c r="B200">
        <v>53.061298999999998</v>
      </c>
      <c r="C200">
        <v>5.9987870000000001</v>
      </c>
    </row>
    <row r="201" spans="1:3" x14ac:dyDescent="0.25">
      <c r="A201" t="s">
        <v>214</v>
      </c>
      <c r="B201">
        <v>52.236027999999997</v>
      </c>
      <c r="C201">
        <v>5.475041</v>
      </c>
    </row>
    <row r="202" spans="1:3" x14ac:dyDescent="0.25">
      <c r="A202" t="s">
        <v>215</v>
      </c>
      <c r="B202">
        <v>51.848474000000003</v>
      </c>
      <c r="C202">
        <v>5.8951609999999999</v>
      </c>
    </row>
    <row r="203" spans="1:3" x14ac:dyDescent="0.25">
      <c r="A203" t="s">
        <v>216</v>
      </c>
      <c r="B203">
        <v>50.770149000000004</v>
      </c>
      <c r="C203">
        <v>5.8124450000000003</v>
      </c>
    </row>
    <row r="204" spans="1:3" x14ac:dyDescent="0.25">
      <c r="A204" t="s">
        <v>217</v>
      </c>
      <c r="B204">
        <v>51.697181999999998</v>
      </c>
      <c r="C204">
        <v>3.969633</v>
      </c>
    </row>
    <row r="205" spans="1:3" x14ac:dyDescent="0.25">
      <c r="A205" t="s">
        <v>218</v>
      </c>
      <c r="B205">
        <v>51.723731999999998</v>
      </c>
      <c r="C205">
        <v>5.41615</v>
      </c>
    </row>
    <row r="206" spans="1:3" x14ac:dyDescent="0.25">
      <c r="A206" t="s">
        <v>219</v>
      </c>
      <c r="B206">
        <v>51.737699999999997</v>
      </c>
      <c r="C206">
        <v>4.4172019999999996</v>
      </c>
    </row>
    <row r="207" spans="1:3" x14ac:dyDescent="0.25">
      <c r="A207" t="s">
        <v>220</v>
      </c>
      <c r="B207">
        <v>52.675381999999999</v>
      </c>
      <c r="C207">
        <v>4.8845070000000002</v>
      </c>
    </row>
    <row r="208" spans="1:3" x14ac:dyDescent="0.25">
      <c r="A208" t="s">
        <v>221</v>
      </c>
      <c r="B208">
        <v>51.507995999999999</v>
      </c>
      <c r="C208">
        <v>5.3295870000000001</v>
      </c>
    </row>
    <row r="209" spans="1:3" x14ac:dyDescent="0.25">
      <c r="A209" t="s">
        <v>222</v>
      </c>
      <c r="B209">
        <v>52.387669000000002</v>
      </c>
      <c r="C209">
        <v>5.9160199999999996</v>
      </c>
    </row>
    <row r="210" spans="1:3" x14ac:dyDescent="0.25">
      <c r="A210" t="s">
        <v>223</v>
      </c>
      <c r="B210">
        <v>52.899236000000002</v>
      </c>
      <c r="C210">
        <v>6.0559609999999999</v>
      </c>
    </row>
    <row r="211" spans="1:3" x14ac:dyDescent="0.25">
      <c r="A211" t="s">
        <v>224</v>
      </c>
      <c r="B211">
        <v>53.154811000000002</v>
      </c>
      <c r="C211">
        <v>6.6728370000000004</v>
      </c>
    </row>
    <row r="212" spans="1:3" x14ac:dyDescent="0.25">
      <c r="A212" t="s">
        <v>225</v>
      </c>
      <c r="B212">
        <v>50.797438</v>
      </c>
      <c r="C212">
        <v>5.7134130000000001</v>
      </c>
    </row>
    <row r="213" spans="1:3" x14ac:dyDescent="0.25">
      <c r="A213" t="s">
        <v>226</v>
      </c>
      <c r="B213">
        <v>53.296075999999999</v>
      </c>
      <c r="C213">
        <v>5.0722620000000003</v>
      </c>
    </row>
    <row r="214" spans="1:3" x14ac:dyDescent="0.25">
      <c r="A214" t="s">
        <v>227</v>
      </c>
      <c r="B214">
        <v>52.010494999999999</v>
      </c>
      <c r="C214">
        <v>5.8387339999999996</v>
      </c>
    </row>
    <row r="215" spans="1:3" x14ac:dyDescent="0.25">
      <c r="A215" t="s">
        <v>228</v>
      </c>
      <c r="B215">
        <v>51.641747000000002</v>
      </c>
      <c r="C215">
        <v>4.8815679999999997</v>
      </c>
    </row>
    <row r="216" spans="1:3" x14ac:dyDescent="0.25">
      <c r="A216" t="s">
        <v>229</v>
      </c>
      <c r="B216">
        <v>52.415703999999998</v>
      </c>
      <c r="C216">
        <v>5.2255240000000001</v>
      </c>
    </row>
    <row r="217" spans="1:3" x14ac:dyDescent="0.25">
      <c r="A217" t="s">
        <v>230</v>
      </c>
      <c r="B217">
        <v>51.905374999999999</v>
      </c>
      <c r="C217">
        <v>4.093871</v>
      </c>
    </row>
    <row r="218" spans="1:3" x14ac:dyDescent="0.25">
      <c r="A218" t="s">
        <v>231</v>
      </c>
      <c r="B218">
        <v>51.759599999999999</v>
      </c>
      <c r="C218">
        <v>5.5320479999999996</v>
      </c>
    </row>
    <row r="219" spans="1:3" x14ac:dyDescent="0.25">
      <c r="A219" t="s">
        <v>232</v>
      </c>
      <c r="B219">
        <v>51.856495000000002</v>
      </c>
      <c r="C219">
        <v>4.6904519999999996</v>
      </c>
    </row>
    <row r="220" spans="1:3" x14ac:dyDescent="0.25">
      <c r="A220" t="s">
        <v>233</v>
      </c>
      <c r="B220">
        <v>51.821902000000001</v>
      </c>
      <c r="C220">
        <v>3.878673</v>
      </c>
    </row>
    <row r="221" spans="1:3" x14ac:dyDescent="0.25">
      <c r="A221" t="s">
        <v>234</v>
      </c>
      <c r="B221">
        <v>52.856119</v>
      </c>
      <c r="C221">
        <v>5.505979</v>
      </c>
    </row>
    <row r="222" spans="1:3" x14ac:dyDescent="0.25">
      <c r="A222" t="s">
        <v>235</v>
      </c>
      <c r="B222">
        <v>51.576715999999998</v>
      </c>
      <c r="C222">
        <v>4.5216320000000003</v>
      </c>
    </row>
    <row r="223" spans="1:3" x14ac:dyDescent="0.25">
      <c r="A223" t="s">
        <v>236</v>
      </c>
      <c r="B223">
        <v>52.395181999999998</v>
      </c>
      <c r="C223">
        <v>4.5938460000000001</v>
      </c>
    </row>
    <row r="224" spans="1:3" x14ac:dyDescent="0.25">
      <c r="A224" t="s">
        <v>237</v>
      </c>
      <c r="B224">
        <v>51.425573</v>
      </c>
      <c r="C224">
        <v>3.819906</v>
      </c>
    </row>
    <row r="225" spans="1:3" x14ac:dyDescent="0.25">
      <c r="A225" t="s">
        <v>238</v>
      </c>
      <c r="B225">
        <v>52.764099999999999</v>
      </c>
      <c r="C225">
        <v>4.661257</v>
      </c>
    </row>
    <row r="226" spans="1:3" x14ac:dyDescent="0.25">
      <c r="A226" t="s">
        <v>239</v>
      </c>
      <c r="B226">
        <v>51.298783999999998</v>
      </c>
      <c r="C226">
        <v>3.7525490000000001</v>
      </c>
    </row>
    <row r="227" spans="1:3" x14ac:dyDescent="0.25">
      <c r="A227" t="s">
        <v>240</v>
      </c>
      <c r="B227">
        <v>51.854291000000003</v>
      </c>
      <c r="C227">
        <v>4.3856599999999997</v>
      </c>
    </row>
    <row r="228" spans="1:3" x14ac:dyDescent="0.25">
      <c r="A228" t="s">
        <v>241</v>
      </c>
      <c r="B228">
        <v>52.513852</v>
      </c>
      <c r="C228">
        <v>4.9452720000000001</v>
      </c>
    </row>
    <row r="229" spans="1:3" x14ac:dyDescent="0.25">
      <c r="A229" t="s">
        <v>242</v>
      </c>
      <c r="B229">
        <v>52.235855999999998</v>
      </c>
      <c r="C229">
        <v>5.6067920000000004</v>
      </c>
    </row>
    <row r="230" spans="1:3" x14ac:dyDescent="0.25">
      <c r="A230" t="s">
        <v>243</v>
      </c>
      <c r="B230">
        <v>51.890602999999999</v>
      </c>
      <c r="C230">
        <v>4.4284340000000002</v>
      </c>
    </row>
    <row r="231" spans="1:3" x14ac:dyDescent="0.25">
      <c r="A231" t="s">
        <v>244</v>
      </c>
      <c r="B231">
        <v>52.084606999999998</v>
      </c>
      <c r="C231">
        <v>6.729495</v>
      </c>
    </row>
    <row r="232" spans="1:3" x14ac:dyDescent="0.25">
      <c r="A232" t="s">
        <v>245</v>
      </c>
      <c r="B232">
        <v>51.281258000000001</v>
      </c>
      <c r="C232">
        <v>6.0751819999999999</v>
      </c>
    </row>
    <row r="233" spans="1:3" x14ac:dyDescent="0.25">
      <c r="A233" t="s">
        <v>246</v>
      </c>
      <c r="B233">
        <v>52.562735000000004</v>
      </c>
      <c r="C233">
        <v>6.5670409999999997</v>
      </c>
    </row>
    <row r="234" spans="1:3" x14ac:dyDescent="0.25">
      <c r="A234" t="s">
        <v>247</v>
      </c>
      <c r="B234">
        <v>51.420861000000002</v>
      </c>
      <c r="C234">
        <v>4.1795289999999996</v>
      </c>
    </row>
    <row r="235" spans="1:3" x14ac:dyDescent="0.25">
      <c r="A235" t="s">
        <v>248</v>
      </c>
      <c r="B235">
        <v>51.458635999999998</v>
      </c>
      <c r="C235">
        <v>3.617292</v>
      </c>
    </row>
    <row r="236" spans="1:3" x14ac:dyDescent="0.25">
      <c r="A236" t="s">
        <v>249</v>
      </c>
      <c r="B236">
        <v>53.148153000000001</v>
      </c>
      <c r="C236">
        <v>6.4334769999999999</v>
      </c>
    </row>
    <row r="237" spans="1:3" x14ac:dyDescent="0.25">
      <c r="A237" t="s">
        <v>250</v>
      </c>
      <c r="B237">
        <v>52.215634999999999</v>
      </c>
      <c r="C237">
        <v>4.6263110000000003</v>
      </c>
    </row>
    <row r="238" spans="1:3" x14ac:dyDescent="0.25">
      <c r="A238" t="s">
        <v>251</v>
      </c>
      <c r="B238">
        <v>51.183008000000001</v>
      </c>
      <c r="C238">
        <v>5.9592890000000001</v>
      </c>
    </row>
    <row r="239" spans="1:3" x14ac:dyDescent="0.25">
      <c r="A239" t="s">
        <v>252</v>
      </c>
      <c r="B239">
        <v>53.441102999999998</v>
      </c>
      <c r="C239">
        <v>6.7867509999999998</v>
      </c>
    </row>
    <row r="240" spans="1:3" x14ac:dyDescent="0.25">
      <c r="A240" t="s">
        <v>23</v>
      </c>
      <c r="B240">
        <v>51.95</v>
      </c>
      <c r="C240">
        <v>4.4400000000000004</v>
      </c>
    </row>
    <row r="241" spans="1:3" x14ac:dyDescent="0.25">
      <c r="A241" t="s">
        <v>253</v>
      </c>
      <c r="B241">
        <v>52.610858</v>
      </c>
      <c r="C241">
        <v>6.1844520000000003</v>
      </c>
    </row>
    <row r="242" spans="1:3" x14ac:dyDescent="0.25">
      <c r="A242" t="s">
        <v>254</v>
      </c>
      <c r="B242">
        <v>52.718280999999998</v>
      </c>
      <c r="C242">
        <v>6.2456040000000002</v>
      </c>
    </row>
    <row r="243" spans="1:3" x14ac:dyDescent="0.25">
      <c r="A243" t="s">
        <v>255</v>
      </c>
      <c r="B243">
        <v>53.154155000000003</v>
      </c>
      <c r="C243">
        <v>6.7326189999999997</v>
      </c>
    </row>
    <row r="244" spans="1:3" x14ac:dyDescent="0.25">
      <c r="A244" t="s">
        <v>256</v>
      </c>
      <c r="B244">
        <v>50.895007</v>
      </c>
      <c r="C244">
        <v>6.0267910000000002</v>
      </c>
    </row>
    <row r="245" spans="1:3" x14ac:dyDescent="0.25">
      <c r="A245" t="s">
        <v>257</v>
      </c>
      <c r="B245">
        <v>52.791870000000003</v>
      </c>
      <c r="C245">
        <v>4.8090460000000004</v>
      </c>
    </row>
    <row r="246" spans="1:3" x14ac:dyDescent="0.25">
      <c r="A246" t="s">
        <v>258</v>
      </c>
      <c r="B246">
        <v>52.397174999999997</v>
      </c>
      <c r="C246">
        <v>4.990513</v>
      </c>
    </row>
    <row r="247" spans="1:3" x14ac:dyDescent="0.25">
      <c r="A247" t="s">
        <v>259</v>
      </c>
      <c r="B247">
        <v>52.105282000000003</v>
      </c>
      <c r="C247">
        <v>4.3070539999999999</v>
      </c>
    </row>
    <row r="248" spans="1:3" x14ac:dyDescent="0.25">
      <c r="A248" t="s">
        <v>260</v>
      </c>
      <c r="B248">
        <v>53.473545000000001</v>
      </c>
      <c r="C248">
        <v>6.185378</v>
      </c>
    </row>
    <row r="249" spans="1:3" x14ac:dyDescent="0.25">
      <c r="A249" t="s">
        <v>261</v>
      </c>
      <c r="B249">
        <v>50.931719999999999</v>
      </c>
      <c r="C249">
        <v>5.8708289999999996</v>
      </c>
    </row>
    <row r="250" spans="1:3" x14ac:dyDescent="0.25">
      <c r="A250" t="s">
        <v>262</v>
      </c>
      <c r="B250">
        <v>50.976129999999998</v>
      </c>
      <c r="C250">
        <v>5.9851999999999999</v>
      </c>
    </row>
    <row r="251" spans="1:3" x14ac:dyDescent="0.25">
      <c r="A251" t="s">
        <v>2</v>
      </c>
      <c r="B251">
        <v>52.3</v>
      </c>
      <c r="C251">
        <v>4.7699999999999996</v>
      </c>
    </row>
    <row r="252" spans="1:3" x14ac:dyDescent="0.25">
      <c r="A252" t="s">
        <v>263</v>
      </c>
      <c r="B252">
        <v>51.358688000000001</v>
      </c>
      <c r="C252">
        <v>3.5493670000000002</v>
      </c>
    </row>
    <row r="253" spans="1:3" x14ac:dyDescent="0.25">
      <c r="A253" t="s">
        <v>264</v>
      </c>
      <c r="B253">
        <v>52.684851000000002</v>
      </c>
      <c r="C253">
        <v>6.8957050000000004</v>
      </c>
    </row>
    <row r="254" spans="1:3" x14ac:dyDescent="0.25">
      <c r="A254" t="s">
        <v>265</v>
      </c>
      <c r="B254">
        <v>52.902766999999997</v>
      </c>
      <c r="C254">
        <v>6.7099970000000004</v>
      </c>
    </row>
    <row r="255" spans="1:3" x14ac:dyDescent="0.25">
      <c r="A255" t="s">
        <v>266</v>
      </c>
      <c r="B255">
        <v>51.398431000000002</v>
      </c>
      <c r="C255">
        <v>6.019469</v>
      </c>
    </row>
    <row r="256" spans="1:3" x14ac:dyDescent="0.25">
      <c r="A256" t="s">
        <v>267</v>
      </c>
      <c r="B256">
        <v>51.658673</v>
      </c>
      <c r="C256">
        <v>6.0953629999999999</v>
      </c>
    </row>
    <row r="257" spans="1:3" x14ac:dyDescent="0.25">
      <c r="A257" t="s">
        <v>268</v>
      </c>
      <c r="B257">
        <v>53.116475000000001</v>
      </c>
      <c r="C257">
        <v>5.656047</v>
      </c>
    </row>
    <row r="258" spans="1:3" x14ac:dyDescent="0.25">
      <c r="A258" t="s">
        <v>269</v>
      </c>
      <c r="B258">
        <v>53.035634999999999</v>
      </c>
      <c r="C258">
        <v>5.6406390000000002</v>
      </c>
    </row>
    <row r="259" spans="1:3" x14ac:dyDescent="0.25">
      <c r="A259" t="s">
        <v>270</v>
      </c>
      <c r="B259">
        <v>52.164144</v>
      </c>
      <c r="C259">
        <v>5.3287440000000004</v>
      </c>
    </row>
    <row r="260" spans="1:3" x14ac:dyDescent="0.25">
      <c r="A260" t="s">
        <v>6</v>
      </c>
      <c r="B260">
        <v>52.13</v>
      </c>
      <c r="C260">
        <v>5.27</v>
      </c>
    </row>
    <row r="261" spans="1:3" x14ac:dyDescent="0.25">
      <c r="A261" t="s">
        <v>271</v>
      </c>
      <c r="B261">
        <v>51.399754999999999</v>
      </c>
      <c r="C261">
        <v>5.6889729999999998</v>
      </c>
    </row>
    <row r="262" spans="1:3" x14ac:dyDescent="0.25">
      <c r="A262" t="s">
        <v>272</v>
      </c>
      <c r="B262">
        <v>52.254035999999999</v>
      </c>
      <c r="C262">
        <v>5.3872059999999999</v>
      </c>
    </row>
    <row r="263" spans="1:3" x14ac:dyDescent="0.25">
      <c r="A263" t="s">
        <v>273</v>
      </c>
      <c r="B263">
        <v>53.278179999999999</v>
      </c>
      <c r="C263">
        <v>5.6720459999999999</v>
      </c>
    </row>
    <row r="264" spans="1:3" x14ac:dyDescent="0.25">
      <c r="A264" t="s">
        <v>274</v>
      </c>
      <c r="B264">
        <v>51.632818999999998</v>
      </c>
      <c r="C264">
        <v>5.8782969999999999</v>
      </c>
    </row>
    <row r="265" spans="1:3" x14ac:dyDescent="0.25">
      <c r="A265" t="s">
        <v>275</v>
      </c>
      <c r="B265">
        <v>51.276905999999997</v>
      </c>
      <c r="C265">
        <v>3.4953129999999999</v>
      </c>
    </row>
    <row r="266" spans="1:3" x14ac:dyDescent="0.25">
      <c r="A266" t="s">
        <v>276</v>
      </c>
      <c r="B266">
        <v>51.589861999999997</v>
      </c>
      <c r="C266">
        <v>4.0162839999999997</v>
      </c>
    </row>
    <row r="267" spans="1:3" x14ac:dyDescent="0.25">
      <c r="A267" t="s">
        <v>7</v>
      </c>
      <c r="B267">
        <v>52.883133999999998</v>
      </c>
      <c r="C267">
        <v>5.3574979999999996</v>
      </c>
    </row>
    <row r="268" spans="1:3" x14ac:dyDescent="0.25">
      <c r="A268" t="s">
        <v>277</v>
      </c>
      <c r="B268">
        <v>51.593152000000003</v>
      </c>
      <c r="C268">
        <v>4.3337009999999996</v>
      </c>
    </row>
    <row r="269" spans="1:3" x14ac:dyDescent="0.25">
      <c r="A269" t="s">
        <v>278</v>
      </c>
      <c r="B269">
        <v>52.660502000000001</v>
      </c>
      <c r="C269">
        <v>6.6731360000000004</v>
      </c>
    </row>
    <row r="270" spans="1:3" x14ac:dyDescent="0.25">
      <c r="A270" t="s">
        <v>279</v>
      </c>
      <c r="B270">
        <v>50.968094000000001</v>
      </c>
      <c r="C270">
        <v>5.7573249999999998</v>
      </c>
    </row>
    <row r="271" spans="1:3" x14ac:dyDescent="0.25">
      <c r="A271" t="s">
        <v>280</v>
      </c>
      <c r="B271">
        <v>51.183951</v>
      </c>
      <c r="C271">
        <v>5.7161580000000001</v>
      </c>
    </row>
    <row r="272" spans="1:3" x14ac:dyDescent="0.25">
      <c r="A272" t="s">
        <v>281</v>
      </c>
      <c r="B272">
        <v>51.765971999999998</v>
      </c>
      <c r="C272">
        <v>4.5904410000000002</v>
      </c>
    </row>
    <row r="273" spans="1:3" x14ac:dyDescent="0.25">
      <c r="A273" t="s">
        <v>282</v>
      </c>
      <c r="B273">
        <v>52.559376</v>
      </c>
      <c r="C273">
        <v>5.6231489999999997</v>
      </c>
    </row>
    <row r="274" spans="1:3" x14ac:dyDescent="0.25">
      <c r="A274" t="s">
        <v>283</v>
      </c>
      <c r="B274">
        <v>52.871122999999997</v>
      </c>
      <c r="C274">
        <v>7.0803820000000002</v>
      </c>
    </row>
    <row r="275" spans="1:3" x14ac:dyDescent="0.25">
      <c r="A275" t="s">
        <v>284</v>
      </c>
      <c r="B275">
        <v>53.375928000000002</v>
      </c>
      <c r="C275">
        <v>5.973204</v>
      </c>
    </row>
    <row r="276" spans="1:3" x14ac:dyDescent="0.25">
      <c r="A276" t="s">
        <v>285</v>
      </c>
      <c r="B276">
        <v>51.309323999999997</v>
      </c>
      <c r="C276">
        <v>3.8669229999999999</v>
      </c>
    </row>
    <row r="277" spans="1:3" x14ac:dyDescent="0.25">
      <c r="A277" t="s">
        <v>286</v>
      </c>
      <c r="B277">
        <v>51.529001000000001</v>
      </c>
      <c r="C277">
        <v>4.2054809999999998</v>
      </c>
    </row>
    <row r="278" spans="1:3" x14ac:dyDescent="0.25">
      <c r="A278" t="s">
        <v>287</v>
      </c>
      <c r="B278">
        <v>51.930453</v>
      </c>
      <c r="C278">
        <v>5.4453630000000004</v>
      </c>
    </row>
    <row r="279" spans="1:3" x14ac:dyDescent="0.25">
      <c r="A279" t="s">
        <v>288</v>
      </c>
      <c r="B279">
        <v>51.561653999999997</v>
      </c>
      <c r="C279">
        <v>5.1276219999999997</v>
      </c>
    </row>
    <row r="280" spans="1:3" x14ac:dyDescent="0.25">
      <c r="A280" t="s">
        <v>289</v>
      </c>
      <c r="B280">
        <v>52.667220999999998</v>
      </c>
      <c r="C280">
        <v>5.6237279999999998</v>
      </c>
    </row>
    <row r="281" spans="1:3" x14ac:dyDescent="0.25">
      <c r="A281" t="s">
        <v>290</v>
      </c>
      <c r="B281">
        <v>52.398597000000002</v>
      </c>
      <c r="C281">
        <v>6.7830830000000004</v>
      </c>
    </row>
    <row r="282" spans="1:3" x14ac:dyDescent="0.25">
      <c r="A282" t="s">
        <v>18</v>
      </c>
      <c r="B282">
        <v>52.262188999999999</v>
      </c>
      <c r="C282">
        <v>6.9106480000000001</v>
      </c>
    </row>
    <row r="283" spans="1:3" x14ac:dyDescent="0.25">
      <c r="A283" t="s">
        <v>291</v>
      </c>
      <c r="B283">
        <v>50.850636999999999</v>
      </c>
      <c r="C283">
        <v>5.9125810000000003</v>
      </c>
    </row>
    <row r="284" spans="1:3" x14ac:dyDescent="0.25">
      <c r="A284" t="s">
        <v>292</v>
      </c>
      <c r="B284">
        <v>53.379398999999999</v>
      </c>
      <c r="C284">
        <v>6.6795439999999999</v>
      </c>
    </row>
    <row r="285" spans="1:3" x14ac:dyDescent="0.25">
      <c r="A285" t="s">
        <v>293</v>
      </c>
      <c r="B285">
        <v>50.778236</v>
      </c>
      <c r="C285">
        <v>6.0110039999999998</v>
      </c>
    </row>
    <row r="286" spans="1:3" x14ac:dyDescent="0.25">
      <c r="A286" t="s">
        <v>294</v>
      </c>
      <c r="B286">
        <v>52.279544999999999</v>
      </c>
      <c r="C286">
        <v>5.9733479999999997</v>
      </c>
    </row>
    <row r="287" spans="1:3" x14ac:dyDescent="0.25">
      <c r="A287" t="s">
        <v>295</v>
      </c>
      <c r="B287">
        <v>50.859926999999999</v>
      </c>
      <c r="C287">
        <v>5.8416740000000003</v>
      </c>
    </row>
    <row r="288" spans="1:3" x14ac:dyDescent="0.25">
      <c r="A288" t="s">
        <v>0</v>
      </c>
      <c r="B288">
        <v>52.178190000000001</v>
      </c>
      <c r="C288">
        <v>4.4222580000000002</v>
      </c>
    </row>
    <row r="289" spans="1:3" x14ac:dyDescent="0.25">
      <c r="A289" t="s">
        <v>296</v>
      </c>
      <c r="B289">
        <v>53.099214000000003</v>
      </c>
      <c r="C289">
        <v>6.8205030000000004</v>
      </c>
    </row>
    <row r="290" spans="1:3" x14ac:dyDescent="0.25">
      <c r="A290" t="s">
        <v>297</v>
      </c>
      <c r="B290">
        <v>52.029161000000002</v>
      </c>
      <c r="C290">
        <v>5.5912059999999997</v>
      </c>
    </row>
    <row r="291" spans="1:3" x14ac:dyDescent="0.25">
      <c r="A291" t="s">
        <v>298</v>
      </c>
      <c r="B291">
        <v>53.049703999999998</v>
      </c>
      <c r="C291">
        <v>6.3863649999999996</v>
      </c>
    </row>
    <row r="292" spans="1:3" x14ac:dyDescent="0.25">
      <c r="A292" t="s">
        <v>299</v>
      </c>
      <c r="B292">
        <v>51.352428000000003</v>
      </c>
      <c r="C292">
        <v>6.1910990000000004</v>
      </c>
    </row>
    <row r="293" spans="1:3" x14ac:dyDescent="0.25">
      <c r="A293" t="s">
        <v>300</v>
      </c>
      <c r="B293">
        <v>51.515431</v>
      </c>
      <c r="C293">
        <v>5.9922820000000003</v>
      </c>
    </row>
    <row r="294" spans="1:3" x14ac:dyDescent="0.25">
      <c r="A294" t="s">
        <v>301</v>
      </c>
      <c r="B294">
        <v>52.528661999999997</v>
      </c>
      <c r="C294">
        <v>6.3598090000000003</v>
      </c>
    </row>
    <row r="295" spans="1:3" x14ac:dyDescent="0.25">
      <c r="A295" t="s">
        <v>302</v>
      </c>
      <c r="B295">
        <v>53.032390999999997</v>
      </c>
      <c r="C295">
        <v>7.116479</v>
      </c>
    </row>
    <row r="296" spans="1:3" x14ac:dyDescent="0.25">
      <c r="A296" t="s">
        <v>303</v>
      </c>
      <c r="B296">
        <v>52.091644000000002</v>
      </c>
      <c r="C296">
        <v>5.0078170000000002</v>
      </c>
    </row>
    <row r="297" spans="1:3" x14ac:dyDescent="0.25">
      <c r="A297" t="s">
        <v>19</v>
      </c>
      <c r="B297">
        <v>51.44</v>
      </c>
      <c r="C297">
        <v>3.6</v>
      </c>
    </row>
    <row r="298" spans="1:3" x14ac:dyDescent="0.25">
      <c r="A298" t="s">
        <v>28</v>
      </c>
      <c r="B298">
        <v>51.660384000000001</v>
      </c>
      <c r="C298">
        <v>5.7051619999999996</v>
      </c>
    </row>
    <row r="299" spans="1:3" x14ac:dyDescent="0.25">
      <c r="A299" t="s">
        <v>304</v>
      </c>
      <c r="B299">
        <v>52.133254999999998</v>
      </c>
      <c r="C299">
        <v>4.4232290000000001</v>
      </c>
    </row>
    <row r="300" spans="1:3" x14ac:dyDescent="0.25">
      <c r="A300" t="s">
        <v>305</v>
      </c>
      <c r="B300">
        <v>52.181930000000001</v>
      </c>
      <c r="C300">
        <v>5.6065269999999998</v>
      </c>
    </row>
    <row r="301" spans="1:3" x14ac:dyDescent="0.25">
      <c r="A301" t="s">
        <v>306</v>
      </c>
      <c r="B301">
        <v>52.445773000000003</v>
      </c>
      <c r="C301">
        <v>6.5786300000000004</v>
      </c>
    </row>
    <row r="302" spans="1:3" x14ac:dyDescent="0.25">
      <c r="A302" t="s">
        <v>307</v>
      </c>
      <c r="B302">
        <v>51.583986000000003</v>
      </c>
      <c r="C302">
        <v>3.583542</v>
      </c>
    </row>
    <row r="303" spans="1:3" x14ac:dyDescent="0.25">
      <c r="A303" t="s">
        <v>308</v>
      </c>
      <c r="B303">
        <v>51.364176999999998</v>
      </c>
      <c r="C303">
        <v>5.4446380000000003</v>
      </c>
    </row>
    <row r="304" spans="1:3" x14ac:dyDescent="0.25">
      <c r="A304" t="s">
        <v>309</v>
      </c>
      <c r="B304">
        <v>51.975116999999997</v>
      </c>
      <c r="C304">
        <v>5.6491759999999998</v>
      </c>
    </row>
    <row r="305" spans="1:3" x14ac:dyDescent="0.25">
      <c r="A305" t="s">
        <v>310</v>
      </c>
      <c r="B305">
        <v>52.431772000000002</v>
      </c>
      <c r="C305">
        <v>6.0782930000000004</v>
      </c>
    </row>
    <row r="306" spans="1:3" x14ac:dyDescent="0.25">
      <c r="A306" t="s">
        <v>311</v>
      </c>
      <c r="B306">
        <v>53.398597000000002</v>
      </c>
      <c r="C306">
        <v>6.5598429999999999</v>
      </c>
    </row>
    <row r="307" spans="1:3" x14ac:dyDescent="0.25">
      <c r="A307" t="s">
        <v>312</v>
      </c>
      <c r="B307">
        <v>52.352600000000002</v>
      </c>
      <c r="C307">
        <v>6.869713</v>
      </c>
    </row>
    <row r="308" spans="1:3" x14ac:dyDescent="0.25">
      <c r="A308" t="s">
        <v>313</v>
      </c>
      <c r="B308">
        <v>51.255898999999999</v>
      </c>
      <c r="C308">
        <v>5.7023489999999999</v>
      </c>
    </row>
    <row r="309" spans="1:3" x14ac:dyDescent="0.25">
      <c r="A309" t="s">
        <v>314</v>
      </c>
      <c r="B309">
        <v>52.30744</v>
      </c>
      <c r="C309">
        <v>5.0353019999999997</v>
      </c>
    </row>
    <row r="310" spans="1:3" x14ac:dyDescent="0.25">
      <c r="A310" t="s">
        <v>315</v>
      </c>
      <c r="B310">
        <v>52.585574999999999</v>
      </c>
      <c r="C310">
        <v>4.9002869999999996</v>
      </c>
    </row>
    <row r="311" spans="1:3" x14ac:dyDescent="0.25">
      <c r="A311" t="s">
        <v>316</v>
      </c>
      <c r="B311">
        <v>53.368257</v>
      </c>
      <c r="C311">
        <v>5.2219610000000003</v>
      </c>
    </row>
    <row r="312" spans="1:3" x14ac:dyDescent="0.25">
      <c r="A312" t="s">
        <v>20</v>
      </c>
      <c r="B312">
        <v>51.219462</v>
      </c>
      <c r="C312">
        <v>3.8699029999999999</v>
      </c>
    </row>
    <row r="313" spans="1:3" x14ac:dyDescent="0.25">
      <c r="A313" t="s">
        <v>317</v>
      </c>
      <c r="B313">
        <v>51.527766</v>
      </c>
      <c r="C313">
        <v>3.4416359999999999</v>
      </c>
    </row>
    <row r="314" spans="1:3" x14ac:dyDescent="0.25">
      <c r="A314" t="s">
        <v>4</v>
      </c>
      <c r="B314">
        <v>52.494230000000002</v>
      </c>
      <c r="C314">
        <v>4.6215190000000002</v>
      </c>
    </row>
    <row r="315" spans="1:3" x14ac:dyDescent="0.25">
      <c r="A315" t="s">
        <v>318</v>
      </c>
      <c r="B315">
        <v>51.966397999999998</v>
      </c>
      <c r="C315">
        <v>5.3144499999999999</v>
      </c>
    </row>
    <row r="316" spans="1:3" x14ac:dyDescent="0.25">
      <c r="A316" t="s">
        <v>21</v>
      </c>
      <c r="B316">
        <v>51.525548000000001</v>
      </c>
      <c r="C316">
        <v>3.9029310000000002</v>
      </c>
    </row>
    <row r="317" spans="1:3" x14ac:dyDescent="0.25">
      <c r="A317" t="s">
        <v>319</v>
      </c>
      <c r="B317">
        <v>53.132255999999998</v>
      </c>
      <c r="C317">
        <v>7.045744</v>
      </c>
    </row>
    <row r="318" spans="1:3" x14ac:dyDescent="0.25">
      <c r="A318" t="s">
        <v>320</v>
      </c>
      <c r="B318">
        <v>51.959290000000003</v>
      </c>
      <c r="C318">
        <v>6.6820930000000001</v>
      </c>
    </row>
    <row r="319" spans="1:3" x14ac:dyDescent="0.25">
      <c r="A319" t="s">
        <v>321</v>
      </c>
      <c r="B319">
        <v>51.532412999999998</v>
      </c>
      <c r="C319">
        <v>3.744151</v>
      </c>
    </row>
    <row r="320" spans="1:3" x14ac:dyDescent="0.25">
      <c r="A320" t="s">
        <v>322</v>
      </c>
      <c r="B320">
        <v>53.271107999999998</v>
      </c>
      <c r="C320">
        <v>6.7212719999999999</v>
      </c>
    </row>
    <row r="321" spans="1:3" x14ac:dyDescent="0.25">
      <c r="A321" t="s">
        <v>323</v>
      </c>
      <c r="B321">
        <v>51.922690000000003</v>
      </c>
      <c r="C321">
        <v>6.7391920000000001</v>
      </c>
    </row>
    <row r="322" spans="1:3" x14ac:dyDescent="0.25">
      <c r="A322" t="s">
        <v>324</v>
      </c>
      <c r="B322">
        <v>52.083243000000003</v>
      </c>
      <c r="C322">
        <v>5.4601509999999998</v>
      </c>
    </row>
    <row r="323" spans="1:3" x14ac:dyDescent="0.25">
      <c r="A323" t="s">
        <v>325</v>
      </c>
      <c r="B323">
        <v>52.423484999999999</v>
      </c>
      <c r="C323">
        <v>4.8285629999999999</v>
      </c>
    </row>
    <row r="324" spans="1:3" x14ac:dyDescent="0.25">
      <c r="A324" t="s">
        <v>326</v>
      </c>
      <c r="B324">
        <v>52.477336999999999</v>
      </c>
      <c r="C324">
        <v>4.8131640000000004</v>
      </c>
    </row>
    <row r="325" spans="1:3" x14ac:dyDescent="0.25">
      <c r="A325" t="s">
        <v>327</v>
      </c>
      <c r="B325">
        <v>51.795586</v>
      </c>
      <c r="C325">
        <v>5.2712370000000002</v>
      </c>
    </row>
    <row r="326" spans="1:3" x14ac:dyDescent="0.25">
      <c r="A326" t="s">
        <v>328</v>
      </c>
      <c r="B326">
        <v>52.340637999999998</v>
      </c>
      <c r="C326">
        <v>4.5067750000000002</v>
      </c>
    </row>
    <row r="327" spans="1:3" x14ac:dyDescent="0.25">
      <c r="A327" t="s">
        <v>329</v>
      </c>
      <c r="B327">
        <v>53.342637000000003</v>
      </c>
      <c r="C327">
        <v>6.7535189999999998</v>
      </c>
    </row>
    <row r="328" spans="1:3" x14ac:dyDescent="0.25">
      <c r="A328" t="s">
        <v>330</v>
      </c>
      <c r="B328">
        <v>52.298971000000002</v>
      </c>
      <c r="C328">
        <v>5.4165260000000002</v>
      </c>
    </row>
    <row r="329" spans="1:3" x14ac:dyDescent="0.25">
      <c r="A329" t="s">
        <v>331</v>
      </c>
      <c r="B329">
        <v>52.388849999999998</v>
      </c>
      <c r="C329">
        <v>5.3725170000000002</v>
      </c>
    </row>
    <row r="330" spans="1:3" x14ac:dyDescent="0.25">
      <c r="A330" t="s">
        <v>332</v>
      </c>
      <c r="B330">
        <v>52.135888999999999</v>
      </c>
      <c r="C330">
        <v>4.8321639999999997</v>
      </c>
    </row>
    <row r="331" spans="1:3" x14ac:dyDescent="0.25">
      <c r="A331" t="s">
        <v>333</v>
      </c>
      <c r="B331">
        <v>51.938980000000001</v>
      </c>
      <c r="C331">
        <v>5.7216760000000004</v>
      </c>
    </row>
    <row r="332" spans="1:3" x14ac:dyDescent="0.25">
      <c r="A332" t="s">
        <v>334</v>
      </c>
      <c r="B332">
        <v>52.071136000000003</v>
      </c>
      <c r="C332">
        <v>4.5266690000000001</v>
      </c>
    </row>
    <row r="333" spans="1:3" x14ac:dyDescent="0.25">
      <c r="A333" t="s">
        <v>335</v>
      </c>
      <c r="B333">
        <v>53.329056000000001</v>
      </c>
      <c r="C333">
        <v>6.2877669999999997</v>
      </c>
    </row>
    <row r="334" spans="1:3" x14ac:dyDescent="0.25">
      <c r="A334" t="s">
        <v>336</v>
      </c>
      <c r="B334">
        <v>51.469838000000003</v>
      </c>
      <c r="C334">
        <v>4.6675909999999998</v>
      </c>
    </row>
    <row r="335" spans="1:3" x14ac:dyDescent="0.25">
      <c r="A335" t="s">
        <v>337</v>
      </c>
      <c r="B335">
        <v>52.794620000000002</v>
      </c>
      <c r="C335">
        <v>6.736383</v>
      </c>
    </row>
    <row r="336" spans="1:3" x14ac:dyDescent="0.25">
      <c r="A336" t="s">
        <v>338</v>
      </c>
      <c r="B336">
        <v>52.530268</v>
      </c>
      <c r="C336">
        <v>6.1387840000000002</v>
      </c>
    </row>
    <row r="337" spans="1:1" x14ac:dyDescent="0.25">
      <c r="A337" t="s">
        <v>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3</vt:i4>
      </vt:variant>
    </vt:vector>
  </HeadingPairs>
  <TitlesOfParts>
    <vt:vector size="3" baseType="lpstr">
      <vt:lpstr>Uurstations</vt:lpstr>
      <vt:lpstr>Etmaalstations</vt:lpstr>
      <vt:lpstr>Coordinaten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Siebe Bosch</dc:creator>
  <cp:lastModifiedBy>Siebe Bosch</cp:lastModifiedBy>
  <dcterms:created xsi:type="dcterms:W3CDTF">2024-10-15T20:41:54Z</dcterms:created>
  <dcterms:modified xsi:type="dcterms:W3CDTF">2024-10-16T19:50:42Z</dcterms:modified>
</cp:coreProperties>
</file>